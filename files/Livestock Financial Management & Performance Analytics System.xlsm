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defaultThemeVersion="166925"/>
  <mc:AlternateContent xmlns:mc="http://schemas.openxmlformats.org/markup-compatibility/2006">
    <mc:Choice Requires="x15">
      <x15ac:absPath xmlns:x15ac="http://schemas.microsoft.com/office/spreadsheetml/2010/11/ac" url="/Users/suleman/Documents/Excel sheet/"/>
    </mc:Choice>
  </mc:AlternateContent>
  <xr:revisionPtr revIDLastSave="0" documentId="13_ncr:1_{AA73E32B-09F2-A94A-81EB-09E17DAA9A9C}" xr6:coauthVersionLast="45" xr6:coauthVersionMax="45" xr10:uidLastSave="{00000000-0000-0000-0000-000000000000}"/>
  <bookViews>
    <workbookView xWindow="0" yWindow="500" windowWidth="28800" windowHeight="16080" activeTab="1" xr2:uid="{8BFE26F8-8D32-6546-8E17-5AB52B9FBBEC}"/>
  </bookViews>
  <sheets>
    <sheet name="Dashboard" sheetId="15" r:id="rId1"/>
    <sheet name="MASTER RECORD" sheetId="1" r:id="rId2"/>
    <sheet name="BREEDING" sheetId="2" r:id="rId3"/>
    <sheet name="GOAT-WEIGHT" sheetId="3" r:id="rId4"/>
    <sheet name="SALE" sheetId="4" r:id="rId5"/>
    <sheet name="MORTALITY" sheetId="5" r:id="rId6"/>
    <sheet name="ILLNESS" sheetId="6" r:id="rId7"/>
    <sheet name="VACCINE" sheetId="7" r:id="rId8"/>
    <sheet name="FEED RECORD" sheetId="8" r:id="rId9"/>
    <sheet name="OPERATION EXP" sheetId="9" r:id="rId10"/>
    <sheet name="Description" sheetId="16" r:id="rId11"/>
    <sheet name="Sheet1" sheetId="10" state="hidden" r:id="rId12"/>
    <sheet name="Sheet4" sheetId="13" state="hidden" r:id="rId13"/>
  </sheets>
  <definedNames>
    <definedName name="_xlnm._FilterDatabase" localSheetId="6" hidden="1">ILLNESS!$B$5:$M$1000</definedName>
    <definedName name="_xlnm.Criteria" localSheetId="6">ILLNESS!$P$4:$Q$4</definedName>
    <definedName name="_xlnm.Extract" localSheetId="6">ILLNESS!$P$6:$Z$6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6" i="3" l="1"/>
  <c r="I6" i="3"/>
  <c r="H7" i="5" l="1"/>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6"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7" i="5"/>
  <c r="G8" i="5"/>
  <c r="G6" i="5"/>
  <c r="H6" i="4"/>
  <c r="D7" i="9" l="1"/>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832" i="9"/>
  <c r="D833" i="9"/>
  <c r="D834" i="9"/>
  <c r="D835" i="9"/>
  <c r="D836" i="9"/>
  <c r="D837" i="9"/>
  <c r="D838" i="9"/>
  <c r="D839" i="9"/>
  <c r="D840" i="9"/>
  <c r="D841" i="9"/>
  <c r="D842" i="9"/>
  <c r="D843" i="9"/>
  <c r="D844" i="9"/>
  <c r="D845" i="9"/>
  <c r="D846" i="9"/>
  <c r="D847" i="9"/>
  <c r="D848" i="9"/>
  <c r="D849" i="9"/>
  <c r="D850" i="9"/>
  <c r="D851" i="9"/>
  <c r="D852" i="9"/>
  <c r="D853" i="9"/>
  <c r="D854" i="9"/>
  <c r="D855" i="9"/>
  <c r="D856" i="9"/>
  <c r="D857" i="9"/>
  <c r="D858" i="9"/>
  <c r="D859" i="9"/>
  <c r="D860" i="9"/>
  <c r="D861" i="9"/>
  <c r="D862" i="9"/>
  <c r="D863" i="9"/>
  <c r="D864" i="9"/>
  <c r="D865" i="9"/>
  <c r="D866" i="9"/>
  <c r="D867" i="9"/>
  <c r="D868" i="9"/>
  <c r="D869" i="9"/>
  <c r="D870" i="9"/>
  <c r="D871" i="9"/>
  <c r="D872" i="9"/>
  <c r="D873" i="9"/>
  <c r="D874" i="9"/>
  <c r="D875" i="9"/>
  <c r="D876" i="9"/>
  <c r="D877" i="9"/>
  <c r="D878" i="9"/>
  <c r="D879" i="9"/>
  <c r="D880" i="9"/>
  <c r="D881" i="9"/>
  <c r="D882" i="9"/>
  <c r="D883" i="9"/>
  <c r="D884" i="9"/>
  <c r="D885"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D6" i="9"/>
  <c r="C6" i="9"/>
  <c r="C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L4" i="13" l="1"/>
  <c r="L3" i="13"/>
  <c r="B2" i="13" l="1"/>
  <c r="E2" i="13"/>
  <c r="F2" i="13"/>
  <c r="G2" i="13"/>
  <c r="J2" i="13"/>
  <c r="B3" i="13"/>
  <c r="E3" i="13"/>
  <c r="F3" i="13"/>
  <c r="G3" i="13"/>
  <c r="H3" i="13"/>
  <c r="I3" i="13"/>
  <c r="J3" i="13"/>
  <c r="B4" i="13"/>
  <c r="E4" i="13"/>
  <c r="F4" i="13"/>
  <c r="G4" i="13"/>
  <c r="H4" i="13"/>
  <c r="I4" i="13"/>
  <c r="J4" i="13"/>
  <c r="B5" i="13"/>
  <c r="E5" i="13"/>
  <c r="F5" i="13"/>
  <c r="G5" i="13"/>
  <c r="H5" i="13"/>
  <c r="I5" i="13"/>
  <c r="J5" i="13"/>
  <c r="B6" i="13"/>
  <c r="E6" i="13"/>
  <c r="F6" i="13"/>
  <c r="G6" i="13"/>
  <c r="J6" i="13"/>
  <c r="B7" i="13"/>
  <c r="E7" i="13"/>
  <c r="F7" i="13"/>
  <c r="G7" i="13"/>
  <c r="J7" i="13"/>
  <c r="B8" i="13"/>
  <c r="E8" i="13"/>
  <c r="F8" i="13"/>
  <c r="G8" i="13"/>
  <c r="J8" i="13"/>
  <c r="B9" i="13"/>
  <c r="E9" i="13"/>
  <c r="F9" i="13"/>
  <c r="G9" i="13"/>
  <c r="J9" i="13"/>
  <c r="B10" i="13"/>
  <c r="E10" i="13"/>
  <c r="F10" i="13"/>
  <c r="Q4" i="13" s="1"/>
  <c r="G10" i="13"/>
  <c r="J10" i="13"/>
  <c r="B11" i="13"/>
  <c r="E11" i="13"/>
  <c r="F11" i="13"/>
  <c r="G11" i="13"/>
  <c r="H11" i="13"/>
  <c r="I11" i="13"/>
  <c r="J11" i="13"/>
  <c r="B12" i="13"/>
  <c r="E12" i="13"/>
  <c r="F12" i="13"/>
  <c r="G12" i="13"/>
  <c r="H12" i="13"/>
  <c r="I12" i="13"/>
  <c r="J12" i="13"/>
  <c r="B13" i="13"/>
  <c r="E13" i="13"/>
  <c r="F13" i="13"/>
  <c r="G13" i="13"/>
  <c r="H13" i="13"/>
  <c r="I13" i="13"/>
  <c r="J13" i="13"/>
  <c r="B14" i="13"/>
  <c r="E14" i="13"/>
  <c r="F14" i="13"/>
  <c r="G14" i="13"/>
  <c r="H14" i="13"/>
  <c r="I14" i="13"/>
  <c r="J14" i="13"/>
  <c r="B15" i="13"/>
  <c r="E15" i="13"/>
  <c r="F15" i="13"/>
  <c r="G15" i="13"/>
  <c r="H15" i="13"/>
  <c r="I15" i="13"/>
  <c r="J15" i="13"/>
  <c r="B16" i="13"/>
  <c r="E16" i="13"/>
  <c r="F16" i="13"/>
  <c r="G16" i="13"/>
  <c r="H16" i="13"/>
  <c r="I16" i="13"/>
  <c r="J16" i="13"/>
  <c r="B17" i="13"/>
  <c r="E17" i="13"/>
  <c r="F17" i="13"/>
  <c r="G17" i="13"/>
  <c r="H17" i="13"/>
  <c r="I17" i="13"/>
  <c r="J17" i="13"/>
  <c r="B18" i="13"/>
  <c r="E18" i="13"/>
  <c r="F18" i="13"/>
  <c r="G18" i="13"/>
  <c r="H18" i="13"/>
  <c r="I18" i="13"/>
  <c r="J18" i="13"/>
  <c r="B19" i="13"/>
  <c r="E19" i="13"/>
  <c r="F19" i="13"/>
  <c r="G19" i="13"/>
  <c r="H19" i="13"/>
  <c r="I19" i="13"/>
  <c r="J19" i="13"/>
  <c r="B20" i="13"/>
  <c r="E20" i="13"/>
  <c r="F20" i="13"/>
  <c r="G20" i="13"/>
  <c r="H20" i="13"/>
  <c r="I20" i="13"/>
  <c r="J20" i="13"/>
  <c r="B21" i="13"/>
  <c r="E21" i="13"/>
  <c r="F21" i="13"/>
  <c r="G21" i="13"/>
  <c r="H21" i="13"/>
  <c r="I21" i="13"/>
  <c r="J21" i="13"/>
  <c r="B22" i="13"/>
  <c r="E22" i="13"/>
  <c r="F22" i="13"/>
  <c r="G22" i="13"/>
  <c r="H22" i="13"/>
  <c r="I22" i="13"/>
  <c r="J22" i="13"/>
  <c r="B23" i="13"/>
  <c r="E23" i="13"/>
  <c r="F23" i="13"/>
  <c r="G23" i="13"/>
  <c r="H23" i="13"/>
  <c r="I23" i="13"/>
  <c r="J23" i="13"/>
  <c r="B24" i="13"/>
  <c r="E24" i="13"/>
  <c r="F24" i="13"/>
  <c r="G24" i="13"/>
  <c r="H24" i="13"/>
  <c r="I24" i="13"/>
  <c r="J24" i="13"/>
  <c r="B25" i="13"/>
  <c r="E25" i="13"/>
  <c r="F25" i="13"/>
  <c r="G25" i="13"/>
  <c r="H25" i="13"/>
  <c r="I25" i="13"/>
  <c r="J25" i="13"/>
  <c r="B26" i="13"/>
  <c r="E26" i="13"/>
  <c r="F26" i="13"/>
  <c r="G26" i="13"/>
  <c r="H26" i="13"/>
  <c r="I26" i="13"/>
  <c r="J26" i="13"/>
  <c r="B27" i="13"/>
  <c r="E27" i="13"/>
  <c r="F27" i="13"/>
  <c r="G27" i="13"/>
  <c r="H27" i="13"/>
  <c r="I27" i="13"/>
  <c r="J27" i="13"/>
  <c r="B28" i="13"/>
  <c r="E28" i="13"/>
  <c r="F28" i="13"/>
  <c r="G28" i="13"/>
  <c r="H28" i="13"/>
  <c r="I28" i="13"/>
  <c r="J28" i="13"/>
  <c r="B29" i="13"/>
  <c r="E29" i="13"/>
  <c r="F29" i="13"/>
  <c r="G29" i="13"/>
  <c r="H29" i="13"/>
  <c r="I29" i="13"/>
  <c r="J29" i="13"/>
  <c r="B30" i="13"/>
  <c r="E30" i="13"/>
  <c r="F30" i="13"/>
  <c r="G30" i="13"/>
  <c r="H30" i="13"/>
  <c r="I30" i="13"/>
  <c r="J30" i="13"/>
  <c r="B31" i="13"/>
  <c r="E31" i="13"/>
  <c r="F31" i="13"/>
  <c r="G31" i="13"/>
  <c r="H31" i="13"/>
  <c r="I31" i="13"/>
  <c r="J31" i="13"/>
  <c r="B32" i="13"/>
  <c r="E32" i="13"/>
  <c r="F32" i="13"/>
  <c r="G32" i="13"/>
  <c r="H32" i="13"/>
  <c r="I32" i="13"/>
  <c r="J32" i="13"/>
  <c r="B33" i="13"/>
  <c r="E33" i="13"/>
  <c r="F33" i="13"/>
  <c r="G33" i="13"/>
  <c r="H33" i="13"/>
  <c r="I33" i="13"/>
  <c r="J33" i="13"/>
  <c r="B34" i="13"/>
  <c r="E34" i="13"/>
  <c r="F34" i="13"/>
  <c r="G34" i="13"/>
  <c r="H34" i="13"/>
  <c r="I34" i="13"/>
  <c r="J34" i="13"/>
  <c r="B35" i="13"/>
  <c r="E35" i="13"/>
  <c r="F35" i="13"/>
  <c r="G35" i="13"/>
  <c r="H35" i="13"/>
  <c r="I35" i="13"/>
  <c r="J35" i="13"/>
  <c r="B36" i="13"/>
  <c r="E36" i="13"/>
  <c r="F36" i="13"/>
  <c r="G36" i="13"/>
  <c r="H36" i="13"/>
  <c r="I36" i="13"/>
  <c r="J36" i="13"/>
  <c r="B37" i="13"/>
  <c r="E37" i="13"/>
  <c r="F37" i="13"/>
  <c r="G37" i="13"/>
  <c r="H37" i="13"/>
  <c r="I37" i="13"/>
  <c r="J37" i="13"/>
  <c r="B38" i="13"/>
  <c r="E38" i="13"/>
  <c r="F38" i="13"/>
  <c r="G38" i="13"/>
  <c r="H38" i="13"/>
  <c r="I38" i="13"/>
  <c r="J38" i="13"/>
  <c r="B39" i="13"/>
  <c r="E39" i="13"/>
  <c r="F39" i="13"/>
  <c r="G39" i="13"/>
  <c r="H39" i="13"/>
  <c r="I39" i="13"/>
  <c r="J39" i="13"/>
  <c r="B40" i="13"/>
  <c r="E40" i="13"/>
  <c r="F40" i="13"/>
  <c r="G40" i="13"/>
  <c r="H40" i="13"/>
  <c r="I40" i="13"/>
  <c r="J40" i="13"/>
  <c r="B41" i="13"/>
  <c r="E41" i="13"/>
  <c r="F41" i="13"/>
  <c r="G41" i="13"/>
  <c r="H41" i="13"/>
  <c r="I41" i="13"/>
  <c r="J41" i="13"/>
  <c r="B42" i="13"/>
  <c r="E42" i="13"/>
  <c r="F42" i="13"/>
  <c r="G42" i="13"/>
  <c r="H42" i="13"/>
  <c r="I42" i="13"/>
  <c r="J42" i="13"/>
  <c r="B43" i="13"/>
  <c r="E43" i="13"/>
  <c r="F43" i="13"/>
  <c r="G43" i="13"/>
  <c r="H43" i="13"/>
  <c r="I43" i="13"/>
  <c r="J43" i="13"/>
  <c r="B44" i="13"/>
  <c r="E44" i="13"/>
  <c r="F44" i="13"/>
  <c r="G44" i="13"/>
  <c r="H44" i="13"/>
  <c r="I44" i="13"/>
  <c r="J44" i="13"/>
  <c r="B45" i="13"/>
  <c r="E45" i="13"/>
  <c r="F45" i="13"/>
  <c r="G45" i="13"/>
  <c r="H45" i="13"/>
  <c r="I45" i="13"/>
  <c r="J45" i="13"/>
  <c r="B46" i="13"/>
  <c r="E46" i="13"/>
  <c r="F46" i="13"/>
  <c r="G46" i="13"/>
  <c r="H46" i="13"/>
  <c r="I46" i="13"/>
  <c r="J46" i="13"/>
  <c r="B47" i="13"/>
  <c r="E47" i="13"/>
  <c r="F47" i="13"/>
  <c r="G47" i="13"/>
  <c r="H47" i="13"/>
  <c r="I47" i="13"/>
  <c r="J47" i="13"/>
  <c r="B48" i="13"/>
  <c r="E48" i="13"/>
  <c r="F48" i="13"/>
  <c r="G48" i="13"/>
  <c r="H48" i="13"/>
  <c r="I48" i="13"/>
  <c r="J48" i="13"/>
  <c r="B49" i="13"/>
  <c r="E49" i="13"/>
  <c r="F49" i="13"/>
  <c r="G49" i="13"/>
  <c r="H49" i="13"/>
  <c r="I49" i="13"/>
  <c r="J49" i="13"/>
  <c r="B50" i="13"/>
  <c r="E50" i="13"/>
  <c r="F50" i="13"/>
  <c r="G50" i="13"/>
  <c r="H50" i="13"/>
  <c r="I50" i="13"/>
  <c r="J50" i="13"/>
  <c r="B51" i="13"/>
  <c r="E51" i="13"/>
  <c r="F51" i="13"/>
  <c r="G51" i="13"/>
  <c r="H51" i="13"/>
  <c r="I51" i="13"/>
  <c r="J51" i="13"/>
  <c r="B52" i="13"/>
  <c r="E52" i="13"/>
  <c r="F52" i="13"/>
  <c r="G52" i="13"/>
  <c r="H52" i="13"/>
  <c r="I52" i="13"/>
  <c r="J52" i="13"/>
  <c r="B53" i="13"/>
  <c r="E53" i="13"/>
  <c r="F53" i="13"/>
  <c r="G53" i="13"/>
  <c r="H53" i="13"/>
  <c r="I53" i="13"/>
  <c r="J53" i="13"/>
  <c r="B54" i="13"/>
  <c r="E54" i="13"/>
  <c r="F54" i="13"/>
  <c r="G54" i="13"/>
  <c r="H54" i="13"/>
  <c r="I54" i="13"/>
  <c r="J54" i="13"/>
  <c r="B55" i="13"/>
  <c r="E55" i="13"/>
  <c r="F55" i="13"/>
  <c r="G55" i="13"/>
  <c r="H55" i="13"/>
  <c r="I55" i="13"/>
  <c r="J55" i="13"/>
  <c r="B56" i="13"/>
  <c r="E56" i="13"/>
  <c r="F56" i="13"/>
  <c r="G56" i="13"/>
  <c r="H56" i="13"/>
  <c r="I56" i="13"/>
  <c r="J56" i="13"/>
  <c r="B57" i="13"/>
  <c r="E57" i="13"/>
  <c r="F57" i="13"/>
  <c r="G57" i="13"/>
  <c r="H57" i="13"/>
  <c r="I57" i="13"/>
  <c r="J57" i="13"/>
  <c r="B58" i="13"/>
  <c r="E58" i="13"/>
  <c r="F58" i="13"/>
  <c r="G58" i="13"/>
  <c r="H58" i="13"/>
  <c r="I58" i="13"/>
  <c r="J58" i="13"/>
  <c r="B59" i="13"/>
  <c r="E59" i="13"/>
  <c r="F59" i="13"/>
  <c r="G59" i="13"/>
  <c r="H59" i="13"/>
  <c r="I59" i="13"/>
  <c r="J59" i="13"/>
  <c r="B60" i="13"/>
  <c r="E60" i="13"/>
  <c r="F60" i="13"/>
  <c r="G60" i="13"/>
  <c r="H60" i="13"/>
  <c r="I60" i="13"/>
  <c r="J60" i="13"/>
  <c r="B61" i="13"/>
  <c r="E61" i="13"/>
  <c r="F61" i="13"/>
  <c r="G61" i="13"/>
  <c r="H61" i="13"/>
  <c r="I61" i="13"/>
  <c r="J61" i="13"/>
  <c r="B62" i="13"/>
  <c r="E62" i="13"/>
  <c r="F62" i="13"/>
  <c r="G62" i="13"/>
  <c r="H62" i="13"/>
  <c r="I62" i="13"/>
  <c r="J62" i="13"/>
  <c r="B63" i="13"/>
  <c r="E63" i="13"/>
  <c r="F63" i="13"/>
  <c r="G63" i="13"/>
  <c r="H63" i="13"/>
  <c r="I63" i="13"/>
  <c r="J63" i="13"/>
  <c r="B64" i="13"/>
  <c r="E64" i="13"/>
  <c r="F64" i="13"/>
  <c r="G64" i="13"/>
  <c r="H64" i="13"/>
  <c r="I64" i="13"/>
  <c r="J64" i="13"/>
  <c r="B65" i="13"/>
  <c r="E65" i="13"/>
  <c r="F65" i="13"/>
  <c r="G65" i="13"/>
  <c r="H65" i="13"/>
  <c r="I65" i="13"/>
  <c r="J65" i="13"/>
  <c r="B66" i="13"/>
  <c r="E66" i="13"/>
  <c r="F66" i="13"/>
  <c r="G66" i="13"/>
  <c r="H66" i="13"/>
  <c r="I66" i="13"/>
  <c r="J66" i="13"/>
  <c r="B67" i="13"/>
  <c r="E67" i="13"/>
  <c r="F67" i="13"/>
  <c r="G67" i="13"/>
  <c r="H67" i="13"/>
  <c r="I67" i="13"/>
  <c r="J67" i="13"/>
  <c r="B68" i="13"/>
  <c r="E68" i="13"/>
  <c r="F68" i="13"/>
  <c r="G68" i="13"/>
  <c r="H68" i="13"/>
  <c r="I68" i="13"/>
  <c r="J68" i="13"/>
  <c r="B69" i="13"/>
  <c r="E69" i="13"/>
  <c r="F69" i="13"/>
  <c r="G69" i="13"/>
  <c r="H69" i="13"/>
  <c r="I69" i="13"/>
  <c r="J69" i="13"/>
  <c r="B70" i="13"/>
  <c r="E70" i="13"/>
  <c r="F70" i="13"/>
  <c r="G70" i="13"/>
  <c r="H70" i="13"/>
  <c r="I70" i="13"/>
  <c r="J70" i="13"/>
  <c r="B71" i="13"/>
  <c r="E71" i="13"/>
  <c r="F71" i="13"/>
  <c r="G71" i="13"/>
  <c r="H71" i="13"/>
  <c r="I71" i="13"/>
  <c r="J71" i="13"/>
  <c r="B72" i="13"/>
  <c r="E72" i="13"/>
  <c r="F72" i="13"/>
  <c r="G72" i="13"/>
  <c r="H72" i="13"/>
  <c r="I72" i="13"/>
  <c r="J72" i="13"/>
  <c r="B73" i="13"/>
  <c r="E73" i="13"/>
  <c r="F73" i="13"/>
  <c r="G73" i="13"/>
  <c r="H73" i="13"/>
  <c r="I73" i="13"/>
  <c r="J73" i="13"/>
  <c r="B74" i="13"/>
  <c r="E74" i="13"/>
  <c r="F74" i="13"/>
  <c r="G74" i="13"/>
  <c r="H74" i="13"/>
  <c r="I74" i="13"/>
  <c r="J74" i="13"/>
  <c r="B75" i="13"/>
  <c r="E75" i="13"/>
  <c r="F75" i="13"/>
  <c r="G75" i="13"/>
  <c r="H75" i="13"/>
  <c r="I75" i="13"/>
  <c r="J75" i="13"/>
  <c r="B76" i="13"/>
  <c r="E76" i="13"/>
  <c r="F76" i="13"/>
  <c r="G76" i="13"/>
  <c r="H76" i="13"/>
  <c r="I76" i="13"/>
  <c r="J76" i="13"/>
  <c r="B77" i="13"/>
  <c r="E77" i="13"/>
  <c r="F77" i="13"/>
  <c r="G77" i="13"/>
  <c r="H77" i="13"/>
  <c r="I77" i="13"/>
  <c r="J77" i="13"/>
  <c r="B78" i="13"/>
  <c r="E78" i="13"/>
  <c r="F78" i="13"/>
  <c r="G78" i="13"/>
  <c r="H78" i="13"/>
  <c r="I78" i="13"/>
  <c r="J78" i="13"/>
  <c r="B79" i="13"/>
  <c r="E79" i="13"/>
  <c r="F79" i="13"/>
  <c r="G79" i="13"/>
  <c r="H79" i="13"/>
  <c r="I79" i="13"/>
  <c r="J79" i="13"/>
  <c r="B80" i="13"/>
  <c r="E80" i="13"/>
  <c r="F80" i="13"/>
  <c r="G80" i="13"/>
  <c r="H80" i="13"/>
  <c r="I80" i="13"/>
  <c r="J80" i="13"/>
  <c r="B81" i="13"/>
  <c r="E81" i="13"/>
  <c r="F81" i="13"/>
  <c r="G81" i="13"/>
  <c r="H81" i="13"/>
  <c r="I81" i="13"/>
  <c r="J81" i="13"/>
  <c r="B82" i="13"/>
  <c r="E82" i="13"/>
  <c r="F82" i="13"/>
  <c r="G82" i="13"/>
  <c r="H82" i="13"/>
  <c r="I82" i="13"/>
  <c r="J82" i="13"/>
  <c r="B83" i="13"/>
  <c r="E83" i="13"/>
  <c r="F83" i="13"/>
  <c r="G83" i="13"/>
  <c r="H83" i="13"/>
  <c r="I83" i="13"/>
  <c r="J83" i="13"/>
  <c r="B84" i="13"/>
  <c r="E84" i="13"/>
  <c r="F84" i="13"/>
  <c r="G84" i="13"/>
  <c r="H84" i="13"/>
  <c r="I84" i="13"/>
  <c r="J84" i="13"/>
  <c r="B85" i="13"/>
  <c r="E85" i="13"/>
  <c r="F85" i="13"/>
  <c r="G85" i="13"/>
  <c r="H85" i="13"/>
  <c r="I85" i="13"/>
  <c r="J85" i="13"/>
  <c r="B86" i="13"/>
  <c r="E86" i="13"/>
  <c r="F86" i="13"/>
  <c r="G86" i="13"/>
  <c r="H86" i="13"/>
  <c r="I86" i="13"/>
  <c r="J86" i="13"/>
  <c r="B87" i="13"/>
  <c r="E87" i="13"/>
  <c r="F87" i="13"/>
  <c r="G87" i="13"/>
  <c r="H87" i="13"/>
  <c r="I87" i="13"/>
  <c r="J87" i="13"/>
  <c r="B88" i="13"/>
  <c r="E88" i="13"/>
  <c r="F88" i="13"/>
  <c r="G88" i="13"/>
  <c r="H88" i="13"/>
  <c r="I88" i="13"/>
  <c r="J88" i="13"/>
  <c r="B89" i="13"/>
  <c r="E89" i="13"/>
  <c r="F89" i="13"/>
  <c r="G89" i="13"/>
  <c r="H89" i="13"/>
  <c r="I89" i="13"/>
  <c r="J89" i="13"/>
  <c r="B90" i="13"/>
  <c r="E90" i="13"/>
  <c r="F90" i="13"/>
  <c r="G90" i="13"/>
  <c r="H90" i="13"/>
  <c r="I90" i="13"/>
  <c r="J90" i="13"/>
  <c r="B91" i="13"/>
  <c r="E91" i="13"/>
  <c r="F91" i="13"/>
  <c r="G91" i="13"/>
  <c r="H91" i="13"/>
  <c r="I91" i="13"/>
  <c r="J91" i="13"/>
  <c r="B92" i="13"/>
  <c r="E92" i="13"/>
  <c r="F92" i="13"/>
  <c r="G92" i="13"/>
  <c r="H92" i="13"/>
  <c r="I92" i="13"/>
  <c r="J92" i="13"/>
  <c r="B93" i="13"/>
  <c r="E93" i="13"/>
  <c r="F93" i="13"/>
  <c r="G93" i="13"/>
  <c r="H93" i="13"/>
  <c r="I93" i="13"/>
  <c r="J93" i="13"/>
  <c r="B94" i="13"/>
  <c r="E94" i="13"/>
  <c r="F94" i="13"/>
  <c r="G94" i="13"/>
  <c r="H94" i="13"/>
  <c r="I94" i="13"/>
  <c r="J94" i="13"/>
  <c r="B95" i="13"/>
  <c r="E95" i="13"/>
  <c r="F95" i="13"/>
  <c r="G95" i="13"/>
  <c r="H95" i="13"/>
  <c r="I95" i="13"/>
  <c r="J95" i="13"/>
  <c r="B96" i="13"/>
  <c r="E96" i="13"/>
  <c r="F96" i="13"/>
  <c r="G96" i="13"/>
  <c r="H96" i="13"/>
  <c r="I96" i="13"/>
  <c r="J96" i="13"/>
  <c r="B97" i="13"/>
  <c r="E97" i="13"/>
  <c r="F97" i="13"/>
  <c r="G97" i="13"/>
  <c r="H97" i="13"/>
  <c r="I97" i="13"/>
  <c r="J97" i="13"/>
  <c r="B98" i="13"/>
  <c r="E98" i="13"/>
  <c r="F98" i="13"/>
  <c r="G98" i="13"/>
  <c r="H98" i="13"/>
  <c r="I98" i="13"/>
  <c r="J98" i="13"/>
  <c r="B99" i="13"/>
  <c r="E99" i="13"/>
  <c r="F99" i="13"/>
  <c r="G99" i="13"/>
  <c r="H99" i="13"/>
  <c r="I99" i="13"/>
  <c r="J99" i="13"/>
  <c r="B100" i="13"/>
  <c r="E100" i="13"/>
  <c r="F100" i="13"/>
  <c r="G100" i="13"/>
  <c r="H100" i="13"/>
  <c r="I100" i="13"/>
  <c r="J100" i="13"/>
  <c r="B101" i="13"/>
  <c r="E101" i="13"/>
  <c r="F101" i="13"/>
  <c r="G101" i="13"/>
  <c r="H101" i="13"/>
  <c r="I101" i="13"/>
  <c r="J101" i="13"/>
  <c r="B102" i="13"/>
  <c r="E102" i="13"/>
  <c r="F102" i="13"/>
  <c r="G102" i="13"/>
  <c r="H102" i="13"/>
  <c r="I102" i="13"/>
  <c r="J102" i="13"/>
  <c r="B103" i="13"/>
  <c r="E103" i="13"/>
  <c r="F103" i="13"/>
  <c r="G103" i="13"/>
  <c r="H103" i="13"/>
  <c r="I103" i="13"/>
  <c r="J103" i="13"/>
  <c r="B104" i="13"/>
  <c r="E104" i="13"/>
  <c r="F104" i="13"/>
  <c r="G104" i="13"/>
  <c r="H104" i="13"/>
  <c r="I104" i="13"/>
  <c r="J104" i="13"/>
  <c r="B105" i="13"/>
  <c r="E105" i="13"/>
  <c r="F105" i="13"/>
  <c r="G105" i="13"/>
  <c r="H105" i="13"/>
  <c r="I105" i="13"/>
  <c r="J105" i="13"/>
  <c r="B106" i="13"/>
  <c r="E106" i="13"/>
  <c r="F106" i="13"/>
  <c r="G106" i="13"/>
  <c r="H106" i="13"/>
  <c r="I106" i="13"/>
  <c r="J106" i="13"/>
  <c r="B107" i="13"/>
  <c r="E107" i="13"/>
  <c r="F107" i="13"/>
  <c r="G107" i="13"/>
  <c r="H107" i="13"/>
  <c r="I107" i="13"/>
  <c r="J107" i="13"/>
  <c r="B108" i="13"/>
  <c r="E108" i="13"/>
  <c r="F108" i="13"/>
  <c r="G108" i="13"/>
  <c r="H108" i="13"/>
  <c r="I108" i="13"/>
  <c r="J108" i="13"/>
  <c r="B109" i="13"/>
  <c r="E109" i="13"/>
  <c r="F109" i="13"/>
  <c r="G109" i="13"/>
  <c r="H109" i="13"/>
  <c r="I109" i="13"/>
  <c r="J109" i="13"/>
  <c r="B110" i="13"/>
  <c r="E110" i="13"/>
  <c r="F110" i="13"/>
  <c r="G110" i="13"/>
  <c r="H110" i="13"/>
  <c r="I110" i="13"/>
  <c r="J110" i="13"/>
  <c r="B111" i="13"/>
  <c r="E111" i="13"/>
  <c r="F111" i="13"/>
  <c r="G111" i="13"/>
  <c r="H111" i="13"/>
  <c r="I111" i="13"/>
  <c r="J111" i="13"/>
  <c r="B112" i="13"/>
  <c r="E112" i="13"/>
  <c r="F112" i="13"/>
  <c r="G112" i="13"/>
  <c r="H112" i="13"/>
  <c r="I112" i="13"/>
  <c r="J112" i="13"/>
  <c r="B113" i="13"/>
  <c r="E113" i="13"/>
  <c r="F113" i="13"/>
  <c r="G113" i="13"/>
  <c r="H113" i="13"/>
  <c r="I113" i="13"/>
  <c r="J113" i="13"/>
  <c r="B114" i="13"/>
  <c r="E114" i="13"/>
  <c r="F114" i="13"/>
  <c r="G114" i="13"/>
  <c r="H114" i="13"/>
  <c r="I114" i="13"/>
  <c r="J114" i="13"/>
  <c r="B115" i="13"/>
  <c r="E115" i="13"/>
  <c r="F115" i="13"/>
  <c r="G115" i="13"/>
  <c r="H115" i="13"/>
  <c r="I115" i="13"/>
  <c r="J115" i="13"/>
  <c r="B116" i="13"/>
  <c r="E116" i="13"/>
  <c r="F116" i="13"/>
  <c r="G116" i="13"/>
  <c r="H116" i="13"/>
  <c r="I116" i="13"/>
  <c r="J116" i="13"/>
  <c r="B117" i="13"/>
  <c r="E117" i="13"/>
  <c r="F117" i="13"/>
  <c r="G117" i="13"/>
  <c r="H117" i="13"/>
  <c r="I117" i="13"/>
  <c r="J117" i="13"/>
  <c r="B118" i="13"/>
  <c r="E118" i="13"/>
  <c r="F118" i="13"/>
  <c r="G118" i="13"/>
  <c r="H118" i="13"/>
  <c r="I118" i="13"/>
  <c r="J118" i="13"/>
  <c r="B119" i="13"/>
  <c r="E119" i="13"/>
  <c r="F119" i="13"/>
  <c r="G119" i="13"/>
  <c r="H119" i="13"/>
  <c r="I119" i="13"/>
  <c r="J119" i="13"/>
  <c r="B120" i="13"/>
  <c r="E120" i="13"/>
  <c r="F120" i="13"/>
  <c r="G120" i="13"/>
  <c r="H120" i="13"/>
  <c r="I120" i="13"/>
  <c r="J120" i="13"/>
  <c r="B121" i="13"/>
  <c r="E121" i="13"/>
  <c r="F121" i="13"/>
  <c r="G121" i="13"/>
  <c r="H121" i="13"/>
  <c r="I121" i="13"/>
  <c r="J121" i="13"/>
  <c r="B122" i="13"/>
  <c r="E122" i="13"/>
  <c r="F122" i="13"/>
  <c r="G122" i="13"/>
  <c r="H122" i="13"/>
  <c r="I122" i="13"/>
  <c r="J122" i="13"/>
  <c r="B123" i="13"/>
  <c r="E123" i="13"/>
  <c r="F123" i="13"/>
  <c r="G123" i="13"/>
  <c r="H123" i="13"/>
  <c r="I123" i="13"/>
  <c r="J123" i="13"/>
  <c r="B124" i="13"/>
  <c r="E124" i="13"/>
  <c r="F124" i="13"/>
  <c r="G124" i="13"/>
  <c r="H124" i="13"/>
  <c r="I124" i="13"/>
  <c r="J124" i="13"/>
  <c r="B125" i="13"/>
  <c r="E125" i="13"/>
  <c r="F125" i="13"/>
  <c r="G125" i="13"/>
  <c r="H125" i="13"/>
  <c r="I125" i="13"/>
  <c r="J125" i="13"/>
  <c r="B126" i="13"/>
  <c r="E126" i="13"/>
  <c r="F126" i="13"/>
  <c r="G126" i="13"/>
  <c r="H126" i="13"/>
  <c r="I126" i="13"/>
  <c r="J126" i="13"/>
  <c r="B127" i="13"/>
  <c r="E127" i="13"/>
  <c r="F127" i="13"/>
  <c r="G127" i="13"/>
  <c r="H127" i="13"/>
  <c r="I127" i="13"/>
  <c r="J127" i="13"/>
  <c r="B128" i="13"/>
  <c r="E128" i="13"/>
  <c r="F128" i="13"/>
  <c r="G128" i="13"/>
  <c r="H128" i="13"/>
  <c r="I128" i="13"/>
  <c r="J128" i="13"/>
  <c r="B129" i="13"/>
  <c r="E129" i="13"/>
  <c r="F129" i="13"/>
  <c r="G129" i="13"/>
  <c r="H129" i="13"/>
  <c r="I129" i="13"/>
  <c r="J129" i="13"/>
  <c r="B130" i="13"/>
  <c r="E130" i="13"/>
  <c r="F130" i="13"/>
  <c r="G130" i="13"/>
  <c r="H130" i="13"/>
  <c r="I130" i="13"/>
  <c r="J130" i="13"/>
  <c r="B131" i="13"/>
  <c r="E131" i="13"/>
  <c r="F131" i="13"/>
  <c r="G131" i="13"/>
  <c r="H131" i="13"/>
  <c r="I131" i="13"/>
  <c r="J131" i="13"/>
  <c r="B132" i="13"/>
  <c r="E132" i="13"/>
  <c r="F132" i="13"/>
  <c r="G132" i="13"/>
  <c r="H132" i="13"/>
  <c r="I132" i="13"/>
  <c r="J132" i="13"/>
  <c r="B133" i="13"/>
  <c r="E133" i="13"/>
  <c r="F133" i="13"/>
  <c r="G133" i="13"/>
  <c r="H133" i="13"/>
  <c r="I133" i="13"/>
  <c r="J133" i="13"/>
  <c r="B134" i="13"/>
  <c r="E134" i="13"/>
  <c r="F134" i="13"/>
  <c r="G134" i="13"/>
  <c r="H134" i="13"/>
  <c r="I134" i="13"/>
  <c r="J134" i="13"/>
  <c r="B135" i="13"/>
  <c r="E135" i="13"/>
  <c r="F135" i="13"/>
  <c r="G135" i="13"/>
  <c r="H135" i="13"/>
  <c r="I135" i="13"/>
  <c r="J135" i="13"/>
  <c r="B136" i="13"/>
  <c r="E136" i="13"/>
  <c r="F136" i="13"/>
  <c r="G136" i="13"/>
  <c r="H136" i="13"/>
  <c r="I136" i="13"/>
  <c r="J136" i="13"/>
  <c r="B137" i="13"/>
  <c r="E137" i="13"/>
  <c r="F137" i="13"/>
  <c r="G137" i="13"/>
  <c r="H137" i="13"/>
  <c r="I137" i="13"/>
  <c r="J137" i="13"/>
  <c r="B138" i="13"/>
  <c r="E138" i="13"/>
  <c r="F138" i="13"/>
  <c r="G138" i="13"/>
  <c r="H138" i="13"/>
  <c r="I138" i="13"/>
  <c r="J138" i="13"/>
  <c r="B139" i="13"/>
  <c r="E139" i="13"/>
  <c r="F139" i="13"/>
  <c r="G139" i="13"/>
  <c r="H139" i="13"/>
  <c r="I139" i="13"/>
  <c r="J139" i="13"/>
  <c r="B140" i="13"/>
  <c r="E140" i="13"/>
  <c r="F140" i="13"/>
  <c r="G140" i="13"/>
  <c r="H140" i="13"/>
  <c r="I140" i="13"/>
  <c r="J140" i="13"/>
  <c r="B141" i="13"/>
  <c r="E141" i="13"/>
  <c r="F141" i="13"/>
  <c r="G141" i="13"/>
  <c r="H141" i="13"/>
  <c r="I141" i="13"/>
  <c r="J141" i="13"/>
  <c r="B142" i="13"/>
  <c r="E142" i="13"/>
  <c r="F142" i="13"/>
  <c r="G142" i="13"/>
  <c r="H142" i="13"/>
  <c r="I142" i="13"/>
  <c r="J142" i="13"/>
  <c r="B143" i="13"/>
  <c r="E143" i="13"/>
  <c r="F143" i="13"/>
  <c r="G143" i="13"/>
  <c r="H143" i="13"/>
  <c r="I143" i="13"/>
  <c r="J143" i="13"/>
  <c r="B144" i="13"/>
  <c r="E144" i="13"/>
  <c r="F144" i="13"/>
  <c r="G144" i="13"/>
  <c r="H144" i="13"/>
  <c r="I144" i="13"/>
  <c r="J144" i="13"/>
  <c r="B145" i="13"/>
  <c r="E145" i="13"/>
  <c r="F145" i="13"/>
  <c r="G145" i="13"/>
  <c r="H145" i="13"/>
  <c r="I145" i="13"/>
  <c r="J145" i="13"/>
  <c r="B146" i="13"/>
  <c r="E146" i="13"/>
  <c r="F146" i="13"/>
  <c r="G146" i="13"/>
  <c r="H146" i="13"/>
  <c r="I146" i="13"/>
  <c r="J146" i="13"/>
  <c r="B147" i="13"/>
  <c r="E147" i="13"/>
  <c r="F147" i="13"/>
  <c r="G147" i="13"/>
  <c r="H147" i="13"/>
  <c r="I147" i="13"/>
  <c r="J147" i="13"/>
  <c r="B148" i="13"/>
  <c r="E148" i="13"/>
  <c r="F148" i="13"/>
  <c r="G148" i="13"/>
  <c r="H148" i="13"/>
  <c r="I148" i="13"/>
  <c r="J148" i="13"/>
  <c r="B149" i="13"/>
  <c r="E149" i="13"/>
  <c r="F149" i="13"/>
  <c r="G149" i="13"/>
  <c r="H149" i="13"/>
  <c r="I149" i="13"/>
  <c r="J149" i="13"/>
  <c r="B150" i="13"/>
  <c r="E150" i="13"/>
  <c r="F150" i="13"/>
  <c r="G150" i="13"/>
  <c r="H150" i="13"/>
  <c r="I150" i="13"/>
  <c r="J150" i="13"/>
  <c r="B151" i="13"/>
  <c r="E151" i="13"/>
  <c r="F151" i="13"/>
  <c r="G151" i="13"/>
  <c r="H151" i="13"/>
  <c r="I151" i="13"/>
  <c r="J151" i="13"/>
  <c r="B152" i="13"/>
  <c r="E152" i="13"/>
  <c r="F152" i="13"/>
  <c r="G152" i="13"/>
  <c r="H152" i="13"/>
  <c r="I152" i="13"/>
  <c r="J152" i="13"/>
  <c r="B153" i="13"/>
  <c r="E153" i="13"/>
  <c r="F153" i="13"/>
  <c r="G153" i="13"/>
  <c r="H153" i="13"/>
  <c r="I153" i="13"/>
  <c r="J153" i="13"/>
  <c r="B154" i="13"/>
  <c r="E154" i="13"/>
  <c r="F154" i="13"/>
  <c r="G154" i="13"/>
  <c r="H154" i="13"/>
  <c r="I154" i="13"/>
  <c r="J154" i="13"/>
  <c r="B155" i="13"/>
  <c r="E155" i="13"/>
  <c r="F155" i="13"/>
  <c r="G155" i="13"/>
  <c r="H155" i="13"/>
  <c r="I155" i="13"/>
  <c r="J155" i="13"/>
  <c r="B156" i="13"/>
  <c r="E156" i="13"/>
  <c r="F156" i="13"/>
  <c r="G156" i="13"/>
  <c r="H156" i="13"/>
  <c r="I156" i="13"/>
  <c r="J156" i="13"/>
  <c r="B157" i="13"/>
  <c r="E157" i="13"/>
  <c r="F157" i="13"/>
  <c r="G157" i="13"/>
  <c r="H157" i="13"/>
  <c r="I157" i="13"/>
  <c r="J157" i="13"/>
  <c r="B158" i="13"/>
  <c r="E158" i="13"/>
  <c r="F158" i="13"/>
  <c r="G158" i="13"/>
  <c r="H158" i="13"/>
  <c r="I158" i="13"/>
  <c r="J158" i="13"/>
  <c r="B159" i="13"/>
  <c r="E159" i="13"/>
  <c r="F159" i="13"/>
  <c r="G159" i="13"/>
  <c r="H159" i="13"/>
  <c r="I159" i="13"/>
  <c r="J159" i="13"/>
  <c r="B160" i="13"/>
  <c r="E160" i="13"/>
  <c r="F160" i="13"/>
  <c r="G160" i="13"/>
  <c r="H160" i="13"/>
  <c r="I160" i="13"/>
  <c r="J160" i="13"/>
  <c r="B161" i="13"/>
  <c r="E161" i="13"/>
  <c r="F161" i="13"/>
  <c r="G161" i="13"/>
  <c r="H161" i="13"/>
  <c r="I161" i="13"/>
  <c r="J161" i="13"/>
  <c r="B162" i="13"/>
  <c r="E162" i="13"/>
  <c r="F162" i="13"/>
  <c r="G162" i="13"/>
  <c r="H162" i="13"/>
  <c r="I162" i="13"/>
  <c r="J162" i="13"/>
  <c r="B163" i="13"/>
  <c r="E163" i="13"/>
  <c r="F163" i="13"/>
  <c r="G163" i="13"/>
  <c r="H163" i="13"/>
  <c r="I163" i="13"/>
  <c r="J163" i="13"/>
  <c r="B164" i="13"/>
  <c r="E164" i="13"/>
  <c r="F164" i="13"/>
  <c r="G164" i="13"/>
  <c r="H164" i="13"/>
  <c r="I164" i="13"/>
  <c r="J164" i="13"/>
  <c r="B165" i="13"/>
  <c r="E165" i="13"/>
  <c r="F165" i="13"/>
  <c r="G165" i="13"/>
  <c r="H165" i="13"/>
  <c r="I165" i="13"/>
  <c r="J165" i="13"/>
  <c r="B166" i="13"/>
  <c r="E166" i="13"/>
  <c r="F166" i="13"/>
  <c r="G166" i="13"/>
  <c r="H166" i="13"/>
  <c r="I166" i="13"/>
  <c r="J166" i="13"/>
  <c r="B167" i="13"/>
  <c r="E167" i="13"/>
  <c r="F167" i="13"/>
  <c r="G167" i="13"/>
  <c r="H167" i="13"/>
  <c r="I167" i="13"/>
  <c r="J167" i="13"/>
  <c r="B168" i="13"/>
  <c r="E168" i="13"/>
  <c r="F168" i="13"/>
  <c r="G168" i="13"/>
  <c r="H168" i="13"/>
  <c r="I168" i="13"/>
  <c r="J168" i="13"/>
  <c r="B169" i="13"/>
  <c r="E169" i="13"/>
  <c r="F169" i="13"/>
  <c r="G169" i="13"/>
  <c r="H169" i="13"/>
  <c r="I169" i="13"/>
  <c r="J169" i="13"/>
  <c r="B170" i="13"/>
  <c r="E170" i="13"/>
  <c r="F170" i="13"/>
  <c r="G170" i="13"/>
  <c r="H170" i="13"/>
  <c r="I170" i="13"/>
  <c r="J170" i="13"/>
  <c r="B171" i="13"/>
  <c r="E171" i="13"/>
  <c r="F171" i="13"/>
  <c r="G171" i="13"/>
  <c r="H171" i="13"/>
  <c r="I171" i="13"/>
  <c r="J171" i="13"/>
  <c r="B172" i="13"/>
  <c r="E172" i="13"/>
  <c r="F172" i="13"/>
  <c r="G172" i="13"/>
  <c r="H172" i="13"/>
  <c r="I172" i="13"/>
  <c r="J172" i="13"/>
  <c r="B173" i="13"/>
  <c r="E173" i="13"/>
  <c r="F173" i="13"/>
  <c r="G173" i="13"/>
  <c r="H173" i="13"/>
  <c r="I173" i="13"/>
  <c r="J173" i="13"/>
  <c r="B174" i="13"/>
  <c r="E174" i="13"/>
  <c r="F174" i="13"/>
  <c r="G174" i="13"/>
  <c r="H174" i="13"/>
  <c r="I174" i="13"/>
  <c r="J174" i="13"/>
  <c r="B175" i="13"/>
  <c r="E175" i="13"/>
  <c r="F175" i="13"/>
  <c r="G175" i="13"/>
  <c r="H175" i="13"/>
  <c r="I175" i="13"/>
  <c r="J175" i="13"/>
  <c r="B176" i="13"/>
  <c r="E176" i="13"/>
  <c r="F176" i="13"/>
  <c r="G176" i="13"/>
  <c r="H176" i="13"/>
  <c r="I176" i="13"/>
  <c r="J176" i="13"/>
  <c r="B177" i="13"/>
  <c r="E177" i="13"/>
  <c r="F177" i="13"/>
  <c r="G177" i="13"/>
  <c r="H177" i="13"/>
  <c r="I177" i="13"/>
  <c r="J177" i="13"/>
  <c r="B178" i="13"/>
  <c r="E178" i="13"/>
  <c r="F178" i="13"/>
  <c r="G178" i="13"/>
  <c r="H178" i="13"/>
  <c r="I178" i="13"/>
  <c r="J178" i="13"/>
  <c r="B179" i="13"/>
  <c r="E179" i="13"/>
  <c r="F179" i="13"/>
  <c r="G179" i="13"/>
  <c r="H179" i="13"/>
  <c r="I179" i="13"/>
  <c r="J179" i="13"/>
  <c r="B180" i="13"/>
  <c r="E180" i="13"/>
  <c r="F180" i="13"/>
  <c r="G180" i="13"/>
  <c r="H180" i="13"/>
  <c r="I180" i="13"/>
  <c r="J180" i="13"/>
  <c r="B181" i="13"/>
  <c r="E181" i="13"/>
  <c r="F181" i="13"/>
  <c r="G181" i="13"/>
  <c r="H181" i="13"/>
  <c r="I181" i="13"/>
  <c r="J181" i="13"/>
  <c r="B182" i="13"/>
  <c r="E182" i="13"/>
  <c r="F182" i="13"/>
  <c r="G182" i="13"/>
  <c r="H182" i="13"/>
  <c r="I182" i="13"/>
  <c r="J182" i="13"/>
  <c r="B183" i="13"/>
  <c r="E183" i="13"/>
  <c r="F183" i="13"/>
  <c r="G183" i="13"/>
  <c r="H183" i="13"/>
  <c r="I183" i="13"/>
  <c r="J183" i="13"/>
  <c r="B184" i="13"/>
  <c r="E184" i="13"/>
  <c r="F184" i="13"/>
  <c r="G184" i="13"/>
  <c r="H184" i="13"/>
  <c r="I184" i="13"/>
  <c r="J184" i="13"/>
  <c r="B185" i="13"/>
  <c r="E185" i="13"/>
  <c r="F185" i="13"/>
  <c r="G185" i="13"/>
  <c r="H185" i="13"/>
  <c r="I185" i="13"/>
  <c r="J185" i="13"/>
  <c r="B186" i="13"/>
  <c r="E186" i="13"/>
  <c r="F186" i="13"/>
  <c r="G186" i="13"/>
  <c r="H186" i="13"/>
  <c r="I186" i="13"/>
  <c r="J186" i="13"/>
  <c r="B187" i="13"/>
  <c r="E187" i="13"/>
  <c r="F187" i="13"/>
  <c r="G187" i="13"/>
  <c r="H187" i="13"/>
  <c r="I187" i="13"/>
  <c r="J187" i="13"/>
  <c r="B188" i="13"/>
  <c r="E188" i="13"/>
  <c r="F188" i="13"/>
  <c r="G188" i="13"/>
  <c r="H188" i="13"/>
  <c r="I188" i="13"/>
  <c r="J188" i="13"/>
  <c r="B189" i="13"/>
  <c r="E189" i="13"/>
  <c r="F189" i="13"/>
  <c r="G189" i="13"/>
  <c r="H189" i="13"/>
  <c r="I189" i="13"/>
  <c r="J189" i="13"/>
  <c r="B190" i="13"/>
  <c r="E190" i="13"/>
  <c r="F190" i="13"/>
  <c r="G190" i="13"/>
  <c r="H190" i="13"/>
  <c r="I190" i="13"/>
  <c r="J190" i="13"/>
  <c r="B191" i="13"/>
  <c r="E191" i="13"/>
  <c r="F191" i="13"/>
  <c r="G191" i="13"/>
  <c r="H191" i="13"/>
  <c r="I191" i="13"/>
  <c r="J191" i="13"/>
  <c r="B192" i="13"/>
  <c r="E192" i="13"/>
  <c r="F192" i="13"/>
  <c r="G192" i="13"/>
  <c r="H192" i="13"/>
  <c r="I192" i="13"/>
  <c r="J192" i="13"/>
  <c r="B193" i="13"/>
  <c r="E193" i="13"/>
  <c r="F193" i="13"/>
  <c r="G193" i="13"/>
  <c r="H193" i="13"/>
  <c r="I193" i="13"/>
  <c r="J193" i="13"/>
  <c r="B194" i="13"/>
  <c r="E194" i="13"/>
  <c r="F194" i="13"/>
  <c r="G194" i="13"/>
  <c r="H194" i="13"/>
  <c r="I194" i="13"/>
  <c r="J194" i="13"/>
  <c r="B195" i="13"/>
  <c r="E195" i="13"/>
  <c r="F195" i="13"/>
  <c r="G195" i="13"/>
  <c r="H195" i="13"/>
  <c r="I195" i="13"/>
  <c r="J195" i="13"/>
  <c r="B196" i="13"/>
  <c r="E196" i="13"/>
  <c r="F196" i="13"/>
  <c r="G196" i="13"/>
  <c r="H196" i="13"/>
  <c r="I196" i="13"/>
  <c r="J196" i="13"/>
  <c r="B197" i="13"/>
  <c r="E197" i="13"/>
  <c r="F197" i="13"/>
  <c r="G197" i="13"/>
  <c r="H197" i="13"/>
  <c r="I197" i="13"/>
  <c r="J197" i="13"/>
  <c r="B198" i="13"/>
  <c r="E198" i="13"/>
  <c r="F198" i="13"/>
  <c r="G198" i="13"/>
  <c r="H198" i="13"/>
  <c r="I198" i="13"/>
  <c r="J198" i="13"/>
  <c r="B199" i="13"/>
  <c r="E199" i="13"/>
  <c r="F199" i="13"/>
  <c r="G199" i="13"/>
  <c r="H199" i="13"/>
  <c r="I199" i="13"/>
  <c r="J199" i="13"/>
  <c r="B200" i="13"/>
  <c r="E200" i="13"/>
  <c r="F200" i="13"/>
  <c r="G200" i="13"/>
  <c r="H200" i="13"/>
  <c r="I200" i="13"/>
  <c r="J200" i="13"/>
  <c r="B201" i="13"/>
  <c r="E201" i="13"/>
  <c r="F201" i="13"/>
  <c r="G201" i="13"/>
  <c r="H201" i="13"/>
  <c r="I201" i="13"/>
  <c r="J201" i="13"/>
  <c r="B202" i="13"/>
  <c r="E202" i="13"/>
  <c r="F202" i="13"/>
  <c r="G202" i="13"/>
  <c r="H202" i="13"/>
  <c r="I202" i="13"/>
  <c r="J202" i="13"/>
  <c r="B203" i="13"/>
  <c r="E203" i="13"/>
  <c r="F203" i="13"/>
  <c r="G203" i="13"/>
  <c r="H203" i="13"/>
  <c r="I203" i="13"/>
  <c r="J203" i="13"/>
  <c r="B204" i="13"/>
  <c r="E204" i="13"/>
  <c r="F204" i="13"/>
  <c r="G204" i="13"/>
  <c r="H204" i="13"/>
  <c r="I204" i="13"/>
  <c r="J204" i="13"/>
  <c r="B205" i="13"/>
  <c r="E205" i="13"/>
  <c r="F205" i="13"/>
  <c r="G205" i="13"/>
  <c r="H205" i="13"/>
  <c r="I205" i="13"/>
  <c r="J205" i="13"/>
  <c r="B206" i="13"/>
  <c r="E206" i="13"/>
  <c r="F206" i="13"/>
  <c r="G206" i="13"/>
  <c r="H206" i="13"/>
  <c r="I206" i="13"/>
  <c r="J206" i="13"/>
  <c r="B207" i="13"/>
  <c r="E207" i="13"/>
  <c r="F207" i="13"/>
  <c r="G207" i="13"/>
  <c r="H207" i="13"/>
  <c r="I207" i="13"/>
  <c r="J207" i="13"/>
  <c r="B208" i="13"/>
  <c r="E208" i="13"/>
  <c r="F208" i="13"/>
  <c r="G208" i="13"/>
  <c r="H208" i="13"/>
  <c r="I208" i="13"/>
  <c r="J208" i="13"/>
  <c r="B209" i="13"/>
  <c r="E209" i="13"/>
  <c r="F209" i="13"/>
  <c r="G209" i="13"/>
  <c r="H209" i="13"/>
  <c r="I209" i="13"/>
  <c r="J209" i="13"/>
  <c r="B210" i="13"/>
  <c r="E210" i="13"/>
  <c r="F210" i="13"/>
  <c r="G210" i="13"/>
  <c r="H210" i="13"/>
  <c r="I210" i="13"/>
  <c r="J210" i="13"/>
  <c r="B211" i="13"/>
  <c r="E211" i="13"/>
  <c r="F211" i="13"/>
  <c r="G211" i="13"/>
  <c r="H211" i="13"/>
  <c r="I211" i="13"/>
  <c r="J211" i="13"/>
  <c r="B212" i="13"/>
  <c r="E212" i="13"/>
  <c r="F212" i="13"/>
  <c r="G212" i="13"/>
  <c r="H212" i="13"/>
  <c r="I212" i="13"/>
  <c r="J212" i="13"/>
  <c r="B213" i="13"/>
  <c r="E213" i="13"/>
  <c r="F213" i="13"/>
  <c r="G213" i="13"/>
  <c r="H213" i="13"/>
  <c r="I213" i="13"/>
  <c r="J213" i="13"/>
  <c r="B214" i="13"/>
  <c r="E214" i="13"/>
  <c r="F214" i="13"/>
  <c r="G214" i="13"/>
  <c r="H214" i="13"/>
  <c r="I214" i="13"/>
  <c r="J214" i="13"/>
  <c r="B215" i="13"/>
  <c r="E215" i="13"/>
  <c r="F215" i="13"/>
  <c r="G215" i="13"/>
  <c r="H215" i="13"/>
  <c r="I215" i="13"/>
  <c r="J215" i="13"/>
  <c r="B216" i="13"/>
  <c r="E216" i="13"/>
  <c r="F216" i="13"/>
  <c r="G216" i="13"/>
  <c r="H216" i="13"/>
  <c r="I216" i="13"/>
  <c r="J216" i="13"/>
  <c r="B217" i="13"/>
  <c r="E217" i="13"/>
  <c r="F217" i="13"/>
  <c r="G217" i="13"/>
  <c r="H217" i="13"/>
  <c r="I217" i="13"/>
  <c r="J217" i="13"/>
  <c r="B218" i="13"/>
  <c r="E218" i="13"/>
  <c r="F218" i="13"/>
  <c r="G218" i="13"/>
  <c r="H218" i="13"/>
  <c r="I218" i="13"/>
  <c r="J218" i="13"/>
  <c r="B219" i="13"/>
  <c r="E219" i="13"/>
  <c r="F219" i="13"/>
  <c r="G219" i="13"/>
  <c r="H219" i="13"/>
  <c r="I219" i="13"/>
  <c r="J219" i="13"/>
  <c r="B220" i="13"/>
  <c r="E220" i="13"/>
  <c r="F220" i="13"/>
  <c r="G220" i="13"/>
  <c r="H220" i="13"/>
  <c r="I220" i="13"/>
  <c r="J220" i="13"/>
  <c r="B221" i="13"/>
  <c r="E221" i="13"/>
  <c r="F221" i="13"/>
  <c r="G221" i="13"/>
  <c r="H221" i="13"/>
  <c r="I221" i="13"/>
  <c r="J221" i="13"/>
  <c r="B222" i="13"/>
  <c r="E222" i="13"/>
  <c r="F222" i="13"/>
  <c r="G222" i="13"/>
  <c r="H222" i="13"/>
  <c r="I222" i="13"/>
  <c r="J222" i="13"/>
  <c r="B223" i="13"/>
  <c r="E223" i="13"/>
  <c r="F223" i="13"/>
  <c r="G223" i="13"/>
  <c r="H223" i="13"/>
  <c r="I223" i="13"/>
  <c r="J223" i="13"/>
  <c r="B224" i="13"/>
  <c r="E224" i="13"/>
  <c r="F224" i="13"/>
  <c r="G224" i="13"/>
  <c r="H224" i="13"/>
  <c r="I224" i="13"/>
  <c r="J224" i="13"/>
  <c r="B225" i="13"/>
  <c r="E225" i="13"/>
  <c r="F225" i="13"/>
  <c r="G225" i="13"/>
  <c r="H225" i="13"/>
  <c r="I225" i="13"/>
  <c r="J225" i="13"/>
  <c r="B226" i="13"/>
  <c r="E226" i="13"/>
  <c r="F226" i="13"/>
  <c r="G226" i="13"/>
  <c r="H226" i="13"/>
  <c r="I226" i="13"/>
  <c r="J226" i="13"/>
  <c r="B227" i="13"/>
  <c r="E227" i="13"/>
  <c r="F227" i="13"/>
  <c r="G227" i="13"/>
  <c r="H227" i="13"/>
  <c r="I227" i="13"/>
  <c r="J227" i="13"/>
  <c r="B228" i="13"/>
  <c r="E228" i="13"/>
  <c r="F228" i="13"/>
  <c r="G228" i="13"/>
  <c r="H228" i="13"/>
  <c r="I228" i="13"/>
  <c r="J228" i="13"/>
  <c r="B229" i="13"/>
  <c r="E229" i="13"/>
  <c r="F229" i="13"/>
  <c r="G229" i="13"/>
  <c r="H229" i="13"/>
  <c r="I229" i="13"/>
  <c r="J229" i="13"/>
  <c r="B230" i="13"/>
  <c r="E230" i="13"/>
  <c r="F230" i="13"/>
  <c r="G230" i="13"/>
  <c r="H230" i="13"/>
  <c r="I230" i="13"/>
  <c r="J230" i="13"/>
  <c r="B231" i="13"/>
  <c r="E231" i="13"/>
  <c r="F231" i="13"/>
  <c r="G231" i="13"/>
  <c r="H231" i="13"/>
  <c r="I231" i="13"/>
  <c r="J231" i="13"/>
  <c r="B232" i="13"/>
  <c r="E232" i="13"/>
  <c r="F232" i="13"/>
  <c r="G232" i="13"/>
  <c r="H232" i="13"/>
  <c r="I232" i="13"/>
  <c r="J232" i="13"/>
  <c r="B233" i="13"/>
  <c r="E233" i="13"/>
  <c r="F233" i="13"/>
  <c r="G233" i="13"/>
  <c r="H233" i="13"/>
  <c r="I233" i="13"/>
  <c r="J233" i="13"/>
  <c r="B234" i="13"/>
  <c r="E234" i="13"/>
  <c r="F234" i="13"/>
  <c r="G234" i="13"/>
  <c r="H234" i="13"/>
  <c r="I234" i="13"/>
  <c r="J234" i="13"/>
  <c r="B235" i="13"/>
  <c r="E235" i="13"/>
  <c r="F235" i="13"/>
  <c r="G235" i="13"/>
  <c r="H235" i="13"/>
  <c r="I235" i="13"/>
  <c r="J235" i="13"/>
  <c r="B236" i="13"/>
  <c r="E236" i="13"/>
  <c r="F236" i="13"/>
  <c r="G236" i="13"/>
  <c r="H236" i="13"/>
  <c r="I236" i="13"/>
  <c r="J236" i="13"/>
  <c r="B237" i="13"/>
  <c r="E237" i="13"/>
  <c r="F237" i="13"/>
  <c r="G237" i="13"/>
  <c r="H237" i="13"/>
  <c r="I237" i="13"/>
  <c r="J237" i="13"/>
  <c r="B238" i="13"/>
  <c r="E238" i="13"/>
  <c r="F238" i="13"/>
  <c r="G238" i="13"/>
  <c r="H238" i="13"/>
  <c r="I238" i="13"/>
  <c r="J238" i="13"/>
  <c r="B239" i="13"/>
  <c r="E239" i="13"/>
  <c r="F239" i="13"/>
  <c r="G239" i="13"/>
  <c r="H239" i="13"/>
  <c r="I239" i="13"/>
  <c r="J239" i="13"/>
  <c r="B240" i="13"/>
  <c r="E240" i="13"/>
  <c r="F240" i="13"/>
  <c r="G240" i="13"/>
  <c r="H240" i="13"/>
  <c r="I240" i="13"/>
  <c r="J240" i="13"/>
  <c r="B241" i="13"/>
  <c r="E241" i="13"/>
  <c r="F241" i="13"/>
  <c r="G241" i="13"/>
  <c r="H241" i="13"/>
  <c r="I241" i="13"/>
  <c r="J241" i="13"/>
  <c r="B242" i="13"/>
  <c r="E242" i="13"/>
  <c r="F242" i="13"/>
  <c r="G242" i="13"/>
  <c r="H242" i="13"/>
  <c r="I242" i="13"/>
  <c r="J242" i="13"/>
  <c r="B243" i="13"/>
  <c r="E243" i="13"/>
  <c r="F243" i="13"/>
  <c r="G243" i="13"/>
  <c r="H243" i="13"/>
  <c r="I243" i="13"/>
  <c r="J243" i="13"/>
  <c r="B244" i="13"/>
  <c r="E244" i="13"/>
  <c r="F244" i="13"/>
  <c r="G244" i="13"/>
  <c r="H244" i="13"/>
  <c r="I244" i="13"/>
  <c r="J244" i="13"/>
  <c r="B245" i="13"/>
  <c r="E245" i="13"/>
  <c r="F245" i="13"/>
  <c r="G245" i="13"/>
  <c r="H245" i="13"/>
  <c r="I245" i="13"/>
  <c r="J245" i="13"/>
  <c r="B246" i="13"/>
  <c r="E246" i="13"/>
  <c r="F246" i="13"/>
  <c r="G246" i="13"/>
  <c r="H246" i="13"/>
  <c r="I246" i="13"/>
  <c r="J246" i="13"/>
  <c r="B247" i="13"/>
  <c r="E247" i="13"/>
  <c r="F247" i="13"/>
  <c r="G247" i="13"/>
  <c r="H247" i="13"/>
  <c r="I247" i="13"/>
  <c r="J247" i="13"/>
  <c r="B248" i="13"/>
  <c r="E248" i="13"/>
  <c r="F248" i="13"/>
  <c r="G248" i="13"/>
  <c r="H248" i="13"/>
  <c r="I248" i="13"/>
  <c r="J248" i="13"/>
  <c r="B249" i="13"/>
  <c r="E249" i="13"/>
  <c r="F249" i="13"/>
  <c r="G249" i="13"/>
  <c r="H249" i="13"/>
  <c r="I249" i="13"/>
  <c r="J249" i="13"/>
  <c r="B250" i="13"/>
  <c r="E250" i="13"/>
  <c r="F250" i="13"/>
  <c r="G250" i="13"/>
  <c r="H250" i="13"/>
  <c r="I250" i="13"/>
  <c r="J250" i="13"/>
  <c r="B251" i="13"/>
  <c r="E251" i="13"/>
  <c r="F251" i="13"/>
  <c r="G251" i="13"/>
  <c r="H251" i="13"/>
  <c r="I251" i="13"/>
  <c r="J251" i="13"/>
  <c r="B252" i="13"/>
  <c r="E252" i="13"/>
  <c r="F252" i="13"/>
  <c r="G252" i="13"/>
  <c r="H252" i="13"/>
  <c r="I252" i="13"/>
  <c r="J252" i="13"/>
  <c r="B253" i="13"/>
  <c r="E253" i="13"/>
  <c r="F253" i="13"/>
  <c r="G253" i="13"/>
  <c r="H253" i="13"/>
  <c r="I253" i="13"/>
  <c r="J253" i="13"/>
  <c r="B254" i="13"/>
  <c r="E254" i="13"/>
  <c r="F254" i="13"/>
  <c r="G254" i="13"/>
  <c r="H254" i="13"/>
  <c r="I254" i="13"/>
  <c r="J254" i="13"/>
  <c r="B255" i="13"/>
  <c r="E255" i="13"/>
  <c r="F255" i="13"/>
  <c r="G255" i="13"/>
  <c r="H255" i="13"/>
  <c r="I255" i="13"/>
  <c r="J255" i="13"/>
  <c r="B256" i="13"/>
  <c r="E256" i="13"/>
  <c r="F256" i="13"/>
  <c r="G256" i="13"/>
  <c r="H256" i="13"/>
  <c r="I256" i="13"/>
  <c r="J256" i="13"/>
  <c r="B257" i="13"/>
  <c r="E257" i="13"/>
  <c r="F257" i="13"/>
  <c r="G257" i="13"/>
  <c r="H257" i="13"/>
  <c r="I257" i="13"/>
  <c r="J257" i="13"/>
  <c r="B258" i="13"/>
  <c r="E258" i="13"/>
  <c r="F258" i="13"/>
  <c r="G258" i="13"/>
  <c r="H258" i="13"/>
  <c r="I258" i="13"/>
  <c r="J258" i="13"/>
  <c r="B259" i="13"/>
  <c r="E259" i="13"/>
  <c r="F259" i="13"/>
  <c r="G259" i="13"/>
  <c r="H259" i="13"/>
  <c r="I259" i="13"/>
  <c r="J259" i="13"/>
  <c r="B260" i="13"/>
  <c r="E260" i="13"/>
  <c r="F260" i="13"/>
  <c r="G260" i="13"/>
  <c r="H260" i="13"/>
  <c r="I260" i="13"/>
  <c r="J260" i="13"/>
  <c r="B261" i="13"/>
  <c r="E261" i="13"/>
  <c r="F261" i="13"/>
  <c r="G261" i="13"/>
  <c r="H261" i="13"/>
  <c r="I261" i="13"/>
  <c r="J261" i="13"/>
  <c r="B262" i="13"/>
  <c r="E262" i="13"/>
  <c r="F262" i="13"/>
  <c r="G262" i="13"/>
  <c r="H262" i="13"/>
  <c r="I262" i="13"/>
  <c r="J262" i="13"/>
  <c r="B263" i="13"/>
  <c r="E263" i="13"/>
  <c r="F263" i="13"/>
  <c r="G263" i="13"/>
  <c r="H263" i="13"/>
  <c r="I263" i="13"/>
  <c r="J263" i="13"/>
  <c r="B264" i="13"/>
  <c r="E264" i="13"/>
  <c r="F264" i="13"/>
  <c r="G264" i="13"/>
  <c r="H264" i="13"/>
  <c r="I264" i="13"/>
  <c r="J264" i="13"/>
  <c r="B265" i="13"/>
  <c r="E265" i="13"/>
  <c r="F265" i="13"/>
  <c r="G265" i="13"/>
  <c r="H265" i="13"/>
  <c r="I265" i="13"/>
  <c r="J265" i="13"/>
  <c r="B266" i="13"/>
  <c r="E266" i="13"/>
  <c r="F266" i="13"/>
  <c r="G266" i="13"/>
  <c r="H266" i="13"/>
  <c r="I266" i="13"/>
  <c r="J266" i="13"/>
  <c r="B267" i="13"/>
  <c r="E267" i="13"/>
  <c r="F267" i="13"/>
  <c r="G267" i="13"/>
  <c r="H267" i="13"/>
  <c r="I267" i="13"/>
  <c r="J267" i="13"/>
  <c r="B268" i="13"/>
  <c r="E268" i="13"/>
  <c r="F268" i="13"/>
  <c r="G268" i="13"/>
  <c r="H268" i="13"/>
  <c r="I268" i="13"/>
  <c r="J268" i="13"/>
  <c r="B269" i="13"/>
  <c r="E269" i="13"/>
  <c r="F269" i="13"/>
  <c r="G269" i="13"/>
  <c r="H269" i="13"/>
  <c r="I269" i="13"/>
  <c r="J269" i="13"/>
  <c r="B270" i="13"/>
  <c r="E270" i="13"/>
  <c r="F270" i="13"/>
  <c r="G270" i="13"/>
  <c r="H270" i="13"/>
  <c r="I270" i="13"/>
  <c r="J270" i="13"/>
  <c r="B271" i="13"/>
  <c r="E271" i="13"/>
  <c r="F271" i="13"/>
  <c r="G271" i="13"/>
  <c r="H271" i="13"/>
  <c r="I271" i="13"/>
  <c r="J271" i="13"/>
  <c r="B272" i="13"/>
  <c r="E272" i="13"/>
  <c r="F272" i="13"/>
  <c r="G272" i="13"/>
  <c r="H272" i="13"/>
  <c r="I272" i="13"/>
  <c r="J272" i="13"/>
  <c r="B273" i="13"/>
  <c r="E273" i="13"/>
  <c r="F273" i="13"/>
  <c r="G273" i="13"/>
  <c r="H273" i="13"/>
  <c r="I273" i="13"/>
  <c r="J273" i="13"/>
  <c r="B274" i="13"/>
  <c r="E274" i="13"/>
  <c r="F274" i="13"/>
  <c r="G274" i="13"/>
  <c r="H274" i="13"/>
  <c r="I274" i="13"/>
  <c r="J274" i="13"/>
  <c r="B275" i="13"/>
  <c r="E275" i="13"/>
  <c r="F275" i="13"/>
  <c r="G275" i="13"/>
  <c r="H275" i="13"/>
  <c r="I275" i="13"/>
  <c r="J275" i="13"/>
  <c r="B276" i="13"/>
  <c r="E276" i="13"/>
  <c r="F276" i="13"/>
  <c r="G276" i="13"/>
  <c r="H276" i="13"/>
  <c r="I276" i="13"/>
  <c r="J276" i="13"/>
  <c r="B277" i="13"/>
  <c r="E277" i="13"/>
  <c r="F277" i="13"/>
  <c r="G277" i="13"/>
  <c r="H277" i="13"/>
  <c r="I277" i="13"/>
  <c r="J277" i="13"/>
  <c r="B278" i="13"/>
  <c r="E278" i="13"/>
  <c r="F278" i="13"/>
  <c r="G278" i="13"/>
  <c r="H278" i="13"/>
  <c r="I278" i="13"/>
  <c r="J278" i="13"/>
  <c r="B279" i="13"/>
  <c r="E279" i="13"/>
  <c r="F279" i="13"/>
  <c r="G279" i="13"/>
  <c r="H279" i="13"/>
  <c r="I279" i="13"/>
  <c r="J279" i="13"/>
  <c r="B280" i="13"/>
  <c r="E280" i="13"/>
  <c r="F280" i="13"/>
  <c r="G280" i="13"/>
  <c r="H280" i="13"/>
  <c r="I280" i="13"/>
  <c r="J280" i="13"/>
  <c r="B281" i="13"/>
  <c r="E281" i="13"/>
  <c r="F281" i="13"/>
  <c r="G281" i="13"/>
  <c r="H281" i="13"/>
  <c r="I281" i="13"/>
  <c r="J281" i="13"/>
  <c r="B282" i="13"/>
  <c r="E282" i="13"/>
  <c r="F282" i="13"/>
  <c r="G282" i="13"/>
  <c r="H282" i="13"/>
  <c r="I282" i="13"/>
  <c r="J282" i="13"/>
  <c r="B283" i="13"/>
  <c r="E283" i="13"/>
  <c r="F283" i="13"/>
  <c r="G283" i="13"/>
  <c r="H283" i="13"/>
  <c r="I283" i="13"/>
  <c r="J283" i="13"/>
  <c r="B284" i="13"/>
  <c r="E284" i="13"/>
  <c r="F284" i="13"/>
  <c r="G284" i="13"/>
  <c r="H284" i="13"/>
  <c r="I284" i="13"/>
  <c r="J284" i="13"/>
  <c r="B285" i="13"/>
  <c r="E285" i="13"/>
  <c r="F285" i="13"/>
  <c r="G285" i="13"/>
  <c r="H285" i="13"/>
  <c r="I285" i="13"/>
  <c r="J285" i="13"/>
  <c r="B286" i="13"/>
  <c r="E286" i="13"/>
  <c r="F286" i="13"/>
  <c r="G286" i="13"/>
  <c r="H286" i="13"/>
  <c r="I286" i="13"/>
  <c r="J286" i="13"/>
  <c r="B287" i="13"/>
  <c r="E287" i="13"/>
  <c r="F287" i="13"/>
  <c r="G287" i="13"/>
  <c r="H287" i="13"/>
  <c r="I287" i="13"/>
  <c r="J287" i="13"/>
  <c r="B288" i="13"/>
  <c r="E288" i="13"/>
  <c r="F288" i="13"/>
  <c r="G288" i="13"/>
  <c r="H288" i="13"/>
  <c r="I288" i="13"/>
  <c r="J288" i="13"/>
  <c r="B289" i="13"/>
  <c r="E289" i="13"/>
  <c r="F289" i="13"/>
  <c r="G289" i="13"/>
  <c r="H289" i="13"/>
  <c r="I289" i="13"/>
  <c r="J289" i="13"/>
  <c r="B290" i="13"/>
  <c r="E290" i="13"/>
  <c r="F290" i="13"/>
  <c r="G290" i="13"/>
  <c r="H290" i="13"/>
  <c r="I290" i="13"/>
  <c r="J290" i="13"/>
  <c r="B291" i="13"/>
  <c r="E291" i="13"/>
  <c r="F291" i="13"/>
  <c r="G291" i="13"/>
  <c r="H291" i="13"/>
  <c r="I291" i="13"/>
  <c r="J291" i="13"/>
  <c r="B292" i="13"/>
  <c r="E292" i="13"/>
  <c r="F292" i="13"/>
  <c r="G292" i="13"/>
  <c r="H292" i="13"/>
  <c r="I292" i="13"/>
  <c r="J292" i="13"/>
  <c r="B293" i="13"/>
  <c r="E293" i="13"/>
  <c r="F293" i="13"/>
  <c r="G293" i="13"/>
  <c r="H293" i="13"/>
  <c r="I293" i="13"/>
  <c r="J293" i="13"/>
  <c r="B294" i="13"/>
  <c r="E294" i="13"/>
  <c r="F294" i="13"/>
  <c r="G294" i="13"/>
  <c r="H294" i="13"/>
  <c r="I294" i="13"/>
  <c r="J294" i="13"/>
  <c r="B295" i="13"/>
  <c r="E295" i="13"/>
  <c r="F295" i="13"/>
  <c r="G295" i="13"/>
  <c r="H295" i="13"/>
  <c r="I295" i="13"/>
  <c r="J295" i="13"/>
  <c r="B296" i="13"/>
  <c r="E296" i="13"/>
  <c r="F296" i="13"/>
  <c r="G296" i="13"/>
  <c r="H296" i="13"/>
  <c r="I296" i="13"/>
  <c r="J296" i="13"/>
  <c r="B297" i="13"/>
  <c r="E297" i="13"/>
  <c r="F297" i="13"/>
  <c r="G297" i="13"/>
  <c r="H297" i="13"/>
  <c r="I297" i="13"/>
  <c r="J297" i="13"/>
  <c r="B298" i="13"/>
  <c r="E298" i="13"/>
  <c r="F298" i="13"/>
  <c r="G298" i="13"/>
  <c r="H298" i="13"/>
  <c r="I298" i="13"/>
  <c r="J298" i="13"/>
  <c r="B299" i="13"/>
  <c r="E299" i="13"/>
  <c r="F299" i="13"/>
  <c r="G299" i="13"/>
  <c r="H299" i="13"/>
  <c r="I299" i="13"/>
  <c r="J299" i="13"/>
  <c r="B300" i="13"/>
  <c r="E300" i="13"/>
  <c r="F300" i="13"/>
  <c r="G300" i="13"/>
  <c r="H300" i="13"/>
  <c r="I300" i="13"/>
  <c r="J300" i="13"/>
  <c r="B301" i="13"/>
  <c r="E301" i="13"/>
  <c r="F301" i="13"/>
  <c r="G301" i="13"/>
  <c r="H301" i="13"/>
  <c r="I301" i="13"/>
  <c r="J301" i="13"/>
  <c r="B302" i="13"/>
  <c r="E302" i="13"/>
  <c r="F302" i="13"/>
  <c r="G302" i="13"/>
  <c r="H302" i="13"/>
  <c r="I302" i="13"/>
  <c r="J302" i="13"/>
  <c r="B303" i="13"/>
  <c r="E303" i="13"/>
  <c r="F303" i="13"/>
  <c r="G303" i="13"/>
  <c r="H303" i="13"/>
  <c r="I303" i="13"/>
  <c r="J303" i="13"/>
  <c r="B304" i="13"/>
  <c r="E304" i="13"/>
  <c r="F304" i="13"/>
  <c r="G304" i="13"/>
  <c r="H304" i="13"/>
  <c r="I304" i="13"/>
  <c r="J304" i="13"/>
  <c r="B305" i="13"/>
  <c r="E305" i="13"/>
  <c r="F305" i="13"/>
  <c r="G305" i="13"/>
  <c r="H305" i="13"/>
  <c r="I305" i="13"/>
  <c r="J305" i="13"/>
  <c r="B306" i="13"/>
  <c r="E306" i="13"/>
  <c r="F306" i="13"/>
  <c r="G306" i="13"/>
  <c r="H306" i="13"/>
  <c r="I306" i="13"/>
  <c r="J306" i="13"/>
  <c r="B307" i="13"/>
  <c r="E307" i="13"/>
  <c r="F307" i="13"/>
  <c r="G307" i="13"/>
  <c r="H307" i="13"/>
  <c r="I307" i="13"/>
  <c r="J307" i="13"/>
  <c r="B308" i="13"/>
  <c r="E308" i="13"/>
  <c r="F308" i="13"/>
  <c r="G308" i="13"/>
  <c r="H308" i="13"/>
  <c r="I308" i="13"/>
  <c r="J308" i="13"/>
  <c r="B309" i="13"/>
  <c r="E309" i="13"/>
  <c r="F309" i="13"/>
  <c r="G309" i="13"/>
  <c r="H309" i="13"/>
  <c r="I309" i="13"/>
  <c r="J309" i="13"/>
  <c r="B310" i="13"/>
  <c r="E310" i="13"/>
  <c r="F310" i="13"/>
  <c r="G310" i="13"/>
  <c r="H310" i="13"/>
  <c r="I310" i="13"/>
  <c r="J310" i="13"/>
  <c r="B311" i="13"/>
  <c r="E311" i="13"/>
  <c r="F311" i="13"/>
  <c r="G311" i="13"/>
  <c r="H311" i="13"/>
  <c r="I311" i="13"/>
  <c r="J311" i="13"/>
  <c r="B312" i="13"/>
  <c r="E312" i="13"/>
  <c r="F312" i="13"/>
  <c r="G312" i="13"/>
  <c r="H312" i="13"/>
  <c r="I312" i="13"/>
  <c r="J312" i="13"/>
  <c r="B313" i="13"/>
  <c r="E313" i="13"/>
  <c r="F313" i="13"/>
  <c r="G313" i="13"/>
  <c r="H313" i="13"/>
  <c r="I313" i="13"/>
  <c r="J313" i="13"/>
  <c r="B314" i="13"/>
  <c r="E314" i="13"/>
  <c r="F314" i="13"/>
  <c r="G314" i="13"/>
  <c r="H314" i="13"/>
  <c r="I314" i="13"/>
  <c r="J314" i="13"/>
  <c r="B315" i="13"/>
  <c r="E315" i="13"/>
  <c r="F315" i="13"/>
  <c r="G315" i="13"/>
  <c r="H315" i="13"/>
  <c r="I315" i="13"/>
  <c r="J315" i="13"/>
  <c r="B316" i="13"/>
  <c r="E316" i="13"/>
  <c r="F316" i="13"/>
  <c r="G316" i="13"/>
  <c r="H316" i="13"/>
  <c r="I316" i="13"/>
  <c r="J316" i="13"/>
  <c r="B317" i="13"/>
  <c r="E317" i="13"/>
  <c r="F317" i="13"/>
  <c r="G317" i="13"/>
  <c r="H317" i="13"/>
  <c r="I317" i="13"/>
  <c r="J317" i="13"/>
  <c r="B318" i="13"/>
  <c r="E318" i="13"/>
  <c r="F318" i="13"/>
  <c r="G318" i="13"/>
  <c r="H318" i="13"/>
  <c r="I318" i="13"/>
  <c r="J318" i="13"/>
  <c r="B319" i="13"/>
  <c r="E319" i="13"/>
  <c r="F319" i="13"/>
  <c r="G319" i="13"/>
  <c r="H319" i="13"/>
  <c r="I319" i="13"/>
  <c r="J319" i="13"/>
  <c r="B320" i="13"/>
  <c r="E320" i="13"/>
  <c r="F320" i="13"/>
  <c r="G320" i="13"/>
  <c r="H320" i="13"/>
  <c r="I320" i="13"/>
  <c r="J320" i="13"/>
  <c r="B321" i="13"/>
  <c r="E321" i="13"/>
  <c r="F321" i="13"/>
  <c r="G321" i="13"/>
  <c r="H321" i="13"/>
  <c r="I321" i="13"/>
  <c r="J321" i="13"/>
  <c r="B322" i="13"/>
  <c r="E322" i="13"/>
  <c r="F322" i="13"/>
  <c r="G322" i="13"/>
  <c r="H322" i="13"/>
  <c r="I322" i="13"/>
  <c r="J322" i="13"/>
  <c r="B323" i="13"/>
  <c r="E323" i="13"/>
  <c r="F323" i="13"/>
  <c r="G323" i="13"/>
  <c r="H323" i="13"/>
  <c r="I323" i="13"/>
  <c r="J323" i="13"/>
  <c r="B324" i="13"/>
  <c r="E324" i="13"/>
  <c r="F324" i="13"/>
  <c r="G324" i="13"/>
  <c r="H324" i="13"/>
  <c r="I324" i="13"/>
  <c r="J324" i="13"/>
  <c r="B325" i="13"/>
  <c r="E325" i="13"/>
  <c r="F325" i="13"/>
  <c r="G325" i="13"/>
  <c r="H325" i="13"/>
  <c r="I325" i="13"/>
  <c r="J325" i="13"/>
  <c r="B326" i="13"/>
  <c r="E326" i="13"/>
  <c r="F326" i="13"/>
  <c r="G326" i="13"/>
  <c r="H326" i="13"/>
  <c r="I326" i="13"/>
  <c r="J326" i="13"/>
  <c r="B327" i="13"/>
  <c r="E327" i="13"/>
  <c r="F327" i="13"/>
  <c r="G327" i="13"/>
  <c r="H327" i="13"/>
  <c r="I327" i="13"/>
  <c r="J327" i="13"/>
  <c r="B328" i="13"/>
  <c r="E328" i="13"/>
  <c r="F328" i="13"/>
  <c r="G328" i="13"/>
  <c r="H328" i="13"/>
  <c r="I328" i="13"/>
  <c r="J328" i="13"/>
  <c r="B329" i="13"/>
  <c r="E329" i="13"/>
  <c r="F329" i="13"/>
  <c r="G329" i="13"/>
  <c r="H329" i="13"/>
  <c r="I329" i="13"/>
  <c r="J329" i="13"/>
  <c r="B330" i="13"/>
  <c r="E330" i="13"/>
  <c r="F330" i="13"/>
  <c r="G330" i="13"/>
  <c r="H330" i="13"/>
  <c r="I330" i="13"/>
  <c r="J330" i="13"/>
  <c r="B331" i="13"/>
  <c r="E331" i="13"/>
  <c r="F331" i="13"/>
  <c r="G331" i="13"/>
  <c r="H331" i="13"/>
  <c r="I331" i="13"/>
  <c r="J331" i="13"/>
  <c r="B332" i="13"/>
  <c r="E332" i="13"/>
  <c r="F332" i="13"/>
  <c r="G332" i="13"/>
  <c r="H332" i="13"/>
  <c r="I332" i="13"/>
  <c r="J332" i="13"/>
  <c r="B333" i="13"/>
  <c r="E333" i="13"/>
  <c r="F333" i="13"/>
  <c r="G333" i="13"/>
  <c r="H333" i="13"/>
  <c r="I333" i="13"/>
  <c r="J333" i="13"/>
  <c r="B334" i="13"/>
  <c r="E334" i="13"/>
  <c r="F334" i="13"/>
  <c r="G334" i="13"/>
  <c r="H334" i="13"/>
  <c r="I334" i="13"/>
  <c r="J334" i="13"/>
  <c r="B335" i="13"/>
  <c r="E335" i="13"/>
  <c r="F335" i="13"/>
  <c r="G335" i="13"/>
  <c r="H335" i="13"/>
  <c r="I335" i="13"/>
  <c r="J335" i="13"/>
  <c r="B336" i="13"/>
  <c r="E336" i="13"/>
  <c r="F336" i="13"/>
  <c r="G336" i="13"/>
  <c r="H336" i="13"/>
  <c r="I336" i="13"/>
  <c r="J336" i="13"/>
  <c r="B337" i="13"/>
  <c r="E337" i="13"/>
  <c r="F337" i="13"/>
  <c r="G337" i="13"/>
  <c r="H337" i="13"/>
  <c r="I337" i="13"/>
  <c r="J337" i="13"/>
  <c r="B338" i="13"/>
  <c r="E338" i="13"/>
  <c r="F338" i="13"/>
  <c r="G338" i="13"/>
  <c r="H338" i="13"/>
  <c r="I338" i="13"/>
  <c r="J338" i="13"/>
  <c r="B339" i="13"/>
  <c r="E339" i="13"/>
  <c r="F339" i="13"/>
  <c r="G339" i="13"/>
  <c r="H339" i="13"/>
  <c r="I339" i="13"/>
  <c r="J339" i="13"/>
  <c r="B340" i="13"/>
  <c r="E340" i="13"/>
  <c r="F340" i="13"/>
  <c r="G340" i="13"/>
  <c r="H340" i="13"/>
  <c r="I340" i="13"/>
  <c r="J340" i="13"/>
  <c r="B341" i="13"/>
  <c r="E341" i="13"/>
  <c r="F341" i="13"/>
  <c r="G341" i="13"/>
  <c r="H341" i="13"/>
  <c r="I341" i="13"/>
  <c r="J341" i="13"/>
  <c r="B342" i="13"/>
  <c r="E342" i="13"/>
  <c r="F342" i="13"/>
  <c r="G342" i="13"/>
  <c r="H342" i="13"/>
  <c r="I342" i="13"/>
  <c r="J342" i="13"/>
  <c r="B343" i="13"/>
  <c r="E343" i="13"/>
  <c r="F343" i="13"/>
  <c r="G343" i="13"/>
  <c r="H343" i="13"/>
  <c r="I343" i="13"/>
  <c r="J343" i="13"/>
  <c r="B344" i="13"/>
  <c r="E344" i="13"/>
  <c r="F344" i="13"/>
  <c r="G344" i="13"/>
  <c r="H344" i="13"/>
  <c r="I344" i="13"/>
  <c r="J344" i="13"/>
  <c r="B345" i="13"/>
  <c r="E345" i="13"/>
  <c r="F345" i="13"/>
  <c r="G345" i="13"/>
  <c r="H345" i="13"/>
  <c r="I345" i="13"/>
  <c r="J345" i="13"/>
  <c r="B346" i="13"/>
  <c r="E346" i="13"/>
  <c r="F346" i="13"/>
  <c r="G346" i="13"/>
  <c r="H346" i="13"/>
  <c r="I346" i="13"/>
  <c r="J346" i="13"/>
  <c r="B347" i="13"/>
  <c r="E347" i="13"/>
  <c r="F347" i="13"/>
  <c r="G347" i="13"/>
  <c r="H347" i="13"/>
  <c r="I347" i="13"/>
  <c r="J347" i="13"/>
  <c r="B348" i="13"/>
  <c r="E348" i="13"/>
  <c r="F348" i="13"/>
  <c r="G348" i="13"/>
  <c r="H348" i="13"/>
  <c r="I348" i="13"/>
  <c r="J348" i="13"/>
  <c r="B349" i="13"/>
  <c r="E349" i="13"/>
  <c r="F349" i="13"/>
  <c r="G349" i="13"/>
  <c r="H349" i="13"/>
  <c r="I349" i="13"/>
  <c r="J349" i="13"/>
  <c r="B350" i="13"/>
  <c r="E350" i="13"/>
  <c r="F350" i="13"/>
  <c r="G350" i="13"/>
  <c r="H350" i="13"/>
  <c r="I350" i="13"/>
  <c r="J350" i="13"/>
  <c r="B351" i="13"/>
  <c r="E351" i="13"/>
  <c r="F351" i="13"/>
  <c r="G351" i="13"/>
  <c r="H351" i="13"/>
  <c r="I351" i="13"/>
  <c r="J351" i="13"/>
  <c r="B352" i="13"/>
  <c r="E352" i="13"/>
  <c r="F352" i="13"/>
  <c r="G352" i="13"/>
  <c r="H352" i="13"/>
  <c r="I352" i="13"/>
  <c r="J352" i="13"/>
  <c r="B353" i="13"/>
  <c r="E353" i="13"/>
  <c r="F353" i="13"/>
  <c r="G353" i="13"/>
  <c r="H353" i="13"/>
  <c r="I353" i="13"/>
  <c r="J353" i="13"/>
  <c r="B354" i="13"/>
  <c r="E354" i="13"/>
  <c r="F354" i="13"/>
  <c r="G354" i="13"/>
  <c r="H354" i="13"/>
  <c r="I354" i="13"/>
  <c r="J354" i="13"/>
  <c r="B355" i="13"/>
  <c r="E355" i="13"/>
  <c r="F355" i="13"/>
  <c r="G355" i="13"/>
  <c r="H355" i="13"/>
  <c r="I355" i="13"/>
  <c r="J355" i="13"/>
  <c r="B356" i="13"/>
  <c r="E356" i="13"/>
  <c r="F356" i="13"/>
  <c r="G356" i="13"/>
  <c r="H356" i="13"/>
  <c r="I356" i="13"/>
  <c r="J356" i="13"/>
  <c r="B357" i="13"/>
  <c r="E357" i="13"/>
  <c r="F357" i="13"/>
  <c r="G357" i="13"/>
  <c r="H357" i="13"/>
  <c r="I357" i="13"/>
  <c r="J357" i="13"/>
  <c r="B358" i="13"/>
  <c r="E358" i="13"/>
  <c r="F358" i="13"/>
  <c r="G358" i="13"/>
  <c r="H358" i="13"/>
  <c r="I358" i="13"/>
  <c r="J358" i="13"/>
  <c r="B359" i="13"/>
  <c r="E359" i="13"/>
  <c r="F359" i="13"/>
  <c r="G359" i="13"/>
  <c r="H359" i="13"/>
  <c r="I359" i="13"/>
  <c r="J359" i="13"/>
  <c r="B360" i="13"/>
  <c r="E360" i="13"/>
  <c r="F360" i="13"/>
  <c r="G360" i="13"/>
  <c r="H360" i="13"/>
  <c r="I360" i="13"/>
  <c r="J360" i="13"/>
  <c r="B361" i="13"/>
  <c r="E361" i="13"/>
  <c r="F361" i="13"/>
  <c r="G361" i="13"/>
  <c r="H361" i="13"/>
  <c r="I361" i="13"/>
  <c r="J361" i="13"/>
  <c r="B362" i="13"/>
  <c r="E362" i="13"/>
  <c r="F362" i="13"/>
  <c r="G362" i="13"/>
  <c r="H362" i="13"/>
  <c r="I362" i="13"/>
  <c r="J362" i="13"/>
  <c r="B363" i="13"/>
  <c r="E363" i="13"/>
  <c r="F363" i="13"/>
  <c r="G363" i="13"/>
  <c r="H363" i="13"/>
  <c r="I363" i="13"/>
  <c r="J363" i="13"/>
  <c r="B364" i="13"/>
  <c r="E364" i="13"/>
  <c r="F364" i="13"/>
  <c r="G364" i="13"/>
  <c r="H364" i="13"/>
  <c r="I364" i="13"/>
  <c r="J364" i="13"/>
  <c r="B365" i="13"/>
  <c r="E365" i="13"/>
  <c r="F365" i="13"/>
  <c r="G365" i="13"/>
  <c r="H365" i="13"/>
  <c r="I365" i="13"/>
  <c r="J365" i="13"/>
  <c r="B366" i="13"/>
  <c r="E366" i="13"/>
  <c r="F366" i="13"/>
  <c r="G366" i="13"/>
  <c r="H366" i="13"/>
  <c r="I366" i="13"/>
  <c r="J366" i="13"/>
  <c r="B367" i="13"/>
  <c r="E367" i="13"/>
  <c r="F367" i="13"/>
  <c r="G367" i="13"/>
  <c r="H367" i="13"/>
  <c r="I367" i="13"/>
  <c r="J367" i="13"/>
  <c r="B368" i="13"/>
  <c r="E368" i="13"/>
  <c r="F368" i="13"/>
  <c r="G368" i="13"/>
  <c r="H368" i="13"/>
  <c r="I368" i="13"/>
  <c r="J368" i="13"/>
  <c r="B369" i="13"/>
  <c r="E369" i="13"/>
  <c r="F369" i="13"/>
  <c r="G369" i="13"/>
  <c r="H369" i="13"/>
  <c r="I369" i="13"/>
  <c r="J369" i="13"/>
  <c r="B370" i="13"/>
  <c r="E370" i="13"/>
  <c r="F370" i="13"/>
  <c r="G370" i="13"/>
  <c r="H370" i="13"/>
  <c r="I370" i="13"/>
  <c r="J370" i="13"/>
  <c r="B371" i="13"/>
  <c r="E371" i="13"/>
  <c r="F371" i="13"/>
  <c r="G371" i="13"/>
  <c r="H371" i="13"/>
  <c r="I371" i="13"/>
  <c r="J371" i="13"/>
  <c r="B372" i="13"/>
  <c r="E372" i="13"/>
  <c r="F372" i="13"/>
  <c r="G372" i="13"/>
  <c r="H372" i="13"/>
  <c r="I372" i="13"/>
  <c r="J372" i="13"/>
  <c r="B373" i="13"/>
  <c r="E373" i="13"/>
  <c r="F373" i="13"/>
  <c r="G373" i="13"/>
  <c r="H373" i="13"/>
  <c r="I373" i="13"/>
  <c r="J373" i="13"/>
  <c r="B374" i="13"/>
  <c r="E374" i="13"/>
  <c r="F374" i="13"/>
  <c r="G374" i="13"/>
  <c r="H374" i="13"/>
  <c r="I374" i="13"/>
  <c r="J374" i="13"/>
  <c r="B375" i="13"/>
  <c r="E375" i="13"/>
  <c r="F375" i="13"/>
  <c r="G375" i="13"/>
  <c r="H375" i="13"/>
  <c r="I375" i="13"/>
  <c r="J375" i="13"/>
  <c r="B376" i="13"/>
  <c r="E376" i="13"/>
  <c r="F376" i="13"/>
  <c r="G376" i="13"/>
  <c r="H376" i="13"/>
  <c r="I376" i="13"/>
  <c r="J376" i="13"/>
  <c r="B377" i="13"/>
  <c r="E377" i="13"/>
  <c r="F377" i="13"/>
  <c r="G377" i="13"/>
  <c r="H377" i="13"/>
  <c r="I377" i="13"/>
  <c r="J377" i="13"/>
  <c r="B378" i="13"/>
  <c r="E378" i="13"/>
  <c r="F378" i="13"/>
  <c r="G378" i="13"/>
  <c r="H378" i="13"/>
  <c r="I378" i="13"/>
  <c r="J378" i="13"/>
  <c r="B379" i="13"/>
  <c r="E379" i="13"/>
  <c r="F379" i="13"/>
  <c r="G379" i="13"/>
  <c r="H379" i="13"/>
  <c r="I379" i="13"/>
  <c r="J379" i="13"/>
  <c r="B380" i="13"/>
  <c r="E380" i="13"/>
  <c r="F380" i="13"/>
  <c r="G380" i="13"/>
  <c r="H380" i="13"/>
  <c r="I380" i="13"/>
  <c r="J380" i="13"/>
  <c r="B381" i="13"/>
  <c r="E381" i="13"/>
  <c r="F381" i="13"/>
  <c r="G381" i="13"/>
  <c r="H381" i="13"/>
  <c r="I381" i="13"/>
  <c r="J381" i="13"/>
  <c r="B382" i="13"/>
  <c r="E382" i="13"/>
  <c r="F382" i="13"/>
  <c r="G382" i="13"/>
  <c r="H382" i="13"/>
  <c r="I382" i="13"/>
  <c r="J382" i="13"/>
  <c r="B383" i="13"/>
  <c r="E383" i="13"/>
  <c r="F383" i="13"/>
  <c r="G383" i="13"/>
  <c r="H383" i="13"/>
  <c r="I383" i="13"/>
  <c r="J383" i="13"/>
  <c r="B384" i="13"/>
  <c r="E384" i="13"/>
  <c r="F384" i="13"/>
  <c r="G384" i="13"/>
  <c r="H384" i="13"/>
  <c r="I384" i="13"/>
  <c r="J384" i="13"/>
  <c r="B385" i="13"/>
  <c r="E385" i="13"/>
  <c r="F385" i="13"/>
  <c r="G385" i="13"/>
  <c r="H385" i="13"/>
  <c r="I385" i="13"/>
  <c r="J385" i="13"/>
  <c r="B386" i="13"/>
  <c r="E386" i="13"/>
  <c r="F386" i="13"/>
  <c r="G386" i="13"/>
  <c r="H386" i="13"/>
  <c r="I386" i="13"/>
  <c r="J386" i="13"/>
  <c r="B387" i="13"/>
  <c r="E387" i="13"/>
  <c r="F387" i="13"/>
  <c r="G387" i="13"/>
  <c r="H387" i="13"/>
  <c r="I387" i="13"/>
  <c r="J387" i="13"/>
  <c r="B388" i="13"/>
  <c r="E388" i="13"/>
  <c r="F388" i="13"/>
  <c r="G388" i="13"/>
  <c r="H388" i="13"/>
  <c r="I388" i="13"/>
  <c r="J388" i="13"/>
  <c r="B389" i="13"/>
  <c r="E389" i="13"/>
  <c r="F389" i="13"/>
  <c r="G389" i="13"/>
  <c r="H389" i="13"/>
  <c r="I389" i="13"/>
  <c r="J389" i="13"/>
  <c r="B390" i="13"/>
  <c r="E390" i="13"/>
  <c r="F390" i="13"/>
  <c r="G390" i="13"/>
  <c r="H390" i="13"/>
  <c r="I390" i="13"/>
  <c r="J390" i="13"/>
  <c r="B391" i="13"/>
  <c r="E391" i="13"/>
  <c r="F391" i="13"/>
  <c r="G391" i="13"/>
  <c r="H391" i="13"/>
  <c r="I391" i="13"/>
  <c r="J391" i="13"/>
  <c r="B392" i="13"/>
  <c r="E392" i="13"/>
  <c r="F392" i="13"/>
  <c r="G392" i="13"/>
  <c r="H392" i="13"/>
  <c r="I392" i="13"/>
  <c r="J392" i="13"/>
  <c r="B393" i="13"/>
  <c r="E393" i="13"/>
  <c r="F393" i="13"/>
  <c r="G393" i="13"/>
  <c r="H393" i="13"/>
  <c r="I393" i="13"/>
  <c r="J393" i="13"/>
  <c r="B394" i="13"/>
  <c r="E394" i="13"/>
  <c r="F394" i="13"/>
  <c r="G394" i="13"/>
  <c r="H394" i="13"/>
  <c r="I394" i="13"/>
  <c r="J394" i="13"/>
  <c r="B395" i="13"/>
  <c r="E395" i="13"/>
  <c r="F395" i="13"/>
  <c r="G395" i="13"/>
  <c r="H395" i="13"/>
  <c r="I395" i="13"/>
  <c r="J395" i="13"/>
  <c r="B396" i="13"/>
  <c r="E396" i="13"/>
  <c r="F396" i="13"/>
  <c r="G396" i="13"/>
  <c r="H396" i="13"/>
  <c r="I396" i="13"/>
  <c r="J396" i="13"/>
  <c r="B397" i="13"/>
  <c r="E397" i="13"/>
  <c r="F397" i="13"/>
  <c r="G397" i="13"/>
  <c r="H397" i="13"/>
  <c r="I397" i="13"/>
  <c r="J397" i="13"/>
  <c r="B398" i="13"/>
  <c r="E398" i="13"/>
  <c r="F398" i="13"/>
  <c r="G398" i="13"/>
  <c r="H398" i="13"/>
  <c r="I398" i="13"/>
  <c r="J398" i="13"/>
  <c r="B399" i="13"/>
  <c r="E399" i="13"/>
  <c r="F399" i="13"/>
  <c r="G399" i="13"/>
  <c r="H399" i="13"/>
  <c r="I399" i="13"/>
  <c r="J399" i="13"/>
  <c r="B400" i="13"/>
  <c r="E400" i="13"/>
  <c r="F400" i="13"/>
  <c r="G400" i="13"/>
  <c r="H400" i="13"/>
  <c r="I400" i="13"/>
  <c r="J400" i="13"/>
  <c r="B401" i="13"/>
  <c r="E401" i="13"/>
  <c r="F401" i="13"/>
  <c r="G401" i="13"/>
  <c r="H401" i="13"/>
  <c r="I401" i="13"/>
  <c r="J401" i="13"/>
  <c r="B402" i="13"/>
  <c r="E402" i="13"/>
  <c r="F402" i="13"/>
  <c r="G402" i="13"/>
  <c r="H402" i="13"/>
  <c r="I402" i="13"/>
  <c r="J402" i="13"/>
  <c r="B403" i="13"/>
  <c r="E403" i="13"/>
  <c r="F403" i="13"/>
  <c r="G403" i="13"/>
  <c r="H403" i="13"/>
  <c r="I403" i="13"/>
  <c r="J403" i="13"/>
  <c r="B404" i="13"/>
  <c r="E404" i="13"/>
  <c r="F404" i="13"/>
  <c r="G404" i="13"/>
  <c r="H404" i="13"/>
  <c r="I404" i="13"/>
  <c r="J404" i="13"/>
  <c r="B405" i="13"/>
  <c r="E405" i="13"/>
  <c r="F405" i="13"/>
  <c r="G405" i="13"/>
  <c r="H405" i="13"/>
  <c r="I405" i="13"/>
  <c r="J405" i="13"/>
  <c r="B406" i="13"/>
  <c r="E406" i="13"/>
  <c r="F406" i="13"/>
  <c r="G406" i="13"/>
  <c r="H406" i="13"/>
  <c r="I406" i="13"/>
  <c r="J406" i="13"/>
  <c r="B407" i="13"/>
  <c r="E407" i="13"/>
  <c r="F407" i="13"/>
  <c r="G407" i="13"/>
  <c r="H407" i="13"/>
  <c r="I407" i="13"/>
  <c r="J407" i="13"/>
  <c r="B408" i="13"/>
  <c r="E408" i="13"/>
  <c r="F408" i="13"/>
  <c r="G408" i="13"/>
  <c r="H408" i="13"/>
  <c r="I408" i="13"/>
  <c r="J408" i="13"/>
  <c r="B409" i="13"/>
  <c r="E409" i="13"/>
  <c r="F409" i="13"/>
  <c r="G409" i="13"/>
  <c r="H409" i="13"/>
  <c r="I409" i="13"/>
  <c r="J409" i="13"/>
  <c r="B410" i="13"/>
  <c r="E410" i="13"/>
  <c r="F410" i="13"/>
  <c r="G410" i="13"/>
  <c r="H410" i="13"/>
  <c r="I410" i="13"/>
  <c r="J410" i="13"/>
  <c r="B411" i="13"/>
  <c r="E411" i="13"/>
  <c r="F411" i="13"/>
  <c r="G411" i="13"/>
  <c r="H411" i="13"/>
  <c r="I411" i="13"/>
  <c r="J411" i="13"/>
  <c r="B412" i="13"/>
  <c r="E412" i="13"/>
  <c r="F412" i="13"/>
  <c r="G412" i="13"/>
  <c r="H412" i="13"/>
  <c r="I412" i="13"/>
  <c r="J412" i="13"/>
  <c r="B413" i="13"/>
  <c r="E413" i="13"/>
  <c r="F413" i="13"/>
  <c r="G413" i="13"/>
  <c r="H413" i="13"/>
  <c r="I413" i="13"/>
  <c r="J413" i="13"/>
  <c r="B414" i="13"/>
  <c r="E414" i="13"/>
  <c r="F414" i="13"/>
  <c r="G414" i="13"/>
  <c r="H414" i="13"/>
  <c r="I414" i="13"/>
  <c r="J414" i="13"/>
  <c r="B415" i="13"/>
  <c r="E415" i="13"/>
  <c r="F415" i="13"/>
  <c r="G415" i="13"/>
  <c r="H415" i="13"/>
  <c r="I415" i="13"/>
  <c r="J415" i="13"/>
  <c r="B416" i="13"/>
  <c r="E416" i="13"/>
  <c r="F416" i="13"/>
  <c r="G416" i="13"/>
  <c r="H416" i="13"/>
  <c r="I416" i="13"/>
  <c r="J416" i="13"/>
  <c r="B417" i="13"/>
  <c r="E417" i="13"/>
  <c r="F417" i="13"/>
  <c r="G417" i="13"/>
  <c r="H417" i="13"/>
  <c r="I417" i="13"/>
  <c r="J417" i="13"/>
  <c r="B418" i="13"/>
  <c r="E418" i="13"/>
  <c r="F418" i="13"/>
  <c r="G418" i="13"/>
  <c r="H418" i="13"/>
  <c r="I418" i="13"/>
  <c r="J418" i="13"/>
  <c r="B419" i="13"/>
  <c r="E419" i="13"/>
  <c r="F419" i="13"/>
  <c r="G419" i="13"/>
  <c r="H419" i="13"/>
  <c r="I419" i="13"/>
  <c r="J419" i="13"/>
  <c r="B420" i="13"/>
  <c r="E420" i="13"/>
  <c r="F420" i="13"/>
  <c r="G420" i="13"/>
  <c r="H420" i="13"/>
  <c r="I420" i="13"/>
  <c r="J420" i="13"/>
  <c r="B421" i="13"/>
  <c r="E421" i="13"/>
  <c r="F421" i="13"/>
  <c r="G421" i="13"/>
  <c r="H421" i="13"/>
  <c r="I421" i="13"/>
  <c r="J421" i="13"/>
  <c r="B422" i="13"/>
  <c r="E422" i="13"/>
  <c r="F422" i="13"/>
  <c r="G422" i="13"/>
  <c r="H422" i="13"/>
  <c r="I422" i="13"/>
  <c r="J422" i="13"/>
  <c r="B423" i="13"/>
  <c r="E423" i="13"/>
  <c r="F423" i="13"/>
  <c r="G423" i="13"/>
  <c r="H423" i="13"/>
  <c r="I423" i="13"/>
  <c r="J423" i="13"/>
  <c r="B424" i="13"/>
  <c r="E424" i="13"/>
  <c r="F424" i="13"/>
  <c r="G424" i="13"/>
  <c r="H424" i="13"/>
  <c r="I424" i="13"/>
  <c r="J424" i="13"/>
  <c r="B425" i="13"/>
  <c r="E425" i="13"/>
  <c r="F425" i="13"/>
  <c r="G425" i="13"/>
  <c r="H425" i="13"/>
  <c r="I425" i="13"/>
  <c r="J425" i="13"/>
  <c r="B426" i="13"/>
  <c r="E426" i="13"/>
  <c r="F426" i="13"/>
  <c r="G426" i="13"/>
  <c r="H426" i="13"/>
  <c r="I426" i="13"/>
  <c r="J426" i="13"/>
  <c r="B427" i="13"/>
  <c r="E427" i="13"/>
  <c r="F427" i="13"/>
  <c r="G427" i="13"/>
  <c r="H427" i="13"/>
  <c r="I427" i="13"/>
  <c r="J427" i="13"/>
  <c r="B428" i="13"/>
  <c r="E428" i="13"/>
  <c r="F428" i="13"/>
  <c r="G428" i="13"/>
  <c r="H428" i="13"/>
  <c r="I428" i="13"/>
  <c r="J428" i="13"/>
  <c r="B429" i="13"/>
  <c r="E429" i="13"/>
  <c r="F429" i="13"/>
  <c r="G429" i="13"/>
  <c r="H429" i="13"/>
  <c r="I429" i="13"/>
  <c r="J429" i="13"/>
  <c r="B430" i="13"/>
  <c r="E430" i="13"/>
  <c r="F430" i="13"/>
  <c r="G430" i="13"/>
  <c r="H430" i="13"/>
  <c r="I430" i="13"/>
  <c r="J430" i="13"/>
  <c r="B431" i="13"/>
  <c r="E431" i="13"/>
  <c r="F431" i="13"/>
  <c r="G431" i="13"/>
  <c r="H431" i="13"/>
  <c r="I431" i="13"/>
  <c r="J431" i="13"/>
  <c r="B432" i="13"/>
  <c r="E432" i="13"/>
  <c r="F432" i="13"/>
  <c r="G432" i="13"/>
  <c r="H432" i="13"/>
  <c r="I432" i="13"/>
  <c r="J432" i="13"/>
  <c r="B433" i="13"/>
  <c r="E433" i="13"/>
  <c r="F433" i="13"/>
  <c r="G433" i="13"/>
  <c r="H433" i="13"/>
  <c r="I433" i="13"/>
  <c r="J433" i="13"/>
  <c r="B434" i="13"/>
  <c r="E434" i="13"/>
  <c r="F434" i="13"/>
  <c r="G434" i="13"/>
  <c r="H434" i="13"/>
  <c r="I434" i="13"/>
  <c r="J434" i="13"/>
  <c r="B435" i="13"/>
  <c r="E435" i="13"/>
  <c r="F435" i="13"/>
  <c r="G435" i="13"/>
  <c r="H435" i="13"/>
  <c r="I435" i="13"/>
  <c r="J435" i="13"/>
  <c r="B436" i="13"/>
  <c r="E436" i="13"/>
  <c r="F436" i="13"/>
  <c r="G436" i="13"/>
  <c r="H436" i="13"/>
  <c r="I436" i="13"/>
  <c r="J436" i="13"/>
  <c r="B437" i="13"/>
  <c r="E437" i="13"/>
  <c r="F437" i="13"/>
  <c r="G437" i="13"/>
  <c r="H437" i="13"/>
  <c r="I437" i="13"/>
  <c r="J437" i="13"/>
  <c r="B438" i="13"/>
  <c r="E438" i="13"/>
  <c r="F438" i="13"/>
  <c r="G438" i="13"/>
  <c r="H438" i="13"/>
  <c r="I438" i="13"/>
  <c r="J438" i="13"/>
  <c r="B439" i="13"/>
  <c r="E439" i="13"/>
  <c r="F439" i="13"/>
  <c r="G439" i="13"/>
  <c r="H439" i="13"/>
  <c r="I439" i="13"/>
  <c r="J439" i="13"/>
  <c r="B440" i="13"/>
  <c r="E440" i="13"/>
  <c r="F440" i="13"/>
  <c r="G440" i="13"/>
  <c r="H440" i="13"/>
  <c r="I440" i="13"/>
  <c r="J440" i="13"/>
  <c r="B441" i="13"/>
  <c r="E441" i="13"/>
  <c r="F441" i="13"/>
  <c r="G441" i="13"/>
  <c r="H441" i="13"/>
  <c r="I441" i="13"/>
  <c r="J441" i="13"/>
  <c r="B442" i="13"/>
  <c r="E442" i="13"/>
  <c r="F442" i="13"/>
  <c r="G442" i="13"/>
  <c r="H442" i="13"/>
  <c r="I442" i="13"/>
  <c r="J442" i="13"/>
  <c r="B443" i="13"/>
  <c r="E443" i="13"/>
  <c r="F443" i="13"/>
  <c r="G443" i="13"/>
  <c r="H443" i="13"/>
  <c r="I443" i="13"/>
  <c r="J443" i="13"/>
  <c r="B444" i="13"/>
  <c r="E444" i="13"/>
  <c r="F444" i="13"/>
  <c r="G444" i="13"/>
  <c r="H444" i="13"/>
  <c r="I444" i="13"/>
  <c r="J444" i="13"/>
  <c r="B445" i="13"/>
  <c r="E445" i="13"/>
  <c r="F445" i="13"/>
  <c r="G445" i="13"/>
  <c r="H445" i="13"/>
  <c r="I445" i="13"/>
  <c r="J445" i="13"/>
  <c r="B446" i="13"/>
  <c r="E446" i="13"/>
  <c r="F446" i="13"/>
  <c r="G446" i="13"/>
  <c r="H446" i="13"/>
  <c r="I446" i="13"/>
  <c r="J446" i="13"/>
  <c r="B447" i="13"/>
  <c r="E447" i="13"/>
  <c r="F447" i="13"/>
  <c r="G447" i="13"/>
  <c r="H447" i="13"/>
  <c r="I447" i="13"/>
  <c r="J447" i="13"/>
  <c r="B448" i="13"/>
  <c r="E448" i="13"/>
  <c r="F448" i="13"/>
  <c r="G448" i="13"/>
  <c r="H448" i="13"/>
  <c r="I448" i="13"/>
  <c r="J448" i="13"/>
  <c r="B449" i="13"/>
  <c r="E449" i="13"/>
  <c r="F449" i="13"/>
  <c r="G449" i="13"/>
  <c r="H449" i="13"/>
  <c r="I449" i="13"/>
  <c r="J449" i="13"/>
  <c r="B450" i="13"/>
  <c r="E450" i="13"/>
  <c r="F450" i="13"/>
  <c r="G450" i="13"/>
  <c r="H450" i="13"/>
  <c r="I450" i="13"/>
  <c r="J450" i="13"/>
  <c r="B451" i="13"/>
  <c r="E451" i="13"/>
  <c r="F451" i="13"/>
  <c r="G451" i="13"/>
  <c r="H451" i="13"/>
  <c r="I451" i="13"/>
  <c r="J451" i="13"/>
  <c r="B452" i="13"/>
  <c r="E452" i="13"/>
  <c r="F452" i="13"/>
  <c r="G452" i="13"/>
  <c r="H452" i="13"/>
  <c r="I452" i="13"/>
  <c r="J452" i="13"/>
  <c r="B453" i="13"/>
  <c r="E453" i="13"/>
  <c r="F453" i="13"/>
  <c r="G453" i="13"/>
  <c r="H453" i="13"/>
  <c r="I453" i="13"/>
  <c r="J453" i="13"/>
  <c r="B454" i="13"/>
  <c r="E454" i="13"/>
  <c r="F454" i="13"/>
  <c r="G454" i="13"/>
  <c r="H454" i="13"/>
  <c r="I454" i="13"/>
  <c r="J454" i="13"/>
  <c r="B455" i="13"/>
  <c r="E455" i="13"/>
  <c r="F455" i="13"/>
  <c r="G455" i="13"/>
  <c r="H455" i="13"/>
  <c r="I455" i="13"/>
  <c r="J455" i="13"/>
  <c r="B456" i="13"/>
  <c r="E456" i="13"/>
  <c r="F456" i="13"/>
  <c r="G456" i="13"/>
  <c r="H456" i="13"/>
  <c r="I456" i="13"/>
  <c r="J456" i="13"/>
  <c r="B457" i="13"/>
  <c r="E457" i="13"/>
  <c r="F457" i="13"/>
  <c r="G457" i="13"/>
  <c r="H457" i="13"/>
  <c r="I457" i="13"/>
  <c r="J457" i="13"/>
  <c r="B458" i="13"/>
  <c r="E458" i="13"/>
  <c r="F458" i="13"/>
  <c r="G458" i="13"/>
  <c r="H458" i="13"/>
  <c r="I458" i="13"/>
  <c r="J458" i="13"/>
  <c r="B459" i="13"/>
  <c r="E459" i="13"/>
  <c r="F459" i="13"/>
  <c r="G459" i="13"/>
  <c r="H459" i="13"/>
  <c r="I459" i="13"/>
  <c r="J459" i="13"/>
  <c r="B460" i="13"/>
  <c r="E460" i="13"/>
  <c r="F460" i="13"/>
  <c r="G460" i="13"/>
  <c r="H460" i="13"/>
  <c r="I460" i="13"/>
  <c r="J460" i="13"/>
  <c r="B461" i="13"/>
  <c r="E461" i="13"/>
  <c r="F461" i="13"/>
  <c r="G461" i="13"/>
  <c r="H461" i="13"/>
  <c r="I461" i="13"/>
  <c r="J461" i="13"/>
  <c r="B462" i="13"/>
  <c r="E462" i="13"/>
  <c r="F462" i="13"/>
  <c r="G462" i="13"/>
  <c r="H462" i="13"/>
  <c r="I462" i="13"/>
  <c r="J462" i="13"/>
  <c r="B463" i="13"/>
  <c r="E463" i="13"/>
  <c r="F463" i="13"/>
  <c r="G463" i="13"/>
  <c r="H463" i="13"/>
  <c r="I463" i="13"/>
  <c r="J463" i="13"/>
  <c r="B464" i="13"/>
  <c r="E464" i="13"/>
  <c r="F464" i="13"/>
  <c r="G464" i="13"/>
  <c r="H464" i="13"/>
  <c r="I464" i="13"/>
  <c r="J464" i="13"/>
  <c r="B465" i="13"/>
  <c r="E465" i="13"/>
  <c r="F465" i="13"/>
  <c r="G465" i="13"/>
  <c r="H465" i="13"/>
  <c r="I465" i="13"/>
  <c r="J465" i="13"/>
  <c r="B466" i="13"/>
  <c r="E466" i="13"/>
  <c r="F466" i="13"/>
  <c r="G466" i="13"/>
  <c r="H466" i="13"/>
  <c r="I466" i="13"/>
  <c r="J466" i="13"/>
  <c r="B467" i="13"/>
  <c r="E467" i="13"/>
  <c r="F467" i="13"/>
  <c r="G467" i="13"/>
  <c r="H467" i="13"/>
  <c r="I467" i="13"/>
  <c r="J467" i="13"/>
  <c r="B468" i="13"/>
  <c r="E468" i="13"/>
  <c r="F468" i="13"/>
  <c r="G468" i="13"/>
  <c r="H468" i="13"/>
  <c r="I468" i="13"/>
  <c r="J468" i="13"/>
  <c r="B469" i="13"/>
  <c r="E469" i="13"/>
  <c r="F469" i="13"/>
  <c r="G469" i="13"/>
  <c r="H469" i="13"/>
  <c r="I469" i="13"/>
  <c r="J469" i="13"/>
  <c r="B470" i="13"/>
  <c r="E470" i="13"/>
  <c r="F470" i="13"/>
  <c r="G470" i="13"/>
  <c r="H470" i="13"/>
  <c r="I470" i="13"/>
  <c r="J470" i="13"/>
  <c r="B471" i="13"/>
  <c r="E471" i="13"/>
  <c r="F471" i="13"/>
  <c r="G471" i="13"/>
  <c r="H471" i="13"/>
  <c r="I471" i="13"/>
  <c r="J471" i="13"/>
  <c r="B472" i="13"/>
  <c r="E472" i="13"/>
  <c r="F472" i="13"/>
  <c r="G472" i="13"/>
  <c r="H472" i="13"/>
  <c r="I472" i="13"/>
  <c r="J472" i="13"/>
  <c r="B473" i="13"/>
  <c r="E473" i="13"/>
  <c r="F473" i="13"/>
  <c r="G473" i="13"/>
  <c r="H473" i="13"/>
  <c r="I473" i="13"/>
  <c r="J473" i="13"/>
  <c r="B474" i="13"/>
  <c r="E474" i="13"/>
  <c r="F474" i="13"/>
  <c r="G474" i="13"/>
  <c r="H474" i="13"/>
  <c r="I474" i="13"/>
  <c r="J474" i="13"/>
  <c r="B475" i="13"/>
  <c r="E475" i="13"/>
  <c r="F475" i="13"/>
  <c r="G475" i="13"/>
  <c r="H475" i="13"/>
  <c r="I475" i="13"/>
  <c r="J475" i="13"/>
  <c r="B476" i="13"/>
  <c r="E476" i="13"/>
  <c r="F476" i="13"/>
  <c r="G476" i="13"/>
  <c r="H476" i="13"/>
  <c r="I476" i="13"/>
  <c r="J476" i="13"/>
  <c r="B477" i="13"/>
  <c r="E477" i="13"/>
  <c r="F477" i="13"/>
  <c r="G477" i="13"/>
  <c r="H477" i="13"/>
  <c r="I477" i="13"/>
  <c r="J477" i="13"/>
  <c r="B478" i="13"/>
  <c r="E478" i="13"/>
  <c r="F478" i="13"/>
  <c r="G478" i="13"/>
  <c r="H478" i="13"/>
  <c r="I478" i="13"/>
  <c r="J478" i="13"/>
  <c r="B479" i="13"/>
  <c r="E479" i="13"/>
  <c r="F479" i="13"/>
  <c r="G479" i="13"/>
  <c r="H479" i="13"/>
  <c r="I479" i="13"/>
  <c r="J479" i="13"/>
  <c r="B480" i="13"/>
  <c r="E480" i="13"/>
  <c r="F480" i="13"/>
  <c r="G480" i="13"/>
  <c r="H480" i="13"/>
  <c r="I480" i="13"/>
  <c r="J480" i="13"/>
  <c r="B481" i="13"/>
  <c r="E481" i="13"/>
  <c r="F481" i="13"/>
  <c r="G481" i="13"/>
  <c r="H481" i="13"/>
  <c r="I481" i="13"/>
  <c r="J481" i="13"/>
  <c r="B482" i="13"/>
  <c r="E482" i="13"/>
  <c r="F482" i="13"/>
  <c r="G482" i="13"/>
  <c r="H482" i="13"/>
  <c r="I482" i="13"/>
  <c r="J482" i="13"/>
  <c r="B483" i="13"/>
  <c r="E483" i="13"/>
  <c r="F483" i="13"/>
  <c r="G483" i="13"/>
  <c r="H483" i="13"/>
  <c r="I483" i="13"/>
  <c r="J483" i="13"/>
  <c r="B484" i="13"/>
  <c r="E484" i="13"/>
  <c r="F484" i="13"/>
  <c r="G484" i="13"/>
  <c r="H484" i="13"/>
  <c r="I484" i="13"/>
  <c r="J484" i="13"/>
  <c r="B485" i="13"/>
  <c r="E485" i="13"/>
  <c r="F485" i="13"/>
  <c r="G485" i="13"/>
  <c r="H485" i="13"/>
  <c r="I485" i="13"/>
  <c r="J485" i="13"/>
  <c r="B486" i="13"/>
  <c r="E486" i="13"/>
  <c r="F486" i="13"/>
  <c r="G486" i="13"/>
  <c r="H486" i="13"/>
  <c r="I486" i="13"/>
  <c r="J486" i="13"/>
  <c r="B487" i="13"/>
  <c r="E487" i="13"/>
  <c r="F487" i="13"/>
  <c r="G487" i="13"/>
  <c r="H487" i="13"/>
  <c r="I487" i="13"/>
  <c r="J487" i="13"/>
  <c r="B488" i="13"/>
  <c r="E488" i="13"/>
  <c r="F488" i="13"/>
  <c r="G488" i="13"/>
  <c r="H488" i="13"/>
  <c r="I488" i="13"/>
  <c r="J488" i="13"/>
  <c r="B489" i="13"/>
  <c r="E489" i="13"/>
  <c r="F489" i="13"/>
  <c r="G489" i="13"/>
  <c r="H489" i="13"/>
  <c r="I489" i="13"/>
  <c r="J489" i="13"/>
  <c r="B490" i="13"/>
  <c r="E490" i="13"/>
  <c r="F490" i="13"/>
  <c r="G490" i="13"/>
  <c r="H490" i="13"/>
  <c r="I490" i="13"/>
  <c r="J490" i="13"/>
  <c r="B491" i="13"/>
  <c r="E491" i="13"/>
  <c r="F491" i="13"/>
  <c r="G491" i="13"/>
  <c r="H491" i="13"/>
  <c r="I491" i="13"/>
  <c r="J491" i="13"/>
  <c r="B492" i="13"/>
  <c r="E492" i="13"/>
  <c r="F492" i="13"/>
  <c r="G492" i="13"/>
  <c r="H492" i="13"/>
  <c r="I492" i="13"/>
  <c r="J492" i="13"/>
  <c r="B493" i="13"/>
  <c r="E493" i="13"/>
  <c r="F493" i="13"/>
  <c r="G493" i="13"/>
  <c r="H493" i="13"/>
  <c r="I493" i="13"/>
  <c r="J493" i="13"/>
  <c r="B494" i="13"/>
  <c r="E494" i="13"/>
  <c r="F494" i="13"/>
  <c r="G494" i="13"/>
  <c r="H494" i="13"/>
  <c r="I494" i="13"/>
  <c r="J494" i="13"/>
  <c r="B495" i="13"/>
  <c r="E495" i="13"/>
  <c r="F495" i="13"/>
  <c r="G495" i="13"/>
  <c r="H495" i="13"/>
  <c r="I495" i="13"/>
  <c r="J495" i="13"/>
  <c r="B496" i="13"/>
  <c r="E496" i="13"/>
  <c r="F496" i="13"/>
  <c r="G496" i="13"/>
  <c r="H496" i="13"/>
  <c r="I496" i="13"/>
  <c r="J496" i="13"/>
  <c r="B497" i="13"/>
  <c r="E497" i="13"/>
  <c r="F497" i="13"/>
  <c r="G497" i="13"/>
  <c r="H497" i="13"/>
  <c r="I497" i="13"/>
  <c r="J497" i="13"/>
  <c r="B498" i="13"/>
  <c r="E498" i="13"/>
  <c r="F498" i="13"/>
  <c r="G498" i="13"/>
  <c r="H498" i="13"/>
  <c r="I498" i="13"/>
  <c r="J498" i="13"/>
  <c r="B499" i="13"/>
  <c r="E499" i="13"/>
  <c r="F499" i="13"/>
  <c r="G499" i="13"/>
  <c r="H499" i="13"/>
  <c r="I499" i="13"/>
  <c r="J499" i="13"/>
  <c r="B500" i="13"/>
  <c r="E500" i="13"/>
  <c r="F500" i="13"/>
  <c r="G500" i="13"/>
  <c r="H500" i="13"/>
  <c r="I500" i="13"/>
  <c r="J500" i="13"/>
  <c r="B501" i="13"/>
  <c r="E501" i="13"/>
  <c r="F501" i="13"/>
  <c r="G501" i="13"/>
  <c r="H501" i="13"/>
  <c r="I501" i="13"/>
  <c r="J501" i="13"/>
  <c r="B502" i="13"/>
  <c r="E502" i="13"/>
  <c r="F502" i="13"/>
  <c r="G502" i="13"/>
  <c r="H502" i="13"/>
  <c r="I502" i="13"/>
  <c r="J502" i="13"/>
  <c r="B503" i="13"/>
  <c r="E503" i="13"/>
  <c r="F503" i="13"/>
  <c r="G503" i="13"/>
  <c r="H503" i="13"/>
  <c r="I503" i="13"/>
  <c r="J503" i="13"/>
  <c r="B504" i="13"/>
  <c r="E504" i="13"/>
  <c r="F504" i="13"/>
  <c r="G504" i="13"/>
  <c r="H504" i="13"/>
  <c r="I504" i="13"/>
  <c r="J504" i="13"/>
  <c r="B505" i="13"/>
  <c r="E505" i="13"/>
  <c r="F505" i="13"/>
  <c r="G505" i="13"/>
  <c r="H505" i="13"/>
  <c r="I505" i="13"/>
  <c r="J505" i="13"/>
  <c r="B506" i="13"/>
  <c r="E506" i="13"/>
  <c r="F506" i="13"/>
  <c r="G506" i="13"/>
  <c r="H506" i="13"/>
  <c r="I506" i="13"/>
  <c r="J506" i="13"/>
  <c r="B507" i="13"/>
  <c r="E507" i="13"/>
  <c r="F507" i="13"/>
  <c r="G507" i="13"/>
  <c r="H507" i="13"/>
  <c r="I507" i="13"/>
  <c r="J507" i="13"/>
  <c r="B508" i="13"/>
  <c r="E508" i="13"/>
  <c r="F508" i="13"/>
  <c r="G508" i="13"/>
  <c r="H508" i="13"/>
  <c r="I508" i="13"/>
  <c r="J508" i="13"/>
  <c r="B509" i="13"/>
  <c r="E509" i="13"/>
  <c r="F509" i="13"/>
  <c r="G509" i="13"/>
  <c r="H509" i="13"/>
  <c r="I509" i="13"/>
  <c r="J509" i="13"/>
  <c r="B510" i="13"/>
  <c r="E510" i="13"/>
  <c r="F510" i="13"/>
  <c r="G510" i="13"/>
  <c r="H510" i="13"/>
  <c r="I510" i="13"/>
  <c r="J510" i="13"/>
  <c r="B511" i="13"/>
  <c r="E511" i="13"/>
  <c r="F511" i="13"/>
  <c r="G511" i="13"/>
  <c r="H511" i="13"/>
  <c r="I511" i="13"/>
  <c r="J511" i="13"/>
  <c r="B512" i="13"/>
  <c r="E512" i="13"/>
  <c r="F512" i="13"/>
  <c r="G512" i="13"/>
  <c r="H512" i="13"/>
  <c r="I512" i="13"/>
  <c r="J512" i="13"/>
  <c r="B513" i="13"/>
  <c r="E513" i="13"/>
  <c r="F513" i="13"/>
  <c r="G513" i="13"/>
  <c r="H513" i="13"/>
  <c r="I513" i="13"/>
  <c r="J513" i="13"/>
  <c r="B514" i="13"/>
  <c r="E514" i="13"/>
  <c r="F514" i="13"/>
  <c r="G514" i="13"/>
  <c r="H514" i="13"/>
  <c r="I514" i="13"/>
  <c r="J514" i="13"/>
  <c r="B515" i="13"/>
  <c r="E515" i="13"/>
  <c r="F515" i="13"/>
  <c r="G515" i="13"/>
  <c r="H515" i="13"/>
  <c r="I515" i="13"/>
  <c r="J515" i="13"/>
  <c r="B516" i="13"/>
  <c r="E516" i="13"/>
  <c r="F516" i="13"/>
  <c r="G516" i="13"/>
  <c r="H516" i="13"/>
  <c r="I516" i="13"/>
  <c r="J516" i="13"/>
  <c r="B517" i="13"/>
  <c r="E517" i="13"/>
  <c r="F517" i="13"/>
  <c r="G517" i="13"/>
  <c r="H517" i="13"/>
  <c r="I517" i="13"/>
  <c r="J517" i="13"/>
  <c r="B518" i="13"/>
  <c r="E518" i="13"/>
  <c r="F518" i="13"/>
  <c r="G518" i="13"/>
  <c r="H518" i="13"/>
  <c r="I518" i="13"/>
  <c r="J518" i="13"/>
  <c r="B519" i="13"/>
  <c r="E519" i="13"/>
  <c r="F519" i="13"/>
  <c r="G519" i="13"/>
  <c r="H519" i="13"/>
  <c r="I519" i="13"/>
  <c r="J519" i="13"/>
  <c r="B520" i="13"/>
  <c r="E520" i="13"/>
  <c r="F520" i="13"/>
  <c r="G520" i="13"/>
  <c r="H520" i="13"/>
  <c r="I520" i="13"/>
  <c r="J520" i="13"/>
  <c r="B521" i="13"/>
  <c r="E521" i="13"/>
  <c r="F521" i="13"/>
  <c r="G521" i="13"/>
  <c r="H521" i="13"/>
  <c r="I521" i="13"/>
  <c r="J521" i="13"/>
  <c r="B522" i="13"/>
  <c r="E522" i="13"/>
  <c r="F522" i="13"/>
  <c r="G522" i="13"/>
  <c r="H522" i="13"/>
  <c r="I522" i="13"/>
  <c r="J522" i="13"/>
  <c r="B523" i="13"/>
  <c r="E523" i="13"/>
  <c r="F523" i="13"/>
  <c r="G523" i="13"/>
  <c r="H523" i="13"/>
  <c r="I523" i="13"/>
  <c r="J523" i="13"/>
  <c r="B524" i="13"/>
  <c r="E524" i="13"/>
  <c r="F524" i="13"/>
  <c r="G524" i="13"/>
  <c r="H524" i="13"/>
  <c r="I524" i="13"/>
  <c r="J524" i="13"/>
  <c r="B525" i="13"/>
  <c r="E525" i="13"/>
  <c r="F525" i="13"/>
  <c r="G525" i="13"/>
  <c r="H525" i="13"/>
  <c r="I525" i="13"/>
  <c r="J525" i="13"/>
  <c r="B526" i="13"/>
  <c r="E526" i="13"/>
  <c r="F526" i="13"/>
  <c r="G526" i="13"/>
  <c r="H526" i="13"/>
  <c r="I526" i="13"/>
  <c r="J526" i="13"/>
  <c r="B527" i="13"/>
  <c r="E527" i="13"/>
  <c r="F527" i="13"/>
  <c r="G527" i="13"/>
  <c r="H527" i="13"/>
  <c r="I527" i="13"/>
  <c r="J527" i="13"/>
  <c r="B528" i="13"/>
  <c r="E528" i="13"/>
  <c r="F528" i="13"/>
  <c r="G528" i="13"/>
  <c r="H528" i="13"/>
  <c r="I528" i="13"/>
  <c r="J528" i="13"/>
  <c r="B529" i="13"/>
  <c r="E529" i="13"/>
  <c r="F529" i="13"/>
  <c r="G529" i="13"/>
  <c r="H529" i="13"/>
  <c r="I529" i="13"/>
  <c r="J529" i="13"/>
  <c r="B530" i="13"/>
  <c r="E530" i="13"/>
  <c r="F530" i="13"/>
  <c r="G530" i="13"/>
  <c r="H530" i="13"/>
  <c r="I530" i="13"/>
  <c r="J530" i="13"/>
  <c r="B531" i="13"/>
  <c r="E531" i="13"/>
  <c r="F531" i="13"/>
  <c r="G531" i="13"/>
  <c r="H531" i="13"/>
  <c r="I531" i="13"/>
  <c r="J531" i="13"/>
  <c r="B532" i="13"/>
  <c r="E532" i="13"/>
  <c r="F532" i="13"/>
  <c r="G532" i="13"/>
  <c r="H532" i="13"/>
  <c r="I532" i="13"/>
  <c r="J532" i="13"/>
  <c r="B533" i="13"/>
  <c r="E533" i="13"/>
  <c r="F533" i="13"/>
  <c r="G533" i="13"/>
  <c r="H533" i="13"/>
  <c r="I533" i="13"/>
  <c r="J533" i="13"/>
  <c r="B534" i="13"/>
  <c r="E534" i="13"/>
  <c r="F534" i="13"/>
  <c r="G534" i="13"/>
  <c r="H534" i="13"/>
  <c r="I534" i="13"/>
  <c r="J534" i="13"/>
  <c r="B535" i="13"/>
  <c r="E535" i="13"/>
  <c r="F535" i="13"/>
  <c r="G535" i="13"/>
  <c r="H535" i="13"/>
  <c r="I535" i="13"/>
  <c r="J535" i="13"/>
  <c r="B536" i="13"/>
  <c r="E536" i="13"/>
  <c r="F536" i="13"/>
  <c r="G536" i="13"/>
  <c r="H536" i="13"/>
  <c r="I536" i="13"/>
  <c r="J536" i="13"/>
  <c r="B537" i="13"/>
  <c r="E537" i="13"/>
  <c r="F537" i="13"/>
  <c r="G537" i="13"/>
  <c r="H537" i="13"/>
  <c r="I537" i="13"/>
  <c r="J537" i="13"/>
  <c r="B538" i="13"/>
  <c r="E538" i="13"/>
  <c r="F538" i="13"/>
  <c r="G538" i="13"/>
  <c r="H538" i="13"/>
  <c r="I538" i="13"/>
  <c r="J538" i="13"/>
  <c r="B539" i="13"/>
  <c r="E539" i="13"/>
  <c r="F539" i="13"/>
  <c r="G539" i="13"/>
  <c r="H539" i="13"/>
  <c r="I539" i="13"/>
  <c r="J539" i="13"/>
  <c r="B540" i="13"/>
  <c r="E540" i="13"/>
  <c r="F540" i="13"/>
  <c r="G540" i="13"/>
  <c r="H540" i="13"/>
  <c r="I540" i="13"/>
  <c r="J540" i="13"/>
  <c r="B541" i="13"/>
  <c r="E541" i="13"/>
  <c r="F541" i="13"/>
  <c r="G541" i="13"/>
  <c r="H541" i="13"/>
  <c r="I541" i="13"/>
  <c r="J541" i="13"/>
  <c r="B542" i="13"/>
  <c r="E542" i="13"/>
  <c r="F542" i="13"/>
  <c r="G542" i="13"/>
  <c r="H542" i="13"/>
  <c r="I542" i="13"/>
  <c r="J542" i="13"/>
  <c r="B543" i="13"/>
  <c r="E543" i="13"/>
  <c r="F543" i="13"/>
  <c r="G543" i="13"/>
  <c r="H543" i="13"/>
  <c r="I543" i="13"/>
  <c r="J543" i="13"/>
  <c r="B544" i="13"/>
  <c r="E544" i="13"/>
  <c r="F544" i="13"/>
  <c r="G544" i="13"/>
  <c r="H544" i="13"/>
  <c r="I544" i="13"/>
  <c r="J544" i="13"/>
  <c r="B545" i="13"/>
  <c r="E545" i="13"/>
  <c r="F545" i="13"/>
  <c r="G545" i="13"/>
  <c r="H545" i="13"/>
  <c r="I545" i="13"/>
  <c r="J545" i="13"/>
  <c r="B546" i="13"/>
  <c r="E546" i="13"/>
  <c r="F546" i="13"/>
  <c r="G546" i="13"/>
  <c r="H546" i="13"/>
  <c r="I546" i="13"/>
  <c r="J546" i="13"/>
  <c r="B547" i="13"/>
  <c r="E547" i="13"/>
  <c r="F547" i="13"/>
  <c r="G547" i="13"/>
  <c r="H547" i="13"/>
  <c r="I547" i="13"/>
  <c r="J547" i="13"/>
  <c r="B548" i="13"/>
  <c r="E548" i="13"/>
  <c r="F548" i="13"/>
  <c r="G548" i="13"/>
  <c r="H548" i="13"/>
  <c r="I548" i="13"/>
  <c r="J548" i="13"/>
  <c r="B549" i="13"/>
  <c r="E549" i="13"/>
  <c r="F549" i="13"/>
  <c r="G549" i="13"/>
  <c r="H549" i="13"/>
  <c r="I549" i="13"/>
  <c r="J549" i="13"/>
  <c r="B550" i="13"/>
  <c r="E550" i="13"/>
  <c r="F550" i="13"/>
  <c r="G550" i="13"/>
  <c r="H550" i="13"/>
  <c r="I550" i="13"/>
  <c r="J550" i="13"/>
  <c r="B551" i="13"/>
  <c r="E551" i="13"/>
  <c r="F551" i="13"/>
  <c r="G551" i="13"/>
  <c r="H551" i="13"/>
  <c r="I551" i="13"/>
  <c r="J551" i="13"/>
  <c r="B552" i="13"/>
  <c r="E552" i="13"/>
  <c r="F552" i="13"/>
  <c r="G552" i="13"/>
  <c r="H552" i="13"/>
  <c r="I552" i="13"/>
  <c r="J552" i="13"/>
  <c r="B553" i="13"/>
  <c r="E553" i="13"/>
  <c r="F553" i="13"/>
  <c r="G553" i="13"/>
  <c r="H553" i="13"/>
  <c r="I553" i="13"/>
  <c r="J553" i="13"/>
  <c r="B554" i="13"/>
  <c r="E554" i="13"/>
  <c r="F554" i="13"/>
  <c r="G554" i="13"/>
  <c r="H554" i="13"/>
  <c r="I554" i="13"/>
  <c r="J554" i="13"/>
  <c r="B555" i="13"/>
  <c r="E555" i="13"/>
  <c r="F555" i="13"/>
  <c r="G555" i="13"/>
  <c r="H555" i="13"/>
  <c r="I555" i="13"/>
  <c r="J555" i="13"/>
  <c r="B556" i="13"/>
  <c r="E556" i="13"/>
  <c r="F556" i="13"/>
  <c r="G556" i="13"/>
  <c r="H556" i="13"/>
  <c r="I556" i="13"/>
  <c r="J556" i="13"/>
  <c r="B557" i="13"/>
  <c r="E557" i="13"/>
  <c r="F557" i="13"/>
  <c r="G557" i="13"/>
  <c r="H557" i="13"/>
  <c r="I557" i="13"/>
  <c r="J557" i="13"/>
  <c r="B558" i="13"/>
  <c r="E558" i="13"/>
  <c r="F558" i="13"/>
  <c r="G558" i="13"/>
  <c r="H558" i="13"/>
  <c r="I558" i="13"/>
  <c r="J558" i="13"/>
  <c r="B559" i="13"/>
  <c r="E559" i="13"/>
  <c r="F559" i="13"/>
  <c r="G559" i="13"/>
  <c r="H559" i="13"/>
  <c r="I559" i="13"/>
  <c r="J559" i="13"/>
  <c r="B560" i="13"/>
  <c r="E560" i="13"/>
  <c r="F560" i="13"/>
  <c r="G560" i="13"/>
  <c r="H560" i="13"/>
  <c r="I560" i="13"/>
  <c r="J560" i="13"/>
  <c r="B561" i="13"/>
  <c r="E561" i="13"/>
  <c r="F561" i="13"/>
  <c r="G561" i="13"/>
  <c r="H561" i="13"/>
  <c r="I561" i="13"/>
  <c r="J561" i="13"/>
  <c r="B562" i="13"/>
  <c r="E562" i="13"/>
  <c r="F562" i="13"/>
  <c r="G562" i="13"/>
  <c r="H562" i="13"/>
  <c r="I562" i="13"/>
  <c r="J562" i="13"/>
  <c r="B563" i="13"/>
  <c r="E563" i="13"/>
  <c r="F563" i="13"/>
  <c r="G563" i="13"/>
  <c r="H563" i="13"/>
  <c r="I563" i="13"/>
  <c r="J563" i="13"/>
  <c r="B564" i="13"/>
  <c r="E564" i="13"/>
  <c r="F564" i="13"/>
  <c r="G564" i="13"/>
  <c r="H564" i="13"/>
  <c r="I564" i="13"/>
  <c r="J564" i="13"/>
  <c r="B565" i="13"/>
  <c r="E565" i="13"/>
  <c r="F565" i="13"/>
  <c r="G565" i="13"/>
  <c r="H565" i="13"/>
  <c r="I565" i="13"/>
  <c r="J565" i="13"/>
  <c r="B566" i="13"/>
  <c r="E566" i="13"/>
  <c r="F566" i="13"/>
  <c r="G566" i="13"/>
  <c r="H566" i="13"/>
  <c r="I566" i="13"/>
  <c r="J566" i="13"/>
  <c r="B567" i="13"/>
  <c r="E567" i="13"/>
  <c r="F567" i="13"/>
  <c r="G567" i="13"/>
  <c r="H567" i="13"/>
  <c r="I567" i="13"/>
  <c r="J567" i="13"/>
  <c r="B568" i="13"/>
  <c r="E568" i="13"/>
  <c r="F568" i="13"/>
  <c r="G568" i="13"/>
  <c r="H568" i="13"/>
  <c r="I568" i="13"/>
  <c r="J568" i="13"/>
  <c r="B569" i="13"/>
  <c r="E569" i="13"/>
  <c r="F569" i="13"/>
  <c r="G569" i="13"/>
  <c r="H569" i="13"/>
  <c r="I569" i="13"/>
  <c r="J569" i="13"/>
  <c r="B570" i="13"/>
  <c r="E570" i="13"/>
  <c r="F570" i="13"/>
  <c r="G570" i="13"/>
  <c r="H570" i="13"/>
  <c r="I570" i="13"/>
  <c r="J570" i="13"/>
  <c r="B571" i="13"/>
  <c r="E571" i="13"/>
  <c r="F571" i="13"/>
  <c r="G571" i="13"/>
  <c r="H571" i="13"/>
  <c r="I571" i="13"/>
  <c r="J571" i="13"/>
  <c r="B572" i="13"/>
  <c r="E572" i="13"/>
  <c r="F572" i="13"/>
  <c r="G572" i="13"/>
  <c r="H572" i="13"/>
  <c r="I572" i="13"/>
  <c r="J572" i="13"/>
  <c r="B573" i="13"/>
  <c r="E573" i="13"/>
  <c r="F573" i="13"/>
  <c r="G573" i="13"/>
  <c r="H573" i="13"/>
  <c r="I573" i="13"/>
  <c r="J573" i="13"/>
  <c r="B574" i="13"/>
  <c r="E574" i="13"/>
  <c r="F574" i="13"/>
  <c r="G574" i="13"/>
  <c r="H574" i="13"/>
  <c r="I574" i="13"/>
  <c r="J574" i="13"/>
  <c r="B575" i="13"/>
  <c r="E575" i="13"/>
  <c r="F575" i="13"/>
  <c r="G575" i="13"/>
  <c r="H575" i="13"/>
  <c r="I575" i="13"/>
  <c r="J575" i="13"/>
  <c r="B576" i="13"/>
  <c r="E576" i="13"/>
  <c r="F576" i="13"/>
  <c r="G576" i="13"/>
  <c r="H576" i="13"/>
  <c r="I576" i="13"/>
  <c r="J576" i="13"/>
  <c r="B577" i="13"/>
  <c r="E577" i="13"/>
  <c r="F577" i="13"/>
  <c r="G577" i="13"/>
  <c r="H577" i="13"/>
  <c r="I577" i="13"/>
  <c r="J577" i="13"/>
  <c r="B578" i="13"/>
  <c r="E578" i="13"/>
  <c r="F578" i="13"/>
  <c r="G578" i="13"/>
  <c r="H578" i="13"/>
  <c r="I578" i="13"/>
  <c r="J578" i="13"/>
  <c r="B579" i="13"/>
  <c r="E579" i="13"/>
  <c r="F579" i="13"/>
  <c r="G579" i="13"/>
  <c r="H579" i="13"/>
  <c r="I579" i="13"/>
  <c r="J579" i="13"/>
  <c r="B580" i="13"/>
  <c r="E580" i="13"/>
  <c r="F580" i="13"/>
  <c r="G580" i="13"/>
  <c r="H580" i="13"/>
  <c r="I580" i="13"/>
  <c r="J580" i="13"/>
  <c r="B581" i="13"/>
  <c r="E581" i="13"/>
  <c r="F581" i="13"/>
  <c r="G581" i="13"/>
  <c r="H581" i="13"/>
  <c r="I581" i="13"/>
  <c r="J581" i="13"/>
  <c r="B582" i="13"/>
  <c r="E582" i="13"/>
  <c r="F582" i="13"/>
  <c r="G582" i="13"/>
  <c r="H582" i="13"/>
  <c r="I582" i="13"/>
  <c r="J582" i="13"/>
  <c r="B583" i="13"/>
  <c r="E583" i="13"/>
  <c r="F583" i="13"/>
  <c r="G583" i="13"/>
  <c r="H583" i="13"/>
  <c r="I583" i="13"/>
  <c r="J583" i="13"/>
  <c r="B584" i="13"/>
  <c r="E584" i="13"/>
  <c r="F584" i="13"/>
  <c r="G584" i="13"/>
  <c r="H584" i="13"/>
  <c r="I584" i="13"/>
  <c r="J584" i="13"/>
  <c r="B585" i="13"/>
  <c r="E585" i="13"/>
  <c r="F585" i="13"/>
  <c r="G585" i="13"/>
  <c r="H585" i="13"/>
  <c r="I585" i="13"/>
  <c r="J585" i="13"/>
  <c r="B586" i="13"/>
  <c r="E586" i="13"/>
  <c r="F586" i="13"/>
  <c r="G586" i="13"/>
  <c r="H586" i="13"/>
  <c r="I586" i="13"/>
  <c r="J586" i="13"/>
  <c r="B587" i="13"/>
  <c r="E587" i="13"/>
  <c r="F587" i="13"/>
  <c r="G587" i="13"/>
  <c r="H587" i="13"/>
  <c r="I587" i="13"/>
  <c r="J587" i="13"/>
  <c r="B588" i="13"/>
  <c r="E588" i="13"/>
  <c r="F588" i="13"/>
  <c r="G588" i="13"/>
  <c r="H588" i="13"/>
  <c r="I588" i="13"/>
  <c r="J588" i="13"/>
  <c r="B589" i="13"/>
  <c r="E589" i="13"/>
  <c r="F589" i="13"/>
  <c r="G589" i="13"/>
  <c r="H589" i="13"/>
  <c r="I589" i="13"/>
  <c r="J589" i="13"/>
  <c r="B590" i="13"/>
  <c r="E590" i="13"/>
  <c r="F590" i="13"/>
  <c r="G590" i="13"/>
  <c r="H590" i="13"/>
  <c r="I590" i="13"/>
  <c r="J590" i="13"/>
  <c r="B591" i="13"/>
  <c r="E591" i="13"/>
  <c r="F591" i="13"/>
  <c r="G591" i="13"/>
  <c r="H591" i="13"/>
  <c r="I591" i="13"/>
  <c r="J591" i="13"/>
  <c r="B592" i="13"/>
  <c r="E592" i="13"/>
  <c r="F592" i="13"/>
  <c r="G592" i="13"/>
  <c r="H592" i="13"/>
  <c r="I592" i="13"/>
  <c r="J592" i="13"/>
  <c r="B593" i="13"/>
  <c r="E593" i="13"/>
  <c r="F593" i="13"/>
  <c r="G593" i="13"/>
  <c r="H593" i="13"/>
  <c r="I593" i="13"/>
  <c r="J593" i="13"/>
  <c r="B594" i="13"/>
  <c r="E594" i="13"/>
  <c r="F594" i="13"/>
  <c r="G594" i="13"/>
  <c r="H594" i="13"/>
  <c r="I594" i="13"/>
  <c r="J594" i="13"/>
  <c r="B595" i="13"/>
  <c r="E595" i="13"/>
  <c r="F595" i="13"/>
  <c r="G595" i="13"/>
  <c r="H595" i="13"/>
  <c r="I595" i="13"/>
  <c r="J595" i="13"/>
  <c r="B596" i="13"/>
  <c r="E596" i="13"/>
  <c r="F596" i="13"/>
  <c r="G596" i="13"/>
  <c r="H596" i="13"/>
  <c r="I596" i="13"/>
  <c r="J596" i="13"/>
  <c r="B597" i="13"/>
  <c r="E597" i="13"/>
  <c r="F597" i="13"/>
  <c r="G597" i="13"/>
  <c r="H597" i="13"/>
  <c r="I597" i="13"/>
  <c r="J597" i="13"/>
  <c r="B598" i="13"/>
  <c r="E598" i="13"/>
  <c r="F598" i="13"/>
  <c r="G598" i="13"/>
  <c r="H598" i="13"/>
  <c r="I598" i="13"/>
  <c r="J598" i="13"/>
  <c r="B599" i="13"/>
  <c r="E599" i="13"/>
  <c r="F599" i="13"/>
  <c r="G599" i="13"/>
  <c r="H599" i="13"/>
  <c r="I599" i="13"/>
  <c r="J599" i="13"/>
  <c r="B600" i="13"/>
  <c r="E600" i="13"/>
  <c r="F600" i="13"/>
  <c r="G600" i="13"/>
  <c r="H600" i="13"/>
  <c r="I600" i="13"/>
  <c r="J600" i="13"/>
  <c r="B601" i="13"/>
  <c r="E601" i="13"/>
  <c r="F601" i="13"/>
  <c r="G601" i="13"/>
  <c r="H601" i="13"/>
  <c r="I601" i="13"/>
  <c r="J601" i="13"/>
  <c r="B602" i="13"/>
  <c r="E602" i="13"/>
  <c r="F602" i="13"/>
  <c r="G602" i="13"/>
  <c r="H602" i="13"/>
  <c r="I602" i="13"/>
  <c r="J602" i="13"/>
  <c r="B603" i="13"/>
  <c r="E603" i="13"/>
  <c r="F603" i="13"/>
  <c r="G603" i="13"/>
  <c r="H603" i="13"/>
  <c r="I603" i="13"/>
  <c r="J603" i="13"/>
  <c r="B604" i="13"/>
  <c r="E604" i="13"/>
  <c r="F604" i="13"/>
  <c r="G604" i="13"/>
  <c r="H604" i="13"/>
  <c r="I604" i="13"/>
  <c r="J604" i="13"/>
  <c r="B605" i="13"/>
  <c r="E605" i="13"/>
  <c r="F605" i="13"/>
  <c r="G605" i="13"/>
  <c r="H605" i="13"/>
  <c r="I605" i="13"/>
  <c r="J605" i="13"/>
  <c r="B606" i="13"/>
  <c r="E606" i="13"/>
  <c r="F606" i="13"/>
  <c r="G606" i="13"/>
  <c r="H606" i="13"/>
  <c r="I606" i="13"/>
  <c r="J606" i="13"/>
  <c r="B607" i="13"/>
  <c r="E607" i="13"/>
  <c r="F607" i="13"/>
  <c r="G607" i="13"/>
  <c r="H607" i="13"/>
  <c r="I607" i="13"/>
  <c r="J607" i="13"/>
  <c r="B608" i="13"/>
  <c r="E608" i="13"/>
  <c r="F608" i="13"/>
  <c r="G608" i="13"/>
  <c r="H608" i="13"/>
  <c r="I608" i="13"/>
  <c r="J608" i="13"/>
  <c r="B609" i="13"/>
  <c r="E609" i="13"/>
  <c r="F609" i="13"/>
  <c r="G609" i="13"/>
  <c r="H609" i="13"/>
  <c r="I609" i="13"/>
  <c r="J609" i="13"/>
  <c r="B610" i="13"/>
  <c r="E610" i="13"/>
  <c r="F610" i="13"/>
  <c r="G610" i="13"/>
  <c r="H610" i="13"/>
  <c r="I610" i="13"/>
  <c r="J610" i="13"/>
  <c r="B611" i="13"/>
  <c r="E611" i="13"/>
  <c r="F611" i="13"/>
  <c r="G611" i="13"/>
  <c r="H611" i="13"/>
  <c r="I611" i="13"/>
  <c r="J611" i="13"/>
  <c r="B612" i="13"/>
  <c r="E612" i="13"/>
  <c r="F612" i="13"/>
  <c r="G612" i="13"/>
  <c r="H612" i="13"/>
  <c r="I612" i="13"/>
  <c r="J612" i="13"/>
  <c r="B613" i="13"/>
  <c r="E613" i="13"/>
  <c r="F613" i="13"/>
  <c r="G613" i="13"/>
  <c r="H613" i="13"/>
  <c r="I613" i="13"/>
  <c r="J613" i="13"/>
  <c r="B614" i="13"/>
  <c r="E614" i="13"/>
  <c r="F614" i="13"/>
  <c r="G614" i="13"/>
  <c r="H614" i="13"/>
  <c r="I614" i="13"/>
  <c r="J614" i="13"/>
  <c r="B615" i="13"/>
  <c r="E615" i="13"/>
  <c r="F615" i="13"/>
  <c r="G615" i="13"/>
  <c r="H615" i="13"/>
  <c r="I615" i="13"/>
  <c r="J615" i="13"/>
  <c r="B616" i="13"/>
  <c r="E616" i="13"/>
  <c r="F616" i="13"/>
  <c r="G616" i="13"/>
  <c r="H616" i="13"/>
  <c r="I616" i="13"/>
  <c r="J616" i="13"/>
  <c r="B617" i="13"/>
  <c r="E617" i="13"/>
  <c r="F617" i="13"/>
  <c r="G617" i="13"/>
  <c r="H617" i="13"/>
  <c r="I617" i="13"/>
  <c r="J617" i="13"/>
  <c r="B618" i="13"/>
  <c r="E618" i="13"/>
  <c r="F618" i="13"/>
  <c r="G618" i="13"/>
  <c r="H618" i="13"/>
  <c r="I618" i="13"/>
  <c r="J618" i="13"/>
  <c r="B619" i="13"/>
  <c r="E619" i="13"/>
  <c r="F619" i="13"/>
  <c r="G619" i="13"/>
  <c r="H619" i="13"/>
  <c r="I619" i="13"/>
  <c r="J619" i="13"/>
  <c r="B620" i="13"/>
  <c r="E620" i="13"/>
  <c r="F620" i="13"/>
  <c r="G620" i="13"/>
  <c r="H620" i="13"/>
  <c r="I620" i="13"/>
  <c r="J620" i="13"/>
  <c r="B621" i="13"/>
  <c r="E621" i="13"/>
  <c r="F621" i="13"/>
  <c r="G621" i="13"/>
  <c r="H621" i="13"/>
  <c r="I621" i="13"/>
  <c r="J621" i="13"/>
  <c r="B622" i="13"/>
  <c r="E622" i="13"/>
  <c r="F622" i="13"/>
  <c r="G622" i="13"/>
  <c r="H622" i="13"/>
  <c r="I622" i="13"/>
  <c r="J622" i="13"/>
  <c r="B623" i="13"/>
  <c r="E623" i="13"/>
  <c r="F623" i="13"/>
  <c r="G623" i="13"/>
  <c r="H623" i="13"/>
  <c r="I623" i="13"/>
  <c r="J623" i="13"/>
  <c r="B624" i="13"/>
  <c r="E624" i="13"/>
  <c r="F624" i="13"/>
  <c r="G624" i="13"/>
  <c r="H624" i="13"/>
  <c r="I624" i="13"/>
  <c r="J624" i="13"/>
  <c r="B625" i="13"/>
  <c r="E625" i="13"/>
  <c r="F625" i="13"/>
  <c r="G625" i="13"/>
  <c r="H625" i="13"/>
  <c r="I625" i="13"/>
  <c r="J625" i="13"/>
  <c r="B626" i="13"/>
  <c r="E626" i="13"/>
  <c r="F626" i="13"/>
  <c r="G626" i="13"/>
  <c r="H626" i="13"/>
  <c r="I626" i="13"/>
  <c r="J626" i="13"/>
  <c r="B627" i="13"/>
  <c r="E627" i="13"/>
  <c r="F627" i="13"/>
  <c r="G627" i="13"/>
  <c r="H627" i="13"/>
  <c r="I627" i="13"/>
  <c r="J627" i="13"/>
  <c r="B628" i="13"/>
  <c r="E628" i="13"/>
  <c r="F628" i="13"/>
  <c r="G628" i="13"/>
  <c r="H628" i="13"/>
  <c r="I628" i="13"/>
  <c r="J628" i="13"/>
  <c r="B629" i="13"/>
  <c r="E629" i="13"/>
  <c r="F629" i="13"/>
  <c r="G629" i="13"/>
  <c r="H629" i="13"/>
  <c r="I629" i="13"/>
  <c r="J629" i="13"/>
  <c r="B630" i="13"/>
  <c r="E630" i="13"/>
  <c r="F630" i="13"/>
  <c r="G630" i="13"/>
  <c r="H630" i="13"/>
  <c r="I630" i="13"/>
  <c r="J630" i="13"/>
  <c r="A2"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I7" i="4"/>
  <c r="I8" i="4"/>
  <c r="I9" i="4"/>
  <c r="I10" i="4"/>
  <c r="I6" i="13" s="1"/>
  <c r="I11" i="4"/>
  <c r="I7" i="13" s="1"/>
  <c r="I12" i="4"/>
  <c r="I8" i="13" s="1"/>
  <c r="I13" i="4"/>
  <c r="I9" i="13" s="1"/>
  <c r="I14" i="4"/>
  <c r="I10" i="13" s="1"/>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 i="4"/>
  <c r="I2" i="13" s="1"/>
  <c r="H2" i="13"/>
  <c r="L1" i="13" s="1"/>
  <c r="H7" i="4"/>
  <c r="H8" i="4"/>
  <c r="H9" i="4"/>
  <c r="H10" i="4"/>
  <c r="H6" i="13" s="1"/>
  <c r="H11" i="4"/>
  <c r="H7" i="13" s="1"/>
  <c r="H12" i="4"/>
  <c r="H8" i="13" s="1"/>
  <c r="H13" i="4"/>
  <c r="H9" i="13" s="1"/>
  <c r="H14" i="4"/>
  <c r="H10" i="13" s="1"/>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500" i="10"/>
  <c r="H501" i="10"/>
  <c r="H502" i="10"/>
  <c r="H503" i="10"/>
  <c r="H504" i="10"/>
  <c r="H505" i="10"/>
  <c r="H506" i="10"/>
  <c r="H507" i="10"/>
  <c r="H508" i="10"/>
  <c r="H509" i="10"/>
  <c r="H510" i="10"/>
  <c r="H511"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H590" i="10"/>
  <c r="H591" i="10"/>
  <c r="H592" i="10"/>
  <c r="H593" i="10"/>
  <c r="H594" i="10"/>
  <c r="H595" i="10"/>
  <c r="H596" i="10"/>
  <c r="H597" i="10"/>
  <c r="H598" i="10"/>
  <c r="H599" i="10"/>
  <c r="H600" i="10"/>
  <c r="H601" i="10"/>
  <c r="H602" i="10"/>
  <c r="H603" i="10"/>
  <c r="H604" i="10"/>
  <c r="H605" i="10"/>
  <c r="H606" i="10"/>
  <c r="H607" i="10"/>
  <c r="H608" i="10"/>
  <c r="H609" i="10"/>
  <c r="H610" i="10"/>
  <c r="H611" i="10"/>
  <c r="H612" i="10"/>
  <c r="H613" i="10"/>
  <c r="H614" i="10"/>
  <c r="H615" i="10"/>
  <c r="H616" i="10"/>
  <c r="H617" i="10"/>
  <c r="H618" i="10"/>
  <c r="H619" i="10"/>
  <c r="H620" i="10"/>
  <c r="H621" i="10"/>
  <c r="H622" i="10"/>
  <c r="H623" i="10"/>
  <c r="H624" i="10"/>
  <c r="H625" i="10"/>
  <c r="H626" i="10"/>
  <c r="H627" i="10"/>
  <c r="H628" i="10"/>
  <c r="H629" i="10"/>
  <c r="H630" i="10"/>
  <c r="H631" i="10"/>
  <c r="H632" i="10"/>
  <c r="H633" i="10"/>
  <c r="H634" i="10"/>
  <c r="H635" i="10"/>
  <c r="H636" i="10"/>
  <c r="H637" i="10"/>
  <c r="H638" i="10"/>
  <c r="H639" i="10"/>
  <c r="H640" i="10"/>
  <c r="H641" i="10"/>
  <c r="H642" i="10"/>
  <c r="H643" i="10"/>
  <c r="H644" i="10"/>
  <c r="H645" i="10"/>
  <c r="H646" i="10"/>
  <c r="H647" i="10"/>
  <c r="H648" i="10"/>
  <c r="H649" i="10"/>
  <c r="H650" i="10"/>
  <c r="H651" i="10"/>
  <c r="H652" i="10"/>
  <c r="H653" i="10"/>
  <c r="H654" i="10"/>
  <c r="H655" i="10"/>
  <c r="H656" i="10"/>
  <c r="H657" i="10"/>
  <c r="H658" i="10"/>
  <c r="H659" i="10"/>
  <c r="H660" i="10"/>
  <c r="H661" i="10"/>
  <c r="H662" i="10"/>
  <c r="H663" i="10"/>
  <c r="H664" i="10"/>
  <c r="H665" i="10"/>
  <c r="H666" i="10"/>
  <c r="H667" i="10"/>
  <c r="H668" i="10"/>
  <c r="H669" i="10"/>
  <c r="H670" i="10"/>
  <c r="H671" i="10"/>
  <c r="H672" i="10"/>
  <c r="H673" i="10"/>
  <c r="H674" i="10"/>
  <c r="H675" i="10"/>
  <c r="H676" i="10"/>
  <c r="H677" i="10"/>
  <c r="H678" i="10"/>
  <c r="H679" i="10"/>
  <c r="H680" i="10"/>
  <c r="H681" i="10"/>
  <c r="H682" i="10"/>
  <c r="H683" i="10"/>
  <c r="H684" i="10"/>
  <c r="H685" i="10"/>
  <c r="H686" i="10"/>
  <c r="H687" i="10"/>
  <c r="H688" i="10"/>
  <c r="H689" i="10"/>
  <c r="H690" i="10"/>
  <c r="H691" i="10"/>
  <c r="H692" i="10"/>
  <c r="H693" i="10"/>
  <c r="H694" i="10"/>
  <c r="H695" i="10"/>
  <c r="H696" i="10"/>
  <c r="H697" i="10"/>
  <c r="H698" i="10"/>
  <c r="H699" i="10"/>
  <c r="H700" i="10"/>
  <c r="H701" i="10"/>
  <c r="H702" i="10"/>
  <c r="H703" i="10"/>
  <c r="H704" i="10"/>
  <c r="H705" i="10"/>
  <c r="H706" i="10"/>
  <c r="H707" i="10"/>
  <c r="H708" i="10"/>
  <c r="H709" i="10"/>
  <c r="H710" i="10"/>
  <c r="H711" i="10"/>
  <c r="H712" i="10"/>
  <c r="H713" i="10"/>
  <c r="H714" i="10"/>
  <c r="H715" i="10"/>
  <c r="H716" i="10"/>
  <c r="H717" i="10"/>
  <c r="H718" i="10"/>
  <c r="H719" i="10"/>
  <c r="H720" i="10"/>
  <c r="H721" i="10"/>
  <c r="H722" i="10"/>
  <c r="H723" i="10"/>
  <c r="H724" i="10"/>
  <c r="H725" i="10"/>
  <c r="H726" i="10"/>
  <c r="H727" i="10"/>
  <c r="H728" i="10"/>
  <c r="H729" i="10"/>
  <c r="H730" i="10"/>
  <c r="H731" i="10"/>
  <c r="H732" i="10"/>
  <c r="H733" i="10"/>
  <c r="H734" i="10"/>
  <c r="H735" i="10"/>
  <c r="H736" i="10"/>
  <c r="H737" i="10"/>
  <c r="H738" i="10"/>
  <c r="H739" i="10"/>
  <c r="H740" i="10"/>
  <c r="H741" i="10"/>
  <c r="H742" i="10"/>
  <c r="H743" i="10"/>
  <c r="H744" i="10"/>
  <c r="H745" i="10"/>
  <c r="H746" i="10"/>
  <c r="H747" i="10"/>
  <c r="H748" i="10"/>
  <c r="H749" i="10"/>
  <c r="H750" i="10"/>
  <c r="H751" i="10"/>
  <c r="H752" i="10"/>
  <c r="H753" i="10"/>
  <c r="H754" i="10"/>
  <c r="H755" i="10"/>
  <c r="H756" i="10"/>
  <c r="H757" i="10"/>
  <c r="H758" i="10"/>
  <c r="H759" i="10"/>
  <c r="H760" i="10"/>
  <c r="H761" i="10"/>
  <c r="H762" i="10"/>
  <c r="H763" i="10"/>
  <c r="H764" i="10"/>
  <c r="H765" i="10"/>
  <c r="H766" i="10"/>
  <c r="H767" i="10"/>
  <c r="H768" i="10"/>
  <c r="H769" i="10"/>
  <c r="H770" i="10"/>
  <c r="H771" i="10"/>
  <c r="H772" i="10"/>
  <c r="H773" i="10"/>
  <c r="H774" i="10"/>
  <c r="H775" i="10"/>
  <c r="H776" i="10"/>
  <c r="H777" i="10"/>
  <c r="H778" i="10"/>
  <c r="H779" i="10"/>
  <c r="H780" i="10"/>
  <c r="H781" i="10"/>
  <c r="H782" i="10"/>
  <c r="H783" i="10"/>
  <c r="H784" i="10"/>
  <c r="H785" i="10"/>
  <c r="H786" i="10"/>
  <c r="H787" i="10"/>
  <c r="H788" i="10"/>
  <c r="H789" i="10"/>
  <c r="H790" i="10"/>
  <c r="H791" i="10"/>
  <c r="H792" i="10"/>
  <c r="H793" i="10"/>
  <c r="H794" i="10"/>
  <c r="H795" i="10"/>
  <c r="H796" i="10"/>
  <c r="H797" i="10"/>
  <c r="H798" i="10"/>
  <c r="H799" i="10"/>
  <c r="H800" i="10"/>
  <c r="H801" i="10"/>
  <c r="H802" i="10"/>
  <c r="H803" i="10"/>
  <c r="H804" i="10"/>
  <c r="H805" i="10"/>
  <c r="H806" i="10"/>
  <c r="H807" i="10"/>
  <c r="H808" i="10"/>
  <c r="H809" i="10"/>
  <c r="H810" i="10"/>
  <c r="H811" i="10"/>
  <c r="H812" i="10"/>
  <c r="H813" i="10"/>
  <c r="H814" i="10"/>
  <c r="H815" i="10"/>
  <c r="H816" i="10"/>
  <c r="H817" i="10"/>
  <c r="H818" i="10"/>
  <c r="H819" i="10"/>
  <c r="H820" i="10"/>
  <c r="H821" i="10"/>
  <c r="H822" i="10"/>
  <c r="H823" i="10"/>
  <c r="H824" i="10"/>
  <c r="H825" i="10"/>
  <c r="H826" i="10"/>
  <c r="H827" i="10"/>
  <c r="H828" i="10"/>
  <c r="H829" i="10"/>
  <c r="H830" i="10"/>
  <c r="H831" i="10"/>
  <c r="H832" i="10"/>
  <c r="H833" i="10"/>
  <c r="H834" i="10"/>
  <c r="H835" i="10"/>
  <c r="H836" i="10"/>
  <c r="H837" i="10"/>
  <c r="H838" i="10"/>
  <c r="H839" i="10"/>
  <c r="H840" i="10"/>
  <c r="H841" i="10"/>
  <c r="H842" i="10"/>
  <c r="H843" i="10"/>
  <c r="H844" i="10"/>
  <c r="H845" i="10"/>
  <c r="H846" i="10"/>
  <c r="H847" i="10"/>
  <c r="H848" i="10"/>
  <c r="H849" i="10"/>
  <c r="H850" i="10"/>
  <c r="H851" i="10"/>
  <c r="H852" i="10"/>
  <c r="H853" i="10"/>
  <c r="H854" i="10"/>
  <c r="H855" i="10"/>
  <c r="H856" i="10"/>
  <c r="H857" i="10"/>
  <c r="H858" i="10"/>
  <c r="H859" i="10"/>
  <c r="H860" i="10"/>
  <c r="H861" i="10"/>
  <c r="H862" i="10"/>
  <c r="H863" i="10"/>
  <c r="H864" i="10"/>
  <c r="H865" i="10"/>
  <c r="H866" i="10"/>
  <c r="H867" i="10"/>
  <c r="H868" i="10"/>
  <c r="H869" i="10"/>
  <c r="H870" i="10"/>
  <c r="H871" i="10"/>
  <c r="H872" i="10"/>
  <c r="H873" i="10"/>
  <c r="H874" i="10"/>
  <c r="H875" i="10"/>
  <c r="H876" i="10"/>
  <c r="H877" i="10"/>
  <c r="H878" i="10"/>
  <c r="H879" i="10"/>
  <c r="H880" i="10"/>
  <c r="H881" i="10"/>
  <c r="H882" i="10"/>
  <c r="H883" i="10"/>
  <c r="H884" i="10"/>
  <c r="H885" i="10"/>
  <c r="H886" i="10"/>
  <c r="H887" i="10"/>
  <c r="H888" i="10"/>
  <c r="H889" i="10"/>
  <c r="H890" i="10"/>
  <c r="H891" i="10"/>
  <c r="H892" i="10"/>
  <c r="H893" i="10"/>
  <c r="H894" i="10"/>
  <c r="H895" i="10"/>
  <c r="H896" i="10"/>
  <c r="H897" i="10"/>
  <c r="H898" i="10"/>
  <c r="H899" i="10"/>
  <c r="H900" i="10"/>
  <c r="H901" i="10"/>
  <c r="H902" i="10"/>
  <c r="H903" i="10"/>
  <c r="H904" i="10"/>
  <c r="H905" i="10"/>
  <c r="H906" i="10"/>
  <c r="H907" i="10"/>
  <c r="H908" i="10"/>
  <c r="H909" i="10"/>
  <c r="H910" i="10"/>
  <c r="H911" i="10"/>
  <c r="H912" i="10"/>
  <c r="H913" i="10"/>
  <c r="H914" i="10"/>
  <c r="H915" i="10"/>
  <c r="H916" i="10"/>
  <c r="H917" i="10"/>
  <c r="H918" i="10"/>
  <c r="H919" i="10"/>
  <c r="H920" i="10"/>
  <c r="H921" i="10"/>
  <c r="H922" i="10"/>
  <c r="H923" i="10"/>
  <c r="H924" i="10"/>
  <c r="H925" i="10"/>
  <c r="H926" i="10"/>
  <c r="H927" i="10"/>
  <c r="H928" i="10"/>
  <c r="H929" i="10"/>
  <c r="H930" i="10"/>
  <c r="H931" i="10"/>
  <c r="H932" i="10"/>
  <c r="H933" i="10"/>
  <c r="H934" i="10"/>
  <c r="H935" i="10"/>
  <c r="H936" i="10"/>
  <c r="H937" i="10"/>
  <c r="H938" i="10"/>
  <c r="H939" i="10"/>
  <c r="H940" i="10"/>
  <c r="H941" i="10"/>
  <c r="H942" i="10"/>
  <c r="H943" i="10"/>
  <c r="H944" i="10"/>
  <c r="H945" i="10"/>
  <c r="H946" i="10"/>
  <c r="H947" i="10"/>
  <c r="H948" i="10"/>
  <c r="H949" i="10"/>
  <c r="H950" i="10"/>
  <c r="H951" i="10"/>
  <c r="H952" i="10"/>
  <c r="H953" i="10"/>
  <c r="H954" i="10"/>
  <c r="H955" i="10"/>
  <c r="H956" i="10"/>
  <c r="H957" i="10"/>
  <c r="H958" i="10"/>
  <c r="H959" i="10"/>
  <c r="H960" i="10"/>
  <c r="H961" i="10"/>
  <c r="H962" i="10"/>
  <c r="H963" i="10"/>
  <c r="H964" i="10"/>
  <c r="H965" i="10"/>
  <c r="H966" i="10"/>
  <c r="H967" i="10"/>
  <c r="H968" i="10"/>
  <c r="H969" i="10"/>
  <c r="H970" i="10"/>
  <c r="H971" i="10"/>
  <c r="H972" i="10"/>
  <c r="H973" i="10"/>
  <c r="H974" i="10"/>
  <c r="H975" i="10"/>
  <c r="H976" i="10"/>
  <c r="H977" i="10"/>
  <c r="H978" i="10"/>
  <c r="H979" i="10"/>
  <c r="H980" i="10"/>
  <c r="H981" i="10"/>
  <c r="H982" i="10"/>
  <c r="H983" i="10"/>
  <c r="H984" i="10"/>
  <c r="H985" i="10"/>
  <c r="H986" i="10"/>
  <c r="H987" i="10"/>
  <c r="H988" i="10"/>
  <c r="H989" i="10"/>
  <c r="H990" i="10"/>
  <c r="H991" i="10"/>
  <c r="H992" i="10"/>
  <c r="H993" i="10"/>
  <c r="H994" i="10"/>
  <c r="H995" i="10"/>
  <c r="H996" i="10"/>
  <c r="H997" i="10"/>
  <c r="H998" i="10"/>
  <c r="H999" i="10"/>
  <c r="H1000" i="10"/>
  <c r="H1001" i="10"/>
  <c r="H1002" i="10"/>
  <c r="H1003" i="10"/>
  <c r="H1004" i="10"/>
  <c r="H1005" i="10"/>
  <c r="H1006" i="10"/>
  <c r="H1007" i="10"/>
  <c r="H1008" i="10"/>
  <c r="H1009" i="10"/>
  <c r="H1010" i="10"/>
  <c r="H1011" i="10"/>
  <c r="H1012" i="10"/>
  <c r="H1013" i="10"/>
  <c r="H1014" i="10"/>
  <c r="H1015" i="10"/>
  <c r="H1016" i="10"/>
  <c r="H1017" i="10"/>
  <c r="H1018" i="10"/>
  <c r="H1019" i="10"/>
  <c r="H1020" i="10"/>
  <c r="H1021" i="10"/>
  <c r="H1022" i="10"/>
  <c r="H1023" i="10"/>
  <c r="H1024" i="10"/>
  <c r="H1025" i="10"/>
  <c r="H1026" i="10"/>
  <c r="H1027" i="10"/>
  <c r="H1028" i="10"/>
  <c r="H1029" i="10"/>
  <c r="H1030" i="10"/>
  <c r="H1031" i="10"/>
  <c r="H1032" i="10"/>
  <c r="H1033" i="10"/>
  <c r="H1034" i="10"/>
  <c r="H1035" i="10"/>
  <c r="H1036" i="10"/>
  <c r="H1037" i="10"/>
  <c r="H1038" i="10"/>
  <c r="H1039" i="10"/>
  <c r="H1040" i="10"/>
  <c r="H1041" i="10"/>
  <c r="H1042" i="10"/>
  <c r="H1043" i="10"/>
  <c r="H1044" i="10"/>
  <c r="H1045" i="10"/>
  <c r="H1046" i="10"/>
  <c r="H1047" i="10"/>
  <c r="H1048" i="10"/>
  <c r="H1049" i="10"/>
  <c r="H1050" i="10"/>
  <c r="H1051" i="10"/>
  <c r="H1052" i="10"/>
  <c r="H1053" i="10"/>
  <c r="H1054" i="10"/>
  <c r="H1055" i="10"/>
  <c r="H1056" i="10"/>
  <c r="H1057" i="10"/>
  <c r="H1058" i="10"/>
  <c r="H1059" i="10"/>
  <c r="H1060" i="10"/>
  <c r="H1061" i="10"/>
  <c r="H1062" i="10"/>
  <c r="H1063" i="10"/>
  <c r="H1064" i="10"/>
  <c r="H1065" i="10"/>
  <c r="H1066" i="10"/>
  <c r="H1067" i="10"/>
  <c r="H1068" i="10"/>
  <c r="H1069" i="10"/>
  <c r="H1070" i="10"/>
  <c r="H1071" i="10"/>
  <c r="H1072" i="10"/>
  <c r="H1073" i="10"/>
  <c r="H1074" i="10"/>
  <c r="H1075" i="10"/>
  <c r="H1076" i="10"/>
  <c r="H1077" i="10"/>
  <c r="H1078" i="10"/>
  <c r="H1079" i="10"/>
  <c r="H1080" i="10"/>
  <c r="H1081" i="10"/>
  <c r="H1082" i="10"/>
  <c r="H1083" i="10"/>
  <c r="H1084" i="10"/>
  <c r="H1085" i="10"/>
  <c r="H1086" i="10"/>
  <c r="H1087" i="10"/>
  <c r="H1088" i="10"/>
  <c r="H1089" i="10"/>
  <c r="H1090" i="10"/>
  <c r="H1091" i="10"/>
  <c r="H1092" i="10"/>
  <c r="H1093" i="10"/>
  <c r="H1094" i="10"/>
  <c r="H1095" i="10"/>
  <c r="H1096" i="10"/>
  <c r="H1097" i="10"/>
  <c r="H1098" i="10"/>
  <c r="H1099" i="10"/>
  <c r="H1100" i="10"/>
  <c r="H1101" i="10"/>
  <c r="H1102" i="10"/>
  <c r="H1103" i="10"/>
  <c r="H1104" i="10"/>
  <c r="H1105" i="10"/>
  <c r="H1106" i="10"/>
  <c r="H1107" i="10"/>
  <c r="H1108" i="10"/>
  <c r="H1109" i="10"/>
  <c r="H1110" i="10"/>
  <c r="H1111" i="10"/>
  <c r="H1112" i="10"/>
  <c r="H1113" i="10"/>
  <c r="H1114" i="10"/>
  <c r="H1115" i="10"/>
  <c r="H1116" i="10"/>
  <c r="H1117" i="10"/>
  <c r="H1118" i="10"/>
  <c r="H1119" i="10"/>
  <c r="H1120" i="10"/>
  <c r="H1121" i="10"/>
  <c r="H1122" i="10"/>
  <c r="H1123" i="10"/>
  <c r="H1124" i="10"/>
  <c r="H1125" i="10"/>
  <c r="H1126" i="10"/>
  <c r="H1127" i="10"/>
  <c r="H1128" i="10"/>
  <c r="H1129" i="10"/>
  <c r="H1130" i="10"/>
  <c r="H1131" i="10"/>
  <c r="H1132" i="10"/>
  <c r="H1133" i="10"/>
  <c r="H1134" i="10"/>
  <c r="H1135" i="10"/>
  <c r="H1136" i="10"/>
  <c r="H1137" i="10"/>
  <c r="H1138" i="10"/>
  <c r="H1139" i="10"/>
  <c r="H1140" i="10"/>
  <c r="H1141" i="10"/>
  <c r="H1142" i="10"/>
  <c r="H1143" i="10"/>
  <c r="H1144" i="10"/>
  <c r="H1145" i="10"/>
  <c r="H1146" i="10"/>
  <c r="H1147" i="10"/>
  <c r="H1148" i="10"/>
  <c r="H1149" i="10"/>
  <c r="H1150" i="10"/>
  <c r="H1151" i="10"/>
  <c r="H1152" i="10"/>
  <c r="H1153" i="10"/>
  <c r="H1154" i="10"/>
  <c r="H1155" i="10"/>
  <c r="H1156" i="10"/>
  <c r="H1157" i="10"/>
  <c r="H1158" i="10"/>
  <c r="H1159" i="10"/>
  <c r="H1160" i="10"/>
  <c r="H1161" i="10"/>
  <c r="H1162" i="10"/>
  <c r="H1163" i="10"/>
  <c r="H1164" i="10"/>
  <c r="H1165" i="10"/>
  <c r="H1166" i="10"/>
  <c r="H1167" i="10"/>
  <c r="H1168" i="10"/>
  <c r="H1169" i="10"/>
  <c r="H1170" i="10"/>
  <c r="H1171" i="10"/>
  <c r="H1172" i="10"/>
  <c r="H1173" i="10"/>
  <c r="H1174" i="10"/>
  <c r="H1175" i="10"/>
  <c r="H1176" i="10"/>
  <c r="H1177" i="10"/>
  <c r="H1178" i="10"/>
  <c r="H1179" i="10"/>
  <c r="H1180" i="10"/>
  <c r="H1181" i="10"/>
  <c r="H1182" i="10"/>
  <c r="H1183" i="10"/>
  <c r="H1184" i="10"/>
  <c r="H1185" i="10"/>
  <c r="H1186" i="10"/>
  <c r="H1187" i="10"/>
  <c r="H1188" i="10"/>
  <c r="H1189" i="10"/>
  <c r="H1190" i="10"/>
  <c r="H1191" i="10"/>
  <c r="H1192" i="10"/>
  <c r="H1193" i="10"/>
  <c r="H1194" i="10"/>
  <c r="H1195" i="10"/>
  <c r="H1196" i="10"/>
  <c r="H1197" i="10"/>
  <c r="H1198" i="10"/>
  <c r="H1199" i="10"/>
  <c r="H1200" i="10"/>
  <c r="H1201" i="10"/>
  <c r="H1202" i="10"/>
  <c r="H1203" i="10"/>
  <c r="H1204" i="10"/>
  <c r="H1205" i="10"/>
  <c r="H1206" i="10"/>
  <c r="H1207" i="10"/>
  <c r="H1208" i="10"/>
  <c r="H1209" i="10"/>
  <c r="H1210" i="10"/>
  <c r="H1211" i="10"/>
  <c r="H1212" i="10"/>
  <c r="H1213" i="10"/>
  <c r="H1214" i="10"/>
  <c r="H1215" i="10"/>
  <c r="H1216" i="10"/>
  <c r="H1217" i="10"/>
  <c r="H1218" i="10"/>
  <c r="H1219" i="10"/>
  <c r="H1220" i="10"/>
  <c r="H1221" i="10"/>
  <c r="H1222" i="10"/>
  <c r="H1223" i="10"/>
  <c r="H1224" i="10"/>
  <c r="H1225" i="10"/>
  <c r="H1226" i="10"/>
  <c r="H1227" i="10"/>
  <c r="H1228" i="10"/>
  <c r="H1229" i="10"/>
  <c r="H1230" i="10"/>
  <c r="H1231" i="10"/>
  <c r="H1232" i="10"/>
  <c r="H1233" i="10"/>
  <c r="H1234" i="10"/>
  <c r="H1235" i="10"/>
  <c r="H1236" i="10"/>
  <c r="H1237" i="10"/>
  <c r="H1238" i="10"/>
  <c r="H1239" i="10"/>
  <c r="H1240" i="10"/>
  <c r="H1241" i="10"/>
  <c r="H1242" i="10"/>
  <c r="H1243" i="10"/>
  <c r="H1244" i="10"/>
  <c r="H1245" i="10"/>
  <c r="H1246" i="10"/>
  <c r="H1247" i="10"/>
  <c r="H1248" i="10"/>
  <c r="H1249" i="10"/>
  <c r="H1250" i="10"/>
  <c r="H1251" i="10"/>
  <c r="H1252" i="10"/>
  <c r="H1253" i="10"/>
  <c r="H1254" i="10"/>
  <c r="H1255" i="10"/>
  <c r="H1256" i="10"/>
  <c r="H1257" i="10"/>
  <c r="H1258" i="10"/>
  <c r="H1259" i="10"/>
  <c r="H1260" i="10"/>
  <c r="H1261" i="10"/>
  <c r="H1262" i="10"/>
  <c r="H1263" i="10"/>
  <c r="H1264" i="10"/>
  <c r="H1265" i="10"/>
  <c r="H1266" i="10"/>
  <c r="H1267" i="10"/>
  <c r="H1268" i="10"/>
  <c r="H1269" i="10"/>
  <c r="H1270" i="10"/>
  <c r="H1271" i="10"/>
  <c r="H1272" i="10"/>
  <c r="H1273" i="10"/>
  <c r="H1274" i="10"/>
  <c r="H1275" i="10"/>
  <c r="H1276" i="10"/>
  <c r="H1277" i="10"/>
  <c r="H1278" i="10"/>
  <c r="H1279" i="10"/>
  <c r="H1280" i="10"/>
  <c r="H1281" i="10"/>
  <c r="H1282" i="10"/>
  <c r="H1283" i="10"/>
  <c r="H1284" i="10"/>
  <c r="H1285" i="10"/>
  <c r="H1286" i="10"/>
  <c r="H1287" i="10"/>
  <c r="H1288" i="10"/>
  <c r="H1289" i="10"/>
  <c r="H1290" i="10"/>
  <c r="H1291" i="10"/>
  <c r="H1292" i="10"/>
  <c r="H1293" i="10"/>
  <c r="H1294" i="10"/>
  <c r="H1295" i="10"/>
  <c r="H1296" i="10"/>
  <c r="H1297" i="10"/>
  <c r="H1298" i="10"/>
  <c r="H1299" i="10"/>
  <c r="H1300" i="10"/>
  <c r="H1301" i="10"/>
  <c r="H1302" i="10"/>
  <c r="H1303" i="10"/>
  <c r="H1304" i="10"/>
  <c r="H1305" i="10"/>
  <c r="H1306" i="10"/>
  <c r="H1307" i="10"/>
  <c r="H1308" i="10"/>
  <c r="H1309" i="10"/>
  <c r="H1310" i="10"/>
  <c r="H1311" i="10"/>
  <c r="H1312" i="10"/>
  <c r="H1313" i="10"/>
  <c r="H1314" i="10"/>
  <c r="H1315" i="10"/>
  <c r="H1316" i="10"/>
  <c r="H1317" i="10"/>
  <c r="H1318" i="10"/>
  <c r="H1319" i="10"/>
  <c r="H1320" i="10"/>
  <c r="H1321" i="10"/>
  <c r="H1322" i="10"/>
  <c r="H1323" i="10"/>
  <c r="H1324" i="10"/>
  <c r="H1325" i="10"/>
  <c r="H1326" i="10"/>
  <c r="H1327" i="10"/>
  <c r="H1328" i="10"/>
  <c r="H1329" i="10"/>
  <c r="H1330" i="10"/>
  <c r="H1331" i="10"/>
  <c r="H1332" i="10"/>
  <c r="H1333" i="10"/>
  <c r="H1334" i="10"/>
  <c r="H1335" i="10"/>
  <c r="H1336" i="10"/>
  <c r="H1337" i="10"/>
  <c r="H1338" i="10"/>
  <c r="H1339" i="10"/>
  <c r="H1340" i="10"/>
  <c r="H1341" i="10"/>
  <c r="H1342" i="10"/>
  <c r="H1343" i="10"/>
  <c r="H1344" i="10"/>
  <c r="H1345" i="10"/>
  <c r="H1346" i="10"/>
  <c r="H1347" i="10"/>
  <c r="H1348" i="10"/>
  <c r="H1349" i="10"/>
  <c r="H1350" i="10"/>
  <c r="H1351" i="10"/>
  <c r="H1352" i="10"/>
  <c r="H1353" i="10"/>
  <c r="H1354" i="10"/>
  <c r="H1355" i="10"/>
  <c r="H1356" i="10"/>
  <c r="H1357" i="10"/>
  <c r="H1358" i="10"/>
  <c r="H1359" i="10"/>
  <c r="H1360" i="10"/>
  <c r="H1361" i="10"/>
  <c r="H1362" i="10"/>
  <c r="H1363" i="10"/>
  <c r="H1364" i="10"/>
  <c r="H1365" i="10"/>
  <c r="H1366" i="10"/>
  <c r="H1367" i="10"/>
  <c r="H1368" i="10"/>
  <c r="H1369" i="10"/>
  <c r="H1370" i="10"/>
  <c r="H1371" i="10"/>
  <c r="H1372" i="10"/>
  <c r="H1373" i="10"/>
  <c r="H1374" i="10"/>
  <c r="H1375" i="10"/>
  <c r="H1376" i="10"/>
  <c r="H1377" i="10"/>
  <c r="H1378" i="10"/>
  <c r="H1379" i="10"/>
  <c r="H1380" i="10"/>
  <c r="H1381" i="10"/>
  <c r="H1382" i="10"/>
  <c r="H1383" i="10"/>
  <c r="H1384" i="10"/>
  <c r="H1385" i="10"/>
  <c r="H1386" i="10"/>
  <c r="H1387" i="10"/>
  <c r="H1388" i="10"/>
  <c r="H1389" i="10"/>
  <c r="H1390" i="10"/>
  <c r="H1391" i="10"/>
  <c r="H1392" i="10"/>
  <c r="H1393" i="10"/>
  <c r="H1394" i="10"/>
  <c r="H1395" i="10"/>
  <c r="H1396" i="10"/>
  <c r="H1397" i="10"/>
  <c r="H1398" i="10"/>
  <c r="H1399" i="10"/>
  <c r="H1400" i="10"/>
  <c r="H1401" i="10"/>
  <c r="H1402" i="10"/>
  <c r="H1403" i="10"/>
  <c r="H1404" i="10"/>
  <c r="H1405" i="10"/>
  <c r="H1406" i="10"/>
  <c r="H1407" i="10"/>
  <c r="H1408" i="10"/>
  <c r="H1409" i="10"/>
  <c r="H1410" i="10"/>
  <c r="H1411" i="10"/>
  <c r="H1412" i="10"/>
  <c r="H1413" i="10"/>
  <c r="H1414" i="10"/>
  <c r="H1415" i="10"/>
  <c r="H1416" i="10"/>
  <c r="H1417" i="10"/>
  <c r="H1418" i="10"/>
  <c r="H1419" i="10"/>
  <c r="H1420" i="10"/>
  <c r="H1421" i="10"/>
  <c r="H1422" i="10"/>
  <c r="H1423" i="10"/>
  <c r="H1424" i="10"/>
  <c r="H1425" i="10"/>
  <c r="H1426" i="10"/>
  <c r="H1427" i="10"/>
  <c r="H1428" i="10"/>
  <c r="H1429" i="10"/>
  <c r="H1430" i="10"/>
  <c r="H1431" i="10"/>
  <c r="H1432" i="10"/>
  <c r="H1433" i="10"/>
  <c r="H1434" i="10"/>
  <c r="H1435" i="10"/>
  <c r="H1436" i="10"/>
  <c r="H1437" i="10"/>
  <c r="H1438" i="10"/>
  <c r="H1439" i="10"/>
  <c r="H1440" i="10"/>
  <c r="H1441" i="10"/>
  <c r="H1442" i="10"/>
  <c r="H1443" i="10"/>
  <c r="H1444" i="10"/>
  <c r="H1445" i="10"/>
  <c r="H1446" i="10"/>
  <c r="H1447" i="10"/>
  <c r="H1448" i="10"/>
  <c r="H1449" i="10"/>
  <c r="H1450" i="10"/>
  <c r="H1451" i="10"/>
  <c r="H1452" i="10"/>
  <c r="H1453" i="10"/>
  <c r="H1454" i="10"/>
  <c r="H1455" i="10"/>
  <c r="H1456" i="10"/>
  <c r="H1457" i="10"/>
  <c r="H1458" i="10"/>
  <c r="H1459" i="10"/>
  <c r="H1460" i="10"/>
  <c r="H1461" i="10"/>
  <c r="H1462" i="10"/>
  <c r="H1463" i="10"/>
  <c r="H1464" i="10"/>
  <c r="H1465" i="10"/>
  <c r="H1466" i="10"/>
  <c r="H1467" i="10"/>
  <c r="H1468" i="10"/>
  <c r="H1469" i="10"/>
  <c r="H1470" i="10"/>
  <c r="H1471" i="10"/>
  <c r="H1472" i="10"/>
  <c r="H1473" i="10"/>
  <c r="H1474" i="10"/>
  <c r="H1475" i="10"/>
  <c r="H1476" i="10"/>
  <c r="H1477" i="10"/>
  <c r="H1478" i="10"/>
  <c r="H1479" i="10"/>
  <c r="H1480" i="10"/>
  <c r="H1481" i="10"/>
  <c r="H1482" i="10"/>
  <c r="H1483" i="10"/>
  <c r="H1484" i="10"/>
  <c r="H1485" i="10"/>
  <c r="H1486" i="10"/>
  <c r="H1487" i="10"/>
  <c r="H1488" i="10"/>
  <c r="H1489" i="10"/>
  <c r="H1490" i="10"/>
  <c r="H1491" i="10"/>
  <c r="H1492" i="10"/>
  <c r="H1493" i="10"/>
  <c r="H1494" i="10"/>
  <c r="H1495" i="10"/>
  <c r="H1496" i="10"/>
  <c r="H1497" i="10"/>
  <c r="H1498" i="10"/>
  <c r="H1499" i="10"/>
  <c r="H1500" i="10"/>
  <c r="H1501" i="10"/>
  <c r="H1502" i="10"/>
  <c r="H1503" i="10"/>
  <c r="H1504" i="10"/>
  <c r="H1505" i="10"/>
  <c r="H1506" i="10"/>
  <c r="H1507" i="10"/>
  <c r="H1508" i="10"/>
  <c r="H1509" i="10"/>
  <c r="H1510" i="10"/>
  <c r="H1511" i="10"/>
  <c r="H1512" i="10"/>
  <c r="H1513" i="10"/>
  <c r="H1514" i="10"/>
  <c r="H1515" i="10"/>
  <c r="H1516" i="10"/>
  <c r="H1517" i="10"/>
  <c r="H1518" i="10"/>
  <c r="H1519" i="10"/>
  <c r="H1520" i="10"/>
  <c r="H1521" i="10"/>
  <c r="H1522" i="10"/>
  <c r="H1523" i="10"/>
  <c r="H1524" i="10"/>
  <c r="H1525" i="10"/>
  <c r="H1526" i="10"/>
  <c r="H1527" i="10"/>
  <c r="H1528" i="10"/>
  <c r="H1529" i="10"/>
  <c r="H1530" i="10"/>
  <c r="H1531" i="10"/>
  <c r="H1532" i="10"/>
  <c r="H1533" i="10"/>
  <c r="H1534" i="10"/>
  <c r="H1535" i="10"/>
  <c r="H1536" i="10"/>
  <c r="H1537" i="10"/>
  <c r="H1538" i="10"/>
  <c r="H1539" i="10"/>
  <c r="H1540" i="10"/>
  <c r="H1541" i="10"/>
  <c r="H1542" i="10"/>
  <c r="H1543" i="10"/>
  <c r="H1544" i="10"/>
  <c r="H1545" i="10"/>
  <c r="H1546" i="10"/>
  <c r="H1547" i="10"/>
  <c r="H1548" i="10"/>
  <c r="H1549" i="10"/>
  <c r="H1550" i="10"/>
  <c r="H1551" i="10"/>
  <c r="H1552" i="10"/>
  <c r="H1553" i="10"/>
  <c r="H1554" i="10"/>
  <c r="H1555" i="10"/>
  <c r="H1556" i="10"/>
  <c r="H1557" i="10"/>
  <c r="H1558" i="10"/>
  <c r="H1559" i="10"/>
  <c r="H1560" i="10"/>
  <c r="H1561" i="10"/>
  <c r="H1562" i="10"/>
  <c r="H1563" i="10"/>
  <c r="H1564" i="10"/>
  <c r="H1565" i="10"/>
  <c r="H1566" i="10"/>
  <c r="H1567" i="10"/>
  <c r="H1568" i="10"/>
  <c r="H1569" i="10"/>
  <c r="H1570" i="10"/>
  <c r="H1571" i="10"/>
  <c r="H1572" i="10"/>
  <c r="H1573" i="10"/>
  <c r="H1574" i="10"/>
  <c r="H1575" i="10"/>
  <c r="H1576" i="10"/>
  <c r="H1577" i="10"/>
  <c r="H1578" i="10"/>
  <c r="H1579" i="10"/>
  <c r="H1580" i="10"/>
  <c r="H1581" i="10"/>
  <c r="H1582" i="10"/>
  <c r="H1583" i="10"/>
  <c r="H1584" i="10"/>
  <c r="H1585" i="10"/>
  <c r="H1586" i="10"/>
  <c r="H1587" i="10"/>
  <c r="H1588" i="10"/>
  <c r="H1589" i="10"/>
  <c r="H1590" i="10"/>
  <c r="H1591" i="10"/>
  <c r="H1592" i="10"/>
  <c r="H1593" i="10"/>
  <c r="H1594" i="10"/>
  <c r="H1595" i="10"/>
  <c r="H1596" i="10"/>
  <c r="H1597" i="10"/>
  <c r="H1598" i="10"/>
  <c r="H1599" i="10"/>
  <c r="H1600" i="10"/>
  <c r="H1601" i="10"/>
  <c r="H1602" i="10"/>
  <c r="H1603" i="10"/>
  <c r="H1604" i="10"/>
  <c r="H1605" i="10"/>
  <c r="H1606" i="10"/>
  <c r="H1607" i="10"/>
  <c r="H1608" i="10"/>
  <c r="H1609" i="10"/>
  <c r="H1610" i="10"/>
  <c r="H1611" i="10"/>
  <c r="H1612" i="10"/>
  <c r="H1613" i="10"/>
  <c r="H1614" i="10"/>
  <c r="H1615" i="10"/>
  <c r="H1616" i="10"/>
  <c r="H1617" i="10"/>
  <c r="H1618" i="10"/>
  <c r="H1619" i="10"/>
  <c r="H1620" i="10"/>
  <c r="H1621" i="10"/>
  <c r="H1622" i="10"/>
  <c r="H1623" i="10"/>
  <c r="H1624" i="10"/>
  <c r="H1625" i="10"/>
  <c r="H1626" i="10"/>
  <c r="H1627" i="10"/>
  <c r="H1628" i="10"/>
  <c r="H1629" i="10"/>
  <c r="H1630" i="10"/>
  <c r="H1631" i="10"/>
  <c r="H1632" i="10"/>
  <c r="H1633" i="10"/>
  <c r="H1634" i="10"/>
  <c r="H1635" i="10"/>
  <c r="H1636" i="10"/>
  <c r="H1637" i="10"/>
  <c r="H1638" i="10"/>
  <c r="H1639" i="10"/>
  <c r="H1640" i="10"/>
  <c r="H1641" i="10"/>
  <c r="H1642" i="10"/>
  <c r="H1643" i="10"/>
  <c r="H1644" i="10"/>
  <c r="H1645" i="10"/>
  <c r="H1646" i="10"/>
  <c r="H1647" i="10"/>
  <c r="H1648" i="10"/>
  <c r="H1649" i="10"/>
  <c r="H1650" i="10"/>
  <c r="H1651" i="10"/>
  <c r="H1652" i="10"/>
  <c r="H1653" i="10"/>
  <c r="H1654" i="10"/>
  <c r="H1655" i="10"/>
  <c r="H1656" i="10"/>
  <c r="H1657" i="10"/>
  <c r="H1658" i="10"/>
  <c r="H1659" i="10"/>
  <c r="H1660" i="10"/>
  <c r="H1661" i="10"/>
  <c r="H1662" i="10"/>
  <c r="H1663" i="10"/>
  <c r="H1664" i="10"/>
  <c r="H1665" i="10"/>
  <c r="H1666" i="10"/>
  <c r="H1667" i="10"/>
  <c r="H1668" i="10"/>
  <c r="H1669" i="10"/>
  <c r="H1670" i="10"/>
  <c r="H1671" i="10"/>
  <c r="H1672" i="10"/>
  <c r="H1673" i="10"/>
  <c r="H1674" i="10"/>
  <c r="H1675" i="10"/>
  <c r="H1676" i="10"/>
  <c r="H1677" i="10"/>
  <c r="H1678" i="10"/>
  <c r="H1679" i="10"/>
  <c r="H1680" i="10"/>
  <c r="H1681" i="10"/>
  <c r="H1682" i="10"/>
  <c r="H1683" i="10"/>
  <c r="H1684" i="10"/>
  <c r="H1685" i="10"/>
  <c r="H1686" i="10"/>
  <c r="H1687" i="10"/>
  <c r="H1688" i="10"/>
  <c r="H1689" i="10"/>
  <c r="H1690" i="10"/>
  <c r="H1691" i="10"/>
  <c r="H1692" i="10"/>
  <c r="H1693" i="10"/>
  <c r="H1694" i="10"/>
  <c r="H1695" i="10"/>
  <c r="H1696" i="10"/>
  <c r="H1697" i="10"/>
  <c r="H1698" i="10"/>
  <c r="H1699" i="10"/>
  <c r="H1700" i="10"/>
  <c r="H1701" i="10"/>
  <c r="H1702" i="10"/>
  <c r="H1703" i="10"/>
  <c r="H1704" i="10"/>
  <c r="H1705" i="10"/>
  <c r="H1706" i="10"/>
  <c r="H1707" i="10"/>
  <c r="H1708" i="10"/>
  <c r="H1709" i="10"/>
  <c r="H1710" i="10"/>
  <c r="H1711" i="10"/>
  <c r="H1712" i="10"/>
  <c r="H1713" i="10"/>
  <c r="H1714" i="10"/>
  <c r="H1715" i="10"/>
  <c r="H1716" i="10"/>
  <c r="H1717" i="10"/>
  <c r="H1718" i="10"/>
  <c r="H1719" i="10"/>
  <c r="H1720" i="10"/>
  <c r="H1721" i="10"/>
  <c r="H1722" i="10"/>
  <c r="H1723" i="10"/>
  <c r="H1724" i="10"/>
  <c r="H1725" i="10"/>
  <c r="H1726" i="10"/>
  <c r="H1727" i="10"/>
  <c r="H1728" i="10"/>
  <c r="H1729" i="10"/>
  <c r="H1730" i="10"/>
  <c r="H1731" i="10"/>
  <c r="H1732" i="10"/>
  <c r="H1733" i="10"/>
  <c r="H1734" i="10"/>
  <c r="H1735" i="10"/>
  <c r="H1736" i="10"/>
  <c r="H1737" i="10"/>
  <c r="H1738" i="10"/>
  <c r="H1739" i="10"/>
  <c r="H1740" i="10"/>
  <c r="H1741" i="10"/>
  <c r="H1742" i="10"/>
  <c r="H1743" i="10"/>
  <c r="H1744" i="10"/>
  <c r="H1745" i="10"/>
  <c r="H1746" i="10"/>
  <c r="H1747" i="10"/>
  <c r="H1748" i="10"/>
  <c r="H1749" i="10"/>
  <c r="H1750" i="10"/>
  <c r="H1751" i="10"/>
  <c r="H1752" i="10"/>
  <c r="H1753" i="10"/>
  <c r="H1754" i="10"/>
  <c r="H1755" i="10"/>
  <c r="H1756" i="10"/>
  <c r="H1757" i="10"/>
  <c r="H1758" i="10"/>
  <c r="H1759" i="10"/>
  <c r="H1760" i="10"/>
  <c r="H1761" i="10"/>
  <c r="H1762" i="10"/>
  <c r="H1763" i="10"/>
  <c r="H1764" i="10"/>
  <c r="H1765" i="10"/>
  <c r="H1766" i="10"/>
  <c r="H1767" i="10"/>
  <c r="H1768" i="10"/>
  <c r="H1769" i="10"/>
  <c r="H1770" i="10"/>
  <c r="H1771" i="10"/>
  <c r="H1772" i="10"/>
  <c r="H1773" i="10"/>
  <c r="H1774" i="10"/>
  <c r="H1775" i="10"/>
  <c r="H1776" i="10"/>
  <c r="H1777" i="10"/>
  <c r="H1778" i="10"/>
  <c r="H1779" i="10"/>
  <c r="H1780" i="10"/>
  <c r="H1781" i="10"/>
  <c r="H1782" i="10"/>
  <c r="H1783" i="10"/>
  <c r="H1784" i="10"/>
  <c r="H1785" i="10"/>
  <c r="H1786" i="10"/>
  <c r="H1787" i="10"/>
  <c r="H1788" i="10"/>
  <c r="H1789" i="10"/>
  <c r="H1790" i="10"/>
  <c r="H1791" i="10"/>
  <c r="H1792" i="10"/>
  <c r="H1793" i="10"/>
  <c r="H1794" i="10"/>
  <c r="H1795" i="10"/>
  <c r="H1796" i="10"/>
  <c r="H1797" i="10"/>
  <c r="H1798" i="10"/>
  <c r="H1799" i="10"/>
  <c r="H1800" i="10"/>
  <c r="H1801" i="10"/>
  <c r="H1802" i="10"/>
  <c r="H1803" i="10"/>
  <c r="H1804" i="10"/>
  <c r="H1805" i="10"/>
  <c r="H1806" i="10"/>
  <c r="H1807" i="10"/>
  <c r="H1808" i="10"/>
  <c r="H1809" i="10"/>
  <c r="H1810" i="10"/>
  <c r="H1811" i="10"/>
  <c r="H1812" i="10"/>
  <c r="H1813" i="10"/>
  <c r="H1814" i="10"/>
  <c r="H1815" i="10"/>
  <c r="H1816" i="10"/>
  <c r="H1817" i="10"/>
  <c r="H1818" i="10"/>
  <c r="H1819" i="10"/>
  <c r="H1820" i="10"/>
  <c r="H1821" i="10"/>
  <c r="H1822" i="10"/>
  <c r="H1823" i="10"/>
  <c r="H1824" i="10"/>
  <c r="H1825" i="10"/>
  <c r="H1826" i="10"/>
  <c r="H1827" i="10"/>
  <c r="H1828" i="10"/>
  <c r="H1829" i="10"/>
  <c r="H1830" i="10"/>
  <c r="H1831" i="10"/>
  <c r="H1832" i="10"/>
  <c r="H1833" i="10"/>
  <c r="H1834" i="10"/>
  <c r="H1835" i="10"/>
  <c r="H1836" i="10"/>
  <c r="H1837" i="10"/>
  <c r="H1838" i="10"/>
  <c r="H1839" i="10"/>
  <c r="H1840" i="10"/>
  <c r="H1841" i="10"/>
  <c r="H1842" i="10"/>
  <c r="H1843" i="10"/>
  <c r="H1844" i="10"/>
  <c r="H1845" i="10"/>
  <c r="H1846" i="10"/>
  <c r="H1847" i="10"/>
  <c r="H1848" i="10"/>
  <c r="H1849" i="10"/>
  <c r="H1850" i="10"/>
  <c r="H1851" i="10"/>
  <c r="H1852" i="10"/>
  <c r="H1853" i="10"/>
  <c r="H1854" i="10"/>
  <c r="H1855" i="10"/>
  <c r="H1856" i="10"/>
  <c r="H1857" i="10"/>
  <c r="H1858" i="10"/>
  <c r="H1859" i="10"/>
  <c r="H1860" i="10"/>
  <c r="H1861" i="10"/>
  <c r="H1862" i="10"/>
  <c r="H1863" i="10"/>
  <c r="H1864" i="10"/>
  <c r="H1865" i="10"/>
  <c r="H1866" i="10"/>
  <c r="H1867" i="10"/>
  <c r="H1868" i="10"/>
  <c r="H1869" i="10"/>
  <c r="H1870" i="10"/>
  <c r="H1871" i="10"/>
  <c r="H1872" i="10"/>
  <c r="H1873" i="10"/>
  <c r="H1874" i="10"/>
  <c r="H1875" i="10"/>
  <c r="H1876" i="10"/>
  <c r="H1877" i="10"/>
  <c r="H1878" i="10"/>
  <c r="H1879" i="10"/>
  <c r="H1880" i="10"/>
  <c r="H1881" i="10"/>
  <c r="H1882" i="10"/>
  <c r="H1883" i="10"/>
  <c r="H1884" i="10"/>
  <c r="H1885" i="10"/>
  <c r="H1886" i="10"/>
  <c r="H1887" i="10"/>
  <c r="H1888" i="10"/>
  <c r="H1889" i="10"/>
  <c r="H1890" i="10"/>
  <c r="H1891" i="10"/>
  <c r="H1892" i="10"/>
  <c r="H1893" i="10"/>
  <c r="H1894" i="10"/>
  <c r="H1895" i="10"/>
  <c r="H1896" i="10"/>
  <c r="H1897" i="10"/>
  <c r="H1898" i="10"/>
  <c r="H1899" i="10"/>
  <c r="H1900" i="10"/>
  <c r="H1901" i="10"/>
  <c r="H1902" i="10"/>
  <c r="H1903" i="10"/>
  <c r="H1904" i="10"/>
  <c r="H1905" i="10"/>
  <c r="H1906" i="10"/>
  <c r="H1907" i="10"/>
  <c r="H1908" i="10"/>
  <c r="H1909" i="10"/>
  <c r="H1910" i="10"/>
  <c r="H1911" i="10"/>
  <c r="H1912" i="10"/>
  <c r="H1913" i="10"/>
  <c r="H1914" i="10"/>
  <c r="H1915" i="10"/>
  <c r="H1916" i="10"/>
  <c r="H1917" i="10"/>
  <c r="H1918" i="10"/>
  <c r="H1919" i="10"/>
  <c r="H1920" i="10"/>
  <c r="H1921" i="10"/>
  <c r="H1922" i="10"/>
  <c r="H1923" i="10"/>
  <c r="H1924" i="10"/>
  <c r="H1925" i="10"/>
  <c r="H1926" i="10"/>
  <c r="H1927" i="10"/>
  <c r="H1928" i="10"/>
  <c r="H1929" i="10"/>
  <c r="H1930" i="10"/>
  <c r="H1931" i="10"/>
  <c r="H1932" i="10"/>
  <c r="H1933" i="10"/>
  <c r="H1934" i="10"/>
  <c r="H1935" i="10"/>
  <c r="H1936" i="10"/>
  <c r="H1937" i="10"/>
  <c r="H1938" i="10"/>
  <c r="H1939" i="10"/>
  <c r="H1940" i="10"/>
  <c r="H1941" i="10"/>
  <c r="H1942" i="10"/>
  <c r="H1943" i="10"/>
  <c r="H1944" i="10"/>
  <c r="H1945" i="10"/>
  <c r="H1946" i="10"/>
  <c r="H1947" i="10"/>
  <c r="H1948" i="10"/>
  <c r="H1949" i="10"/>
  <c r="H1950" i="10"/>
  <c r="H1951" i="10"/>
  <c r="H1952" i="10"/>
  <c r="H1953" i="10"/>
  <c r="H1954" i="10"/>
  <c r="H1955" i="10"/>
  <c r="H1956" i="10"/>
  <c r="H1957" i="10"/>
  <c r="H1958" i="10"/>
  <c r="H1959" i="10"/>
  <c r="H1960" i="10"/>
  <c r="H1961" i="10"/>
  <c r="H1962" i="10"/>
  <c r="H1963" i="10"/>
  <c r="H1964" i="10"/>
  <c r="H1965" i="10"/>
  <c r="H1966" i="10"/>
  <c r="H1967" i="10"/>
  <c r="H1968" i="10"/>
  <c r="H1969" i="10"/>
  <c r="H1970" i="10"/>
  <c r="H1971" i="10"/>
  <c r="H1972" i="10"/>
  <c r="H1973" i="10"/>
  <c r="H1974" i="10"/>
  <c r="H1975" i="10"/>
  <c r="H1976" i="10"/>
  <c r="H1977" i="10"/>
  <c r="H1978" i="10"/>
  <c r="H1979" i="10"/>
  <c r="H1980" i="10"/>
  <c r="H1981" i="10"/>
  <c r="H1982" i="10"/>
  <c r="H1983" i="10"/>
  <c r="H1984" i="10"/>
  <c r="H1985" i="10"/>
  <c r="H1986" i="10"/>
  <c r="H1987" i="10"/>
  <c r="H1988" i="10"/>
  <c r="H1989" i="10"/>
  <c r="H1990" i="10"/>
  <c r="H1991" i="10"/>
  <c r="H1992" i="10"/>
  <c r="H1993" i="10"/>
  <c r="H1994" i="10"/>
  <c r="H1995" i="10"/>
  <c r="H1996" i="10"/>
  <c r="H1997" i="10"/>
  <c r="H1998" i="10"/>
  <c r="H1999" i="10"/>
  <c r="H2000" i="10"/>
  <c r="H2001" i="10"/>
  <c r="H2002" i="10"/>
  <c r="H2003" i="10"/>
  <c r="H2004" i="10"/>
  <c r="H2005" i="10"/>
  <c r="H2006" i="10"/>
  <c r="H2007" i="10"/>
  <c r="H2008" i="10"/>
  <c r="H2009" i="10"/>
  <c r="H2010" i="10"/>
  <c r="H2011" i="10"/>
  <c r="H2012" i="10"/>
  <c r="H2013" i="10"/>
  <c r="H2014" i="10"/>
  <c r="H2015" i="10"/>
  <c r="H2016" i="10"/>
  <c r="H2017" i="10"/>
  <c r="H2018" i="10"/>
  <c r="H2019" i="10"/>
  <c r="H2020" i="10"/>
  <c r="H2021" i="10"/>
  <c r="H2022" i="10"/>
  <c r="H2023" i="10"/>
  <c r="H2024" i="10"/>
  <c r="H2025" i="10"/>
  <c r="H2026" i="10"/>
  <c r="H2027" i="10"/>
  <c r="G15" i="1"/>
  <c r="H10" i="10" s="1"/>
  <c r="B500" i="10" l="1"/>
  <c r="B501" i="10"/>
  <c r="B502" i="10"/>
  <c r="B503" i="10"/>
  <c r="B504" i="10"/>
  <c r="B505" i="10"/>
  <c r="B506" i="10"/>
  <c r="B507" i="10"/>
  <c r="B508" i="10"/>
  <c r="B509" i="10"/>
  <c r="B510" i="10"/>
  <c r="B511" i="10"/>
  <c r="B512" i="10"/>
  <c r="B513" i="10"/>
  <c r="B514" i="10"/>
  <c r="B515" i="10"/>
  <c r="B516" i="10"/>
  <c r="B517" i="10"/>
  <c r="B518" i="10"/>
  <c r="B519" i="10"/>
  <c r="B520" i="10"/>
  <c r="B521" i="10"/>
  <c r="B522" i="10"/>
  <c r="B523" i="10"/>
  <c r="B524" i="10"/>
  <c r="B525" i="10"/>
  <c r="B526" i="10"/>
  <c r="B527" i="10"/>
  <c r="B528" i="10"/>
  <c r="B529" i="10"/>
  <c r="B530" i="10"/>
  <c r="B531" i="10"/>
  <c r="B532" i="10"/>
  <c r="B533" i="10"/>
  <c r="B534" i="10"/>
  <c r="B535" i="10"/>
  <c r="B536" i="10"/>
  <c r="B537" i="10"/>
  <c r="B538" i="10"/>
  <c r="B539" i="10"/>
  <c r="B540" i="10"/>
  <c r="B541" i="10"/>
  <c r="B542" i="10"/>
  <c r="B543" i="10"/>
  <c r="B544" i="10"/>
  <c r="B545" i="10"/>
  <c r="B546" i="10"/>
  <c r="B547" i="10"/>
  <c r="B548" i="10"/>
  <c r="B549" i="10"/>
  <c r="B550" i="10"/>
  <c r="B551" i="10"/>
  <c r="B552" i="10"/>
  <c r="B553" i="10"/>
  <c r="B554" i="10"/>
  <c r="B555" i="10"/>
  <c r="B556" i="10"/>
  <c r="B557" i="10"/>
  <c r="B558" i="10"/>
  <c r="B559" i="10"/>
  <c r="B560" i="10"/>
  <c r="B561" i="10"/>
  <c r="B562" i="10"/>
  <c r="B563" i="10"/>
  <c r="B564" i="10"/>
  <c r="B565" i="10"/>
  <c r="B566" i="10"/>
  <c r="B567" i="10"/>
  <c r="B568" i="10"/>
  <c r="B569" i="10"/>
  <c r="B570" i="10"/>
  <c r="B571" i="10"/>
  <c r="B572" i="10"/>
  <c r="B573" i="10"/>
  <c r="B574" i="10"/>
  <c r="B575" i="10"/>
  <c r="B576" i="10"/>
  <c r="B577" i="10"/>
  <c r="B578" i="10"/>
  <c r="B579" i="10"/>
  <c r="B580" i="10"/>
  <c r="B581" i="10"/>
  <c r="B582" i="10"/>
  <c r="B583" i="10"/>
  <c r="B584" i="10"/>
  <c r="B585" i="10"/>
  <c r="B586" i="10"/>
  <c r="B587" i="10"/>
  <c r="B588" i="10"/>
  <c r="B589" i="10"/>
  <c r="B590" i="10"/>
  <c r="B591" i="10"/>
  <c r="B592" i="10"/>
  <c r="B593" i="10"/>
  <c r="B594" i="10"/>
  <c r="B595" i="10"/>
  <c r="B596" i="10"/>
  <c r="B597" i="10"/>
  <c r="B598" i="10"/>
  <c r="B599" i="10"/>
  <c r="B600" i="10"/>
  <c r="B601" i="10"/>
  <c r="B602" i="10"/>
  <c r="B603" i="10"/>
  <c r="B604" i="10"/>
  <c r="B605" i="10"/>
  <c r="B606" i="10"/>
  <c r="B607" i="10"/>
  <c r="B608" i="10"/>
  <c r="B609" i="10"/>
  <c r="B610" i="10"/>
  <c r="B611" i="10"/>
  <c r="B612" i="10"/>
  <c r="B613" i="10"/>
  <c r="B614" i="10"/>
  <c r="B615" i="10"/>
  <c r="B616" i="10"/>
  <c r="B617" i="10"/>
  <c r="B618" i="10"/>
  <c r="B619" i="10"/>
  <c r="B620" i="10"/>
  <c r="B621" i="10"/>
  <c r="B622" i="10"/>
  <c r="B623" i="10"/>
  <c r="B624" i="10"/>
  <c r="B625" i="10"/>
  <c r="B626" i="10"/>
  <c r="B627" i="10"/>
  <c r="B628" i="10"/>
  <c r="B629" i="10"/>
  <c r="B630" i="10"/>
  <c r="B631" i="10"/>
  <c r="B632" i="10"/>
  <c r="B633" i="10"/>
  <c r="B634" i="10"/>
  <c r="B635" i="10"/>
  <c r="B636" i="10"/>
  <c r="B637" i="10"/>
  <c r="B638" i="10"/>
  <c r="B639" i="10"/>
  <c r="B640" i="10"/>
  <c r="B641" i="10"/>
  <c r="B642" i="10"/>
  <c r="B643" i="10"/>
  <c r="B644" i="10"/>
  <c r="B645" i="10"/>
  <c r="B646" i="10"/>
  <c r="B647" i="10"/>
  <c r="B648" i="10"/>
  <c r="B649" i="10"/>
  <c r="B650" i="10"/>
  <c r="B651" i="10"/>
  <c r="B652" i="10"/>
  <c r="B653" i="10"/>
  <c r="B654" i="10"/>
  <c r="B655" i="10"/>
  <c r="B656" i="10"/>
  <c r="B657" i="10"/>
  <c r="B658" i="10"/>
  <c r="B659" i="10"/>
  <c r="B660" i="10"/>
  <c r="B661" i="10"/>
  <c r="B662" i="10"/>
  <c r="B663" i="10"/>
  <c r="B664" i="10"/>
  <c r="B665" i="10"/>
  <c r="B666" i="10"/>
  <c r="B667" i="10"/>
  <c r="B668" i="10"/>
  <c r="B669" i="10"/>
  <c r="B670" i="10"/>
  <c r="B671" i="10"/>
  <c r="B672" i="10"/>
  <c r="B673" i="10"/>
  <c r="B674" i="10"/>
  <c r="B675" i="10"/>
  <c r="B676" i="10"/>
  <c r="B677" i="10"/>
  <c r="B678" i="10"/>
  <c r="B679" i="10"/>
  <c r="B680" i="10"/>
  <c r="B681" i="10"/>
  <c r="B682" i="10"/>
  <c r="B683" i="10"/>
  <c r="B684" i="10"/>
  <c r="B685" i="10"/>
  <c r="B686" i="10"/>
  <c r="B687" i="10"/>
  <c r="B688" i="10"/>
  <c r="B689" i="10"/>
  <c r="B690" i="10"/>
  <c r="B691" i="10"/>
  <c r="B692" i="10"/>
  <c r="B693" i="10"/>
  <c r="B694" i="10"/>
  <c r="B695" i="10"/>
  <c r="B696" i="10"/>
  <c r="B697" i="10"/>
  <c r="B698" i="10"/>
  <c r="B699" i="10"/>
  <c r="B700" i="10"/>
  <c r="B701" i="10"/>
  <c r="B702" i="10"/>
  <c r="B703" i="10"/>
  <c r="B704" i="10"/>
  <c r="B705" i="10"/>
  <c r="B706" i="10"/>
  <c r="B707" i="10"/>
  <c r="B708" i="10"/>
  <c r="B709" i="10"/>
  <c r="B710" i="10"/>
  <c r="B711" i="10"/>
  <c r="B712" i="10"/>
  <c r="B713" i="10"/>
  <c r="B714" i="10"/>
  <c r="B715" i="10"/>
  <c r="B716" i="10"/>
  <c r="B717" i="10"/>
  <c r="B718" i="10"/>
  <c r="B719" i="10"/>
  <c r="B720" i="10"/>
  <c r="B721" i="10"/>
  <c r="B722" i="10"/>
  <c r="B723" i="10"/>
  <c r="B724" i="10"/>
  <c r="B725" i="10"/>
  <c r="B726" i="10"/>
  <c r="B727" i="10"/>
  <c r="B728" i="10"/>
  <c r="B729" i="10"/>
  <c r="B730" i="10"/>
  <c r="B731" i="10"/>
  <c r="B732" i="10"/>
  <c r="B733" i="10"/>
  <c r="B734" i="10"/>
  <c r="B735" i="10"/>
  <c r="B736" i="10"/>
  <c r="B737" i="10"/>
  <c r="B738" i="10"/>
  <c r="B739" i="10"/>
  <c r="B740" i="10"/>
  <c r="B741" i="10"/>
  <c r="B742" i="10"/>
  <c r="B743" i="10"/>
  <c r="B744" i="10"/>
  <c r="B745" i="10"/>
  <c r="B746" i="10"/>
  <c r="B747" i="10"/>
  <c r="B748" i="10"/>
  <c r="B749" i="10"/>
  <c r="B750" i="10"/>
  <c r="B751" i="10"/>
  <c r="B752" i="10"/>
  <c r="B753" i="10"/>
  <c r="B754" i="10"/>
  <c r="B755" i="10"/>
  <c r="B756" i="10"/>
  <c r="B757" i="10"/>
  <c r="B758" i="10"/>
  <c r="B759" i="10"/>
  <c r="B760" i="10"/>
  <c r="B761" i="10"/>
  <c r="B762" i="10"/>
  <c r="B763" i="10"/>
  <c r="B764" i="10"/>
  <c r="B765" i="10"/>
  <c r="B766" i="10"/>
  <c r="B767" i="10"/>
  <c r="B768" i="10"/>
  <c r="B769" i="10"/>
  <c r="B770" i="10"/>
  <c r="B771" i="10"/>
  <c r="B772" i="10"/>
  <c r="B773" i="10"/>
  <c r="B774" i="10"/>
  <c r="B775" i="10"/>
  <c r="B776" i="10"/>
  <c r="B777" i="10"/>
  <c r="B778" i="10"/>
  <c r="B779" i="10"/>
  <c r="B780" i="10"/>
  <c r="B781" i="10"/>
  <c r="B782" i="10"/>
  <c r="B783" i="10"/>
  <c r="B784" i="10"/>
  <c r="B785" i="10"/>
  <c r="B786" i="10"/>
  <c r="B787" i="10"/>
  <c r="B788" i="10"/>
  <c r="B789" i="10"/>
  <c r="B790" i="10"/>
  <c r="B791" i="10"/>
  <c r="B792" i="10"/>
  <c r="B793" i="10"/>
  <c r="B794" i="10"/>
  <c r="B795" i="10"/>
  <c r="B796" i="10"/>
  <c r="B797" i="10"/>
  <c r="B798" i="10"/>
  <c r="B799" i="10"/>
  <c r="B800" i="10"/>
  <c r="B801" i="10"/>
  <c r="B802" i="10"/>
  <c r="B803" i="10"/>
  <c r="B804" i="10"/>
  <c r="B805" i="10"/>
  <c r="B806" i="10"/>
  <c r="B807" i="10"/>
  <c r="B808" i="10"/>
  <c r="B809" i="10"/>
  <c r="B810" i="10"/>
  <c r="B811" i="10"/>
  <c r="B812" i="10"/>
  <c r="B813" i="10"/>
  <c r="B814" i="10"/>
  <c r="B815" i="10"/>
  <c r="B816" i="10"/>
  <c r="B817" i="10"/>
  <c r="B818" i="10"/>
  <c r="B819" i="10"/>
  <c r="B820" i="10"/>
  <c r="B821" i="10"/>
  <c r="B822" i="10"/>
  <c r="B823" i="10"/>
  <c r="B824" i="10"/>
  <c r="B825" i="10"/>
  <c r="B826" i="10"/>
  <c r="B827" i="10"/>
  <c r="B828" i="10"/>
  <c r="B829" i="10"/>
  <c r="B830" i="10"/>
  <c r="B831" i="10"/>
  <c r="B832" i="10"/>
  <c r="B833" i="10"/>
  <c r="B834" i="10"/>
  <c r="B835" i="10"/>
  <c r="B836" i="10"/>
  <c r="B837" i="10"/>
  <c r="B838" i="10"/>
  <c r="B839" i="10"/>
  <c r="B840" i="10"/>
  <c r="B841" i="10"/>
  <c r="B842" i="10"/>
  <c r="B843" i="10"/>
  <c r="B844" i="10"/>
  <c r="B845" i="10"/>
  <c r="B846" i="10"/>
  <c r="B847" i="10"/>
  <c r="B848" i="10"/>
  <c r="B849" i="10"/>
  <c r="B850" i="10"/>
  <c r="B851" i="10"/>
  <c r="B852" i="10"/>
  <c r="B853" i="10"/>
  <c r="B854" i="10"/>
  <c r="B855" i="10"/>
  <c r="B856" i="10"/>
  <c r="B857" i="10"/>
  <c r="B858" i="10"/>
  <c r="B859" i="10"/>
  <c r="B860" i="10"/>
  <c r="B861" i="10"/>
  <c r="B862" i="10"/>
  <c r="B863" i="10"/>
  <c r="B864" i="10"/>
  <c r="B865" i="10"/>
  <c r="B866" i="10"/>
  <c r="B867" i="10"/>
  <c r="B868" i="10"/>
  <c r="B869" i="10"/>
  <c r="B870" i="10"/>
  <c r="B871" i="10"/>
  <c r="B872" i="10"/>
  <c r="B873" i="10"/>
  <c r="B874" i="10"/>
  <c r="B875" i="10"/>
  <c r="B876" i="10"/>
  <c r="B877" i="10"/>
  <c r="B878" i="10"/>
  <c r="B879" i="10"/>
  <c r="B880" i="10"/>
  <c r="B881" i="10"/>
  <c r="B882" i="10"/>
  <c r="B883" i="10"/>
  <c r="B884" i="10"/>
  <c r="B885" i="10"/>
  <c r="B886" i="10"/>
  <c r="B887" i="10"/>
  <c r="B888" i="10"/>
  <c r="B889" i="10"/>
  <c r="B890" i="10"/>
  <c r="B891" i="10"/>
  <c r="B892" i="10"/>
  <c r="B893" i="10"/>
  <c r="B894" i="10"/>
  <c r="B895" i="10"/>
  <c r="B896" i="10"/>
  <c r="B897" i="10"/>
  <c r="B898" i="10"/>
  <c r="B899" i="10"/>
  <c r="B900" i="10"/>
  <c r="B901" i="10"/>
  <c r="B902" i="10"/>
  <c r="B903" i="10"/>
  <c r="B904" i="10"/>
  <c r="B905" i="10"/>
  <c r="B906" i="10"/>
  <c r="B907" i="10"/>
  <c r="B908" i="10"/>
  <c r="B909" i="10"/>
  <c r="B910" i="10"/>
  <c r="B911" i="10"/>
  <c r="B912" i="10"/>
  <c r="B913" i="10"/>
  <c r="B914" i="10"/>
  <c r="B915" i="10"/>
  <c r="B916" i="10"/>
  <c r="B917" i="10"/>
  <c r="B918" i="10"/>
  <c r="B919" i="10"/>
  <c r="B920" i="10"/>
  <c r="B921" i="10"/>
  <c r="B922" i="10"/>
  <c r="B923" i="10"/>
  <c r="B924" i="10"/>
  <c r="B925" i="10"/>
  <c r="B926" i="10"/>
  <c r="B927" i="10"/>
  <c r="B928" i="10"/>
  <c r="B929" i="10"/>
  <c r="B930" i="10"/>
  <c r="B931" i="10"/>
  <c r="B932" i="10"/>
  <c r="B933" i="10"/>
  <c r="B934" i="10"/>
  <c r="B935" i="10"/>
  <c r="B936" i="10"/>
  <c r="B937" i="10"/>
  <c r="B938" i="10"/>
  <c r="B939" i="10"/>
  <c r="B940" i="10"/>
  <c r="B941" i="10"/>
  <c r="B942" i="10"/>
  <c r="B943" i="10"/>
  <c r="B944" i="10"/>
  <c r="B945" i="10"/>
  <c r="B946" i="10"/>
  <c r="B947" i="10"/>
  <c r="B948" i="10"/>
  <c r="B949" i="10"/>
  <c r="B950" i="10"/>
  <c r="B951" i="10"/>
  <c r="B952" i="10"/>
  <c r="B953" i="10"/>
  <c r="B954" i="10"/>
  <c r="B955" i="10"/>
  <c r="B956" i="10"/>
  <c r="B957" i="10"/>
  <c r="B958" i="10"/>
  <c r="B959" i="10"/>
  <c r="B960" i="10"/>
  <c r="B961" i="10"/>
  <c r="B962" i="10"/>
  <c r="B963" i="10"/>
  <c r="B964" i="10"/>
  <c r="B965" i="10"/>
  <c r="B966" i="10"/>
  <c r="B967" i="10"/>
  <c r="B968" i="10"/>
  <c r="B969" i="10"/>
  <c r="B970" i="10"/>
  <c r="B971" i="10"/>
  <c r="B972" i="10"/>
  <c r="B973" i="10"/>
  <c r="B974" i="10"/>
  <c r="B975" i="10"/>
  <c r="B976" i="10"/>
  <c r="B977" i="10"/>
  <c r="B978" i="10"/>
  <c r="B979" i="10"/>
  <c r="B980" i="10"/>
  <c r="B981" i="10"/>
  <c r="B982" i="10"/>
  <c r="B983" i="10"/>
  <c r="B984" i="10"/>
  <c r="B985" i="10"/>
  <c r="B986" i="10"/>
  <c r="B987" i="10"/>
  <c r="B988" i="10"/>
  <c r="B989" i="10"/>
  <c r="B990" i="10"/>
  <c r="B991" i="10"/>
  <c r="B992" i="10"/>
  <c r="B993" i="10"/>
  <c r="B994" i="10"/>
  <c r="B995" i="10"/>
  <c r="B996" i="10"/>
  <c r="B997" i="10"/>
  <c r="B998" i="10"/>
  <c r="B999" i="10"/>
  <c r="B1000" i="10"/>
  <c r="B1001" i="10"/>
  <c r="B1002" i="10"/>
  <c r="B1003" i="10"/>
  <c r="B1004" i="10"/>
  <c r="B1005" i="10"/>
  <c r="B1006" i="10"/>
  <c r="B1007" i="10"/>
  <c r="B1008" i="10"/>
  <c r="B1009" i="10"/>
  <c r="B1010" i="10"/>
  <c r="B1011" i="10"/>
  <c r="B1012" i="10"/>
  <c r="B1013" i="10"/>
  <c r="B1014" i="10"/>
  <c r="B1015" i="10"/>
  <c r="B1016" i="10"/>
  <c r="B1017" i="10"/>
  <c r="B1018" i="10"/>
  <c r="B1019" i="10"/>
  <c r="B1020" i="10"/>
  <c r="B1021" i="10"/>
  <c r="B1022" i="10"/>
  <c r="B1023" i="10"/>
  <c r="B1024" i="10"/>
  <c r="B1025" i="10"/>
  <c r="B1026" i="10"/>
  <c r="B1027" i="10"/>
  <c r="B1028" i="10"/>
  <c r="B1029" i="10"/>
  <c r="B1030" i="10"/>
  <c r="B1031" i="10"/>
  <c r="B1032" i="10"/>
  <c r="B1033" i="10"/>
  <c r="B1034" i="10"/>
  <c r="B1035" i="10"/>
  <c r="B1036" i="10"/>
  <c r="B1037" i="10"/>
  <c r="B1038" i="10"/>
  <c r="B1039" i="10"/>
  <c r="B1040" i="10"/>
  <c r="B1041" i="10"/>
  <c r="B1042" i="10"/>
  <c r="B1043" i="10"/>
  <c r="B1044" i="10"/>
  <c r="B1045" i="10"/>
  <c r="B1046" i="10"/>
  <c r="B1047" i="10"/>
  <c r="B1048" i="10"/>
  <c r="B1049" i="10"/>
  <c r="B1050" i="10"/>
  <c r="B1051" i="10"/>
  <c r="B1052" i="10"/>
  <c r="B1053" i="10"/>
  <c r="B1054" i="10"/>
  <c r="B1055" i="10"/>
  <c r="B1056" i="10"/>
  <c r="B1057" i="10"/>
  <c r="B1058" i="10"/>
  <c r="B1059" i="10"/>
  <c r="B1060" i="10"/>
  <c r="B1061" i="10"/>
  <c r="B1062" i="10"/>
  <c r="B1063" i="10"/>
  <c r="B1064" i="10"/>
  <c r="B1065" i="10"/>
  <c r="B1066" i="10"/>
  <c r="B1067" i="10"/>
  <c r="B1068" i="10"/>
  <c r="B1069" i="10"/>
  <c r="B1070" i="10"/>
  <c r="B1071" i="10"/>
  <c r="B1072" i="10"/>
  <c r="B1073" i="10"/>
  <c r="B1074" i="10"/>
  <c r="B1075" i="10"/>
  <c r="B1076" i="10"/>
  <c r="B1077" i="10"/>
  <c r="B1078" i="10"/>
  <c r="B1079" i="10"/>
  <c r="B1080" i="10"/>
  <c r="B1081" i="10"/>
  <c r="B1082" i="10"/>
  <c r="B1083" i="10"/>
  <c r="B1084" i="10"/>
  <c r="B1085" i="10"/>
  <c r="B1086" i="10"/>
  <c r="B1087" i="10"/>
  <c r="B1088" i="10"/>
  <c r="B1089" i="10"/>
  <c r="B1090" i="10"/>
  <c r="B1091" i="10"/>
  <c r="B1092" i="10"/>
  <c r="B1093" i="10"/>
  <c r="B1094" i="10"/>
  <c r="B1095" i="10"/>
  <c r="B1096" i="10"/>
  <c r="B1097" i="10"/>
  <c r="B1098" i="10"/>
  <c r="B1099" i="10"/>
  <c r="B1100" i="10"/>
  <c r="B1101" i="10"/>
  <c r="B1102" i="10"/>
  <c r="B1103" i="10"/>
  <c r="B1104" i="10"/>
  <c r="B1105" i="10"/>
  <c r="B1106" i="10"/>
  <c r="B1107" i="10"/>
  <c r="B1108" i="10"/>
  <c r="B1109" i="10"/>
  <c r="B1110" i="10"/>
  <c r="B1111" i="10"/>
  <c r="B1112" i="10"/>
  <c r="B1113" i="10"/>
  <c r="B1114" i="10"/>
  <c r="B1115" i="10"/>
  <c r="B1116" i="10"/>
  <c r="B1117" i="10"/>
  <c r="B1118" i="10"/>
  <c r="B1119" i="10"/>
  <c r="B1120" i="10"/>
  <c r="B1121" i="10"/>
  <c r="B1122" i="10"/>
  <c r="B1123" i="10"/>
  <c r="B1124" i="10"/>
  <c r="B1125" i="10"/>
  <c r="B1126" i="10"/>
  <c r="B1127" i="10"/>
  <c r="B1128" i="10"/>
  <c r="B1129" i="10"/>
  <c r="B1130" i="10"/>
  <c r="B1131" i="10"/>
  <c r="B1132" i="10"/>
  <c r="B1133" i="10"/>
  <c r="B1134" i="10"/>
  <c r="B1135" i="10"/>
  <c r="B1136" i="10"/>
  <c r="B1137" i="10"/>
  <c r="B1138" i="10"/>
  <c r="B1139" i="10"/>
  <c r="B1140" i="10"/>
  <c r="B1141" i="10"/>
  <c r="B1142" i="10"/>
  <c r="B1143" i="10"/>
  <c r="B1144" i="10"/>
  <c r="B1145" i="10"/>
  <c r="B1146" i="10"/>
  <c r="B1147" i="10"/>
  <c r="B1148" i="10"/>
  <c r="B1149" i="10"/>
  <c r="B1150" i="10"/>
  <c r="B1151" i="10"/>
  <c r="B1152" i="10"/>
  <c r="B1153" i="10"/>
  <c r="B1154" i="10"/>
  <c r="B1155" i="10"/>
  <c r="B1156" i="10"/>
  <c r="B1157" i="10"/>
  <c r="B1158" i="10"/>
  <c r="B1159" i="10"/>
  <c r="B1160" i="10"/>
  <c r="B1161" i="10"/>
  <c r="B1162" i="10"/>
  <c r="B1163" i="10"/>
  <c r="B1164" i="10"/>
  <c r="B1165" i="10"/>
  <c r="B1166" i="10"/>
  <c r="B1167" i="10"/>
  <c r="B1168" i="10"/>
  <c r="B1169" i="10"/>
  <c r="B1170" i="10"/>
  <c r="B1171" i="10"/>
  <c r="B1172" i="10"/>
  <c r="B1173" i="10"/>
  <c r="B1174" i="10"/>
  <c r="B1175" i="10"/>
  <c r="B1176" i="10"/>
  <c r="B1177" i="10"/>
  <c r="B1178" i="10"/>
  <c r="B1179" i="10"/>
  <c r="B1180" i="10"/>
  <c r="B1181" i="10"/>
  <c r="B1182" i="10"/>
  <c r="B1183" i="10"/>
  <c r="B1184" i="10"/>
  <c r="B1185" i="10"/>
  <c r="B1186" i="10"/>
  <c r="B1187" i="10"/>
  <c r="B1188" i="10"/>
  <c r="B1189" i="10"/>
  <c r="B1190" i="10"/>
  <c r="B1191" i="10"/>
  <c r="B1192" i="10"/>
  <c r="B1193" i="10"/>
  <c r="B1194" i="10"/>
  <c r="B1195" i="10"/>
  <c r="B1196" i="10"/>
  <c r="B1197" i="10"/>
  <c r="B1198" i="10"/>
  <c r="B1199" i="10"/>
  <c r="B1200" i="10"/>
  <c r="B1201" i="10"/>
  <c r="B1202" i="10"/>
  <c r="B1203" i="10"/>
  <c r="B1204" i="10"/>
  <c r="B1205" i="10"/>
  <c r="B1206" i="10"/>
  <c r="B1207" i="10"/>
  <c r="B1208" i="10"/>
  <c r="B1209" i="10"/>
  <c r="B1210" i="10"/>
  <c r="B1211" i="10"/>
  <c r="B1212" i="10"/>
  <c r="B1213" i="10"/>
  <c r="B1214" i="10"/>
  <c r="B1215" i="10"/>
  <c r="B1216" i="10"/>
  <c r="B1217" i="10"/>
  <c r="B1218" i="10"/>
  <c r="B1219" i="10"/>
  <c r="B1220" i="10"/>
  <c r="B1221" i="10"/>
  <c r="B1222" i="10"/>
  <c r="B1223" i="10"/>
  <c r="B1224" i="10"/>
  <c r="B1225" i="10"/>
  <c r="B1226" i="10"/>
  <c r="B1227" i="10"/>
  <c r="B1228" i="10"/>
  <c r="B1229" i="10"/>
  <c r="B1230" i="10"/>
  <c r="B1231" i="10"/>
  <c r="B1232" i="10"/>
  <c r="B1233" i="10"/>
  <c r="B1234" i="10"/>
  <c r="B1235" i="10"/>
  <c r="B1236" i="10"/>
  <c r="B1237" i="10"/>
  <c r="B1238" i="10"/>
  <c r="B1239" i="10"/>
  <c r="B1240" i="10"/>
  <c r="B1241" i="10"/>
  <c r="B1242" i="10"/>
  <c r="B1243" i="10"/>
  <c r="B1244" i="10"/>
  <c r="B1245" i="10"/>
  <c r="B1246" i="10"/>
  <c r="B1247" i="10"/>
  <c r="B1248" i="10"/>
  <c r="B1249" i="10"/>
  <c r="B1250" i="10"/>
  <c r="B1251" i="10"/>
  <c r="B1252" i="10"/>
  <c r="B1253" i="10"/>
  <c r="B1254" i="10"/>
  <c r="B1255" i="10"/>
  <c r="B1256" i="10"/>
  <c r="B1257" i="10"/>
  <c r="B1258" i="10"/>
  <c r="B1259" i="10"/>
  <c r="B1260" i="10"/>
  <c r="B1261" i="10"/>
  <c r="B1262" i="10"/>
  <c r="B1263" i="10"/>
  <c r="B1264" i="10"/>
  <c r="B1265" i="10"/>
  <c r="B1266" i="10"/>
  <c r="B1267" i="10"/>
  <c r="B1268" i="10"/>
  <c r="B1269" i="10"/>
  <c r="B1270" i="10"/>
  <c r="B1271" i="10"/>
  <c r="B1272" i="10"/>
  <c r="B1273" i="10"/>
  <c r="B1274" i="10"/>
  <c r="B1275" i="10"/>
  <c r="B1276" i="10"/>
  <c r="B1277" i="10"/>
  <c r="B1278" i="10"/>
  <c r="B1279" i="10"/>
  <c r="B1280" i="10"/>
  <c r="B1281" i="10"/>
  <c r="B1282" i="10"/>
  <c r="B1283" i="10"/>
  <c r="B1284" i="10"/>
  <c r="B1285" i="10"/>
  <c r="B1286" i="10"/>
  <c r="B1287" i="10"/>
  <c r="B1288" i="10"/>
  <c r="B1289" i="10"/>
  <c r="B1290" i="10"/>
  <c r="B1291" i="10"/>
  <c r="B1292" i="10"/>
  <c r="B1293" i="10"/>
  <c r="B1294" i="10"/>
  <c r="B1295" i="10"/>
  <c r="B1296" i="10"/>
  <c r="B1297" i="10"/>
  <c r="B1298" i="10"/>
  <c r="B1299" i="10"/>
  <c r="B1300" i="10"/>
  <c r="B1301" i="10"/>
  <c r="B1302" i="10"/>
  <c r="B1303" i="10"/>
  <c r="B1304" i="10"/>
  <c r="B1305" i="10"/>
  <c r="B1306" i="10"/>
  <c r="B1307" i="10"/>
  <c r="B1308" i="10"/>
  <c r="B1309" i="10"/>
  <c r="B1310" i="10"/>
  <c r="B1311" i="10"/>
  <c r="B1312" i="10"/>
  <c r="B1313" i="10"/>
  <c r="B1314" i="10"/>
  <c r="B1315" i="10"/>
  <c r="B1316" i="10"/>
  <c r="B1317" i="10"/>
  <c r="B1318" i="10"/>
  <c r="B1319" i="10"/>
  <c r="B1320" i="10"/>
  <c r="B1321" i="10"/>
  <c r="B1322" i="10"/>
  <c r="B1323" i="10"/>
  <c r="B1324" i="10"/>
  <c r="B1325" i="10"/>
  <c r="B1326" i="10"/>
  <c r="B1327" i="10"/>
  <c r="B1328" i="10"/>
  <c r="B1329" i="10"/>
  <c r="B1330" i="10"/>
  <c r="B1331" i="10"/>
  <c r="B1332" i="10"/>
  <c r="B1333" i="10"/>
  <c r="B1334" i="10"/>
  <c r="B1335" i="10"/>
  <c r="B1336" i="10"/>
  <c r="B1337" i="10"/>
  <c r="B1338" i="10"/>
  <c r="B1339" i="10"/>
  <c r="B1340" i="10"/>
  <c r="B1341" i="10"/>
  <c r="B1342" i="10"/>
  <c r="B1343" i="10"/>
  <c r="B1344" i="10"/>
  <c r="B1345" i="10"/>
  <c r="B1346" i="10"/>
  <c r="B1347" i="10"/>
  <c r="B1348" i="10"/>
  <c r="B1349" i="10"/>
  <c r="B1350" i="10"/>
  <c r="B1351" i="10"/>
  <c r="B1352" i="10"/>
  <c r="B1353" i="10"/>
  <c r="B1354" i="10"/>
  <c r="B1355" i="10"/>
  <c r="B1356" i="10"/>
  <c r="B1357" i="10"/>
  <c r="B1358" i="10"/>
  <c r="B1359" i="10"/>
  <c r="B1360" i="10"/>
  <c r="B1361" i="10"/>
  <c r="B1362" i="10"/>
  <c r="B1363" i="10"/>
  <c r="B1364" i="10"/>
  <c r="B1365" i="10"/>
  <c r="B1366" i="10"/>
  <c r="B1367" i="10"/>
  <c r="B1368" i="10"/>
  <c r="B1369" i="10"/>
  <c r="B1370" i="10"/>
  <c r="B1371" i="10"/>
  <c r="B1372" i="10"/>
  <c r="B1373" i="10"/>
  <c r="B1374" i="10"/>
  <c r="B1375" i="10"/>
  <c r="B1376" i="10"/>
  <c r="B1377" i="10"/>
  <c r="B1378" i="10"/>
  <c r="B1379" i="10"/>
  <c r="B1380" i="10"/>
  <c r="B1381" i="10"/>
  <c r="B1382" i="10"/>
  <c r="B1383" i="10"/>
  <c r="B1384" i="10"/>
  <c r="B1385" i="10"/>
  <c r="B1386" i="10"/>
  <c r="B1387" i="10"/>
  <c r="B1388" i="10"/>
  <c r="B1389" i="10"/>
  <c r="B1390" i="10"/>
  <c r="B1391" i="10"/>
  <c r="B1392" i="10"/>
  <c r="B1393" i="10"/>
  <c r="B1394" i="10"/>
  <c r="B1395" i="10"/>
  <c r="B1396" i="10"/>
  <c r="B1397" i="10"/>
  <c r="B1398" i="10"/>
  <c r="B1399" i="10"/>
  <c r="B1400" i="10"/>
  <c r="B1401" i="10"/>
  <c r="B1402" i="10"/>
  <c r="B1403" i="10"/>
  <c r="B1404" i="10"/>
  <c r="B1405" i="10"/>
  <c r="B1406" i="10"/>
  <c r="B1407" i="10"/>
  <c r="B1408" i="10"/>
  <c r="B1409" i="10"/>
  <c r="B1410" i="10"/>
  <c r="B1411" i="10"/>
  <c r="B1412" i="10"/>
  <c r="B1413" i="10"/>
  <c r="B1414" i="10"/>
  <c r="B1415" i="10"/>
  <c r="B1416" i="10"/>
  <c r="B1417" i="10"/>
  <c r="B1418" i="10"/>
  <c r="B1419" i="10"/>
  <c r="B1420" i="10"/>
  <c r="B1421" i="10"/>
  <c r="B1422" i="10"/>
  <c r="B1423" i="10"/>
  <c r="B1424" i="10"/>
  <c r="B1425" i="10"/>
  <c r="B1426" i="10"/>
  <c r="B1427" i="10"/>
  <c r="B1428" i="10"/>
  <c r="B1429" i="10"/>
  <c r="B1430" i="10"/>
  <c r="B1431" i="10"/>
  <c r="B1432" i="10"/>
  <c r="B1433" i="10"/>
  <c r="B1434" i="10"/>
  <c r="B1435" i="10"/>
  <c r="B1436" i="10"/>
  <c r="B1437" i="10"/>
  <c r="B1438" i="10"/>
  <c r="B1439" i="10"/>
  <c r="B1440" i="10"/>
  <c r="B1441" i="10"/>
  <c r="B1442" i="10"/>
  <c r="B1443" i="10"/>
  <c r="B1444" i="10"/>
  <c r="B1445" i="10"/>
  <c r="B1446" i="10"/>
  <c r="B1447" i="10"/>
  <c r="B1448" i="10"/>
  <c r="B1449" i="10"/>
  <c r="B1450" i="10"/>
  <c r="B1451" i="10"/>
  <c r="B1452" i="10"/>
  <c r="B1453" i="10"/>
  <c r="B1454" i="10"/>
  <c r="B1455" i="10"/>
  <c r="B1456" i="10"/>
  <c r="B1457" i="10"/>
  <c r="B1458" i="10"/>
  <c r="B1459" i="10"/>
  <c r="B1460" i="10"/>
  <c r="B1461" i="10"/>
  <c r="B1462" i="10"/>
  <c r="B1463" i="10"/>
  <c r="B1464" i="10"/>
  <c r="B1465" i="10"/>
  <c r="B1466" i="10"/>
  <c r="B1467" i="10"/>
  <c r="B1468" i="10"/>
  <c r="B1469" i="10"/>
  <c r="B1470" i="10"/>
  <c r="B1471" i="10"/>
  <c r="B1472" i="10"/>
  <c r="B1473" i="10"/>
  <c r="B1474" i="10"/>
  <c r="B1475" i="10"/>
  <c r="B1476" i="10"/>
  <c r="B1477" i="10"/>
  <c r="B1478" i="10"/>
  <c r="B1479" i="10"/>
  <c r="B1480" i="10"/>
  <c r="B1481" i="10"/>
  <c r="B1482" i="10"/>
  <c r="B1483" i="10"/>
  <c r="B1484" i="10"/>
  <c r="B1485" i="10"/>
  <c r="B1486" i="10"/>
  <c r="B1487" i="10"/>
  <c r="B1488" i="10"/>
  <c r="B1489" i="10"/>
  <c r="B1490" i="10"/>
  <c r="B1491" i="10"/>
  <c r="B1492" i="10"/>
  <c r="B1493" i="10"/>
  <c r="B1494" i="10"/>
  <c r="B1495" i="10"/>
  <c r="B1496" i="10"/>
  <c r="B1497" i="10"/>
  <c r="B1498" i="10"/>
  <c r="B1499" i="10"/>
  <c r="B1500" i="10"/>
  <c r="B1501" i="10"/>
  <c r="B1502" i="10"/>
  <c r="B1503" i="10"/>
  <c r="B1504" i="10"/>
  <c r="B1505" i="10"/>
  <c r="B1506" i="10"/>
  <c r="B1507" i="10"/>
  <c r="B1508" i="10"/>
  <c r="B1509" i="10"/>
  <c r="B1510" i="10"/>
  <c r="B1511" i="10"/>
  <c r="B1512" i="10"/>
  <c r="B1513" i="10"/>
  <c r="B1514" i="10"/>
  <c r="B1515" i="10"/>
  <c r="B1516" i="10"/>
  <c r="B1517" i="10"/>
  <c r="B1518" i="10"/>
  <c r="B1519" i="10"/>
  <c r="B1520" i="10"/>
  <c r="B1521" i="10"/>
  <c r="B1522" i="10"/>
  <c r="B1523" i="10"/>
  <c r="B1524" i="10"/>
  <c r="B1525" i="10"/>
  <c r="B1526" i="10"/>
  <c r="B1527" i="10"/>
  <c r="B1528" i="10"/>
  <c r="B1529" i="10"/>
  <c r="B1530" i="10"/>
  <c r="B1531" i="10"/>
  <c r="B1532" i="10"/>
  <c r="B1533" i="10"/>
  <c r="B1534" i="10"/>
  <c r="B1535" i="10"/>
  <c r="B1536" i="10"/>
  <c r="B1537" i="10"/>
  <c r="B1538" i="10"/>
  <c r="B1539" i="10"/>
  <c r="B1540" i="10"/>
  <c r="B1541" i="10"/>
  <c r="B1542" i="10"/>
  <c r="B1543" i="10"/>
  <c r="B1544" i="10"/>
  <c r="B1545" i="10"/>
  <c r="B1546" i="10"/>
  <c r="B1547" i="10"/>
  <c r="B1548" i="10"/>
  <c r="B1549" i="10"/>
  <c r="B1550" i="10"/>
  <c r="B1551" i="10"/>
  <c r="B1552" i="10"/>
  <c r="B1553" i="10"/>
  <c r="B1554" i="10"/>
  <c r="B1555" i="10"/>
  <c r="B1556" i="10"/>
  <c r="B1557" i="10"/>
  <c r="B1558" i="10"/>
  <c r="B1559" i="10"/>
  <c r="B1560" i="10"/>
  <c r="B1561" i="10"/>
  <c r="B1562" i="10"/>
  <c r="B1563" i="10"/>
  <c r="B1564" i="10"/>
  <c r="B1565" i="10"/>
  <c r="B1566" i="10"/>
  <c r="B1567" i="10"/>
  <c r="B1568" i="10"/>
  <c r="B1569" i="10"/>
  <c r="B1570" i="10"/>
  <c r="B1571" i="10"/>
  <c r="B1572" i="10"/>
  <c r="B1573" i="10"/>
  <c r="B1574" i="10"/>
  <c r="B1575" i="10"/>
  <c r="B1576" i="10"/>
  <c r="B1577" i="10"/>
  <c r="B1578" i="10"/>
  <c r="B1579" i="10"/>
  <c r="B1580" i="10"/>
  <c r="B1581" i="10"/>
  <c r="B1582" i="10"/>
  <c r="B1583" i="10"/>
  <c r="B1584" i="10"/>
  <c r="B1585" i="10"/>
  <c r="B1586" i="10"/>
  <c r="B1587" i="10"/>
  <c r="B1588" i="10"/>
  <c r="B1589" i="10"/>
  <c r="B1590" i="10"/>
  <c r="B1591" i="10"/>
  <c r="B1592" i="10"/>
  <c r="B1593" i="10"/>
  <c r="B1594" i="10"/>
  <c r="B1595" i="10"/>
  <c r="B1596" i="10"/>
  <c r="B1597" i="10"/>
  <c r="B1598" i="10"/>
  <c r="B1599" i="10"/>
  <c r="B1600" i="10"/>
  <c r="B1601" i="10"/>
  <c r="B1602" i="10"/>
  <c r="B1603" i="10"/>
  <c r="B1604" i="10"/>
  <c r="B1605" i="10"/>
  <c r="B1606" i="10"/>
  <c r="B1607" i="10"/>
  <c r="B1608" i="10"/>
  <c r="B1609" i="10"/>
  <c r="B1610" i="10"/>
  <c r="B1611" i="10"/>
  <c r="B1612" i="10"/>
  <c r="B1613" i="10"/>
  <c r="B1614" i="10"/>
  <c r="B1615" i="10"/>
  <c r="B1616" i="10"/>
  <c r="B1617" i="10"/>
  <c r="B1618" i="10"/>
  <c r="B1619" i="10"/>
  <c r="B1620" i="10"/>
  <c r="B1621" i="10"/>
  <c r="B1622" i="10"/>
  <c r="B1623" i="10"/>
  <c r="B1624" i="10"/>
  <c r="B1625" i="10"/>
  <c r="B1626" i="10"/>
  <c r="B1627" i="10"/>
  <c r="B1628" i="10"/>
  <c r="B1629" i="10"/>
  <c r="B1630" i="10"/>
  <c r="B1631" i="10"/>
  <c r="B1632" i="10"/>
  <c r="B1633" i="10"/>
  <c r="B1634" i="10"/>
  <c r="B1635" i="10"/>
  <c r="B1636" i="10"/>
  <c r="B1637" i="10"/>
  <c r="B1638" i="10"/>
  <c r="B1639" i="10"/>
  <c r="B1640" i="10"/>
  <c r="B1641" i="10"/>
  <c r="B1642" i="10"/>
  <c r="B1643" i="10"/>
  <c r="B1644" i="10"/>
  <c r="B1645" i="10"/>
  <c r="B1646" i="10"/>
  <c r="B1647" i="10"/>
  <c r="B1648" i="10"/>
  <c r="B1649" i="10"/>
  <c r="B1650" i="10"/>
  <c r="B1651" i="10"/>
  <c r="B1652" i="10"/>
  <c r="B1653" i="10"/>
  <c r="B1654" i="10"/>
  <c r="B1655" i="10"/>
  <c r="B1656" i="10"/>
  <c r="B1657" i="10"/>
  <c r="B1658" i="10"/>
  <c r="B1659" i="10"/>
  <c r="B1660" i="10"/>
  <c r="B1661" i="10"/>
  <c r="B1662" i="10"/>
  <c r="B1663" i="10"/>
  <c r="B1664" i="10"/>
  <c r="B1665" i="10"/>
  <c r="B1666" i="10"/>
  <c r="B1667" i="10"/>
  <c r="B1668" i="10"/>
  <c r="B1669" i="10"/>
  <c r="B1670" i="10"/>
  <c r="B1671" i="10"/>
  <c r="B1672" i="10"/>
  <c r="B1673" i="10"/>
  <c r="B1674" i="10"/>
  <c r="B1675" i="10"/>
  <c r="B1676" i="10"/>
  <c r="B1677" i="10"/>
  <c r="B1678" i="10"/>
  <c r="B1679" i="10"/>
  <c r="B1680" i="10"/>
  <c r="B1681" i="10"/>
  <c r="B1682" i="10"/>
  <c r="B1683" i="10"/>
  <c r="B1684" i="10"/>
  <c r="B1685" i="10"/>
  <c r="B1686" i="10"/>
  <c r="B1687" i="10"/>
  <c r="B1688" i="10"/>
  <c r="B1689" i="10"/>
  <c r="B1690" i="10"/>
  <c r="B1691" i="10"/>
  <c r="B1692" i="10"/>
  <c r="B1693" i="10"/>
  <c r="B1694" i="10"/>
  <c r="B1695" i="10"/>
  <c r="B1696" i="10"/>
  <c r="B1697" i="10"/>
  <c r="B1698" i="10"/>
  <c r="B1699" i="10"/>
  <c r="B1700" i="10"/>
  <c r="B1701" i="10"/>
  <c r="B1702" i="10"/>
  <c r="B1703" i="10"/>
  <c r="B1704" i="10"/>
  <c r="B1705" i="10"/>
  <c r="B1706" i="10"/>
  <c r="B1707" i="10"/>
  <c r="B1708" i="10"/>
  <c r="B1709" i="10"/>
  <c r="B1710" i="10"/>
  <c r="B1711" i="10"/>
  <c r="B1712" i="10"/>
  <c r="B1713" i="10"/>
  <c r="B1714" i="10"/>
  <c r="B1715" i="10"/>
  <c r="B1716" i="10"/>
  <c r="B1717" i="10"/>
  <c r="B1718" i="10"/>
  <c r="B1719" i="10"/>
  <c r="B1720" i="10"/>
  <c r="B1721" i="10"/>
  <c r="B1722" i="10"/>
  <c r="B1723" i="10"/>
  <c r="B1724" i="10"/>
  <c r="B1725" i="10"/>
  <c r="B1726" i="10"/>
  <c r="B1727" i="10"/>
  <c r="B1728" i="10"/>
  <c r="B1729" i="10"/>
  <c r="B1730" i="10"/>
  <c r="B1731" i="10"/>
  <c r="B1732" i="10"/>
  <c r="B1733" i="10"/>
  <c r="B1734" i="10"/>
  <c r="B1735" i="10"/>
  <c r="B1736" i="10"/>
  <c r="B1737" i="10"/>
  <c r="B1738" i="10"/>
  <c r="B1739" i="10"/>
  <c r="B1740" i="10"/>
  <c r="B1741" i="10"/>
  <c r="B1742" i="10"/>
  <c r="B1743" i="10"/>
  <c r="B1744" i="10"/>
  <c r="B1745" i="10"/>
  <c r="B1746" i="10"/>
  <c r="B1747" i="10"/>
  <c r="B1748" i="10"/>
  <c r="B1749" i="10"/>
  <c r="B1750" i="10"/>
  <c r="B1751" i="10"/>
  <c r="B1752" i="10"/>
  <c r="B1753" i="10"/>
  <c r="B1754" i="10"/>
  <c r="B1755" i="10"/>
  <c r="B1756" i="10"/>
  <c r="B1757" i="10"/>
  <c r="B1758" i="10"/>
  <c r="B1759" i="10"/>
  <c r="B1760" i="10"/>
  <c r="B1761" i="10"/>
  <c r="B1762" i="10"/>
  <c r="B1763" i="10"/>
  <c r="B1764" i="10"/>
  <c r="B1765" i="10"/>
  <c r="B1766" i="10"/>
  <c r="B1767" i="10"/>
  <c r="B1768" i="10"/>
  <c r="B1769" i="10"/>
  <c r="B1770" i="10"/>
  <c r="B1771" i="10"/>
  <c r="B1772" i="10"/>
  <c r="B1773" i="10"/>
  <c r="B1774" i="10"/>
  <c r="B1775" i="10"/>
  <c r="B1776" i="10"/>
  <c r="B1777" i="10"/>
  <c r="B1778" i="10"/>
  <c r="B1779" i="10"/>
  <c r="B1780" i="10"/>
  <c r="B1781" i="10"/>
  <c r="B1782" i="10"/>
  <c r="B1783" i="10"/>
  <c r="B1784" i="10"/>
  <c r="B1785" i="10"/>
  <c r="B1786" i="10"/>
  <c r="B1787" i="10"/>
  <c r="B1788" i="10"/>
  <c r="B1789" i="10"/>
  <c r="B1790" i="10"/>
  <c r="B1791" i="10"/>
  <c r="B1792" i="10"/>
  <c r="B1793" i="10"/>
  <c r="B1794" i="10"/>
  <c r="B1795" i="10"/>
  <c r="B1796" i="10"/>
  <c r="B1797" i="10"/>
  <c r="B1798" i="10"/>
  <c r="B1799" i="10"/>
  <c r="B1800" i="10"/>
  <c r="B1801" i="10"/>
  <c r="B1802" i="10"/>
  <c r="B1803" i="10"/>
  <c r="B1804" i="10"/>
  <c r="B1805" i="10"/>
  <c r="B1806" i="10"/>
  <c r="B1807" i="10"/>
  <c r="B1808" i="10"/>
  <c r="B1809" i="10"/>
  <c r="B1810" i="10"/>
  <c r="B1811" i="10"/>
  <c r="B1812" i="10"/>
  <c r="B1813" i="10"/>
  <c r="B1814" i="10"/>
  <c r="B1815" i="10"/>
  <c r="B1816" i="10"/>
  <c r="B1817" i="10"/>
  <c r="B1818" i="10"/>
  <c r="B1819" i="10"/>
  <c r="B1820" i="10"/>
  <c r="B1821" i="10"/>
  <c r="B1822" i="10"/>
  <c r="B1823" i="10"/>
  <c r="B1824" i="10"/>
  <c r="B1825" i="10"/>
  <c r="B1826" i="10"/>
  <c r="B1827" i="10"/>
  <c r="B1828" i="10"/>
  <c r="B1829" i="10"/>
  <c r="B1830" i="10"/>
  <c r="B1831" i="10"/>
  <c r="B1832" i="10"/>
  <c r="B1833" i="10"/>
  <c r="B1834" i="10"/>
  <c r="B1835" i="10"/>
  <c r="B1836" i="10"/>
  <c r="B1837" i="10"/>
  <c r="B1838" i="10"/>
  <c r="B1839" i="10"/>
  <c r="B1840" i="10"/>
  <c r="B1841" i="10"/>
  <c r="B1842" i="10"/>
  <c r="B1843" i="10"/>
  <c r="B1844" i="10"/>
  <c r="B1845" i="10"/>
  <c r="B1846" i="10"/>
  <c r="B1847" i="10"/>
  <c r="B1848" i="10"/>
  <c r="B1849" i="10"/>
  <c r="B1850" i="10"/>
  <c r="B1851" i="10"/>
  <c r="B1852" i="10"/>
  <c r="B1853" i="10"/>
  <c r="B1854" i="10"/>
  <c r="B1855" i="10"/>
  <c r="B1856" i="10"/>
  <c r="B1857" i="10"/>
  <c r="B1858" i="10"/>
  <c r="B1859" i="10"/>
  <c r="B1860" i="10"/>
  <c r="B1861" i="10"/>
  <c r="B1862" i="10"/>
  <c r="B1863" i="10"/>
  <c r="B1864" i="10"/>
  <c r="B1865" i="10"/>
  <c r="B1866" i="10"/>
  <c r="B1867" i="10"/>
  <c r="B1868" i="10"/>
  <c r="B1869" i="10"/>
  <c r="B1870" i="10"/>
  <c r="B1871" i="10"/>
  <c r="B1872" i="10"/>
  <c r="B1873" i="10"/>
  <c r="B1874" i="10"/>
  <c r="B1875" i="10"/>
  <c r="B1876" i="10"/>
  <c r="B1877" i="10"/>
  <c r="B1878" i="10"/>
  <c r="B1879" i="10"/>
  <c r="B1880" i="10"/>
  <c r="B1881" i="10"/>
  <c r="B1882" i="10"/>
  <c r="B1883" i="10"/>
  <c r="B1884" i="10"/>
  <c r="B1885" i="10"/>
  <c r="B1886" i="10"/>
  <c r="B1887" i="10"/>
  <c r="B1888" i="10"/>
  <c r="B1889" i="10"/>
  <c r="B1890" i="10"/>
  <c r="B1891" i="10"/>
  <c r="B1892" i="10"/>
  <c r="B1893" i="10"/>
  <c r="B1894" i="10"/>
  <c r="B1895" i="10"/>
  <c r="B1896" i="10"/>
  <c r="B1897" i="10"/>
  <c r="B1898" i="10"/>
  <c r="B1899" i="10"/>
  <c r="B1900" i="10"/>
  <c r="B1901" i="10"/>
  <c r="B1902" i="10"/>
  <c r="B1903" i="10"/>
  <c r="B1904" i="10"/>
  <c r="B1905" i="10"/>
  <c r="B1906" i="10"/>
  <c r="B1907" i="10"/>
  <c r="B1908" i="10"/>
  <c r="B1909" i="10"/>
  <c r="B1910" i="10"/>
  <c r="B1911" i="10"/>
  <c r="B1912" i="10"/>
  <c r="B1913" i="10"/>
  <c r="B1914" i="10"/>
  <c r="B1915" i="10"/>
  <c r="B1916" i="10"/>
  <c r="B1917" i="10"/>
  <c r="B1918" i="10"/>
  <c r="B1919" i="10"/>
  <c r="B1920" i="10"/>
  <c r="B1921" i="10"/>
  <c r="B1922" i="10"/>
  <c r="B1923" i="10"/>
  <c r="B1924" i="10"/>
  <c r="B1925" i="10"/>
  <c r="B1926" i="10"/>
  <c r="B1927" i="10"/>
  <c r="B1928" i="10"/>
  <c r="B1929" i="10"/>
  <c r="B1930" i="10"/>
  <c r="B1931" i="10"/>
  <c r="B1932" i="10"/>
  <c r="B1933" i="10"/>
  <c r="B1934" i="10"/>
  <c r="B1935" i="10"/>
  <c r="B1936" i="10"/>
  <c r="B1937" i="10"/>
  <c r="B1938" i="10"/>
  <c r="B1939" i="10"/>
  <c r="B1940" i="10"/>
  <c r="B1941" i="10"/>
  <c r="B1942" i="10"/>
  <c r="B1943" i="10"/>
  <c r="B1944" i="10"/>
  <c r="B1945" i="10"/>
  <c r="B1946" i="10"/>
  <c r="B1947" i="10"/>
  <c r="B1948" i="10"/>
  <c r="B1949" i="10"/>
  <c r="B1950" i="10"/>
  <c r="B1951" i="10"/>
  <c r="B1952" i="10"/>
  <c r="B1953" i="10"/>
  <c r="B1954" i="10"/>
  <c r="B1955" i="10"/>
  <c r="B1956" i="10"/>
  <c r="B1957" i="10"/>
  <c r="B1958" i="10"/>
  <c r="B1959" i="10"/>
  <c r="B1960" i="10"/>
  <c r="B1961" i="10"/>
  <c r="B1962" i="10"/>
  <c r="B1963" i="10"/>
  <c r="B1964" i="10"/>
  <c r="B1965" i="10"/>
  <c r="B1966" i="10"/>
  <c r="B1967" i="10"/>
  <c r="B1968" i="10"/>
  <c r="B1969" i="10"/>
  <c r="B1970" i="10"/>
  <c r="B1971" i="10"/>
  <c r="B1972" i="10"/>
  <c r="B1973" i="10"/>
  <c r="B1974" i="10"/>
  <c r="B1975" i="10"/>
  <c r="B1976" i="10"/>
  <c r="B1977" i="10"/>
  <c r="B1978" i="10"/>
  <c r="B1979" i="10"/>
  <c r="B1980" i="10"/>
  <c r="B1981" i="10"/>
  <c r="B1982" i="10"/>
  <c r="B1983" i="10"/>
  <c r="B1984" i="10"/>
  <c r="B1985" i="10"/>
  <c r="B1986" i="10"/>
  <c r="B1987" i="10"/>
  <c r="B1988" i="10"/>
  <c r="B1989" i="10"/>
  <c r="B1990" i="10"/>
  <c r="B1991" i="10"/>
  <c r="B1992" i="10"/>
  <c r="B1993" i="10"/>
  <c r="B1994" i="10"/>
  <c r="B1995" i="10"/>
  <c r="B1996" i="10"/>
  <c r="B1997" i="10"/>
  <c r="B1998" i="10"/>
  <c r="B1999" i="10"/>
  <c r="B2000" i="10"/>
  <c r="B2001" i="10"/>
  <c r="B2002" i="10"/>
  <c r="B2003" i="10"/>
  <c r="B2004" i="10"/>
  <c r="B2005" i="10"/>
  <c r="B2006" i="10"/>
  <c r="B2007" i="10"/>
  <c r="B2008" i="10"/>
  <c r="B2009" i="10"/>
  <c r="B2010" i="10"/>
  <c r="B2011" i="10"/>
  <c r="B2012" i="10"/>
  <c r="B2013" i="10"/>
  <c r="B2014" i="10"/>
  <c r="B2015" i="10"/>
  <c r="B2016" i="10"/>
  <c r="B2017" i="10"/>
  <c r="B2018" i="10"/>
  <c r="B2019" i="10"/>
  <c r="B2020" i="10"/>
  <c r="B2021" i="10"/>
  <c r="B2022" i="10"/>
  <c r="B2023" i="10"/>
  <c r="B2024" i="10"/>
  <c r="B2025" i="10"/>
  <c r="B2026" i="10"/>
  <c r="B2027" i="10"/>
  <c r="B2028" i="10"/>
  <c r="B2029" i="10"/>
  <c r="B2030" i="10"/>
  <c r="B2031" i="10"/>
  <c r="B2032" i="10"/>
  <c r="B2033" i="10"/>
  <c r="B2034" i="10"/>
  <c r="B2035" i="10"/>
  <c r="B2036" i="10"/>
  <c r="B2037" i="10"/>
  <c r="B2038" i="10"/>
  <c r="B2039" i="10"/>
  <c r="B2040" i="10"/>
  <c r="B2041" i="10"/>
  <c r="B2042" i="10"/>
  <c r="B2043" i="10"/>
  <c r="B2044" i="10"/>
  <c r="B2045" i="10"/>
  <c r="B2046" i="10"/>
  <c r="B2047" i="10"/>
  <c r="B2048" i="10"/>
  <c r="B2049" i="10"/>
  <c r="B2050" i="10"/>
  <c r="B2051" i="10"/>
  <c r="B2052" i="10"/>
  <c r="B2053" i="10"/>
  <c r="B2054" i="10"/>
  <c r="B2055" i="10"/>
  <c r="B2056" i="10"/>
  <c r="B2057" i="10"/>
  <c r="B2058" i="10"/>
  <c r="B2059" i="10"/>
  <c r="B2060" i="10"/>
  <c r="B2061" i="10"/>
  <c r="B2062" i="10"/>
  <c r="B2063" i="10"/>
  <c r="B2064" i="10"/>
  <c r="B2065" i="10"/>
  <c r="B2066" i="10"/>
  <c r="B2067" i="10"/>
  <c r="B2068" i="10"/>
  <c r="B2069" i="10"/>
  <c r="B2070" i="10"/>
  <c r="B2071" i="10"/>
  <c r="B2072" i="10"/>
  <c r="B2073" i="10"/>
  <c r="B2074" i="10"/>
  <c r="B2075" i="10"/>
  <c r="B2076" i="10"/>
  <c r="B2077" i="10"/>
  <c r="B2078" i="10"/>
  <c r="B2079" i="10"/>
  <c r="B2080" i="10"/>
  <c r="B2081" i="10"/>
  <c r="B2082" i="10"/>
  <c r="B2083" i="10"/>
  <c r="B2084" i="10"/>
  <c r="B2085" i="10"/>
  <c r="B2086" i="10"/>
  <c r="B2087" i="10"/>
  <c r="B2088" i="10"/>
  <c r="B2089" i="10"/>
  <c r="B2090" i="10"/>
  <c r="B2091" i="10"/>
  <c r="B2092" i="10"/>
  <c r="B2093" i="10"/>
  <c r="B2094" i="10"/>
  <c r="B2095" i="10"/>
  <c r="B2096" i="10"/>
  <c r="B2097" i="10"/>
  <c r="B2098" i="10"/>
  <c r="B2099" i="10"/>
  <c r="B2100" i="10"/>
  <c r="B2101" i="10"/>
  <c r="B2102" i="10"/>
  <c r="B2103" i="10"/>
  <c r="B2104" i="10"/>
  <c r="B2105" i="10"/>
  <c r="B2106" i="10"/>
  <c r="B2107" i="10"/>
  <c r="B2108" i="10"/>
  <c r="B2109" i="10"/>
  <c r="B2110" i="10"/>
  <c r="B2111" i="10"/>
  <c r="B2112" i="10"/>
  <c r="B2113" i="10"/>
  <c r="B2114" i="10"/>
  <c r="B2115" i="10"/>
  <c r="B2116" i="10"/>
  <c r="B2117" i="10"/>
  <c r="B2118" i="10"/>
  <c r="B2119" i="10"/>
  <c r="B2120" i="10"/>
  <c r="B2121" i="10"/>
  <c r="B2122" i="10"/>
  <c r="B2123" i="10"/>
  <c r="B2124" i="10"/>
  <c r="B2125" i="10"/>
  <c r="B2126" i="10"/>
  <c r="B2127" i="10"/>
  <c r="B2128" i="10"/>
  <c r="B2129" i="10"/>
  <c r="B2130" i="10"/>
  <c r="B2131" i="10"/>
  <c r="B2132" i="10"/>
  <c r="B2133" i="10"/>
  <c r="B2134" i="10"/>
  <c r="B2135" i="10"/>
  <c r="B2136" i="10"/>
  <c r="B2137" i="10"/>
  <c r="B2138" i="10"/>
  <c r="B2139" i="10"/>
  <c r="B2140" i="10"/>
  <c r="B2141" i="10"/>
  <c r="B2142" i="10"/>
  <c r="B2143" i="10"/>
  <c r="B2144" i="10"/>
  <c r="B2145" i="10"/>
  <c r="B2146" i="10"/>
  <c r="B2147" i="10"/>
  <c r="B2148" i="10"/>
  <c r="B2149" i="10"/>
  <c r="B2150" i="10"/>
  <c r="B2151" i="10"/>
  <c r="B2152" i="10"/>
  <c r="B2153" i="10"/>
  <c r="B2154" i="10"/>
  <c r="B2155" i="10"/>
  <c r="B2156" i="10"/>
  <c r="B2157" i="10"/>
  <c r="B2158" i="10"/>
  <c r="B2159" i="10"/>
  <c r="B2160" i="10"/>
  <c r="B2161" i="10"/>
  <c r="B2162" i="10"/>
  <c r="B2163" i="10"/>
  <c r="B2164" i="10"/>
  <c r="B2165" i="10"/>
  <c r="B2166" i="10"/>
  <c r="B2167" i="10"/>
  <c r="B2168" i="10"/>
  <c r="B2169" i="10"/>
  <c r="B2170" i="10"/>
  <c r="B2171" i="10"/>
  <c r="B2172" i="10"/>
  <c r="B2173" i="10"/>
  <c r="B2174" i="10"/>
  <c r="B2175" i="10"/>
  <c r="B2176" i="10"/>
  <c r="B2177" i="10"/>
  <c r="B2178" i="10"/>
  <c r="B2179" i="10"/>
  <c r="B2180" i="10"/>
  <c r="B2181" i="10"/>
  <c r="B2182" i="10"/>
  <c r="B2183" i="10"/>
  <c r="B2184" i="10"/>
  <c r="B2185" i="10"/>
  <c r="B2186" i="10"/>
  <c r="B2187" i="10"/>
  <c r="B2188" i="10"/>
  <c r="B2189" i="10"/>
  <c r="B2190" i="10"/>
  <c r="B2191" i="10"/>
  <c r="B2192" i="10"/>
  <c r="B2193" i="10"/>
  <c r="B2194" i="10"/>
  <c r="B2195" i="10"/>
  <c r="B2196" i="10"/>
  <c r="B2197" i="10"/>
  <c r="B2198" i="10"/>
  <c r="B2199" i="10"/>
  <c r="B2200" i="10"/>
  <c r="B2201" i="10"/>
  <c r="B2202" i="10"/>
  <c r="B2203" i="10"/>
  <c r="B2204" i="10"/>
  <c r="B2205" i="10"/>
  <c r="B2206" i="10"/>
  <c r="B2207" i="10"/>
  <c r="B2208" i="10"/>
  <c r="B2209" i="10"/>
  <c r="B2210" i="10"/>
  <c r="B2211" i="10"/>
  <c r="B2212" i="10"/>
  <c r="B2213" i="10"/>
  <c r="B2214" i="10"/>
  <c r="B2215" i="10"/>
  <c r="B2216" i="10"/>
  <c r="B2217" i="10"/>
  <c r="B2218" i="10"/>
  <c r="B2219" i="10"/>
  <c r="B2220" i="10"/>
  <c r="B2221" i="10"/>
  <c r="B2222" i="10"/>
  <c r="B2223" i="10"/>
  <c r="B2224" i="10"/>
  <c r="B2225" i="10"/>
  <c r="B2226" i="10"/>
  <c r="B2227" i="10"/>
  <c r="B2228" i="10"/>
  <c r="B2229" i="10"/>
  <c r="B2230" i="10"/>
  <c r="B2231" i="10"/>
  <c r="B2232" i="10"/>
  <c r="B2233" i="10"/>
  <c r="B2234" i="10"/>
  <c r="B2235" i="10"/>
  <c r="B2236" i="10"/>
  <c r="B2237" i="10"/>
  <c r="B2238" i="10"/>
  <c r="B2239" i="10"/>
  <c r="B2240" i="10"/>
  <c r="B2241" i="10"/>
  <c r="B2242" i="10"/>
  <c r="B2243" i="10"/>
  <c r="B2244" i="10"/>
  <c r="B2245" i="10"/>
  <c r="B2246" i="10"/>
  <c r="B2247" i="10"/>
  <c r="B2248" i="10"/>
  <c r="B2249" i="10"/>
  <c r="B2250" i="10"/>
  <c r="B2251" i="10"/>
  <c r="B2252" i="10"/>
  <c r="B2253" i="10"/>
  <c r="B2254" i="10"/>
  <c r="B2255" i="10"/>
  <c r="B2256" i="10"/>
  <c r="B2257" i="10"/>
  <c r="B2258" i="10"/>
  <c r="B2259" i="10"/>
  <c r="B2260" i="10"/>
  <c r="B2261" i="10"/>
  <c r="B2262" i="10"/>
  <c r="B2263" i="10"/>
  <c r="B2264" i="10"/>
  <c r="B2265" i="10"/>
  <c r="B2266" i="10"/>
  <c r="B2267" i="10"/>
  <c r="B2268" i="10"/>
  <c r="B2269" i="10"/>
  <c r="B2270" i="10"/>
  <c r="B2271" i="10"/>
  <c r="B2272" i="10"/>
  <c r="B2273" i="10"/>
  <c r="B2274" i="10"/>
  <c r="B2275" i="10"/>
  <c r="B2276" i="10"/>
  <c r="B2277" i="10"/>
  <c r="B2278" i="10"/>
  <c r="B2279" i="10"/>
  <c r="B2280" i="10"/>
  <c r="B2281" i="10"/>
  <c r="B2282" i="10"/>
  <c r="B2283" i="10"/>
  <c r="B2284" i="10"/>
  <c r="B2285" i="10"/>
  <c r="B2286" i="10"/>
  <c r="B2287" i="10"/>
  <c r="B2288" i="10"/>
  <c r="B2289" i="10"/>
  <c r="B2290" i="10"/>
  <c r="B2291" i="10"/>
  <c r="B2292" i="10"/>
  <c r="B2293" i="10"/>
  <c r="B2294" i="10"/>
  <c r="B2295" i="10"/>
  <c r="B2296" i="10"/>
  <c r="B2297" i="10"/>
  <c r="B2298" i="10"/>
  <c r="B2299" i="10"/>
  <c r="B2300" i="10"/>
  <c r="B2301" i="10"/>
  <c r="B2302" i="10"/>
  <c r="B2303" i="10"/>
  <c r="B2304" i="10"/>
  <c r="B2305" i="10"/>
  <c r="B2306" i="10"/>
  <c r="B2307" i="10"/>
  <c r="B2308" i="10"/>
  <c r="B2309" i="10"/>
  <c r="B2310" i="10"/>
  <c r="B2311" i="10"/>
  <c r="B2312" i="10"/>
  <c r="B2313" i="10"/>
  <c r="B2314" i="10"/>
  <c r="B2315" i="10"/>
  <c r="B2316" i="10"/>
  <c r="B2317" i="10"/>
  <c r="B2318" i="10"/>
  <c r="B2319" i="10"/>
  <c r="B2320" i="10"/>
  <c r="B2321" i="10"/>
  <c r="B2322" i="10"/>
  <c r="B2323" i="10"/>
  <c r="B2324" i="10"/>
  <c r="B2325" i="10"/>
  <c r="B2326" i="10"/>
  <c r="B2327" i="10"/>
  <c r="B2328" i="10"/>
  <c r="B2329" i="10"/>
  <c r="B2330" i="10"/>
  <c r="B2331" i="10"/>
  <c r="B2332" i="10"/>
  <c r="B2333" i="10"/>
  <c r="B2334" i="10"/>
  <c r="B2335" i="10"/>
  <c r="B2336" i="10"/>
  <c r="B2337" i="10"/>
  <c r="B2338" i="10"/>
  <c r="B2339" i="10"/>
  <c r="B2340" i="10"/>
  <c r="B2341" i="10"/>
  <c r="B2342" i="10"/>
  <c r="B2343" i="10"/>
  <c r="B2344" i="10"/>
  <c r="B2345" i="10"/>
  <c r="B2346" i="10"/>
  <c r="B2347" i="10"/>
  <c r="B2348" i="10"/>
  <c r="B2349" i="10"/>
  <c r="B2350" i="10"/>
  <c r="B2351" i="10"/>
  <c r="B2352" i="10"/>
  <c r="B2353" i="10"/>
  <c r="B2354" i="10"/>
  <c r="B2355" i="10"/>
  <c r="B2356" i="10"/>
  <c r="B2357" i="10"/>
  <c r="B2358" i="10"/>
  <c r="B2359" i="10"/>
  <c r="B2360" i="10"/>
  <c r="B2361" i="10"/>
  <c r="B2362" i="10"/>
  <c r="B2363" i="10"/>
  <c r="B2364" i="10"/>
  <c r="B2365" i="10"/>
  <c r="B2366" i="10"/>
  <c r="B2367" i="10"/>
  <c r="B2368" i="10"/>
  <c r="B2369" i="10"/>
  <c r="B2370" i="10"/>
  <c r="B2371" i="10"/>
  <c r="B2372" i="10"/>
  <c r="B2373" i="10"/>
  <c r="B2374" i="10"/>
  <c r="B2375" i="10"/>
  <c r="B2376" i="10"/>
  <c r="B2377" i="10"/>
  <c r="B2378" i="10"/>
  <c r="B2379" i="10"/>
  <c r="B2380" i="10"/>
  <c r="B2381" i="10"/>
  <c r="B2382" i="10"/>
  <c r="B2383" i="10"/>
  <c r="B2384" i="10"/>
  <c r="B2385" i="10"/>
  <c r="B2386" i="10"/>
  <c r="B2387" i="10"/>
  <c r="B2388" i="10"/>
  <c r="B2389" i="10"/>
  <c r="B2390" i="10"/>
  <c r="B2391" i="10"/>
  <c r="B2392" i="10"/>
  <c r="B2393" i="10"/>
  <c r="B2394" i="10"/>
  <c r="B2395" i="10"/>
  <c r="B2396" i="10"/>
  <c r="B2397" i="10"/>
  <c r="B2398" i="10"/>
  <c r="B2399" i="10"/>
  <c r="B2400" i="10"/>
  <c r="B2401" i="10"/>
  <c r="B2402" i="10"/>
  <c r="B2403" i="10"/>
  <c r="B2404" i="10"/>
  <c r="B2405" i="10"/>
  <c r="B2406" i="10"/>
  <c r="B2407" i="10"/>
  <c r="B2408" i="10"/>
  <c r="B2409" i="10"/>
  <c r="B2410" i="10"/>
  <c r="B2411" i="10"/>
  <c r="B2412" i="10"/>
  <c r="B2413" i="10"/>
  <c r="B2414" i="10"/>
  <c r="B2415" i="10"/>
  <c r="B2416" i="10"/>
  <c r="B2417" i="10"/>
  <c r="B2418" i="10"/>
  <c r="B2419" i="10"/>
  <c r="B2420" i="10"/>
  <c r="B2421" i="10"/>
  <c r="B2422" i="10"/>
  <c r="B2423" i="10"/>
  <c r="B2424" i="10"/>
  <c r="B2425" i="10"/>
  <c r="B2426" i="10"/>
  <c r="B2427" i="10"/>
  <c r="B2428" i="10"/>
  <c r="B2429" i="10"/>
  <c r="B2430" i="10"/>
  <c r="B2431" i="10"/>
  <c r="B2432" i="10"/>
  <c r="B2433" i="10"/>
  <c r="B2434" i="10"/>
  <c r="B2435" i="10"/>
  <c r="B2436" i="10"/>
  <c r="B2437" i="10"/>
  <c r="B2438" i="10"/>
  <c r="B2439" i="10"/>
  <c r="B2440" i="10"/>
  <c r="B2441" i="10"/>
  <c r="B2442" i="10"/>
  <c r="B2443" i="10"/>
  <c r="B2444" i="10"/>
  <c r="B2445" i="10"/>
  <c r="B2446" i="10"/>
  <c r="B2447" i="10"/>
  <c r="B2448" i="10"/>
  <c r="B2449" i="10"/>
  <c r="B2450" i="10"/>
  <c r="B2451" i="10"/>
  <c r="B2452" i="10"/>
  <c r="B2453" i="10"/>
  <c r="B2454" i="10"/>
  <c r="B2455" i="10"/>
  <c r="B2456" i="10"/>
  <c r="B2457" i="10"/>
  <c r="B2458" i="10"/>
  <c r="B2459" i="10"/>
  <c r="B2460" i="10"/>
  <c r="B2461" i="10"/>
  <c r="B2462" i="10"/>
  <c r="B2463" i="10"/>
  <c r="B2464" i="10"/>
  <c r="B2465" i="10"/>
  <c r="B2466" i="10"/>
  <c r="B2467" i="10"/>
  <c r="B2468" i="10"/>
  <c r="B2469" i="10"/>
  <c r="B2470" i="10"/>
  <c r="B2471" i="10"/>
  <c r="B2472" i="10"/>
  <c r="B2473" i="10"/>
  <c r="B2474" i="10"/>
  <c r="B2475" i="10"/>
  <c r="B2476" i="10"/>
  <c r="B2477" i="10"/>
  <c r="B2478" i="10"/>
  <c r="B2479" i="10"/>
  <c r="B2480" i="10"/>
  <c r="B2481" i="10"/>
  <c r="B2482" i="10"/>
  <c r="B2483" i="10"/>
  <c r="B2484" i="10"/>
  <c r="B2485" i="10"/>
  <c r="B2486" i="10"/>
  <c r="B2487" i="10"/>
  <c r="B2488" i="10"/>
  <c r="B2489" i="10"/>
  <c r="B2490" i="10"/>
  <c r="B2491" i="10"/>
  <c r="B2492" i="10"/>
  <c r="B2493" i="10"/>
  <c r="B2494" i="10"/>
  <c r="B2495" i="10"/>
  <c r="B2496" i="10"/>
  <c r="B2497" i="10"/>
  <c r="B2498" i="10"/>
  <c r="B2499" i="10"/>
  <c r="B2500" i="10"/>
  <c r="B2501" i="10"/>
  <c r="B2502" i="10"/>
  <c r="B2503" i="10"/>
  <c r="B2504" i="10"/>
  <c r="B2505" i="10"/>
  <c r="B2506" i="10"/>
  <c r="B2507" i="10"/>
  <c r="B2508" i="10"/>
  <c r="B2509" i="10"/>
  <c r="B2510" i="10"/>
  <c r="B2511" i="10"/>
  <c r="B2512" i="10"/>
  <c r="B2513" i="10"/>
  <c r="B2514" i="10"/>
  <c r="B2515" i="10"/>
  <c r="B2516" i="10"/>
  <c r="B2517" i="10"/>
  <c r="B2518" i="10"/>
  <c r="B2519" i="10"/>
  <c r="B2520" i="10"/>
  <c r="B2521" i="10"/>
  <c r="B2522" i="10"/>
  <c r="B2523" i="10"/>
  <c r="B2524" i="10"/>
  <c r="B2525" i="10"/>
  <c r="B2526" i="10"/>
  <c r="B2527" i="10"/>
  <c r="B2528" i="10"/>
  <c r="B2529" i="10"/>
  <c r="B2530" i="10"/>
  <c r="B2531" i="10"/>
  <c r="B2532" i="10"/>
  <c r="B2533" i="10"/>
  <c r="B2534" i="10"/>
  <c r="B2535" i="10"/>
  <c r="B2536" i="10"/>
  <c r="B2537" i="10"/>
  <c r="B2538" i="10"/>
  <c r="B2539" i="10"/>
  <c r="B2540" i="10"/>
  <c r="B2541" i="10"/>
  <c r="B2542" i="10"/>
  <c r="B2543" i="10"/>
  <c r="B2544" i="10"/>
  <c r="B2545" i="10"/>
  <c r="B2546" i="10"/>
  <c r="B2547" i="10"/>
  <c r="B2548" i="10"/>
  <c r="B2549" i="10"/>
  <c r="B2550" i="10"/>
  <c r="B2551" i="10"/>
  <c r="B2552" i="10"/>
  <c r="B2553" i="10"/>
  <c r="B2554" i="10"/>
  <c r="B2555" i="10"/>
  <c r="B2556" i="10"/>
  <c r="B2557" i="10"/>
  <c r="B2558" i="10"/>
  <c r="B2559" i="10"/>
  <c r="B2560" i="10"/>
  <c r="B2561" i="10"/>
  <c r="B2562" i="10"/>
  <c r="B2563" i="10"/>
  <c r="B2564" i="10"/>
  <c r="B2565" i="10"/>
  <c r="B2566" i="10"/>
  <c r="B2567" i="10"/>
  <c r="B2568" i="10"/>
  <c r="B2569" i="10"/>
  <c r="B2570" i="10"/>
  <c r="B2571" i="10"/>
  <c r="B2572" i="10"/>
  <c r="B2573" i="10"/>
  <c r="B2574" i="10"/>
  <c r="B2575" i="10"/>
  <c r="B2576" i="10"/>
  <c r="B2577" i="10"/>
  <c r="B2578" i="10"/>
  <c r="B2579" i="10"/>
  <c r="B2580" i="10"/>
  <c r="B2581" i="10"/>
  <c r="B2582" i="10"/>
  <c r="B2583" i="10"/>
  <c r="B2584" i="10"/>
  <c r="B2585" i="10"/>
  <c r="B2586" i="10"/>
  <c r="B2587" i="10"/>
  <c r="B2588" i="10"/>
  <c r="B2589" i="10"/>
  <c r="B2590" i="10"/>
  <c r="B2591" i="10"/>
  <c r="B2592" i="10"/>
  <c r="B2593" i="10"/>
  <c r="B2594" i="10"/>
  <c r="B2595" i="10"/>
  <c r="B2596" i="10"/>
  <c r="B2597" i="10"/>
  <c r="B2598" i="10"/>
  <c r="B2599" i="10"/>
  <c r="B2600" i="10"/>
  <c r="B2601" i="10"/>
  <c r="B2602" i="10"/>
  <c r="B2603" i="10"/>
  <c r="B2604" i="10"/>
  <c r="B2605" i="10"/>
  <c r="B2606" i="10"/>
  <c r="B2607" i="10"/>
  <c r="B2608" i="10"/>
  <c r="B2609" i="10"/>
  <c r="B2610" i="10"/>
  <c r="B2611" i="10"/>
  <c r="B2612" i="10"/>
  <c r="B2613" i="10"/>
  <c r="B2614" i="10"/>
  <c r="B2615" i="10"/>
  <c r="B2616" i="10"/>
  <c r="B2617" i="10"/>
  <c r="B2618" i="10"/>
  <c r="B2619" i="10"/>
  <c r="B2620" i="10"/>
  <c r="B2621" i="10"/>
  <c r="B2622" i="10"/>
  <c r="B2623" i="10"/>
  <c r="B2624" i="10"/>
  <c r="B2625" i="10"/>
  <c r="B2626" i="10"/>
  <c r="B2627" i="10"/>
  <c r="B2628" i="10"/>
  <c r="B2629" i="10"/>
  <c r="B2630" i="10"/>
  <c r="B2631" i="10"/>
  <c r="B2632" i="10"/>
  <c r="B2633" i="10"/>
  <c r="B2634" i="10"/>
  <c r="B2635" i="10"/>
  <c r="B2636" i="10"/>
  <c r="B2637" i="10"/>
  <c r="B2638" i="10"/>
  <c r="B2639" i="10"/>
  <c r="B2640" i="10"/>
  <c r="B2641" i="10"/>
  <c r="B2642" i="10"/>
  <c r="B2643" i="10"/>
  <c r="B2644" i="10"/>
  <c r="B2645" i="10"/>
  <c r="B2646" i="10"/>
  <c r="B2647" i="10"/>
  <c r="B2648" i="10"/>
  <c r="B2649" i="10"/>
  <c r="B2650" i="10"/>
  <c r="B2651" i="10"/>
  <c r="B2652" i="10"/>
  <c r="B2653" i="10"/>
  <c r="B2654" i="10"/>
  <c r="B2655" i="10"/>
  <c r="B2656" i="10"/>
  <c r="B2657" i="10"/>
  <c r="B2658" i="10"/>
  <c r="B2659" i="10"/>
  <c r="B2660" i="10"/>
  <c r="B2661" i="10"/>
  <c r="B2662" i="10"/>
  <c r="B2663" i="10"/>
  <c r="B2664" i="10"/>
  <c r="B2665" i="10"/>
  <c r="B2666" i="10"/>
  <c r="B2667" i="10"/>
  <c r="B2668" i="10"/>
  <c r="B2669" i="10"/>
  <c r="B2670" i="10"/>
  <c r="B2671" i="10"/>
  <c r="B2672" i="10"/>
  <c r="B2673" i="10"/>
  <c r="B2674" i="10"/>
  <c r="B2675" i="10"/>
  <c r="B2676" i="10"/>
  <c r="B2677" i="10"/>
  <c r="B2678" i="10"/>
  <c r="B2679" i="10"/>
  <c r="B2680" i="10"/>
  <c r="B2681" i="10"/>
  <c r="B2682" i="10"/>
  <c r="B2683" i="10"/>
  <c r="B2684" i="10"/>
  <c r="B2685" i="10"/>
  <c r="B2686" i="10"/>
  <c r="B2687" i="10"/>
  <c r="B2688" i="10"/>
  <c r="B2689" i="10"/>
  <c r="B2690" i="10"/>
  <c r="B2691" i="10"/>
  <c r="B2692" i="10"/>
  <c r="B2693" i="10"/>
  <c r="B2694" i="10"/>
  <c r="B2695" i="10"/>
  <c r="B2696" i="10"/>
  <c r="B2697" i="10"/>
  <c r="B2698" i="10"/>
  <c r="B2699" i="10"/>
  <c r="B2700" i="10"/>
  <c r="B2701" i="10"/>
  <c r="B2702" i="10"/>
  <c r="B2703" i="10"/>
  <c r="B2704" i="10"/>
  <c r="B2705" i="10"/>
  <c r="B2706" i="10"/>
  <c r="B2707" i="10"/>
  <c r="B2708" i="10"/>
  <c r="B2709" i="10"/>
  <c r="B2710" i="10"/>
  <c r="B2711" i="10"/>
  <c r="B2712" i="10"/>
  <c r="B2713" i="10"/>
  <c r="B2714" i="10"/>
  <c r="B2715" i="10"/>
  <c r="B2716" i="10"/>
  <c r="B2717" i="10"/>
  <c r="B2718" i="10"/>
  <c r="B2719" i="10"/>
  <c r="B2720" i="10"/>
  <c r="B2721" i="10"/>
  <c r="B2722" i="10"/>
  <c r="B2723" i="10"/>
  <c r="B2724" i="10"/>
  <c r="K6" i="6" l="1"/>
  <c r="L6" i="6" s="1"/>
  <c r="K126" i="6" l="1"/>
  <c r="L126" i="6" s="1"/>
  <c r="K128" i="6"/>
  <c r="L128" i="6" s="1"/>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6" i="9"/>
  <c r="A885" i="9"/>
  <c r="A884" i="9"/>
  <c r="A883" i="9"/>
  <c r="A882" i="9"/>
  <c r="A881" i="9"/>
  <c r="A880" i="9"/>
  <c r="A879" i="9"/>
  <c r="A878" i="9"/>
  <c r="A877" i="9"/>
  <c r="A876" i="9"/>
  <c r="A875" i="9"/>
  <c r="A874" i="9"/>
  <c r="A873" i="9"/>
  <c r="A872" i="9"/>
  <c r="A871" i="9"/>
  <c r="A870" i="9"/>
  <c r="A869" i="9"/>
  <c r="A868" i="9"/>
  <c r="A867" i="9"/>
  <c r="A866" i="9"/>
  <c r="A865" i="9"/>
  <c r="A864" i="9"/>
  <c r="A863" i="9"/>
  <c r="A862" i="9"/>
  <c r="A861" i="9"/>
  <c r="A860" i="9"/>
  <c r="A859" i="9"/>
  <c r="A858" i="9"/>
  <c r="A857" i="9"/>
  <c r="A856" i="9"/>
  <c r="A855" i="9"/>
  <c r="A854" i="9"/>
  <c r="A853" i="9"/>
  <c r="A852" i="9"/>
  <c r="A851" i="9"/>
  <c r="A850" i="9"/>
  <c r="A849" i="9"/>
  <c r="A848" i="9"/>
  <c r="A847" i="9"/>
  <c r="A846" i="9"/>
  <c r="A845" i="9"/>
  <c r="A844" i="9"/>
  <c r="A843" i="9"/>
  <c r="A842" i="9"/>
  <c r="A841" i="9"/>
  <c r="A840" i="9"/>
  <c r="A839" i="9"/>
  <c r="A838" i="9"/>
  <c r="A837" i="9"/>
  <c r="A836" i="9"/>
  <c r="A835" i="9"/>
  <c r="A834" i="9"/>
  <c r="A833" i="9"/>
  <c r="A832" i="9"/>
  <c r="A831" i="9"/>
  <c r="A830" i="9"/>
  <c r="A829" i="9"/>
  <c r="A828" i="9"/>
  <c r="A827" i="9"/>
  <c r="A826" i="9"/>
  <c r="A825" i="9"/>
  <c r="A824" i="9"/>
  <c r="A823" i="9"/>
  <c r="A822" i="9"/>
  <c r="A821" i="9"/>
  <c r="A820" i="9"/>
  <c r="A819" i="9"/>
  <c r="A818" i="9"/>
  <c r="A817" i="9"/>
  <c r="A816" i="9"/>
  <c r="A815" i="9"/>
  <c r="A814" i="9"/>
  <c r="A813" i="9"/>
  <c r="A812" i="9"/>
  <c r="A811" i="9"/>
  <c r="A810" i="9"/>
  <c r="A809" i="9"/>
  <c r="A808" i="9"/>
  <c r="A807" i="9"/>
  <c r="A806" i="9"/>
  <c r="A805" i="9"/>
  <c r="A804" i="9"/>
  <c r="A803" i="9"/>
  <c r="A802" i="9"/>
  <c r="A801" i="9"/>
  <c r="A800" i="9"/>
  <c r="A799" i="9"/>
  <c r="A798" i="9"/>
  <c r="A797" i="9"/>
  <c r="A796" i="9"/>
  <c r="A795" i="9"/>
  <c r="A794" i="9"/>
  <c r="A793" i="9"/>
  <c r="A792" i="9"/>
  <c r="A791" i="9"/>
  <c r="A790" i="9"/>
  <c r="A789" i="9"/>
  <c r="A788" i="9"/>
  <c r="A787" i="9"/>
  <c r="A786" i="9"/>
  <c r="A785" i="9"/>
  <c r="A784" i="9"/>
  <c r="A783" i="9"/>
  <c r="A782" i="9"/>
  <c r="A781" i="9"/>
  <c r="A780" i="9"/>
  <c r="A779" i="9"/>
  <c r="A778" i="9"/>
  <c r="A777" i="9"/>
  <c r="A776" i="9"/>
  <c r="A775" i="9"/>
  <c r="A774" i="9"/>
  <c r="A773" i="9"/>
  <c r="A772" i="9"/>
  <c r="A771" i="9"/>
  <c r="A770" i="9"/>
  <c r="A769" i="9"/>
  <c r="A768" i="9"/>
  <c r="A767" i="9"/>
  <c r="A766" i="9"/>
  <c r="A765" i="9"/>
  <c r="A764" i="9"/>
  <c r="A763" i="9"/>
  <c r="A762" i="9"/>
  <c r="A761" i="9"/>
  <c r="A760" i="9"/>
  <c r="A759" i="9"/>
  <c r="A758" i="9"/>
  <c r="A757" i="9"/>
  <c r="A756" i="9"/>
  <c r="A755" i="9"/>
  <c r="A754" i="9"/>
  <c r="A753" i="9"/>
  <c r="A752" i="9"/>
  <c r="A751" i="9"/>
  <c r="A750" i="9"/>
  <c r="A749" i="9"/>
  <c r="A748" i="9"/>
  <c r="A747" i="9"/>
  <c r="A746" i="9"/>
  <c r="A745" i="9"/>
  <c r="A744" i="9"/>
  <c r="A743" i="9"/>
  <c r="A742" i="9"/>
  <c r="A741" i="9"/>
  <c r="A740" i="9"/>
  <c r="A739" i="9"/>
  <c r="A738" i="9"/>
  <c r="A737" i="9"/>
  <c r="A736" i="9"/>
  <c r="A735" i="9"/>
  <c r="A734" i="9"/>
  <c r="A733" i="9"/>
  <c r="A732" i="9"/>
  <c r="A731" i="9"/>
  <c r="A730" i="9"/>
  <c r="A729" i="9"/>
  <c r="A728" i="9"/>
  <c r="A727" i="9"/>
  <c r="A726" i="9"/>
  <c r="A725" i="9"/>
  <c r="A724" i="9"/>
  <c r="A723" i="9"/>
  <c r="A722" i="9"/>
  <c r="A721" i="9"/>
  <c r="A720" i="9"/>
  <c r="A719" i="9"/>
  <c r="A718" i="9"/>
  <c r="A717" i="9"/>
  <c r="A716" i="9"/>
  <c r="A715" i="9"/>
  <c r="A714" i="9"/>
  <c r="A713" i="9"/>
  <c r="A712" i="9"/>
  <c r="A711" i="9"/>
  <c r="A710" i="9"/>
  <c r="A709" i="9"/>
  <c r="A708" i="9"/>
  <c r="A707" i="9"/>
  <c r="A706" i="9"/>
  <c r="A705" i="9"/>
  <c r="A704" i="9"/>
  <c r="A703" i="9"/>
  <c r="A702" i="9"/>
  <c r="A701" i="9"/>
  <c r="A700" i="9"/>
  <c r="A699" i="9"/>
  <c r="A698" i="9"/>
  <c r="A697" i="9"/>
  <c r="A696" i="9"/>
  <c r="A695" i="9"/>
  <c r="A694" i="9"/>
  <c r="A693" i="9"/>
  <c r="A692" i="9"/>
  <c r="A691" i="9"/>
  <c r="A690" i="9"/>
  <c r="A689" i="9"/>
  <c r="A688" i="9"/>
  <c r="A687" i="9"/>
  <c r="A686" i="9"/>
  <c r="A685" i="9"/>
  <c r="A684" i="9"/>
  <c r="A683" i="9"/>
  <c r="A682" i="9"/>
  <c r="A681" i="9"/>
  <c r="A680" i="9"/>
  <c r="A679" i="9"/>
  <c r="A678" i="9"/>
  <c r="A677" i="9"/>
  <c r="A676" i="9"/>
  <c r="A675" i="9"/>
  <c r="A674" i="9"/>
  <c r="A673" i="9"/>
  <c r="A672" i="9"/>
  <c r="A671" i="9"/>
  <c r="A670" i="9"/>
  <c r="A669" i="9"/>
  <c r="A668" i="9"/>
  <c r="A667" i="9"/>
  <c r="A666" i="9"/>
  <c r="A665" i="9"/>
  <c r="A664" i="9"/>
  <c r="A663" i="9"/>
  <c r="A662" i="9"/>
  <c r="A661" i="9"/>
  <c r="A660" i="9"/>
  <c r="A659" i="9"/>
  <c r="A658" i="9"/>
  <c r="A657" i="9"/>
  <c r="A656" i="9"/>
  <c r="A655" i="9"/>
  <c r="A654" i="9"/>
  <c r="A653" i="9"/>
  <c r="A652" i="9"/>
  <c r="A651" i="9"/>
  <c r="A650" i="9"/>
  <c r="A649" i="9"/>
  <c r="A648" i="9"/>
  <c r="A647" i="9"/>
  <c r="A646" i="9"/>
  <c r="A645" i="9"/>
  <c r="A644" i="9"/>
  <c r="A643" i="9"/>
  <c r="A642" i="9"/>
  <c r="A641" i="9"/>
  <c r="A640" i="9"/>
  <c r="A639" i="9"/>
  <c r="A638" i="9"/>
  <c r="A637" i="9"/>
  <c r="A636" i="9"/>
  <c r="A635" i="9"/>
  <c r="A634" i="9"/>
  <c r="A633" i="9"/>
  <c r="A632" i="9"/>
  <c r="A631" i="9"/>
  <c r="A630" i="9"/>
  <c r="A629" i="9"/>
  <c r="A628" i="9"/>
  <c r="A627" i="9"/>
  <c r="A626" i="9"/>
  <c r="A625" i="9"/>
  <c r="A624" i="9"/>
  <c r="A623" i="9"/>
  <c r="A622" i="9"/>
  <c r="A621" i="9"/>
  <c r="A620" i="9"/>
  <c r="A619" i="9"/>
  <c r="A618" i="9"/>
  <c r="A617" i="9"/>
  <c r="A616" i="9"/>
  <c r="A615" i="9"/>
  <c r="A614" i="9"/>
  <c r="A613" i="9"/>
  <c r="A612" i="9"/>
  <c r="A611" i="9"/>
  <c r="A610" i="9"/>
  <c r="A609" i="9"/>
  <c r="A608" i="9"/>
  <c r="A607" i="9"/>
  <c r="A606" i="9"/>
  <c r="A605" i="9"/>
  <c r="A604" i="9"/>
  <c r="A603" i="9"/>
  <c r="A602" i="9"/>
  <c r="A601" i="9"/>
  <c r="A600" i="9"/>
  <c r="A599" i="9"/>
  <c r="A598" i="9"/>
  <c r="A597" i="9"/>
  <c r="A596" i="9"/>
  <c r="A595" i="9"/>
  <c r="A594" i="9"/>
  <c r="A593" i="9"/>
  <c r="A592" i="9"/>
  <c r="A591" i="9"/>
  <c r="A590" i="9"/>
  <c r="A589" i="9"/>
  <c r="A588" i="9"/>
  <c r="A587" i="9"/>
  <c r="A586" i="9"/>
  <c r="A585" i="9"/>
  <c r="A584" i="9"/>
  <c r="A583" i="9"/>
  <c r="A582" i="9"/>
  <c r="A581" i="9"/>
  <c r="A580" i="9"/>
  <c r="A579" i="9"/>
  <c r="A578" i="9"/>
  <c r="A577" i="9"/>
  <c r="A576" i="9"/>
  <c r="A575" i="9"/>
  <c r="A574" i="9"/>
  <c r="A573" i="9"/>
  <c r="A572" i="9"/>
  <c r="A571" i="9"/>
  <c r="A570" i="9"/>
  <c r="A569" i="9"/>
  <c r="A568" i="9"/>
  <c r="A567" i="9"/>
  <c r="A566" i="9"/>
  <c r="A565" i="9"/>
  <c r="A564" i="9"/>
  <c r="A563" i="9"/>
  <c r="A562" i="9"/>
  <c r="A561" i="9"/>
  <c r="A560" i="9"/>
  <c r="A559" i="9"/>
  <c r="A558" i="9"/>
  <c r="A557" i="9"/>
  <c r="A556" i="9"/>
  <c r="A555" i="9"/>
  <c r="A554" i="9"/>
  <c r="A553" i="9"/>
  <c r="A552" i="9"/>
  <c r="A551" i="9"/>
  <c r="A550" i="9"/>
  <c r="A549" i="9"/>
  <c r="A548" i="9"/>
  <c r="A547" i="9"/>
  <c r="A546" i="9"/>
  <c r="A545" i="9"/>
  <c r="A544" i="9"/>
  <c r="A543" i="9"/>
  <c r="A542" i="9"/>
  <c r="A541" i="9"/>
  <c r="A540" i="9"/>
  <c r="A539" i="9"/>
  <c r="A538" i="9"/>
  <c r="A537" i="9"/>
  <c r="A536" i="9"/>
  <c r="A535" i="9"/>
  <c r="A534" i="9"/>
  <c r="A533" i="9"/>
  <c r="A532" i="9"/>
  <c r="A531" i="9"/>
  <c r="A530" i="9"/>
  <c r="A529" i="9"/>
  <c r="A528" i="9"/>
  <c r="A527" i="9"/>
  <c r="A526" i="9"/>
  <c r="A525" i="9"/>
  <c r="A524" i="9"/>
  <c r="A523" i="9"/>
  <c r="A522" i="9"/>
  <c r="A521" i="9"/>
  <c r="A520" i="9"/>
  <c r="A519" i="9"/>
  <c r="A518" i="9"/>
  <c r="A517" i="9"/>
  <c r="A516" i="9"/>
  <c r="A515" i="9"/>
  <c r="A514" i="9"/>
  <c r="A513" i="9"/>
  <c r="A512" i="9"/>
  <c r="A511" i="9"/>
  <c r="A510" i="9"/>
  <c r="A509" i="9"/>
  <c r="A508" i="9"/>
  <c r="A507" i="9"/>
  <c r="A506" i="9"/>
  <c r="A505" i="9"/>
  <c r="A504" i="9"/>
  <c r="A503" i="9"/>
  <c r="A502" i="9"/>
  <c r="A501" i="9"/>
  <c r="A500" i="9"/>
  <c r="A499" i="9"/>
  <c r="A498" i="9"/>
  <c r="A497" i="9"/>
  <c r="A496" i="9"/>
  <c r="A495" i="9"/>
  <c r="A494" i="9"/>
  <c r="A493" i="9"/>
  <c r="A492" i="9"/>
  <c r="A491" i="9"/>
  <c r="A490" i="9"/>
  <c r="A489" i="9"/>
  <c r="A488" i="9"/>
  <c r="A487" i="9"/>
  <c r="A486" i="9"/>
  <c r="A485" i="9"/>
  <c r="A484" i="9"/>
  <c r="A483" i="9"/>
  <c r="A482" i="9"/>
  <c r="A481" i="9"/>
  <c r="A480" i="9"/>
  <c r="A479" i="9"/>
  <c r="A478" i="9"/>
  <c r="A477" i="9"/>
  <c r="A476" i="9"/>
  <c r="A475" i="9"/>
  <c r="A474" i="9"/>
  <c r="A473" i="9"/>
  <c r="A472" i="9"/>
  <c r="A471" i="9"/>
  <c r="A470" i="9"/>
  <c r="A469" i="9"/>
  <c r="A468" i="9"/>
  <c r="A467" i="9"/>
  <c r="A466" i="9"/>
  <c r="A465" i="9"/>
  <c r="A464" i="9"/>
  <c r="A463" i="9"/>
  <c r="A462" i="9"/>
  <c r="A461" i="9"/>
  <c r="A460" i="9"/>
  <c r="A459" i="9"/>
  <c r="A458" i="9"/>
  <c r="A457" i="9"/>
  <c r="A456" i="9"/>
  <c r="A455" i="9"/>
  <c r="A454" i="9"/>
  <c r="A453" i="9"/>
  <c r="A452" i="9"/>
  <c r="A451" i="9"/>
  <c r="A450" i="9"/>
  <c r="A449" i="9"/>
  <c r="A448" i="9"/>
  <c r="A447" i="9"/>
  <c r="A446" i="9"/>
  <c r="A445" i="9"/>
  <c r="A444" i="9"/>
  <c r="A443" i="9"/>
  <c r="A442" i="9"/>
  <c r="A441" i="9"/>
  <c r="A440" i="9"/>
  <c r="A439" i="9"/>
  <c r="A438" i="9"/>
  <c r="A437" i="9"/>
  <c r="A436" i="9"/>
  <c r="A435" i="9"/>
  <c r="A434" i="9"/>
  <c r="A433" i="9"/>
  <c r="A432" i="9"/>
  <c r="A431" i="9"/>
  <c r="A430" i="9"/>
  <c r="A429" i="9"/>
  <c r="A428" i="9"/>
  <c r="A427" i="9"/>
  <c r="A426" i="9"/>
  <c r="A425" i="9"/>
  <c r="A424" i="9"/>
  <c r="A423" i="9"/>
  <c r="A422" i="9"/>
  <c r="A421" i="9"/>
  <c r="A420" i="9"/>
  <c r="A419" i="9"/>
  <c r="A418" i="9"/>
  <c r="A417" i="9"/>
  <c r="A416" i="9"/>
  <c r="A415" i="9"/>
  <c r="A414" i="9"/>
  <c r="A413" i="9"/>
  <c r="A412" i="9"/>
  <c r="A411" i="9"/>
  <c r="A410" i="9"/>
  <c r="A409" i="9"/>
  <c r="A408" i="9"/>
  <c r="A407" i="9"/>
  <c r="A406" i="9"/>
  <c r="A405" i="9"/>
  <c r="A404" i="9"/>
  <c r="A403" i="9"/>
  <c r="A402" i="9"/>
  <c r="A401" i="9"/>
  <c r="A400" i="9"/>
  <c r="A399" i="9"/>
  <c r="A398" i="9"/>
  <c r="A397" i="9"/>
  <c r="A396" i="9"/>
  <c r="A395" i="9"/>
  <c r="A394" i="9"/>
  <c r="A393" i="9"/>
  <c r="A392" i="9"/>
  <c r="A391" i="9"/>
  <c r="A390" i="9"/>
  <c r="A389" i="9"/>
  <c r="A388" i="9"/>
  <c r="A387" i="9"/>
  <c r="A386" i="9"/>
  <c r="A385" i="9"/>
  <c r="A384" i="9"/>
  <c r="A383" i="9"/>
  <c r="A382" i="9"/>
  <c r="A381" i="9"/>
  <c r="A380" i="9"/>
  <c r="A379" i="9"/>
  <c r="A378" i="9"/>
  <c r="A377" i="9"/>
  <c r="A376" i="9"/>
  <c r="A375" i="9"/>
  <c r="A374" i="9"/>
  <c r="A373" i="9"/>
  <c r="A372" i="9"/>
  <c r="A371" i="9"/>
  <c r="A370" i="9"/>
  <c r="A369" i="9"/>
  <c r="A368" i="9"/>
  <c r="A367" i="9"/>
  <c r="A366" i="9"/>
  <c r="A365" i="9"/>
  <c r="A364" i="9"/>
  <c r="A363" i="9"/>
  <c r="A362" i="9"/>
  <c r="A361" i="9"/>
  <c r="A360" i="9"/>
  <c r="A359" i="9"/>
  <c r="A358" i="9"/>
  <c r="A357" i="9"/>
  <c r="A356" i="9"/>
  <c r="A355" i="9"/>
  <c r="A354" i="9"/>
  <c r="A353" i="9"/>
  <c r="A352" i="9"/>
  <c r="A351" i="9"/>
  <c r="A350" i="9"/>
  <c r="A349" i="9"/>
  <c r="A348" i="9"/>
  <c r="A347" i="9"/>
  <c r="A346" i="9"/>
  <c r="A345" i="9"/>
  <c r="A344" i="9"/>
  <c r="A343" i="9"/>
  <c r="A342" i="9"/>
  <c r="A341" i="9"/>
  <c r="A340" i="9"/>
  <c r="A339" i="9"/>
  <c r="A338" i="9"/>
  <c r="A337" i="9"/>
  <c r="A336" i="9"/>
  <c r="A335" i="9"/>
  <c r="A334" i="9"/>
  <c r="A333" i="9"/>
  <c r="A332" i="9"/>
  <c r="A331" i="9"/>
  <c r="A330" i="9"/>
  <c r="A329" i="9"/>
  <c r="A328" i="9"/>
  <c r="A327" i="9"/>
  <c r="A326" i="9"/>
  <c r="A325" i="9"/>
  <c r="A324" i="9"/>
  <c r="A323" i="9"/>
  <c r="A322" i="9"/>
  <c r="A321" i="9"/>
  <c r="A320" i="9"/>
  <c r="A319" i="9"/>
  <c r="A318" i="9"/>
  <c r="A317" i="9"/>
  <c r="A316" i="9"/>
  <c r="A315" i="9"/>
  <c r="A314" i="9"/>
  <c r="A313" i="9"/>
  <c r="A312" i="9"/>
  <c r="A311" i="9"/>
  <c r="A310" i="9"/>
  <c r="A309" i="9"/>
  <c r="A308" i="9"/>
  <c r="A307" i="9"/>
  <c r="A306" i="9"/>
  <c r="A305" i="9"/>
  <c r="A304" i="9"/>
  <c r="A303" i="9"/>
  <c r="A302" i="9"/>
  <c r="A301" i="9"/>
  <c r="A300" i="9"/>
  <c r="A299" i="9"/>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806" i="8"/>
  <c r="H807" i="8"/>
  <c r="H808" i="8"/>
  <c r="H809" i="8"/>
  <c r="H810" i="8"/>
  <c r="H811" i="8"/>
  <c r="H812" i="8"/>
  <c r="H813" i="8"/>
  <c r="H814" i="8"/>
  <c r="H815" i="8"/>
  <c r="H816" i="8"/>
  <c r="H817" i="8"/>
  <c r="H818" i="8"/>
  <c r="H819" i="8"/>
  <c r="H820" i="8"/>
  <c r="H821" i="8"/>
  <c r="H822" i="8"/>
  <c r="H823" i="8"/>
  <c r="H824" i="8"/>
  <c r="H825" i="8"/>
  <c r="H826" i="8"/>
  <c r="H827" i="8"/>
  <c r="H828" i="8"/>
  <c r="H829" i="8"/>
  <c r="H830" i="8"/>
  <c r="H831" i="8"/>
  <c r="H832" i="8"/>
  <c r="H833" i="8"/>
  <c r="H834" i="8"/>
  <c r="H835" i="8"/>
  <c r="H836" i="8"/>
  <c r="H837" i="8"/>
  <c r="H838" i="8"/>
  <c r="H839" i="8"/>
  <c r="H840" i="8"/>
  <c r="H841" i="8"/>
  <c r="H842" i="8"/>
  <c r="H843" i="8"/>
  <c r="H844" i="8"/>
  <c r="H845" i="8"/>
  <c r="H846" i="8"/>
  <c r="H847" i="8"/>
  <c r="H848" i="8"/>
  <c r="H849" i="8"/>
  <c r="H850" i="8"/>
  <c r="H851" i="8"/>
  <c r="H852" i="8"/>
  <c r="H853" i="8"/>
  <c r="H854" i="8"/>
  <c r="H855" i="8"/>
  <c r="H856" i="8"/>
  <c r="H857" i="8"/>
  <c r="H858" i="8"/>
  <c r="H859" i="8"/>
  <c r="H860" i="8"/>
  <c r="H861" i="8"/>
  <c r="H862" i="8"/>
  <c r="H863" i="8"/>
  <c r="H864" i="8"/>
  <c r="H865" i="8"/>
  <c r="H866" i="8"/>
  <c r="H867" i="8"/>
  <c r="H868" i="8"/>
  <c r="H869" i="8"/>
  <c r="H870" i="8"/>
  <c r="H871" i="8"/>
  <c r="H872" i="8"/>
  <c r="H873" i="8"/>
  <c r="H874" i="8"/>
  <c r="H875" i="8"/>
  <c r="H876" i="8"/>
  <c r="H877" i="8"/>
  <c r="H878" i="8"/>
  <c r="H879" i="8"/>
  <c r="H880" i="8"/>
  <c r="H881" i="8"/>
  <c r="H882" i="8"/>
  <c r="H883" i="8"/>
  <c r="H884" i="8"/>
  <c r="H885" i="8"/>
  <c r="H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6" i="8"/>
  <c r="A927" i="7"/>
  <c r="A926" i="7"/>
  <c r="A925" i="7"/>
  <c r="A924" i="7"/>
  <c r="A923" i="7"/>
  <c r="A922" i="7"/>
  <c r="A921" i="7"/>
  <c r="A920" i="7"/>
  <c r="A919" i="7"/>
  <c r="A918" i="7"/>
  <c r="A917" i="7"/>
  <c r="A916" i="7"/>
  <c r="A915" i="7"/>
  <c r="A914" i="7"/>
  <c r="A913" i="7"/>
  <c r="A912" i="7"/>
  <c r="A911" i="7"/>
  <c r="A910" i="7"/>
  <c r="A909" i="7"/>
  <c r="A908" i="7"/>
  <c r="A907" i="7"/>
  <c r="A906" i="7"/>
  <c r="A905" i="7"/>
  <c r="A904" i="7"/>
  <c r="A903" i="7"/>
  <c r="A902" i="7"/>
  <c r="A901" i="7"/>
  <c r="A900" i="7"/>
  <c r="A899" i="7"/>
  <c r="A898" i="7"/>
  <c r="A897" i="7"/>
  <c r="A896" i="7"/>
  <c r="A895" i="7"/>
  <c r="A894" i="7"/>
  <c r="A893" i="7"/>
  <c r="A892" i="7"/>
  <c r="A891" i="7"/>
  <c r="A890" i="7"/>
  <c r="A889" i="7"/>
  <c r="A888" i="7"/>
  <c r="A887" i="7"/>
  <c r="A886" i="7"/>
  <c r="A885" i="7"/>
  <c r="A884" i="7"/>
  <c r="A883" i="7"/>
  <c r="A882" i="7"/>
  <c r="A881" i="7"/>
  <c r="A880" i="7"/>
  <c r="A879" i="7"/>
  <c r="A878" i="7"/>
  <c r="A877" i="7"/>
  <c r="A876" i="7"/>
  <c r="A875" i="7"/>
  <c r="A874" i="7"/>
  <c r="A873" i="7"/>
  <c r="A872" i="7"/>
  <c r="A871" i="7"/>
  <c r="A870" i="7"/>
  <c r="A869" i="7"/>
  <c r="A868" i="7"/>
  <c r="A867" i="7"/>
  <c r="A866" i="7"/>
  <c r="A865" i="7"/>
  <c r="A864"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3"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L78" i="6"/>
  <c r="L206" i="6"/>
  <c r="K7" i="6"/>
  <c r="L7" i="6" s="1"/>
  <c r="K8" i="6"/>
  <c r="L8" i="6" s="1"/>
  <c r="K9" i="6"/>
  <c r="L9" i="6" s="1"/>
  <c r="K10" i="6"/>
  <c r="L10" i="6" s="1"/>
  <c r="K11" i="6"/>
  <c r="L11" i="6" s="1"/>
  <c r="K12" i="6"/>
  <c r="L12" i="6" s="1"/>
  <c r="K13" i="6"/>
  <c r="L13" i="6" s="1"/>
  <c r="K14" i="6"/>
  <c r="L14" i="6" s="1"/>
  <c r="K15" i="6"/>
  <c r="L15" i="6" s="1"/>
  <c r="K16" i="6"/>
  <c r="L16" i="6" s="1"/>
  <c r="K17" i="6"/>
  <c r="L17" i="6" s="1"/>
  <c r="K18" i="6"/>
  <c r="L18" i="6" s="1"/>
  <c r="K19" i="6"/>
  <c r="L19" i="6" s="1"/>
  <c r="K20" i="6"/>
  <c r="L20" i="6" s="1"/>
  <c r="K21" i="6"/>
  <c r="L21" i="6" s="1"/>
  <c r="K22" i="6"/>
  <c r="L22" i="6" s="1"/>
  <c r="K23" i="6"/>
  <c r="L23" i="6" s="1"/>
  <c r="K24" i="6"/>
  <c r="L24" i="6" s="1"/>
  <c r="K25" i="6"/>
  <c r="L25" i="6" s="1"/>
  <c r="K26" i="6"/>
  <c r="L26" i="6" s="1"/>
  <c r="K27" i="6"/>
  <c r="L27" i="6" s="1"/>
  <c r="K28" i="6"/>
  <c r="L28" i="6" s="1"/>
  <c r="K29" i="6"/>
  <c r="L29" i="6" s="1"/>
  <c r="K30" i="6"/>
  <c r="L30" i="6" s="1"/>
  <c r="K31" i="6"/>
  <c r="L31" i="6" s="1"/>
  <c r="K32" i="6"/>
  <c r="L32" i="6" s="1"/>
  <c r="K33" i="6"/>
  <c r="L33" i="6" s="1"/>
  <c r="K34" i="6"/>
  <c r="L34" i="6" s="1"/>
  <c r="K35" i="6"/>
  <c r="L35" i="6" s="1"/>
  <c r="K36" i="6"/>
  <c r="L36" i="6" s="1"/>
  <c r="K37" i="6"/>
  <c r="L37" i="6" s="1"/>
  <c r="K38" i="6"/>
  <c r="L38" i="6" s="1"/>
  <c r="K39" i="6"/>
  <c r="L39" i="6" s="1"/>
  <c r="K40" i="6"/>
  <c r="L40" i="6" s="1"/>
  <c r="K41" i="6"/>
  <c r="L41" i="6" s="1"/>
  <c r="K42" i="6"/>
  <c r="L42" i="6" s="1"/>
  <c r="K43" i="6"/>
  <c r="L43" i="6" s="1"/>
  <c r="K44" i="6"/>
  <c r="L44" i="6" s="1"/>
  <c r="K45" i="6"/>
  <c r="L45" i="6" s="1"/>
  <c r="K46" i="6"/>
  <c r="L46" i="6" s="1"/>
  <c r="K47" i="6"/>
  <c r="L47" i="6" s="1"/>
  <c r="K48" i="6"/>
  <c r="L48" i="6" s="1"/>
  <c r="K49" i="6"/>
  <c r="L49" i="6" s="1"/>
  <c r="K50" i="6"/>
  <c r="L50" i="6" s="1"/>
  <c r="K51" i="6"/>
  <c r="L51" i="6" s="1"/>
  <c r="K52" i="6"/>
  <c r="L52" i="6" s="1"/>
  <c r="K53" i="6"/>
  <c r="L53" i="6" s="1"/>
  <c r="K54" i="6"/>
  <c r="L54" i="6" s="1"/>
  <c r="K55" i="6"/>
  <c r="L55" i="6" s="1"/>
  <c r="K56" i="6"/>
  <c r="L56" i="6" s="1"/>
  <c r="K57" i="6"/>
  <c r="L57" i="6" s="1"/>
  <c r="K58" i="6"/>
  <c r="L58" i="6" s="1"/>
  <c r="K59" i="6"/>
  <c r="L59" i="6" s="1"/>
  <c r="K60" i="6"/>
  <c r="L60" i="6" s="1"/>
  <c r="K61" i="6"/>
  <c r="L61" i="6" s="1"/>
  <c r="K62" i="6"/>
  <c r="L62" i="6" s="1"/>
  <c r="K63" i="6"/>
  <c r="L63" i="6" s="1"/>
  <c r="K64" i="6"/>
  <c r="L64" i="6" s="1"/>
  <c r="K65" i="6"/>
  <c r="L65" i="6" s="1"/>
  <c r="K66" i="6"/>
  <c r="L66" i="6" s="1"/>
  <c r="K67" i="6"/>
  <c r="L67" i="6" s="1"/>
  <c r="K68" i="6"/>
  <c r="L68" i="6" s="1"/>
  <c r="K69" i="6"/>
  <c r="L69" i="6" s="1"/>
  <c r="K70" i="6"/>
  <c r="L70" i="6" s="1"/>
  <c r="K71" i="6"/>
  <c r="L71" i="6" s="1"/>
  <c r="K72" i="6"/>
  <c r="L72" i="6" s="1"/>
  <c r="K73" i="6"/>
  <c r="L73" i="6" s="1"/>
  <c r="K74" i="6"/>
  <c r="L74" i="6" s="1"/>
  <c r="K75" i="6"/>
  <c r="L75" i="6" s="1"/>
  <c r="K76" i="6"/>
  <c r="L76" i="6" s="1"/>
  <c r="K77" i="6"/>
  <c r="L77" i="6" s="1"/>
  <c r="K78" i="6"/>
  <c r="K79" i="6"/>
  <c r="L79" i="6" s="1"/>
  <c r="K80" i="6"/>
  <c r="L80" i="6" s="1"/>
  <c r="K81" i="6"/>
  <c r="L81" i="6" s="1"/>
  <c r="K82" i="6"/>
  <c r="L82" i="6" s="1"/>
  <c r="K83" i="6"/>
  <c r="L83" i="6" s="1"/>
  <c r="K84" i="6"/>
  <c r="L84" i="6" s="1"/>
  <c r="K85" i="6"/>
  <c r="L85" i="6" s="1"/>
  <c r="K86" i="6"/>
  <c r="L86" i="6" s="1"/>
  <c r="K87" i="6"/>
  <c r="L87" i="6" s="1"/>
  <c r="K88" i="6"/>
  <c r="L88" i="6" s="1"/>
  <c r="K89" i="6"/>
  <c r="L89" i="6" s="1"/>
  <c r="K90" i="6"/>
  <c r="L90" i="6" s="1"/>
  <c r="K91" i="6"/>
  <c r="L91" i="6" s="1"/>
  <c r="K92" i="6"/>
  <c r="L92" i="6" s="1"/>
  <c r="K93" i="6"/>
  <c r="L93" i="6" s="1"/>
  <c r="K94" i="6"/>
  <c r="L94" i="6" s="1"/>
  <c r="K95" i="6"/>
  <c r="L95" i="6" s="1"/>
  <c r="K96" i="6"/>
  <c r="L96" i="6" s="1"/>
  <c r="K97" i="6"/>
  <c r="L97" i="6" s="1"/>
  <c r="K98" i="6"/>
  <c r="L98" i="6" s="1"/>
  <c r="K99" i="6"/>
  <c r="L99" i="6" s="1"/>
  <c r="K100" i="6"/>
  <c r="L100" i="6" s="1"/>
  <c r="K101" i="6"/>
  <c r="L101" i="6" s="1"/>
  <c r="K102" i="6"/>
  <c r="L102" i="6" s="1"/>
  <c r="K103" i="6"/>
  <c r="L103" i="6" s="1"/>
  <c r="K104" i="6"/>
  <c r="L104" i="6" s="1"/>
  <c r="K105" i="6"/>
  <c r="L105" i="6" s="1"/>
  <c r="K106" i="6"/>
  <c r="L106" i="6" s="1"/>
  <c r="K107" i="6"/>
  <c r="L107" i="6" s="1"/>
  <c r="K108" i="6"/>
  <c r="L108" i="6" s="1"/>
  <c r="K109" i="6"/>
  <c r="L109" i="6" s="1"/>
  <c r="K110" i="6"/>
  <c r="L110" i="6" s="1"/>
  <c r="K111" i="6"/>
  <c r="L111" i="6" s="1"/>
  <c r="K112" i="6"/>
  <c r="L112" i="6" s="1"/>
  <c r="K113" i="6"/>
  <c r="L113" i="6" s="1"/>
  <c r="K114" i="6"/>
  <c r="L114" i="6" s="1"/>
  <c r="K115" i="6"/>
  <c r="L115" i="6" s="1"/>
  <c r="K116" i="6"/>
  <c r="L116" i="6" s="1"/>
  <c r="K117" i="6"/>
  <c r="L117" i="6" s="1"/>
  <c r="K118" i="6"/>
  <c r="L118" i="6" s="1"/>
  <c r="K119" i="6"/>
  <c r="L119" i="6" s="1"/>
  <c r="K120" i="6"/>
  <c r="L120" i="6" s="1"/>
  <c r="K121" i="6"/>
  <c r="L121" i="6" s="1"/>
  <c r="K122" i="6"/>
  <c r="L122" i="6" s="1"/>
  <c r="K123" i="6"/>
  <c r="L123" i="6" s="1"/>
  <c r="K124" i="6"/>
  <c r="L124" i="6" s="1"/>
  <c r="K125" i="6"/>
  <c r="L125" i="6" s="1"/>
  <c r="K127" i="6"/>
  <c r="L127" i="6" s="1"/>
  <c r="K129" i="6"/>
  <c r="L129" i="6" s="1"/>
  <c r="K130" i="6"/>
  <c r="L130" i="6" s="1"/>
  <c r="K131" i="6"/>
  <c r="L131" i="6" s="1"/>
  <c r="K132" i="6"/>
  <c r="L132" i="6" s="1"/>
  <c r="K133" i="6"/>
  <c r="L133" i="6" s="1"/>
  <c r="K134" i="6"/>
  <c r="L134" i="6" s="1"/>
  <c r="K135" i="6"/>
  <c r="L135" i="6" s="1"/>
  <c r="K136" i="6"/>
  <c r="L136" i="6" s="1"/>
  <c r="K137" i="6"/>
  <c r="L137" i="6" s="1"/>
  <c r="K138" i="6"/>
  <c r="L138" i="6" s="1"/>
  <c r="K139" i="6"/>
  <c r="L139" i="6" s="1"/>
  <c r="K140" i="6"/>
  <c r="L140" i="6" s="1"/>
  <c r="K141" i="6"/>
  <c r="L141" i="6" s="1"/>
  <c r="K142" i="6"/>
  <c r="L142" i="6" s="1"/>
  <c r="K143" i="6"/>
  <c r="L143" i="6" s="1"/>
  <c r="K144" i="6"/>
  <c r="L144" i="6" s="1"/>
  <c r="K145" i="6"/>
  <c r="L145" i="6" s="1"/>
  <c r="K146" i="6"/>
  <c r="L146" i="6" s="1"/>
  <c r="K147" i="6"/>
  <c r="L147" i="6" s="1"/>
  <c r="K148" i="6"/>
  <c r="L148" i="6" s="1"/>
  <c r="K149" i="6"/>
  <c r="L149" i="6" s="1"/>
  <c r="K150" i="6"/>
  <c r="L150" i="6" s="1"/>
  <c r="K151" i="6"/>
  <c r="L151" i="6" s="1"/>
  <c r="K152" i="6"/>
  <c r="L152" i="6" s="1"/>
  <c r="K153" i="6"/>
  <c r="L153" i="6" s="1"/>
  <c r="K154" i="6"/>
  <c r="L154" i="6" s="1"/>
  <c r="K155" i="6"/>
  <c r="L155" i="6" s="1"/>
  <c r="K156" i="6"/>
  <c r="L156" i="6" s="1"/>
  <c r="K157" i="6"/>
  <c r="L157" i="6" s="1"/>
  <c r="K158" i="6"/>
  <c r="L158" i="6" s="1"/>
  <c r="K159" i="6"/>
  <c r="L159" i="6" s="1"/>
  <c r="K160" i="6"/>
  <c r="L160" i="6" s="1"/>
  <c r="K161" i="6"/>
  <c r="L161" i="6" s="1"/>
  <c r="K162" i="6"/>
  <c r="L162" i="6" s="1"/>
  <c r="K163" i="6"/>
  <c r="L163" i="6" s="1"/>
  <c r="K164" i="6"/>
  <c r="L164" i="6" s="1"/>
  <c r="K165" i="6"/>
  <c r="L165" i="6" s="1"/>
  <c r="K166" i="6"/>
  <c r="L166" i="6" s="1"/>
  <c r="K167" i="6"/>
  <c r="L167" i="6" s="1"/>
  <c r="K168" i="6"/>
  <c r="L168" i="6" s="1"/>
  <c r="K169" i="6"/>
  <c r="L169" i="6" s="1"/>
  <c r="K170" i="6"/>
  <c r="L170" i="6" s="1"/>
  <c r="K171" i="6"/>
  <c r="L171" i="6" s="1"/>
  <c r="K172" i="6"/>
  <c r="L172" i="6" s="1"/>
  <c r="K173" i="6"/>
  <c r="L173" i="6" s="1"/>
  <c r="K174" i="6"/>
  <c r="L174" i="6" s="1"/>
  <c r="K175" i="6"/>
  <c r="L175" i="6" s="1"/>
  <c r="K176" i="6"/>
  <c r="L176" i="6" s="1"/>
  <c r="K177" i="6"/>
  <c r="L177" i="6" s="1"/>
  <c r="K178" i="6"/>
  <c r="L178" i="6" s="1"/>
  <c r="K179" i="6"/>
  <c r="L179" i="6" s="1"/>
  <c r="K180" i="6"/>
  <c r="L180" i="6" s="1"/>
  <c r="K181" i="6"/>
  <c r="L181" i="6" s="1"/>
  <c r="K182" i="6"/>
  <c r="L182" i="6" s="1"/>
  <c r="K183" i="6"/>
  <c r="L183" i="6" s="1"/>
  <c r="K184" i="6"/>
  <c r="L184" i="6" s="1"/>
  <c r="K185" i="6"/>
  <c r="L185" i="6" s="1"/>
  <c r="K186" i="6"/>
  <c r="L186" i="6" s="1"/>
  <c r="K187" i="6"/>
  <c r="L187" i="6" s="1"/>
  <c r="K188" i="6"/>
  <c r="L188" i="6" s="1"/>
  <c r="K189" i="6"/>
  <c r="L189" i="6" s="1"/>
  <c r="K190" i="6"/>
  <c r="L190" i="6" s="1"/>
  <c r="K191" i="6"/>
  <c r="L191" i="6" s="1"/>
  <c r="K192" i="6"/>
  <c r="L192" i="6" s="1"/>
  <c r="K193" i="6"/>
  <c r="L193" i="6" s="1"/>
  <c r="K194" i="6"/>
  <c r="L194" i="6" s="1"/>
  <c r="K195" i="6"/>
  <c r="L195" i="6" s="1"/>
  <c r="K196" i="6"/>
  <c r="L196" i="6" s="1"/>
  <c r="K197" i="6"/>
  <c r="L197" i="6" s="1"/>
  <c r="K198" i="6"/>
  <c r="L198" i="6" s="1"/>
  <c r="K199" i="6"/>
  <c r="L199" i="6" s="1"/>
  <c r="K200" i="6"/>
  <c r="L200" i="6" s="1"/>
  <c r="K201" i="6"/>
  <c r="L201" i="6" s="1"/>
  <c r="K202" i="6"/>
  <c r="L202" i="6" s="1"/>
  <c r="K203" i="6"/>
  <c r="L203" i="6" s="1"/>
  <c r="K204" i="6"/>
  <c r="L204" i="6" s="1"/>
  <c r="K205" i="6"/>
  <c r="L205" i="6" s="1"/>
  <c r="K206" i="6"/>
  <c r="K207" i="6"/>
  <c r="L207" i="6" s="1"/>
  <c r="K208" i="6"/>
  <c r="L208" i="6" s="1"/>
  <c r="K209" i="6"/>
  <c r="L209" i="6" s="1"/>
  <c r="K210" i="6"/>
  <c r="L210" i="6" s="1"/>
  <c r="K211" i="6"/>
  <c r="L211" i="6" s="1"/>
  <c r="K212" i="6"/>
  <c r="L212" i="6" s="1"/>
  <c r="K213" i="6"/>
  <c r="L213" i="6" s="1"/>
  <c r="K214" i="6"/>
  <c r="L214" i="6" s="1"/>
  <c r="K215" i="6"/>
  <c r="L215" i="6" s="1"/>
  <c r="K216" i="6"/>
  <c r="L216" i="6" s="1"/>
  <c r="K217" i="6"/>
  <c r="L217" i="6" s="1"/>
  <c r="K218" i="6"/>
  <c r="L218" i="6" s="1"/>
  <c r="K219" i="6"/>
  <c r="L219" i="6" s="1"/>
  <c r="K220" i="6"/>
  <c r="L220" i="6" s="1"/>
  <c r="K221" i="6"/>
  <c r="L221" i="6" s="1"/>
  <c r="K222" i="6"/>
  <c r="L222" i="6" s="1"/>
  <c r="K223" i="6"/>
  <c r="L223" i="6" s="1"/>
  <c r="K224" i="6"/>
  <c r="L224" i="6" s="1"/>
  <c r="K225" i="6"/>
  <c r="L225" i="6" s="1"/>
  <c r="K226" i="6"/>
  <c r="L226" i="6" s="1"/>
  <c r="K227" i="6"/>
  <c r="L227" i="6" s="1"/>
  <c r="K228" i="6"/>
  <c r="L228" i="6" s="1"/>
  <c r="K229" i="6"/>
  <c r="L229" i="6" s="1"/>
  <c r="K230" i="6"/>
  <c r="L230" i="6" s="1"/>
  <c r="K231" i="6"/>
  <c r="L231" i="6" s="1"/>
  <c r="K232" i="6"/>
  <c r="L232" i="6" s="1"/>
  <c r="K233" i="6"/>
  <c r="L233" i="6" s="1"/>
  <c r="K234" i="6"/>
  <c r="L234" i="6" s="1"/>
  <c r="K235" i="6"/>
  <c r="L235" i="6" s="1"/>
  <c r="K236" i="6"/>
  <c r="L236" i="6" s="1"/>
  <c r="K237" i="6"/>
  <c r="L237" i="6" s="1"/>
  <c r="K238" i="6"/>
  <c r="L238" i="6" s="1"/>
  <c r="K239" i="6"/>
  <c r="L239" i="6" s="1"/>
  <c r="K240" i="6"/>
  <c r="L240" i="6" s="1"/>
  <c r="K241" i="6"/>
  <c r="L241" i="6" s="1"/>
  <c r="K242" i="6"/>
  <c r="L242" i="6" s="1"/>
  <c r="K243" i="6"/>
  <c r="L243" i="6" s="1"/>
  <c r="K244" i="6"/>
  <c r="L244" i="6" s="1"/>
  <c r="K245" i="6"/>
  <c r="L245" i="6" s="1"/>
  <c r="K246" i="6"/>
  <c r="L246" i="6" s="1"/>
  <c r="K247" i="6"/>
  <c r="L247" i="6" s="1"/>
  <c r="K248" i="6"/>
  <c r="L248" i="6" s="1"/>
  <c r="K249" i="6"/>
  <c r="L249" i="6" s="1"/>
  <c r="K250" i="6"/>
  <c r="L250" i="6" s="1"/>
  <c r="K251" i="6"/>
  <c r="L251" i="6" s="1"/>
  <c r="K252" i="6"/>
  <c r="L252" i="6" s="1"/>
  <c r="K253" i="6"/>
  <c r="L253" i="6" s="1"/>
  <c r="K254" i="6"/>
  <c r="L254" i="6" s="1"/>
  <c r="K255" i="6"/>
  <c r="L255" i="6" s="1"/>
  <c r="K256" i="6"/>
  <c r="L256" i="6" s="1"/>
  <c r="K257" i="6"/>
  <c r="L257" i="6" s="1"/>
  <c r="K258" i="6"/>
  <c r="L258" i="6" s="1"/>
  <c r="K259" i="6"/>
  <c r="L259" i="6" s="1"/>
  <c r="K260" i="6"/>
  <c r="L260" i="6" s="1"/>
  <c r="K261" i="6"/>
  <c r="L261" i="6" s="1"/>
  <c r="K262" i="6"/>
  <c r="L262" i="6" s="1"/>
  <c r="K263" i="6"/>
  <c r="L263" i="6" s="1"/>
  <c r="K264" i="6"/>
  <c r="L264" i="6" s="1"/>
  <c r="K265" i="6"/>
  <c r="L265" i="6" s="1"/>
  <c r="K266" i="6"/>
  <c r="L266" i="6" s="1"/>
  <c r="K267" i="6"/>
  <c r="L267" i="6" s="1"/>
  <c r="K268" i="6"/>
  <c r="L268" i="6" s="1"/>
  <c r="K269" i="6"/>
  <c r="L269" i="6" s="1"/>
  <c r="K270" i="6"/>
  <c r="L270" i="6" s="1"/>
  <c r="K271" i="6"/>
  <c r="L271" i="6" s="1"/>
  <c r="K272" i="6"/>
  <c r="L272" i="6" s="1"/>
  <c r="K273" i="6"/>
  <c r="L273" i="6" s="1"/>
  <c r="K274" i="6"/>
  <c r="L274" i="6" s="1"/>
  <c r="K275" i="6"/>
  <c r="L275" i="6" s="1"/>
  <c r="K276" i="6"/>
  <c r="L276" i="6" s="1"/>
  <c r="K277" i="6"/>
  <c r="L277" i="6" s="1"/>
  <c r="K278" i="6"/>
  <c r="L278" i="6" s="1"/>
  <c r="K279" i="6"/>
  <c r="L279" i="6" s="1"/>
  <c r="K280" i="6"/>
  <c r="L280" i="6" s="1"/>
  <c r="K281" i="6"/>
  <c r="L281" i="6" s="1"/>
  <c r="K282" i="6"/>
  <c r="L282" i="6" s="1"/>
  <c r="K283" i="6"/>
  <c r="L283" i="6" s="1"/>
  <c r="K284" i="6"/>
  <c r="L284" i="6" s="1"/>
  <c r="K285" i="6"/>
  <c r="L285" i="6" s="1"/>
  <c r="K286" i="6"/>
  <c r="L286" i="6" s="1"/>
  <c r="K287" i="6"/>
  <c r="L287" i="6" s="1"/>
  <c r="K288" i="6"/>
  <c r="L288" i="6" s="1"/>
  <c r="K289" i="6"/>
  <c r="L289" i="6" s="1"/>
  <c r="K290" i="6"/>
  <c r="L290" i="6" s="1"/>
  <c r="K291" i="6"/>
  <c r="L291" i="6" s="1"/>
  <c r="K292" i="6"/>
  <c r="L292" i="6" s="1"/>
  <c r="K293" i="6"/>
  <c r="L293" i="6" s="1"/>
  <c r="K294" i="6"/>
  <c r="L294" i="6" s="1"/>
  <c r="K295" i="6"/>
  <c r="L295" i="6" s="1"/>
  <c r="K296" i="6"/>
  <c r="L296" i="6" s="1"/>
  <c r="K297" i="6"/>
  <c r="L297" i="6" s="1"/>
  <c r="K298" i="6"/>
  <c r="L298" i="6" s="1"/>
  <c r="K299" i="6"/>
  <c r="L299" i="6" s="1"/>
  <c r="K300" i="6"/>
  <c r="L300" i="6" s="1"/>
  <c r="K301" i="6"/>
  <c r="L301" i="6" s="1"/>
  <c r="K302" i="6"/>
  <c r="L302" i="6" s="1"/>
  <c r="K303" i="6"/>
  <c r="L303" i="6" s="1"/>
  <c r="K304" i="6"/>
  <c r="L304" i="6" s="1"/>
  <c r="K305" i="6"/>
  <c r="L305" i="6" s="1"/>
  <c r="K306" i="6"/>
  <c r="L306" i="6" s="1"/>
  <c r="K307" i="6"/>
  <c r="L307" i="6" s="1"/>
  <c r="K308" i="6"/>
  <c r="L308" i="6" s="1"/>
  <c r="K309" i="6"/>
  <c r="L309" i="6" s="1"/>
  <c r="K310" i="6"/>
  <c r="L310" i="6" s="1"/>
  <c r="K311" i="6"/>
  <c r="L311" i="6" s="1"/>
  <c r="K312" i="6"/>
  <c r="L312" i="6" s="1"/>
  <c r="K313" i="6"/>
  <c r="L313" i="6" s="1"/>
  <c r="K314" i="6"/>
  <c r="L314" i="6" s="1"/>
  <c r="K315" i="6"/>
  <c r="L315" i="6" s="1"/>
  <c r="K316" i="6"/>
  <c r="L316" i="6" s="1"/>
  <c r="K317" i="6"/>
  <c r="L317" i="6" s="1"/>
  <c r="K318" i="6"/>
  <c r="L318" i="6" s="1"/>
  <c r="K319" i="6"/>
  <c r="L319" i="6" s="1"/>
  <c r="K320" i="6"/>
  <c r="L320" i="6" s="1"/>
  <c r="K321" i="6"/>
  <c r="L321" i="6" s="1"/>
  <c r="K322" i="6"/>
  <c r="L322" i="6" s="1"/>
  <c r="K323" i="6"/>
  <c r="L323" i="6" s="1"/>
  <c r="K324" i="6"/>
  <c r="L324" i="6" s="1"/>
  <c r="K325" i="6"/>
  <c r="L325" i="6" s="1"/>
  <c r="K326" i="6"/>
  <c r="L326" i="6" s="1"/>
  <c r="K327" i="6"/>
  <c r="L327" i="6" s="1"/>
  <c r="K328" i="6"/>
  <c r="L328" i="6" s="1"/>
  <c r="K329" i="6"/>
  <c r="L329" i="6" s="1"/>
  <c r="K330" i="6"/>
  <c r="L330" i="6" s="1"/>
  <c r="K331" i="6"/>
  <c r="L331" i="6" s="1"/>
  <c r="K332" i="6"/>
  <c r="L332" i="6" s="1"/>
  <c r="K333" i="6"/>
  <c r="L333" i="6" s="1"/>
  <c r="K334" i="6"/>
  <c r="L334" i="6" s="1"/>
  <c r="K335" i="6"/>
  <c r="L335" i="6" s="1"/>
  <c r="K336" i="6"/>
  <c r="L336" i="6" s="1"/>
  <c r="K337" i="6"/>
  <c r="L337" i="6" s="1"/>
  <c r="K338" i="6"/>
  <c r="L338" i="6" s="1"/>
  <c r="K339" i="6"/>
  <c r="L339" i="6" s="1"/>
  <c r="K340" i="6"/>
  <c r="L340" i="6" s="1"/>
  <c r="K341" i="6"/>
  <c r="L341" i="6" s="1"/>
  <c r="K342" i="6"/>
  <c r="L342" i="6" s="1"/>
  <c r="K343" i="6"/>
  <c r="L343" i="6" s="1"/>
  <c r="K344" i="6"/>
  <c r="L344" i="6" s="1"/>
  <c r="K345" i="6"/>
  <c r="L345" i="6" s="1"/>
  <c r="K346" i="6"/>
  <c r="L346" i="6" s="1"/>
  <c r="K347" i="6"/>
  <c r="L347" i="6" s="1"/>
  <c r="K348" i="6"/>
  <c r="L348" i="6" s="1"/>
  <c r="K349" i="6"/>
  <c r="L349" i="6" s="1"/>
  <c r="K350" i="6"/>
  <c r="L350" i="6" s="1"/>
  <c r="K351" i="6"/>
  <c r="L351" i="6" s="1"/>
  <c r="K352" i="6"/>
  <c r="L352" i="6" s="1"/>
  <c r="K353" i="6"/>
  <c r="L353" i="6" s="1"/>
  <c r="K354" i="6"/>
  <c r="L354" i="6" s="1"/>
  <c r="K355" i="6"/>
  <c r="L355" i="6" s="1"/>
  <c r="K356" i="6"/>
  <c r="L356" i="6" s="1"/>
  <c r="K357" i="6"/>
  <c r="L357" i="6" s="1"/>
  <c r="K358" i="6"/>
  <c r="L358" i="6" s="1"/>
  <c r="K359" i="6"/>
  <c r="L359" i="6" s="1"/>
  <c r="K360" i="6"/>
  <c r="L360" i="6" s="1"/>
  <c r="K361" i="6"/>
  <c r="L361" i="6" s="1"/>
  <c r="K362" i="6"/>
  <c r="L362" i="6" s="1"/>
  <c r="K363" i="6"/>
  <c r="L363" i="6" s="1"/>
  <c r="K364" i="6"/>
  <c r="L364" i="6" s="1"/>
  <c r="K365" i="6"/>
  <c r="L365" i="6" s="1"/>
  <c r="K366" i="6"/>
  <c r="L366" i="6" s="1"/>
  <c r="K367" i="6"/>
  <c r="L367" i="6" s="1"/>
  <c r="K368" i="6"/>
  <c r="L368" i="6" s="1"/>
  <c r="K369" i="6"/>
  <c r="L369" i="6" s="1"/>
  <c r="K370" i="6"/>
  <c r="L370" i="6" s="1"/>
  <c r="K371" i="6"/>
  <c r="L371" i="6" s="1"/>
  <c r="K372" i="6"/>
  <c r="L372" i="6" s="1"/>
  <c r="K373" i="6"/>
  <c r="L373" i="6" s="1"/>
  <c r="K374" i="6"/>
  <c r="L374" i="6" s="1"/>
  <c r="K375" i="6"/>
  <c r="L375" i="6" s="1"/>
  <c r="K376" i="6"/>
  <c r="L376" i="6" s="1"/>
  <c r="K377" i="6"/>
  <c r="L377" i="6" s="1"/>
  <c r="K378" i="6"/>
  <c r="L378" i="6" s="1"/>
  <c r="K379" i="6"/>
  <c r="L379" i="6" s="1"/>
  <c r="K380" i="6"/>
  <c r="L380" i="6" s="1"/>
  <c r="K381" i="6"/>
  <c r="L381" i="6" s="1"/>
  <c r="K382" i="6"/>
  <c r="L382" i="6" s="1"/>
  <c r="K383" i="6"/>
  <c r="L383" i="6" s="1"/>
  <c r="K384" i="6"/>
  <c r="L384" i="6" s="1"/>
  <c r="K385" i="6"/>
  <c r="L385" i="6" s="1"/>
  <c r="K386" i="6"/>
  <c r="L386" i="6" s="1"/>
  <c r="K387" i="6"/>
  <c r="L387" i="6" s="1"/>
  <c r="K388" i="6"/>
  <c r="L388" i="6" s="1"/>
  <c r="K389" i="6"/>
  <c r="L389" i="6" s="1"/>
  <c r="K390" i="6"/>
  <c r="L390" i="6" s="1"/>
  <c r="K391" i="6"/>
  <c r="L391" i="6" s="1"/>
  <c r="K392" i="6"/>
  <c r="L392" i="6" s="1"/>
  <c r="K393" i="6"/>
  <c r="L393" i="6" s="1"/>
  <c r="K394" i="6"/>
  <c r="L394" i="6" s="1"/>
  <c r="K395" i="6"/>
  <c r="L395" i="6" s="1"/>
  <c r="K396" i="6"/>
  <c r="L396" i="6" s="1"/>
  <c r="K397" i="6"/>
  <c r="L397" i="6" s="1"/>
  <c r="K398" i="6"/>
  <c r="L398" i="6" s="1"/>
  <c r="K399" i="6"/>
  <c r="L399" i="6" s="1"/>
  <c r="K400" i="6"/>
  <c r="L400" i="6" s="1"/>
  <c r="K401" i="6"/>
  <c r="L401" i="6" s="1"/>
  <c r="K402" i="6"/>
  <c r="L402" i="6" s="1"/>
  <c r="K403" i="6"/>
  <c r="L403" i="6" s="1"/>
  <c r="K404" i="6"/>
  <c r="L404" i="6" s="1"/>
  <c r="K405" i="6"/>
  <c r="L405" i="6" s="1"/>
  <c r="K406" i="6"/>
  <c r="L406" i="6" s="1"/>
  <c r="K407" i="6"/>
  <c r="L407" i="6" s="1"/>
  <c r="K408" i="6"/>
  <c r="L408" i="6" s="1"/>
  <c r="K409" i="6"/>
  <c r="L409" i="6" s="1"/>
  <c r="K410" i="6"/>
  <c r="L410" i="6" s="1"/>
  <c r="K411" i="6"/>
  <c r="L411" i="6" s="1"/>
  <c r="K412" i="6"/>
  <c r="L412" i="6" s="1"/>
  <c r="K413" i="6"/>
  <c r="L413" i="6" s="1"/>
  <c r="K414" i="6"/>
  <c r="L414" i="6" s="1"/>
  <c r="K415" i="6"/>
  <c r="L415" i="6" s="1"/>
  <c r="K416" i="6"/>
  <c r="L416" i="6" s="1"/>
  <c r="K417" i="6"/>
  <c r="L417" i="6" s="1"/>
  <c r="K418" i="6"/>
  <c r="L418" i="6" s="1"/>
  <c r="K419" i="6"/>
  <c r="L419" i="6" s="1"/>
  <c r="K420" i="6"/>
  <c r="L420" i="6" s="1"/>
  <c r="K421" i="6"/>
  <c r="L421" i="6" s="1"/>
  <c r="K422" i="6"/>
  <c r="L422" i="6" s="1"/>
  <c r="K423" i="6"/>
  <c r="L423" i="6" s="1"/>
  <c r="K424" i="6"/>
  <c r="L424" i="6" s="1"/>
  <c r="K425" i="6"/>
  <c r="L425" i="6" s="1"/>
  <c r="K426" i="6"/>
  <c r="L426" i="6" s="1"/>
  <c r="K427" i="6"/>
  <c r="L427" i="6" s="1"/>
  <c r="K428" i="6"/>
  <c r="L428" i="6" s="1"/>
  <c r="K429" i="6"/>
  <c r="L429" i="6" s="1"/>
  <c r="K430" i="6"/>
  <c r="L430" i="6" s="1"/>
  <c r="K431" i="6"/>
  <c r="L431" i="6" s="1"/>
  <c r="K432" i="6"/>
  <c r="L432" i="6" s="1"/>
  <c r="K433" i="6"/>
  <c r="L433" i="6" s="1"/>
  <c r="K434" i="6"/>
  <c r="L434" i="6" s="1"/>
  <c r="K435" i="6"/>
  <c r="L435" i="6" s="1"/>
  <c r="K436" i="6"/>
  <c r="L436" i="6" s="1"/>
  <c r="K437" i="6"/>
  <c r="L437" i="6" s="1"/>
  <c r="K438" i="6"/>
  <c r="L438" i="6" s="1"/>
  <c r="K439" i="6"/>
  <c r="L439" i="6" s="1"/>
  <c r="K440" i="6"/>
  <c r="L440" i="6" s="1"/>
  <c r="K441" i="6"/>
  <c r="L441" i="6" s="1"/>
  <c r="K442" i="6"/>
  <c r="L442" i="6" s="1"/>
  <c r="K443" i="6"/>
  <c r="L443" i="6" s="1"/>
  <c r="K444" i="6"/>
  <c r="L444" i="6" s="1"/>
  <c r="K445" i="6"/>
  <c r="L445" i="6" s="1"/>
  <c r="K446" i="6"/>
  <c r="L446" i="6" s="1"/>
  <c r="K447" i="6"/>
  <c r="L447" i="6" s="1"/>
  <c r="K448" i="6"/>
  <c r="L448" i="6" s="1"/>
  <c r="K449" i="6"/>
  <c r="L449" i="6" s="1"/>
  <c r="K450" i="6"/>
  <c r="L450" i="6" s="1"/>
  <c r="K451" i="6"/>
  <c r="L451" i="6" s="1"/>
  <c r="K452" i="6"/>
  <c r="L452" i="6" s="1"/>
  <c r="K453" i="6"/>
  <c r="L453" i="6" s="1"/>
  <c r="K454" i="6"/>
  <c r="L454" i="6" s="1"/>
  <c r="K455" i="6"/>
  <c r="L455" i="6" s="1"/>
  <c r="K456" i="6"/>
  <c r="L456" i="6" s="1"/>
  <c r="K457" i="6"/>
  <c r="L457" i="6" s="1"/>
  <c r="K458" i="6"/>
  <c r="L458" i="6" s="1"/>
  <c r="K459" i="6"/>
  <c r="L459" i="6" s="1"/>
  <c r="K460" i="6"/>
  <c r="L460" i="6" s="1"/>
  <c r="K461" i="6"/>
  <c r="L461" i="6" s="1"/>
  <c r="K462" i="6"/>
  <c r="L462" i="6" s="1"/>
  <c r="K463" i="6"/>
  <c r="L463" i="6" s="1"/>
  <c r="K464" i="6"/>
  <c r="L464" i="6" s="1"/>
  <c r="K465" i="6"/>
  <c r="L465" i="6" s="1"/>
  <c r="K466" i="6"/>
  <c r="L466" i="6" s="1"/>
  <c r="K467" i="6"/>
  <c r="L467" i="6" s="1"/>
  <c r="K468" i="6"/>
  <c r="L468" i="6" s="1"/>
  <c r="K469" i="6"/>
  <c r="L469" i="6" s="1"/>
  <c r="K470" i="6"/>
  <c r="L470" i="6" s="1"/>
  <c r="K471" i="6"/>
  <c r="L471" i="6" s="1"/>
  <c r="K472" i="6"/>
  <c r="L472" i="6" s="1"/>
  <c r="K473" i="6"/>
  <c r="L473" i="6" s="1"/>
  <c r="K474" i="6"/>
  <c r="L474" i="6" s="1"/>
  <c r="K475" i="6"/>
  <c r="L475" i="6" s="1"/>
  <c r="K476" i="6"/>
  <c r="L476" i="6" s="1"/>
  <c r="K477" i="6"/>
  <c r="L477" i="6" s="1"/>
  <c r="K478" i="6"/>
  <c r="L478" i="6" s="1"/>
  <c r="K479" i="6"/>
  <c r="L479" i="6" s="1"/>
  <c r="K480" i="6"/>
  <c r="L480" i="6" s="1"/>
  <c r="K481" i="6"/>
  <c r="L481" i="6" s="1"/>
  <c r="K482" i="6"/>
  <c r="L482" i="6" s="1"/>
  <c r="K483" i="6"/>
  <c r="L483" i="6" s="1"/>
  <c r="K484" i="6"/>
  <c r="L484" i="6" s="1"/>
  <c r="K485" i="6"/>
  <c r="L485" i="6" s="1"/>
  <c r="K486" i="6"/>
  <c r="L486" i="6" s="1"/>
  <c r="K487" i="6"/>
  <c r="L487" i="6" s="1"/>
  <c r="K488" i="6"/>
  <c r="L488" i="6" s="1"/>
  <c r="K489" i="6"/>
  <c r="L489" i="6" s="1"/>
  <c r="K490" i="6"/>
  <c r="L490" i="6" s="1"/>
  <c r="K491" i="6"/>
  <c r="L491" i="6" s="1"/>
  <c r="K492" i="6"/>
  <c r="L492" i="6" s="1"/>
  <c r="K493" i="6"/>
  <c r="L493" i="6" s="1"/>
  <c r="K494" i="6"/>
  <c r="L494" i="6" s="1"/>
  <c r="K495" i="6"/>
  <c r="L495" i="6" s="1"/>
  <c r="K496" i="6"/>
  <c r="L496" i="6" s="1"/>
  <c r="K497" i="6"/>
  <c r="L497" i="6" s="1"/>
  <c r="K498" i="6"/>
  <c r="L498" i="6" s="1"/>
  <c r="K499" i="6"/>
  <c r="L499" i="6" s="1"/>
  <c r="K500" i="6"/>
  <c r="L500" i="6" s="1"/>
  <c r="K501" i="6"/>
  <c r="L501" i="6" s="1"/>
  <c r="K502" i="6"/>
  <c r="L502" i="6" s="1"/>
  <c r="K503" i="6"/>
  <c r="L503" i="6" s="1"/>
  <c r="K504" i="6"/>
  <c r="L504" i="6" s="1"/>
  <c r="K505" i="6"/>
  <c r="L505" i="6" s="1"/>
  <c r="K506" i="6"/>
  <c r="L506" i="6" s="1"/>
  <c r="K507" i="6"/>
  <c r="L507" i="6" s="1"/>
  <c r="K508" i="6"/>
  <c r="L508" i="6" s="1"/>
  <c r="K509" i="6"/>
  <c r="L509" i="6" s="1"/>
  <c r="K510" i="6"/>
  <c r="L510" i="6" s="1"/>
  <c r="K511" i="6"/>
  <c r="L511" i="6" s="1"/>
  <c r="K512" i="6"/>
  <c r="L512" i="6" s="1"/>
  <c r="K513" i="6"/>
  <c r="L513" i="6" s="1"/>
  <c r="K514" i="6"/>
  <c r="L514" i="6" s="1"/>
  <c r="K515" i="6"/>
  <c r="L515" i="6" s="1"/>
  <c r="K516" i="6"/>
  <c r="L516" i="6" s="1"/>
  <c r="K517" i="6"/>
  <c r="L517" i="6" s="1"/>
  <c r="K518" i="6"/>
  <c r="L518" i="6" s="1"/>
  <c r="K519" i="6"/>
  <c r="L519" i="6" s="1"/>
  <c r="K520" i="6"/>
  <c r="L520" i="6" s="1"/>
  <c r="K521" i="6"/>
  <c r="L521" i="6" s="1"/>
  <c r="K522" i="6"/>
  <c r="L522" i="6" s="1"/>
  <c r="K523" i="6"/>
  <c r="L523" i="6" s="1"/>
  <c r="K524" i="6"/>
  <c r="L524" i="6" s="1"/>
  <c r="K525" i="6"/>
  <c r="L525" i="6" s="1"/>
  <c r="K526" i="6"/>
  <c r="L526" i="6" s="1"/>
  <c r="K527" i="6"/>
  <c r="L527" i="6" s="1"/>
  <c r="K528" i="6"/>
  <c r="L528" i="6" s="1"/>
  <c r="K529" i="6"/>
  <c r="L529" i="6" s="1"/>
  <c r="K530" i="6"/>
  <c r="L530" i="6" s="1"/>
  <c r="K531" i="6"/>
  <c r="L531" i="6" s="1"/>
  <c r="K532" i="6"/>
  <c r="L532" i="6" s="1"/>
  <c r="K533" i="6"/>
  <c r="L533" i="6" s="1"/>
  <c r="K534" i="6"/>
  <c r="L534" i="6" s="1"/>
  <c r="K535" i="6"/>
  <c r="L535" i="6" s="1"/>
  <c r="K536" i="6"/>
  <c r="L536" i="6" s="1"/>
  <c r="K537" i="6"/>
  <c r="L537" i="6" s="1"/>
  <c r="K538" i="6"/>
  <c r="L538" i="6" s="1"/>
  <c r="K539" i="6"/>
  <c r="L539" i="6" s="1"/>
  <c r="K540" i="6"/>
  <c r="L540" i="6" s="1"/>
  <c r="K541" i="6"/>
  <c r="L541" i="6" s="1"/>
  <c r="K542" i="6"/>
  <c r="L542" i="6" s="1"/>
  <c r="K543" i="6"/>
  <c r="L543" i="6" s="1"/>
  <c r="K544" i="6"/>
  <c r="L544" i="6" s="1"/>
  <c r="K545" i="6"/>
  <c r="L545" i="6" s="1"/>
  <c r="K546" i="6"/>
  <c r="L546" i="6" s="1"/>
  <c r="K547" i="6"/>
  <c r="L547" i="6" s="1"/>
  <c r="K548" i="6"/>
  <c r="L548" i="6" s="1"/>
  <c r="K549" i="6"/>
  <c r="L549" i="6" s="1"/>
  <c r="K550" i="6"/>
  <c r="L550" i="6" s="1"/>
  <c r="K551" i="6"/>
  <c r="L551" i="6" s="1"/>
  <c r="K552" i="6"/>
  <c r="L552" i="6" s="1"/>
  <c r="K553" i="6"/>
  <c r="L553" i="6" s="1"/>
  <c r="K554" i="6"/>
  <c r="L554" i="6" s="1"/>
  <c r="K555" i="6"/>
  <c r="L555" i="6" s="1"/>
  <c r="K556" i="6"/>
  <c r="L556" i="6" s="1"/>
  <c r="K557" i="6"/>
  <c r="L557" i="6" s="1"/>
  <c r="K558" i="6"/>
  <c r="L558" i="6" s="1"/>
  <c r="K559" i="6"/>
  <c r="L559" i="6" s="1"/>
  <c r="K560" i="6"/>
  <c r="L560" i="6" s="1"/>
  <c r="K561" i="6"/>
  <c r="L561" i="6" s="1"/>
  <c r="K562" i="6"/>
  <c r="L562" i="6" s="1"/>
  <c r="K563" i="6"/>
  <c r="L563" i="6" s="1"/>
  <c r="K564" i="6"/>
  <c r="L564" i="6" s="1"/>
  <c r="K565" i="6"/>
  <c r="L565" i="6" s="1"/>
  <c r="K566" i="6"/>
  <c r="L566" i="6" s="1"/>
  <c r="K567" i="6"/>
  <c r="L567" i="6" s="1"/>
  <c r="K568" i="6"/>
  <c r="L568" i="6" s="1"/>
  <c r="K569" i="6"/>
  <c r="L569" i="6" s="1"/>
  <c r="K570" i="6"/>
  <c r="L570" i="6" s="1"/>
  <c r="K571" i="6"/>
  <c r="L571" i="6" s="1"/>
  <c r="K572" i="6"/>
  <c r="L572" i="6" s="1"/>
  <c r="K573" i="6"/>
  <c r="L573" i="6" s="1"/>
  <c r="K574" i="6"/>
  <c r="L574" i="6" s="1"/>
  <c r="K575" i="6"/>
  <c r="L575" i="6" s="1"/>
  <c r="K576" i="6"/>
  <c r="L576" i="6" s="1"/>
  <c r="K577" i="6"/>
  <c r="L577" i="6" s="1"/>
  <c r="K578" i="6"/>
  <c r="L578" i="6" s="1"/>
  <c r="K579" i="6"/>
  <c r="L579" i="6" s="1"/>
  <c r="K580" i="6"/>
  <c r="L580" i="6" s="1"/>
  <c r="K581" i="6"/>
  <c r="L581" i="6" s="1"/>
  <c r="K582" i="6"/>
  <c r="L582" i="6" s="1"/>
  <c r="K583" i="6"/>
  <c r="L583" i="6" s="1"/>
  <c r="K584" i="6"/>
  <c r="L584" i="6" s="1"/>
  <c r="K585" i="6"/>
  <c r="L585" i="6" s="1"/>
  <c r="K586" i="6"/>
  <c r="L586" i="6" s="1"/>
  <c r="K587" i="6"/>
  <c r="L587" i="6" s="1"/>
  <c r="K588" i="6"/>
  <c r="L588" i="6" s="1"/>
  <c r="K589" i="6"/>
  <c r="L589" i="6" s="1"/>
  <c r="K590" i="6"/>
  <c r="L590" i="6" s="1"/>
  <c r="K591" i="6"/>
  <c r="L591" i="6" s="1"/>
  <c r="K592" i="6"/>
  <c r="L592" i="6" s="1"/>
  <c r="K593" i="6"/>
  <c r="L593" i="6" s="1"/>
  <c r="K594" i="6"/>
  <c r="L594" i="6" s="1"/>
  <c r="K595" i="6"/>
  <c r="L595" i="6" s="1"/>
  <c r="K596" i="6"/>
  <c r="L596" i="6" s="1"/>
  <c r="K597" i="6"/>
  <c r="L597" i="6" s="1"/>
  <c r="K598" i="6"/>
  <c r="L598" i="6" s="1"/>
  <c r="K599" i="6"/>
  <c r="L599" i="6" s="1"/>
  <c r="K600" i="6"/>
  <c r="L600" i="6" s="1"/>
  <c r="K601" i="6"/>
  <c r="L601" i="6" s="1"/>
  <c r="K602" i="6"/>
  <c r="L602" i="6" s="1"/>
  <c r="K603" i="6"/>
  <c r="L603" i="6" s="1"/>
  <c r="K604" i="6"/>
  <c r="L604" i="6" s="1"/>
  <c r="K605" i="6"/>
  <c r="L605" i="6" s="1"/>
  <c r="K606" i="6"/>
  <c r="L606" i="6" s="1"/>
  <c r="K607" i="6"/>
  <c r="L607" i="6" s="1"/>
  <c r="K608" i="6"/>
  <c r="L608" i="6" s="1"/>
  <c r="K609" i="6"/>
  <c r="L609" i="6" s="1"/>
  <c r="K610" i="6"/>
  <c r="L610" i="6" s="1"/>
  <c r="K611" i="6"/>
  <c r="L611" i="6" s="1"/>
  <c r="K612" i="6"/>
  <c r="L612" i="6" s="1"/>
  <c r="K613" i="6"/>
  <c r="L613" i="6" s="1"/>
  <c r="K614" i="6"/>
  <c r="L614" i="6" s="1"/>
  <c r="K615" i="6"/>
  <c r="L615" i="6" s="1"/>
  <c r="K616" i="6"/>
  <c r="L616" i="6" s="1"/>
  <c r="K617" i="6"/>
  <c r="L617" i="6" s="1"/>
  <c r="K618" i="6"/>
  <c r="L618" i="6" s="1"/>
  <c r="K619" i="6"/>
  <c r="L619" i="6" s="1"/>
  <c r="K620" i="6"/>
  <c r="L620" i="6" s="1"/>
  <c r="K621" i="6"/>
  <c r="L621" i="6" s="1"/>
  <c r="K622" i="6"/>
  <c r="L622" i="6" s="1"/>
  <c r="K623" i="6"/>
  <c r="L623" i="6" s="1"/>
  <c r="K624" i="6"/>
  <c r="L624" i="6" s="1"/>
  <c r="K625" i="6"/>
  <c r="L625" i="6" s="1"/>
  <c r="K626" i="6"/>
  <c r="L626" i="6" s="1"/>
  <c r="K627" i="6"/>
  <c r="L627" i="6" s="1"/>
  <c r="K628" i="6"/>
  <c r="L628" i="6" s="1"/>
  <c r="K629" i="6"/>
  <c r="L629" i="6" s="1"/>
  <c r="K630" i="6"/>
  <c r="L630" i="6" s="1"/>
  <c r="K631" i="6"/>
  <c r="L631" i="6" s="1"/>
  <c r="K632" i="6"/>
  <c r="L632" i="6" s="1"/>
  <c r="K633" i="6"/>
  <c r="L633" i="6" s="1"/>
  <c r="K634" i="6"/>
  <c r="L634" i="6" s="1"/>
  <c r="K635" i="6"/>
  <c r="L635" i="6" s="1"/>
  <c r="K636" i="6"/>
  <c r="L636" i="6" s="1"/>
  <c r="K637" i="6"/>
  <c r="L637" i="6" s="1"/>
  <c r="K638" i="6"/>
  <c r="L638" i="6" s="1"/>
  <c r="K639" i="6"/>
  <c r="L639" i="6" s="1"/>
  <c r="K640" i="6"/>
  <c r="L640" i="6" s="1"/>
  <c r="K641" i="6"/>
  <c r="L641" i="6" s="1"/>
  <c r="K642" i="6"/>
  <c r="L642" i="6" s="1"/>
  <c r="K643" i="6"/>
  <c r="L643" i="6" s="1"/>
  <c r="K644" i="6"/>
  <c r="L644" i="6" s="1"/>
  <c r="K645" i="6"/>
  <c r="L645" i="6" s="1"/>
  <c r="K646" i="6"/>
  <c r="L646" i="6" s="1"/>
  <c r="K647" i="6"/>
  <c r="L647" i="6" s="1"/>
  <c r="K648" i="6"/>
  <c r="L648" i="6" s="1"/>
  <c r="K649" i="6"/>
  <c r="L649" i="6" s="1"/>
  <c r="K650" i="6"/>
  <c r="L650" i="6" s="1"/>
  <c r="K651" i="6"/>
  <c r="L651" i="6" s="1"/>
  <c r="K652" i="6"/>
  <c r="L652" i="6" s="1"/>
  <c r="K653" i="6"/>
  <c r="L653" i="6" s="1"/>
  <c r="K654" i="6"/>
  <c r="L654" i="6" s="1"/>
  <c r="K655" i="6"/>
  <c r="L655" i="6" s="1"/>
  <c r="K656" i="6"/>
  <c r="L656" i="6" s="1"/>
  <c r="K657" i="6"/>
  <c r="L657" i="6" s="1"/>
  <c r="K658" i="6"/>
  <c r="L658" i="6" s="1"/>
  <c r="K659" i="6"/>
  <c r="L659" i="6" s="1"/>
  <c r="K660" i="6"/>
  <c r="L660" i="6" s="1"/>
  <c r="K661" i="6"/>
  <c r="L661" i="6" s="1"/>
  <c r="K662" i="6"/>
  <c r="L662" i="6" s="1"/>
  <c r="K663" i="6"/>
  <c r="L663" i="6" s="1"/>
  <c r="K664" i="6"/>
  <c r="L664" i="6" s="1"/>
  <c r="K665" i="6"/>
  <c r="L665" i="6" s="1"/>
  <c r="K666" i="6"/>
  <c r="L666" i="6" s="1"/>
  <c r="K667" i="6"/>
  <c r="L667" i="6" s="1"/>
  <c r="K668" i="6"/>
  <c r="L668" i="6" s="1"/>
  <c r="K669" i="6"/>
  <c r="L669" i="6" s="1"/>
  <c r="K670" i="6"/>
  <c r="L670" i="6" s="1"/>
  <c r="K671" i="6"/>
  <c r="L671" i="6" s="1"/>
  <c r="K672" i="6"/>
  <c r="L672" i="6" s="1"/>
  <c r="K673" i="6"/>
  <c r="L673" i="6" s="1"/>
  <c r="K674" i="6"/>
  <c r="L674" i="6" s="1"/>
  <c r="K675" i="6"/>
  <c r="L675" i="6" s="1"/>
  <c r="K676" i="6"/>
  <c r="L676" i="6" s="1"/>
  <c r="K677" i="6"/>
  <c r="L677" i="6" s="1"/>
  <c r="K678" i="6"/>
  <c r="L678" i="6" s="1"/>
  <c r="K679" i="6"/>
  <c r="L679" i="6" s="1"/>
  <c r="K680" i="6"/>
  <c r="L680" i="6" s="1"/>
  <c r="K681" i="6"/>
  <c r="L681" i="6" s="1"/>
  <c r="K682" i="6"/>
  <c r="L682" i="6" s="1"/>
  <c r="K683" i="6"/>
  <c r="L683" i="6" s="1"/>
  <c r="K684" i="6"/>
  <c r="L684" i="6" s="1"/>
  <c r="K685" i="6"/>
  <c r="L685" i="6" s="1"/>
  <c r="K686" i="6"/>
  <c r="L686" i="6" s="1"/>
  <c r="K687" i="6"/>
  <c r="L687" i="6" s="1"/>
  <c r="K688" i="6"/>
  <c r="L688" i="6" s="1"/>
  <c r="K689" i="6"/>
  <c r="L689" i="6" s="1"/>
  <c r="K690" i="6"/>
  <c r="L690" i="6" s="1"/>
  <c r="K691" i="6"/>
  <c r="L691" i="6" s="1"/>
  <c r="K692" i="6"/>
  <c r="L692" i="6" s="1"/>
  <c r="K693" i="6"/>
  <c r="L693" i="6" s="1"/>
  <c r="K694" i="6"/>
  <c r="L694" i="6" s="1"/>
  <c r="K695" i="6"/>
  <c r="L695" i="6" s="1"/>
  <c r="K696" i="6"/>
  <c r="L696" i="6" s="1"/>
  <c r="K697" i="6"/>
  <c r="L697" i="6" s="1"/>
  <c r="K698" i="6"/>
  <c r="L698" i="6" s="1"/>
  <c r="K699" i="6"/>
  <c r="L699" i="6" s="1"/>
  <c r="K700" i="6"/>
  <c r="L700" i="6" s="1"/>
  <c r="K701" i="6"/>
  <c r="L701" i="6" s="1"/>
  <c r="K702" i="6"/>
  <c r="L702" i="6" s="1"/>
  <c r="K703" i="6"/>
  <c r="L703" i="6" s="1"/>
  <c r="K704" i="6"/>
  <c r="L704" i="6" s="1"/>
  <c r="K705" i="6"/>
  <c r="L705" i="6" s="1"/>
  <c r="K706" i="6"/>
  <c r="L706" i="6" s="1"/>
  <c r="K707" i="6"/>
  <c r="L707" i="6" s="1"/>
  <c r="K708" i="6"/>
  <c r="L708" i="6" s="1"/>
  <c r="K709" i="6"/>
  <c r="L709" i="6" s="1"/>
  <c r="K710" i="6"/>
  <c r="L710" i="6" s="1"/>
  <c r="K711" i="6"/>
  <c r="L711" i="6" s="1"/>
  <c r="K712" i="6"/>
  <c r="L712" i="6" s="1"/>
  <c r="K713" i="6"/>
  <c r="L713" i="6" s="1"/>
  <c r="K714" i="6"/>
  <c r="L714" i="6" s="1"/>
  <c r="K715" i="6"/>
  <c r="L715" i="6" s="1"/>
  <c r="K716" i="6"/>
  <c r="L716" i="6" s="1"/>
  <c r="K717" i="6"/>
  <c r="L717" i="6" s="1"/>
  <c r="K718" i="6"/>
  <c r="L718" i="6" s="1"/>
  <c r="K719" i="6"/>
  <c r="L719" i="6" s="1"/>
  <c r="K720" i="6"/>
  <c r="L720" i="6" s="1"/>
  <c r="K721" i="6"/>
  <c r="L721" i="6" s="1"/>
  <c r="K722" i="6"/>
  <c r="L722" i="6" s="1"/>
  <c r="K723" i="6"/>
  <c r="L723" i="6" s="1"/>
  <c r="K724" i="6"/>
  <c r="L724" i="6" s="1"/>
  <c r="K725" i="6"/>
  <c r="L725" i="6" s="1"/>
  <c r="K726" i="6"/>
  <c r="L726" i="6" s="1"/>
  <c r="K727" i="6"/>
  <c r="L727" i="6" s="1"/>
  <c r="K728" i="6"/>
  <c r="L728" i="6" s="1"/>
  <c r="K729" i="6"/>
  <c r="L729" i="6" s="1"/>
  <c r="K730" i="6"/>
  <c r="L730" i="6" s="1"/>
  <c r="K731" i="6"/>
  <c r="L731" i="6" s="1"/>
  <c r="K732" i="6"/>
  <c r="L732" i="6" s="1"/>
  <c r="K733" i="6"/>
  <c r="L733" i="6" s="1"/>
  <c r="K734" i="6"/>
  <c r="L734" i="6" s="1"/>
  <c r="K735" i="6"/>
  <c r="L735" i="6" s="1"/>
  <c r="K736" i="6"/>
  <c r="L736" i="6" s="1"/>
  <c r="K737" i="6"/>
  <c r="L737" i="6" s="1"/>
  <c r="K738" i="6"/>
  <c r="L738" i="6" s="1"/>
  <c r="K739" i="6"/>
  <c r="L739" i="6" s="1"/>
  <c r="K740" i="6"/>
  <c r="L740" i="6" s="1"/>
  <c r="K741" i="6"/>
  <c r="L741" i="6" s="1"/>
  <c r="K742" i="6"/>
  <c r="L742" i="6" s="1"/>
  <c r="K743" i="6"/>
  <c r="L743" i="6" s="1"/>
  <c r="K744" i="6"/>
  <c r="L744" i="6" s="1"/>
  <c r="K745" i="6"/>
  <c r="L745" i="6" s="1"/>
  <c r="K746" i="6"/>
  <c r="L746" i="6" s="1"/>
  <c r="K747" i="6"/>
  <c r="L747" i="6" s="1"/>
  <c r="K748" i="6"/>
  <c r="L748" i="6" s="1"/>
  <c r="K749" i="6"/>
  <c r="L749" i="6" s="1"/>
  <c r="K750" i="6"/>
  <c r="L750" i="6" s="1"/>
  <c r="K751" i="6"/>
  <c r="L751" i="6" s="1"/>
  <c r="K752" i="6"/>
  <c r="L752" i="6" s="1"/>
  <c r="K753" i="6"/>
  <c r="L753" i="6" s="1"/>
  <c r="K754" i="6"/>
  <c r="L754" i="6" s="1"/>
  <c r="K755" i="6"/>
  <c r="L755" i="6" s="1"/>
  <c r="K756" i="6"/>
  <c r="L756" i="6" s="1"/>
  <c r="K757" i="6"/>
  <c r="L757" i="6" s="1"/>
  <c r="K758" i="6"/>
  <c r="L758" i="6" s="1"/>
  <c r="K759" i="6"/>
  <c r="L759" i="6" s="1"/>
  <c r="K760" i="6"/>
  <c r="L760" i="6" s="1"/>
  <c r="K761" i="6"/>
  <c r="L761" i="6" s="1"/>
  <c r="K762" i="6"/>
  <c r="L762" i="6" s="1"/>
  <c r="K763" i="6"/>
  <c r="L763" i="6" s="1"/>
  <c r="K764" i="6"/>
  <c r="L764" i="6" s="1"/>
  <c r="K765" i="6"/>
  <c r="L765" i="6" s="1"/>
  <c r="K766" i="6"/>
  <c r="L766" i="6" s="1"/>
  <c r="K767" i="6"/>
  <c r="L767" i="6" s="1"/>
  <c r="K768" i="6"/>
  <c r="L768" i="6" s="1"/>
  <c r="K769" i="6"/>
  <c r="L769" i="6" s="1"/>
  <c r="K770" i="6"/>
  <c r="L770" i="6" s="1"/>
  <c r="K771" i="6"/>
  <c r="L771" i="6" s="1"/>
  <c r="K772" i="6"/>
  <c r="L772" i="6" s="1"/>
  <c r="K773" i="6"/>
  <c r="L773" i="6" s="1"/>
  <c r="K774" i="6"/>
  <c r="L774" i="6" s="1"/>
  <c r="K775" i="6"/>
  <c r="L775" i="6" s="1"/>
  <c r="K776" i="6"/>
  <c r="L776" i="6" s="1"/>
  <c r="K777" i="6"/>
  <c r="L777" i="6" s="1"/>
  <c r="K778" i="6"/>
  <c r="L778" i="6" s="1"/>
  <c r="K779" i="6"/>
  <c r="L779" i="6" s="1"/>
  <c r="K780" i="6"/>
  <c r="L780" i="6" s="1"/>
  <c r="K781" i="6"/>
  <c r="L781" i="6" s="1"/>
  <c r="K782" i="6"/>
  <c r="L782" i="6" s="1"/>
  <c r="K783" i="6"/>
  <c r="L783" i="6" s="1"/>
  <c r="K784" i="6"/>
  <c r="L784" i="6" s="1"/>
  <c r="K785" i="6"/>
  <c r="L785" i="6" s="1"/>
  <c r="K786" i="6"/>
  <c r="L786" i="6" s="1"/>
  <c r="K787" i="6"/>
  <c r="L787" i="6" s="1"/>
  <c r="K788" i="6"/>
  <c r="L788" i="6" s="1"/>
  <c r="K789" i="6"/>
  <c r="L789" i="6" s="1"/>
  <c r="K790" i="6"/>
  <c r="L790" i="6" s="1"/>
  <c r="K791" i="6"/>
  <c r="L791" i="6" s="1"/>
  <c r="K792" i="6"/>
  <c r="L792" i="6" s="1"/>
  <c r="K793" i="6"/>
  <c r="L793" i="6" s="1"/>
  <c r="K794" i="6"/>
  <c r="L794" i="6" s="1"/>
  <c r="K795" i="6"/>
  <c r="L795" i="6" s="1"/>
  <c r="K796" i="6"/>
  <c r="L796" i="6" s="1"/>
  <c r="K797" i="6"/>
  <c r="L797" i="6" s="1"/>
  <c r="K798" i="6"/>
  <c r="L798" i="6" s="1"/>
  <c r="K799" i="6"/>
  <c r="L799" i="6" s="1"/>
  <c r="K800" i="6"/>
  <c r="L800" i="6" s="1"/>
  <c r="K801" i="6"/>
  <c r="L801" i="6" s="1"/>
  <c r="K802" i="6"/>
  <c r="L802" i="6" s="1"/>
  <c r="K803" i="6"/>
  <c r="L803" i="6" s="1"/>
  <c r="K804" i="6"/>
  <c r="L804" i="6" s="1"/>
  <c r="K805" i="6"/>
  <c r="L805" i="6" s="1"/>
  <c r="K806" i="6"/>
  <c r="L806" i="6" s="1"/>
  <c r="K807" i="6"/>
  <c r="L807" i="6" s="1"/>
  <c r="K808" i="6"/>
  <c r="L808" i="6" s="1"/>
  <c r="K809" i="6"/>
  <c r="L809" i="6" s="1"/>
  <c r="K810" i="6"/>
  <c r="L810" i="6" s="1"/>
  <c r="K811" i="6"/>
  <c r="L811" i="6" s="1"/>
  <c r="K812" i="6"/>
  <c r="L812" i="6" s="1"/>
  <c r="K813" i="6"/>
  <c r="L813" i="6" s="1"/>
  <c r="K814" i="6"/>
  <c r="L814" i="6" s="1"/>
  <c r="K815" i="6"/>
  <c r="L815" i="6" s="1"/>
  <c r="K816" i="6"/>
  <c r="L816" i="6" s="1"/>
  <c r="K817" i="6"/>
  <c r="L817" i="6" s="1"/>
  <c r="K818" i="6"/>
  <c r="L818" i="6" s="1"/>
  <c r="K819" i="6"/>
  <c r="L819" i="6" s="1"/>
  <c r="K820" i="6"/>
  <c r="L820" i="6" s="1"/>
  <c r="K821" i="6"/>
  <c r="L821" i="6" s="1"/>
  <c r="K822" i="6"/>
  <c r="L822" i="6" s="1"/>
  <c r="K823" i="6"/>
  <c r="L823" i="6" s="1"/>
  <c r="K824" i="6"/>
  <c r="L824" i="6" s="1"/>
  <c r="K825" i="6"/>
  <c r="L825" i="6" s="1"/>
  <c r="K826" i="6"/>
  <c r="L826" i="6" s="1"/>
  <c r="K827" i="6"/>
  <c r="L827" i="6" s="1"/>
  <c r="K828" i="6"/>
  <c r="L828" i="6" s="1"/>
  <c r="K829" i="6"/>
  <c r="L829" i="6" s="1"/>
  <c r="K830" i="6"/>
  <c r="L830" i="6" s="1"/>
  <c r="K831" i="6"/>
  <c r="L831" i="6" s="1"/>
  <c r="K832" i="6"/>
  <c r="L832" i="6" s="1"/>
  <c r="K833" i="6"/>
  <c r="L833" i="6" s="1"/>
  <c r="K834" i="6"/>
  <c r="L834" i="6" s="1"/>
  <c r="K835" i="6"/>
  <c r="L835" i="6" s="1"/>
  <c r="K836" i="6"/>
  <c r="L836" i="6" s="1"/>
  <c r="K837" i="6"/>
  <c r="L837" i="6" s="1"/>
  <c r="K838" i="6"/>
  <c r="L838" i="6" s="1"/>
  <c r="K839" i="6"/>
  <c r="L839" i="6" s="1"/>
  <c r="K840" i="6"/>
  <c r="L840" i="6" s="1"/>
  <c r="K841" i="6"/>
  <c r="L841" i="6" s="1"/>
  <c r="K842" i="6"/>
  <c r="L842" i="6" s="1"/>
  <c r="K843" i="6"/>
  <c r="L843" i="6" s="1"/>
  <c r="K844" i="6"/>
  <c r="L844" i="6" s="1"/>
  <c r="K845" i="6"/>
  <c r="L845" i="6" s="1"/>
  <c r="K846" i="6"/>
  <c r="L846" i="6" s="1"/>
  <c r="K847" i="6"/>
  <c r="L847" i="6" s="1"/>
  <c r="K848" i="6"/>
  <c r="L848" i="6" s="1"/>
  <c r="K849" i="6"/>
  <c r="L849" i="6" s="1"/>
  <c r="K850" i="6"/>
  <c r="L850" i="6" s="1"/>
  <c r="K851" i="6"/>
  <c r="L851" i="6" s="1"/>
  <c r="K852" i="6"/>
  <c r="L852" i="6" s="1"/>
  <c r="K853" i="6"/>
  <c r="L853" i="6" s="1"/>
  <c r="K854" i="6"/>
  <c r="L854" i="6" s="1"/>
  <c r="K855" i="6"/>
  <c r="L855" i="6" s="1"/>
  <c r="K856" i="6"/>
  <c r="L856" i="6" s="1"/>
  <c r="K857" i="6"/>
  <c r="L857" i="6" s="1"/>
  <c r="K858" i="6"/>
  <c r="L858" i="6" s="1"/>
  <c r="K859" i="6"/>
  <c r="L859" i="6" s="1"/>
  <c r="K860" i="6"/>
  <c r="L860" i="6" s="1"/>
  <c r="K861" i="6"/>
  <c r="L861" i="6" s="1"/>
  <c r="K862" i="6"/>
  <c r="L862" i="6" s="1"/>
  <c r="K863" i="6"/>
  <c r="L863" i="6" s="1"/>
  <c r="K864" i="6"/>
  <c r="L864" i="6" s="1"/>
  <c r="K865" i="6"/>
  <c r="L865" i="6" s="1"/>
  <c r="K866" i="6"/>
  <c r="L866" i="6" s="1"/>
  <c r="K867" i="6"/>
  <c r="L867" i="6" s="1"/>
  <c r="K868" i="6"/>
  <c r="L868" i="6" s="1"/>
  <c r="K869" i="6"/>
  <c r="L869" i="6" s="1"/>
  <c r="K870" i="6"/>
  <c r="L870" i="6" s="1"/>
  <c r="K871" i="6"/>
  <c r="L871" i="6" s="1"/>
  <c r="K872" i="6"/>
  <c r="L872" i="6" s="1"/>
  <c r="K873" i="6"/>
  <c r="L873" i="6" s="1"/>
  <c r="K874" i="6"/>
  <c r="L874" i="6" s="1"/>
  <c r="K875" i="6"/>
  <c r="L875" i="6" s="1"/>
  <c r="K876" i="6"/>
  <c r="L876" i="6" s="1"/>
  <c r="K877" i="6"/>
  <c r="L877" i="6" s="1"/>
  <c r="K878" i="6"/>
  <c r="L878" i="6" s="1"/>
  <c r="K879" i="6"/>
  <c r="L879" i="6" s="1"/>
  <c r="K880" i="6"/>
  <c r="L880" i="6" s="1"/>
  <c r="K881" i="6"/>
  <c r="L881" i="6" s="1"/>
  <c r="K882" i="6"/>
  <c r="L882" i="6" s="1"/>
  <c r="K883" i="6"/>
  <c r="L883" i="6" s="1"/>
  <c r="K884" i="6"/>
  <c r="L884" i="6" s="1"/>
  <c r="K885" i="6"/>
  <c r="L885" i="6" s="1"/>
  <c r="K886" i="6"/>
  <c r="L886" i="6" s="1"/>
  <c r="K887" i="6"/>
  <c r="L887" i="6" s="1"/>
  <c r="K888" i="6"/>
  <c r="L888" i="6" s="1"/>
  <c r="K889" i="6"/>
  <c r="L889" i="6" s="1"/>
  <c r="K890" i="6"/>
  <c r="L890" i="6" s="1"/>
  <c r="K891" i="6"/>
  <c r="L891" i="6" s="1"/>
  <c r="K892" i="6"/>
  <c r="L892" i="6" s="1"/>
  <c r="K893" i="6"/>
  <c r="L893" i="6" s="1"/>
  <c r="K894" i="6"/>
  <c r="L894" i="6" s="1"/>
  <c r="K895" i="6"/>
  <c r="L895" i="6" s="1"/>
  <c r="K896" i="6"/>
  <c r="L896" i="6" s="1"/>
  <c r="K897" i="6"/>
  <c r="L897" i="6" s="1"/>
  <c r="K898" i="6"/>
  <c r="L898" i="6" s="1"/>
  <c r="K899" i="6"/>
  <c r="L899" i="6" s="1"/>
  <c r="K900" i="6"/>
  <c r="L900" i="6" s="1"/>
  <c r="K901" i="6"/>
  <c r="L901" i="6" s="1"/>
  <c r="K902" i="6"/>
  <c r="L902" i="6" s="1"/>
  <c r="K903" i="6"/>
  <c r="L903" i="6" s="1"/>
  <c r="K904" i="6"/>
  <c r="L904" i="6" s="1"/>
  <c r="K905" i="6"/>
  <c r="L905" i="6" s="1"/>
  <c r="K906" i="6"/>
  <c r="L906" i="6" s="1"/>
  <c r="K907" i="6"/>
  <c r="L907" i="6" s="1"/>
  <c r="K908" i="6"/>
  <c r="L908" i="6" s="1"/>
  <c r="K909" i="6"/>
  <c r="L909" i="6" s="1"/>
  <c r="K910" i="6"/>
  <c r="L910" i="6" s="1"/>
  <c r="K911" i="6"/>
  <c r="L911" i="6" s="1"/>
  <c r="K912" i="6"/>
  <c r="L912" i="6" s="1"/>
  <c r="K913" i="6"/>
  <c r="L913" i="6" s="1"/>
  <c r="K914" i="6"/>
  <c r="L914" i="6" s="1"/>
  <c r="K915" i="6"/>
  <c r="L915" i="6" s="1"/>
  <c r="K916" i="6"/>
  <c r="L916" i="6" s="1"/>
  <c r="K917" i="6"/>
  <c r="L917" i="6" s="1"/>
  <c r="K918" i="6"/>
  <c r="L918" i="6" s="1"/>
  <c r="K919" i="6"/>
  <c r="L919" i="6" s="1"/>
  <c r="K920" i="6"/>
  <c r="L920" i="6" s="1"/>
  <c r="K921" i="6"/>
  <c r="L921" i="6" s="1"/>
  <c r="K922" i="6"/>
  <c r="L922" i="6" s="1"/>
  <c r="K923" i="6"/>
  <c r="L923" i="6" s="1"/>
  <c r="K924" i="6"/>
  <c r="L924" i="6" s="1"/>
  <c r="K925" i="6"/>
  <c r="L925" i="6" s="1"/>
  <c r="K926" i="6"/>
  <c r="L926" i="6" s="1"/>
  <c r="K927" i="6"/>
  <c r="L927" i="6" s="1"/>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508" i="6"/>
  <c r="A509" i="6"/>
  <c r="A510" i="6"/>
  <c r="A511" i="6"/>
  <c r="A512" i="6"/>
  <c r="A513" i="6"/>
  <c r="A514" i="6"/>
  <c r="A515" i="6"/>
  <c r="A516" i="6"/>
  <c r="A517" i="6"/>
  <c r="A518" i="6"/>
  <c r="A519" i="6"/>
  <c r="A520" i="6"/>
  <c r="A521" i="6"/>
  <c r="A522" i="6"/>
  <c r="A523" i="6"/>
  <c r="A524" i="6"/>
  <c r="A525" i="6"/>
  <c r="A526" i="6"/>
  <c r="A527" i="6"/>
  <c r="A528" i="6"/>
  <c r="A529" i="6"/>
  <c r="A530" i="6"/>
  <c r="A531" i="6"/>
  <c r="A532" i="6"/>
  <c r="A533" i="6"/>
  <c r="A534" i="6"/>
  <c r="A535" i="6"/>
  <c r="A536" i="6"/>
  <c r="A537" i="6"/>
  <c r="A538" i="6"/>
  <c r="A539" i="6"/>
  <c r="A540" i="6"/>
  <c r="A541" i="6"/>
  <c r="A542" i="6"/>
  <c r="A543" i="6"/>
  <c r="A544" i="6"/>
  <c r="A545" i="6"/>
  <c r="A546" i="6"/>
  <c r="A547" i="6"/>
  <c r="A548" i="6"/>
  <c r="A549" i="6"/>
  <c r="A550" i="6"/>
  <c r="A551" i="6"/>
  <c r="A552" i="6"/>
  <c r="A553" i="6"/>
  <c r="A554" i="6"/>
  <c r="A555" i="6"/>
  <c r="A556" i="6"/>
  <c r="A557" i="6"/>
  <c r="A558" i="6"/>
  <c r="A559" i="6"/>
  <c r="A560" i="6"/>
  <c r="A561" i="6"/>
  <c r="A562" i="6"/>
  <c r="A563" i="6"/>
  <c r="A564" i="6"/>
  <c r="A565" i="6"/>
  <c r="A566" i="6"/>
  <c r="A567" i="6"/>
  <c r="A568" i="6"/>
  <c r="A569" i="6"/>
  <c r="A570" i="6"/>
  <c r="A571" i="6"/>
  <c r="A572" i="6"/>
  <c r="A573" i="6"/>
  <c r="A574" i="6"/>
  <c r="A575" i="6"/>
  <c r="A576" i="6"/>
  <c r="A577" i="6"/>
  <c r="A578" i="6"/>
  <c r="A579" i="6"/>
  <c r="A580" i="6"/>
  <c r="A581" i="6"/>
  <c r="A582" i="6"/>
  <c r="A583" i="6"/>
  <c r="A584" i="6"/>
  <c r="A585" i="6"/>
  <c r="A586" i="6"/>
  <c r="A587" i="6"/>
  <c r="A588" i="6"/>
  <c r="A589" i="6"/>
  <c r="A590" i="6"/>
  <c r="A591" i="6"/>
  <c r="A592" i="6"/>
  <c r="A593" i="6"/>
  <c r="A594" i="6"/>
  <c r="A595" i="6"/>
  <c r="A596" i="6"/>
  <c r="A597" i="6"/>
  <c r="A598" i="6"/>
  <c r="A599" i="6"/>
  <c r="A600" i="6"/>
  <c r="A601" i="6"/>
  <c r="A602" i="6"/>
  <c r="A603" i="6"/>
  <c r="A604" i="6"/>
  <c r="A605" i="6"/>
  <c r="A606" i="6"/>
  <c r="A607" i="6"/>
  <c r="A608" i="6"/>
  <c r="A609" i="6"/>
  <c r="A610" i="6"/>
  <c r="A611" i="6"/>
  <c r="A612" i="6"/>
  <c r="A613" i="6"/>
  <c r="A614" i="6"/>
  <c r="A615" i="6"/>
  <c r="A616" i="6"/>
  <c r="A617" i="6"/>
  <c r="A618" i="6"/>
  <c r="A619" i="6"/>
  <c r="A620" i="6"/>
  <c r="A621" i="6"/>
  <c r="A622" i="6"/>
  <c r="A623" i="6"/>
  <c r="A624" i="6"/>
  <c r="A625" i="6"/>
  <c r="A626" i="6"/>
  <c r="A627" i="6"/>
  <c r="A628" i="6"/>
  <c r="A629" i="6"/>
  <c r="A630" i="6"/>
  <c r="A631" i="6"/>
  <c r="A632" i="6"/>
  <c r="A633" i="6"/>
  <c r="A634" i="6"/>
  <c r="A635" i="6"/>
  <c r="A636" i="6"/>
  <c r="A637" i="6"/>
  <c r="A638" i="6"/>
  <c r="A639" i="6"/>
  <c r="A640" i="6"/>
  <c r="A641" i="6"/>
  <c r="A642" i="6"/>
  <c r="A643" i="6"/>
  <c r="A644" i="6"/>
  <c r="A645" i="6"/>
  <c r="A646" i="6"/>
  <c r="A647" i="6"/>
  <c r="A648" i="6"/>
  <c r="A649" i="6"/>
  <c r="A650" i="6"/>
  <c r="A651" i="6"/>
  <c r="A652" i="6"/>
  <c r="A653" i="6"/>
  <c r="A654" i="6"/>
  <c r="A655" i="6"/>
  <c r="A656" i="6"/>
  <c r="A657" i="6"/>
  <c r="A658" i="6"/>
  <c r="A659" i="6"/>
  <c r="A660" i="6"/>
  <c r="A661" i="6"/>
  <c r="A662" i="6"/>
  <c r="A663" i="6"/>
  <c r="A664" i="6"/>
  <c r="A665" i="6"/>
  <c r="A666" i="6"/>
  <c r="A667" i="6"/>
  <c r="A668" i="6"/>
  <c r="A669" i="6"/>
  <c r="A670" i="6"/>
  <c r="A671" i="6"/>
  <c r="A672" i="6"/>
  <c r="A673" i="6"/>
  <c r="A674" i="6"/>
  <c r="A675" i="6"/>
  <c r="A676" i="6"/>
  <c r="A677" i="6"/>
  <c r="A678" i="6"/>
  <c r="A679" i="6"/>
  <c r="A680" i="6"/>
  <c r="A681" i="6"/>
  <c r="A682" i="6"/>
  <c r="A683" i="6"/>
  <c r="A684" i="6"/>
  <c r="A685" i="6"/>
  <c r="A686" i="6"/>
  <c r="A687" i="6"/>
  <c r="A688" i="6"/>
  <c r="A689" i="6"/>
  <c r="A690" i="6"/>
  <c r="A691" i="6"/>
  <c r="A692" i="6"/>
  <c r="A693" i="6"/>
  <c r="A694" i="6"/>
  <c r="A695" i="6"/>
  <c r="A696" i="6"/>
  <c r="A697" i="6"/>
  <c r="A698" i="6"/>
  <c r="A699" i="6"/>
  <c r="A700" i="6"/>
  <c r="A701" i="6"/>
  <c r="A702" i="6"/>
  <c r="A703" i="6"/>
  <c r="A704" i="6"/>
  <c r="A705" i="6"/>
  <c r="A706" i="6"/>
  <c r="A707" i="6"/>
  <c r="A708" i="6"/>
  <c r="A709" i="6"/>
  <c r="A710" i="6"/>
  <c r="A711" i="6"/>
  <c r="A712" i="6"/>
  <c r="A713" i="6"/>
  <c r="A714" i="6"/>
  <c r="A715" i="6"/>
  <c r="A716" i="6"/>
  <c r="A717" i="6"/>
  <c r="A718" i="6"/>
  <c r="A719" i="6"/>
  <c r="A720" i="6"/>
  <c r="A721" i="6"/>
  <c r="A722" i="6"/>
  <c r="A723" i="6"/>
  <c r="A724" i="6"/>
  <c r="A725" i="6"/>
  <c r="A726" i="6"/>
  <c r="A727" i="6"/>
  <c r="A728" i="6"/>
  <c r="A729" i="6"/>
  <c r="A730" i="6"/>
  <c r="A731" i="6"/>
  <c r="A732" i="6"/>
  <c r="A733" i="6"/>
  <c r="A734" i="6"/>
  <c r="A735" i="6"/>
  <c r="A736" i="6"/>
  <c r="A737" i="6"/>
  <c r="A738" i="6"/>
  <c r="A739" i="6"/>
  <c r="A740" i="6"/>
  <c r="A741" i="6"/>
  <c r="A742" i="6"/>
  <c r="A743" i="6"/>
  <c r="A744" i="6"/>
  <c r="A745" i="6"/>
  <c r="A746" i="6"/>
  <c r="A747" i="6"/>
  <c r="A748" i="6"/>
  <c r="A749" i="6"/>
  <c r="A750" i="6"/>
  <c r="A751" i="6"/>
  <c r="A752" i="6"/>
  <c r="A753" i="6"/>
  <c r="A754" i="6"/>
  <c r="A755" i="6"/>
  <c r="A756" i="6"/>
  <c r="A757" i="6"/>
  <c r="A758" i="6"/>
  <c r="A759" i="6"/>
  <c r="A760" i="6"/>
  <c r="A761" i="6"/>
  <c r="A762" i="6"/>
  <c r="A763" i="6"/>
  <c r="A764" i="6"/>
  <c r="A765" i="6"/>
  <c r="A766" i="6"/>
  <c r="A767" i="6"/>
  <c r="A768" i="6"/>
  <c r="A769" i="6"/>
  <c r="A770" i="6"/>
  <c r="A771" i="6"/>
  <c r="A772" i="6"/>
  <c r="A773" i="6"/>
  <c r="A774" i="6"/>
  <c r="A775" i="6"/>
  <c r="A776" i="6"/>
  <c r="A777" i="6"/>
  <c r="A778" i="6"/>
  <c r="A779" i="6"/>
  <c r="A780" i="6"/>
  <c r="A781" i="6"/>
  <c r="A782" i="6"/>
  <c r="A783" i="6"/>
  <c r="A784" i="6"/>
  <c r="A785" i="6"/>
  <c r="A786" i="6"/>
  <c r="A787" i="6"/>
  <c r="A788" i="6"/>
  <c r="A789" i="6"/>
  <c r="A790" i="6"/>
  <c r="A791" i="6"/>
  <c r="A792" i="6"/>
  <c r="A793" i="6"/>
  <c r="A794" i="6"/>
  <c r="A795" i="6"/>
  <c r="A796" i="6"/>
  <c r="A797" i="6"/>
  <c r="A798" i="6"/>
  <c r="A799" i="6"/>
  <c r="A800" i="6"/>
  <c r="A801" i="6"/>
  <c r="A802" i="6"/>
  <c r="A803" i="6"/>
  <c r="A804" i="6"/>
  <c r="A805" i="6"/>
  <c r="A806" i="6"/>
  <c r="A807" i="6"/>
  <c r="A808" i="6"/>
  <c r="A809" i="6"/>
  <c r="A810" i="6"/>
  <c r="A811" i="6"/>
  <c r="A812" i="6"/>
  <c r="A813" i="6"/>
  <c r="A814" i="6"/>
  <c r="A815" i="6"/>
  <c r="A816" i="6"/>
  <c r="A817" i="6"/>
  <c r="A818" i="6"/>
  <c r="A819" i="6"/>
  <c r="A820" i="6"/>
  <c r="A821" i="6"/>
  <c r="A822" i="6"/>
  <c r="A823" i="6"/>
  <c r="A824" i="6"/>
  <c r="A825" i="6"/>
  <c r="A826" i="6"/>
  <c r="A827" i="6"/>
  <c r="A828" i="6"/>
  <c r="A829" i="6"/>
  <c r="A830" i="6"/>
  <c r="A831" i="6"/>
  <c r="A832" i="6"/>
  <c r="A833" i="6"/>
  <c r="A834" i="6"/>
  <c r="A835" i="6"/>
  <c r="A836" i="6"/>
  <c r="A837" i="6"/>
  <c r="A838" i="6"/>
  <c r="A839" i="6"/>
  <c r="A840" i="6"/>
  <c r="A841" i="6"/>
  <c r="A842" i="6"/>
  <c r="A843" i="6"/>
  <c r="A844" i="6"/>
  <c r="A845" i="6"/>
  <c r="A846" i="6"/>
  <c r="A847" i="6"/>
  <c r="A848" i="6"/>
  <c r="A849" i="6"/>
  <c r="A850" i="6"/>
  <c r="A851" i="6"/>
  <c r="A852" i="6"/>
  <c r="A853" i="6"/>
  <c r="A854" i="6"/>
  <c r="A855" i="6"/>
  <c r="A856" i="6"/>
  <c r="A857" i="6"/>
  <c r="A858" i="6"/>
  <c r="A859" i="6"/>
  <c r="A860" i="6"/>
  <c r="A861" i="6"/>
  <c r="A862" i="6"/>
  <c r="A863" i="6"/>
  <c r="A864" i="6"/>
  <c r="A865" i="6"/>
  <c r="A866" i="6"/>
  <c r="A867" i="6"/>
  <c r="A868" i="6"/>
  <c r="A869" i="6"/>
  <c r="A870" i="6"/>
  <c r="A871" i="6"/>
  <c r="A872" i="6"/>
  <c r="A873" i="6"/>
  <c r="A874" i="6"/>
  <c r="A875" i="6"/>
  <c r="A876" i="6"/>
  <c r="A877" i="6"/>
  <c r="A878" i="6"/>
  <c r="A879" i="6"/>
  <c r="A880" i="6"/>
  <c r="A881" i="6"/>
  <c r="A882" i="6"/>
  <c r="A883" i="6"/>
  <c r="A884" i="6"/>
  <c r="A885" i="6"/>
  <c r="A886" i="6"/>
  <c r="A887" i="6"/>
  <c r="A888" i="6"/>
  <c r="A889" i="6"/>
  <c r="A890" i="6"/>
  <c r="A891" i="6"/>
  <c r="A892" i="6"/>
  <c r="A893" i="6"/>
  <c r="A894" i="6"/>
  <c r="A895" i="6"/>
  <c r="A896" i="6"/>
  <c r="A897" i="6"/>
  <c r="A898" i="6"/>
  <c r="A899" i="6"/>
  <c r="A900" i="6"/>
  <c r="A901" i="6"/>
  <c r="A902" i="6"/>
  <c r="A903" i="6"/>
  <c r="A904" i="6"/>
  <c r="A905" i="6"/>
  <c r="A906" i="6"/>
  <c r="A907" i="6"/>
  <c r="A908" i="6"/>
  <c r="A909" i="6"/>
  <c r="A910" i="6"/>
  <c r="A911" i="6"/>
  <c r="A912" i="6"/>
  <c r="A913" i="6"/>
  <c r="A914" i="6"/>
  <c r="A915" i="6"/>
  <c r="A916" i="6"/>
  <c r="A917" i="6"/>
  <c r="A918" i="6"/>
  <c r="A919" i="6"/>
  <c r="A920" i="6"/>
  <c r="A921" i="6"/>
  <c r="A922" i="6"/>
  <c r="A923" i="6"/>
  <c r="A924" i="6"/>
  <c r="A925" i="6"/>
  <c r="A926" i="6"/>
  <c r="A927" i="6"/>
  <c r="A6" i="6"/>
  <c r="U5" i="4"/>
  <c r="T5" i="4"/>
  <c r="S5" i="4"/>
  <c r="R5" i="4"/>
  <c r="Q5" i="4"/>
  <c r="P5" i="4"/>
  <c r="O5" i="4"/>
  <c r="N5" i="4"/>
  <c r="K105" i="1"/>
  <c r="L105" i="1" s="1"/>
  <c r="K106" i="1"/>
  <c r="L106" i="1" s="1"/>
  <c r="K107" i="1"/>
  <c r="L107" i="1" s="1"/>
  <c r="K108" i="1"/>
  <c r="L108" i="1" s="1"/>
  <c r="K109" i="1"/>
  <c r="L109" i="1" s="1"/>
  <c r="K110" i="1"/>
  <c r="L110" i="1" s="1"/>
  <c r="K111" i="1"/>
  <c r="L111" i="1" s="1"/>
  <c r="K112" i="1"/>
  <c r="L112" i="1" s="1"/>
  <c r="K113" i="1"/>
  <c r="L113" i="1" s="1"/>
  <c r="K114" i="1"/>
  <c r="L114" i="1" s="1"/>
  <c r="K115" i="1"/>
  <c r="L115" i="1" s="1"/>
  <c r="K116" i="1"/>
  <c r="L116" i="1" s="1"/>
  <c r="K117" i="1"/>
  <c r="L117" i="1" s="1"/>
  <c r="K118" i="1"/>
  <c r="L118" i="1" s="1"/>
  <c r="K119" i="1"/>
  <c r="L119" i="1" s="1"/>
  <c r="K120" i="1"/>
  <c r="L120" i="1" s="1"/>
  <c r="K121" i="1"/>
  <c r="L121" i="1" s="1"/>
  <c r="K122" i="1"/>
  <c r="L122" i="1" s="1"/>
  <c r="K123" i="1"/>
  <c r="L123" i="1" s="1"/>
  <c r="K124" i="1"/>
  <c r="L124" i="1" s="1"/>
  <c r="K125" i="1"/>
  <c r="L125" i="1" s="1"/>
  <c r="K126" i="1"/>
  <c r="L126" i="1" s="1"/>
  <c r="K127" i="1"/>
  <c r="L127" i="1" s="1"/>
  <c r="K128" i="1"/>
  <c r="L128" i="1" s="1"/>
  <c r="K129" i="1"/>
  <c r="L129" i="1" s="1"/>
  <c r="K130" i="1"/>
  <c r="L130" i="1" s="1"/>
  <c r="K131" i="1"/>
  <c r="L131" i="1" s="1"/>
  <c r="K132" i="1"/>
  <c r="L132" i="1" s="1"/>
  <c r="K133" i="1"/>
  <c r="L133" i="1" s="1"/>
  <c r="K134" i="1"/>
  <c r="L134" i="1" s="1"/>
  <c r="K135" i="1"/>
  <c r="L135" i="1" s="1"/>
  <c r="K136" i="1"/>
  <c r="L136" i="1" s="1"/>
  <c r="K137" i="1"/>
  <c r="L137" i="1" s="1"/>
  <c r="K138" i="1"/>
  <c r="L138" i="1" s="1"/>
  <c r="K139" i="1"/>
  <c r="L139" i="1" s="1"/>
  <c r="K140" i="1"/>
  <c r="L140" i="1" s="1"/>
  <c r="K141" i="1"/>
  <c r="L141" i="1" s="1"/>
  <c r="K142" i="1"/>
  <c r="L142" i="1" s="1"/>
  <c r="K143" i="1"/>
  <c r="L143" i="1" s="1"/>
  <c r="K144" i="1"/>
  <c r="L144" i="1" s="1"/>
  <c r="K145" i="1"/>
  <c r="L145" i="1" s="1"/>
  <c r="K146" i="1"/>
  <c r="L146" i="1" s="1"/>
  <c r="K147" i="1"/>
  <c r="L147" i="1" s="1"/>
  <c r="K148" i="1"/>
  <c r="L148" i="1" s="1"/>
  <c r="K149" i="1"/>
  <c r="L149" i="1" s="1"/>
  <c r="K150" i="1"/>
  <c r="L150" i="1" s="1"/>
  <c r="K151" i="1"/>
  <c r="L151" i="1" s="1"/>
  <c r="K152" i="1"/>
  <c r="L152" i="1" s="1"/>
  <c r="K153" i="1"/>
  <c r="L153" i="1" s="1"/>
  <c r="K154" i="1"/>
  <c r="L154" i="1" s="1"/>
  <c r="K155" i="1"/>
  <c r="L155" i="1" s="1"/>
  <c r="K156" i="1"/>
  <c r="L156" i="1" s="1"/>
  <c r="K157" i="1"/>
  <c r="L157" i="1" s="1"/>
  <c r="K158" i="1"/>
  <c r="L158" i="1" s="1"/>
  <c r="K159" i="1"/>
  <c r="L159" i="1" s="1"/>
  <c r="K160" i="1"/>
  <c r="L160" i="1" s="1"/>
  <c r="K161" i="1"/>
  <c r="L161" i="1" s="1"/>
  <c r="K162" i="1"/>
  <c r="L162" i="1" s="1"/>
  <c r="K163" i="1"/>
  <c r="L163" i="1" s="1"/>
  <c r="K164" i="1"/>
  <c r="L164" i="1" s="1"/>
  <c r="K165" i="1"/>
  <c r="L165" i="1" s="1"/>
  <c r="K166" i="1"/>
  <c r="L166" i="1" s="1"/>
  <c r="K167" i="1"/>
  <c r="L167" i="1" s="1"/>
  <c r="K168" i="1"/>
  <c r="L168" i="1" s="1"/>
  <c r="K169" i="1"/>
  <c r="L169" i="1" s="1"/>
  <c r="K170" i="1"/>
  <c r="L170" i="1" s="1"/>
  <c r="K171" i="1"/>
  <c r="L171" i="1" s="1"/>
  <c r="K172" i="1"/>
  <c r="L172" i="1" s="1"/>
  <c r="K173" i="1"/>
  <c r="L173" i="1" s="1"/>
  <c r="K174" i="1"/>
  <c r="L174" i="1" s="1"/>
  <c r="K175" i="1"/>
  <c r="L175" i="1" s="1"/>
  <c r="K176" i="1"/>
  <c r="L176" i="1" s="1"/>
  <c r="K177" i="1"/>
  <c r="L177" i="1" s="1"/>
  <c r="K178" i="1"/>
  <c r="L178" i="1" s="1"/>
  <c r="K179" i="1"/>
  <c r="L179" i="1" s="1"/>
  <c r="K180" i="1"/>
  <c r="L180" i="1" s="1"/>
  <c r="K181" i="1"/>
  <c r="L181" i="1" s="1"/>
  <c r="K182" i="1"/>
  <c r="L182" i="1" s="1"/>
  <c r="K183" i="1"/>
  <c r="L183" i="1" s="1"/>
  <c r="K184" i="1"/>
  <c r="L184" i="1" s="1"/>
  <c r="K185" i="1"/>
  <c r="L185" i="1" s="1"/>
  <c r="K186" i="1"/>
  <c r="L186" i="1" s="1"/>
  <c r="K187" i="1"/>
  <c r="L187" i="1" s="1"/>
  <c r="K188" i="1"/>
  <c r="L188" i="1" s="1"/>
  <c r="K189" i="1"/>
  <c r="L189" i="1" s="1"/>
  <c r="K190" i="1"/>
  <c r="L190" i="1" s="1"/>
  <c r="K191" i="1"/>
  <c r="L191" i="1" s="1"/>
  <c r="K192" i="1"/>
  <c r="L192" i="1" s="1"/>
  <c r="K193" i="1"/>
  <c r="L193" i="1" s="1"/>
  <c r="K194" i="1"/>
  <c r="L194" i="1" s="1"/>
  <c r="K195" i="1"/>
  <c r="L195" i="1" s="1"/>
  <c r="K196" i="1"/>
  <c r="L196" i="1" s="1"/>
  <c r="K197" i="1"/>
  <c r="L197" i="1" s="1"/>
  <c r="K198" i="1"/>
  <c r="L198" i="1" s="1"/>
  <c r="K199" i="1"/>
  <c r="L199" i="1" s="1"/>
  <c r="K200" i="1"/>
  <c r="L200" i="1" s="1"/>
  <c r="K201" i="1"/>
  <c r="L201" i="1" s="1"/>
  <c r="K202" i="1"/>
  <c r="L202" i="1" s="1"/>
  <c r="K203" i="1"/>
  <c r="L203" i="1" s="1"/>
  <c r="K204" i="1"/>
  <c r="L204" i="1" s="1"/>
  <c r="K205" i="1"/>
  <c r="L205" i="1" s="1"/>
  <c r="K206" i="1"/>
  <c r="L206" i="1" s="1"/>
  <c r="K207" i="1"/>
  <c r="L207" i="1" s="1"/>
  <c r="K208" i="1"/>
  <c r="L208" i="1" s="1"/>
  <c r="K209" i="1"/>
  <c r="L209" i="1" s="1"/>
  <c r="K210" i="1"/>
  <c r="L210" i="1" s="1"/>
  <c r="K211" i="1"/>
  <c r="L211" i="1" s="1"/>
  <c r="K212" i="1"/>
  <c r="L212" i="1" s="1"/>
  <c r="K213" i="1"/>
  <c r="L213" i="1" s="1"/>
  <c r="K214" i="1"/>
  <c r="L214" i="1" s="1"/>
  <c r="K215" i="1"/>
  <c r="L215" i="1" s="1"/>
  <c r="K216" i="1"/>
  <c r="L216" i="1" s="1"/>
  <c r="K217" i="1"/>
  <c r="L217" i="1" s="1"/>
  <c r="K218" i="1"/>
  <c r="L218" i="1" s="1"/>
  <c r="K219" i="1"/>
  <c r="L219" i="1" s="1"/>
  <c r="K220" i="1"/>
  <c r="L220" i="1" s="1"/>
  <c r="K221" i="1"/>
  <c r="L221" i="1" s="1"/>
  <c r="K222" i="1"/>
  <c r="L222" i="1" s="1"/>
  <c r="K223" i="1"/>
  <c r="L223" i="1" s="1"/>
  <c r="K224" i="1"/>
  <c r="L224" i="1" s="1"/>
  <c r="K225" i="1"/>
  <c r="L225" i="1" s="1"/>
  <c r="K226" i="1"/>
  <c r="L226" i="1" s="1"/>
  <c r="K227" i="1"/>
  <c r="L227" i="1" s="1"/>
  <c r="K228" i="1"/>
  <c r="L228" i="1" s="1"/>
  <c r="K229" i="1"/>
  <c r="L229" i="1" s="1"/>
  <c r="K230" i="1"/>
  <c r="L230" i="1" s="1"/>
  <c r="K231" i="1"/>
  <c r="L231" i="1" s="1"/>
  <c r="K232" i="1"/>
  <c r="L232" i="1" s="1"/>
  <c r="K233" i="1"/>
  <c r="L233" i="1" s="1"/>
  <c r="K234" i="1"/>
  <c r="L234" i="1" s="1"/>
  <c r="K235" i="1"/>
  <c r="L235" i="1" s="1"/>
  <c r="K236" i="1"/>
  <c r="L236" i="1" s="1"/>
  <c r="K237" i="1"/>
  <c r="L237" i="1" s="1"/>
  <c r="K238" i="1"/>
  <c r="L238" i="1" s="1"/>
  <c r="K239" i="1"/>
  <c r="L239" i="1" s="1"/>
  <c r="K240" i="1"/>
  <c r="L240" i="1" s="1"/>
  <c r="K241" i="1"/>
  <c r="L241" i="1" s="1"/>
  <c r="K242" i="1"/>
  <c r="L242" i="1" s="1"/>
  <c r="K243" i="1"/>
  <c r="L243" i="1" s="1"/>
  <c r="K244" i="1"/>
  <c r="L244" i="1" s="1"/>
  <c r="K245" i="1"/>
  <c r="L245" i="1" s="1"/>
  <c r="K246" i="1"/>
  <c r="L246" i="1" s="1"/>
  <c r="K247" i="1"/>
  <c r="L247" i="1" s="1"/>
  <c r="K248" i="1"/>
  <c r="L248" i="1" s="1"/>
  <c r="K249" i="1"/>
  <c r="L249" i="1" s="1"/>
  <c r="K250" i="1"/>
  <c r="L250" i="1" s="1"/>
  <c r="K251" i="1"/>
  <c r="L251" i="1" s="1"/>
  <c r="K252" i="1"/>
  <c r="L252" i="1" s="1"/>
  <c r="K253" i="1"/>
  <c r="L253" i="1" s="1"/>
  <c r="K254" i="1"/>
  <c r="L254" i="1" s="1"/>
  <c r="K255" i="1"/>
  <c r="L255" i="1" s="1"/>
  <c r="K256" i="1"/>
  <c r="L256" i="1" s="1"/>
  <c r="K257" i="1"/>
  <c r="L257" i="1" s="1"/>
  <c r="K258" i="1"/>
  <c r="L258" i="1" s="1"/>
  <c r="K259" i="1"/>
  <c r="L259" i="1" s="1"/>
  <c r="K260" i="1"/>
  <c r="L260" i="1" s="1"/>
  <c r="K261" i="1"/>
  <c r="L261" i="1" s="1"/>
  <c r="K262" i="1"/>
  <c r="L262" i="1" s="1"/>
  <c r="K263" i="1"/>
  <c r="L263" i="1" s="1"/>
  <c r="K264" i="1"/>
  <c r="L264" i="1" s="1"/>
  <c r="K265" i="1"/>
  <c r="L265" i="1" s="1"/>
  <c r="K266" i="1"/>
  <c r="L266" i="1" s="1"/>
  <c r="K267" i="1"/>
  <c r="L267" i="1" s="1"/>
  <c r="K268" i="1"/>
  <c r="L268" i="1" s="1"/>
  <c r="K269" i="1"/>
  <c r="L269" i="1" s="1"/>
  <c r="K270" i="1"/>
  <c r="L270" i="1" s="1"/>
  <c r="K271" i="1"/>
  <c r="L271" i="1" s="1"/>
  <c r="K272" i="1"/>
  <c r="L272" i="1" s="1"/>
  <c r="K273" i="1"/>
  <c r="L273" i="1" s="1"/>
  <c r="K274" i="1"/>
  <c r="L274" i="1" s="1"/>
  <c r="K275" i="1"/>
  <c r="L275" i="1" s="1"/>
  <c r="K276" i="1"/>
  <c r="L276" i="1" s="1"/>
  <c r="K277" i="1"/>
  <c r="L277" i="1" s="1"/>
  <c r="K278" i="1"/>
  <c r="L278" i="1" s="1"/>
  <c r="K279" i="1"/>
  <c r="L279" i="1" s="1"/>
  <c r="K280" i="1"/>
  <c r="L280" i="1" s="1"/>
  <c r="K281" i="1"/>
  <c r="L281" i="1" s="1"/>
  <c r="K282" i="1"/>
  <c r="L282" i="1" s="1"/>
  <c r="K283" i="1"/>
  <c r="L283" i="1" s="1"/>
  <c r="K284" i="1"/>
  <c r="L284" i="1" s="1"/>
  <c r="K285" i="1"/>
  <c r="L285" i="1" s="1"/>
  <c r="K286" i="1"/>
  <c r="L286" i="1" s="1"/>
  <c r="K287" i="1"/>
  <c r="L287" i="1" s="1"/>
  <c r="K288" i="1"/>
  <c r="L288" i="1" s="1"/>
  <c r="K289" i="1"/>
  <c r="L289" i="1" s="1"/>
  <c r="K290" i="1"/>
  <c r="L290" i="1" s="1"/>
  <c r="K291" i="1"/>
  <c r="L291" i="1" s="1"/>
  <c r="K292" i="1"/>
  <c r="L292" i="1" s="1"/>
  <c r="K293" i="1"/>
  <c r="L293" i="1" s="1"/>
  <c r="K294" i="1"/>
  <c r="L294" i="1" s="1"/>
  <c r="K295" i="1"/>
  <c r="L295" i="1" s="1"/>
  <c r="K296" i="1"/>
  <c r="L296" i="1" s="1"/>
  <c r="K297" i="1"/>
  <c r="L297" i="1" s="1"/>
  <c r="K298" i="1"/>
  <c r="L298" i="1" s="1"/>
  <c r="K299" i="1"/>
  <c r="L299" i="1" s="1"/>
  <c r="K300" i="1"/>
  <c r="L300" i="1" s="1"/>
  <c r="K301" i="1"/>
  <c r="L301" i="1" s="1"/>
  <c r="K302" i="1"/>
  <c r="L302" i="1" s="1"/>
  <c r="K303" i="1"/>
  <c r="L303" i="1" s="1"/>
  <c r="K304" i="1"/>
  <c r="L304" i="1" s="1"/>
  <c r="K305" i="1"/>
  <c r="L305" i="1" s="1"/>
  <c r="K306" i="1"/>
  <c r="L306" i="1" s="1"/>
  <c r="K307" i="1"/>
  <c r="L307" i="1" s="1"/>
  <c r="K308" i="1"/>
  <c r="L308" i="1" s="1"/>
  <c r="K309" i="1"/>
  <c r="L309" i="1" s="1"/>
  <c r="K310" i="1"/>
  <c r="L310" i="1" s="1"/>
  <c r="K311" i="1"/>
  <c r="L311" i="1" s="1"/>
  <c r="K312" i="1"/>
  <c r="L312" i="1" s="1"/>
  <c r="K313" i="1"/>
  <c r="L313" i="1" s="1"/>
  <c r="K314" i="1"/>
  <c r="L314" i="1" s="1"/>
  <c r="K315" i="1"/>
  <c r="L315" i="1" s="1"/>
  <c r="K316" i="1"/>
  <c r="L316" i="1" s="1"/>
  <c r="K317" i="1"/>
  <c r="L317" i="1" s="1"/>
  <c r="K318" i="1"/>
  <c r="L318" i="1" s="1"/>
  <c r="K319" i="1"/>
  <c r="L319" i="1" s="1"/>
  <c r="K320" i="1"/>
  <c r="L320" i="1" s="1"/>
  <c r="K321" i="1"/>
  <c r="L321" i="1" s="1"/>
  <c r="K322" i="1"/>
  <c r="L322" i="1" s="1"/>
  <c r="K323" i="1"/>
  <c r="L323" i="1" s="1"/>
  <c r="K324" i="1"/>
  <c r="L324" i="1" s="1"/>
  <c r="K325" i="1"/>
  <c r="L325" i="1" s="1"/>
  <c r="K326" i="1"/>
  <c r="L326" i="1" s="1"/>
  <c r="K327" i="1"/>
  <c r="L327" i="1" s="1"/>
  <c r="K328" i="1"/>
  <c r="L328" i="1" s="1"/>
  <c r="K329" i="1"/>
  <c r="L329" i="1" s="1"/>
  <c r="K330" i="1"/>
  <c r="L330" i="1" s="1"/>
  <c r="K331" i="1"/>
  <c r="L331" i="1" s="1"/>
  <c r="K332" i="1"/>
  <c r="L332" i="1" s="1"/>
  <c r="K333" i="1"/>
  <c r="L333" i="1" s="1"/>
  <c r="K334" i="1"/>
  <c r="L334" i="1" s="1"/>
  <c r="K335" i="1"/>
  <c r="L335" i="1" s="1"/>
  <c r="K336" i="1"/>
  <c r="L336" i="1" s="1"/>
  <c r="K337" i="1"/>
  <c r="L337" i="1" s="1"/>
  <c r="K338" i="1"/>
  <c r="L338" i="1" s="1"/>
  <c r="K339" i="1"/>
  <c r="L339" i="1" s="1"/>
  <c r="K340" i="1"/>
  <c r="L340" i="1" s="1"/>
  <c r="K341" i="1"/>
  <c r="L341" i="1" s="1"/>
  <c r="K342" i="1"/>
  <c r="L342" i="1" s="1"/>
  <c r="K343" i="1"/>
  <c r="L343" i="1" s="1"/>
  <c r="K344" i="1"/>
  <c r="L344" i="1" s="1"/>
  <c r="K345" i="1"/>
  <c r="L345" i="1" s="1"/>
  <c r="K346" i="1"/>
  <c r="L346" i="1" s="1"/>
  <c r="K347" i="1"/>
  <c r="L347" i="1" s="1"/>
  <c r="K348" i="1"/>
  <c r="L348" i="1" s="1"/>
  <c r="K349" i="1"/>
  <c r="L349" i="1" s="1"/>
  <c r="K350" i="1"/>
  <c r="L350" i="1" s="1"/>
  <c r="K351" i="1"/>
  <c r="L351" i="1" s="1"/>
  <c r="K352" i="1"/>
  <c r="L352" i="1" s="1"/>
  <c r="K353" i="1"/>
  <c r="L353" i="1" s="1"/>
  <c r="K354" i="1"/>
  <c r="L354" i="1" s="1"/>
  <c r="K355" i="1"/>
  <c r="L355" i="1" s="1"/>
  <c r="K356" i="1"/>
  <c r="L356" i="1" s="1"/>
  <c r="K357" i="1"/>
  <c r="L357" i="1" s="1"/>
  <c r="K358" i="1"/>
  <c r="L358" i="1" s="1"/>
  <c r="K359" i="1"/>
  <c r="L359" i="1" s="1"/>
  <c r="K360" i="1"/>
  <c r="L360" i="1" s="1"/>
  <c r="K361" i="1"/>
  <c r="L361" i="1" s="1"/>
  <c r="K362" i="1"/>
  <c r="L362" i="1" s="1"/>
  <c r="K363" i="1"/>
  <c r="L363" i="1" s="1"/>
  <c r="K364" i="1"/>
  <c r="L364" i="1" s="1"/>
  <c r="K365" i="1"/>
  <c r="L365" i="1" s="1"/>
  <c r="K366" i="1"/>
  <c r="L366" i="1" s="1"/>
  <c r="K367" i="1"/>
  <c r="L367" i="1" s="1"/>
  <c r="K368" i="1"/>
  <c r="L368" i="1" s="1"/>
  <c r="K369" i="1"/>
  <c r="L369" i="1" s="1"/>
  <c r="K370" i="1"/>
  <c r="L370" i="1" s="1"/>
  <c r="K371" i="1"/>
  <c r="L371" i="1" s="1"/>
  <c r="K372" i="1"/>
  <c r="L372" i="1" s="1"/>
  <c r="K373" i="1"/>
  <c r="L373" i="1" s="1"/>
  <c r="K374" i="1"/>
  <c r="L374" i="1" s="1"/>
  <c r="K375" i="1"/>
  <c r="L375" i="1" s="1"/>
  <c r="K376" i="1"/>
  <c r="L376" i="1" s="1"/>
  <c r="K377" i="1"/>
  <c r="L377" i="1" s="1"/>
  <c r="K378" i="1"/>
  <c r="L378" i="1" s="1"/>
  <c r="K379" i="1"/>
  <c r="L379" i="1" s="1"/>
  <c r="K380" i="1"/>
  <c r="L380" i="1" s="1"/>
  <c r="K381" i="1"/>
  <c r="L381" i="1" s="1"/>
  <c r="K382" i="1"/>
  <c r="L382" i="1" s="1"/>
  <c r="K383" i="1"/>
  <c r="L383" i="1" s="1"/>
  <c r="K384" i="1"/>
  <c r="L384" i="1" s="1"/>
  <c r="K385" i="1"/>
  <c r="L385" i="1" s="1"/>
  <c r="K386" i="1"/>
  <c r="L386" i="1" s="1"/>
  <c r="K387" i="1"/>
  <c r="L387" i="1" s="1"/>
  <c r="K388" i="1"/>
  <c r="L388" i="1" s="1"/>
  <c r="K389" i="1"/>
  <c r="L389" i="1" s="1"/>
  <c r="K390" i="1"/>
  <c r="L390" i="1" s="1"/>
  <c r="K391" i="1"/>
  <c r="L391" i="1" s="1"/>
  <c r="K392" i="1"/>
  <c r="L392" i="1" s="1"/>
  <c r="K393" i="1"/>
  <c r="L393" i="1" s="1"/>
  <c r="K394" i="1"/>
  <c r="L394" i="1" s="1"/>
  <c r="K395" i="1"/>
  <c r="L395" i="1" s="1"/>
  <c r="K396" i="1"/>
  <c r="L396" i="1" s="1"/>
  <c r="K397" i="1"/>
  <c r="L397" i="1" s="1"/>
  <c r="K398" i="1"/>
  <c r="L398" i="1" s="1"/>
  <c r="K399" i="1"/>
  <c r="L399" i="1" s="1"/>
  <c r="K400" i="1"/>
  <c r="L400" i="1" s="1"/>
  <c r="K401" i="1"/>
  <c r="L401" i="1" s="1"/>
  <c r="K402" i="1"/>
  <c r="L402" i="1" s="1"/>
  <c r="K403" i="1"/>
  <c r="L403" i="1" s="1"/>
  <c r="K404" i="1"/>
  <c r="L404" i="1" s="1"/>
  <c r="K405" i="1"/>
  <c r="L405" i="1" s="1"/>
  <c r="K406" i="1"/>
  <c r="L406" i="1" s="1"/>
  <c r="K407" i="1"/>
  <c r="L407" i="1" s="1"/>
  <c r="K408" i="1"/>
  <c r="L408" i="1" s="1"/>
  <c r="K409" i="1"/>
  <c r="L409" i="1" s="1"/>
  <c r="K410" i="1"/>
  <c r="L410" i="1" s="1"/>
  <c r="K411" i="1"/>
  <c r="L411" i="1" s="1"/>
  <c r="K412" i="1"/>
  <c r="L412" i="1" s="1"/>
  <c r="K413" i="1"/>
  <c r="L413" i="1" s="1"/>
  <c r="K414" i="1"/>
  <c r="L414" i="1" s="1"/>
  <c r="K415" i="1"/>
  <c r="L415" i="1" s="1"/>
  <c r="K416" i="1"/>
  <c r="L416" i="1" s="1"/>
  <c r="K417" i="1"/>
  <c r="L417" i="1" s="1"/>
  <c r="K418" i="1"/>
  <c r="L418" i="1" s="1"/>
  <c r="K419" i="1"/>
  <c r="L419" i="1" s="1"/>
  <c r="K420" i="1"/>
  <c r="L420" i="1" s="1"/>
  <c r="K421" i="1"/>
  <c r="L421" i="1" s="1"/>
  <c r="K422" i="1"/>
  <c r="L422" i="1" s="1"/>
  <c r="K423" i="1"/>
  <c r="L423" i="1" s="1"/>
  <c r="K424" i="1"/>
  <c r="L424" i="1" s="1"/>
  <c r="K425" i="1"/>
  <c r="L425" i="1" s="1"/>
  <c r="K426" i="1"/>
  <c r="L426" i="1" s="1"/>
  <c r="K427" i="1"/>
  <c r="L427" i="1" s="1"/>
  <c r="K428" i="1"/>
  <c r="L428" i="1" s="1"/>
  <c r="K429" i="1"/>
  <c r="L429" i="1" s="1"/>
  <c r="K430" i="1"/>
  <c r="L430" i="1" s="1"/>
  <c r="K431" i="1"/>
  <c r="L431" i="1" s="1"/>
  <c r="K432" i="1"/>
  <c r="L432" i="1" s="1"/>
  <c r="K433" i="1"/>
  <c r="L433" i="1" s="1"/>
  <c r="K434" i="1"/>
  <c r="L434" i="1" s="1"/>
  <c r="K435" i="1"/>
  <c r="L435" i="1" s="1"/>
  <c r="K436" i="1"/>
  <c r="L436" i="1" s="1"/>
  <c r="K437" i="1"/>
  <c r="L437" i="1" s="1"/>
  <c r="K438" i="1"/>
  <c r="L438" i="1" s="1"/>
  <c r="K439" i="1"/>
  <c r="L439" i="1" s="1"/>
  <c r="K440" i="1"/>
  <c r="L440" i="1" s="1"/>
  <c r="K441" i="1"/>
  <c r="L441" i="1" s="1"/>
  <c r="K442" i="1"/>
  <c r="L442" i="1" s="1"/>
  <c r="K443" i="1"/>
  <c r="L443" i="1" s="1"/>
  <c r="K444" i="1"/>
  <c r="L444" i="1" s="1"/>
  <c r="K445" i="1"/>
  <c r="L445" i="1" s="1"/>
  <c r="K446" i="1"/>
  <c r="L446" i="1" s="1"/>
  <c r="K447" i="1"/>
  <c r="L447" i="1" s="1"/>
  <c r="K448" i="1"/>
  <c r="L448" i="1" s="1"/>
  <c r="K449" i="1"/>
  <c r="L449" i="1" s="1"/>
  <c r="K450" i="1"/>
  <c r="L450" i="1" s="1"/>
  <c r="K451" i="1"/>
  <c r="L451" i="1" s="1"/>
  <c r="K452" i="1"/>
  <c r="L452" i="1" s="1"/>
  <c r="K453" i="1"/>
  <c r="L453" i="1" s="1"/>
  <c r="K454" i="1"/>
  <c r="L454" i="1" s="1"/>
  <c r="K455" i="1"/>
  <c r="L455" i="1" s="1"/>
  <c r="K456" i="1"/>
  <c r="L456" i="1" s="1"/>
  <c r="K457" i="1"/>
  <c r="L457" i="1" s="1"/>
  <c r="K458" i="1"/>
  <c r="L458" i="1" s="1"/>
  <c r="K459" i="1"/>
  <c r="L459" i="1" s="1"/>
  <c r="K460" i="1"/>
  <c r="L460" i="1" s="1"/>
  <c r="K461" i="1"/>
  <c r="L461" i="1" s="1"/>
  <c r="K462" i="1"/>
  <c r="L462" i="1" s="1"/>
  <c r="K463" i="1"/>
  <c r="L463" i="1" s="1"/>
  <c r="K464" i="1"/>
  <c r="L464" i="1" s="1"/>
  <c r="K465" i="1"/>
  <c r="L465" i="1" s="1"/>
  <c r="K466" i="1"/>
  <c r="L466" i="1" s="1"/>
  <c r="K467" i="1"/>
  <c r="L467" i="1" s="1"/>
  <c r="K468" i="1"/>
  <c r="L468" i="1" s="1"/>
  <c r="K469" i="1"/>
  <c r="L469" i="1" s="1"/>
  <c r="K470" i="1"/>
  <c r="L470" i="1" s="1"/>
  <c r="K471" i="1"/>
  <c r="L471" i="1" s="1"/>
  <c r="K472" i="1"/>
  <c r="L472" i="1" s="1"/>
  <c r="K473" i="1"/>
  <c r="L473" i="1" s="1"/>
  <c r="K474" i="1"/>
  <c r="L474" i="1" s="1"/>
  <c r="K475" i="1"/>
  <c r="L475" i="1" s="1"/>
  <c r="K476" i="1"/>
  <c r="L476" i="1" s="1"/>
  <c r="K477" i="1"/>
  <c r="L477" i="1" s="1"/>
  <c r="K478" i="1"/>
  <c r="L478" i="1" s="1"/>
  <c r="K479" i="1"/>
  <c r="L479" i="1" s="1"/>
  <c r="K480" i="1"/>
  <c r="L480" i="1" s="1"/>
  <c r="K481" i="1"/>
  <c r="L481" i="1" s="1"/>
  <c r="K482" i="1"/>
  <c r="L482" i="1" s="1"/>
  <c r="K483" i="1"/>
  <c r="L483" i="1" s="1"/>
  <c r="K484" i="1"/>
  <c r="L484" i="1" s="1"/>
  <c r="K485" i="1"/>
  <c r="L485" i="1" s="1"/>
  <c r="K486" i="1"/>
  <c r="L486" i="1" s="1"/>
  <c r="K487" i="1"/>
  <c r="L487" i="1" s="1"/>
  <c r="K488" i="1"/>
  <c r="L488" i="1" s="1"/>
  <c r="K489" i="1"/>
  <c r="L489" i="1" s="1"/>
  <c r="K490" i="1"/>
  <c r="L490" i="1" s="1"/>
  <c r="K491" i="1"/>
  <c r="L491" i="1" s="1"/>
  <c r="K492" i="1"/>
  <c r="L492" i="1" s="1"/>
  <c r="K493" i="1"/>
  <c r="L493" i="1" s="1"/>
  <c r="K494" i="1"/>
  <c r="L494" i="1" s="1"/>
  <c r="K495" i="1"/>
  <c r="L495" i="1" s="1"/>
  <c r="K496" i="1"/>
  <c r="L496" i="1" s="1"/>
  <c r="K497" i="1"/>
  <c r="L497" i="1" s="1"/>
  <c r="K498" i="1"/>
  <c r="L498" i="1" s="1"/>
  <c r="K499" i="1"/>
  <c r="L499" i="1" s="1"/>
  <c r="K500" i="1"/>
  <c r="L500" i="1" s="1"/>
  <c r="K501" i="1"/>
  <c r="L501" i="1" s="1"/>
  <c r="K502" i="1"/>
  <c r="L502" i="1" s="1"/>
  <c r="K503" i="1"/>
  <c r="L503" i="1" s="1"/>
  <c r="K504" i="1"/>
  <c r="L504" i="1" s="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N6" i="2"/>
  <c r="R1" i="13" l="1"/>
  <c r="S1" i="13"/>
  <c r="I7" i="1"/>
  <c r="I8" i="1"/>
  <c r="I9" i="1"/>
  <c r="I10" i="1"/>
  <c r="I19" i="1"/>
  <c r="I28" i="1"/>
  <c r="I6" i="1"/>
  <c r="G6" i="1"/>
  <c r="H1" i="10" s="1"/>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6" i="5"/>
  <c r="G7" i="1"/>
  <c r="H2" i="10" s="1"/>
  <c r="G8" i="1"/>
  <c r="H3" i="10" s="1"/>
  <c r="G9" i="1"/>
  <c r="H4" i="10" s="1"/>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 i="4"/>
  <c r="I480" i="2"/>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279" i="3"/>
  <c r="A280" i="3"/>
  <c r="A281" i="3"/>
  <c r="A282" i="3"/>
  <c r="A283" i="3"/>
  <c r="A284" i="3"/>
  <c r="A285" i="3"/>
  <c r="A286" i="3"/>
  <c r="A287" i="3"/>
  <c r="A288" i="3"/>
  <c r="A289" i="3"/>
  <c r="A290" i="3"/>
  <c r="A291" i="3"/>
  <c r="A292" i="3"/>
  <c r="A293" i="3"/>
  <c r="A294" i="3"/>
  <c r="A295" i="3"/>
  <c r="A296" i="3"/>
  <c r="A297"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11" i="1"/>
  <c r="I12" i="1"/>
  <c r="I13" i="1"/>
  <c r="I14" i="1"/>
  <c r="I15" i="1"/>
  <c r="I16" i="1"/>
  <c r="I17" i="1"/>
  <c r="I18" i="1"/>
  <c r="I20" i="1"/>
  <c r="I21" i="1"/>
  <c r="I22" i="1"/>
  <c r="I23" i="1"/>
  <c r="I24" i="1"/>
  <c r="I25" i="1"/>
  <c r="I26"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I27" i="1" l="1"/>
  <c r="I14" i="3"/>
  <c r="I22" i="3"/>
  <c r="I30" i="3"/>
  <c r="I38" i="3"/>
  <c r="I46" i="3"/>
  <c r="H46" i="3" s="1"/>
  <c r="I54" i="3"/>
  <c r="H54" i="3" s="1"/>
  <c r="I62" i="3"/>
  <c r="H62" i="3" s="1"/>
  <c r="I70" i="3"/>
  <c r="H70" i="3" s="1"/>
  <c r="I78" i="3"/>
  <c r="I86" i="3"/>
  <c r="I94" i="3"/>
  <c r="I102" i="3"/>
  <c r="H102" i="3" s="1"/>
  <c r="I110" i="3"/>
  <c r="H110" i="3" s="1"/>
  <c r="I118" i="3"/>
  <c r="H118" i="3" s="1"/>
  <c r="I126" i="3"/>
  <c r="H126" i="3" s="1"/>
  <c r="I134" i="3"/>
  <c r="H134" i="3" s="1"/>
  <c r="I142" i="3"/>
  <c r="I150" i="3"/>
  <c r="I158" i="3"/>
  <c r="I166" i="3"/>
  <c r="H166" i="3" s="1"/>
  <c r="I174" i="3"/>
  <c r="H174" i="3" s="1"/>
  <c r="I182" i="3"/>
  <c r="H182" i="3" s="1"/>
  <c r="I190" i="3"/>
  <c r="H190" i="3" s="1"/>
  <c r="I198" i="3"/>
  <c r="H198" i="3" s="1"/>
  <c r="I206" i="3"/>
  <c r="I214" i="3"/>
  <c r="I222" i="3"/>
  <c r="I7" i="3"/>
  <c r="I15" i="3"/>
  <c r="H15" i="3" s="1"/>
  <c r="I23" i="3"/>
  <c r="H23" i="3" s="1"/>
  <c r="I31" i="3"/>
  <c r="H31" i="3" s="1"/>
  <c r="I39" i="3"/>
  <c r="H39" i="3" s="1"/>
  <c r="I47" i="3"/>
  <c r="I55" i="3"/>
  <c r="I63" i="3"/>
  <c r="I71" i="3"/>
  <c r="H71" i="3" s="1"/>
  <c r="I79" i="3"/>
  <c r="H79" i="3" s="1"/>
  <c r="I87" i="3"/>
  <c r="H87" i="3" s="1"/>
  <c r="I95" i="3"/>
  <c r="H95" i="3" s="1"/>
  <c r="I103" i="3"/>
  <c r="I111" i="3"/>
  <c r="I119" i="3"/>
  <c r="I127" i="3"/>
  <c r="I135" i="3"/>
  <c r="H135" i="3" s="1"/>
  <c r="I143" i="3"/>
  <c r="H143" i="3" s="1"/>
  <c r="I151" i="3"/>
  <c r="H151" i="3" s="1"/>
  <c r="I159" i="3"/>
  <c r="H159" i="3" s="1"/>
  <c r="I167" i="3"/>
  <c r="H167" i="3" s="1"/>
  <c r="I175" i="3"/>
  <c r="I183" i="3"/>
  <c r="I191" i="3"/>
  <c r="I199" i="3"/>
  <c r="I207" i="3"/>
  <c r="H207" i="3" s="1"/>
  <c r="I215" i="3"/>
  <c r="H215" i="3" s="1"/>
  <c r="I223" i="3"/>
  <c r="H223" i="3" s="1"/>
  <c r="I231" i="3"/>
  <c r="H231" i="3" s="1"/>
  <c r="I239" i="3"/>
  <c r="I247" i="3"/>
  <c r="I255" i="3"/>
  <c r="I263" i="3"/>
  <c r="H263" i="3" s="1"/>
  <c r="I271" i="3"/>
  <c r="H271" i="3" s="1"/>
  <c r="I279" i="3"/>
  <c r="H279" i="3" s="1"/>
  <c r="I287" i="3"/>
  <c r="H287" i="3" s="1"/>
  <c r="I295" i="3"/>
  <c r="H295" i="3" s="1"/>
  <c r="I303" i="3"/>
  <c r="I311" i="3"/>
  <c r="I319" i="3"/>
  <c r="I327" i="3"/>
  <c r="H327" i="3" s="1"/>
  <c r="I335" i="3"/>
  <c r="H335" i="3" s="1"/>
  <c r="I343" i="3"/>
  <c r="H343" i="3" s="1"/>
  <c r="I351" i="3"/>
  <c r="H351" i="3" s="1"/>
  <c r="I359" i="3"/>
  <c r="H359" i="3" s="1"/>
  <c r="I367" i="3"/>
  <c r="I375" i="3"/>
  <c r="I383" i="3"/>
  <c r="I391" i="3"/>
  <c r="H391" i="3" s="1"/>
  <c r="I399" i="3"/>
  <c r="H399" i="3" s="1"/>
  <c r="I407" i="3"/>
  <c r="H407" i="3" s="1"/>
  <c r="I415" i="3"/>
  <c r="H415" i="3" s="1"/>
  <c r="I423" i="3"/>
  <c r="H423" i="3" s="1"/>
  <c r="I431" i="3"/>
  <c r="I439" i="3"/>
  <c r="I447" i="3"/>
  <c r="I455" i="3"/>
  <c r="H455" i="3" s="1"/>
  <c r="I463" i="3"/>
  <c r="H463" i="3" s="1"/>
  <c r="I471" i="3"/>
  <c r="H471" i="3" s="1"/>
  <c r="I479" i="3"/>
  <c r="H479" i="3" s="1"/>
  <c r="I487" i="3"/>
  <c r="H487" i="3" s="1"/>
  <c r="I495" i="3"/>
  <c r="I503" i="3"/>
  <c r="I434" i="3"/>
  <c r="I466" i="3"/>
  <c r="H466" i="3" s="1"/>
  <c r="I498" i="3"/>
  <c r="H498" i="3" s="1"/>
  <c r="I499" i="3"/>
  <c r="H499" i="3" s="1"/>
  <c r="I20" i="3"/>
  <c r="H20" i="3" s="1"/>
  <c r="I52" i="3"/>
  <c r="H52" i="3" s="1"/>
  <c r="I84" i="3"/>
  <c r="I116" i="3"/>
  <c r="I148" i="3"/>
  <c r="I180" i="3"/>
  <c r="H180" i="3" s="1"/>
  <c r="I212" i="3"/>
  <c r="H212" i="3" s="1"/>
  <c r="I244" i="3"/>
  <c r="H244" i="3" s="1"/>
  <c r="I276" i="3"/>
  <c r="H276" i="3" s="1"/>
  <c r="I308" i="3"/>
  <c r="H308" i="3" s="1"/>
  <c r="I340" i="3"/>
  <c r="I372" i="3"/>
  <c r="I404" i="3"/>
  <c r="I436" i="3"/>
  <c r="H436" i="3" s="1"/>
  <c r="I468" i="3"/>
  <c r="I500" i="3"/>
  <c r="H500" i="3" s="1"/>
  <c r="I37" i="3"/>
  <c r="H37" i="3" s="1"/>
  <c r="I61" i="3"/>
  <c r="H61" i="3" s="1"/>
  <c r="I8" i="3"/>
  <c r="I16" i="3"/>
  <c r="I24" i="3"/>
  <c r="I32" i="3"/>
  <c r="H32" i="3" s="1"/>
  <c r="I40" i="3"/>
  <c r="H40" i="3" s="1"/>
  <c r="I48" i="3"/>
  <c r="H48" i="3" s="1"/>
  <c r="I56" i="3"/>
  <c r="H56" i="3" s="1"/>
  <c r="I64" i="3"/>
  <c r="H64" i="3" s="1"/>
  <c r="I72" i="3"/>
  <c r="I80" i="3"/>
  <c r="I88" i="3"/>
  <c r="I96" i="3"/>
  <c r="I104" i="3"/>
  <c r="H104" i="3" s="1"/>
  <c r="I112" i="3"/>
  <c r="H112" i="3" s="1"/>
  <c r="I120" i="3"/>
  <c r="H120" i="3" s="1"/>
  <c r="I128" i="3"/>
  <c r="H128" i="3" s="1"/>
  <c r="I136" i="3"/>
  <c r="I144" i="3"/>
  <c r="I152" i="3"/>
  <c r="I160" i="3"/>
  <c r="H160" i="3" s="1"/>
  <c r="I168" i="3"/>
  <c r="H168" i="3" s="1"/>
  <c r="I176" i="3"/>
  <c r="H176" i="3" s="1"/>
  <c r="I184" i="3"/>
  <c r="H184" i="3" s="1"/>
  <c r="I192" i="3"/>
  <c r="H192" i="3" s="1"/>
  <c r="I200" i="3"/>
  <c r="I208" i="3"/>
  <c r="I216" i="3"/>
  <c r="I224" i="3"/>
  <c r="H224" i="3" s="1"/>
  <c r="I232" i="3"/>
  <c r="H232" i="3" s="1"/>
  <c r="I240" i="3"/>
  <c r="H240" i="3" s="1"/>
  <c r="I248" i="3"/>
  <c r="H248" i="3" s="1"/>
  <c r="I256" i="3"/>
  <c r="H256" i="3" s="1"/>
  <c r="I264" i="3"/>
  <c r="I272" i="3"/>
  <c r="I280" i="3"/>
  <c r="I288" i="3"/>
  <c r="H288" i="3" s="1"/>
  <c r="I296" i="3"/>
  <c r="H296" i="3" s="1"/>
  <c r="I304" i="3"/>
  <c r="H304" i="3" s="1"/>
  <c r="I312" i="3"/>
  <c r="H312" i="3" s="1"/>
  <c r="I320" i="3"/>
  <c r="H320" i="3" s="1"/>
  <c r="I328" i="3"/>
  <c r="I336" i="3"/>
  <c r="I344" i="3"/>
  <c r="I352" i="3"/>
  <c r="H352" i="3" s="1"/>
  <c r="I360" i="3"/>
  <c r="H360" i="3" s="1"/>
  <c r="I368" i="3"/>
  <c r="H368" i="3" s="1"/>
  <c r="I376" i="3"/>
  <c r="H376" i="3" s="1"/>
  <c r="I384" i="3"/>
  <c r="H384" i="3" s="1"/>
  <c r="I392" i="3"/>
  <c r="I400" i="3"/>
  <c r="I408" i="3"/>
  <c r="I416" i="3"/>
  <c r="H416" i="3" s="1"/>
  <c r="I424" i="3"/>
  <c r="I432" i="3"/>
  <c r="H432" i="3" s="1"/>
  <c r="I440" i="3"/>
  <c r="H440" i="3" s="1"/>
  <c r="I448" i="3"/>
  <c r="H448" i="3" s="1"/>
  <c r="I456" i="3"/>
  <c r="I464" i="3"/>
  <c r="I472" i="3"/>
  <c r="I480" i="3"/>
  <c r="I488" i="3"/>
  <c r="I496" i="3"/>
  <c r="H496" i="3" s="1"/>
  <c r="I504" i="3"/>
  <c r="H504" i="3" s="1"/>
  <c r="I426" i="3"/>
  <c r="H426" i="3" s="1"/>
  <c r="I458" i="3"/>
  <c r="I490" i="3"/>
  <c r="I483" i="3"/>
  <c r="I12" i="3"/>
  <c r="I36" i="3"/>
  <c r="H36" i="3" s="1"/>
  <c r="I76" i="3"/>
  <c r="H76" i="3" s="1"/>
  <c r="I100" i="3"/>
  <c r="H100" i="3" s="1"/>
  <c r="I140" i="3"/>
  <c r="H140" i="3" s="1"/>
  <c r="I164" i="3"/>
  <c r="I204" i="3"/>
  <c r="I236" i="3"/>
  <c r="I260" i="3"/>
  <c r="H260" i="3" s="1"/>
  <c r="I292" i="3"/>
  <c r="H292" i="3" s="1"/>
  <c r="I332" i="3"/>
  <c r="H332" i="3" s="1"/>
  <c r="I364" i="3"/>
  <c r="H364" i="3" s="1"/>
  <c r="I396" i="3"/>
  <c r="H396" i="3" s="1"/>
  <c r="I420" i="3"/>
  <c r="I452" i="3"/>
  <c r="I484" i="3"/>
  <c r="I13" i="3"/>
  <c r="H13" i="3" s="1"/>
  <c r="I45" i="3"/>
  <c r="H45" i="3" s="1"/>
  <c r="I9" i="3"/>
  <c r="I17" i="3"/>
  <c r="H17" i="3" s="1"/>
  <c r="I25" i="3"/>
  <c r="H25" i="3" s="1"/>
  <c r="I33" i="3"/>
  <c r="I41" i="3"/>
  <c r="I49" i="3"/>
  <c r="I57" i="3"/>
  <c r="H57" i="3" s="1"/>
  <c r="I65" i="3"/>
  <c r="H65" i="3" s="1"/>
  <c r="I73" i="3"/>
  <c r="H73" i="3" s="1"/>
  <c r="I81" i="3"/>
  <c r="H81" i="3" s="1"/>
  <c r="I89" i="3"/>
  <c r="H89" i="3" s="1"/>
  <c r="I97" i="3"/>
  <c r="I105" i="3"/>
  <c r="I113" i="3"/>
  <c r="I121" i="3"/>
  <c r="I129" i="3"/>
  <c r="H129" i="3" s="1"/>
  <c r="I137" i="3"/>
  <c r="H137" i="3" s="1"/>
  <c r="I145" i="3"/>
  <c r="H145" i="3" s="1"/>
  <c r="I153" i="3"/>
  <c r="H153" i="3" s="1"/>
  <c r="I161" i="3"/>
  <c r="I169" i="3"/>
  <c r="I177" i="3"/>
  <c r="I185" i="3"/>
  <c r="H185" i="3" s="1"/>
  <c r="I193" i="3"/>
  <c r="H193" i="3" s="1"/>
  <c r="I201" i="3"/>
  <c r="H201" i="3" s="1"/>
  <c r="I209" i="3"/>
  <c r="H209" i="3" s="1"/>
  <c r="I217" i="3"/>
  <c r="H217" i="3" s="1"/>
  <c r="I225" i="3"/>
  <c r="I233" i="3"/>
  <c r="I241" i="3"/>
  <c r="I249" i="3"/>
  <c r="H249" i="3" s="1"/>
  <c r="I257" i="3"/>
  <c r="H257" i="3" s="1"/>
  <c r="I265" i="3"/>
  <c r="H265" i="3" s="1"/>
  <c r="I273" i="3"/>
  <c r="H273" i="3" s="1"/>
  <c r="I281" i="3"/>
  <c r="H281" i="3" s="1"/>
  <c r="I289" i="3"/>
  <c r="I297" i="3"/>
  <c r="I305" i="3"/>
  <c r="I313" i="3"/>
  <c r="H313" i="3" s="1"/>
  <c r="I321" i="3"/>
  <c r="H321" i="3" s="1"/>
  <c r="I329" i="3"/>
  <c r="H329" i="3" s="1"/>
  <c r="I337" i="3"/>
  <c r="H337" i="3" s="1"/>
  <c r="I345" i="3"/>
  <c r="H345" i="3" s="1"/>
  <c r="I353" i="3"/>
  <c r="I361" i="3"/>
  <c r="I369" i="3"/>
  <c r="I377" i="3"/>
  <c r="H377" i="3" s="1"/>
  <c r="I385" i="3"/>
  <c r="I393" i="3"/>
  <c r="H393" i="3" s="1"/>
  <c r="I401" i="3"/>
  <c r="H401" i="3" s="1"/>
  <c r="I409" i="3"/>
  <c r="H409" i="3" s="1"/>
  <c r="I417" i="3"/>
  <c r="I425" i="3"/>
  <c r="I433" i="3"/>
  <c r="I441" i="3"/>
  <c r="H441" i="3" s="1"/>
  <c r="I449" i="3"/>
  <c r="H449" i="3" s="1"/>
  <c r="I457" i="3"/>
  <c r="H457" i="3" s="1"/>
  <c r="I465" i="3"/>
  <c r="H465" i="3" s="1"/>
  <c r="I473" i="3"/>
  <c r="H473" i="3" s="1"/>
  <c r="I481" i="3"/>
  <c r="I489" i="3"/>
  <c r="I497" i="3"/>
  <c r="I505" i="3"/>
  <c r="I442" i="3"/>
  <c r="H442" i="3" s="1"/>
  <c r="I474" i="3"/>
  <c r="H474" i="3" s="1"/>
  <c r="I68" i="3"/>
  <c r="H68" i="3" s="1"/>
  <c r="I132" i="3"/>
  <c r="H132" i="3" s="1"/>
  <c r="I172" i="3"/>
  <c r="I196" i="3"/>
  <c r="I228" i="3"/>
  <c r="I268" i="3"/>
  <c r="H268" i="3" s="1"/>
  <c r="I300" i="3"/>
  <c r="I324" i="3"/>
  <c r="H324" i="3" s="1"/>
  <c r="I356" i="3"/>
  <c r="H356" i="3" s="1"/>
  <c r="I380" i="3"/>
  <c r="H380" i="3" s="1"/>
  <c r="I412" i="3"/>
  <c r="I444" i="3"/>
  <c r="I476" i="3"/>
  <c r="I21" i="3"/>
  <c r="I53" i="3"/>
  <c r="H53" i="3" s="1"/>
  <c r="I10" i="3"/>
  <c r="I18" i="3"/>
  <c r="H18" i="3" s="1"/>
  <c r="I26" i="3"/>
  <c r="I34" i="3"/>
  <c r="I42" i="3"/>
  <c r="I50" i="3"/>
  <c r="I58" i="3"/>
  <c r="H58" i="3" s="1"/>
  <c r="I66" i="3"/>
  <c r="H66" i="3" s="1"/>
  <c r="I74" i="3"/>
  <c r="H74" i="3" s="1"/>
  <c r="I82" i="3"/>
  <c r="H82" i="3" s="1"/>
  <c r="I90" i="3"/>
  <c r="H90" i="3" s="1"/>
  <c r="I98" i="3"/>
  <c r="I106" i="3"/>
  <c r="I114" i="3"/>
  <c r="I122" i="3"/>
  <c r="H122" i="3" s="1"/>
  <c r="I130" i="3"/>
  <c r="H130" i="3" s="1"/>
  <c r="I138" i="3"/>
  <c r="H138" i="3" s="1"/>
  <c r="I146" i="3"/>
  <c r="H146" i="3" s="1"/>
  <c r="I154" i="3"/>
  <c r="I162" i="3"/>
  <c r="I170" i="3"/>
  <c r="I178" i="3"/>
  <c r="I186" i="3"/>
  <c r="H186" i="3" s="1"/>
  <c r="I194" i="3"/>
  <c r="H194" i="3" s="1"/>
  <c r="I202" i="3"/>
  <c r="H202" i="3" s="1"/>
  <c r="I210" i="3"/>
  <c r="H210" i="3" s="1"/>
  <c r="I218" i="3"/>
  <c r="H218" i="3" s="1"/>
  <c r="I226" i="3"/>
  <c r="I234" i="3"/>
  <c r="I242" i="3"/>
  <c r="I250" i="3"/>
  <c r="H250" i="3" s="1"/>
  <c r="I258" i="3"/>
  <c r="H258" i="3" s="1"/>
  <c r="I266" i="3"/>
  <c r="H266" i="3" s="1"/>
  <c r="I274" i="3"/>
  <c r="H274" i="3" s="1"/>
  <c r="I282" i="3"/>
  <c r="I290" i="3"/>
  <c r="I298" i="3"/>
  <c r="I306" i="3"/>
  <c r="I314" i="3"/>
  <c r="I322" i="3"/>
  <c r="H322" i="3" s="1"/>
  <c r="I330" i="3"/>
  <c r="H330" i="3" s="1"/>
  <c r="I338" i="3"/>
  <c r="H338" i="3" s="1"/>
  <c r="I346" i="3"/>
  <c r="H346" i="3" s="1"/>
  <c r="I354" i="3"/>
  <c r="I362" i="3"/>
  <c r="I370" i="3"/>
  <c r="I378" i="3"/>
  <c r="H378" i="3" s="1"/>
  <c r="I386" i="3"/>
  <c r="H386" i="3" s="1"/>
  <c r="I394" i="3"/>
  <c r="H394" i="3" s="1"/>
  <c r="I402" i="3"/>
  <c r="H402" i="3" s="1"/>
  <c r="I410" i="3"/>
  <c r="H410" i="3" s="1"/>
  <c r="I418" i="3"/>
  <c r="I450" i="3"/>
  <c r="I482" i="3"/>
  <c r="I44" i="3"/>
  <c r="I108" i="3"/>
  <c r="H108" i="3" s="1"/>
  <c r="I11" i="3"/>
  <c r="H11" i="3" s="1"/>
  <c r="I19" i="3"/>
  <c r="H19" i="3" s="1"/>
  <c r="I27" i="3"/>
  <c r="H27" i="3" s="1"/>
  <c r="I35" i="3"/>
  <c r="I43" i="3"/>
  <c r="I51" i="3"/>
  <c r="I59" i="3"/>
  <c r="H59" i="3" s="1"/>
  <c r="I67" i="3"/>
  <c r="H67" i="3" s="1"/>
  <c r="I75" i="3"/>
  <c r="H75" i="3" s="1"/>
  <c r="I83" i="3"/>
  <c r="H83" i="3" s="1"/>
  <c r="I91" i="3"/>
  <c r="H91" i="3" s="1"/>
  <c r="I99" i="3"/>
  <c r="I107" i="3"/>
  <c r="I115" i="3"/>
  <c r="I123" i="3"/>
  <c r="I131" i="3"/>
  <c r="H131" i="3" s="1"/>
  <c r="I139" i="3"/>
  <c r="H139" i="3" s="1"/>
  <c r="I147" i="3"/>
  <c r="H147" i="3" s="1"/>
  <c r="I155" i="3"/>
  <c r="I163" i="3"/>
  <c r="I171" i="3"/>
  <c r="I179" i="3"/>
  <c r="I187" i="3"/>
  <c r="H187" i="3" s="1"/>
  <c r="I195" i="3"/>
  <c r="H195" i="3" s="1"/>
  <c r="I203" i="3"/>
  <c r="H203" i="3" s="1"/>
  <c r="I211" i="3"/>
  <c r="H211" i="3" s="1"/>
  <c r="I219" i="3"/>
  <c r="I227" i="3"/>
  <c r="I235" i="3"/>
  <c r="I243" i="3"/>
  <c r="I251" i="3"/>
  <c r="I259" i="3"/>
  <c r="H259" i="3" s="1"/>
  <c r="I267" i="3"/>
  <c r="H267" i="3" s="1"/>
  <c r="I275" i="3"/>
  <c r="H275" i="3" s="1"/>
  <c r="I283" i="3"/>
  <c r="I291" i="3"/>
  <c r="I299" i="3"/>
  <c r="I307" i="3"/>
  <c r="I315" i="3"/>
  <c r="H315" i="3" s="1"/>
  <c r="I323" i="3"/>
  <c r="H323" i="3" s="1"/>
  <c r="I331" i="3"/>
  <c r="H331" i="3" s="1"/>
  <c r="I339" i="3"/>
  <c r="H339" i="3" s="1"/>
  <c r="I347" i="3"/>
  <c r="I355" i="3"/>
  <c r="I363" i="3"/>
  <c r="I371" i="3"/>
  <c r="I379" i="3"/>
  <c r="H379" i="3" s="1"/>
  <c r="I387" i="3"/>
  <c r="H387" i="3" s="1"/>
  <c r="I395" i="3"/>
  <c r="H395" i="3" s="1"/>
  <c r="I403" i="3"/>
  <c r="H403" i="3" s="1"/>
  <c r="I411" i="3"/>
  <c r="I419" i="3"/>
  <c r="I427" i="3"/>
  <c r="I435" i="3"/>
  <c r="I443" i="3"/>
  <c r="H443" i="3" s="1"/>
  <c r="I451" i="3"/>
  <c r="H451" i="3" s="1"/>
  <c r="I459" i="3"/>
  <c r="H459" i="3" s="1"/>
  <c r="I467" i="3"/>
  <c r="H467" i="3" s="1"/>
  <c r="I475" i="3"/>
  <c r="H475" i="3" s="1"/>
  <c r="I491" i="3"/>
  <c r="I28" i="3"/>
  <c r="I60" i="3"/>
  <c r="I92" i="3"/>
  <c r="H92" i="3" s="1"/>
  <c r="I124" i="3"/>
  <c r="H124" i="3" s="1"/>
  <c r="I156" i="3"/>
  <c r="H156" i="3" s="1"/>
  <c r="I188" i="3"/>
  <c r="H188" i="3" s="1"/>
  <c r="I220" i="3"/>
  <c r="H220" i="3" s="1"/>
  <c r="I252" i="3"/>
  <c r="I284" i="3"/>
  <c r="I316" i="3"/>
  <c r="I348" i="3"/>
  <c r="H348" i="3" s="1"/>
  <c r="I388" i="3"/>
  <c r="H388" i="3" s="1"/>
  <c r="I428" i="3"/>
  <c r="H428" i="3" s="1"/>
  <c r="I460" i="3"/>
  <c r="H460" i="3" s="1"/>
  <c r="I492" i="3"/>
  <c r="H492" i="3" s="1"/>
  <c r="I29" i="3"/>
  <c r="I69" i="3"/>
  <c r="I133" i="3"/>
  <c r="I197" i="3"/>
  <c r="H197" i="3" s="1"/>
  <c r="I245" i="3"/>
  <c r="H245" i="3" s="1"/>
  <c r="I277" i="3"/>
  <c r="H277" i="3" s="1"/>
  <c r="I309" i="3"/>
  <c r="H309" i="3" s="1"/>
  <c r="I341" i="3"/>
  <c r="H341" i="3" s="1"/>
  <c r="I373" i="3"/>
  <c r="I405" i="3"/>
  <c r="I437" i="3"/>
  <c r="I469" i="3"/>
  <c r="H469" i="3" s="1"/>
  <c r="I501" i="3"/>
  <c r="H501" i="3" s="1"/>
  <c r="I317" i="3"/>
  <c r="H317" i="3" s="1"/>
  <c r="I413" i="3"/>
  <c r="H413" i="3" s="1"/>
  <c r="I477" i="3"/>
  <c r="H477" i="3" s="1"/>
  <c r="I302" i="3"/>
  <c r="I462" i="3"/>
  <c r="I77" i="3"/>
  <c r="I141" i="3"/>
  <c r="I205" i="3"/>
  <c r="H205" i="3" s="1"/>
  <c r="I246" i="3"/>
  <c r="H246" i="3" s="1"/>
  <c r="I278" i="3"/>
  <c r="H278" i="3" s="1"/>
  <c r="I310" i="3"/>
  <c r="H310" i="3" s="1"/>
  <c r="I342" i="3"/>
  <c r="I374" i="3"/>
  <c r="I406" i="3"/>
  <c r="I438" i="3"/>
  <c r="H438" i="3" s="1"/>
  <c r="I470" i="3"/>
  <c r="H470" i="3" s="1"/>
  <c r="I502" i="3"/>
  <c r="H502" i="3" s="1"/>
  <c r="I85" i="3"/>
  <c r="H85" i="3" s="1"/>
  <c r="I149" i="3"/>
  <c r="H149" i="3" s="1"/>
  <c r="I213" i="3"/>
  <c r="I253" i="3"/>
  <c r="I285" i="3"/>
  <c r="I349" i="3"/>
  <c r="H349" i="3" s="1"/>
  <c r="I445" i="3"/>
  <c r="H445" i="3" s="1"/>
  <c r="I238" i="3"/>
  <c r="H238" i="3" s="1"/>
  <c r="I366" i="3"/>
  <c r="H366" i="3" s="1"/>
  <c r="I381" i="3"/>
  <c r="H381" i="3" s="1"/>
  <c r="I334" i="3"/>
  <c r="I494" i="3"/>
  <c r="I93" i="3"/>
  <c r="I157" i="3"/>
  <c r="H157" i="3" s="1"/>
  <c r="I221" i="3"/>
  <c r="H221" i="3" s="1"/>
  <c r="I254" i="3"/>
  <c r="H254" i="3" s="1"/>
  <c r="I286" i="3"/>
  <c r="H286" i="3" s="1"/>
  <c r="I318" i="3"/>
  <c r="H318" i="3" s="1"/>
  <c r="I350" i="3"/>
  <c r="I382" i="3"/>
  <c r="I414" i="3"/>
  <c r="I446" i="3"/>
  <c r="H446" i="3" s="1"/>
  <c r="I478" i="3"/>
  <c r="H478" i="3" s="1"/>
  <c r="I493" i="3"/>
  <c r="H493" i="3" s="1"/>
  <c r="I189" i="3"/>
  <c r="H189" i="3" s="1"/>
  <c r="I398" i="3"/>
  <c r="I101" i="3"/>
  <c r="I165" i="3"/>
  <c r="I229" i="3"/>
  <c r="I261" i="3"/>
  <c r="H261" i="3" s="1"/>
  <c r="I293" i="3"/>
  <c r="H293" i="3" s="1"/>
  <c r="I325" i="3"/>
  <c r="H325" i="3" s="1"/>
  <c r="I357" i="3"/>
  <c r="H357" i="3" s="1"/>
  <c r="I389" i="3"/>
  <c r="H389" i="3" s="1"/>
  <c r="I421" i="3"/>
  <c r="I453" i="3"/>
  <c r="I485" i="3"/>
  <c r="I454" i="3"/>
  <c r="H454" i="3" s="1"/>
  <c r="I117" i="3"/>
  <c r="H117" i="3" s="1"/>
  <c r="I269" i="3"/>
  <c r="H269" i="3" s="1"/>
  <c r="I333" i="3"/>
  <c r="H333" i="3" s="1"/>
  <c r="I109" i="3"/>
  <c r="I173" i="3"/>
  <c r="I230" i="3"/>
  <c r="I262" i="3"/>
  <c r="I294" i="3"/>
  <c r="H294" i="3" s="1"/>
  <c r="I326" i="3"/>
  <c r="H326" i="3" s="1"/>
  <c r="I358" i="3"/>
  <c r="H358" i="3" s="1"/>
  <c r="I390" i="3"/>
  <c r="H390" i="3" s="1"/>
  <c r="I422" i="3"/>
  <c r="H422" i="3" s="1"/>
  <c r="I486" i="3"/>
  <c r="I181" i="3"/>
  <c r="I237" i="3"/>
  <c r="I301" i="3"/>
  <c r="H301" i="3" s="1"/>
  <c r="I365" i="3"/>
  <c r="H365" i="3" s="1"/>
  <c r="I397" i="3"/>
  <c r="H397" i="3" s="1"/>
  <c r="I429" i="3"/>
  <c r="H429" i="3" s="1"/>
  <c r="I461" i="3"/>
  <c r="H461" i="3" s="1"/>
  <c r="I125" i="3"/>
  <c r="I270" i="3"/>
  <c r="I430" i="3"/>
  <c r="Q1" i="13"/>
  <c r="O1" i="13" s="1"/>
  <c r="Q12" i="13" s="1"/>
  <c r="G14" i="1"/>
  <c r="H9" i="10" s="1"/>
  <c r="G16" i="1"/>
  <c r="H11" i="10" s="1"/>
  <c r="G25" i="1"/>
  <c r="H20" i="10" s="1"/>
  <c r="G12" i="1"/>
  <c r="H7" i="10" s="1"/>
  <c r="G24" i="1"/>
  <c r="H19" i="10" s="1"/>
  <c r="G19" i="1"/>
  <c r="H14" i="10" s="1"/>
  <c r="G11" i="1"/>
  <c r="H6" i="10" s="1"/>
  <c r="G27" i="1"/>
  <c r="H22" i="10" s="1"/>
  <c r="G26" i="1"/>
  <c r="H21" i="10" s="1"/>
  <c r="G23" i="1"/>
  <c r="H18" i="10" s="1"/>
  <c r="G18" i="1"/>
  <c r="H13" i="10" s="1"/>
  <c r="G10" i="1"/>
  <c r="H5" i="10" s="1"/>
  <c r="G21" i="1"/>
  <c r="H16" i="10" s="1"/>
  <c r="G13" i="1"/>
  <c r="H8" i="10" s="1"/>
  <c r="G46" i="1"/>
  <c r="H41" i="10" s="1"/>
  <c r="G38" i="1"/>
  <c r="H33" i="10" s="1"/>
  <c r="G17" i="1"/>
  <c r="H12" i="10" s="1"/>
  <c r="E808" i="5"/>
  <c r="I808" i="5" s="1"/>
  <c r="E60" i="5"/>
  <c r="I60" i="5" s="1"/>
  <c r="E83" i="5"/>
  <c r="I83" i="5" s="1"/>
  <c r="G414" i="1"/>
  <c r="H409" i="10" s="1"/>
  <c r="G366" i="1"/>
  <c r="H361" i="10" s="1"/>
  <c r="G230" i="1"/>
  <c r="H225" i="10" s="1"/>
  <c r="G222" i="1"/>
  <c r="H217" i="10" s="1"/>
  <c r="G86" i="1"/>
  <c r="H81" i="10" s="1"/>
  <c r="G261" i="1"/>
  <c r="H256" i="10" s="1"/>
  <c r="G94" i="1"/>
  <c r="H89" i="10" s="1"/>
  <c r="G70" i="1"/>
  <c r="H65" i="10" s="1"/>
  <c r="G30" i="1"/>
  <c r="H25" i="10" s="1"/>
  <c r="G477" i="1"/>
  <c r="H472" i="10" s="1"/>
  <c r="G437" i="1"/>
  <c r="H432" i="10" s="1"/>
  <c r="G405" i="1"/>
  <c r="H400" i="10" s="1"/>
  <c r="G389" i="1"/>
  <c r="H384" i="10" s="1"/>
  <c r="G357" i="1"/>
  <c r="H352" i="10" s="1"/>
  <c r="G325" i="1"/>
  <c r="H320" i="10" s="1"/>
  <c r="G293" i="1"/>
  <c r="H288" i="10" s="1"/>
  <c r="G245" i="1"/>
  <c r="H240" i="10" s="1"/>
  <c r="G133" i="1"/>
  <c r="H128" i="10" s="1"/>
  <c r="E459" i="5"/>
  <c r="I459" i="5" s="1"/>
  <c r="G62" i="1"/>
  <c r="H57" i="10" s="1"/>
  <c r="G229" i="1"/>
  <c r="H224" i="10" s="1"/>
  <c r="G93" i="1"/>
  <c r="H88" i="10" s="1"/>
  <c r="G69" i="1"/>
  <c r="H64" i="10" s="1"/>
  <c r="G37" i="1"/>
  <c r="H32" i="10" s="1"/>
  <c r="G476" i="1"/>
  <c r="H471" i="10" s="1"/>
  <c r="G452" i="1"/>
  <c r="H447" i="10" s="1"/>
  <c r="G420" i="1"/>
  <c r="H415" i="10" s="1"/>
  <c r="G396" i="1"/>
  <c r="H391" i="10" s="1"/>
  <c r="G372" i="1"/>
  <c r="H367" i="10" s="1"/>
  <c r="G340" i="1"/>
  <c r="H335" i="10" s="1"/>
  <c r="G316" i="1"/>
  <c r="H311" i="10" s="1"/>
  <c r="G292" i="1"/>
  <c r="H287" i="10" s="1"/>
  <c r="G268" i="1"/>
  <c r="H263" i="10" s="1"/>
  <c r="G244" i="1"/>
  <c r="H239" i="10" s="1"/>
  <c r="G220" i="1"/>
  <c r="H215" i="10" s="1"/>
  <c r="G196" i="1"/>
  <c r="H191" i="10" s="1"/>
  <c r="G180" i="1"/>
  <c r="H175" i="10" s="1"/>
  <c r="G156" i="1"/>
  <c r="H151" i="10" s="1"/>
  <c r="G116" i="1"/>
  <c r="H111" i="10" s="1"/>
  <c r="E807" i="5"/>
  <c r="I807" i="5" s="1"/>
  <c r="E708" i="5"/>
  <c r="I708" i="5" s="1"/>
  <c r="E540" i="5"/>
  <c r="I540" i="5" s="1"/>
  <c r="E172" i="5"/>
  <c r="I172" i="5" s="1"/>
  <c r="E100" i="5"/>
  <c r="I100" i="5" s="1"/>
  <c r="E805" i="5"/>
  <c r="I805" i="5" s="1"/>
  <c r="E523" i="5"/>
  <c r="I523" i="5" s="1"/>
  <c r="E349" i="5"/>
  <c r="I349" i="5" s="1"/>
  <c r="E825" i="5"/>
  <c r="I825" i="5" s="1"/>
  <c r="E797" i="5"/>
  <c r="I797" i="5" s="1"/>
  <c r="E756" i="5"/>
  <c r="I756" i="5" s="1"/>
  <c r="E691" i="5"/>
  <c r="I691" i="5" s="1"/>
  <c r="E604" i="5"/>
  <c r="I604" i="5" s="1"/>
  <c r="E517" i="5"/>
  <c r="I517" i="5" s="1"/>
  <c r="E435" i="5"/>
  <c r="I435" i="5" s="1"/>
  <c r="E348" i="5"/>
  <c r="I348" i="5" s="1"/>
  <c r="E261" i="5"/>
  <c r="I261" i="5" s="1"/>
  <c r="G485" i="1"/>
  <c r="H480" i="10" s="1"/>
  <c r="G453" i="1"/>
  <c r="H448" i="10" s="1"/>
  <c r="G413" i="1"/>
  <c r="H408" i="10" s="1"/>
  <c r="G373" i="1"/>
  <c r="H368" i="10" s="1"/>
  <c r="G341" i="1"/>
  <c r="H336" i="10" s="1"/>
  <c r="G317" i="1"/>
  <c r="H312" i="10" s="1"/>
  <c r="G277" i="1"/>
  <c r="H272" i="10" s="1"/>
  <c r="G237" i="1"/>
  <c r="H232" i="10" s="1"/>
  <c r="G205" i="1"/>
  <c r="H200" i="10" s="1"/>
  <c r="G181" i="1"/>
  <c r="H176" i="10" s="1"/>
  <c r="G157" i="1"/>
  <c r="H152" i="10" s="1"/>
  <c r="G117" i="1"/>
  <c r="H112" i="10" s="1"/>
  <c r="E709" i="5"/>
  <c r="I709" i="5" s="1"/>
  <c r="E541" i="5"/>
  <c r="I541" i="5" s="1"/>
  <c r="E372" i="5"/>
  <c r="I372" i="5" s="1"/>
  <c r="G85" i="1"/>
  <c r="H80" i="10" s="1"/>
  <c r="G53" i="1"/>
  <c r="H48" i="10" s="1"/>
  <c r="G29" i="1"/>
  <c r="H24" i="10" s="1"/>
  <c r="E580" i="5"/>
  <c r="I580" i="5" s="1"/>
  <c r="E685" i="5"/>
  <c r="I685" i="5" s="1"/>
  <c r="E770" i="5"/>
  <c r="I770" i="5" s="1"/>
  <c r="E516" i="5"/>
  <c r="I516" i="5" s="1"/>
  <c r="E603" i="5"/>
  <c r="I603" i="5" s="1"/>
  <c r="E667" i="5"/>
  <c r="I667" i="5" s="1"/>
  <c r="E749" i="5"/>
  <c r="I749" i="5" s="1"/>
  <c r="E557" i="5"/>
  <c r="I557" i="5" s="1"/>
  <c r="E621" i="5"/>
  <c r="I621" i="5" s="1"/>
  <c r="E644" i="5"/>
  <c r="I644" i="5" s="1"/>
  <c r="E731" i="5"/>
  <c r="I731" i="5" s="1"/>
  <c r="G484" i="1"/>
  <c r="H479" i="10" s="1"/>
  <c r="G444" i="1"/>
  <c r="H439" i="10" s="1"/>
  <c r="G412" i="1"/>
  <c r="H407" i="10" s="1"/>
  <c r="G388" i="1"/>
  <c r="H383" i="10" s="1"/>
  <c r="G356" i="1"/>
  <c r="H351" i="10" s="1"/>
  <c r="G332" i="1"/>
  <c r="H327" i="10" s="1"/>
  <c r="G308" i="1"/>
  <c r="H303" i="10" s="1"/>
  <c r="G284" i="1"/>
  <c r="H279" i="10" s="1"/>
  <c r="G252" i="1"/>
  <c r="H247" i="10" s="1"/>
  <c r="G228" i="1"/>
  <c r="H223" i="10" s="1"/>
  <c r="G204" i="1"/>
  <c r="H199" i="10" s="1"/>
  <c r="G172" i="1"/>
  <c r="H167" i="10" s="1"/>
  <c r="G148" i="1"/>
  <c r="H143" i="10" s="1"/>
  <c r="G108" i="1"/>
  <c r="H103" i="10" s="1"/>
  <c r="E833" i="5"/>
  <c r="I833" i="5" s="1"/>
  <c r="E627" i="5"/>
  <c r="I627" i="5" s="1"/>
  <c r="E453" i="5"/>
  <c r="I453" i="5" s="1"/>
  <c r="E284" i="5"/>
  <c r="I284" i="5" s="1"/>
  <c r="E771" i="5"/>
  <c r="I771" i="5" s="1"/>
  <c r="E436" i="5"/>
  <c r="I436" i="5" s="1"/>
  <c r="E267" i="5"/>
  <c r="I267" i="5" s="1"/>
  <c r="E824" i="5"/>
  <c r="I824" i="5" s="1"/>
  <c r="E796" i="5"/>
  <c r="I796" i="5" s="1"/>
  <c r="E755" i="5"/>
  <c r="I755" i="5" s="1"/>
  <c r="E587" i="5"/>
  <c r="I587" i="5" s="1"/>
  <c r="E500" i="5"/>
  <c r="I500" i="5" s="1"/>
  <c r="E413" i="5"/>
  <c r="I413" i="5" s="1"/>
  <c r="E331" i="5"/>
  <c r="I331" i="5" s="1"/>
  <c r="E244" i="5"/>
  <c r="I244" i="5" s="1"/>
  <c r="E52" i="5"/>
  <c r="I52" i="5" s="1"/>
  <c r="G102" i="1"/>
  <c r="H97" i="10" s="1"/>
  <c r="G78" i="1"/>
  <c r="H73" i="10" s="1"/>
  <c r="G54" i="1"/>
  <c r="H49" i="10" s="1"/>
  <c r="G501" i="1"/>
  <c r="H496" i="10" s="1"/>
  <c r="G461" i="1"/>
  <c r="H456" i="10" s="1"/>
  <c r="G429" i="1"/>
  <c r="H424" i="10" s="1"/>
  <c r="G397" i="1"/>
  <c r="H392" i="10" s="1"/>
  <c r="G365" i="1"/>
  <c r="H360" i="10" s="1"/>
  <c r="G349" i="1"/>
  <c r="H344" i="10" s="1"/>
  <c r="G309" i="1"/>
  <c r="H304" i="10" s="1"/>
  <c r="G269" i="1"/>
  <c r="H264" i="10" s="1"/>
  <c r="G221" i="1"/>
  <c r="H216" i="10" s="1"/>
  <c r="G197" i="1"/>
  <c r="H192" i="10" s="1"/>
  <c r="G173" i="1"/>
  <c r="H168" i="10" s="1"/>
  <c r="G149" i="1"/>
  <c r="H144" i="10" s="1"/>
  <c r="G109" i="1"/>
  <c r="H104" i="10" s="1"/>
  <c r="E781" i="5"/>
  <c r="I781" i="5" s="1"/>
  <c r="E285" i="5"/>
  <c r="I285" i="5" s="1"/>
  <c r="G101" i="1"/>
  <c r="H96" i="10" s="1"/>
  <c r="G61" i="1"/>
  <c r="H56" i="10" s="1"/>
  <c r="G500" i="1"/>
  <c r="H495" i="10" s="1"/>
  <c r="G468" i="1"/>
  <c r="H463" i="10" s="1"/>
  <c r="G428" i="1"/>
  <c r="H423" i="10" s="1"/>
  <c r="G364" i="1"/>
  <c r="H359" i="10" s="1"/>
  <c r="G132" i="1"/>
  <c r="H127" i="10" s="1"/>
  <c r="E692" i="5"/>
  <c r="I692" i="5" s="1"/>
  <c r="E669" i="5"/>
  <c r="I669" i="5" s="1"/>
  <c r="E817" i="5"/>
  <c r="I817" i="5" s="1"/>
  <c r="E795" i="5"/>
  <c r="I795" i="5" s="1"/>
  <c r="E733" i="5"/>
  <c r="I733" i="5" s="1"/>
  <c r="E668" i="5"/>
  <c r="I668" i="5" s="1"/>
  <c r="E581" i="5"/>
  <c r="I581" i="5" s="1"/>
  <c r="E499" i="5"/>
  <c r="I499" i="5" s="1"/>
  <c r="E412" i="5"/>
  <c r="I412" i="5" s="1"/>
  <c r="E325" i="5"/>
  <c r="I325" i="5" s="1"/>
  <c r="E243" i="5"/>
  <c r="I243" i="5" s="1"/>
  <c r="G493" i="1"/>
  <c r="H488" i="10" s="1"/>
  <c r="G469" i="1"/>
  <c r="H464" i="10" s="1"/>
  <c r="G445" i="1"/>
  <c r="H440" i="10" s="1"/>
  <c r="G421" i="1"/>
  <c r="H416" i="10" s="1"/>
  <c r="G381" i="1"/>
  <c r="H376" i="10" s="1"/>
  <c r="G333" i="1"/>
  <c r="H328" i="10" s="1"/>
  <c r="G301" i="1"/>
  <c r="H296" i="10" s="1"/>
  <c r="G285" i="1"/>
  <c r="H280" i="10" s="1"/>
  <c r="G253" i="1"/>
  <c r="H248" i="10" s="1"/>
  <c r="G213" i="1"/>
  <c r="H208" i="10" s="1"/>
  <c r="G189" i="1"/>
  <c r="H184" i="10" s="1"/>
  <c r="G165" i="1"/>
  <c r="H160" i="10" s="1"/>
  <c r="G141" i="1"/>
  <c r="H136" i="10" s="1"/>
  <c r="G125" i="1"/>
  <c r="H120" i="10" s="1"/>
  <c r="E628" i="5"/>
  <c r="I628" i="5" s="1"/>
  <c r="E194" i="5"/>
  <c r="I194" i="5" s="1"/>
  <c r="G77" i="1"/>
  <c r="H72" i="10" s="1"/>
  <c r="G45" i="1"/>
  <c r="H40" i="10" s="1"/>
  <c r="G492" i="1"/>
  <c r="H487" i="10" s="1"/>
  <c r="G460" i="1"/>
  <c r="H455" i="10" s="1"/>
  <c r="G436" i="1"/>
  <c r="H431" i="10" s="1"/>
  <c r="G404" i="1"/>
  <c r="H399" i="10" s="1"/>
  <c r="G380" i="1"/>
  <c r="H375" i="10" s="1"/>
  <c r="G348" i="1"/>
  <c r="H343" i="10" s="1"/>
  <c r="G324" i="1"/>
  <c r="H319" i="10" s="1"/>
  <c r="G300" i="1"/>
  <c r="H295" i="10" s="1"/>
  <c r="G276" i="1"/>
  <c r="H271" i="10" s="1"/>
  <c r="G260" i="1"/>
  <c r="H255" i="10" s="1"/>
  <c r="G236" i="1"/>
  <c r="H231" i="10" s="1"/>
  <c r="G212" i="1"/>
  <c r="H207" i="10" s="1"/>
  <c r="G188" i="1"/>
  <c r="H183" i="10" s="1"/>
  <c r="G164" i="1"/>
  <c r="H159" i="10" s="1"/>
  <c r="G140" i="1"/>
  <c r="H135" i="10" s="1"/>
  <c r="G124" i="1"/>
  <c r="H119" i="10" s="1"/>
  <c r="E772" i="5"/>
  <c r="I772" i="5" s="1"/>
  <c r="E371" i="5"/>
  <c r="I371" i="5" s="1"/>
  <c r="E826" i="5"/>
  <c r="I826" i="5" s="1"/>
  <c r="E605" i="5"/>
  <c r="I605" i="5" s="1"/>
  <c r="E816" i="5"/>
  <c r="I816" i="5" s="1"/>
  <c r="E786" i="5"/>
  <c r="I786" i="5" s="1"/>
  <c r="E732" i="5"/>
  <c r="I732" i="5" s="1"/>
  <c r="E651" i="5"/>
  <c r="I651" i="5" s="1"/>
  <c r="E564" i="5"/>
  <c r="I564" i="5" s="1"/>
  <c r="E477" i="5"/>
  <c r="I477" i="5" s="1"/>
  <c r="E395" i="5"/>
  <c r="I395" i="5" s="1"/>
  <c r="E308" i="5"/>
  <c r="I308" i="5" s="1"/>
  <c r="E221" i="5"/>
  <c r="I221" i="5" s="1"/>
  <c r="G103" i="1"/>
  <c r="H98" i="10" s="1"/>
  <c r="G95" i="1"/>
  <c r="H90" i="10" s="1"/>
  <c r="G87" i="1"/>
  <c r="H82" i="10" s="1"/>
  <c r="G79" i="1"/>
  <c r="H74" i="10" s="1"/>
  <c r="G71" i="1"/>
  <c r="H66" i="10" s="1"/>
  <c r="G63" i="1"/>
  <c r="H58" i="10" s="1"/>
  <c r="G55" i="1"/>
  <c r="H50" i="10" s="1"/>
  <c r="G47" i="1"/>
  <c r="H42" i="10" s="1"/>
  <c r="G39" i="1"/>
  <c r="H34" i="10" s="1"/>
  <c r="G31" i="1"/>
  <c r="H26" i="10" s="1"/>
  <c r="G502" i="1"/>
  <c r="H497" i="10" s="1"/>
  <c r="G494" i="1"/>
  <c r="H489" i="10" s="1"/>
  <c r="G486" i="1"/>
  <c r="H481" i="10" s="1"/>
  <c r="G478" i="1"/>
  <c r="H473" i="10" s="1"/>
  <c r="G470" i="1"/>
  <c r="H465" i="10" s="1"/>
  <c r="G462" i="1"/>
  <c r="H457" i="10" s="1"/>
  <c r="G454" i="1"/>
  <c r="H449" i="10" s="1"/>
  <c r="G446" i="1"/>
  <c r="H441" i="10" s="1"/>
  <c r="G438" i="1"/>
  <c r="H433" i="10" s="1"/>
  <c r="G430" i="1"/>
  <c r="H425" i="10" s="1"/>
  <c r="G422" i="1"/>
  <c r="H417" i="10" s="1"/>
  <c r="G406" i="1"/>
  <c r="H401" i="10" s="1"/>
  <c r="G398" i="1"/>
  <c r="H393" i="10" s="1"/>
  <c r="G390" i="1"/>
  <c r="H385" i="10" s="1"/>
  <c r="G382" i="1"/>
  <c r="H377" i="10" s="1"/>
  <c r="G374" i="1"/>
  <c r="H369" i="10" s="1"/>
  <c r="G358" i="1"/>
  <c r="H353" i="10" s="1"/>
  <c r="G350" i="1"/>
  <c r="H345" i="10" s="1"/>
  <c r="G342" i="1"/>
  <c r="H337" i="10" s="1"/>
  <c r="G334" i="1"/>
  <c r="H329" i="10" s="1"/>
  <c r="G326" i="1"/>
  <c r="H321" i="10" s="1"/>
  <c r="G318" i="1"/>
  <c r="H313" i="10" s="1"/>
  <c r="G310" i="1"/>
  <c r="H305" i="10" s="1"/>
  <c r="G302" i="1"/>
  <c r="H297" i="10" s="1"/>
  <c r="G294" i="1"/>
  <c r="H289" i="10" s="1"/>
  <c r="G286" i="1"/>
  <c r="H281" i="10" s="1"/>
  <c r="G278" i="1"/>
  <c r="H273" i="10" s="1"/>
  <c r="G270" i="1"/>
  <c r="H265" i="10" s="1"/>
  <c r="G262" i="1"/>
  <c r="H257" i="10" s="1"/>
  <c r="G254" i="1"/>
  <c r="H249" i="10" s="1"/>
  <c r="G246" i="1"/>
  <c r="H241" i="10" s="1"/>
  <c r="G238" i="1"/>
  <c r="H233" i="10" s="1"/>
  <c r="G214" i="1"/>
  <c r="H209" i="10" s="1"/>
  <c r="G206" i="1"/>
  <c r="H201" i="10" s="1"/>
  <c r="G198" i="1"/>
  <c r="H193" i="10" s="1"/>
  <c r="G190" i="1"/>
  <c r="H185" i="10" s="1"/>
  <c r="G182" i="1"/>
  <c r="H177" i="10" s="1"/>
  <c r="G174" i="1"/>
  <c r="H169" i="10" s="1"/>
  <c r="G166" i="1"/>
  <c r="H161" i="10" s="1"/>
  <c r="G158" i="1"/>
  <c r="H153" i="10" s="1"/>
  <c r="G150" i="1"/>
  <c r="H145" i="10" s="1"/>
  <c r="G142" i="1"/>
  <c r="H137" i="10" s="1"/>
  <c r="G134" i="1"/>
  <c r="H129" i="10" s="1"/>
  <c r="G126" i="1"/>
  <c r="H121" i="10" s="1"/>
  <c r="G118" i="1"/>
  <c r="H113" i="10" s="1"/>
  <c r="G110" i="1"/>
  <c r="H105" i="10" s="1"/>
  <c r="E815" i="5"/>
  <c r="I815" i="5" s="1"/>
  <c r="E785" i="5"/>
  <c r="I785" i="5" s="1"/>
  <c r="E715" i="5"/>
  <c r="I715" i="5" s="1"/>
  <c r="E645" i="5"/>
  <c r="I645" i="5" s="1"/>
  <c r="E563" i="5"/>
  <c r="I563" i="5" s="1"/>
  <c r="E476" i="5"/>
  <c r="I476" i="5" s="1"/>
  <c r="E389" i="5"/>
  <c r="I389" i="5" s="1"/>
  <c r="E307" i="5"/>
  <c r="I307" i="5" s="1"/>
  <c r="E220" i="5"/>
  <c r="I220" i="5" s="1"/>
  <c r="E539" i="5"/>
  <c r="I539" i="5" s="1"/>
  <c r="E475" i="5"/>
  <c r="I475" i="5" s="1"/>
  <c r="E429" i="5"/>
  <c r="I429" i="5" s="1"/>
  <c r="E388" i="5"/>
  <c r="I388" i="5" s="1"/>
  <c r="E324" i="5"/>
  <c r="I324" i="5" s="1"/>
  <c r="E301" i="5"/>
  <c r="I301" i="5" s="1"/>
  <c r="E237" i="5"/>
  <c r="I237" i="5" s="1"/>
  <c r="E219" i="5"/>
  <c r="I219" i="5" s="1"/>
  <c r="G84" i="1"/>
  <c r="H79" i="10" s="1"/>
  <c r="G60" i="1"/>
  <c r="H55" i="10" s="1"/>
  <c r="G36" i="1"/>
  <c r="H31" i="10" s="1"/>
  <c r="G499" i="1"/>
  <c r="H494" i="10" s="1"/>
  <c r="G475" i="1"/>
  <c r="H470" i="10" s="1"/>
  <c r="G443" i="1"/>
  <c r="H438" i="10" s="1"/>
  <c r="G411" i="1"/>
  <c r="H406" i="10" s="1"/>
  <c r="G371" i="1"/>
  <c r="H366" i="10" s="1"/>
  <c r="G339" i="1"/>
  <c r="H334" i="10" s="1"/>
  <c r="G315" i="1"/>
  <c r="H310" i="10" s="1"/>
  <c r="G283" i="1"/>
  <c r="H278" i="10" s="1"/>
  <c r="G259" i="1"/>
  <c r="H254" i="10" s="1"/>
  <c r="G219" i="1"/>
  <c r="H214" i="10" s="1"/>
  <c r="G139" i="1"/>
  <c r="H134" i="10" s="1"/>
  <c r="E813" i="5"/>
  <c r="I813" i="5" s="1"/>
  <c r="E794" i="5"/>
  <c r="I794" i="5" s="1"/>
  <c r="E725" i="5"/>
  <c r="I725" i="5" s="1"/>
  <c r="E643" i="5"/>
  <c r="I643" i="5" s="1"/>
  <c r="E597" i="5"/>
  <c r="I597" i="5" s="1"/>
  <c r="E515" i="5"/>
  <c r="I515" i="5" s="1"/>
  <c r="E469" i="5"/>
  <c r="I469" i="5" s="1"/>
  <c r="E387" i="5"/>
  <c r="I387" i="5" s="1"/>
  <c r="E300" i="5"/>
  <c r="I300" i="5" s="1"/>
  <c r="E259" i="5"/>
  <c r="I259" i="5" s="1"/>
  <c r="G99" i="1"/>
  <c r="H94" i="10" s="1"/>
  <c r="G91" i="1"/>
  <c r="H86" i="10" s="1"/>
  <c r="G83" i="1"/>
  <c r="H78" i="10" s="1"/>
  <c r="G75" i="1"/>
  <c r="H70" i="10" s="1"/>
  <c r="G67" i="1"/>
  <c r="H62" i="10" s="1"/>
  <c r="G59" i="1"/>
  <c r="H54" i="10" s="1"/>
  <c r="G51" i="1"/>
  <c r="H46" i="10" s="1"/>
  <c r="G43" i="1"/>
  <c r="H38" i="10" s="1"/>
  <c r="G35" i="1"/>
  <c r="H30" i="10" s="1"/>
  <c r="G498" i="1"/>
  <c r="H493" i="10" s="1"/>
  <c r="G490" i="1"/>
  <c r="H485" i="10" s="1"/>
  <c r="G482" i="1"/>
  <c r="H477" i="10" s="1"/>
  <c r="G474" i="1"/>
  <c r="H469" i="10" s="1"/>
  <c r="G466" i="1"/>
  <c r="H461" i="10" s="1"/>
  <c r="G458" i="1"/>
  <c r="H453" i="10" s="1"/>
  <c r="G450" i="1"/>
  <c r="H445" i="10" s="1"/>
  <c r="G442" i="1"/>
  <c r="H437" i="10" s="1"/>
  <c r="G434" i="1"/>
  <c r="H429" i="10" s="1"/>
  <c r="G426" i="1"/>
  <c r="H421" i="10" s="1"/>
  <c r="G418" i="1"/>
  <c r="H413" i="10" s="1"/>
  <c r="G410" i="1"/>
  <c r="H405" i="10" s="1"/>
  <c r="G402" i="1"/>
  <c r="H397" i="10" s="1"/>
  <c r="G394" i="1"/>
  <c r="H389" i="10" s="1"/>
  <c r="G386" i="1"/>
  <c r="H381" i="10" s="1"/>
  <c r="G378" i="1"/>
  <c r="H373" i="10" s="1"/>
  <c r="G370" i="1"/>
  <c r="H365" i="10" s="1"/>
  <c r="G362" i="1"/>
  <c r="H357" i="10" s="1"/>
  <c r="G354" i="1"/>
  <c r="H349" i="10" s="1"/>
  <c r="G346" i="1"/>
  <c r="H341" i="10" s="1"/>
  <c r="G338" i="1"/>
  <c r="H333" i="10" s="1"/>
  <c r="G330" i="1"/>
  <c r="H325" i="10" s="1"/>
  <c r="G322" i="1"/>
  <c r="H317" i="10" s="1"/>
  <c r="G314" i="1"/>
  <c r="H309" i="10" s="1"/>
  <c r="G306" i="1"/>
  <c r="H301" i="10" s="1"/>
  <c r="G298" i="1"/>
  <c r="H293" i="10" s="1"/>
  <c r="G290" i="1"/>
  <c r="H285" i="10" s="1"/>
  <c r="G282" i="1"/>
  <c r="H277" i="10" s="1"/>
  <c r="G274" i="1"/>
  <c r="H269" i="10" s="1"/>
  <c r="G266" i="1"/>
  <c r="H261" i="10" s="1"/>
  <c r="G258" i="1"/>
  <c r="H253" i="10" s="1"/>
  <c r="G250" i="1"/>
  <c r="H245" i="10" s="1"/>
  <c r="G242" i="1"/>
  <c r="H237" i="10" s="1"/>
  <c r="G234" i="1"/>
  <c r="H229" i="10" s="1"/>
  <c r="G226" i="1"/>
  <c r="H221" i="10" s="1"/>
  <c r="G218" i="1"/>
  <c r="H213" i="10" s="1"/>
  <c r="G210" i="1"/>
  <c r="H205" i="10" s="1"/>
  <c r="G202" i="1"/>
  <c r="H197" i="10" s="1"/>
  <c r="G194" i="1"/>
  <c r="H189" i="10" s="1"/>
  <c r="G186" i="1"/>
  <c r="H181" i="10" s="1"/>
  <c r="G178" i="1"/>
  <c r="H173" i="10" s="1"/>
  <c r="G170" i="1"/>
  <c r="H165" i="10" s="1"/>
  <c r="G162" i="1"/>
  <c r="H157" i="10" s="1"/>
  <c r="G154" i="1"/>
  <c r="H149" i="10" s="1"/>
  <c r="G146" i="1"/>
  <c r="H141" i="10" s="1"/>
  <c r="G138" i="1"/>
  <c r="H133" i="10" s="1"/>
  <c r="G130" i="1"/>
  <c r="H125" i="10" s="1"/>
  <c r="G122" i="1"/>
  <c r="H117" i="10" s="1"/>
  <c r="G114" i="1"/>
  <c r="H109" i="10" s="1"/>
  <c r="G106" i="1"/>
  <c r="H101" i="10" s="1"/>
  <c r="E831" i="5"/>
  <c r="I831" i="5" s="1"/>
  <c r="E821" i="5"/>
  <c r="I821" i="5" s="1"/>
  <c r="E812" i="5"/>
  <c r="I812" i="5" s="1"/>
  <c r="E803" i="5"/>
  <c r="I803" i="5" s="1"/>
  <c r="E793" i="5"/>
  <c r="I793" i="5" s="1"/>
  <c r="E779" i="5"/>
  <c r="I779" i="5" s="1"/>
  <c r="E765" i="5"/>
  <c r="I765" i="5" s="1"/>
  <c r="E747" i="5"/>
  <c r="I747" i="5" s="1"/>
  <c r="E724" i="5"/>
  <c r="I724" i="5" s="1"/>
  <c r="E701" i="5"/>
  <c r="I701" i="5" s="1"/>
  <c r="E683" i="5"/>
  <c r="I683" i="5" s="1"/>
  <c r="E660" i="5"/>
  <c r="I660" i="5" s="1"/>
  <c r="E637" i="5"/>
  <c r="I637" i="5" s="1"/>
  <c r="E619" i="5"/>
  <c r="I619" i="5" s="1"/>
  <c r="E596" i="5"/>
  <c r="I596" i="5" s="1"/>
  <c r="E573" i="5"/>
  <c r="I573" i="5" s="1"/>
  <c r="E555" i="5"/>
  <c r="I555" i="5" s="1"/>
  <c r="E532" i="5"/>
  <c r="I532" i="5" s="1"/>
  <c r="E509" i="5"/>
  <c r="I509" i="5" s="1"/>
  <c r="E491" i="5"/>
  <c r="I491" i="5" s="1"/>
  <c r="E468" i="5"/>
  <c r="I468" i="5" s="1"/>
  <c r="E445" i="5"/>
  <c r="I445" i="5" s="1"/>
  <c r="E427" i="5"/>
  <c r="I427" i="5" s="1"/>
  <c r="E404" i="5"/>
  <c r="I404" i="5" s="1"/>
  <c r="E381" i="5"/>
  <c r="I381" i="5" s="1"/>
  <c r="E363" i="5"/>
  <c r="I363" i="5" s="1"/>
  <c r="E340" i="5"/>
  <c r="I340" i="5" s="1"/>
  <c r="E317" i="5"/>
  <c r="I317" i="5" s="1"/>
  <c r="E299" i="5"/>
  <c r="I299" i="5" s="1"/>
  <c r="E276" i="5"/>
  <c r="I276" i="5" s="1"/>
  <c r="E253" i="5"/>
  <c r="I253" i="5" s="1"/>
  <c r="E235" i="5"/>
  <c r="I235" i="5" s="1"/>
  <c r="E212" i="5"/>
  <c r="I212" i="5" s="1"/>
  <c r="E116" i="5"/>
  <c r="I116" i="5" s="1"/>
  <c r="E411" i="5"/>
  <c r="I411" i="5" s="1"/>
  <c r="E347" i="5"/>
  <c r="I347" i="5" s="1"/>
  <c r="E283" i="5"/>
  <c r="I283" i="5" s="1"/>
  <c r="E44" i="5"/>
  <c r="I44" i="5" s="1"/>
  <c r="G92" i="1"/>
  <c r="H87" i="10" s="1"/>
  <c r="G68" i="1"/>
  <c r="H63" i="10" s="1"/>
  <c r="G44" i="1"/>
  <c r="H39" i="10" s="1"/>
  <c r="G483" i="1"/>
  <c r="H478" i="10" s="1"/>
  <c r="G459" i="1"/>
  <c r="H454" i="10" s="1"/>
  <c r="G427" i="1"/>
  <c r="H422" i="10" s="1"/>
  <c r="G395" i="1"/>
  <c r="H390" i="10" s="1"/>
  <c r="G355" i="1"/>
  <c r="H350" i="10" s="1"/>
  <c r="G323" i="1"/>
  <c r="H318" i="10" s="1"/>
  <c r="G291" i="1"/>
  <c r="H286" i="10" s="1"/>
  <c r="G243" i="1"/>
  <c r="H238" i="10" s="1"/>
  <c r="G211" i="1"/>
  <c r="H206" i="10" s="1"/>
  <c r="G187" i="1"/>
  <c r="H182" i="10" s="1"/>
  <c r="G163" i="1"/>
  <c r="H158" i="10" s="1"/>
  <c r="G115" i="1"/>
  <c r="H110" i="10" s="1"/>
  <c r="E832" i="5"/>
  <c r="I832" i="5" s="1"/>
  <c r="E748" i="5"/>
  <c r="I748" i="5" s="1"/>
  <c r="E684" i="5"/>
  <c r="I684" i="5" s="1"/>
  <c r="E556" i="5"/>
  <c r="I556" i="5" s="1"/>
  <c r="E451" i="5"/>
  <c r="I451" i="5" s="1"/>
  <c r="E341" i="5"/>
  <c r="I341" i="5" s="1"/>
  <c r="E164" i="5"/>
  <c r="I164" i="5" s="1"/>
  <c r="G90" i="1"/>
  <c r="H85" i="10" s="1"/>
  <c r="G74" i="1"/>
  <c r="H69" i="10" s="1"/>
  <c r="G66" i="1"/>
  <c r="H61" i="10" s="1"/>
  <c r="G58" i="1"/>
  <c r="H53" i="10" s="1"/>
  <c r="G50" i="1"/>
  <c r="H45" i="10" s="1"/>
  <c r="G42" i="1"/>
  <c r="H37" i="10" s="1"/>
  <c r="G34" i="1"/>
  <c r="H29" i="10" s="1"/>
  <c r="G497" i="1"/>
  <c r="H492" i="10" s="1"/>
  <c r="G489" i="1"/>
  <c r="H484" i="10" s="1"/>
  <c r="G481" i="1"/>
  <c r="H476" i="10" s="1"/>
  <c r="G473" i="1"/>
  <c r="H468" i="10" s="1"/>
  <c r="G465" i="1"/>
  <c r="H460" i="10" s="1"/>
  <c r="G457" i="1"/>
  <c r="H452" i="10" s="1"/>
  <c r="G449" i="1"/>
  <c r="H444" i="10" s="1"/>
  <c r="G441" i="1"/>
  <c r="H436" i="10" s="1"/>
  <c r="G433" i="1"/>
  <c r="H428" i="10" s="1"/>
  <c r="G425" i="1"/>
  <c r="H420" i="10" s="1"/>
  <c r="G417" i="1"/>
  <c r="H412" i="10" s="1"/>
  <c r="G409" i="1"/>
  <c r="H404" i="10" s="1"/>
  <c r="G401" i="1"/>
  <c r="H396" i="10" s="1"/>
  <c r="G393" i="1"/>
  <c r="H388" i="10" s="1"/>
  <c r="G385" i="1"/>
  <c r="H380" i="10" s="1"/>
  <c r="G377" i="1"/>
  <c r="H372" i="10" s="1"/>
  <c r="G369" i="1"/>
  <c r="H364" i="10" s="1"/>
  <c r="G361" i="1"/>
  <c r="H356" i="10" s="1"/>
  <c r="G353" i="1"/>
  <c r="H348" i="10" s="1"/>
  <c r="G345" i="1"/>
  <c r="H340" i="10" s="1"/>
  <c r="G337" i="1"/>
  <c r="H332" i="10" s="1"/>
  <c r="G329" i="1"/>
  <c r="H324" i="10" s="1"/>
  <c r="G321" i="1"/>
  <c r="H316" i="10" s="1"/>
  <c r="G313" i="1"/>
  <c r="H308" i="10" s="1"/>
  <c r="G305" i="1"/>
  <c r="H300" i="10" s="1"/>
  <c r="G297" i="1"/>
  <c r="H292" i="10" s="1"/>
  <c r="G289" i="1"/>
  <c r="H284" i="10" s="1"/>
  <c r="G281" i="1"/>
  <c r="H276" i="10" s="1"/>
  <c r="E829" i="5"/>
  <c r="I829" i="5" s="1"/>
  <c r="E820" i="5"/>
  <c r="I820" i="5" s="1"/>
  <c r="E811" i="5"/>
  <c r="I811" i="5" s="1"/>
  <c r="E802" i="5"/>
  <c r="I802" i="5" s="1"/>
  <c r="E789" i="5"/>
  <c r="I789" i="5" s="1"/>
  <c r="E778" i="5"/>
  <c r="I778" i="5" s="1"/>
  <c r="E764" i="5"/>
  <c r="I764" i="5" s="1"/>
  <c r="E741" i="5"/>
  <c r="I741" i="5" s="1"/>
  <c r="E723" i="5"/>
  <c r="I723" i="5" s="1"/>
  <c r="E700" i="5"/>
  <c r="I700" i="5" s="1"/>
  <c r="E677" i="5"/>
  <c r="I677" i="5" s="1"/>
  <c r="E659" i="5"/>
  <c r="I659" i="5" s="1"/>
  <c r="E636" i="5"/>
  <c r="I636" i="5" s="1"/>
  <c r="E613" i="5"/>
  <c r="I613" i="5" s="1"/>
  <c r="E595" i="5"/>
  <c r="I595" i="5" s="1"/>
  <c r="E572" i="5"/>
  <c r="I572" i="5" s="1"/>
  <c r="E549" i="5"/>
  <c r="I549" i="5" s="1"/>
  <c r="E531" i="5"/>
  <c r="I531" i="5" s="1"/>
  <c r="E508" i="5"/>
  <c r="I508" i="5" s="1"/>
  <c r="E485" i="5"/>
  <c r="I485" i="5" s="1"/>
  <c r="E467" i="5"/>
  <c r="I467" i="5" s="1"/>
  <c r="E444" i="5"/>
  <c r="I444" i="5" s="1"/>
  <c r="E421" i="5"/>
  <c r="I421" i="5" s="1"/>
  <c r="E403" i="5"/>
  <c r="I403" i="5" s="1"/>
  <c r="E380" i="5"/>
  <c r="I380" i="5" s="1"/>
  <c r="E357" i="5"/>
  <c r="I357" i="5" s="1"/>
  <c r="E339" i="5"/>
  <c r="I339" i="5" s="1"/>
  <c r="E316" i="5"/>
  <c r="I316" i="5" s="1"/>
  <c r="E293" i="5"/>
  <c r="I293" i="5" s="1"/>
  <c r="E275" i="5"/>
  <c r="I275" i="5" s="1"/>
  <c r="E252" i="5"/>
  <c r="I252" i="5" s="1"/>
  <c r="E229" i="5"/>
  <c r="I229" i="5" s="1"/>
  <c r="E211" i="5"/>
  <c r="I211" i="5" s="1"/>
  <c r="E108" i="5"/>
  <c r="I108" i="5" s="1"/>
  <c r="E493" i="5"/>
  <c r="I493" i="5" s="1"/>
  <c r="E452" i="5"/>
  <c r="I452" i="5" s="1"/>
  <c r="E365" i="5"/>
  <c r="I365" i="5" s="1"/>
  <c r="E260" i="5"/>
  <c r="I260" i="5" s="1"/>
  <c r="E171" i="5"/>
  <c r="I171" i="5" s="1"/>
  <c r="G100" i="1"/>
  <c r="H95" i="10" s="1"/>
  <c r="G76" i="1"/>
  <c r="H71" i="10" s="1"/>
  <c r="G52" i="1"/>
  <c r="H47" i="10" s="1"/>
  <c r="G491" i="1"/>
  <c r="H486" i="10" s="1"/>
  <c r="G451" i="1"/>
  <c r="H446" i="10" s="1"/>
  <c r="G403" i="1"/>
  <c r="H398" i="10" s="1"/>
  <c r="G379" i="1"/>
  <c r="H374" i="10" s="1"/>
  <c r="G347" i="1"/>
  <c r="H342" i="10" s="1"/>
  <c r="G307" i="1"/>
  <c r="H302" i="10" s="1"/>
  <c r="G267" i="1"/>
  <c r="H262" i="10" s="1"/>
  <c r="G235" i="1"/>
  <c r="H230" i="10" s="1"/>
  <c r="G203" i="1"/>
  <c r="H198" i="10" s="1"/>
  <c r="G179" i="1"/>
  <c r="H174" i="10" s="1"/>
  <c r="G155" i="1"/>
  <c r="H150" i="10" s="1"/>
  <c r="G123" i="1"/>
  <c r="H118" i="10" s="1"/>
  <c r="E823" i="5"/>
  <c r="I823" i="5" s="1"/>
  <c r="E769" i="5"/>
  <c r="I769" i="5" s="1"/>
  <c r="E661" i="5"/>
  <c r="I661" i="5" s="1"/>
  <c r="E533" i="5"/>
  <c r="I533" i="5" s="1"/>
  <c r="E405" i="5"/>
  <c r="I405" i="5" s="1"/>
  <c r="E323" i="5"/>
  <c r="I323" i="5" s="1"/>
  <c r="E213" i="5"/>
  <c r="I213" i="5" s="1"/>
  <c r="G98" i="1"/>
  <c r="H93" i="10" s="1"/>
  <c r="G89" i="1"/>
  <c r="H84" i="10" s="1"/>
  <c r="G65" i="1"/>
  <c r="H60" i="10" s="1"/>
  <c r="G41" i="1"/>
  <c r="H36" i="10" s="1"/>
  <c r="G504" i="1"/>
  <c r="H499" i="10" s="1"/>
  <c r="G480" i="1"/>
  <c r="H475" i="10" s="1"/>
  <c r="G464" i="1"/>
  <c r="H459" i="10" s="1"/>
  <c r="G440" i="1"/>
  <c r="H435" i="10" s="1"/>
  <c r="G424" i="1"/>
  <c r="H419" i="10" s="1"/>
  <c r="G392" i="1"/>
  <c r="H387" i="10" s="1"/>
  <c r="G376" i="1"/>
  <c r="H371" i="10" s="1"/>
  <c r="G352" i="1"/>
  <c r="H347" i="10" s="1"/>
  <c r="G336" i="1"/>
  <c r="H331" i="10" s="1"/>
  <c r="G312" i="1"/>
  <c r="H307" i="10" s="1"/>
  <c r="G288" i="1"/>
  <c r="H283" i="10" s="1"/>
  <c r="G272" i="1"/>
  <c r="H267" i="10" s="1"/>
  <c r="G256" i="1"/>
  <c r="H251" i="10" s="1"/>
  <c r="G240" i="1"/>
  <c r="H235" i="10" s="1"/>
  <c r="G224" i="1"/>
  <c r="H219" i="10" s="1"/>
  <c r="G216" i="1"/>
  <c r="H211" i="10" s="1"/>
  <c r="G208" i="1"/>
  <c r="H203" i="10" s="1"/>
  <c r="G192" i="1"/>
  <c r="H187" i="10" s="1"/>
  <c r="G184" i="1"/>
  <c r="H179" i="10" s="1"/>
  <c r="G176" i="1"/>
  <c r="H171" i="10" s="1"/>
  <c r="G168" i="1"/>
  <c r="H163" i="10" s="1"/>
  <c r="G160" i="1"/>
  <c r="H155" i="10" s="1"/>
  <c r="G152" i="1"/>
  <c r="H147" i="10" s="1"/>
  <c r="G144" i="1"/>
  <c r="H139" i="10" s="1"/>
  <c r="G136" i="1"/>
  <c r="H131" i="10" s="1"/>
  <c r="G128" i="1"/>
  <c r="H123" i="10" s="1"/>
  <c r="G120" i="1"/>
  <c r="H115" i="10" s="1"/>
  <c r="G112" i="1"/>
  <c r="H107" i="10" s="1"/>
  <c r="E828" i="5"/>
  <c r="I828" i="5" s="1"/>
  <c r="E819" i="5"/>
  <c r="I819" i="5" s="1"/>
  <c r="E810" i="5"/>
  <c r="I810" i="5" s="1"/>
  <c r="E801" i="5"/>
  <c r="I801" i="5" s="1"/>
  <c r="E788" i="5"/>
  <c r="I788" i="5" s="1"/>
  <c r="E777" i="5"/>
  <c r="I777" i="5" s="1"/>
  <c r="E763" i="5"/>
  <c r="I763" i="5" s="1"/>
  <c r="E740" i="5"/>
  <c r="I740" i="5" s="1"/>
  <c r="E717" i="5"/>
  <c r="I717" i="5" s="1"/>
  <c r="E699" i="5"/>
  <c r="I699" i="5" s="1"/>
  <c r="E676" i="5"/>
  <c r="I676" i="5" s="1"/>
  <c r="E653" i="5"/>
  <c r="I653" i="5" s="1"/>
  <c r="E635" i="5"/>
  <c r="I635" i="5" s="1"/>
  <c r="E612" i="5"/>
  <c r="I612" i="5" s="1"/>
  <c r="E589" i="5"/>
  <c r="I589" i="5" s="1"/>
  <c r="E571" i="5"/>
  <c r="I571" i="5" s="1"/>
  <c r="E548" i="5"/>
  <c r="I548" i="5" s="1"/>
  <c r="E525" i="5"/>
  <c r="I525" i="5" s="1"/>
  <c r="E507" i="5"/>
  <c r="I507" i="5" s="1"/>
  <c r="E484" i="5"/>
  <c r="I484" i="5" s="1"/>
  <c r="E461" i="5"/>
  <c r="I461" i="5" s="1"/>
  <c r="E443" i="5"/>
  <c r="I443" i="5" s="1"/>
  <c r="E420" i="5"/>
  <c r="I420" i="5" s="1"/>
  <c r="E397" i="5"/>
  <c r="I397" i="5" s="1"/>
  <c r="E379" i="5"/>
  <c r="I379" i="5" s="1"/>
  <c r="E356" i="5"/>
  <c r="I356" i="5" s="1"/>
  <c r="E333" i="5"/>
  <c r="I333" i="5" s="1"/>
  <c r="E315" i="5"/>
  <c r="I315" i="5" s="1"/>
  <c r="E292" i="5"/>
  <c r="I292" i="5" s="1"/>
  <c r="E269" i="5"/>
  <c r="I269" i="5" s="1"/>
  <c r="E251" i="5"/>
  <c r="I251" i="5" s="1"/>
  <c r="E228" i="5"/>
  <c r="I228" i="5" s="1"/>
  <c r="E196" i="5"/>
  <c r="I196" i="5" s="1"/>
  <c r="G28" i="1"/>
  <c r="H23" i="10" s="1"/>
  <c r="E13" i="5"/>
  <c r="I13" i="5" s="1"/>
  <c r="E21" i="5"/>
  <c r="I21" i="5" s="1"/>
  <c r="E29" i="5"/>
  <c r="I29" i="5" s="1"/>
  <c r="E37" i="5"/>
  <c r="I37" i="5" s="1"/>
  <c r="E45" i="5"/>
  <c r="I45" i="5" s="1"/>
  <c r="E53" i="5"/>
  <c r="I53" i="5" s="1"/>
  <c r="E61" i="5"/>
  <c r="I61" i="5" s="1"/>
  <c r="E69" i="5"/>
  <c r="I69" i="5" s="1"/>
  <c r="E77" i="5"/>
  <c r="I77" i="5" s="1"/>
  <c r="E85" i="5"/>
  <c r="I85" i="5" s="1"/>
  <c r="E93" i="5"/>
  <c r="I93" i="5" s="1"/>
  <c r="E101" i="5"/>
  <c r="I101" i="5" s="1"/>
  <c r="E109" i="5"/>
  <c r="I109" i="5" s="1"/>
  <c r="E117" i="5"/>
  <c r="I117" i="5" s="1"/>
  <c r="E125" i="5"/>
  <c r="I125" i="5" s="1"/>
  <c r="E133" i="5"/>
  <c r="I133" i="5" s="1"/>
  <c r="E141" i="5"/>
  <c r="I141" i="5" s="1"/>
  <c r="E149" i="5"/>
  <c r="I149" i="5" s="1"/>
  <c r="E157" i="5"/>
  <c r="I157" i="5" s="1"/>
  <c r="E165" i="5"/>
  <c r="I165" i="5" s="1"/>
  <c r="E173" i="5"/>
  <c r="I173" i="5" s="1"/>
  <c r="E181" i="5"/>
  <c r="I181" i="5" s="1"/>
  <c r="E189" i="5"/>
  <c r="I189" i="5" s="1"/>
  <c r="E197" i="5"/>
  <c r="I197" i="5" s="1"/>
  <c r="E205" i="5"/>
  <c r="I205" i="5" s="1"/>
  <c r="E14" i="5"/>
  <c r="I14" i="5" s="1"/>
  <c r="E22" i="5"/>
  <c r="I22" i="5" s="1"/>
  <c r="E30" i="5"/>
  <c r="I30" i="5" s="1"/>
  <c r="E38" i="5"/>
  <c r="I38" i="5" s="1"/>
  <c r="E46" i="5"/>
  <c r="I46" i="5" s="1"/>
  <c r="E54" i="5"/>
  <c r="I54" i="5" s="1"/>
  <c r="E62" i="5"/>
  <c r="I62" i="5" s="1"/>
  <c r="E70" i="5"/>
  <c r="I70" i="5" s="1"/>
  <c r="E78" i="5"/>
  <c r="I78" i="5" s="1"/>
  <c r="E86" i="5"/>
  <c r="I86" i="5" s="1"/>
  <c r="E94" i="5"/>
  <c r="I94" i="5" s="1"/>
  <c r="E102" i="5"/>
  <c r="I102" i="5" s="1"/>
  <c r="E110" i="5"/>
  <c r="I110" i="5" s="1"/>
  <c r="E118" i="5"/>
  <c r="I118" i="5" s="1"/>
  <c r="E126" i="5"/>
  <c r="I126" i="5" s="1"/>
  <c r="E134" i="5"/>
  <c r="I134" i="5" s="1"/>
  <c r="E142" i="5"/>
  <c r="I142" i="5" s="1"/>
  <c r="E150" i="5"/>
  <c r="I150" i="5" s="1"/>
  <c r="E158" i="5"/>
  <c r="I158" i="5" s="1"/>
  <c r="E166" i="5"/>
  <c r="I166" i="5" s="1"/>
  <c r="E174" i="5"/>
  <c r="I174" i="5" s="1"/>
  <c r="E182" i="5"/>
  <c r="I182" i="5" s="1"/>
  <c r="E190" i="5"/>
  <c r="I190" i="5" s="1"/>
  <c r="E198" i="5"/>
  <c r="I198" i="5" s="1"/>
  <c r="E206" i="5"/>
  <c r="I206" i="5" s="1"/>
  <c r="E7" i="5"/>
  <c r="I7" i="5" s="1"/>
  <c r="E15" i="5"/>
  <c r="I15" i="5" s="1"/>
  <c r="E23" i="5"/>
  <c r="I23" i="5" s="1"/>
  <c r="E31" i="5"/>
  <c r="I31" i="5" s="1"/>
  <c r="E39" i="5"/>
  <c r="I39" i="5" s="1"/>
  <c r="E47" i="5"/>
  <c r="I47" i="5" s="1"/>
  <c r="E55" i="5"/>
  <c r="I55" i="5" s="1"/>
  <c r="E63" i="5"/>
  <c r="I63" i="5" s="1"/>
  <c r="E71" i="5"/>
  <c r="I71" i="5" s="1"/>
  <c r="E79" i="5"/>
  <c r="I79" i="5" s="1"/>
  <c r="E87" i="5"/>
  <c r="I87" i="5" s="1"/>
  <c r="E95" i="5"/>
  <c r="I95" i="5" s="1"/>
  <c r="E103" i="5"/>
  <c r="I103" i="5" s="1"/>
  <c r="E111" i="5"/>
  <c r="I111" i="5" s="1"/>
  <c r="E119" i="5"/>
  <c r="I119" i="5" s="1"/>
  <c r="E127" i="5"/>
  <c r="I127" i="5" s="1"/>
  <c r="E135" i="5"/>
  <c r="I135" i="5" s="1"/>
  <c r="E143" i="5"/>
  <c r="I143" i="5" s="1"/>
  <c r="E151" i="5"/>
  <c r="I151" i="5" s="1"/>
  <c r="E159" i="5"/>
  <c r="I159" i="5" s="1"/>
  <c r="E167" i="5"/>
  <c r="I167" i="5" s="1"/>
  <c r="E175" i="5"/>
  <c r="I175" i="5" s="1"/>
  <c r="E183" i="5"/>
  <c r="I183" i="5" s="1"/>
  <c r="E191" i="5"/>
  <c r="I191" i="5" s="1"/>
  <c r="E199" i="5"/>
  <c r="I199" i="5" s="1"/>
  <c r="E207" i="5"/>
  <c r="I207" i="5" s="1"/>
  <c r="E8" i="5"/>
  <c r="I8" i="5" s="1"/>
  <c r="E16" i="5"/>
  <c r="I16" i="5" s="1"/>
  <c r="E24" i="5"/>
  <c r="I24" i="5" s="1"/>
  <c r="E32" i="5"/>
  <c r="I32" i="5" s="1"/>
  <c r="E40" i="5"/>
  <c r="I40" i="5" s="1"/>
  <c r="E48" i="5"/>
  <c r="I48" i="5" s="1"/>
  <c r="E56" i="5"/>
  <c r="I56" i="5" s="1"/>
  <c r="E64" i="5"/>
  <c r="I64" i="5" s="1"/>
  <c r="E72" i="5"/>
  <c r="I72" i="5" s="1"/>
  <c r="E80" i="5"/>
  <c r="I80" i="5" s="1"/>
  <c r="E88" i="5"/>
  <c r="I88" i="5" s="1"/>
  <c r="E96" i="5"/>
  <c r="I96" i="5" s="1"/>
  <c r="E104" i="5"/>
  <c r="I104" i="5" s="1"/>
  <c r="E112" i="5"/>
  <c r="I112" i="5" s="1"/>
  <c r="E120" i="5"/>
  <c r="I120" i="5" s="1"/>
  <c r="E128" i="5"/>
  <c r="I128" i="5" s="1"/>
  <c r="E136" i="5"/>
  <c r="I136" i="5" s="1"/>
  <c r="E144" i="5"/>
  <c r="I144" i="5" s="1"/>
  <c r="E152" i="5"/>
  <c r="I152" i="5" s="1"/>
  <c r="E160" i="5"/>
  <c r="I160" i="5" s="1"/>
  <c r="E168" i="5"/>
  <c r="I168" i="5" s="1"/>
  <c r="E176" i="5"/>
  <c r="I176" i="5" s="1"/>
  <c r="E184" i="5"/>
  <c r="I184" i="5" s="1"/>
  <c r="E192" i="5"/>
  <c r="I192" i="5" s="1"/>
  <c r="E200" i="5"/>
  <c r="I200" i="5" s="1"/>
  <c r="E208" i="5"/>
  <c r="I208" i="5" s="1"/>
  <c r="E9" i="5"/>
  <c r="I9" i="5" s="1"/>
  <c r="E17" i="5"/>
  <c r="I17" i="5" s="1"/>
  <c r="E25" i="5"/>
  <c r="I25" i="5" s="1"/>
  <c r="E33" i="5"/>
  <c r="I33" i="5" s="1"/>
  <c r="E41" i="5"/>
  <c r="I41" i="5" s="1"/>
  <c r="E49" i="5"/>
  <c r="I49" i="5" s="1"/>
  <c r="E57" i="5"/>
  <c r="I57" i="5" s="1"/>
  <c r="E65" i="5"/>
  <c r="I65" i="5" s="1"/>
  <c r="E73" i="5"/>
  <c r="I73" i="5" s="1"/>
  <c r="E81" i="5"/>
  <c r="I81" i="5" s="1"/>
  <c r="E89" i="5"/>
  <c r="I89" i="5" s="1"/>
  <c r="E97" i="5"/>
  <c r="I97" i="5" s="1"/>
  <c r="E105" i="5"/>
  <c r="I105" i="5" s="1"/>
  <c r="E113" i="5"/>
  <c r="I113" i="5" s="1"/>
  <c r="E121" i="5"/>
  <c r="I121" i="5" s="1"/>
  <c r="E129" i="5"/>
  <c r="I129" i="5" s="1"/>
  <c r="E137" i="5"/>
  <c r="I137" i="5" s="1"/>
  <c r="E145" i="5"/>
  <c r="I145" i="5" s="1"/>
  <c r="E153" i="5"/>
  <c r="I153" i="5" s="1"/>
  <c r="E161" i="5"/>
  <c r="I161" i="5" s="1"/>
  <c r="E169" i="5"/>
  <c r="I169" i="5" s="1"/>
  <c r="E177" i="5"/>
  <c r="I177" i="5" s="1"/>
  <c r="E185" i="5"/>
  <c r="I185" i="5" s="1"/>
  <c r="E193" i="5"/>
  <c r="I193" i="5" s="1"/>
  <c r="E201" i="5"/>
  <c r="I201" i="5" s="1"/>
  <c r="E10" i="5"/>
  <c r="I10" i="5" s="1"/>
  <c r="E18" i="5"/>
  <c r="I18" i="5" s="1"/>
  <c r="E26" i="5"/>
  <c r="I26" i="5" s="1"/>
  <c r="E34" i="5"/>
  <c r="I34" i="5" s="1"/>
  <c r="E42" i="5"/>
  <c r="I42" i="5" s="1"/>
  <c r="E50" i="5"/>
  <c r="I50" i="5" s="1"/>
  <c r="E58" i="5"/>
  <c r="I58" i="5" s="1"/>
  <c r="E66" i="5"/>
  <c r="I66" i="5" s="1"/>
  <c r="E74" i="5"/>
  <c r="I74" i="5" s="1"/>
  <c r="E82" i="5"/>
  <c r="I82" i="5" s="1"/>
  <c r="E90" i="5"/>
  <c r="I90" i="5" s="1"/>
  <c r="E98" i="5"/>
  <c r="I98" i="5" s="1"/>
  <c r="E106" i="5"/>
  <c r="I106" i="5" s="1"/>
  <c r="E114" i="5"/>
  <c r="I114" i="5" s="1"/>
  <c r="E122" i="5"/>
  <c r="I122" i="5" s="1"/>
  <c r="E130" i="5"/>
  <c r="I130" i="5" s="1"/>
  <c r="E138" i="5"/>
  <c r="I138" i="5" s="1"/>
  <c r="E146" i="5"/>
  <c r="I146" i="5" s="1"/>
  <c r="E154" i="5"/>
  <c r="I154" i="5" s="1"/>
  <c r="E162" i="5"/>
  <c r="I162" i="5" s="1"/>
  <c r="E170" i="5"/>
  <c r="I170" i="5" s="1"/>
  <c r="E178" i="5"/>
  <c r="I178" i="5" s="1"/>
  <c r="E11" i="5"/>
  <c r="I11" i="5" s="1"/>
  <c r="E19" i="5"/>
  <c r="I19" i="5" s="1"/>
  <c r="E27" i="5"/>
  <c r="I27" i="5" s="1"/>
  <c r="E35" i="5"/>
  <c r="I35" i="5" s="1"/>
  <c r="E43" i="5"/>
  <c r="I43" i="5" s="1"/>
  <c r="E51" i="5"/>
  <c r="I51" i="5" s="1"/>
  <c r="E59" i="5"/>
  <c r="I59" i="5" s="1"/>
  <c r="E67" i="5"/>
  <c r="I67" i="5" s="1"/>
  <c r="E75" i="5"/>
  <c r="I75" i="5" s="1"/>
  <c r="E91" i="5"/>
  <c r="I91" i="5" s="1"/>
  <c r="E99" i="5"/>
  <c r="I99" i="5" s="1"/>
  <c r="E107" i="5"/>
  <c r="I107" i="5" s="1"/>
  <c r="E115" i="5"/>
  <c r="I115" i="5" s="1"/>
  <c r="E123" i="5"/>
  <c r="I123" i="5" s="1"/>
  <c r="E131" i="5"/>
  <c r="I131" i="5" s="1"/>
  <c r="E139" i="5"/>
  <c r="I139" i="5" s="1"/>
  <c r="E147" i="5"/>
  <c r="I147" i="5" s="1"/>
  <c r="E155" i="5"/>
  <c r="I155" i="5" s="1"/>
  <c r="E163" i="5"/>
  <c r="I163" i="5" s="1"/>
  <c r="E68" i="5"/>
  <c r="I68" i="5" s="1"/>
  <c r="E124" i="5"/>
  <c r="I124" i="5" s="1"/>
  <c r="E179" i="5"/>
  <c r="I179" i="5" s="1"/>
  <c r="E202" i="5"/>
  <c r="I202" i="5" s="1"/>
  <c r="E214" i="5"/>
  <c r="I214" i="5" s="1"/>
  <c r="E222" i="5"/>
  <c r="I222" i="5" s="1"/>
  <c r="E230" i="5"/>
  <c r="I230" i="5" s="1"/>
  <c r="E238" i="5"/>
  <c r="I238" i="5" s="1"/>
  <c r="E246" i="5"/>
  <c r="I246" i="5" s="1"/>
  <c r="E254" i="5"/>
  <c r="I254" i="5" s="1"/>
  <c r="E262" i="5"/>
  <c r="I262" i="5" s="1"/>
  <c r="E270" i="5"/>
  <c r="I270" i="5" s="1"/>
  <c r="E278" i="5"/>
  <c r="I278" i="5" s="1"/>
  <c r="E286" i="5"/>
  <c r="I286" i="5" s="1"/>
  <c r="E294" i="5"/>
  <c r="I294" i="5" s="1"/>
  <c r="E302" i="5"/>
  <c r="I302" i="5" s="1"/>
  <c r="E310" i="5"/>
  <c r="I310" i="5" s="1"/>
  <c r="E318" i="5"/>
  <c r="I318" i="5" s="1"/>
  <c r="E326" i="5"/>
  <c r="I326" i="5" s="1"/>
  <c r="E334" i="5"/>
  <c r="I334" i="5" s="1"/>
  <c r="E342" i="5"/>
  <c r="I342" i="5" s="1"/>
  <c r="E350" i="5"/>
  <c r="I350" i="5" s="1"/>
  <c r="E358" i="5"/>
  <c r="I358" i="5" s="1"/>
  <c r="E366" i="5"/>
  <c r="I366" i="5" s="1"/>
  <c r="E374" i="5"/>
  <c r="I374" i="5" s="1"/>
  <c r="E382" i="5"/>
  <c r="I382" i="5" s="1"/>
  <c r="E390" i="5"/>
  <c r="I390" i="5" s="1"/>
  <c r="E398" i="5"/>
  <c r="I398" i="5" s="1"/>
  <c r="E406" i="5"/>
  <c r="I406" i="5" s="1"/>
  <c r="E414" i="5"/>
  <c r="I414" i="5" s="1"/>
  <c r="E422" i="5"/>
  <c r="I422" i="5" s="1"/>
  <c r="E430" i="5"/>
  <c r="I430" i="5" s="1"/>
  <c r="E438" i="5"/>
  <c r="I438" i="5" s="1"/>
  <c r="E446" i="5"/>
  <c r="I446" i="5" s="1"/>
  <c r="E454" i="5"/>
  <c r="I454" i="5" s="1"/>
  <c r="E462" i="5"/>
  <c r="I462" i="5" s="1"/>
  <c r="E470" i="5"/>
  <c r="I470" i="5" s="1"/>
  <c r="E478" i="5"/>
  <c r="I478" i="5" s="1"/>
  <c r="E486" i="5"/>
  <c r="I486" i="5" s="1"/>
  <c r="E494" i="5"/>
  <c r="I494" i="5" s="1"/>
  <c r="E502" i="5"/>
  <c r="I502" i="5" s="1"/>
  <c r="E510" i="5"/>
  <c r="I510" i="5" s="1"/>
  <c r="E518" i="5"/>
  <c r="I518" i="5" s="1"/>
  <c r="E526" i="5"/>
  <c r="I526" i="5" s="1"/>
  <c r="E534" i="5"/>
  <c r="I534" i="5" s="1"/>
  <c r="E542" i="5"/>
  <c r="I542" i="5" s="1"/>
  <c r="E550" i="5"/>
  <c r="I550" i="5" s="1"/>
  <c r="E558" i="5"/>
  <c r="I558" i="5" s="1"/>
  <c r="E566" i="5"/>
  <c r="I566" i="5" s="1"/>
  <c r="E574" i="5"/>
  <c r="I574" i="5" s="1"/>
  <c r="E582" i="5"/>
  <c r="I582" i="5" s="1"/>
  <c r="E590" i="5"/>
  <c r="I590" i="5" s="1"/>
  <c r="E598" i="5"/>
  <c r="I598" i="5" s="1"/>
  <c r="E606" i="5"/>
  <c r="I606" i="5" s="1"/>
  <c r="E614" i="5"/>
  <c r="I614" i="5" s="1"/>
  <c r="E622" i="5"/>
  <c r="I622" i="5" s="1"/>
  <c r="E630" i="5"/>
  <c r="I630" i="5" s="1"/>
  <c r="E638" i="5"/>
  <c r="I638" i="5" s="1"/>
  <c r="E646" i="5"/>
  <c r="I646" i="5" s="1"/>
  <c r="E654" i="5"/>
  <c r="I654" i="5" s="1"/>
  <c r="E662" i="5"/>
  <c r="I662" i="5" s="1"/>
  <c r="E670" i="5"/>
  <c r="I670" i="5" s="1"/>
  <c r="E678" i="5"/>
  <c r="I678" i="5" s="1"/>
  <c r="E686" i="5"/>
  <c r="I686" i="5" s="1"/>
  <c r="E694" i="5"/>
  <c r="I694" i="5" s="1"/>
  <c r="E702" i="5"/>
  <c r="I702" i="5" s="1"/>
  <c r="E710" i="5"/>
  <c r="I710" i="5" s="1"/>
  <c r="E718" i="5"/>
  <c r="I718" i="5" s="1"/>
  <c r="E726" i="5"/>
  <c r="I726" i="5" s="1"/>
  <c r="E734" i="5"/>
  <c r="I734" i="5" s="1"/>
  <c r="E742" i="5"/>
  <c r="I742" i="5" s="1"/>
  <c r="E750" i="5"/>
  <c r="I750" i="5" s="1"/>
  <c r="E758" i="5"/>
  <c r="I758" i="5" s="1"/>
  <c r="E766" i="5"/>
  <c r="I766" i="5" s="1"/>
  <c r="E774" i="5"/>
  <c r="I774" i="5" s="1"/>
  <c r="E782" i="5"/>
  <c r="I782" i="5" s="1"/>
  <c r="E790" i="5"/>
  <c r="I790" i="5" s="1"/>
  <c r="E798" i="5"/>
  <c r="I798" i="5" s="1"/>
  <c r="E806" i="5"/>
  <c r="I806" i="5" s="1"/>
  <c r="E814" i="5"/>
  <c r="I814" i="5" s="1"/>
  <c r="E822" i="5"/>
  <c r="I822" i="5" s="1"/>
  <c r="E830" i="5"/>
  <c r="I830" i="5" s="1"/>
  <c r="E12" i="5"/>
  <c r="I12" i="5" s="1"/>
  <c r="E76" i="5"/>
  <c r="I76" i="5" s="1"/>
  <c r="E132" i="5"/>
  <c r="I132" i="5" s="1"/>
  <c r="E180" i="5"/>
  <c r="I180" i="5" s="1"/>
  <c r="E203" i="5"/>
  <c r="I203" i="5" s="1"/>
  <c r="E215" i="5"/>
  <c r="I215" i="5" s="1"/>
  <c r="E223" i="5"/>
  <c r="I223" i="5" s="1"/>
  <c r="E231" i="5"/>
  <c r="I231" i="5" s="1"/>
  <c r="E239" i="5"/>
  <c r="I239" i="5" s="1"/>
  <c r="E247" i="5"/>
  <c r="I247" i="5" s="1"/>
  <c r="E255" i="5"/>
  <c r="I255" i="5" s="1"/>
  <c r="E263" i="5"/>
  <c r="I263" i="5" s="1"/>
  <c r="E271" i="5"/>
  <c r="I271" i="5" s="1"/>
  <c r="E279" i="5"/>
  <c r="I279" i="5" s="1"/>
  <c r="E287" i="5"/>
  <c r="I287" i="5" s="1"/>
  <c r="E295" i="5"/>
  <c r="I295" i="5" s="1"/>
  <c r="E303" i="5"/>
  <c r="I303" i="5" s="1"/>
  <c r="E311" i="5"/>
  <c r="I311" i="5" s="1"/>
  <c r="E319" i="5"/>
  <c r="I319" i="5" s="1"/>
  <c r="E327" i="5"/>
  <c r="I327" i="5" s="1"/>
  <c r="E335" i="5"/>
  <c r="I335" i="5" s="1"/>
  <c r="E343" i="5"/>
  <c r="I343" i="5" s="1"/>
  <c r="E351" i="5"/>
  <c r="I351" i="5" s="1"/>
  <c r="E359" i="5"/>
  <c r="I359" i="5" s="1"/>
  <c r="E367" i="5"/>
  <c r="I367" i="5" s="1"/>
  <c r="E375" i="5"/>
  <c r="I375" i="5" s="1"/>
  <c r="E383" i="5"/>
  <c r="I383" i="5" s="1"/>
  <c r="E391" i="5"/>
  <c r="I391" i="5" s="1"/>
  <c r="E399" i="5"/>
  <c r="I399" i="5" s="1"/>
  <c r="E407" i="5"/>
  <c r="I407" i="5" s="1"/>
  <c r="E415" i="5"/>
  <c r="I415" i="5" s="1"/>
  <c r="E423" i="5"/>
  <c r="I423" i="5" s="1"/>
  <c r="E431" i="5"/>
  <c r="I431" i="5" s="1"/>
  <c r="E439" i="5"/>
  <c r="I439" i="5" s="1"/>
  <c r="E447" i="5"/>
  <c r="I447" i="5" s="1"/>
  <c r="E455" i="5"/>
  <c r="I455" i="5" s="1"/>
  <c r="E463" i="5"/>
  <c r="I463" i="5" s="1"/>
  <c r="E471" i="5"/>
  <c r="I471" i="5" s="1"/>
  <c r="E479" i="5"/>
  <c r="I479" i="5" s="1"/>
  <c r="E487" i="5"/>
  <c r="I487" i="5" s="1"/>
  <c r="E495" i="5"/>
  <c r="I495" i="5" s="1"/>
  <c r="E503" i="5"/>
  <c r="I503" i="5" s="1"/>
  <c r="E511" i="5"/>
  <c r="I511" i="5" s="1"/>
  <c r="E519" i="5"/>
  <c r="I519" i="5" s="1"/>
  <c r="E527" i="5"/>
  <c r="I527" i="5" s="1"/>
  <c r="E535" i="5"/>
  <c r="I535" i="5" s="1"/>
  <c r="E543" i="5"/>
  <c r="I543" i="5" s="1"/>
  <c r="E551" i="5"/>
  <c r="I551" i="5" s="1"/>
  <c r="E559" i="5"/>
  <c r="I559" i="5" s="1"/>
  <c r="E567" i="5"/>
  <c r="I567" i="5" s="1"/>
  <c r="E575" i="5"/>
  <c r="I575" i="5" s="1"/>
  <c r="E583" i="5"/>
  <c r="I583" i="5" s="1"/>
  <c r="E591" i="5"/>
  <c r="I591" i="5" s="1"/>
  <c r="E599" i="5"/>
  <c r="I599" i="5" s="1"/>
  <c r="E607" i="5"/>
  <c r="I607" i="5" s="1"/>
  <c r="E615" i="5"/>
  <c r="I615" i="5" s="1"/>
  <c r="E623" i="5"/>
  <c r="I623" i="5" s="1"/>
  <c r="E631" i="5"/>
  <c r="I631" i="5" s="1"/>
  <c r="E639" i="5"/>
  <c r="I639" i="5" s="1"/>
  <c r="E647" i="5"/>
  <c r="I647" i="5" s="1"/>
  <c r="E655" i="5"/>
  <c r="I655" i="5" s="1"/>
  <c r="E663" i="5"/>
  <c r="I663" i="5" s="1"/>
  <c r="E671" i="5"/>
  <c r="I671" i="5" s="1"/>
  <c r="E679" i="5"/>
  <c r="I679" i="5" s="1"/>
  <c r="E687" i="5"/>
  <c r="I687" i="5" s="1"/>
  <c r="E695" i="5"/>
  <c r="I695" i="5" s="1"/>
  <c r="E703" i="5"/>
  <c r="I703" i="5" s="1"/>
  <c r="E711" i="5"/>
  <c r="I711" i="5" s="1"/>
  <c r="E719" i="5"/>
  <c r="I719" i="5" s="1"/>
  <c r="E727" i="5"/>
  <c r="I727" i="5" s="1"/>
  <c r="E735" i="5"/>
  <c r="I735" i="5" s="1"/>
  <c r="E743" i="5"/>
  <c r="I743" i="5" s="1"/>
  <c r="E751" i="5"/>
  <c r="I751" i="5" s="1"/>
  <c r="E759" i="5"/>
  <c r="I759" i="5" s="1"/>
  <c r="E767" i="5"/>
  <c r="I767" i="5" s="1"/>
  <c r="E775" i="5"/>
  <c r="I775" i="5" s="1"/>
  <c r="E783" i="5"/>
  <c r="I783" i="5" s="1"/>
  <c r="E791" i="5"/>
  <c r="I791" i="5" s="1"/>
  <c r="E20" i="5"/>
  <c r="I20" i="5" s="1"/>
  <c r="E140" i="5"/>
  <c r="I140" i="5" s="1"/>
  <c r="E186" i="5"/>
  <c r="I186" i="5" s="1"/>
  <c r="E204" i="5"/>
  <c r="I204" i="5" s="1"/>
  <c r="E216" i="5"/>
  <c r="I216" i="5" s="1"/>
  <c r="E224" i="5"/>
  <c r="I224" i="5" s="1"/>
  <c r="E232" i="5"/>
  <c r="I232" i="5" s="1"/>
  <c r="E240" i="5"/>
  <c r="I240" i="5" s="1"/>
  <c r="E248" i="5"/>
  <c r="I248" i="5" s="1"/>
  <c r="E256" i="5"/>
  <c r="I256" i="5" s="1"/>
  <c r="E264" i="5"/>
  <c r="I264" i="5" s="1"/>
  <c r="E272" i="5"/>
  <c r="I272" i="5" s="1"/>
  <c r="E280" i="5"/>
  <c r="I280" i="5" s="1"/>
  <c r="E288" i="5"/>
  <c r="I288" i="5" s="1"/>
  <c r="E296" i="5"/>
  <c r="I296" i="5" s="1"/>
  <c r="E304" i="5"/>
  <c r="I304" i="5" s="1"/>
  <c r="E312" i="5"/>
  <c r="I312" i="5" s="1"/>
  <c r="E320" i="5"/>
  <c r="I320" i="5" s="1"/>
  <c r="E328" i="5"/>
  <c r="I328" i="5" s="1"/>
  <c r="E336" i="5"/>
  <c r="I336" i="5" s="1"/>
  <c r="E344" i="5"/>
  <c r="I344" i="5" s="1"/>
  <c r="E352" i="5"/>
  <c r="I352" i="5" s="1"/>
  <c r="E360" i="5"/>
  <c r="I360" i="5" s="1"/>
  <c r="E368" i="5"/>
  <c r="I368" i="5" s="1"/>
  <c r="E376" i="5"/>
  <c r="I376" i="5" s="1"/>
  <c r="E384" i="5"/>
  <c r="I384" i="5" s="1"/>
  <c r="E392" i="5"/>
  <c r="I392" i="5" s="1"/>
  <c r="E400" i="5"/>
  <c r="I400" i="5" s="1"/>
  <c r="E408" i="5"/>
  <c r="I408" i="5" s="1"/>
  <c r="E416" i="5"/>
  <c r="I416" i="5" s="1"/>
  <c r="E424" i="5"/>
  <c r="I424" i="5" s="1"/>
  <c r="E432" i="5"/>
  <c r="I432" i="5" s="1"/>
  <c r="E440" i="5"/>
  <c r="I440" i="5" s="1"/>
  <c r="E448" i="5"/>
  <c r="I448" i="5" s="1"/>
  <c r="E456" i="5"/>
  <c r="I456" i="5" s="1"/>
  <c r="E464" i="5"/>
  <c r="I464" i="5" s="1"/>
  <c r="E472" i="5"/>
  <c r="I472" i="5" s="1"/>
  <c r="E480" i="5"/>
  <c r="I480" i="5" s="1"/>
  <c r="E488" i="5"/>
  <c r="I488" i="5" s="1"/>
  <c r="E496" i="5"/>
  <c r="I496" i="5" s="1"/>
  <c r="E504" i="5"/>
  <c r="I504" i="5" s="1"/>
  <c r="E512" i="5"/>
  <c r="I512" i="5" s="1"/>
  <c r="E520" i="5"/>
  <c r="I520" i="5" s="1"/>
  <c r="E528" i="5"/>
  <c r="I528" i="5" s="1"/>
  <c r="E536" i="5"/>
  <c r="I536" i="5" s="1"/>
  <c r="E544" i="5"/>
  <c r="I544" i="5" s="1"/>
  <c r="E552" i="5"/>
  <c r="I552" i="5" s="1"/>
  <c r="E560" i="5"/>
  <c r="I560" i="5" s="1"/>
  <c r="E568" i="5"/>
  <c r="I568" i="5" s="1"/>
  <c r="E576" i="5"/>
  <c r="I576" i="5" s="1"/>
  <c r="E584" i="5"/>
  <c r="I584" i="5" s="1"/>
  <c r="E592" i="5"/>
  <c r="I592" i="5" s="1"/>
  <c r="E600" i="5"/>
  <c r="I600" i="5" s="1"/>
  <c r="E608" i="5"/>
  <c r="I608" i="5" s="1"/>
  <c r="E616" i="5"/>
  <c r="I616" i="5" s="1"/>
  <c r="E624" i="5"/>
  <c r="I624" i="5" s="1"/>
  <c r="E632" i="5"/>
  <c r="I632" i="5" s="1"/>
  <c r="E640" i="5"/>
  <c r="I640" i="5" s="1"/>
  <c r="E648" i="5"/>
  <c r="I648" i="5" s="1"/>
  <c r="E656" i="5"/>
  <c r="I656" i="5" s="1"/>
  <c r="E664" i="5"/>
  <c r="I664" i="5" s="1"/>
  <c r="E672" i="5"/>
  <c r="I672" i="5" s="1"/>
  <c r="E680" i="5"/>
  <c r="I680" i="5" s="1"/>
  <c r="E688" i="5"/>
  <c r="I688" i="5" s="1"/>
  <c r="E696" i="5"/>
  <c r="I696" i="5" s="1"/>
  <c r="E704" i="5"/>
  <c r="I704" i="5" s="1"/>
  <c r="E712" i="5"/>
  <c r="I712" i="5" s="1"/>
  <c r="E720" i="5"/>
  <c r="I720" i="5" s="1"/>
  <c r="E728" i="5"/>
  <c r="I728" i="5" s="1"/>
  <c r="E736" i="5"/>
  <c r="I736" i="5" s="1"/>
  <c r="E744" i="5"/>
  <c r="I744" i="5" s="1"/>
  <c r="E752" i="5"/>
  <c r="I752" i="5" s="1"/>
  <c r="E760" i="5"/>
  <c r="I760" i="5" s="1"/>
  <c r="E768" i="5"/>
  <c r="I768" i="5" s="1"/>
  <c r="E776" i="5"/>
  <c r="I776" i="5" s="1"/>
  <c r="E784" i="5"/>
  <c r="I784" i="5" s="1"/>
  <c r="E792" i="5"/>
  <c r="I792" i="5" s="1"/>
  <c r="E800" i="5"/>
  <c r="I800" i="5" s="1"/>
  <c r="E28" i="5"/>
  <c r="I28" i="5" s="1"/>
  <c r="E84" i="5"/>
  <c r="I84" i="5" s="1"/>
  <c r="E148" i="5"/>
  <c r="I148" i="5" s="1"/>
  <c r="E187" i="5"/>
  <c r="I187" i="5" s="1"/>
  <c r="E209" i="5"/>
  <c r="I209" i="5" s="1"/>
  <c r="E217" i="5"/>
  <c r="I217" i="5" s="1"/>
  <c r="E225" i="5"/>
  <c r="I225" i="5" s="1"/>
  <c r="E233" i="5"/>
  <c r="I233" i="5" s="1"/>
  <c r="E241" i="5"/>
  <c r="I241" i="5" s="1"/>
  <c r="E249" i="5"/>
  <c r="I249" i="5" s="1"/>
  <c r="E257" i="5"/>
  <c r="I257" i="5" s="1"/>
  <c r="E265" i="5"/>
  <c r="I265" i="5" s="1"/>
  <c r="E273" i="5"/>
  <c r="I273" i="5" s="1"/>
  <c r="E281" i="5"/>
  <c r="I281" i="5" s="1"/>
  <c r="E289" i="5"/>
  <c r="I289" i="5" s="1"/>
  <c r="E297" i="5"/>
  <c r="I297" i="5" s="1"/>
  <c r="E305" i="5"/>
  <c r="I305" i="5" s="1"/>
  <c r="E313" i="5"/>
  <c r="I313" i="5" s="1"/>
  <c r="E321" i="5"/>
  <c r="I321" i="5" s="1"/>
  <c r="E329" i="5"/>
  <c r="I329" i="5" s="1"/>
  <c r="E337" i="5"/>
  <c r="I337" i="5" s="1"/>
  <c r="E345" i="5"/>
  <c r="I345" i="5" s="1"/>
  <c r="E353" i="5"/>
  <c r="I353" i="5" s="1"/>
  <c r="E361" i="5"/>
  <c r="I361" i="5" s="1"/>
  <c r="E369" i="5"/>
  <c r="I369" i="5" s="1"/>
  <c r="E377" i="5"/>
  <c r="I377" i="5" s="1"/>
  <c r="E385" i="5"/>
  <c r="I385" i="5" s="1"/>
  <c r="E393" i="5"/>
  <c r="I393" i="5" s="1"/>
  <c r="E401" i="5"/>
  <c r="I401" i="5" s="1"/>
  <c r="E409" i="5"/>
  <c r="I409" i="5" s="1"/>
  <c r="E417" i="5"/>
  <c r="I417" i="5" s="1"/>
  <c r="E425" i="5"/>
  <c r="I425" i="5" s="1"/>
  <c r="E433" i="5"/>
  <c r="I433" i="5" s="1"/>
  <c r="E441" i="5"/>
  <c r="I441" i="5" s="1"/>
  <c r="E449" i="5"/>
  <c r="I449" i="5" s="1"/>
  <c r="E457" i="5"/>
  <c r="I457" i="5" s="1"/>
  <c r="E465" i="5"/>
  <c r="I465" i="5" s="1"/>
  <c r="E473" i="5"/>
  <c r="I473" i="5" s="1"/>
  <c r="E481" i="5"/>
  <c r="I481" i="5" s="1"/>
  <c r="E489" i="5"/>
  <c r="I489" i="5" s="1"/>
  <c r="E497" i="5"/>
  <c r="I497" i="5" s="1"/>
  <c r="E505" i="5"/>
  <c r="I505" i="5" s="1"/>
  <c r="E513" i="5"/>
  <c r="I513" i="5" s="1"/>
  <c r="E521" i="5"/>
  <c r="I521" i="5" s="1"/>
  <c r="E529" i="5"/>
  <c r="I529" i="5" s="1"/>
  <c r="E537" i="5"/>
  <c r="I537" i="5" s="1"/>
  <c r="E545" i="5"/>
  <c r="I545" i="5" s="1"/>
  <c r="E553" i="5"/>
  <c r="I553" i="5" s="1"/>
  <c r="E561" i="5"/>
  <c r="I561" i="5" s="1"/>
  <c r="E569" i="5"/>
  <c r="I569" i="5" s="1"/>
  <c r="E577" i="5"/>
  <c r="I577" i="5" s="1"/>
  <c r="E585" i="5"/>
  <c r="I585" i="5" s="1"/>
  <c r="E593" i="5"/>
  <c r="I593" i="5" s="1"/>
  <c r="E601" i="5"/>
  <c r="I601" i="5" s="1"/>
  <c r="E609" i="5"/>
  <c r="I609" i="5" s="1"/>
  <c r="E617" i="5"/>
  <c r="I617" i="5" s="1"/>
  <c r="E625" i="5"/>
  <c r="I625" i="5" s="1"/>
  <c r="E633" i="5"/>
  <c r="I633" i="5" s="1"/>
  <c r="E641" i="5"/>
  <c r="I641" i="5" s="1"/>
  <c r="E649" i="5"/>
  <c r="I649" i="5" s="1"/>
  <c r="E657" i="5"/>
  <c r="I657" i="5" s="1"/>
  <c r="E665" i="5"/>
  <c r="I665" i="5" s="1"/>
  <c r="E673" i="5"/>
  <c r="I673" i="5" s="1"/>
  <c r="E681" i="5"/>
  <c r="I681" i="5" s="1"/>
  <c r="E689" i="5"/>
  <c r="I689" i="5" s="1"/>
  <c r="E697" i="5"/>
  <c r="I697" i="5" s="1"/>
  <c r="E705" i="5"/>
  <c r="I705" i="5" s="1"/>
  <c r="E713" i="5"/>
  <c r="I713" i="5" s="1"/>
  <c r="E721" i="5"/>
  <c r="I721" i="5" s="1"/>
  <c r="E729" i="5"/>
  <c r="I729" i="5" s="1"/>
  <c r="E737" i="5"/>
  <c r="I737" i="5" s="1"/>
  <c r="E745" i="5"/>
  <c r="I745" i="5" s="1"/>
  <c r="E753" i="5"/>
  <c r="I753" i="5" s="1"/>
  <c r="E761" i="5"/>
  <c r="I761" i="5" s="1"/>
  <c r="E36" i="5"/>
  <c r="I36" i="5" s="1"/>
  <c r="E92" i="5"/>
  <c r="I92" i="5" s="1"/>
  <c r="E156" i="5"/>
  <c r="I156" i="5" s="1"/>
  <c r="E188" i="5"/>
  <c r="I188" i="5" s="1"/>
  <c r="E210" i="5"/>
  <c r="I210" i="5" s="1"/>
  <c r="E218" i="5"/>
  <c r="I218" i="5" s="1"/>
  <c r="E226" i="5"/>
  <c r="I226" i="5" s="1"/>
  <c r="E234" i="5"/>
  <c r="I234" i="5" s="1"/>
  <c r="E242" i="5"/>
  <c r="I242" i="5" s="1"/>
  <c r="E250" i="5"/>
  <c r="I250" i="5" s="1"/>
  <c r="E258" i="5"/>
  <c r="I258" i="5" s="1"/>
  <c r="E266" i="5"/>
  <c r="I266" i="5" s="1"/>
  <c r="E274" i="5"/>
  <c r="I274" i="5" s="1"/>
  <c r="E282" i="5"/>
  <c r="I282" i="5" s="1"/>
  <c r="E290" i="5"/>
  <c r="I290" i="5" s="1"/>
  <c r="E298" i="5"/>
  <c r="I298" i="5" s="1"/>
  <c r="E306" i="5"/>
  <c r="I306" i="5" s="1"/>
  <c r="E314" i="5"/>
  <c r="I314" i="5" s="1"/>
  <c r="E322" i="5"/>
  <c r="I322" i="5" s="1"/>
  <c r="E330" i="5"/>
  <c r="I330" i="5" s="1"/>
  <c r="E338" i="5"/>
  <c r="I338" i="5" s="1"/>
  <c r="E346" i="5"/>
  <c r="I346" i="5" s="1"/>
  <c r="E354" i="5"/>
  <c r="I354" i="5" s="1"/>
  <c r="E362" i="5"/>
  <c r="I362" i="5" s="1"/>
  <c r="E370" i="5"/>
  <c r="I370" i="5" s="1"/>
  <c r="E378" i="5"/>
  <c r="I378" i="5" s="1"/>
  <c r="E386" i="5"/>
  <c r="I386" i="5" s="1"/>
  <c r="E394" i="5"/>
  <c r="I394" i="5" s="1"/>
  <c r="E402" i="5"/>
  <c r="I402" i="5" s="1"/>
  <c r="E410" i="5"/>
  <c r="I410" i="5" s="1"/>
  <c r="E418" i="5"/>
  <c r="I418" i="5" s="1"/>
  <c r="E426" i="5"/>
  <c r="I426" i="5" s="1"/>
  <c r="E434" i="5"/>
  <c r="I434" i="5" s="1"/>
  <c r="E442" i="5"/>
  <c r="I442" i="5" s="1"/>
  <c r="E450" i="5"/>
  <c r="I450" i="5" s="1"/>
  <c r="E458" i="5"/>
  <c r="I458" i="5" s="1"/>
  <c r="E466" i="5"/>
  <c r="I466" i="5" s="1"/>
  <c r="E474" i="5"/>
  <c r="I474" i="5" s="1"/>
  <c r="E482" i="5"/>
  <c r="I482" i="5" s="1"/>
  <c r="E490" i="5"/>
  <c r="I490" i="5" s="1"/>
  <c r="E498" i="5"/>
  <c r="I498" i="5" s="1"/>
  <c r="E506" i="5"/>
  <c r="I506" i="5" s="1"/>
  <c r="E514" i="5"/>
  <c r="I514" i="5" s="1"/>
  <c r="E522" i="5"/>
  <c r="I522" i="5" s="1"/>
  <c r="E530" i="5"/>
  <c r="I530" i="5" s="1"/>
  <c r="E538" i="5"/>
  <c r="I538" i="5" s="1"/>
  <c r="E546" i="5"/>
  <c r="I546" i="5" s="1"/>
  <c r="E554" i="5"/>
  <c r="I554" i="5" s="1"/>
  <c r="E562" i="5"/>
  <c r="I562" i="5" s="1"/>
  <c r="E570" i="5"/>
  <c r="I570" i="5" s="1"/>
  <c r="E578" i="5"/>
  <c r="I578" i="5" s="1"/>
  <c r="E586" i="5"/>
  <c r="I586" i="5" s="1"/>
  <c r="E594" i="5"/>
  <c r="I594" i="5" s="1"/>
  <c r="E602" i="5"/>
  <c r="I602" i="5" s="1"/>
  <c r="E610" i="5"/>
  <c r="I610" i="5" s="1"/>
  <c r="E618" i="5"/>
  <c r="I618" i="5" s="1"/>
  <c r="E626" i="5"/>
  <c r="I626" i="5" s="1"/>
  <c r="E634" i="5"/>
  <c r="I634" i="5" s="1"/>
  <c r="E642" i="5"/>
  <c r="I642" i="5" s="1"/>
  <c r="E650" i="5"/>
  <c r="I650" i="5" s="1"/>
  <c r="E658" i="5"/>
  <c r="I658" i="5" s="1"/>
  <c r="E666" i="5"/>
  <c r="I666" i="5" s="1"/>
  <c r="E674" i="5"/>
  <c r="I674" i="5" s="1"/>
  <c r="E682" i="5"/>
  <c r="I682" i="5" s="1"/>
  <c r="E690" i="5"/>
  <c r="I690" i="5" s="1"/>
  <c r="E698" i="5"/>
  <c r="I698" i="5" s="1"/>
  <c r="E706" i="5"/>
  <c r="I706" i="5" s="1"/>
  <c r="E714" i="5"/>
  <c r="I714" i="5" s="1"/>
  <c r="E722" i="5"/>
  <c r="I722" i="5" s="1"/>
  <c r="E730" i="5"/>
  <c r="I730" i="5" s="1"/>
  <c r="E738" i="5"/>
  <c r="I738" i="5" s="1"/>
  <c r="E746" i="5"/>
  <c r="I746" i="5" s="1"/>
  <c r="E754" i="5"/>
  <c r="I754" i="5" s="1"/>
  <c r="E762" i="5"/>
  <c r="I762" i="5" s="1"/>
  <c r="G467" i="1"/>
  <c r="H462" i="10" s="1"/>
  <c r="G435" i="1"/>
  <c r="H430" i="10" s="1"/>
  <c r="G419" i="1"/>
  <c r="H414" i="10" s="1"/>
  <c r="G387" i="1"/>
  <c r="H382" i="10" s="1"/>
  <c r="G363" i="1"/>
  <c r="H358" i="10" s="1"/>
  <c r="G331" i="1"/>
  <c r="H326" i="10" s="1"/>
  <c r="G299" i="1"/>
  <c r="H294" i="10" s="1"/>
  <c r="G275" i="1"/>
  <c r="H270" i="10" s="1"/>
  <c r="G251" i="1"/>
  <c r="H246" i="10" s="1"/>
  <c r="G227" i="1"/>
  <c r="H222" i="10" s="1"/>
  <c r="G195" i="1"/>
  <c r="H190" i="10" s="1"/>
  <c r="G171" i="1"/>
  <c r="H166" i="10" s="1"/>
  <c r="G147" i="1"/>
  <c r="H142" i="10" s="1"/>
  <c r="G131" i="1"/>
  <c r="H126" i="10" s="1"/>
  <c r="G107" i="1"/>
  <c r="H102" i="10" s="1"/>
  <c r="E804" i="5"/>
  <c r="I804" i="5" s="1"/>
  <c r="E780" i="5"/>
  <c r="I780" i="5" s="1"/>
  <c r="E707" i="5"/>
  <c r="I707" i="5" s="1"/>
  <c r="E620" i="5"/>
  <c r="I620" i="5" s="1"/>
  <c r="E579" i="5"/>
  <c r="I579" i="5" s="1"/>
  <c r="E492" i="5"/>
  <c r="I492" i="5" s="1"/>
  <c r="E428" i="5"/>
  <c r="I428" i="5" s="1"/>
  <c r="E364" i="5"/>
  <c r="I364" i="5" s="1"/>
  <c r="E277" i="5"/>
  <c r="I277" i="5" s="1"/>
  <c r="E236" i="5"/>
  <c r="I236" i="5" s="1"/>
  <c r="G82" i="1"/>
  <c r="H77" i="10" s="1"/>
  <c r="G97" i="1"/>
  <c r="H92" i="10" s="1"/>
  <c r="G81" i="1"/>
  <c r="H76" i="10" s="1"/>
  <c r="G73" i="1"/>
  <c r="H68" i="10" s="1"/>
  <c r="G57" i="1"/>
  <c r="H52" i="10" s="1"/>
  <c r="G49" i="1"/>
  <c r="H44" i="10" s="1"/>
  <c r="G33" i="1"/>
  <c r="H28" i="10" s="1"/>
  <c r="G496" i="1"/>
  <c r="H491" i="10" s="1"/>
  <c r="G488" i="1"/>
  <c r="H483" i="10" s="1"/>
  <c r="G472" i="1"/>
  <c r="H467" i="10" s="1"/>
  <c r="G456" i="1"/>
  <c r="H451" i="10" s="1"/>
  <c r="G448" i="1"/>
  <c r="H443" i="10" s="1"/>
  <c r="G432" i="1"/>
  <c r="H427" i="10" s="1"/>
  <c r="G416" i="1"/>
  <c r="H411" i="10" s="1"/>
  <c r="G408" i="1"/>
  <c r="H403" i="10" s="1"/>
  <c r="G400" i="1"/>
  <c r="H395" i="10" s="1"/>
  <c r="G384" i="1"/>
  <c r="H379" i="10" s="1"/>
  <c r="G368" i="1"/>
  <c r="H363" i="10" s="1"/>
  <c r="G360" i="1"/>
  <c r="H355" i="10" s="1"/>
  <c r="G344" i="1"/>
  <c r="H339" i="10" s="1"/>
  <c r="G328" i="1"/>
  <c r="H323" i="10" s="1"/>
  <c r="G320" i="1"/>
  <c r="H315" i="10" s="1"/>
  <c r="G304" i="1"/>
  <c r="H299" i="10" s="1"/>
  <c r="G296" i="1"/>
  <c r="H291" i="10" s="1"/>
  <c r="G280" i="1"/>
  <c r="H275" i="10" s="1"/>
  <c r="G264" i="1"/>
  <c r="H259" i="10" s="1"/>
  <c r="G248" i="1"/>
  <c r="H243" i="10" s="1"/>
  <c r="G232" i="1"/>
  <c r="H227" i="10" s="1"/>
  <c r="G200" i="1"/>
  <c r="H195" i="10" s="1"/>
  <c r="G104" i="1"/>
  <c r="H99" i="10" s="1"/>
  <c r="G96" i="1"/>
  <c r="H91" i="10" s="1"/>
  <c r="G88" i="1"/>
  <c r="H83" i="10" s="1"/>
  <c r="G80" i="1"/>
  <c r="H75" i="10" s="1"/>
  <c r="G72" i="1"/>
  <c r="H67" i="10" s="1"/>
  <c r="G64" i="1"/>
  <c r="H59" i="10" s="1"/>
  <c r="G56" i="1"/>
  <c r="H51" i="10" s="1"/>
  <c r="G48" i="1"/>
  <c r="H43" i="10" s="1"/>
  <c r="G40" i="1"/>
  <c r="H35" i="10" s="1"/>
  <c r="G32" i="1"/>
  <c r="H27" i="10" s="1"/>
  <c r="G503" i="1"/>
  <c r="H498" i="10" s="1"/>
  <c r="G495" i="1"/>
  <c r="H490" i="10" s="1"/>
  <c r="G487" i="1"/>
  <c r="H482" i="10" s="1"/>
  <c r="G479" i="1"/>
  <c r="H474" i="10" s="1"/>
  <c r="G471" i="1"/>
  <c r="H466" i="10" s="1"/>
  <c r="G463" i="1"/>
  <c r="H458" i="10" s="1"/>
  <c r="G455" i="1"/>
  <c r="H450" i="10" s="1"/>
  <c r="G447" i="1"/>
  <c r="H442" i="10" s="1"/>
  <c r="G439" i="1"/>
  <c r="H434" i="10" s="1"/>
  <c r="G431" i="1"/>
  <c r="H426" i="10" s="1"/>
  <c r="G423" i="1"/>
  <c r="H418" i="10" s="1"/>
  <c r="G415" i="1"/>
  <c r="H410" i="10" s="1"/>
  <c r="G407" i="1"/>
  <c r="H402" i="10" s="1"/>
  <c r="G399" i="1"/>
  <c r="H394" i="10" s="1"/>
  <c r="G391" i="1"/>
  <c r="H386" i="10" s="1"/>
  <c r="G383" i="1"/>
  <c r="H378" i="10" s="1"/>
  <c r="G375" i="1"/>
  <c r="H370" i="10" s="1"/>
  <c r="G367" i="1"/>
  <c r="H362" i="10" s="1"/>
  <c r="G359" i="1"/>
  <c r="H354" i="10" s="1"/>
  <c r="G351" i="1"/>
  <c r="H346" i="10" s="1"/>
  <c r="G343" i="1"/>
  <c r="H338" i="10" s="1"/>
  <c r="G335" i="1"/>
  <c r="H330" i="10" s="1"/>
  <c r="G327" i="1"/>
  <c r="H322" i="10" s="1"/>
  <c r="G319" i="1"/>
  <c r="H314" i="10" s="1"/>
  <c r="G311" i="1"/>
  <c r="H306" i="10" s="1"/>
  <c r="G303" i="1"/>
  <c r="H298" i="10" s="1"/>
  <c r="G295" i="1"/>
  <c r="H290" i="10" s="1"/>
  <c r="G287" i="1"/>
  <c r="H282" i="10" s="1"/>
  <c r="G279" i="1"/>
  <c r="H274" i="10" s="1"/>
  <c r="G271" i="1"/>
  <c r="H266" i="10" s="1"/>
  <c r="G263" i="1"/>
  <c r="H258" i="10" s="1"/>
  <c r="G255" i="1"/>
  <c r="H250" i="10" s="1"/>
  <c r="G247" i="1"/>
  <c r="H242" i="10" s="1"/>
  <c r="G239" i="1"/>
  <c r="H234" i="10" s="1"/>
  <c r="G231" i="1"/>
  <c r="H226" i="10" s="1"/>
  <c r="G223" i="1"/>
  <c r="H218" i="10" s="1"/>
  <c r="G215" i="1"/>
  <c r="H210" i="10" s="1"/>
  <c r="G207" i="1"/>
  <c r="H202" i="10" s="1"/>
  <c r="G199" i="1"/>
  <c r="H194" i="10" s="1"/>
  <c r="G191" i="1"/>
  <c r="H186" i="10" s="1"/>
  <c r="G183" i="1"/>
  <c r="H178" i="10" s="1"/>
  <c r="G175" i="1"/>
  <c r="H170" i="10" s="1"/>
  <c r="G167" i="1"/>
  <c r="H162" i="10" s="1"/>
  <c r="G159" i="1"/>
  <c r="H154" i="10" s="1"/>
  <c r="G151" i="1"/>
  <c r="H146" i="10" s="1"/>
  <c r="G143" i="1"/>
  <c r="H138" i="10" s="1"/>
  <c r="G135" i="1"/>
  <c r="H130" i="10" s="1"/>
  <c r="G127" i="1"/>
  <c r="H122" i="10" s="1"/>
  <c r="G119" i="1"/>
  <c r="H114" i="10" s="1"/>
  <c r="G111" i="1"/>
  <c r="H106" i="10" s="1"/>
  <c r="E827" i="5"/>
  <c r="I827" i="5" s="1"/>
  <c r="E818" i="5"/>
  <c r="I818" i="5" s="1"/>
  <c r="E809" i="5"/>
  <c r="I809" i="5" s="1"/>
  <c r="E799" i="5"/>
  <c r="I799" i="5" s="1"/>
  <c r="E787" i="5"/>
  <c r="I787" i="5" s="1"/>
  <c r="E773" i="5"/>
  <c r="I773" i="5" s="1"/>
  <c r="E757" i="5"/>
  <c r="I757" i="5" s="1"/>
  <c r="E739" i="5"/>
  <c r="I739" i="5" s="1"/>
  <c r="E716" i="5"/>
  <c r="I716" i="5" s="1"/>
  <c r="E693" i="5"/>
  <c r="I693" i="5" s="1"/>
  <c r="E675" i="5"/>
  <c r="I675" i="5" s="1"/>
  <c r="E652" i="5"/>
  <c r="I652" i="5" s="1"/>
  <c r="E629" i="5"/>
  <c r="I629" i="5" s="1"/>
  <c r="E611" i="5"/>
  <c r="I611" i="5" s="1"/>
  <c r="E588" i="5"/>
  <c r="I588" i="5" s="1"/>
  <c r="E565" i="5"/>
  <c r="I565" i="5" s="1"/>
  <c r="E547" i="5"/>
  <c r="I547" i="5" s="1"/>
  <c r="E524" i="5"/>
  <c r="I524" i="5" s="1"/>
  <c r="E501" i="5"/>
  <c r="I501" i="5" s="1"/>
  <c r="E483" i="5"/>
  <c r="I483" i="5" s="1"/>
  <c r="E460" i="5"/>
  <c r="I460" i="5" s="1"/>
  <c r="E437" i="5"/>
  <c r="I437" i="5" s="1"/>
  <c r="E419" i="5"/>
  <c r="I419" i="5" s="1"/>
  <c r="E396" i="5"/>
  <c r="I396" i="5" s="1"/>
  <c r="E373" i="5"/>
  <c r="I373" i="5" s="1"/>
  <c r="E355" i="5"/>
  <c r="I355" i="5" s="1"/>
  <c r="E332" i="5"/>
  <c r="I332" i="5" s="1"/>
  <c r="E309" i="5"/>
  <c r="I309" i="5" s="1"/>
  <c r="E291" i="5"/>
  <c r="I291" i="5" s="1"/>
  <c r="E268" i="5"/>
  <c r="I268" i="5" s="1"/>
  <c r="E245" i="5"/>
  <c r="I245" i="5" s="1"/>
  <c r="E227" i="5"/>
  <c r="I227" i="5" s="1"/>
  <c r="E195" i="5"/>
  <c r="I195" i="5" s="1"/>
  <c r="G273" i="1"/>
  <c r="H268" i="10" s="1"/>
  <c r="G265" i="1"/>
  <c r="H260" i="10" s="1"/>
  <c r="G257" i="1"/>
  <c r="H252" i="10" s="1"/>
  <c r="G249" i="1"/>
  <c r="H244" i="10" s="1"/>
  <c r="G241" i="1"/>
  <c r="H236" i="10" s="1"/>
  <c r="G233" i="1"/>
  <c r="H228" i="10" s="1"/>
  <c r="G225" i="1"/>
  <c r="H220" i="10" s="1"/>
  <c r="G217" i="1"/>
  <c r="H212" i="10" s="1"/>
  <c r="G209" i="1"/>
  <c r="H204" i="10" s="1"/>
  <c r="G201" i="1"/>
  <c r="H196" i="10" s="1"/>
  <c r="G193" i="1"/>
  <c r="H188" i="10" s="1"/>
  <c r="G185" i="1"/>
  <c r="H180" i="10" s="1"/>
  <c r="G177" i="1"/>
  <c r="H172" i="10" s="1"/>
  <c r="G169" i="1"/>
  <c r="H164" i="10" s="1"/>
  <c r="G161" i="1"/>
  <c r="H156" i="10" s="1"/>
  <c r="G153" i="1"/>
  <c r="H148" i="10" s="1"/>
  <c r="G145" i="1"/>
  <c r="H140" i="10" s="1"/>
  <c r="G137" i="1"/>
  <c r="H132" i="10" s="1"/>
  <c r="G129" i="1"/>
  <c r="H124" i="10" s="1"/>
  <c r="G121" i="1"/>
  <c r="H116" i="10" s="1"/>
  <c r="G113" i="1"/>
  <c r="H108" i="10" s="1"/>
  <c r="G105" i="1"/>
  <c r="H100" i="10" s="1"/>
  <c r="C832" i="5"/>
  <c r="C824" i="5"/>
  <c r="C816" i="5"/>
  <c r="C808" i="5"/>
  <c r="C800" i="5"/>
  <c r="C792" i="5"/>
  <c r="C784" i="5"/>
  <c r="C776" i="5"/>
  <c r="C768" i="5"/>
  <c r="C760" i="5"/>
  <c r="C752" i="5"/>
  <c r="C744" i="5"/>
  <c r="C736" i="5"/>
  <c r="C728" i="5"/>
  <c r="C720" i="5"/>
  <c r="C712" i="5"/>
  <c r="C704" i="5"/>
  <c r="C696" i="5"/>
  <c r="C688" i="5"/>
  <c r="C680" i="5"/>
  <c r="C672" i="5"/>
  <c r="C664" i="5"/>
  <c r="C656" i="5"/>
  <c r="C648" i="5"/>
  <c r="C640" i="5"/>
  <c r="C632" i="5"/>
  <c r="C624" i="5"/>
  <c r="C616" i="5"/>
  <c r="C608" i="5"/>
  <c r="C600" i="5"/>
  <c r="C592" i="5"/>
  <c r="C584" i="5"/>
  <c r="C576" i="5"/>
  <c r="C568" i="5"/>
  <c r="C560" i="5"/>
  <c r="C552" i="5"/>
  <c r="C544" i="5"/>
  <c r="C536" i="5"/>
  <c r="C528" i="5"/>
  <c r="C520" i="5"/>
  <c r="C512" i="5"/>
  <c r="C504" i="5"/>
  <c r="C496" i="5"/>
  <c r="C488" i="5"/>
  <c r="C480" i="5"/>
  <c r="C472" i="5"/>
  <c r="C464" i="5"/>
  <c r="C456" i="5"/>
  <c r="C448" i="5"/>
  <c r="C440" i="5"/>
  <c r="C431" i="5"/>
  <c r="C420" i="5"/>
  <c r="C409" i="5"/>
  <c r="C399" i="5"/>
  <c r="C385" i="5"/>
  <c r="C353" i="5"/>
  <c r="C321" i="5"/>
  <c r="C289" i="5"/>
  <c r="C257" i="5"/>
  <c r="C225" i="5"/>
  <c r="C193" i="5"/>
  <c r="C161" i="5"/>
  <c r="C129" i="5"/>
  <c r="C97" i="5"/>
  <c r="C65" i="5"/>
  <c r="C33" i="5"/>
  <c r="D816" i="5"/>
  <c r="D734" i="5"/>
  <c r="D647" i="5"/>
  <c r="D560" i="5"/>
  <c r="D478" i="5"/>
  <c r="D391" i="5"/>
  <c r="D235" i="5"/>
  <c r="C831" i="5"/>
  <c r="C823" i="5"/>
  <c r="C815" i="5"/>
  <c r="C807" i="5"/>
  <c r="C799" i="5"/>
  <c r="C791" i="5"/>
  <c r="C783" i="5"/>
  <c r="C775" i="5"/>
  <c r="C767" i="5"/>
  <c r="C759" i="5"/>
  <c r="C751" i="5"/>
  <c r="C743" i="5"/>
  <c r="C735" i="5"/>
  <c r="C727" i="5"/>
  <c r="C719" i="5"/>
  <c r="C711" i="5"/>
  <c r="C703" i="5"/>
  <c r="C695" i="5"/>
  <c r="C687" i="5"/>
  <c r="C679" i="5"/>
  <c r="C671" i="5"/>
  <c r="C663" i="5"/>
  <c r="C655" i="5"/>
  <c r="C647" i="5"/>
  <c r="C639" i="5"/>
  <c r="C631" i="5"/>
  <c r="C623" i="5"/>
  <c r="C615" i="5"/>
  <c r="C607" i="5"/>
  <c r="C599" i="5"/>
  <c r="C591" i="5"/>
  <c r="C583" i="5"/>
  <c r="C575" i="5"/>
  <c r="C567" i="5"/>
  <c r="C559" i="5"/>
  <c r="C551" i="5"/>
  <c r="C543" i="5"/>
  <c r="C535" i="5"/>
  <c r="C527" i="5"/>
  <c r="C519" i="5"/>
  <c r="C511" i="5"/>
  <c r="C503" i="5"/>
  <c r="C495" i="5"/>
  <c r="C487" i="5"/>
  <c r="C479" i="5"/>
  <c r="C471" i="5"/>
  <c r="C463" i="5"/>
  <c r="C455" i="5"/>
  <c r="C447" i="5"/>
  <c r="C439" i="5"/>
  <c r="C429" i="5"/>
  <c r="C418" i="5"/>
  <c r="C408" i="5"/>
  <c r="C397" i="5"/>
  <c r="C384" i="5"/>
  <c r="C352" i="5"/>
  <c r="C320" i="5"/>
  <c r="C288" i="5"/>
  <c r="C256" i="5"/>
  <c r="C224" i="5"/>
  <c r="C192" i="5"/>
  <c r="C160" i="5"/>
  <c r="C128" i="5"/>
  <c r="C96" i="5"/>
  <c r="C64" i="5"/>
  <c r="C32" i="5"/>
  <c r="D815" i="5"/>
  <c r="D728" i="5"/>
  <c r="D646" i="5"/>
  <c r="D559" i="5"/>
  <c r="D472" i="5"/>
  <c r="D390" i="5"/>
  <c r="D234" i="5"/>
  <c r="C830" i="5"/>
  <c r="C822" i="5"/>
  <c r="C814" i="5"/>
  <c r="C806" i="5"/>
  <c r="C798" i="5"/>
  <c r="C790" i="5"/>
  <c r="C782" i="5"/>
  <c r="C774" i="5"/>
  <c r="C766" i="5"/>
  <c r="C758" i="5"/>
  <c r="C750" i="5"/>
  <c r="C742" i="5"/>
  <c r="C734" i="5"/>
  <c r="C726" i="5"/>
  <c r="C718" i="5"/>
  <c r="C710" i="5"/>
  <c r="C702" i="5"/>
  <c r="C694" i="5"/>
  <c r="C686" i="5"/>
  <c r="C678" i="5"/>
  <c r="C670" i="5"/>
  <c r="C662" i="5"/>
  <c r="C654" i="5"/>
  <c r="C646" i="5"/>
  <c r="C638" i="5"/>
  <c r="C630" i="5"/>
  <c r="C622" i="5"/>
  <c r="C614" i="5"/>
  <c r="C606" i="5"/>
  <c r="C598" i="5"/>
  <c r="C590" i="5"/>
  <c r="C582" i="5"/>
  <c r="C574" i="5"/>
  <c r="C566" i="5"/>
  <c r="C558" i="5"/>
  <c r="C550" i="5"/>
  <c r="C542" i="5"/>
  <c r="C534" i="5"/>
  <c r="C526" i="5"/>
  <c r="C518" i="5"/>
  <c r="C510" i="5"/>
  <c r="C502" i="5"/>
  <c r="C494" i="5"/>
  <c r="C486" i="5"/>
  <c r="C478" i="5"/>
  <c r="C470" i="5"/>
  <c r="C462" i="5"/>
  <c r="C454" i="5"/>
  <c r="C446" i="5"/>
  <c r="C438" i="5"/>
  <c r="C428" i="5"/>
  <c r="C417" i="5"/>
  <c r="C407" i="5"/>
  <c r="C396" i="5"/>
  <c r="C377" i="5"/>
  <c r="C345" i="5"/>
  <c r="C313" i="5"/>
  <c r="C281" i="5"/>
  <c r="C249" i="5"/>
  <c r="C217" i="5"/>
  <c r="C185" i="5"/>
  <c r="C153" i="5"/>
  <c r="C121" i="5"/>
  <c r="C89" i="5"/>
  <c r="C57" i="5"/>
  <c r="C25" i="5"/>
  <c r="D798" i="5"/>
  <c r="D711" i="5"/>
  <c r="D624" i="5"/>
  <c r="D542" i="5"/>
  <c r="D455" i="5"/>
  <c r="D368" i="5"/>
  <c r="D163" i="5"/>
  <c r="C606" i="4"/>
  <c r="C602" i="13" s="1"/>
  <c r="C829" i="5"/>
  <c r="C821" i="5"/>
  <c r="C813" i="5"/>
  <c r="C805" i="5"/>
  <c r="C797" i="5"/>
  <c r="C789" i="5"/>
  <c r="C781" i="5"/>
  <c r="C773" i="5"/>
  <c r="C765" i="5"/>
  <c r="C757" i="5"/>
  <c r="C749" i="5"/>
  <c r="C741" i="5"/>
  <c r="C733" i="5"/>
  <c r="C725" i="5"/>
  <c r="C717" i="5"/>
  <c r="C709" i="5"/>
  <c r="C701" i="5"/>
  <c r="C693" i="5"/>
  <c r="C685" i="5"/>
  <c r="C677" i="5"/>
  <c r="C669" i="5"/>
  <c r="C661" i="5"/>
  <c r="C653" i="5"/>
  <c r="C645" i="5"/>
  <c r="C637" i="5"/>
  <c r="C629" i="5"/>
  <c r="C621" i="5"/>
  <c r="C613" i="5"/>
  <c r="C605" i="5"/>
  <c r="C597" i="5"/>
  <c r="C589" i="5"/>
  <c r="C581" i="5"/>
  <c r="C573" i="5"/>
  <c r="C565" i="5"/>
  <c r="C557" i="5"/>
  <c r="C549" i="5"/>
  <c r="C541" i="5"/>
  <c r="C533" i="5"/>
  <c r="C525" i="5"/>
  <c r="C517" i="5"/>
  <c r="C509" i="5"/>
  <c r="C501" i="5"/>
  <c r="C493" i="5"/>
  <c r="C485" i="5"/>
  <c r="C477" i="5"/>
  <c r="C469" i="5"/>
  <c r="C461" i="5"/>
  <c r="C453" i="5"/>
  <c r="C445" i="5"/>
  <c r="C437" i="5"/>
  <c r="C426" i="5"/>
  <c r="C416" i="5"/>
  <c r="C405" i="5"/>
  <c r="C394" i="5"/>
  <c r="C376" i="5"/>
  <c r="C344" i="5"/>
  <c r="C312" i="5"/>
  <c r="C280" i="5"/>
  <c r="C248" i="5"/>
  <c r="C216" i="5"/>
  <c r="C184" i="5"/>
  <c r="C152" i="5"/>
  <c r="C120" i="5"/>
  <c r="C88" i="5"/>
  <c r="C56" i="5"/>
  <c r="C24" i="5"/>
  <c r="D792" i="5"/>
  <c r="D710" i="5"/>
  <c r="D623" i="5"/>
  <c r="D536" i="5"/>
  <c r="D454" i="5"/>
  <c r="D367" i="5"/>
  <c r="D139" i="5"/>
  <c r="C828" i="5"/>
  <c r="C820" i="5"/>
  <c r="C812" i="5"/>
  <c r="C804" i="5"/>
  <c r="C796" i="5"/>
  <c r="C788" i="5"/>
  <c r="C780" i="5"/>
  <c r="C772" i="5"/>
  <c r="C764" i="5"/>
  <c r="C756" i="5"/>
  <c r="C748" i="5"/>
  <c r="C740" i="5"/>
  <c r="C732" i="5"/>
  <c r="C724" i="5"/>
  <c r="C716" i="5"/>
  <c r="C708" i="5"/>
  <c r="C700" i="5"/>
  <c r="C692" i="5"/>
  <c r="C684" i="5"/>
  <c r="C676" i="5"/>
  <c r="C668" i="5"/>
  <c r="C660" i="5"/>
  <c r="C652" i="5"/>
  <c r="C644" i="5"/>
  <c r="C636" i="5"/>
  <c r="C628" i="5"/>
  <c r="C620" i="5"/>
  <c r="C612" i="5"/>
  <c r="C604" i="5"/>
  <c r="C596" i="5"/>
  <c r="C588" i="5"/>
  <c r="C580" i="5"/>
  <c r="C572" i="5"/>
  <c r="C564" i="5"/>
  <c r="C556" i="5"/>
  <c r="C548" i="5"/>
  <c r="C540" i="5"/>
  <c r="C532" i="5"/>
  <c r="C524" i="5"/>
  <c r="C516" i="5"/>
  <c r="C508" i="5"/>
  <c r="C500" i="5"/>
  <c r="C492" i="5"/>
  <c r="C484" i="5"/>
  <c r="C476" i="5"/>
  <c r="C468" i="5"/>
  <c r="C460" i="5"/>
  <c r="C452" i="5"/>
  <c r="C444" i="5"/>
  <c r="C436" i="5"/>
  <c r="C425" i="5"/>
  <c r="C415" i="5"/>
  <c r="C404" i="5"/>
  <c r="C393" i="5"/>
  <c r="C369" i="5"/>
  <c r="C337" i="5"/>
  <c r="C305" i="5"/>
  <c r="C273" i="5"/>
  <c r="C241" i="5"/>
  <c r="C209" i="5"/>
  <c r="C177" i="5"/>
  <c r="C145" i="5"/>
  <c r="C113" i="5"/>
  <c r="C81" i="5"/>
  <c r="C49" i="5"/>
  <c r="C17" i="5"/>
  <c r="D775" i="5"/>
  <c r="D688" i="5"/>
  <c r="D606" i="5"/>
  <c r="D519" i="5"/>
  <c r="D432" i="5"/>
  <c r="D350" i="5"/>
  <c r="D74" i="5"/>
  <c r="C827" i="5"/>
  <c r="C819" i="5"/>
  <c r="C811" i="5"/>
  <c r="C803" i="5"/>
  <c r="C795" i="5"/>
  <c r="C787" i="5"/>
  <c r="C779" i="5"/>
  <c r="C771" i="5"/>
  <c r="C763" i="5"/>
  <c r="C755" i="5"/>
  <c r="C747" i="5"/>
  <c r="C739" i="5"/>
  <c r="C731" i="5"/>
  <c r="C723" i="5"/>
  <c r="C715" i="5"/>
  <c r="C707" i="5"/>
  <c r="C699" i="5"/>
  <c r="C691" i="5"/>
  <c r="C683" i="5"/>
  <c r="C675" i="5"/>
  <c r="C667" i="5"/>
  <c r="C659" i="5"/>
  <c r="C651" i="5"/>
  <c r="C643" i="5"/>
  <c r="C635" i="5"/>
  <c r="C627" i="5"/>
  <c r="C619" i="5"/>
  <c r="C611" i="5"/>
  <c r="C603" i="5"/>
  <c r="C595" i="5"/>
  <c r="C587" i="5"/>
  <c r="C579" i="5"/>
  <c r="C571" i="5"/>
  <c r="C563" i="5"/>
  <c r="C555" i="5"/>
  <c r="C547" i="5"/>
  <c r="C539" i="5"/>
  <c r="C531" i="5"/>
  <c r="C523" i="5"/>
  <c r="C515" i="5"/>
  <c r="C507" i="5"/>
  <c r="C499" i="5"/>
  <c r="C491" i="5"/>
  <c r="C483" i="5"/>
  <c r="C475" i="5"/>
  <c r="C467" i="5"/>
  <c r="C459" i="5"/>
  <c r="C451" i="5"/>
  <c r="C443" i="5"/>
  <c r="C434" i="5"/>
  <c r="C424" i="5"/>
  <c r="C413" i="5"/>
  <c r="C402" i="5"/>
  <c r="C392" i="5"/>
  <c r="C368" i="5"/>
  <c r="C336" i="5"/>
  <c r="C304" i="5"/>
  <c r="C272" i="5"/>
  <c r="C240" i="5"/>
  <c r="C208" i="5"/>
  <c r="C176" i="5"/>
  <c r="C144" i="5"/>
  <c r="C112" i="5"/>
  <c r="C80" i="5"/>
  <c r="C48" i="5"/>
  <c r="C13" i="5"/>
  <c r="D774" i="5"/>
  <c r="D687" i="5"/>
  <c r="D600" i="5"/>
  <c r="D518" i="5"/>
  <c r="D431" i="5"/>
  <c r="D343" i="5"/>
  <c r="D67" i="5"/>
  <c r="C826" i="5"/>
  <c r="C818" i="5"/>
  <c r="C810" i="5"/>
  <c r="C802" i="5"/>
  <c r="C794" i="5"/>
  <c r="C786" i="5"/>
  <c r="C778" i="5"/>
  <c r="C770" i="5"/>
  <c r="C762" i="5"/>
  <c r="C754" i="5"/>
  <c r="C746" i="5"/>
  <c r="C738" i="5"/>
  <c r="C730" i="5"/>
  <c r="C722" i="5"/>
  <c r="C714" i="5"/>
  <c r="C706" i="5"/>
  <c r="C698" i="5"/>
  <c r="C690" i="5"/>
  <c r="C682" i="5"/>
  <c r="C674" i="5"/>
  <c r="C666" i="5"/>
  <c r="C658" i="5"/>
  <c r="C650" i="5"/>
  <c r="C642" i="5"/>
  <c r="C634" i="5"/>
  <c r="C626" i="5"/>
  <c r="C618" i="5"/>
  <c r="C610" i="5"/>
  <c r="C602" i="5"/>
  <c r="C594" i="5"/>
  <c r="C586" i="5"/>
  <c r="C578" i="5"/>
  <c r="C570" i="5"/>
  <c r="C562" i="5"/>
  <c r="C554" i="5"/>
  <c r="C546" i="5"/>
  <c r="C538" i="5"/>
  <c r="C530" i="5"/>
  <c r="C522" i="5"/>
  <c r="C514" i="5"/>
  <c r="C506" i="5"/>
  <c r="C498" i="5"/>
  <c r="C490" i="5"/>
  <c r="C482" i="5"/>
  <c r="C474" i="5"/>
  <c r="C466" i="5"/>
  <c r="C458" i="5"/>
  <c r="C450" i="5"/>
  <c r="C442" i="5"/>
  <c r="C433" i="5"/>
  <c r="C423" i="5"/>
  <c r="C412" i="5"/>
  <c r="C401" i="5"/>
  <c r="C391" i="5"/>
  <c r="C361" i="5"/>
  <c r="C329" i="5"/>
  <c r="C297" i="5"/>
  <c r="C265" i="5"/>
  <c r="C233" i="5"/>
  <c r="C201" i="5"/>
  <c r="C169" i="5"/>
  <c r="C137" i="5"/>
  <c r="C105" i="5"/>
  <c r="C73" i="5"/>
  <c r="C41" i="5"/>
  <c r="D830" i="5"/>
  <c r="D752" i="5"/>
  <c r="D670" i="5"/>
  <c r="D583" i="5"/>
  <c r="D496" i="5"/>
  <c r="D414" i="5"/>
  <c r="D311" i="5"/>
  <c r="G22" i="1"/>
  <c r="H17" i="10" s="1"/>
  <c r="D12" i="5"/>
  <c r="D20" i="5"/>
  <c r="D28" i="5"/>
  <c r="D36" i="5"/>
  <c r="D44" i="5"/>
  <c r="D52" i="5"/>
  <c r="D60" i="5"/>
  <c r="D68" i="5"/>
  <c r="D76" i="5"/>
  <c r="D84" i="5"/>
  <c r="D92" i="5"/>
  <c r="D100" i="5"/>
  <c r="D108" i="5"/>
  <c r="D116" i="5"/>
  <c r="D124" i="5"/>
  <c r="D132" i="5"/>
  <c r="D140" i="5"/>
  <c r="D148" i="5"/>
  <c r="D156" i="5"/>
  <c r="D164" i="5"/>
  <c r="D172" i="5"/>
  <c r="D180" i="5"/>
  <c r="D188" i="5"/>
  <c r="D196" i="5"/>
  <c r="D204" i="5"/>
  <c r="D212" i="5"/>
  <c r="D220" i="5"/>
  <c r="D228" i="5"/>
  <c r="D236" i="5"/>
  <c r="D244" i="5"/>
  <c r="D252" i="5"/>
  <c r="D260" i="5"/>
  <c r="D268" i="5"/>
  <c r="D276" i="5"/>
  <c r="D284" i="5"/>
  <c r="D292" i="5"/>
  <c r="D13" i="5"/>
  <c r="D21" i="5"/>
  <c r="D29" i="5"/>
  <c r="D37" i="5"/>
  <c r="D45" i="5"/>
  <c r="D53" i="5"/>
  <c r="D61" i="5"/>
  <c r="D69" i="5"/>
  <c r="D77" i="5"/>
  <c r="D85" i="5"/>
  <c r="D93" i="5"/>
  <c r="D101" i="5"/>
  <c r="D109" i="5"/>
  <c r="D117" i="5"/>
  <c r="D125" i="5"/>
  <c r="D133" i="5"/>
  <c r="D141" i="5"/>
  <c r="D149" i="5"/>
  <c r="D157" i="5"/>
  <c r="D165" i="5"/>
  <c r="D173" i="5"/>
  <c r="D181" i="5"/>
  <c r="D189" i="5"/>
  <c r="D197" i="5"/>
  <c r="D205" i="5"/>
  <c r="D213" i="5"/>
  <c r="D221" i="5"/>
  <c r="D229" i="5"/>
  <c r="D237" i="5"/>
  <c r="D245" i="5"/>
  <c r="D253" i="5"/>
  <c r="D261" i="5"/>
  <c r="D269" i="5"/>
  <c r="D277" i="5"/>
  <c r="D285" i="5"/>
  <c r="D293" i="5"/>
  <c r="D301" i="5"/>
  <c r="D309" i="5"/>
  <c r="D317" i="5"/>
  <c r="D325" i="5"/>
  <c r="D333" i="5"/>
  <c r="D341" i="5"/>
  <c r="D14" i="5"/>
  <c r="D22" i="5"/>
  <c r="D30" i="5"/>
  <c r="D38" i="5"/>
  <c r="D46" i="5"/>
  <c r="D54" i="5"/>
  <c r="D62" i="5"/>
  <c r="D70" i="5"/>
  <c r="D78" i="5"/>
  <c r="D86" i="5"/>
  <c r="D94" i="5"/>
  <c r="D102" i="5"/>
  <c r="D110" i="5"/>
  <c r="D118" i="5"/>
  <c r="D126" i="5"/>
  <c r="D134" i="5"/>
  <c r="D142" i="5"/>
  <c r="D150" i="5"/>
  <c r="D158" i="5"/>
  <c r="D166" i="5"/>
  <c r="D174" i="5"/>
  <c r="D182" i="5"/>
  <c r="D190" i="5"/>
  <c r="D198" i="5"/>
  <c r="D206" i="5"/>
  <c r="D214" i="5"/>
  <c r="D222" i="5"/>
  <c r="D230" i="5"/>
  <c r="D238" i="5"/>
  <c r="D246" i="5"/>
  <c r="D254" i="5"/>
  <c r="D262" i="5"/>
  <c r="D270" i="5"/>
  <c r="D278" i="5"/>
  <c r="D286" i="5"/>
  <c r="D294" i="5"/>
  <c r="D302" i="5"/>
  <c r="D310" i="5"/>
  <c r="D318" i="5"/>
  <c r="D326" i="5"/>
  <c r="D334" i="5"/>
  <c r="D342" i="5"/>
  <c r="D7" i="5"/>
  <c r="D15" i="5"/>
  <c r="D23" i="5"/>
  <c r="D31" i="5"/>
  <c r="D39" i="5"/>
  <c r="D47" i="5"/>
  <c r="D55" i="5"/>
  <c r="D63" i="5"/>
  <c r="D71" i="5"/>
  <c r="D79" i="5"/>
  <c r="D87" i="5"/>
  <c r="D95" i="5"/>
  <c r="D103" i="5"/>
  <c r="D111" i="5"/>
  <c r="D119" i="5"/>
  <c r="D127" i="5"/>
  <c r="D135" i="5"/>
  <c r="D143" i="5"/>
  <c r="D151" i="5"/>
  <c r="D159" i="5"/>
  <c r="D167" i="5"/>
  <c r="D175" i="5"/>
  <c r="D183" i="5"/>
  <c r="D191" i="5"/>
  <c r="D199" i="5"/>
  <c r="D207" i="5"/>
  <c r="D215" i="5"/>
  <c r="D223" i="5"/>
  <c r="D231" i="5"/>
  <c r="D239" i="5"/>
  <c r="D247" i="5"/>
  <c r="D255" i="5"/>
  <c r="D263" i="5"/>
  <c r="D271" i="5"/>
  <c r="D279" i="5"/>
  <c r="D287" i="5"/>
  <c r="D8" i="5"/>
  <c r="D16" i="5"/>
  <c r="D24" i="5"/>
  <c r="D32" i="5"/>
  <c r="D40" i="5"/>
  <c r="D48" i="5"/>
  <c r="D56" i="5"/>
  <c r="D64" i="5"/>
  <c r="D72" i="5"/>
  <c r="D80" i="5"/>
  <c r="D88" i="5"/>
  <c r="D96" i="5"/>
  <c r="D104" i="5"/>
  <c r="D112" i="5"/>
  <c r="D120" i="5"/>
  <c r="D128" i="5"/>
  <c r="D136" i="5"/>
  <c r="D144" i="5"/>
  <c r="D152" i="5"/>
  <c r="D160" i="5"/>
  <c r="D168" i="5"/>
  <c r="D176" i="5"/>
  <c r="D184" i="5"/>
  <c r="D192" i="5"/>
  <c r="D200" i="5"/>
  <c r="D208" i="5"/>
  <c r="D216" i="5"/>
  <c r="D224" i="5"/>
  <c r="D232" i="5"/>
  <c r="D240" i="5"/>
  <c r="D248" i="5"/>
  <c r="D256" i="5"/>
  <c r="D264" i="5"/>
  <c r="D272" i="5"/>
  <c r="D280" i="5"/>
  <c r="D288" i="5"/>
  <c r="D296" i="5"/>
  <c r="D304" i="5"/>
  <c r="D312" i="5"/>
  <c r="D320" i="5"/>
  <c r="D328" i="5"/>
  <c r="D9" i="5"/>
  <c r="D17" i="5"/>
  <c r="D25" i="5"/>
  <c r="D33" i="5"/>
  <c r="D41" i="5"/>
  <c r="D49" i="5"/>
  <c r="D57" i="5"/>
  <c r="D65" i="5"/>
  <c r="D73" i="5"/>
  <c r="D81" i="5"/>
  <c r="D89" i="5"/>
  <c r="D97" i="5"/>
  <c r="D105" i="5"/>
  <c r="D113" i="5"/>
  <c r="D121" i="5"/>
  <c r="D129" i="5"/>
  <c r="D137" i="5"/>
  <c r="D145" i="5"/>
  <c r="D153" i="5"/>
  <c r="D161" i="5"/>
  <c r="D169" i="5"/>
  <c r="D177" i="5"/>
  <c r="D185" i="5"/>
  <c r="D193" i="5"/>
  <c r="D201" i="5"/>
  <c r="D209" i="5"/>
  <c r="D217" i="5"/>
  <c r="D225" i="5"/>
  <c r="D233" i="5"/>
  <c r="D241" i="5"/>
  <c r="D249" i="5"/>
  <c r="D257" i="5"/>
  <c r="D265" i="5"/>
  <c r="D273" i="5"/>
  <c r="D281" i="5"/>
  <c r="D289" i="5"/>
  <c r="D297" i="5"/>
  <c r="D305" i="5"/>
  <c r="D313" i="5"/>
  <c r="D321" i="5"/>
  <c r="D329" i="5"/>
  <c r="D337" i="5"/>
  <c r="D345" i="5"/>
  <c r="D18" i="5"/>
  <c r="D50" i="5"/>
  <c r="D82" i="5"/>
  <c r="D114" i="5"/>
  <c r="D146" i="5"/>
  <c r="D178" i="5"/>
  <c r="D210" i="5"/>
  <c r="D242" i="5"/>
  <c r="D274" i="5"/>
  <c r="D299" i="5"/>
  <c r="D315" i="5"/>
  <c r="D331" i="5"/>
  <c r="D344" i="5"/>
  <c r="D353" i="5"/>
  <c r="D361" i="5"/>
  <c r="D369" i="5"/>
  <c r="D377" i="5"/>
  <c r="D385" i="5"/>
  <c r="D393" i="5"/>
  <c r="D401" i="5"/>
  <c r="D409" i="5"/>
  <c r="D417" i="5"/>
  <c r="D425" i="5"/>
  <c r="D433" i="5"/>
  <c r="D441" i="5"/>
  <c r="D449" i="5"/>
  <c r="D457" i="5"/>
  <c r="D465" i="5"/>
  <c r="D473" i="5"/>
  <c r="D481" i="5"/>
  <c r="D489" i="5"/>
  <c r="D497" i="5"/>
  <c r="D505" i="5"/>
  <c r="D513" i="5"/>
  <c r="D521" i="5"/>
  <c r="D529" i="5"/>
  <c r="D537" i="5"/>
  <c r="D545" i="5"/>
  <c r="D553" i="5"/>
  <c r="D561" i="5"/>
  <c r="D569" i="5"/>
  <c r="D577" i="5"/>
  <c r="D585" i="5"/>
  <c r="D593" i="5"/>
  <c r="D601" i="5"/>
  <c r="D609" i="5"/>
  <c r="D617" i="5"/>
  <c r="D625" i="5"/>
  <c r="D633" i="5"/>
  <c r="D641" i="5"/>
  <c r="D649" i="5"/>
  <c r="D657" i="5"/>
  <c r="D665" i="5"/>
  <c r="D673" i="5"/>
  <c r="D681" i="5"/>
  <c r="D689" i="5"/>
  <c r="D697" i="5"/>
  <c r="D705" i="5"/>
  <c r="D713" i="5"/>
  <c r="D721" i="5"/>
  <c r="D729" i="5"/>
  <c r="D737" i="5"/>
  <c r="D745" i="5"/>
  <c r="D753" i="5"/>
  <c r="D761" i="5"/>
  <c r="D769" i="5"/>
  <c r="D777" i="5"/>
  <c r="D785" i="5"/>
  <c r="D793" i="5"/>
  <c r="D801" i="5"/>
  <c r="D809" i="5"/>
  <c r="D817" i="5"/>
  <c r="D825" i="5"/>
  <c r="D833" i="5"/>
  <c r="C14" i="5"/>
  <c r="D19" i="5"/>
  <c r="D51" i="5"/>
  <c r="D83" i="5"/>
  <c r="D115" i="5"/>
  <c r="D147" i="5"/>
  <c r="D179" i="5"/>
  <c r="D211" i="5"/>
  <c r="D243" i="5"/>
  <c r="D275" i="5"/>
  <c r="D300" i="5"/>
  <c r="D316" i="5"/>
  <c r="D332" i="5"/>
  <c r="D346" i="5"/>
  <c r="D354" i="5"/>
  <c r="D362" i="5"/>
  <c r="D370" i="5"/>
  <c r="D378" i="5"/>
  <c r="D386" i="5"/>
  <c r="D394" i="5"/>
  <c r="D402" i="5"/>
  <c r="D410" i="5"/>
  <c r="D418" i="5"/>
  <c r="D426" i="5"/>
  <c r="D434" i="5"/>
  <c r="D442" i="5"/>
  <c r="D450" i="5"/>
  <c r="D458" i="5"/>
  <c r="D466" i="5"/>
  <c r="D474" i="5"/>
  <c r="D482" i="5"/>
  <c r="D490" i="5"/>
  <c r="D498" i="5"/>
  <c r="D506" i="5"/>
  <c r="D514" i="5"/>
  <c r="D522" i="5"/>
  <c r="D530" i="5"/>
  <c r="D538" i="5"/>
  <c r="D546" i="5"/>
  <c r="D554" i="5"/>
  <c r="D562" i="5"/>
  <c r="D570" i="5"/>
  <c r="D578" i="5"/>
  <c r="D586" i="5"/>
  <c r="D594" i="5"/>
  <c r="D602" i="5"/>
  <c r="D610" i="5"/>
  <c r="D618" i="5"/>
  <c r="D626" i="5"/>
  <c r="D634" i="5"/>
  <c r="D642" i="5"/>
  <c r="D650" i="5"/>
  <c r="D658" i="5"/>
  <c r="D666" i="5"/>
  <c r="D674" i="5"/>
  <c r="D682" i="5"/>
  <c r="D690" i="5"/>
  <c r="D698" i="5"/>
  <c r="D706" i="5"/>
  <c r="D714" i="5"/>
  <c r="D722" i="5"/>
  <c r="D730" i="5"/>
  <c r="D738" i="5"/>
  <c r="D746" i="5"/>
  <c r="D754" i="5"/>
  <c r="D762" i="5"/>
  <c r="D770" i="5"/>
  <c r="D778" i="5"/>
  <c r="D786" i="5"/>
  <c r="D794" i="5"/>
  <c r="D802" i="5"/>
  <c r="D810" i="5"/>
  <c r="D818" i="5"/>
  <c r="D826" i="5"/>
  <c r="C7" i="5"/>
  <c r="C15" i="5"/>
  <c r="D26" i="5"/>
  <c r="D58" i="5"/>
  <c r="D90" i="5"/>
  <c r="D122" i="5"/>
  <c r="D154" i="5"/>
  <c r="D186" i="5"/>
  <c r="D218" i="5"/>
  <c r="D250" i="5"/>
  <c r="D282" i="5"/>
  <c r="D303" i="5"/>
  <c r="D319" i="5"/>
  <c r="D335" i="5"/>
  <c r="D347" i="5"/>
  <c r="D355" i="5"/>
  <c r="D363" i="5"/>
  <c r="D371" i="5"/>
  <c r="D379" i="5"/>
  <c r="D387" i="5"/>
  <c r="D395" i="5"/>
  <c r="D403" i="5"/>
  <c r="D411" i="5"/>
  <c r="D419" i="5"/>
  <c r="D427" i="5"/>
  <c r="D435" i="5"/>
  <c r="D443" i="5"/>
  <c r="D451" i="5"/>
  <c r="D459" i="5"/>
  <c r="D467" i="5"/>
  <c r="D475" i="5"/>
  <c r="D483" i="5"/>
  <c r="D491" i="5"/>
  <c r="D499" i="5"/>
  <c r="D507" i="5"/>
  <c r="D515" i="5"/>
  <c r="D523" i="5"/>
  <c r="D531" i="5"/>
  <c r="D539" i="5"/>
  <c r="D547" i="5"/>
  <c r="D555" i="5"/>
  <c r="D563" i="5"/>
  <c r="D571" i="5"/>
  <c r="D579" i="5"/>
  <c r="D587" i="5"/>
  <c r="D595" i="5"/>
  <c r="D603" i="5"/>
  <c r="D611" i="5"/>
  <c r="D619" i="5"/>
  <c r="D627" i="5"/>
  <c r="D635" i="5"/>
  <c r="D643" i="5"/>
  <c r="D651" i="5"/>
  <c r="D659" i="5"/>
  <c r="D667" i="5"/>
  <c r="D675" i="5"/>
  <c r="D683" i="5"/>
  <c r="D691" i="5"/>
  <c r="D699" i="5"/>
  <c r="D707" i="5"/>
  <c r="D715" i="5"/>
  <c r="D723" i="5"/>
  <c r="D731" i="5"/>
  <c r="D739" i="5"/>
  <c r="D747" i="5"/>
  <c r="D755" i="5"/>
  <c r="D763" i="5"/>
  <c r="D771" i="5"/>
  <c r="D779" i="5"/>
  <c r="D787" i="5"/>
  <c r="D795" i="5"/>
  <c r="D803" i="5"/>
  <c r="D811" i="5"/>
  <c r="D819" i="5"/>
  <c r="D827" i="5"/>
  <c r="C8" i="5"/>
  <c r="C16" i="5"/>
  <c r="D27" i="5"/>
  <c r="D59" i="5"/>
  <c r="D91" i="5"/>
  <c r="D123" i="5"/>
  <c r="D155" i="5"/>
  <c r="D187" i="5"/>
  <c r="D219" i="5"/>
  <c r="D251" i="5"/>
  <c r="D283" i="5"/>
  <c r="D306" i="5"/>
  <c r="D322" i="5"/>
  <c r="D336" i="5"/>
  <c r="D348" i="5"/>
  <c r="D356" i="5"/>
  <c r="D364" i="5"/>
  <c r="D372" i="5"/>
  <c r="D380" i="5"/>
  <c r="D388" i="5"/>
  <c r="D396" i="5"/>
  <c r="D404" i="5"/>
  <c r="D412" i="5"/>
  <c r="D420" i="5"/>
  <c r="D428" i="5"/>
  <c r="D436" i="5"/>
  <c r="D444" i="5"/>
  <c r="D452" i="5"/>
  <c r="D460" i="5"/>
  <c r="D468" i="5"/>
  <c r="D476" i="5"/>
  <c r="D484" i="5"/>
  <c r="D492" i="5"/>
  <c r="D500" i="5"/>
  <c r="D508" i="5"/>
  <c r="D516" i="5"/>
  <c r="D524" i="5"/>
  <c r="D532" i="5"/>
  <c r="D540" i="5"/>
  <c r="D548" i="5"/>
  <c r="D556" i="5"/>
  <c r="D564" i="5"/>
  <c r="D572" i="5"/>
  <c r="D580" i="5"/>
  <c r="D588" i="5"/>
  <c r="D596" i="5"/>
  <c r="D604" i="5"/>
  <c r="D612" i="5"/>
  <c r="D620" i="5"/>
  <c r="D628" i="5"/>
  <c r="D636" i="5"/>
  <c r="D644" i="5"/>
  <c r="D652" i="5"/>
  <c r="D660" i="5"/>
  <c r="D668" i="5"/>
  <c r="D676" i="5"/>
  <c r="D684" i="5"/>
  <c r="D692" i="5"/>
  <c r="D700" i="5"/>
  <c r="D708" i="5"/>
  <c r="D716" i="5"/>
  <c r="D724" i="5"/>
  <c r="D732" i="5"/>
  <c r="D740" i="5"/>
  <c r="D748" i="5"/>
  <c r="D756" i="5"/>
  <c r="D764" i="5"/>
  <c r="D772" i="5"/>
  <c r="D780" i="5"/>
  <c r="D788" i="5"/>
  <c r="D796" i="5"/>
  <c r="D804" i="5"/>
  <c r="D812" i="5"/>
  <c r="D34" i="5"/>
  <c r="D66" i="5"/>
  <c r="D98" i="5"/>
  <c r="D130" i="5"/>
  <c r="D162" i="5"/>
  <c r="D194" i="5"/>
  <c r="D226" i="5"/>
  <c r="D258" i="5"/>
  <c r="D290" i="5"/>
  <c r="D307" i="5"/>
  <c r="D323" i="5"/>
  <c r="D338" i="5"/>
  <c r="D349" i="5"/>
  <c r="D357" i="5"/>
  <c r="D365" i="5"/>
  <c r="D373" i="5"/>
  <c r="D381" i="5"/>
  <c r="D389" i="5"/>
  <c r="D397" i="5"/>
  <c r="D405" i="5"/>
  <c r="D413" i="5"/>
  <c r="D421" i="5"/>
  <c r="D429" i="5"/>
  <c r="D437" i="5"/>
  <c r="D445" i="5"/>
  <c r="D453" i="5"/>
  <c r="D461" i="5"/>
  <c r="D469" i="5"/>
  <c r="D477" i="5"/>
  <c r="D485" i="5"/>
  <c r="D493" i="5"/>
  <c r="D501" i="5"/>
  <c r="D509" i="5"/>
  <c r="D517" i="5"/>
  <c r="D525" i="5"/>
  <c r="D533" i="5"/>
  <c r="D541" i="5"/>
  <c r="D549" i="5"/>
  <c r="D557" i="5"/>
  <c r="D565" i="5"/>
  <c r="D573" i="5"/>
  <c r="D581" i="5"/>
  <c r="D589" i="5"/>
  <c r="D597" i="5"/>
  <c r="D605" i="5"/>
  <c r="D613" i="5"/>
  <c r="D621" i="5"/>
  <c r="D629" i="5"/>
  <c r="D637" i="5"/>
  <c r="D645" i="5"/>
  <c r="D653" i="5"/>
  <c r="D661" i="5"/>
  <c r="D669" i="5"/>
  <c r="D677" i="5"/>
  <c r="D685" i="5"/>
  <c r="D693" i="5"/>
  <c r="D701" i="5"/>
  <c r="D709" i="5"/>
  <c r="D717" i="5"/>
  <c r="D725" i="5"/>
  <c r="D733" i="5"/>
  <c r="D741" i="5"/>
  <c r="D749" i="5"/>
  <c r="D757" i="5"/>
  <c r="D765" i="5"/>
  <c r="D773" i="5"/>
  <c r="D781" i="5"/>
  <c r="D789" i="5"/>
  <c r="D797" i="5"/>
  <c r="D805" i="5"/>
  <c r="D813" i="5"/>
  <c r="D75" i="5"/>
  <c r="D170" i="5"/>
  <c r="D259" i="5"/>
  <c r="D314" i="5"/>
  <c r="D351" i="5"/>
  <c r="D374" i="5"/>
  <c r="D392" i="5"/>
  <c r="D415" i="5"/>
  <c r="D438" i="5"/>
  <c r="D456" i="5"/>
  <c r="D479" i="5"/>
  <c r="D502" i="5"/>
  <c r="D520" i="5"/>
  <c r="D543" i="5"/>
  <c r="D566" i="5"/>
  <c r="D584" i="5"/>
  <c r="D607" i="5"/>
  <c r="D630" i="5"/>
  <c r="D648" i="5"/>
  <c r="D671" i="5"/>
  <c r="D694" i="5"/>
  <c r="D712" i="5"/>
  <c r="D735" i="5"/>
  <c r="D758" i="5"/>
  <c r="D776" i="5"/>
  <c r="D799" i="5"/>
  <c r="D820" i="5"/>
  <c r="D831" i="5"/>
  <c r="C18" i="5"/>
  <c r="C26" i="5"/>
  <c r="C34" i="5"/>
  <c r="C42" i="5"/>
  <c r="C50" i="5"/>
  <c r="C58" i="5"/>
  <c r="C66" i="5"/>
  <c r="C74" i="5"/>
  <c r="C82" i="5"/>
  <c r="C90" i="5"/>
  <c r="C98" i="5"/>
  <c r="C106" i="5"/>
  <c r="C114" i="5"/>
  <c r="C122" i="5"/>
  <c r="C130" i="5"/>
  <c r="C138" i="5"/>
  <c r="C146" i="5"/>
  <c r="C154" i="5"/>
  <c r="C162" i="5"/>
  <c r="C170" i="5"/>
  <c r="C178" i="5"/>
  <c r="C186" i="5"/>
  <c r="C194" i="5"/>
  <c r="C202" i="5"/>
  <c r="C210" i="5"/>
  <c r="C218" i="5"/>
  <c r="C226" i="5"/>
  <c r="C234" i="5"/>
  <c r="C242" i="5"/>
  <c r="C250" i="5"/>
  <c r="C258" i="5"/>
  <c r="C266" i="5"/>
  <c r="C274" i="5"/>
  <c r="C282" i="5"/>
  <c r="C290" i="5"/>
  <c r="C298" i="5"/>
  <c r="C306" i="5"/>
  <c r="C314" i="5"/>
  <c r="C322" i="5"/>
  <c r="C330" i="5"/>
  <c r="C338" i="5"/>
  <c r="C346" i="5"/>
  <c r="C354" i="5"/>
  <c r="C362" i="5"/>
  <c r="C370" i="5"/>
  <c r="C378" i="5"/>
  <c r="C386" i="5"/>
  <c r="D10" i="5"/>
  <c r="D99" i="5"/>
  <c r="D171" i="5"/>
  <c r="D266" i="5"/>
  <c r="D324" i="5"/>
  <c r="D352" i="5"/>
  <c r="D375" i="5"/>
  <c r="D398" i="5"/>
  <c r="D416" i="5"/>
  <c r="D439" i="5"/>
  <c r="D462" i="5"/>
  <c r="D480" i="5"/>
  <c r="D503" i="5"/>
  <c r="D526" i="5"/>
  <c r="D544" i="5"/>
  <c r="D567" i="5"/>
  <c r="D590" i="5"/>
  <c r="D608" i="5"/>
  <c r="D631" i="5"/>
  <c r="D654" i="5"/>
  <c r="D672" i="5"/>
  <c r="D695" i="5"/>
  <c r="D718" i="5"/>
  <c r="D736" i="5"/>
  <c r="D759" i="5"/>
  <c r="D782" i="5"/>
  <c r="D800" i="5"/>
  <c r="D821" i="5"/>
  <c r="D832" i="5"/>
  <c r="C19" i="5"/>
  <c r="C27" i="5"/>
  <c r="C35" i="5"/>
  <c r="C43" i="5"/>
  <c r="C51" i="5"/>
  <c r="C59" i="5"/>
  <c r="C67" i="5"/>
  <c r="C75" i="5"/>
  <c r="C83" i="5"/>
  <c r="C91" i="5"/>
  <c r="C99" i="5"/>
  <c r="C107" i="5"/>
  <c r="C115" i="5"/>
  <c r="C123" i="5"/>
  <c r="C131" i="5"/>
  <c r="C139" i="5"/>
  <c r="C147" i="5"/>
  <c r="C155" i="5"/>
  <c r="C163" i="5"/>
  <c r="C171" i="5"/>
  <c r="C179" i="5"/>
  <c r="C187" i="5"/>
  <c r="C195" i="5"/>
  <c r="C203" i="5"/>
  <c r="C211" i="5"/>
  <c r="C219" i="5"/>
  <c r="C227" i="5"/>
  <c r="C235" i="5"/>
  <c r="C243" i="5"/>
  <c r="C251" i="5"/>
  <c r="C259" i="5"/>
  <c r="C267" i="5"/>
  <c r="C275" i="5"/>
  <c r="C283" i="5"/>
  <c r="C291" i="5"/>
  <c r="C299" i="5"/>
  <c r="C307" i="5"/>
  <c r="C315" i="5"/>
  <c r="C323" i="5"/>
  <c r="C331" i="5"/>
  <c r="C339" i="5"/>
  <c r="C347" i="5"/>
  <c r="C355" i="5"/>
  <c r="C363" i="5"/>
  <c r="C371" i="5"/>
  <c r="C379" i="5"/>
  <c r="C387" i="5"/>
  <c r="C395" i="5"/>
  <c r="C403" i="5"/>
  <c r="C411" i="5"/>
  <c r="C419" i="5"/>
  <c r="C427" i="5"/>
  <c r="C435" i="5"/>
  <c r="D11" i="5"/>
  <c r="D106" i="5"/>
  <c r="D195" i="5"/>
  <c r="D267" i="5"/>
  <c r="D327" i="5"/>
  <c r="D358" i="5"/>
  <c r="D376" i="5"/>
  <c r="D399" i="5"/>
  <c r="D422" i="5"/>
  <c r="D440" i="5"/>
  <c r="D463" i="5"/>
  <c r="D486" i="5"/>
  <c r="D504" i="5"/>
  <c r="D527" i="5"/>
  <c r="D550" i="5"/>
  <c r="D568" i="5"/>
  <c r="D591" i="5"/>
  <c r="D614" i="5"/>
  <c r="D632" i="5"/>
  <c r="D655" i="5"/>
  <c r="D678" i="5"/>
  <c r="D696" i="5"/>
  <c r="D719" i="5"/>
  <c r="D742" i="5"/>
  <c r="D760" i="5"/>
  <c r="D783" i="5"/>
  <c r="D806" i="5"/>
  <c r="D822" i="5"/>
  <c r="C9" i="5"/>
  <c r="C20" i="5"/>
  <c r="C28" i="5"/>
  <c r="C36" i="5"/>
  <c r="C44" i="5"/>
  <c r="C52" i="5"/>
  <c r="C60" i="5"/>
  <c r="C68" i="5"/>
  <c r="C76" i="5"/>
  <c r="C84" i="5"/>
  <c r="C92" i="5"/>
  <c r="C100" i="5"/>
  <c r="C108" i="5"/>
  <c r="C116" i="5"/>
  <c r="C124" i="5"/>
  <c r="C132" i="5"/>
  <c r="C140" i="5"/>
  <c r="C148" i="5"/>
  <c r="C156" i="5"/>
  <c r="C164" i="5"/>
  <c r="C172" i="5"/>
  <c r="C180" i="5"/>
  <c r="C188" i="5"/>
  <c r="C196" i="5"/>
  <c r="C204" i="5"/>
  <c r="C212" i="5"/>
  <c r="C220" i="5"/>
  <c r="C228" i="5"/>
  <c r="C236" i="5"/>
  <c r="C244" i="5"/>
  <c r="C252" i="5"/>
  <c r="C260" i="5"/>
  <c r="C268" i="5"/>
  <c r="C276" i="5"/>
  <c r="C284" i="5"/>
  <c r="C292" i="5"/>
  <c r="C300" i="5"/>
  <c r="C308" i="5"/>
  <c r="C316" i="5"/>
  <c r="C324" i="5"/>
  <c r="C332" i="5"/>
  <c r="C340" i="5"/>
  <c r="C348" i="5"/>
  <c r="C356" i="5"/>
  <c r="C364" i="5"/>
  <c r="C372" i="5"/>
  <c r="C380" i="5"/>
  <c r="C388" i="5"/>
  <c r="D35" i="5"/>
  <c r="D107" i="5"/>
  <c r="D202" i="5"/>
  <c r="D291" i="5"/>
  <c r="D330" i="5"/>
  <c r="D359" i="5"/>
  <c r="D382" i="5"/>
  <c r="D400" i="5"/>
  <c r="D423" i="5"/>
  <c r="D446" i="5"/>
  <c r="D464" i="5"/>
  <c r="D487" i="5"/>
  <c r="D510" i="5"/>
  <c r="D528" i="5"/>
  <c r="D551" i="5"/>
  <c r="D574" i="5"/>
  <c r="D592" i="5"/>
  <c r="D615" i="5"/>
  <c r="D638" i="5"/>
  <c r="D656" i="5"/>
  <c r="D679" i="5"/>
  <c r="D702" i="5"/>
  <c r="D720" i="5"/>
  <c r="D743" i="5"/>
  <c r="D766" i="5"/>
  <c r="D784" i="5"/>
  <c r="D807" i="5"/>
  <c r="D823" i="5"/>
  <c r="C10" i="5"/>
  <c r="C21" i="5"/>
  <c r="C29" i="5"/>
  <c r="C37" i="5"/>
  <c r="C45" i="5"/>
  <c r="C53" i="5"/>
  <c r="C61" i="5"/>
  <c r="C69" i="5"/>
  <c r="C77" i="5"/>
  <c r="C85" i="5"/>
  <c r="C93" i="5"/>
  <c r="C101" i="5"/>
  <c r="C109" i="5"/>
  <c r="C117" i="5"/>
  <c r="C125" i="5"/>
  <c r="C133" i="5"/>
  <c r="C141" i="5"/>
  <c r="C149" i="5"/>
  <c r="C157" i="5"/>
  <c r="C165" i="5"/>
  <c r="C173" i="5"/>
  <c r="C181" i="5"/>
  <c r="C189" i="5"/>
  <c r="C197" i="5"/>
  <c r="C205" i="5"/>
  <c r="C213" i="5"/>
  <c r="C221" i="5"/>
  <c r="C229" i="5"/>
  <c r="C237" i="5"/>
  <c r="C245" i="5"/>
  <c r="C253" i="5"/>
  <c r="C261" i="5"/>
  <c r="C269" i="5"/>
  <c r="C277" i="5"/>
  <c r="C285" i="5"/>
  <c r="C293" i="5"/>
  <c r="C301" i="5"/>
  <c r="C309" i="5"/>
  <c r="C317" i="5"/>
  <c r="C325" i="5"/>
  <c r="C333" i="5"/>
  <c r="C341" i="5"/>
  <c r="C349" i="5"/>
  <c r="C357" i="5"/>
  <c r="C365" i="5"/>
  <c r="C373" i="5"/>
  <c r="C381" i="5"/>
  <c r="D42" i="5"/>
  <c r="D131" i="5"/>
  <c r="D203" i="5"/>
  <c r="D295" i="5"/>
  <c r="D339" i="5"/>
  <c r="D360" i="5"/>
  <c r="D383" i="5"/>
  <c r="D406" i="5"/>
  <c r="D424" i="5"/>
  <c r="D447" i="5"/>
  <c r="D470" i="5"/>
  <c r="D488" i="5"/>
  <c r="D511" i="5"/>
  <c r="D534" i="5"/>
  <c r="D552" i="5"/>
  <c r="D575" i="5"/>
  <c r="D598" i="5"/>
  <c r="D616" i="5"/>
  <c r="D639" i="5"/>
  <c r="D662" i="5"/>
  <c r="D680" i="5"/>
  <c r="D703" i="5"/>
  <c r="D726" i="5"/>
  <c r="D744" i="5"/>
  <c r="D767" i="5"/>
  <c r="D790" i="5"/>
  <c r="D808" i="5"/>
  <c r="D824" i="5"/>
  <c r="C11" i="5"/>
  <c r="C22" i="5"/>
  <c r="C30" i="5"/>
  <c r="C38" i="5"/>
  <c r="C46" i="5"/>
  <c r="C54" i="5"/>
  <c r="C62" i="5"/>
  <c r="C70" i="5"/>
  <c r="C78" i="5"/>
  <c r="C86" i="5"/>
  <c r="C94" i="5"/>
  <c r="C102" i="5"/>
  <c r="C110" i="5"/>
  <c r="C118" i="5"/>
  <c r="C126" i="5"/>
  <c r="C134" i="5"/>
  <c r="C142" i="5"/>
  <c r="C150" i="5"/>
  <c r="C158" i="5"/>
  <c r="C166" i="5"/>
  <c r="C174" i="5"/>
  <c r="C182" i="5"/>
  <c r="C190" i="5"/>
  <c r="C198" i="5"/>
  <c r="C206" i="5"/>
  <c r="C214" i="5"/>
  <c r="C222" i="5"/>
  <c r="C230" i="5"/>
  <c r="C238" i="5"/>
  <c r="C246" i="5"/>
  <c r="C254" i="5"/>
  <c r="C262" i="5"/>
  <c r="C270" i="5"/>
  <c r="C278" i="5"/>
  <c r="C286" i="5"/>
  <c r="C294" i="5"/>
  <c r="C302" i="5"/>
  <c r="C310" i="5"/>
  <c r="C318" i="5"/>
  <c r="C326" i="5"/>
  <c r="C334" i="5"/>
  <c r="C342" i="5"/>
  <c r="C350" i="5"/>
  <c r="C358" i="5"/>
  <c r="C366" i="5"/>
  <c r="C374" i="5"/>
  <c r="C382" i="5"/>
  <c r="C390" i="5"/>
  <c r="C398" i="5"/>
  <c r="C406" i="5"/>
  <c r="C414" i="5"/>
  <c r="C422" i="5"/>
  <c r="C430" i="5"/>
  <c r="D43" i="5"/>
  <c r="D138" i="5"/>
  <c r="D227" i="5"/>
  <c r="D298" i="5"/>
  <c r="D340" i="5"/>
  <c r="D366" i="5"/>
  <c r="D384" i="5"/>
  <c r="D407" i="5"/>
  <c r="D430" i="5"/>
  <c r="D448" i="5"/>
  <c r="D471" i="5"/>
  <c r="D494" i="5"/>
  <c r="D512" i="5"/>
  <c r="D535" i="5"/>
  <c r="D558" i="5"/>
  <c r="D576" i="5"/>
  <c r="D599" i="5"/>
  <c r="D622" i="5"/>
  <c r="D640" i="5"/>
  <c r="D663" i="5"/>
  <c r="D686" i="5"/>
  <c r="D704" i="5"/>
  <c r="D727" i="5"/>
  <c r="D750" i="5"/>
  <c r="D768" i="5"/>
  <c r="D791" i="5"/>
  <c r="D814" i="5"/>
  <c r="D828" i="5"/>
  <c r="C12" i="5"/>
  <c r="C23" i="5"/>
  <c r="C31" i="5"/>
  <c r="C39" i="5"/>
  <c r="C47" i="5"/>
  <c r="C55" i="5"/>
  <c r="C63" i="5"/>
  <c r="C71" i="5"/>
  <c r="C79" i="5"/>
  <c r="C87" i="5"/>
  <c r="C95" i="5"/>
  <c r="C103" i="5"/>
  <c r="C111" i="5"/>
  <c r="C119" i="5"/>
  <c r="C127" i="5"/>
  <c r="C135" i="5"/>
  <c r="C143" i="5"/>
  <c r="C151" i="5"/>
  <c r="C159" i="5"/>
  <c r="C167" i="5"/>
  <c r="C175" i="5"/>
  <c r="C183" i="5"/>
  <c r="C191" i="5"/>
  <c r="C199" i="5"/>
  <c r="C207" i="5"/>
  <c r="C215" i="5"/>
  <c r="C223" i="5"/>
  <c r="C231" i="5"/>
  <c r="C239" i="5"/>
  <c r="C247" i="5"/>
  <c r="C255" i="5"/>
  <c r="C263" i="5"/>
  <c r="C271" i="5"/>
  <c r="C279" i="5"/>
  <c r="C287" i="5"/>
  <c r="C295" i="5"/>
  <c r="C303" i="5"/>
  <c r="C311" i="5"/>
  <c r="C319" i="5"/>
  <c r="C327" i="5"/>
  <c r="C335" i="5"/>
  <c r="C343" i="5"/>
  <c r="C351" i="5"/>
  <c r="C359" i="5"/>
  <c r="C367" i="5"/>
  <c r="C375" i="5"/>
  <c r="C383" i="5"/>
  <c r="C833" i="5"/>
  <c r="C825" i="5"/>
  <c r="C817" i="5"/>
  <c r="C809" i="5"/>
  <c r="C801" i="5"/>
  <c r="C793" i="5"/>
  <c r="C785" i="5"/>
  <c r="C777" i="5"/>
  <c r="C769" i="5"/>
  <c r="C761" i="5"/>
  <c r="C753" i="5"/>
  <c r="C745" i="5"/>
  <c r="C737" i="5"/>
  <c r="C729" i="5"/>
  <c r="C721" i="5"/>
  <c r="C713" i="5"/>
  <c r="C705" i="5"/>
  <c r="C697" i="5"/>
  <c r="C689" i="5"/>
  <c r="C681" i="5"/>
  <c r="C673" i="5"/>
  <c r="C665" i="5"/>
  <c r="C657" i="5"/>
  <c r="C649" i="5"/>
  <c r="C641" i="5"/>
  <c r="C633" i="5"/>
  <c r="C625" i="5"/>
  <c r="C617" i="5"/>
  <c r="C609" i="5"/>
  <c r="C601" i="5"/>
  <c r="C593" i="5"/>
  <c r="C585" i="5"/>
  <c r="C577" i="5"/>
  <c r="C569" i="5"/>
  <c r="C561" i="5"/>
  <c r="C553" i="5"/>
  <c r="C545" i="5"/>
  <c r="C537" i="5"/>
  <c r="C529" i="5"/>
  <c r="C521" i="5"/>
  <c r="C513" i="5"/>
  <c r="C505" i="5"/>
  <c r="C497" i="5"/>
  <c r="C489" i="5"/>
  <c r="C481" i="5"/>
  <c r="C473" i="5"/>
  <c r="C465" i="5"/>
  <c r="C457" i="5"/>
  <c r="C449" i="5"/>
  <c r="C441" i="5"/>
  <c r="C432" i="5"/>
  <c r="C421" i="5"/>
  <c r="C410" i="5"/>
  <c r="C400" i="5"/>
  <c r="C389" i="5"/>
  <c r="C360" i="5"/>
  <c r="C328" i="5"/>
  <c r="C296" i="5"/>
  <c r="C264" i="5"/>
  <c r="C232" i="5"/>
  <c r="C200" i="5"/>
  <c r="C168" i="5"/>
  <c r="C136" i="5"/>
  <c r="C104" i="5"/>
  <c r="C72" i="5"/>
  <c r="C40" i="5"/>
  <c r="D829" i="5"/>
  <c r="D751" i="5"/>
  <c r="D664" i="5"/>
  <c r="D582" i="5"/>
  <c r="D495" i="5"/>
  <c r="D408" i="5"/>
  <c r="D308" i="5"/>
  <c r="D12" i="4"/>
  <c r="D8" i="13" s="1"/>
  <c r="D20" i="4"/>
  <c r="D16" i="13" s="1"/>
  <c r="D28" i="4"/>
  <c r="D24" i="13" s="1"/>
  <c r="D36" i="4"/>
  <c r="D32" i="13" s="1"/>
  <c r="D44" i="4"/>
  <c r="D40" i="13" s="1"/>
  <c r="D52" i="4"/>
  <c r="D48" i="13" s="1"/>
  <c r="D60" i="4"/>
  <c r="D56" i="13" s="1"/>
  <c r="D68" i="4"/>
  <c r="D64" i="13" s="1"/>
  <c r="D76" i="4"/>
  <c r="D72" i="13" s="1"/>
  <c r="D84" i="4"/>
  <c r="D80" i="13" s="1"/>
  <c r="D92" i="4"/>
  <c r="D88" i="13" s="1"/>
  <c r="D100" i="4"/>
  <c r="D96" i="13" s="1"/>
  <c r="D108" i="4"/>
  <c r="D104" i="13" s="1"/>
  <c r="D116" i="4"/>
  <c r="D112" i="13" s="1"/>
  <c r="D124" i="4"/>
  <c r="D120" i="13" s="1"/>
  <c r="D132" i="4"/>
  <c r="D128" i="13" s="1"/>
  <c r="D140" i="4"/>
  <c r="D136" i="13" s="1"/>
  <c r="D148" i="4"/>
  <c r="D144" i="13" s="1"/>
  <c r="D156" i="4"/>
  <c r="D152" i="13" s="1"/>
  <c r="D164" i="4"/>
  <c r="D160" i="13" s="1"/>
  <c r="D172" i="4"/>
  <c r="D168" i="13" s="1"/>
  <c r="D180" i="4"/>
  <c r="D176" i="13" s="1"/>
  <c r="D188" i="4"/>
  <c r="D184" i="13" s="1"/>
  <c r="D196" i="4"/>
  <c r="D192" i="13" s="1"/>
  <c r="D13" i="4"/>
  <c r="D9" i="13" s="1"/>
  <c r="D21" i="4"/>
  <c r="D17" i="13" s="1"/>
  <c r="D29" i="4"/>
  <c r="D25" i="13" s="1"/>
  <c r="D37" i="4"/>
  <c r="D33" i="13" s="1"/>
  <c r="D45" i="4"/>
  <c r="D41" i="13" s="1"/>
  <c r="D53" i="4"/>
  <c r="D49" i="13" s="1"/>
  <c r="D61" i="4"/>
  <c r="D57" i="13" s="1"/>
  <c r="D69" i="4"/>
  <c r="D65" i="13" s="1"/>
  <c r="D77" i="4"/>
  <c r="D73" i="13" s="1"/>
  <c r="D85" i="4"/>
  <c r="D81" i="13" s="1"/>
  <c r="D93" i="4"/>
  <c r="D89" i="13" s="1"/>
  <c r="D101" i="4"/>
  <c r="D97" i="13" s="1"/>
  <c r="D109" i="4"/>
  <c r="D105" i="13" s="1"/>
  <c r="D117" i="4"/>
  <c r="D113" i="13" s="1"/>
  <c r="D125" i="4"/>
  <c r="D121" i="13" s="1"/>
  <c r="D133" i="4"/>
  <c r="D129" i="13" s="1"/>
  <c r="D141" i="4"/>
  <c r="D137" i="13" s="1"/>
  <c r="D149" i="4"/>
  <c r="D145" i="13" s="1"/>
  <c r="D157" i="4"/>
  <c r="D153" i="13" s="1"/>
  <c r="D165" i="4"/>
  <c r="D161" i="13" s="1"/>
  <c r="D173" i="4"/>
  <c r="D169" i="13" s="1"/>
  <c r="D181" i="4"/>
  <c r="D177" i="13" s="1"/>
  <c r="D189" i="4"/>
  <c r="D185" i="13" s="1"/>
  <c r="D197" i="4"/>
  <c r="D193" i="13" s="1"/>
  <c r="D14" i="4"/>
  <c r="D10" i="13" s="1"/>
  <c r="D22" i="4"/>
  <c r="D18" i="13" s="1"/>
  <c r="D30" i="4"/>
  <c r="D26" i="13" s="1"/>
  <c r="D38" i="4"/>
  <c r="D34" i="13" s="1"/>
  <c r="D46" i="4"/>
  <c r="D42" i="13" s="1"/>
  <c r="D54" i="4"/>
  <c r="D50" i="13" s="1"/>
  <c r="D62" i="4"/>
  <c r="D58" i="13" s="1"/>
  <c r="D70" i="4"/>
  <c r="D66" i="13" s="1"/>
  <c r="D78" i="4"/>
  <c r="D74" i="13" s="1"/>
  <c r="D86" i="4"/>
  <c r="D82" i="13" s="1"/>
  <c r="D94" i="4"/>
  <c r="D90" i="13" s="1"/>
  <c r="D102" i="4"/>
  <c r="D98" i="13" s="1"/>
  <c r="D110" i="4"/>
  <c r="D106" i="13" s="1"/>
  <c r="D118" i="4"/>
  <c r="D114" i="13" s="1"/>
  <c r="D126" i="4"/>
  <c r="D122" i="13" s="1"/>
  <c r="D134" i="4"/>
  <c r="D130" i="13" s="1"/>
  <c r="D142" i="4"/>
  <c r="D138" i="13" s="1"/>
  <c r="D150" i="4"/>
  <c r="D146" i="13" s="1"/>
  <c r="D158" i="4"/>
  <c r="D154" i="13" s="1"/>
  <c r="D166" i="4"/>
  <c r="D162" i="13" s="1"/>
  <c r="D174" i="4"/>
  <c r="D170" i="13" s="1"/>
  <c r="D182" i="4"/>
  <c r="D178" i="13" s="1"/>
  <c r="D190" i="4"/>
  <c r="D186" i="13" s="1"/>
  <c r="D198" i="4"/>
  <c r="D194" i="13" s="1"/>
  <c r="D7" i="4"/>
  <c r="D3" i="13" s="1"/>
  <c r="D15" i="4"/>
  <c r="D11" i="13" s="1"/>
  <c r="D23" i="4"/>
  <c r="D19" i="13" s="1"/>
  <c r="D31" i="4"/>
  <c r="D27" i="13" s="1"/>
  <c r="D39" i="4"/>
  <c r="D35" i="13" s="1"/>
  <c r="D47" i="4"/>
  <c r="D43" i="13" s="1"/>
  <c r="D55" i="4"/>
  <c r="D51" i="13" s="1"/>
  <c r="D63" i="4"/>
  <c r="D59" i="13" s="1"/>
  <c r="D71" i="4"/>
  <c r="D67" i="13" s="1"/>
  <c r="D79" i="4"/>
  <c r="D75" i="13" s="1"/>
  <c r="D87" i="4"/>
  <c r="D83" i="13" s="1"/>
  <c r="D95" i="4"/>
  <c r="D91" i="13" s="1"/>
  <c r="D103" i="4"/>
  <c r="D99" i="13" s="1"/>
  <c r="D111" i="4"/>
  <c r="D107" i="13" s="1"/>
  <c r="D119" i="4"/>
  <c r="D115" i="13" s="1"/>
  <c r="D127" i="4"/>
  <c r="D123" i="13" s="1"/>
  <c r="D135" i="4"/>
  <c r="D131" i="13" s="1"/>
  <c r="D143" i="4"/>
  <c r="D139" i="13" s="1"/>
  <c r="D151" i="4"/>
  <c r="D147" i="13" s="1"/>
  <c r="D159" i="4"/>
  <c r="D155" i="13" s="1"/>
  <c r="D167" i="4"/>
  <c r="D163" i="13" s="1"/>
  <c r="D175" i="4"/>
  <c r="D171" i="13" s="1"/>
  <c r="D183" i="4"/>
  <c r="D179" i="13" s="1"/>
  <c r="D191" i="4"/>
  <c r="D187" i="13" s="1"/>
  <c r="G20" i="1"/>
  <c r="H15" i="10" s="1"/>
  <c r="D8" i="4"/>
  <c r="D4" i="13" s="1"/>
  <c r="D16" i="4"/>
  <c r="D12" i="13" s="1"/>
  <c r="D24" i="4"/>
  <c r="D20" i="13" s="1"/>
  <c r="D32" i="4"/>
  <c r="D28" i="13" s="1"/>
  <c r="D40" i="4"/>
  <c r="D36" i="13" s="1"/>
  <c r="D48" i="4"/>
  <c r="D44" i="13" s="1"/>
  <c r="D56" i="4"/>
  <c r="D52" i="13" s="1"/>
  <c r="D64" i="4"/>
  <c r="D60" i="13" s="1"/>
  <c r="D72" i="4"/>
  <c r="D68" i="13" s="1"/>
  <c r="D80" i="4"/>
  <c r="D76" i="13" s="1"/>
  <c r="D88" i="4"/>
  <c r="D84" i="13" s="1"/>
  <c r="D96" i="4"/>
  <c r="D92" i="13" s="1"/>
  <c r="D104" i="4"/>
  <c r="D100" i="13" s="1"/>
  <c r="D112" i="4"/>
  <c r="D108" i="13" s="1"/>
  <c r="D120" i="4"/>
  <c r="D116" i="13" s="1"/>
  <c r="D128" i="4"/>
  <c r="D124" i="13" s="1"/>
  <c r="D136" i="4"/>
  <c r="D132" i="13" s="1"/>
  <c r="D144" i="4"/>
  <c r="D140" i="13" s="1"/>
  <c r="D152" i="4"/>
  <c r="D148" i="13" s="1"/>
  <c r="D160" i="4"/>
  <c r="D156" i="13" s="1"/>
  <c r="D168" i="4"/>
  <c r="D164" i="13" s="1"/>
  <c r="D176" i="4"/>
  <c r="D172" i="13" s="1"/>
  <c r="D184" i="4"/>
  <c r="D180" i="13" s="1"/>
  <c r="D192" i="4"/>
  <c r="D188" i="13" s="1"/>
  <c r="D9" i="4"/>
  <c r="D5" i="13" s="1"/>
  <c r="D17" i="4"/>
  <c r="D13" i="13" s="1"/>
  <c r="D25" i="4"/>
  <c r="D21" i="13" s="1"/>
  <c r="D33" i="4"/>
  <c r="D29" i="13" s="1"/>
  <c r="D41" i="4"/>
  <c r="D37" i="13" s="1"/>
  <c r="D49" i="4"/>
  <c r="D45" i="13" s="1"/>
  <c r="D57" i="4"/>
  <c r="D53" i="13" s="1"/>
  <c r="D65" i="4"/>
  <c r="D61" i="13" s="1"/>
  <c r="D73" i="4"/>
  <c r="D69" i="13" s="1"/>
  <c r="D81" i="4"/>
  <c r="D77" i="13" s="1"/>
  <c r="D89" i="4"/>
  <c r="D85" i="13" s="1"/>
  <c r="D97" i="4"/>
  <c r="D93" i="13" s="1"/>
  <c r="D105" i="4"/>
  <c r="D101" i="13" s="1"/>
  <c r="D113" i="4"/>
  <c r="D109" i="13" s="1"/>
  <c r="D121" i="4"/>
  <c r="D117" i="13" s="1"/>
  <c r="D129" i="4"/>
  <c r="D125" i="13" s="1"/>
  <c r="D137" i="4"/>
  <c r="D133" i="13" s="1"/>
  <c r="D145" i="4"/>
  <c r="D141" i="13" s="1"/>
  <c r="D153" i="4"/>
  <c r="D149" i="13" s="1"/>
  <c r="D161" i="4"/>
  <c r="D157" i="13" s="1"/>
  <c r="D169" i="4"/>
  <c r="D165" i="13" s="1"/>
  <c r="D177" i="4"/>
  <c r="D173" i="13" s="1"/>
  <c r="D185" i="4"/>
  <c r="D181" i="13" s="1"/>
  <c r="D193" i="4"/>
  <c r="D189" i="13" s="1"/>
  <c r="D19" i="4"/>
  <c r="D15" i="13" s="1"/>
  <c r="D51" i="4"/>
  <c r="D47" i="13" s="1"/>
  <c r="D83" i="4"/>
  <c r="D79" i="13" s="1"/>
  <c r="D115" i="4"/>
  <c r="D111" i="13" s="1"/>
  <c r="D147" i="4"/>
  <c r="D143" i="13" s="1"/>
  <c r="D179" i="4"/>
  <c r="D175" i="13" s="1"/>
  <c r="D202" i="4"/>
  <c r="D198" i="13" s="1"/>
  <c r="D210" i="4"/>
  <c r="D206" i="13" s="1"/>
  <c r="D218" i="4"/>
  <c r="D214" i="13" s="1"/>
  <c r="D226" i="4"/>
  <c r="D222" i="13" s="1"/>
  <c r="D234" i="4"/>
  <c r="D230" i="13" s="1"/>
  <c r="D242" i="4"/>
  <c r="D238" i="13" s="1"/>
  <c r="D250" i="4"/>
  <c r="D246" i="13" s="1"/>
  <c r="D258" i="4"/>
  <c r="D254" i="13" s="1"/>
  <c r="D266" i="4"/>
  <c r="D262" i="13" s="1"/>
  <c r="D274" i="4"/>
  <c r="D270" i="13" s="1"/>
  <c r="D282" i="4"/>
  <c r="D278" i="13" s="1"/>
  <c r="D290" i="4"/>
  <c r="D286" i="13" s="1"/>
  <c r="D298" i="4"/>
  <c r="D294" i="13" s="1"/>
  <c r="D306" i="4"/>
  <c r="D302" i="13" s="1"/>
  <c r="D314" i="4"/>
  <c r="D310" i="13" s="1"/>
  <c r="D322" i="4"/>
  <c r="D318" i="13" s="1"/>
  <c r="D330" i="4"/>
  <c r="D326" i="13" s="1"/>
  <c r="D338" i="4"/>
  <c r="D334" i="13" s="1"/>
  <c r="D346" i="4"/>
  <c r="D342" i="13" s="1"/>
  <c r="D354" i="4"/>
  <c r="D350" i="13" s="1"/>
  <c r="D362" i="4"/>
  <c r="D358" i="13" s="1"/>
  <c r="D370" i="4"/>
  <c r="D366" i="13" s="1"/>
  <c r="D378" i="4"/>
  <c r="D374" i="13" s="1"/>
  <c r="D386" i="4"/>
  <c r="D382" i="13" s="1"/>
  <c r="D394" i="4"/>
  <c r="D390" i="13" s="1"/>
  <c r="D402" i="4"/>
  <c r="D398" i="13" s="1"/>
  <c r="D410" i="4"/>
  <c r="D406" i="13" s="1"/>
  <c r="D418" i="4"/>
  <c r="D414" i="13" s="1"/>
  <c r="D426" i="4"/>
  <c r="D422" i="13" s="1"/>
  <c r="D434" i="4"/>
  <c r="D430" i="13" s="1"/>
  <c r="D442" i="4"/>
  <c r="D438" i="13" s="1"/>
  <c r="D450" i="4"/>
  <c r="D446" i="13" s="1"/>
  <c r="D458" i="4"/>
  <c r="D454" i="13" s="1"/>
  <c r="D466" i="4"/>
  <c r="D462" i="13" s="1"/>
  <c r="D474" i="4"/>
  <c r="D470" i="13" s="1"/>
  <c r="D482" i="4"/>
  <c r="D478" i="13" s="1"/>
  <c r="D490" i="4"/>
  <c r="D486" i="13" s="1"/>
  <c r="D498" i="4"/>
  <c r="D494" i="13" s="1"/>
  <c r="D506" i="4"/>
  <c r="D502" i="13" s="1"/>
  <c r="D514" i="4"/>
  <c r="D510" i="13" s="1"/>
  <c r="D522" i="4"/>
  <c r="D518" i="13" s="1"/>
  <c r="D530" i="4"/>
  <c r="D526" i="13" s="1"/>
  <c r="D538" i="4"/>
  <c r="D534" i="13" s="1"/>
  <c r="D546" i="4"/>
  <c r="D542" i="13" s="1"/>
  <c r="D554" i="4"/>
  <c r="D550" i="13" s="1"/>
  <c r="D562" i="4"/>
  <c r="D558" i="13" s="1"/>
  <c r="D570" i="4"/>
  <c r="D566" i="13" s="1"/>
  <c r="D578" i="4"/>
  <c r="D574" i="13" s="1"/>
  <c r="D586" i="4"/>
  <c r="D582" i="13" s="1"/>
  <c r="D594" i="4"/>
  <c r="D590" i="13" s="1"/>
  <c r="D602" i="4"/>
  <c r="D598" i="13" s="1"/>
  <c r="D610" i="4"/>
  <c r="D606" i="13" s="1"/>
  <c r="D618" i="4"/>
  <c r="D614" i="13" s="1"/>
  <c r="D626" i="4"/>
  <c r="D622" i="13" s="1"/>
  <c r="D634" i="4"/>
  <c r="D630" i="13" s="1"/>
  <c r="C14" i="4"/>
  <c r="C10" i="13" s="1"/>
  <c r="C22" i="4"/>
  <c r="C18" i="13" s="1"/>
  <c r="C30" i="4"/>
  <c r="C26" i="13" s="1"/>
  <c r="C38" i="4"/>
  <c r="C34" i="13" s="1"/>
  <c r="C46" i="4"/>
  <c r="C42" i="13" s="1"/>
  <c r="C54" i="4"/>
  <c r="C50" i="13" s="1"/>
  <c r="C62" i="4"/>
  <c r="C58" i="13" s="1"/>
  <c r="C70" i="4"/>
  <c r="C66" i="13" s="1"/>
  <c r="C78" i="4"/>
  <c r="C74" i="13" s="1"/>
  <c r="C86" i="4"/>
  <c r="C82" i="13" s="1"/>
  <c r="C94" i="4"/>
  <c r="C90" i="13" s="1"/>
  <c r="C102" i="4"/>
  <c r="C98" i="13" s="1"/>
  <c r="C110" i="4"/>
  <c r="C106" i="13" s="1"/>
  <c r="D26" i="4"/>
  <c r="D22" i="13" s="1"/>
  <c r="D58" i="4"/>
  <c r="D54" i="13" s="1"/>
  <c r="D90" i="4"/>
  <c r="D86" i="13" s="1"/>
  <c r="D122" i="4"/>
  <c r="D118" i="13" s="1"/>
  <c r="D154" i="4"/>
  <c r="D150" i="13" s="1"/>
  <c r="D186" i="4"/>
  <c r="D182" i="13" s="1"/>
  <c r="D203" i="4"/>
  <c r="D199" i="13" s="1"/>
  <c r="D211" i="4"/>
  <c r="D207" i="13" s="1"/>
  <c r="D219" i="4"/>
  <c r="D215" i="13" s="1"/>
  <c r="D227" i="4"/>
  <c r="D223" i="13" s="1"/>
  <c r="D235" i="4"/>
  <c r="D231" i="13" s="1"/>
  <c r="D243" i="4"/>
  <c r="D239" i="13" s="1"/>
  <c r="D251" i="4"/>
  <c r="D247" i="13" s="1"/>
  <c r="D259" i="4"/>
  <c r="D255" i="13" s="1"/>
  <c r="D267" i="4"/>
  <c r="D263" i="13" s="1"/>
  <c r="D275" i="4"/>
  <c r="D271" i="13" s="1"/>
  <c r="D283" i="4"/>
  <c r="D279" i="13" s="1"/>
  <c r="D291" i="4"/>
  <c r="D287" i="13" s="1"/>
  <c r="D299" i="4"/>
  <c r="D295" i="13" s="1"/>
  <c r="D307" i="4"/>
  <c r="D303" i="13" s="1"/>
  <c r="D315" i="4"/>
  <c r="D311" i="13" s="1"/>
  <c r="D323" i="4"/>
  <c r="D319" i="13" s="1"/>
  <c r="D331" i="4"/>
  <c r="D327" i="13" s="1"/>
  <c r="D339" i="4"/>
  <c r="D335" i="13" s="1"/>
  <c r="D347" i="4"/>
  <c r="D343" i="13" s="1"/>
  <c r="D355" i="4"/>
  <c r="D351" i="13" s="1"/>
  <c r="D363" i="4"/>
  <c r="D359" i="13" s="1"/>
  <c r="D371" i="4"/>
  <c r="D367" i="13" s="1"/>
  <c r="D379" i="4"/>
  <c r="D375" i="13" s="1"/>
  <c r="D387" i="4"/>
  <c r="D383" i="13" s="1"/>
  <c r="D395" i="4"/>
  <c r="D391" i="13" s="1"/>
  <c r="D403" i="4"/>
  <c r="D399" i="13" s="1"/>
  <c r="D411" i="4"/>
  <c r="D407" i="13" s="1"/>
  <c r="D419" i="4"/>
  <c r="D415" i="13" s="1"/>
  <c r="D427" i="4"/>
  <c r="D423" i="13" s="1"/>
  <c r="D435" i="4"/>
  <c r="D431" i="13" s="1"/>
  <c r="D443" i="4"/>
  <c r="D439" i="13" s="1"/>
  <c r="D451" i="4"/>
  <c r="D447" i="13" s="1"/>
  <c r="D459" i="4"/>
  <c r="D455" i="13" s="1"/>
  <c r="D467" i="4"/>
  <c r="D463" i="13" s="1"/>
  <c r="D475" i="4"/>
  <c r="D471" i="13" s="1"/>
  <c r="D483" i="4"/>
  <c r="D479" i="13" s="1"/>
  <c r="D491" i="4"/>
  <c r="D487" i="13" s="1"/>
  <c r="D499" i="4"/>
  <c r="D495" i="13" s="1"/>
  <c r="D507" i="4"/>
  <c r="D503" i="13" s="1"/>
  <c r="D515" i="4"/>
  <c r="D511" i="13" s="1"/>
  <c r="D523" i="4"/>
  <c r="D519" i="13" s="1"/>
  <c r="D531" i="4"/>
  <c r="D527" i="13" s="1"/>
  <c r="D539" i="4"/>
  <c r="D535" i="13" s="1"/>
  <c r="D547" i="4"/>
  <c r="D543" i="13" s="1"/>
  <c r="D27" i="4"/>
  <c r="D23" i="13" s="1"/>
  <c r="D59" i="4"/>
  <c r="D55" i="13" s="1"/>
  <c r="D91" i="4"/>
  <c r="D87" i="13" s="1"/>
  <c r="D123" i="4"/>
  <c r="D119" i="13" s="1"/>
  <c r="D155" i="4"/>
  <c r="D151" i="13" s="1"/>
  <c r="D187" i="4"/>
  <c r="D183" i="13" s="1"/>
  <c r="D204" i="4"/>
  <c r="D200" i="13" s="1"/>
  <c r="D212" i="4"/>
  <c r="D208" i="13" s="1"/>
  <c r="D220" i="4"/>
  <c r="D216" i="13" s="1"/>
  <c r="D228" i="4"/>
  <c r="D224" i="13" s="1"/>
  <c r="D236" i="4"/>
  <c r="D232" i="13" s="1"/>
  <c r="D244" i="4"/>
  <c r="D240" i="13" s="1"/>
  <c r="D252" i="4"/>
  <c r="D248" i="13" s="1"/>
  <c r="D260" i="4"/>
  <c r="D256" i="13" s="1"/>
  <c r="D268" i="4"/>
  <c r="D264" i="13" s="1"/>
  <c r="D276" i="4"/>
  <c r="D272" i="13" s="1"/>
  <c r="D284" i="4"/>
  <c r="D280" i="13" s="1"/>
  <c r="D292" i="4"/>
  <c r="D288" i="13" s="1"/>
  <c r="D300" i="4"/>
  <c r="D296" i="13" s="1"/>
  <c r="D308" i="4"/>
  <c r="D304" i="13" s="1"/>
  <c r="D316" i="4"/>
  <c r="D312" i="13" s="1"/>
  <c r="D324" i="4"/>
  <c r="D320" i="13" s="1"/>
  <c r="D332" i="4"/>
  <c r="D328" i="13" s="1"/>
  <c r="D340" i="4"/>
  <c r="D336" i="13" s="1"/>
  <c r="D348" i="4"/>
  <c r="D344" i="13" s="1"/>
  <c r="D356" i="4"/>
  <c r="D352" i="13" s="1"/>
  <c r="D364" i="4"/>
  <c r="D360" i="13" s="1"/>
  <c r="D372" i="4"/>
  <c r="D368" i="13" s="1"/>
  <c r="D380" i="4"/>
  <c r="D376" i="13" s="1"/>
  <c r="D388" i="4"/>
  <c r="D384" i="13" s="1"/>
  <c r="D396" i="4"/>
  <c r="D392" i="13" s="1"/>
  <c r="D404" i="4"/>
  <c r="D400" i="13" s="1"/>
  <c r="D412" i="4"/>
  <c r="D408" i="13" s="1"/>
  <c r="D420" i="4"/>
  <c r="D416" i="13" s="1"/>
  <c r="D428" i="4"/>
  <c r="D424" i="13" s="1"/>
  <c r="D436" i="4"/>
  <c r="D432" i="13" s="1"/>
  <c r="D444" i="4"/>
  <c r="D440" i="13" s="1"/>
  <c r="D452" i="4"/>
  <c r="D448" i="13" s="1"/>
  <c r="D460" i="4"/>
  <c r="D456" i="13" s="1"/>
  <c r="D468" i="4"/>
  <c r="D464" i="13" s="1"/>
  <c r="D476" i="4"/>
  <c r="D472" i="13" s="1"/>
  <c r="D484" i="4"/>
  <c r="D480" i="13" s="1"/>
  <c r="D492" i="4"/>
  <c r="D488" i="13" s="1"/>
  <c r="D500" i="4"/>
  <c r="D496" i="13" s="1"/>
  <c r="D508" i="4"/>
  <c r="D504" i="13" s="1"/>
  <c r="D516" i="4"/>
  <c r="D512" i="13" s="1"/>
  <c r="D524" i="4"/>
  <c r="D520" i="13" s="1"/>
  <c r="D532" i="4"/>
  <c r="D528" i="13" s="1"/>
  <c r="D540" i="4"/>
  <c r="D536" i="13" s="1"/>
  <c r="D548" i="4"/>
  <c r="D544" i="13" s="1"/>
  <c r="D34" i="4"/>
  <c r="D30" i="13" s="1"/>
  <c r="D66" i="4"/>
  <c r="D62" i="13" s="1"/>
  <c r="D98" i="4"/>
  <c r="D94" i="13" s="1"/>
  <c r="D130" i="4"/>
  <c r="D126" i="13" s="1"/>
  <c r="D162" i="4"/>
  <c r="D158" i="13" s="1"/>
  <c r="D194" i="4"/>
  <c r="D190" i="13" s="1"/>
  <c r="D205" i="4"/>
  <c r="D201" i="13" s="1"/>
  <c r="D213" i="4"/>
  <c r="D209" i="13" s="1"/>
  <c r="D221" i="4"/>
  <c r="D217" i="13" s="1"/>
  <c r="D229" i="4"/>
  <c r="D225" i="13" s="1"/>
  <c r="D237" i="4"/>
  <c r="D233" i="13" s="1"/>
  <c r="D245" i="4"/>
  <c r="D241" i="13" s="1"/>
  <c r="D253" i="4"/>
  <c r="D249" i="13" s="1"/>
  <c r="D261" i="4"/>
  <c r="D257" i="13" s="1"/>
  <c r="D269" i="4"/>
  <c r="D265" i="13" s="1"/>
  <c r="D277" i="4"/>
  <c r="D273" i="13" s="1"/>
  <c r="D285" i="4"/>
  <c r="D281" i="13" s="1"/>
  <c r="D293" i="4"/>
  <c r="D289" i="13" s="1"/>
  <c r="D301" i="4"/>
  <c r="D297" i="13" s="1"/>
  <c r="D309" i="4"/>
  <c r="D305" i="13" s="1"/>
  <c r="D317" i="4"/>
  <c r="D313" i="13" s="1"/>
  <c r="D325" i="4"/>
  <c r="D321" i="13" s="1"/>
  <c r="D333" i="4"/>
  <c r="D329" i="13" s="1"/>
  <c r="D341" i="4"/>
  <c r="D337" i="13" s="1"/>
  <c r="D349" i="4"/>
  <c r="D345" i="13" s="1"/>
  <c r="D357" i="4"/>
  <c r="D353" i="13" s="1"/>
  <c r="D365" i="4"/>
  <c r="D361" i="13" s="1"/>
  <c r="D373" i="4"/>
  <c r="D369" i="13" s="1"/>
  <c r="D381" i="4"/>
  <c r="D377" i="13" s="1"/>
  <c r="D389" i="4"/>
  <c r="D385" i="13" s="1"/>
  <c r="D397" i="4"/>
  <c r="D393" i="13" s="1"/>
  <c r="D405" i="4"/>
  <c r="D401" i="13" s="1"/>
  <c r="D413" i="4"/>
  <c r="D409" i="13" s="1"/>
  <c r="D421" i="4"/>
  <c r="D417" i="13" s="1"/>
  <c r="D429" i="4"/>
  <c r="D425" i="13" s="1"/>
  <c r="D437" i="4"/>
  <c r="D433" i="13" s="1"/>
  <c r="D445" i="4"/>
  <c r="D441" i="13" s="1"/>
  <c r="D453" i="4"/>
  <c r="D449" i="13" s="1"/>
  <c r="D461" i="4"/>
  <c r="D457" i="13" s="1"/>
  <c r="D469" i="4"/>
  <c r="D465" i="13" s="1"/>
  <c r="D477" i="4"/>
  <c r="D473" i="13" s="1"/>
  <c r="D485" i="4"/>
  <c r="D481" i="13" s="1"/>
  <c r="D493" i="4"/>
  <c r="D489" i="13" s="1"/>
  <c r="D501" i="4"/>
  <c r="D497" i="13" s="1"/>
  <c r="D509" i="4"/>
  <c r="D505" i="13" s="1"/>
  <c r="D517" i="4"/>
  <c r="D513" i="13" s="1"/>
  <c r="D525" i="4"/>
  <c r="D521" i="13" s="1"/>
  <c r="D533" i="4"/>
  <c r="D529" i="13" s="1"/>
  <c r="D541" i="4"/>
  <c r="D537" i="13" s="1"/>
  <c r="D549" i="4"/>
  <c r="D545" i="13" s="1"/>
  <c r="D557" i="4"/>
  <c r="D553" i="13" s="1"/>
  <c r="D35" i="4"/>
  <c r="D31" i="13" s="1"/>
  <c r="D67" i="4"/>
  <c r="D63" i="13" s="1"/>
  <c r="D99" i="4"/>
  <c r="D95" i="13" s="1"/>
  <c r="D131" i="4"/>
  <c r="D127" i="13" s="1"/>
  <c r="D163" i="4"/>
  <c r="D159" i="13" s="1"/>
  <c r="D195" i="4"/>
  <c r="D191" i="13" s="1"/>
  <c r="D206" i="4"/>
  <c r="D202" i="13" s="1"/>
  <c r="D214" i="4"/>
  <c r="D210" i="13" s="1"/>
  <c r="D222" i="4"/>
  <c r="D218" i="13" s="1"/>
  <c r="D230" i="4"/>
  <c r="D226" i="13" s="1"/>
  <c r="D238" i="4"/>
  <c r="D234" i="13" s="1"/>
  <c r="D246" i="4"/>
  <c r="D242" i="13" s="1"/>
  <c r="D254" i="4"/>
  <c r="D250" i="13" s="1"/>
  <c r="D262" i="4"/>
  <c r="D258" i="13" s="1"/>
  <c r="D270" i="4"/>
  <c r="D266" i="13" s="1"/>
  <c r="D278" i="4"/>
  <c r="D274" i="13" s="1"/>
  <c r="D286" i="4"/>
  <c r="D282" i="13" s="1"/>
  <c r="D294" i="4"/>
  <c r="D290" i="13" s="1"/>
  <c r="D302" i="4"/>
  <c r="D298" i="13" s="1"/>
  <c r="D310" i="4"/>
  <c r="D306" i="13" s="1"/>
  <c r="D318" i="4"/>
  <c r="D314" i="13" s="1"/>
  <c r="D326" i="4"/>
  <c r="D322" i="13" s="1"/>
  <c r="D334" i="4"/>
  <c r="D330" i="13" s="1"/>
  <c r="D342" i="4"/>
  <c r="D338" i="13" s="1"/>
  <c r="D350" i="4"/>
  <c r="D346" i="13" s="1"/>
  <c r="D358" i="4"/>
  <c r="D354" i="13" s="1"/>
  <c r="D366" i="4"/>
  <c r="D362" i="13" s="1"/>
  <c r="D374" i="4"/>
  <c r="D370" i="13" s="1"/>
  <c r="D382" i="4"/>
  <c r="D378" i="13" s="1"/>
  <c r="D390" i="4"/>
  <c r="D386" i="13" s="1"/>
  <c r="D398" i="4"/>
  <c r="D394" i="13" s="1"/>
  <c r="D406" i="4"/>
  <c r="D402" i="13" s="1"/>
  <c r="D414" i="4"/>
  <c r="D410" i="13" s="1"/>
  <c r="D422" i="4"/>
  <c r="D418" i="13" s="1"/>
  <c r="D430" i="4"/>
  <c r="D426" i="13" s="1"/>
  <c r="D438" i="4"/>
  <c r="D434" i="13" s="1"/>
  <c r="D446" i="4"/>
  <c r="D442" i="13" s="1"/>
  <c r="D454" i="4"/>
  <c r="D450" i="13" s="1"/>
  <c r="D462" i="4"/>
  <c r="D458" i="13" s="1"/>
  <c r="D470" i="4"/>
  <c r="D466" i="13" s="1"/>
  <c r="D478" i="4"/>
  <c r="D474" i="13" s="1"/>
  <c r="D486" i="4"/>
  <c r="D482" i="13" s="1"/>
  <c r="D494" i="4"/>
  <c r="D490" i="13" s="1"/>
  <c r="D502" i="4"/>
  <c r="D498" i="13" s="1"/>
  <c r="D510" i="4"/>
  <c r="D506" i="13" s="1"/>
  <c r="D518" i="4"/>
  <c r="D514" i="13" s="1"/>
  <c r="D526" i="4"/>
  <c r="D522" i="13" s="1"/>
  <c r="D534" i="4"/>
  <c r="D530" i="13" s="1"/>
  <c r="D542" i="4"/>
  <c r="D538" i="13" s="1"/>
  <c r="D550" i="4"/>
  <c r="D546" i="13" s="1"/>
  <c r="D558" i="4"/>
  <c r="D554" i="13" s="1"/>
  <c r="D10" i="4"/>
  <c r="D6" i="13" s="1"/>
  <c r="D82" i="4"/>
  <c r="D78" i="13" s="1"/>
  <c r="D171" i="4"/>
  <c r="D167" i="13" s="1"/>
  <c r="D215" i="4"/>
  <c r="D211" i="13" s="1"/>
  <c r="D233" i="4"/>
  <c r="D229" i="13" s="1"/>
  <c r="D256" i="4"/>
  <c r="D252" i="13" s="1"/>
  <c r="D279" i="4"/>
  <c r="D275" i="13" s="1"/>
  <c r="D297" i="4"/>
  <c r="D293" i="13" s="1"/>
  <c r="D320" i="4"/>
  <c r="D316" i="13" s="1"/>
  <c r="D343" i="4"/>
  <c r="D339" i="13" s="1"/>
  <c r="D361" i="4"/>
  <c r="D357" i="13" s="1"/>
  <c r="D384" i="4"/>
  <c r="D380" i="13" s="1"/>
  <c r="D407" i="4"/>
  <c r="D403" i="13" s="1"/>
  <c r="D425" i="4"/>
  <c r="D421" i="13" s="1"/>
  <c r="D448" i="4"/>
  <c r="D444" i="13" s="1"/>
  <c r="D471" i="4"/>
  <c r="D467" i="13" s="1"/>
  <c r="D489" i="4"/>
  <c r="D485" i="13" s="1"/>
  <c r="D512" i="4"/>
  <c r="D508" i="13" s="1"/>
  <c r="D535" i="4"/>
  <c r="D531" i="13" s="1"/>
  <c r="D553" i="4"/>
  <c r="D549" i="13" s="1"/>
  <c r="D565" i="4"/>
  <c r="D561" i="13" s="1"/>
  <c r="D574" i="4"/>
  <c r="D570" i="13" s="1"/>
  <c r="D583" i="4"/>
  <c r="D579" i="13" s="1"/>
  <c r="D592" i="4"/>
  <c r="D588" i="13" s="1"/>
  <c r="D601" i="4"/>
  <c r="D597" i="13" s="1"/>
  <c r="D611" i="4"/>
  <c r="D607" i="13" s="1"/>
  <c r="D620" i="4"/>
  <c r="D616" i="13" s="1"/>
  <c r="D629" i="4"/>
  <c r="D625" i="13" s="1"/>
  <c r="C10" i="4"/>
  <c r="C6" i="13" s="1"/>
  <c r="C19" i="4"/>
  <c r="C15" i="13" s="1"/>
  <c r="C28" i="4"/>
  <c r="C24" i="13" s="1"/>
  <c r="C37" i="4"/>
  <c r="C33" i="13" s="1"/>
  <c r="C47" i="4"/>
  <c r="C43" i="13" s="1"/>
  <c r="C56" i="4"/>
  <c r="C52" i="13" s="1"/>
  <c r="C65" i="4"/>
  <c r="C61" i="13" s="1"/>
  <c r="C74" i="4"/>
  <c r="C70" i="13" s="1"/>
  <c r="C83" i="4"/>
  <c r="C79" i="13" s="1"/>
  <c r="C92" i="4"/>
  <c r="C88" i="13" s="1"/>
  <c r="C101" i="4"/>
  <c r="C97" i="13" s="1"/>
  <c r="C111" i="4"/>
  <c r="C107" i="13" s="1"/>
  <c r="C119" i="4"/>
  <c r="C115" i="13" s="1"/>
  <c r="C127" i="4"/>
  <c r="C123" i="13" s="1"/>
  <c r="C135" i="4"/>
  <c r="C131" i="13" s="1"/>
  <c r="C143" i="4"/>
  <c r="C139" i="13" s="1"/>
  <c r="C151" i="4"/>
  <c r="C147" i="13" s="1"/>
  <c r="C159" i="4"/>
  <c r="C155" i="13" s="1"/>
  <c r="C167" i="4"/>
  <c r="C163" i="13" s="1"/>
  <c r="C175" i="4"/>
  <c r="C171" i="13" s="1"/>
  <c r="C183" i="4"/>
  <c r="C179" i="13" s="1"/>
  <c r="C191" i="4"/>
  <c r="C187" i="13" s="1"/>
  <c r="C199" i="4"/>
  <c r="C195" i="13" s="1"/>
  <c r="C207" i="4"/>
  <c r="C203" i="13" s="1"/>
  <c r="C215" i="4"/>
  <c r="C211" i="13" s="1"/>
  <c r="C223" i="4"/>
  <c r="C219" i="13" s="1"/>
  <c r="C231" i="4"/>
  <c r="C227" i="13" s="1"/>
  <c r="C239" i="4"/>
  <c r="C235" i="13" s="1"/>
  <c r="C247" i="4"/>
  <c r="C243" i="13" s="1"/>
  <c r="C255" i="4"/>
  <c r="C251" i="13" s="1"/>
  <c r="C263" i="4"/>
  <c r="C259" i="13" s="1"/>
  <c r="C271" i="4"/>
  <c r="C267" i="13" s="1"/>
  <c r="C279" i="4"/>
  <c r="C275" i="13" s="1"/>
  <c r="C287" i="4"/>
  <c r="C283" i="13" s="1"/>
  <c r="C295" i="4"/>
  <c r="C291" i="13" s="1"/>
  <c r="C303" i="4"/>
  <c r="C299" i="13" s="1"/>
  <c r="C311" i="4"/>
  <c r="C307" i="13" s="1"/>
  <c r="C319" i="4"/>
  <c r="C315" i="13" s="1"/>
  <c r="C327" i="4"/>
  <c r="C323" i="13" s="1"/>
  <c r="C335" i="4"/>
  <c r="C331" i="13" s="1"/>
  <c r="C343" i="4"/>
  <c r="C339" i="13" s="1"/>
  <c r="C351" i="4"/>
  <c r="C347" i="13" s="1"/>
  <c r="C359" i="4"/>
  <c r="C355" i="13" s="1"/>
  <c r="C367" i="4"/>
  <c r="C363" i="13" s="1"/>
  <c r="C375" i="4"/>
  <c r="C371" i="13" s="1"/>
  <c r="C383" i="4"/>
  <c r="C379" i="13" s="1"/>
  <c r="C391" i="4"/>
  <c r="C387" i="13" s="1"/>
  <c r="D11" i="4"/>
  <c r="D7" i="13" s="1"/>
  <c r="D106" i="4"/>
  <c r="D102" i="13" s="1"/>
  <c r="D178" i="4"/>
  <c r="D174" i="13" s="1"/>
  <c r="D216" i="4"/>
  <c r="D212" i="13" s="1"/>
  <c r="D239" i="4"/>
  <c r="D235" i="13" s="1"/>
  <c r="D257" i="4"/>
  <c r="D253" i="13" s="1"/>
  <c r="D280" i="4"/>
  <c r="D276" i="13" s="1"/>
  <c r="D303" i="4"/>
  <c r="D299" i="13" s="1"/>
  <c r="D321" i="4"/>
  <c r="D317" i="13" s="1"/>
  <c r="D344" i="4"/>
  <c r="D340" i="13" s="1"/>
  <c r="D367" i="4"/>
  <c r="D363" i="13" s="1"/>
  <c r="D385" i="4"/>
  <c r="D381" i="13" s="1"/>
  <c r="D408" i="4"/>
  <c r="D404" i="13" s="1"/>
  <c r="D431" i="4"/>
  <c r="D427" i="13" s="1"/>
  <c r="D449" i="4"/>
  <c r="D445" i="13" s="1"/>
  <c r="D472" i="4"/>
  <c r="D468" i="13" s="1"/>
  <c r="D495" i="4"/>
  <c r="D491" i="13" s="1"/>
  <c r="D513" i="4"/>
  <c r="D509" i="13" s="1"/>
  <c r="D536" i="4"/>
  <c r="D532" i="13" s="1"/>
  <c r="D555" i="4"/>
  <c r="D551" i="13" s="1"/>
  <c r="D566" i="4"/>
  <c r="D562" i="13" s="1"/>
  <c r="D575" i="4"/>
  <c r="D571" i="13" s="1"/>
  <c r="D584" i="4"/>
  <c r="D580" i="13" s="1"/>
  <c r="D593" i="4"/>
  <c r="D589" i="13" s="1"/>
  <c r="D603" i="4"/>
  <c r="D599" i="13" s="1"/>
  <c r="D612" i="4"/>
  <c r="D608" i="13" s="1"/>
  <c r="D621" i="4"/>
  <c r="D617" i="13" s="1"/>
  <c r="D630" i="4"/>
  <c r="D626" i="13" s="1"/>
  <c r="C11" i="4"/>
  <c r="C7" i="13" s="1"/>
  <c r="C20" i="4"/>
  <c r="C16" i="13" s="1"/>
  <c r="C29" i="4"/>
  <c r="C25" i="13" s="1"/>
  <c r="C39" i="4"/>
  <c r="C35" i="13" s="1"/>
  <c r="C48" i="4"/>
  <c r="C44" i="13" s="1"/>
  <c r="C57" i="4"/>
  <c r="C53" i="13" s="1"/>
  <c r="C66" i="4"/>
  <c r="C62" i="13" s="1"/>
  <c r="C75" i="4"/>
  <c r="C71" i="13" s="1"/>
  <c r="C84" i="4"/>
  <c r="C80" i="13" s="1"/>
  <c r="C93" i="4"/>
  <c r="C89" i="13" s="1"/>
  <c r="C103" i="4"/>
  <c r="C99" i="13" s="1"/>
  <c r="C112" i="4"/>
  <c r="C108" i="13" s="1"/>
  <c r="C120" i="4"/>
  <c r="C116" i="13" s="1"/>
  <c r="C128" i="4"/>
  <c r="C124" i="13" s="1"/>
  <c r="C136" i="4"/>
  <c r="C132" i="13" s="1"/>
  <c r="C144" i="4"/>
  <c r="C140" i="13" s="1"/>
  <c r="C152" i="4"/>
  <c r="C148" i="13" s="1"/>
  <c r="C160" i="4"/>
  <c r="C156" i="13" s="1"/>
  <c r="C168" i="4"/>
  <c r="C164" i="13" s="1"/>
  <c r="C176" i="4"/>
  <c r="C172" i="13" s="1"/>
  <c r="C184" i="4"/>
  <c r="C180" i="13" s="1"/>
  <c r="C192" i="4"/>
  <c r="C188" i="13" s="1"/>
  <c r="C200" i="4"/>
  <c r="C196" i="13" s="1"/>
  <c r="C208" i="4"/>
  <c r="C204" i="13" s="1"/>
  <c r="C216" i="4"/>
  <c r="C212" i="13" s="1"/>
  <c r="C224" i="4"/>
  <c r="C220" i="13" s="1"/>
  <c r="C232" i="4"/>
  <c r="C228" i="13" s="1"/>
  <c r="C240" i="4"/>
  <c r="C236" i="13" s="1"/>
  <c r="C248" i="4"/>
  <c r="C244" i="13" s="1"/>
  <c r="C256" i="4"/>
  <c r="C252" i="13" s="1"/>
  <c r="C264" i="4"/>
  <c r="C260" i="13" s="1"/>
  <c r="C272" i="4"/>
  <c r="C268" i="13" s="1"/>
  <c r="C280" i="4"/>
  <c r="C276" i="13" s="1"/>
  <c r="C288" i="4"/>
  <c r="C284" i="13" s="1"/>
  <c r="C296" i="4"/>
  <c r="C292" i="13" s="1"/>
  <c r="C304" i="4"/>
  <c r="C300" i="13" s="1"/>
  <c r="C312" i="4"/>
  <c r="C308" i="13" s="1"/>
  <c r="C320" i="4"/>
  <c r="C316" i="13" s="1"/>
  <c r="C328" i="4"/>
  <c r="C324" i="13" s="1"/>
  <c r="C336" i="4"/>
  <c r="C332" i="13" s="1"/>
  <c r="C344" i="4"/>
  <c r="C340" i="13" s="1"/>
  <c r="C352" i="4"/>
  <c r="C348" i="13" s="1"/>
  <c r="C360" i="4"/>
  <c r="C356" i="13" s="1"/>
  <c r="C368" i="4"/>
  <c r="C364" i="13" s="1"/>
  <c r="C376" i="4"/>
  <c r="C372" i="13" s="1"/>
  <c r="C384" i="4"/>
  <c r="C380" i="13" s="1"/>
  <c r="D18" i="4"/>
  <c r="D14" i="13" s="1"/>
  <c r="D107" i="4"/>
  <c r="D103" i="13" s="1"/>
  <c r="D199" i="4"/>
  <c r="D195" i="13" s="1"/>
  <c r="D217" i="4"/>
  <c r="D213" i="13" s="1"/>
  <c r="D240" i="4"/>
  <c r="D236" i="13" s="1"/>
  <c r="D263" i="4"/>
  <c r="D259" i="13" s="1"/>
  <c r="D281" i="4"/>
  <c r="D277" i="13" s="1"/>
  <c r="D304" i="4"/>
  <c r="D300" i="13" s="1"/>
  <c r="D327" i="4"/>
  <c r="D323" i="13" s="1"/>
  <c r="D345" i="4"/>
  <c r="D341" i="13" s="1"/>
  <c r="D368" i="4"/>
  <c r="D364" i="13" s="1"/>
  <c r="D391" i="4"/>
  <c r="D387" i="13" s="1"/>
  <c r="D409" i="4"/>
  <c r="D405" i="13" s="1"/>
  <c r="D432" i="4"/>
  <c r="D428" i="13" s="1"/>
  <c r="D455" i="4"/>
  <c r="D451" i="13" s="1"/>
  <c r="D473" i="4"/>
  <c r="D469" i="13" s="1"/>
  <c r="D496" i="4"/>
  <c r="D492" i="13" s="1"/>
  <c r="D519" i="4"/>
  <c r="D515" i="13" s="1"/>
  <c r="D537" i="4"/>
  <c r="D533" i="13" s="1"/>
  <c r="D556" i="4"/>
  <c r="D552" i="13" s="1"/>
  <c r="D567" i="4"/>
  <c r="D563" i="13" s="1"/>
  <c r="D576" i="4"/>
  <c r="D572" i="13" s="1"/>
  <c r="D585" i="4"/>
  <c r="D581" i="13" s="1"/>
  <c r="D595" i="4"/>
  <c r="D591" i="13" s="1"/>
  <c r="D604" i="4"/>
  <c r="D600" i="13" s="1"/>
  <c r="D613" i="4"/>
  <c r="D609" i="13" s="1"/>
  <c r="D622" i="4"/>
  <c r="D618" i="13" s="1"/>
  <c r="D631" i="4"/>
  <c r="D627" i="13" s="1"/>
  <c r="C12" i="4"/>
  <c r="C8" i="13" s="1"/>
  <c r="C21" i="4"/>
  <c r="C17" i="13" s="1"/>
  <c r="C31" i="4"/>
  <c r="C27" i="13" s="1"/>
  <c r="C40" i="4"/>
  <c r="C36" i="13" s="1"/>
  <c r="C49" i="4"/>
  <c r="C45" i="13" s="1"/>
  <c r="C58" i="4"/>
  <c r="C54" i="13" s="1"/>
  <c r="C67" i="4"/>
  <c r="C63" i="13" s="1"/>
  <c r="C76" i="4"/>
  <c r="C72" i="13" s="1"/>
  <c r="C85" i="4"/>
  <c r="C81" i="13" s="1"/>
  <c r="C95" i="4"/>
  <c r="C91" i="13" s="1"/>
  <c r="C104" i="4"/>
  <c r="C100" i="13" s="1"/>
  <c r="C113" i="4"/>
  <c r="C109" i="13" s="1"/>
  <c r="C121" i="4"/>
  <c r="C117" i="13" s="1"/>
  <c r="C129" i="4"/>
  <c r="C125" i="13" s="1"/>
  <c r="C137" i="4"/>
  <c r="C133" i="13" s="1"/>
  <c r="C145" i="4"/>
  <c r="C141" i="13" s="1"/>
  <c r="C153" i="4"/>
  <c r="C149" i="13" s="1"/>
  <c r="C161" i="4"/>
  <c r="C157" i="13" s="1"/>
  <c r="C169" i="4"/>
  <c r="C165" i="13" s="1"/>
  <c r="C177" i="4"/>
  <c r="C173" i="13" s="1"/>
  <c r="C185" i="4"/>
  <c r="C181" i="13" s="1"/>
  <c r="C193" i="4"/>
  <c r="C189" i="13" s="1"/>
  <c r="C201" i="4"/>
  <c r="C197" i="13" s="1"/>
  <c r="C209" i="4"/>
  <c r="C205" i="13" s="1"/>
  <c r="C217" i="4"/>
  <c r="C213" i="13" s="1"/>
  <c r="C225" i="4"/>
  <c r="C221" i="13" s="1"/>
  <c r="C233" i="4"/>
  <c r="C229" i="13" s="1"/>
  <c r="C241" i="4"/>
  <c r="C237" i="13" s="1"/>
  <c r="C249" i="4"/>
  <c r="C245" i="13" s="1"/>
  <c r="C257" i="4"/>
  <c r="C253" i="13" s="1"/>
  <c r="C265" i="4"/>
  <c r="C261" i="13" s="1"/>
  <c r="C273" i="4"/>
  <c r="C269" i="13" s="1"/>
  <c r="C281" i="4"/>
  <c r="C277" i="13" s="1"/>
  <c r="C289" i="4"/>
  <c r="C285" i="13" s="1"/>
  <c r="C297" i="4"/>
  <c r="C293" i="13" s="1"/>
  <c r="C305" i="4"/>
  <c r="C301" i="13" s="1"/>
  <c r="C313" i="4"/>
  <c r="C309" i="13" s="1"/>
  <c r="C321" i="4"/>
  <c r="C317" i="13" s="1"/>
  <c r="C329" i="4"/>
  <c r="C325" i="13" s="1"/>
  <c r="C337" i="4"/>
  <c r="C333" i="13" s="1"/>
  <c r="C345" i="4"/>
  <c r="C341" i="13" s="1"/>
  <c r="C353" i="4"/>
  <c r="C349" i="13" s="1"/>
  <c r="C361" i="4"/>
  <c r="C357" i="13" s="1"/>
  <c r="C369" i="4"/>
  <c r="C365" i="13" s="1"/>
  <c r="C377" i="4"/>
  <c r="C373" i="13" s="1"/>
  <c r="C385" i="4"/>
  <c r="C381" i="13" s="1"/>
  <c r="C393" i="4"/>
  <c r="C389" i="13" s="1"/>
  <c r="C401" i="4"/>
  <c r="C397" i="13" s="1"/>
  <c r="C409" i="4"/>
  <c r="C405" i="13" s="1"/>
  <c r="C417" i="4"/>
  <c r="C413" i="13" s="1"/>
  <c r="C425" i="4"/>
  <c r="C421" i="13" s="1"/>
  <c r="C433" i="4"/>
  <c r="C429" i="13" s="1"/>
  <c r="C441" i="4"/>
  <c r="C437" i="13" s="1"/>
  <c r="D42" i="4"/>
  <c r="D38" i="13" s="1"/>
  <c r="D114" i="4"/>
  <c r="D110" i="13" s="1"/>
  <c r="D200" i="4"/>
  <c r="D196" i="13" s="1"/>
  <c r="D223" i="4"/>
  <c r="D219" i="13" s="1"/>
  <c r="D241" i="4"/>
  <c r="D237" i="13" s="1"/>
  <c r="D264" i="4"/>
  <c r="D260" i="13" s="1"/>
  <c r="D287" i="4"/>
  <c r="D283" i="13" s="1"/>
  <c r="D305" i="4"/>
  <c r="D301" i="13" s="1"/>
  <c r="D328" i="4"/>
  <c r="D324" i="13" s="1"/>
  <c r="D351" i="4"/>
  <c r="D347" i="13" s="1"/>
  <c r="D369" i="4"/>
  <c r="D365" i="13" s="1"/>
  <c r="D392" i="4"/>
  <c r="D388" i="13" s="1"/>
  <c r="D415" i="4"/>
  <c r="D411" i="13" s="1"/>
  <c r="D433" i="4"/>
  <c r="D429" i="13" s="1"/>
  <c r="D456" i="4"/>
  <c r="D452" i="13" s="1"/>
  <c r="D479" i="4"/>
  <c r="D475" i="13" s="1"/>
  <c r="D497" i="4"/>
  <c r="D493" i="13" s="1"/>
  <c r="D520" i="4"/>
  <c r="D516" i="13" s="1"/>
  <c r="D543" i="4"/>
  <c r="D539" i="13" s="1"/>
  <c r="D559" i="4"/>
  <c r="D555" i="13" s="1"/>
  <c r="D568" i="4"/>
  <c r="D564" i="13" s="1"/>
  <c r="D577" i="4"/>
  <c r="D573" i="13" s="1"/>
  <c r="D587" i="4"/>
  <c r="D583" i="13" s="1"/>
  <c r="D596" i="4"/>
  <c r="D592" i="13" s="1"/>
  <c r="D605" i="4"/>
  <c r="D601" i="13" s="1"/>
  <c r="D614" i="4"/>
  <c r="D610" i="13" s="1"/>
  <c r="D623" i="4"/>
  <c r="D619" i="13" s="1"/>
  <c r="D632" i="4"/>
  <c r="D628" i="13" s="1"/>
  <c r="C13" i="4"/>
  <c r="C9" i="13" s="1"/>
  <c r="C23" i="4"/>
  <c r="C19" i="13" s="1"/>
  <c r="C32" i="4"/>
  <c r="C28" i="13" s="1"/>
  <c r="C41" i="4"/>
  <c r="C37" i="13" s="1"/>
  <c r="C50" i="4"/>
  <c r="C46" i="13" s="1"/>
  <c r="C59" i="4"/>
  <c r="C55" i="13" s="1"/>
  <c r="C68" i="4"/>
  <c r="C64" i="13" s="1"/>
  <c r="C77" i="4"/>
  <c r="C73" i="13" s="1"/>
  <c r="C87" i="4"/>
  <c r="C83" i="13" s="1"/>
  <c r="C96" i="4"/>
  <c r="C92" i="13" s="1"/>
  <c r="C105" i="4"/>
  <c r="C101" i="13" s="1"/>
  <c r="C114" i="4"/>
  <c r="C110" i="13" s="1"/>
  <c r="C122" i="4"/>
  <c r="C118" i="13" s="1"/>
  <c r="C130" i="4"/>
  <c r="C126" i="13" s="1"/>
  <c r="C138" i="4"/>
  <c r="C134" i="13" s="1"/>
  <c r="C146" i="4"/>
  <c r="C142" i="13" s="1"/>
  <c r="C154" i="4"/>
  <c r="C150" i="13" s="1"/>
  <c r="C162" i="4"/>
  <c r="C158" i="13" s="1"/>
  <c r="C170" i="4"/>
  <c r="C166" i="13" s="1"/>
  <c r="C178" i="4"/>
  <c r="C174" i="13" s="1"/>
  <c r="C186" i="4"/>
  <c r="C182" i="13" s="1"/>
  <c r="C194" i="4"/>
  <c r="C190" i="13" s="1"/>
  <c r="C202" i="4"/>
  <c r="C198" i="13" s="1"/>
  <c r="C210" i="4"/>
  <c r="C206" i="13" s="1"/>
  <c r="C218" i="4"/>
  <c r="C214" i="13" s="1"/>
  <c r="C226" i="4"/>
  <c r="C222" i="13" s="1"/>
  <c r="C234" i="4"/>
  <c r="C230" i="13" s="1"/>
  <c r="C242" i="4"/>
  <c r="C238" i="13" s="1"/>
  <c r="C250" i="4"/>
  <c r="C246" i="13" s="1"/>
  <c r="C258" i="4"/>
  <c r="C254" i="13" s="1"/>
  <c r="C266" i="4"/>
  <c r="C262" i="13" s="1"/>
  <c r="C274" i="4"/>
  <c r="C270" i="13" s="1"/>
  <c r="C282" i="4"/>
  <c r="C278" i="13" s="1"/>
  <c r="C290" i="4"/>
  <c r="C286" i="13" s="1"/>
  <c r="C298" i="4"/>
  <c r="C294" i="13" s="1"/>
  <c r="C306" i="4"/>
  <c r="C302" i="13" s="1"/>
  <c r="C314" i="4"/>
  <c r="C310" i="13" s="1"/>
  <c r="C322" i="4"/>
  <c r="C318" i="13" s="1"/>
  <c r="C330" i="4"/>
  <c r="C326" i="13" s="1"/>
  <c r="C338" i="4"/>
  <c r="C334" i="13" s="1"/>
  <c r="C346" i="4"/>
  <c r="C342" i="13" s="1"/>
  <c r="C354" i="4"/>
  <c r="C350" i="13" s="1"/>
  <c r="C362" i="4"/>
  <c r="C358" i="13" s="1"/>
  <c r="C370" i="4"/>
  <c r="C366" i="13" s="1"/>
  <c r="C378" i="4"/>
  <c r="C374" i="13" s="1"/>
  <c r="D43" i="4"/>
  <c r="D39" i="13" s="1"/>
  <c r="D138" i="4"/>
  <c r="D134" i="13" s="1"/>
  <c r="D201" i="4"/>
  <c r="D197" i="13" s="1"/>
  <c r="D224" i="4"/>
  <c r="D220" i="13" s="1"/>
  <c r="D247" i="4"/>
  <c r="D243" i="13" s="1"/>
  <c r="D265" i="4"/>
  <c r="D261" i="13" s="1"/>
  <c r="D288" i="4"/>
  <c r="D284" i="13" s="1"/>
  <c r="D311" i="4"/>
  <c r="D307" i="13" s="1"/>
  <c r="D329" i="4"/>
  <c r="D325" i="13" s="1"/>
  <c r="D352" i="4"/>
  <c r="D348" i="13" s="1"/>
  <c r="D375" i="4"/>
  <c r="D371" i="13" s="1"/>
  <c r="D393" i="4"/>
  <c r="D389" i="13" s="1"/>
  <c r="D416" i="4"/>
  <c r="D412" i="13" s="1"/>
  <c r="D439" i="4"/>
  <c r="D435" i="13" s="1"/>
  <c r="D457" i="4"/>
  <c r="D453" i="13" s="1"/>
  <c r="D480" i="4"/>
  <c r="D476" i="13" s="1"/>
  <c r="D503" i="4"/>
  <c r="D499" i="13" s="1"/>
  <c r="D521" i="4"/>
  <c r="D517" i="13" s="1"/>
  <c r="D544" i="4"/>
  <c r="D540" i="13" s="1"/>
  <c r="D560" i="4"/>
  <c r="D556" i="13" s="1"/>
  <c r="D569" i="4"/>
  <c r="D565" i="13" s="1"/>
  <c r="D579" i="4"/>
  <c r="D575" i="13" s="1"/>
  <c r="D588" i="4"/>
  <c r="D584" i="13" s="1"/>
  <c r="D597" i="4"/>
  <c r="D593" i="13" s="1"/>
  <c r="D606" i="4"/>
  <c r="D602" i="13" s="1"/>
  <c r="D615" i="4"/>
  <c r="D611" i="13" s="1"/>
  <c r="D624" i="4"/>
  <c r="D620" i="13" s="1"/>
  <c r="D633" i="4"/>
  <c r="D629" i="13" s="1"/>
  <c r="C15" i="4"/>
  <c r="C11" i="13" s="1"/>
  <c r="C24" i="4"/>
  <c r="C20" i="13" s="1"/>
  <c r="C33" i="4"/>
  <c r="C29" i="13" s="1"/>
  <c r="C42" i="4"/>
  <c r="C38" i="13" s="1"/>
  <c r="C51" i="4"/>
  <c r="C47" i="13" s="1"/>
  <c r="C60" i="4"/>
  <c r="C56" i="13" s="1"/>
  <c r="C69" i="4"/>
  <c r="C65" i="13" s="1"/>
  <c r="C79" i="4"/>
  <c r="C75" i="13" s="1"/>
  <c r="C88" i="4"/>
  <c r="C84" i="13" s="1"/>
  <c r="C97" i="4"/>
  <c r="C93" i="13" s="1"/>
  <c r="C106" i="4"/>
  <c r="C102" i="13" s="1"/>
  <c r="C115" i="4"/>
  <c r="C111" i="13" s="1"/>
  <c r="C123" i="4"/>
  <c r="C119" i="13" s="1"/>
  <c r="C131" i="4"/>
  <c r="C127" i="13" s="1"/>
  <c r="C139" i="4"/>
  <c r="C135" i="13" s="1"/>
  <c r="C147" i="4"/>
  <c r="C143" i="13" s="1"/>
  <c r="C155" i="4"/>
  <c r="C151" i="13" s="1"/>
  <c r="C163" i="4"/>
  <c r="C159" i="13" s="1"/>
  <c r="C171" i="4"/>
  <c r="C167" i="13" s="1"/>
  <c r="C179" i="4"/>
  <c r="C175" i="13" s="1"/>
  <c r="C187" i="4"/>
  <c r="C183" i="13" s="1"/>
  <c r="C195" i="4"/>
  <c r="C191" i="13" s="1"/>
  <c r="C203" i="4"/>
  <c r="C199" i="13" s="1"/>
  <c r="C211" i="4"/>
  <c r="C207" i="13" s="1"/>
  <c r="C219" i="4"/>
  <c r="C215" i="13" s="1"/>
  <c r="C227" i="4"/>
  <c r="C223" i="13" s="1"/>
  <c r="C235" i="4"/>
  <c r="C231" i="13" s="1"/>
  <c r="C243" i="4"/>
  <c r="C239" i="13" s="1"/>
  <c r="C251" i="4"/>
  <c r="C247" i="13" s="1"/>
  <c r="C259" i="4"/>
  <c r="C255" i="13" s="1"/>
  <c r="C267" i="4"/>
  <c r="C263" i="13" s="1"/>
  <c r="C275" i="4"/>
  <c r="C271" i="13" s="1"/>
  <c r="C283" i="4"/>
  <c r="C279" i="13" s="1"/>
  <c r="C291" i="4"/>
  <c r="C287" i="13" s="1"/>
  <c r="C299" i="4"/>
  <c r="C295" i="13" s="1"/>
  <c r="C307" i="4"/>
  <c r="C303" i="13" s="1"/>
  <c r="C315" i="4"/>
  <c r="C311" i="13" s="1"/>
  <c r="C323" i="4"/>
  <c r="C319" i="13" s="1"/>
  <c r="C331" i="4"/>
  <c r="C327" i="13" s="1"/>
  <c r="C339" i="4"/>
  <c r="C335" i="13" s="1"/>
  <c r="C347" i="4"/>
  <c r="C343" i="13" s="1"/>
  <c r="C355" i="4"/>
  <c r="C351" i="13" s="1"/>
  <c r="C363" i="4"/>
  <c r="C359" i="13" s="1"/>
  <c r="C371" i="4"/>
  <c r="C367" i="13" s="1"/>
  <c r="C379" i="4"/>
  <c r="C375" i="13" s="1"/>
  <c r="C387" i="4"/>
  <c r="C383" i="13" s="1"/>
  <c r="C395" i="4"/>
  <c r="C391" i="13" s="1"/>
  <c r="C403" i="4"/>
  <c r="C399" i="13" s="1"/>
  <c r="C411" i="4"/>
  <c r="C407" i="13" s="1"/>
  <c r="C419" i="4"/>
  <c r="C415" i="13" s="1"/>
  <c r="C427" i="4"/>
  <c r="C423" i="13" s="1"/>
  <c r="C435" i="4"/>
  <c r="C431" i="13" s="1"/>
  <c r="D50" i="4"/>
  <c r="D46" i="13" s="1"/>
  <c r="D139" i="4"/>
  <c r="D135" i="13" s="1"/>
  <c r="D207" i="4"/>
  <c r="D203" i="13" s="1"/>
  <c r="D225" i="4"/>
  <c r="D221" i="13" s="1"/>
  <c r="D248" i="4"/>
  <c r="D244" i="13" s="1"/>
  <c r="D271" i="4"/>
  <c r="D267" i="13" s="1"/>
  <c r="D289" i="4"/>
  <c r="D285" i="13" s="1"/>
  <c r="D312" i="4"/>
  <c r="D308" i="13" s="1"/>
  <c r="D335" i="4"/>
  <c r="D331" i="13" s="1"/>
  <c r="D353" i="4"/>
  <c r="D349" i="13" s="1"/>
  <c r="D376" i="4"/>
  <c r="D372" i="13" s="1"/>
  <c r="D399" i="4"/>
  <c r="D395" i="13" s="1"/>
  <c r="D417" i="4"/>
  <c r="D413" i="13" s="1"/>
  <c r="D440" i="4"/>
  <c r="D436" i="13" s="1"/>
  <c r="D463" i="4"/>
  <c r="D459" i="13" s="1"/>
  <c r="D481" i="4"/>
  <c r="D477" i="13" s="1"/>
  <c r="D504" i="4"/>
  <c r="D500" i="13" s="1"/>
  <c r="D527" i="4"/>
  <c r="D523" i="13" s="1"/>
  <c r="D545" i="4"/>
  <c r="D541" i="13" s="1"/>
  <c r="D561" i="4"/>
  <c r="D557" i="13" s="1"/>
  <c r="D571" i="4"/>
  <c r="D567" i="13" s="1"/>
  <c r="D580" i="4"/>
  <c r="D576" i="13" s="1"/>
  <c r="D589" i="4"/>
  <c r="D585" i="13" s="1"/>
  <c r="D598" i="4"/>
  <c r="D594" i="13" s="1"/>
  <c r="D607" i="4"/>
  <c r="D603" i="13" s="1"/>
  <c r="D616" i="4"/>
  <c r="D612" i="13" s="1"/>
  <c r="D625" i="4"/>
  <c r="D621" i="13" s="1"/>
  <c r="C7" i="4"/>
  <c r="C3" i="13" s="1"/>
  <c r="C16" i="4"/>
  <c r="C12" i="13" s="1"/>
  <c r="C25" i="4"/>
  <c r="C21" i="13" s="1"/>
  <c r="C34" i="4"/>
  <c r="C30" i="13" s="1"/>
  <c r="C43" i="4"/>
  <c r="C39" i="13" s="1"/>
  <c r="C52" i="4"/>
  <c r="C48" i="13" s="1"/>
  <c r="C61" i="4"/>
  <c r="C57" i="13" s="1"/>
  <c r="C71" i="4"/>
  <c r="C67" i="13" s="1"/>
  <c r="C80" i="4"/>
  <c r="C76" i="13" s="1"/>
  <c r="C89" i="4"/>
  <c r="C85" i="13" s="1"/>
  <c r="C98" i="4"/>
  <c r="C94" i="13" s="1"/>
  <c r="C107" i="4"/>
  <c r="C103" i="13" s="1"/>
  <c r="C116" i="4"/>
  <c r="C112" i="13" s="1"/>
  <c r="C124" i="4"/>
  <c r="C120" i="13" s="1"/>
  <c r="C132" i="4"/>
  <c r="C128" i="13" s="1"/>
  <c r="C140" i="4"/>
  <c r="C136" i="13" s="1"/>
  <c r="C148" i="4"/>
  <c r="C144" i="13" s="1"/>
  <c r="C156" i="4"/>
  <c r="C152" i="13" s="1"/>
  <c r="C164" i="4"/>
  <c r="C160" i="13" s="1"/>
  <c r="C172" i="4"/>
  <c r="C168" i="13" s="1"/>
  <c r="C180" i="4"/>
  <c r="C176" i="13" s="1"/>
  <c r="C188" i="4"/>
  <c r="C184" i="13" s="1"/>
  <c r="C196" i="4"/>
  <c r="C192" i="13" s="1"/>
  <c r="C204" i="4"/>
  <c r="C200" i="13" s="1"/>
  <c r="C212" i="4"/>
  <c r="C208" i="13" s="1"/>
  <c r="C220" i="4"/>
  <c r="C216" i="13" s="1"/>
  <c r="C228" i="4"/>
  <c r="C224" i="13" s="1"/>
  <c r="C236" i="4"/>
  <c r="C232" i="13" s="1"/>
  <c r="C244" i="4"/>
  <c r="C240" i="13" s="1"/>
  <c r="C252" i="4"/>
  <c r="C248" i="13" s="1"/>
  <c r="C260" i="4"/>
  <c r="C256" i="13" s="1"/>
  <c r="C268" i="4"/>
  <c r="C264" i="13" s="1"/>
  <c r="C276" i="4"/>
  <c r="C272" i="13" s="1"/>
  <c r="C284" i="4"/>
  <c r="C280" i="13" s="1"/>
  <c r="C292" i="4"/>
  <c r="C288" i="13" s="1"/>
  <c r="C300" i="4"/>
  <c r="C296" i="13" s="1"/>
  <c r="C308" i="4"/>
  <c r="C304" i="13" s="1"/>
  <c r="C316" i="4"/>
  <c r="C312" i="13" s="1"/>
  <c r="C324" i="4"/>
  <c r="C320" i="13" s="1"/>
  <c r="C332" i="4"/>
  <c r="C328" i="13" s="1"/>
  <c r="C340" i="4"/>
  <c r="C336" i="13" s="1"/>
  <c r="C348" i="4"/>
  <c r="C344" i="13" s="1"/>
  <c r="C356" i="4"/>
  <c r="C352" i="13" s="1"/>
  <c r="C364" i="4"/>
  <c r="C360" i="13" s="1"/>
  <c r="D74" i="4"/>
  <c r="D70" i="13" s="1"/>
  <c r="D146" i="4"/>
  <c r="D142" i="13" s="1"/>
  <c r="D208" i="4"/>
  <c r="D204" i="13" s="1"/>
  <c r="D231" i="4"/>
  <c r="D227" i="13" s="1"/>
  <c r="D249" i="4"/>
  <c r="D245" i="13" s="1"/>
  <c r="D272" i="4"/>
  <c r="D268" i="13" s="1"/>
  <c r="D295" i="4"/>
  <c r="D291" i="13" s="1"/>
  <c r="D313" i="4"/>
  <c r="D309" i="13" s="1"/>
  <c r="D336" i="4"/>
  <c r="D332" i="13" s="1"/>
  <c r="D359" i="4"/>
  <c r="D355" i="13" s="1"/>
  <c r="D377" i="4"/>
  <c r="D373" i="13" s="1"/>
  <c r="D400" i="4"/>
  <c r="D396" i="13" s="1"/>
  <c r="D423" i="4"/>
  <c r="D419" i="13" s="1"/>
  <c r="D441" i="4"/>
  <c r="D437" i="13" s="1"/>
  <c r="D464" i="4"/>
  <c r="D460" i="13" s="1"/>
  <c r="D487" i="4"/>
  <c r="D483" i="13" s="1"/>
  <c r="D505" i="4"/>
  <c r="D501" i="13" s="1"/>
  <c r="D528" i="4"/>
  <c r="D524" i="13" s="1"/>
  <c r="D551" i="4"/>
  <c r="D547" i="13" s="1"/>
  <c r="D563" i="4"/>
  <c r="D559" i="13" s="1"/>
  <c r="D572" i="4"/>
  <c r="D568" i="13" s="1"/>
  <c r="D581" i="4"/>
  <c r="D577" i="13" s="1"/>
  <c r="D590" i="4"/>
  <c r="D586" i="13" s="1"/>
  <c r="D599" i="4"/>
  <c r="D595" i="13" s="1"/>
  <c r="D608" i="4"/>
  <c r="D604" i="13" s="1"/>
  <c r="D617" i="4"/>
  <c r="D613" i="13" s="1"/>
  <c r="D627" i="4"/>
  <c r="D623" i="13" s="1"/>
  <c r="C8" i="4"/>
  <c r="C4" i="13" s="1"/>
  <c r="C17" i="4"/>
  <c r="C13" i="13" s="1"/>
  <c r="C26" i="4"/>
  <c r="C22" i="13" s="1"/>
  <c r="C35" i="4"/>
  <c r="C31" i="13" s="1"/>
  <c r="C44" i="4"/>
  <c r="C40" i="13" s="1"/>
  <c r="C53" i="4"/>
  <c r="C49" i="13" s="1"/>
  <c r="C63" i="4"/>
  <c r="C59" i="13" s="1"/>
  <c r="C72" i="4"/>
  <c r="C68" i="13" s="1"/>
  <c r="C81" i="4"/>
  <c r="C77" i="13" s="1"/>
  <c r="C90" i="4"/>
  <c r="C86" i="13" s="1"/>
  <c r="C99" i="4"/>
  <c r="C95" i="13" s="1"/>
  <c r="C108" i="4"/>
  <c r="C104" i="13" s="1"/>
  <c r="C117" i="4"/>
  <c r="C113" i="13" s="1"/>
  <c r="C125" i="4"/>
  <c r="C121" i="13" s="1"/>
  <c r="C133" i="4"/>
  <c r="C129" i="13" s="1"/>
  <c r="C141" i="4"/>
  <c r="C137" i="13" s="1"/>
  <c r="C149" i="4"/>
  <c r="C145" i="13" s="1"/>
  <c r="C157" i="4"/>
  <c r="C153" i="13" s="1"/>
  <c r="C165" i="4"/>
  <c r="C161" i="13" s="1"/>
  <c r="C173" i="4"/>
  <c r="C169" i="13" s="1"/>
  <c r="C181" i="4"/>
  <c r="C177" i="13" s="1"/>
  <c r="C189" i="4"/>
  <c r="C185" i="13" s="1"/>
  <c r="C197" i="4"/>
  <c r="C193" i="13" s="1"/>
  <c r="C205" i="4"/>
  <c r="C201" i="13" s="1"/>
  <c r="C213" i="4"/>
  <c r="C209" i="13" s="1"/>
  <c r="C221" i="4"/>
  <c r="C217" i="13" s="1"/>
  <c r="C229" i="4"/>
  <c r="C225" i="13" s="1"/>
  <c r="C237" i="4"/>
  <c r="C233" i="13" s="1"/>
  <c r="C245" i="4"/>
  <c r="C241" i="13" s="1"/>
  <c r="C253" i="4"/>
  <c r="C249" i="13" s="1"/>
  <c r="C261" i="4"/>
  <c r="C257" i="13" s="1"/>
  <c r="C269" i="4"/>
  <c r="C265" i="13" s="1"/>
  <c r="C277" i="4"/>
  <c r="C273" i="13" s="1"/>
  <c r="C285" i="4"/>
  <c r="C281" i="13" s="1"/>
  <c r="C293" i="4"/>
  <c r="C289" i="13" s="1"/>
  <c r="C301" i="4"/>
  <c r="C297" i="13" s="1"/>
  <c r="C309" i="4"/>
  <c r="C305" i="13" s="1"/>
  <c r="C317" i="4"/>
  <c r="C313" i="13" s="1"/>
  <c r="C325" i="4"/>
  <c r="C321" i="13" s="1"/>
  <c r="C333" i="4"/>
  <c r="C329" i="13" s="1"/>
  <c r="C341" i="4"/>
  <c r="C337" i="13" s="1"/>
  <c r="C349" i="4"/>
  <c r="C345" i="13" s="1"/>
  <c r="C357" i="4"/>
  <c r="C353" i="13" s="1"/>
  <c r="C365" i="4"/>
  <c r="C361" i="13" s="1"/>
  <c r="D273" i="4"/>
  <c r="D269" i="13" s="1"/>
  <c r="D447" i="4"/>
  <c r="D443" i="13" s="1"/>
  <c r="D582" i="4"/>
  <c r="D578" i="13" s="1"/>
  <c r="C27" i="4"/>
  <c r="C23" i="13" s="1"/>
  <c r="C100" i="4"/>
  <c r="C96" i="13" s="1"/>
  <c r="C166" i="4"/>
  <c r="C162" i="13" s="1"/>
  <c r="C230" i="4"/>
  <c r="C226" i="13" s="1"/>
  <c r="C294" i="4"/>
  <c r="C290" i="13" s="1"/>
  <c r="C358" i="4"/>
  <c r="C354" i="13" s="1"/>
  <c r="C386" i="4"/>
  <c r="C382" i="13" s="1"/>
  <c r="C398" i="4"/>
  <c r="C394" i="13" s="1"/>
  <c r="C408" i="4"/>
  <c r="C404" i="13" s="1"/>
  <c r="C420" i="4"/>
  <c r="C416" i="13" s="1"/>
  <c r="C430" i="4"/>
  <c r="C426" i="13" s="1"/>
  <c r="C440" i="4"/>
  <c r="C436" i="13" s="1"/>
  <c r="C449" i="4"/>
  <c r="C445" i="13" s="1"/>
  <c r="C457" i="4"/>
  <c r="C453" i="13" s="1"/>
  <c r="C465" i="4"/>
  <c r="C461" i="13" s="1"/>
  <c r="C473" i="4"/>
  <c r="C469" i="13" s="1"/>
  <c r="C481" i="4"/>
  <c r="C477" i="13" s="1"/>
  <c r="C489" i="4"/>
  <c r="C485" i="13" s="1"/>
  <c r="C497" i="4"/>
  <c r="C493" i="13" s="1"/>
  <c r="C505" i="4"/>
  <c r="C501" i="13" s="1"/>
  <c r="C513" i="4"/>
  <c r="C509" i="13" s="1"/>
  <c r="C521" i="4"/>
  <c r="C517" i="13" s="1"/>
  <c r="C529" i="4"/>
  <c r="C525" i="13" s="1"/>
  <c r="C537" i="4"/>
  <c r="C533" i="13" s="1"/>
  <c r="C545" i="4"/>
  <c r="C541" i="13" s="1"/>
  <c r="C553" i="4"/>
  <c r="C549" i="13" s="1"/>
  <c r="C561" i="4"/>
  <c r="C557" i="13" s="1"/>
  <c r="C569" i="4"/>
  <c r="C565" i="13" s="1"/>
  <c r="C577" i="4"/>
  <c r="C573" i="13" s="1"/>
  <c r="C585" i="4"/>
  <c r="C581" i="13" s="1"/>
  <c r="C593" i="4"/>
  <c r="C589" i="13" s="1"/>
  <c r="C601" i="4"/>
  <c r="C597" i="13" s="1"/>
  <c r="C609" i="4"/>
  <c r="C605" i="13" s="1"/>
  <c r="C617" i="4"/>
  <c r="C613" i="13" s="1"/>
  <c r="C625" i="4"/>
  <c r="C621" i="13" s="1"/>
  <c r="C633" i="4"/>
  <c r="C629" i="13" s="1"/>
  <c r="F13" i="3"/>
  <c r="F22" i="3"/>
  <c r="F38" i="3"/>
  <c r="F46" i="3"/>
  <c r="F54" i="3"/>
  <c r="F62" i="3"/>
  <c r="F70" i="3"/>
  <c r="F78" i="3"/>
  <c r="F86" i="3"/>
  <c r="F94" i="3"/>
  <c r="F102" i="3"/>
  <c r="F110" i="3"/>
  <c r="F118" i="3"/>
  <c r="F126" i="3"/>
  <c r="F134" i="3"/>
  <c r="F142" i="3"/>
  <c r="F150" i="3"/>
  <c r="F158" i="3"/>
  <c r="F166" i="3"/>
  <c r="F174" i="3"/>
  <c r="F182" i="3"/>
  <c r="F190" i="3"/>
  <c r="F198" i="3"/>
  <c r="F206" i="3"/>
  <c r="F214" i="3"/>
  <c r="F222" i="3"/>
  <c r="F230" i="3"/>
  <c r="F238" i="3"/>
  <c r="F246" i="3"/>
  <c r="F254" i="3"/>
  <c r="F262" i="3"/>
  <c r="F270" i="3"/>
  <c r="F278" i="3"/>
  <c r="F286" i="3"/>
  <c r="F294" i="3"/>
  <c r="F302" i="3"/>
  <c r="F310" i="3"/>
  <c r="F319" i="3"/>
  <c r="F327" i="3"/>
  <c r="F335" i="3"/>
  <c r="F343" i="3"/>
  <c r="F351" i="3"/>
  <c r="F359" i="3"/>
  <c r="F367" i="3"/>
  <c r="F375" i="3"/>
  <c r="D296" i="4"/>
  <c r="D292" i="13" s="1"/>
  <c r="D465" i="4"/>
  <c r="D461" i="13" s="1"/>
  <c r="D591" i="4"/>
  <c r="D587" i="13" s="1"/>
  <c r="C36" i="4"/>
  <c r="C32" i="13" s="1"/>
  <c r="C109" i="4"/>
  <c r="C105" i="13" s="1"/>
  <c r="C174" i="4"/>
  <c r="C170" i="13" s="1"/>
  <c r="C238" i="4"/>
  <c r="C234" i="13" s="1"/>
  <c r="C302" i="4"/>
  <c r="C298" i="13" s="1"/>
  <c r="C366" i="4"/>
  <c r="C362" i="13" s="1"/>
  <c r="C388" i="4"/>
  <c r="C384" i="13" s="1"/>
  <c r="C399" i="4"/>
  <c r="C395" i="13" s="1"/>
  <c r="C410" i="4"/>
  <c r="C406" i="13" s="1"/>
  <c r="C421" i="4"/>
  <c r="C417" i="13" s="1"/>
  <c r="C431" i="4"/>
  <c r="C427" i="13" s="1"/>
  <c r="C442" i="4"/>
  <c r="C438" i="13" s="1"/>
  <c r="C450" i="4"/>
  <c r="C446" i="13" s="1"/>
  <c r="C458" i="4"/>
  <c r="C454" i="13" s="1"/>
  <c r="C466" i="4"/>
  <c r="C462" i="13" s="1"/>
  <c r="C474" i="4"/>
  <c r="C470" i="13" s="1"/>
  <c r="C482" i="4"/>
  <c r="C478" i="13" s="1"/>
  <c r="C490" i="4"/>
  <c r="C486" i="13" s="1"/>
  <c r="C498" i="4"/>
  <c r="C494" i="13" s="1"/>
  <c r="C506" i="4"/>
  <c r="C502" i="13" s="1"/>
  <c r="C514" i="4"/>
  <c r="C510" i="13" s="1"/>
  <c r="C522" i="4"/>
  <c r="C518" i="13" s="1"/>
  <c r="C530" i="4"/>
  <c r="C526" i="13" s="1"/>
  <c r="C538" i="4"/>
  <c r="C534" i="13" s="1"/>
  <c r="C546" i="4"/>
  <c r="C542" i="13" s="1"/>
  <c r="C554" i="4"/>
  <c r="C550" i="13" s="1"/>
  <c r="C562" i="4"/>
  <c r="C558" i="13" s="1"/>
  <c r="C570" i="4"/>
  <c r="C566" i="13" s="1"/>
  <c r="C578" i="4"/>
  <c r="C574" i="13" s="1"/>
  <c r="C586" i="4"/>
  <c r="C582" i="13" s="1"/>
  <c r="C594" i="4"/>
  <c r="C590" i="13" s="1"/>
  <c r="C602" i="4"/>
  <c r="C598" i="13" s="1"/>
  <c r="C610" i="4"/>
  <c r="C606" i="13" s="1"/>
  <c r="C618" i="4"/>
  <c r="C614" i="13" s="1"/>
  <c r="C626" i="4"/>
  <c r="C622" i="13" s="1"/>
  <c r="C634" i="4"/>
  <c r="C630" i="13" s="1"/>
  <c r="F14" i="3"/>
  <c r="F23" i="3"/>
  <c r="F31" i="3"/>
  <c r="F39" i="3"/>
  <c r="F47" i="3"/>
  <c r="F55" i="3"/>
  <c r="F63" i="3"/>
  <c r="F71" i="3"/>
  <c r="F79" i="3"/>
  <c r="F87" i="3"/>
  <c r="F95" i="3"/>
  <c r="F103" i="3"/>
  <c r="F111" i="3"/>
  <c r="F119" i="3"/>
  <c r="F127" i="3"/>
  <c r="F135" i="3"/>
  <c r="F143" i="3"/>
  <c r="F151" i="3"/>
  <c r="F159" i="3"/>
  <c r="F167" i="3"/>
  <c r="F175" i="3"/>
  <c r="F183" i="3"/>
  <c r="F191" i="3"/>
  <c r="F199" i="3"/>
  <c r="F207" i="3"/>
  <c r="F215" i="3"/>
  <c r="F223" i="3"/>
  <c r="F231" i="3"/>
  <c r="F239" i="3"/>
  <c r="F247" i="3"/>
  <c r="F255" i="3"/>
  <c r="F263" i="3"/>
  <c r="F271" i="3"/>
  <c r="F279" i="3"/>
  <c r="F287" i="3"/>
  <c r="F295" i="3"/>
  <c r="F303" i="3"/>
  <c r="F311" i="3"/>
  <c r="F320" i="3"/>
  <c r="F328" i="3"/>
  <c r="F336" i="3"/>
  <c r="F344" i="3"/>
  <c r="F352" i="3"/>
  <c r="F360" i="3"/>
  <c r="F368" i="3"/>
  <c r="D319" i="4"/>
  <c r="D315" i="13" s="1"/>
  <c r="D488" i="4"/>
  <c r="D484" i="13" s="1"/>
  <c r="D600" i="4"/>
  <c r="D596" i="13" s="1"/>
  <c r="C45" i="4"/>
  <c r="C41" i="13" s="1"/>
  <c r="C118" i="4"/>
  <c r="C114" i="13" s="1"/>
  <c r="C182" i="4"/>
  <c r="C178" i="13" s="1"/>
  <c r="C246" i="4"/>
  <c r="C242" i="13" s="1"/>
  <c r="C310" i="4"/>
  <c r="C306" i="13" s="1"/>
  <c r="C372" i="4"/>
  <c r="C368" i="13" s="1"/>
  <c r="C389" i="4"/>
  <c r="C385" i="13" s="1"/>
  <c r="C400" i="4"/>
  <c r="C396" i="13" s="1"/>
  <c r="C412" i="4"/>
  <c r="C408" i="13" s="1"/>
  <c r="C422" i="4"/>
  <c r="C418" i="13" s="1"/>
  <c r="C432" i="4"/>
  <c r="C428" i="13" s="1"/>
  <c r="C443" i="4"/>
  <c r="C439" i="13" s="1"/>
  <c r="C451" i="4"/>
  <c r="C447" i="13" s="1"/>
  <c r="C459" i="4"/>
  <c r="C455" i="13" s="1"/>
  <c r="C467" i="4"/>
  <c r="C463" i="13" s="1"/>
  <c r="C475" i="4"/>
  <c r="C471" i="13" s="1"/>
  <c r="C483" i="4"/>
  <c r="C479" i="13" s="1"/>
  <c r="C491" i="4"/>
  <c r="C487" i="13" s="1"/>
  <c r="C499" i="4"/>
  <c r="C495" i="13" s="1"/>
  <c r="C507" i="4"/>
  <c r="C503" i="13" s="1"/>
  <c r="C515" i="4"/>
  <c r="C511" i="13" s="1"/>
  <c r="C523" i="4"/>
  <c r="C519" i="13" s="1"/>
  <c r="C531" i="4"/>
  <c r="C527" i="13" s="1"/>
  <c r="C539" i="4"/>
  <c r="C535" i="13" s="1"/>
  <c r="C547" i="4"/>
  <c r="C543" i="13" s="1"/>
  <c r="C555" i="4"/>
  <c r="C551" i="13" s="1"/>
  <c r="C563" i="4"/>
  <c r="C559" i="13" s="1"/>
  <c r="C571" i="4"/>
  <c r="C567" i="13" s="1"/>
  <c r="C579" i="4"/>
  <c r="C575" i="13" s="1"/>
  <c r="C587" i="4"/>
  <c r="C583" i="13" s="1"/>
  <c r="C595" i="4"/>
  <c r="C591" i="13" s="1"/>
  <c r="C603" i="4"/>
  <c r="C599" i="13" s="1"/>
  <c r="C611" i="4"/>
  <c r="C607" i="13" s="1"/>
  <c r="C619" i="4"/>
  <c r="C615" i="13" s="1"/>
  <c r="C627" i="4"/>
  <c r="C623" i="13" s="1"/>
  <c r="D6" i="4"/>
  <c r="D2" i="13" s="1"/>
  <c r="F7" i="3"/>
  <c r="F15" i="3"/>
  <c r="F24" i="3"/>
  <c r="F32" i="3"/>
  <c r="F40" i="3"/>
  <c r="F48" i="3"/>
  <c r="F56" i="3"/>
  <c r="F64" i="3"/>
  <c r="F72" i="3"/>
  <c r="F80" i="3"/>
  <c r="F88" i="3"/>
  <c r="F96" i="3"/>
  <c r="F104" i="3"/>
  <c r="F112" i="3"/>
  <c r="F120" i="3"/>
  <c r="F128" i="3"/>
  <c r="F136" i="3"/>
  <c r="F144" i="3"/>
  <c r="F152" i="3"/>
  <c r="F160" i="3"/>
  <c r="F168" i="3"/>
  <c r="F176" i="3"/>
  <c r="F184" i="3"/>
  <c r="F192" i="3"/>
  <c r="F200" i="3"/>
  <c r="F208" i="3"/>
  <c r="F216" i="3"/>
  <c r="F224" i="3"/>
  <c r="F232" i="3"/>
  <c r="F240" i="3"/>
  <c r="F248" i="3"/>
  <c r="F256" i="3"/>
  <c r="F264" i="3"/>
  <c r="F272" i="3"/>
  <c r="F280" i="3"/>
  <c r="F288" i="3"/>
  <c r="F296" i="3"/>
  <c r="F304" i="3"/>
  <c r="F312" i="3"/>
  <c r="F321" i="3"/>
  <c r="F329" i="3"/>
  <c r="F337" i="3"/>
  <c r="F345" i="3"/>
  <c r="F353" i="3"/>
  <c r="F361" i="3"/>
  <c r="F369" i="3"/>
  <c r="D75" i="4"/>
  <c r="D71" i="13" s="1"/>
  <c r="D337" i="4"/>
  <c r="D333" i="13" s="1"/>
  <c r="D511" i="4"/>
  <c r="D507" i="13" s="1"/>
  <c r="D609" i="4"/>
  <c r="D605" i="13" s="1"/>
  <c r="C55" i="4"/>
  <c r="C51" i="13" s="1"/>
  <c r="C126" i="4"/>
  <c r="C122" i="13" s="1"/>
  <c r="C190" i="4"/>
  <c r="C186" i="13" s="1"/>
  <c r="C254" i="4"/>
  <c r="C250" i="13" s="1"/>
  <c r="C318" i="4"/>
  <c r="C314" i="13" s="1"/>
  <c r="C373" i="4"/>
  <c r="C369" i="13" s="1"/>
  <c r="C390" i="4"/>
  <c r="C386" i="13" s="1"/>
  <c r="C402" i="4"/>
  <c r="C398" i="13" s="1"/>
  <c r="C413" i="4"/>
  <c r="C409" i="13" s="1"/>
  <c r="C423" i="4"/>
  <c r="C419" i="13" s="1"/>
  <c r="C434" i="4"/>
  <c r="C430" i="13" s="1"/>
  <c r="C444" i="4"/>
  <c r="C440" i="13" s="1"/>
  <c r="C452" i="4"/>
  <c r="C448" i="13" s="1"/>
  <c r="C460" i="4"/>
  <c r="C456" i="13" s="1"/>
  <c r="C468" i="4"/>
  <c r="C464" i="13" s="1"/>
  <c r="C476" i="4"/>
  <c r="C472" i="13" s="1"/>
  <c r="C484" i="4"/>
  <c r="C480" i="13" s="1"/>
  <c r="C492" i="4"/>
  <c r="C488" i="13" s="1"/>
  <c r="C500" i="4"/>
  <c r="C496" i="13" s="1"/>
  <c r="C508" i="4"/>
  <c r="C504" i="13" s="1"/>
  <c r="C516" i="4"/>
  <c r="C512" i="13" s="1"/>
  <c r="C524" i="4"/>
  <c r="C520" i="13" s="1"/>
  <c r="C532" i="4"/>
  <c r="C528" i="13" s="1"/>
  <c r="C540" i="4"/>
  <c r="C536" i="13" s="1"/>
  <c r="C548" i="4"/>
  <c r="C544" i="13" s="1"/>
  <c r="C556" i="4"/>
  <c r="C552" i="13" s="1"/>
  <c r="C564" i="4"/>
  <c r="C560" i="13" s="1"/>
  <c r="C572" i="4"/>
  <c r="C568" i="13" s="1"/>
  <c r="C580" i="4"/>
  <c r="C576" i="13" s="1"/>
  <c r="C588" i="4"/>
  <c r="C584" i="13" s="1"/>
  <c r="C596" i="4"/>
  <c r="C592" i="13" s="1"/>
  <c r="C604" i="4"/>
  <c r="C600" i="13" s="1"/>
  <c r="C612" i="4"/>
  <c r="C608" i="13" s="1"/>
  <c r="C620" i="4"/>
  <c r="C616" i="13" s="1"/>
  <c r="C628" i="4"/>
  <c r="C624" i="13" s="1"/>
  <c r="C6" i="4"/>
  <c r="C2" i="13" s="1"/>
  <c r="F8" i="3"/>
  <c r="F16" i="3"/>
  <c r="F25" i="3"/>
  <c r="F33" i="3"/>
  <c r="F41" i="3"/>
  <c r="F49" i="3"/>
  <c r="F57" i="3"/>
  <c r="F65" i="3"/>
  <c r="F73" i="3"/>
  <c r="F81" i="3"/>
  <c r="F89" i="3"/>
  <c r="F97" i="3"/>
  <c r="F105" i="3"/>
  <c r="F113" i="3"/>
  <c r="F121" i="3"/>
  <c r="F129" i="3"/>
  <c r="F137" i="3"/>
  <c r="F145" i="3"/>
  <c r="F153" i="3"/>
  <c r="F161" i="3"/>
  <c r="F169" i="3"/>
  <c r="F177" i="3"/>
  <c r="F185" i="3"/>
  <c r="F193" i="3"/>
  <c r="F201" i="3"/>
  <c r="F209" i="3"/>
  <c r="F217" i="3"/>
  <c r="F225" i="3"/>
  <c r="F233" i="3"/>
  <c r="F241" i="3"/>
  <c r="F249" i="3"/>
  <c r="F257" i="3"/>
  <c r="F265" i="3"/>
  <c r="F273" i="3"/>
  <c r="F281" i="3"/>
  <c r="F289" i="3"/>
  <c r="F297" i="3"/>
  <c r="F305" i="3"/>
  <c r="F314" i="3"/>
  <c r="F322" i="3"/>
  <c r="F330" i="3"/>
  <c r="F338" i="3"/>
  <c r="F346" i="3"/>
  <c r="F354" i="3"/>
  <c r="D170" i="4"/>
  <c r="D166" i="13" s="1"/>
  <c r="D360" i="4"/>
  <c r="D356" i="13" s="1"/>
  <c r="D529" i="4"/>
  <c r="D525" i="13" s="1"/>
  <c r="D619" i="4"/>
  <c r="D615" i="13" s="1"/>
  <c r="C64" i="4"/>
  <c r="C60" i="13" s="1"/>
  <c r="C134" i="4"/>
  <c r="C130" i="13" s="1"/>
  <c r="C198" i="4"/>
  <c r="C194" i="13" s="1"/>
  <c r="C262" i="4"/>
  <c r="C258" i="13" s="1"/>
  <c r="C326" i="4"/>
  <c r="C322" i="13" s="1"/>
  <c r="C374" i="4"/>
  <c r="C370" i="13" s="1"/>
  <c r="C392" i="4"/>
  <c r="C388" i="13" s="1"/>
  <c r="C404" i="4"/>
  <c r="C400" i="13" s="1"/>
  <c r="C414" i="4"/>
  <c r="C410" i="13" s="1"/>
  <c r="C424" i="4"/>
  <c r="C420" i="13" s="1"/>
  <c r="C436" i="4"/>
  <c r="C432" i="13" s="1"/>
  <c r="C445" i="4"/>
  <c r="C441" i="13" s="1"/>
  <c r="C453" i="4"/>
  <c r="C449" i="13" s="1"/>
  <c r="C461" i="4"/>
  <c r="C457" i="13" s="1"/>
  <c r="C469" i="4"/>
  <c r="C465" i="13" s="1"/>
  <c r="C477" i="4"/>
  <c r="C473" i="13" s="1"/>
  <c r="C485" i="4"/>
  <c r="C481" i="13" s="1"/>
  <c r="C493" i="4"/>
  <c r="C489" i="13" s="1"/>
  <c r="C501" i="4"/>
  <c r="C497" i="13" s="1"/>
  <c r="C509" i="4"/>
  <c r="C505" i="13" s="1"/>
  <c r="C517" i="4"/>
  <c r="C513" i="13" s="1"/>
  <c r="C525" i="4"/>
  <c r="C521" i="13" s="1"/>
  <c r="C533" i="4"/>
  <c r="C529" i="13" s="1"/>
  <c r="C541" i="4"/>
  <c r="C537" i="13" s="1"/>
  <c r="C549" i="4"/>
  <c r="C545" i="13" s="1"/>
  <c r="C557" i="4"/>
  <c r="C553" i="13" s="1"/>
  <c r="C565" i="4"/>
  <c r="C561" i="13" s="1"/>
  <c r="C573" i="4"/>
  <c r="C569" i="13" s="1"/>
  <c r="C581" i="4"/>
  <c r="C577" i="13" s="1"/>
  <c r="C589" i="4"/>
  <c r="C585" i="13" s="1"/>
  <c r="C597" i="4"/>
  <c r="C593" i="13" s="1"/>
  <c r="C605" i="4"/>
  <c r="C601" i="13" s="1"/>
  <c r="C613" i="4"/>
  <c r="C609" i="13" s="1"/>
  <c r="C621" i="4"/>
  <c r="C617" i="13" s="1"/>
  <c r="C629" i="4"/>
  <c r="C625" i="13" s="1"/>
  <c r="F9" i="3"/>
  <c r="F17" i="3"/>
  <c r="F26" i="3"/>
  <c r="F34" i="3"/>
  <c r="F42" i="3"/>
  <c r="F50" i="3"/>
  <c r="F58" i="3"/>
  <c r="F66" i="3"/>
  <c r="F74" i="3"/>
  <c r="F82" i="3"/>
  <c r="F90" i="3"/>
  <c r="F98" i="3"/>
  <c r="F106" i="3"/>
  <c r="F114" i="3"/>
  <c r="F122" i="3"/>
  <c r="F130" i="3"/>
  <c r="F138" i="3"/>
  <c r="F146" i="3"/>
  <c r="F154" i="3"/>
  <c r="F162" i="3"/>
  <c r="F170" i="3"/>
  <c r="F178" i="3"/>
  <c r="F186" i="3"/>
  <c r="F194" i="3"/>
  <c r="F202" i="3"/>
  <c r="F210" i="3"/>
  <c r="F218" i="3"/>
  <c r="F226" i="3"/>
  <c r="F234" i="3"/>
  <c r="F242" i="3"/>
  <c r="F250" i="3"/>
  <c r="F258" i="3"/>
  <c r="F266" i="3"/>
  <c r="F274" i="3"/>
  <c r="F282" i="3"/>
  <c r="F290" i="3"/>
  <c r="F298" i="3"/>
  <c r="F306" i="3"/>
  <c r="F315" i="3"/>
  <c r="F323" i="3"/>
  <c r="F331" i="3"/>
  <c r="F339" i="3"/>
  <c r="F347" i="3"/>
  <c r="F355" i="3"/>
  <c r="F363" i="3"/>
  <c r="F371" i="3"/>
  <c r="D209" i="4"/>
  <c r="D205" i="13" s="1"/>
  <c r="D383" i="4"/>
  <c r="D379" i="13" s="1"/>
  <c r="D552" i="4"/>
  <c r="D548" i="13" s="1"/>
  <c r="D628" i="4"/>
  <c r="D624" i="13" s="1"/>
  <c r="C73" i="4"/>
  <c r="C69" i="13" s="1"/>
  <c r="C142" i="4"/>
  <c r="C138" i="13" s="1"/>
  <c r="C206" i="4"/>
  <c r="C202" i="13" s="1"/>
  <c r="C270" i="4"/>
  <c r="C266" i="13" s="1"/>
  <c r="C334" i="4"/>
  <c r="C330" i="13" s="1"/>
  <c r="C380" i="4"/>
  <c r="C376" i="13" s="1"/>
  <c r="C394" i="4"/>
  <c r="C390" i="13" s="1"/>
  <c r="C405" i="4"/>
  <c r="C401" i="13" s="1"/>
  <c r="C415" i="4"/>
  <c r="C411" i="13" s="1"/>
  <c r="C426" i="4"/>
  <c r="C422" i="13" s="1"/>
  <c r="C437" i="4"/>
  <c r="C433" i="13" s="1"/>
  <c r="C446" i="4"/>
  <c r="C442" i="13" s="1"/>
  <c r="C454" i="4"/>
  <c r="C450" i="13" s="1"/>
  <c r="C462" i="4"/>
  <c r="C458" i="13" s="1"/>
  <c r="C470" i="4"/>
  <c r="C466" i="13" s="1"/>
  <c r="C478" i="4"/>
  <c r="C474" i="13" s="1"/>
  <c r="C486" i="4"/>
  <c r="C482" i="13" s="1"/>
  <c r="C494" i="4"/>
  <c r="C490" i="13" s="1"/>
  <c r="C502" i="4"/>
  <c r="C498" i="13" s="1"/>
  <c r="C510" i="4"/>
  <c r="C506" i="13" s="1"/>
  <c r="C518" i="4"/>
  <c r="C514" i="13" s="1"/>
  <c r="C526" i="4"/>
  <c r="C522" i="13" s="1"/>
  <c r="C534" i="4"/>
  <c r="C530" i="13" s="1"/>
  <c r="C542" i="4"/>
  <c r="C538" i="13" s="1"/>
  <c r="C550" i="4"/>
  <c r="C546" i="13" s="1"/>
  <c r="C558" i="4"/>
  <c r="C554" i="13" s="1"/>
  <c r="C566" i="4"/>
  <c r="C562" i="13" s="1"/>
  <c r="C574" i="4"/>
  <c r="C570" i="13" s="1"/>
  <c r="C582" i="4"/>
  <c r="C578" i="13" s="1"/>
  <c r="C590" i="4"/>
  <c r="C586" i="13" s="1"/>
  <c r="C598" i="4"/>
  <c r="C594" i="13" s="1"/>
  <c r="C614" i="4"/>
  <c r="C610" i="13" s="1"/>
  <c r="C622" i="4"/>
  <c r="C618" i="13" s="1"/>
  <c r="C630" i="4"/>
  <c r="C626" i="13" s="1"/>
  <c r="F10" i="3"/>
  <c r="F18" i="3"/>
  <c r="F27" i="3"/>
  <c r="F35" i="3"/>
  <c r="F43" i="3"/>
  <c r="F51" i="3"/>
  <c r="F59" i="3"/>
  <c r="F67" i="3"/>
  <c r="F75" i="3"/>
  <c r="F83" i="3"/>
  <c r="F91" i="3"/>
  <c r="F99" i="3"/>
  <c r="F107" i="3"/>
  <c r="F115" i="3"/>
  <c r="F123" i="3"/>
  <c r="F131" i="3"/>
  <c r="F139" i="3"/>
  <c r="F147" i="3"/>
  <c r="F155" i="3"/>
  <c r="F163" i="3"/>
  <c r="F171" i="3"/>
  <c r="F179" i="3"/>
  <c r="F187" i="3"/>
  <c r="F195" i="3"/>
  <c r="F203" i="3"/>
  <c r="F211" i="3"/>
  <c r="F219" i="3"/>
  <c r="F227" i="3"/>
  <c r="F235" i="3"/>
  <c r="F243" i="3"/>
  <c r="F251" i="3"/>
  <c r="F259" i="3"/>
  <c r="F267" i="3"/>
  <c r="F275" i="3"/>
  <c r="F283" i="3"/>
  <c r="F291" i="3"/>
  <c r="F299" i="3"/>
  <c r="F307" i="3"/>
  <c r="F316" i="3"/>
  <c r="F324" i="3"/>
  <c r="F332" i="3"/>
  <c r="F340" i="3"/>
  <c r="D232" i="4"/>
  <c r="D228" i="13" s="1"/>
  <c r="D401" i="4"/>
  <c r="D397" i="13" s="1"/>
  <c r="D564" i="4"/>
  <c r="D560" i="13" s="1"/>
  <c r="C9" i="4"/>
  <c r="C5" i="13" s="1"/>
  <c r="C82" i="4"/>
  <c r="C78" i="13" s="1"/>
  <c r="C150" i="4"/>
  <c r="C146" i="13" s="1"/>
  <c r="C214" i="4"/>
  <c r="C210" i="13" s="1"/>
  <c r="C278" i="4"/>
  <c r="C274" i="13" s="1"/>
  <c r="C342" i="4"/>
  <c r="C338" i="13" s="1"/>
  <c r="C381" i="4"/>
  <c r="C377" i="13" s="1"/>
  <c r="C396" i="4"/>
  <c r="C392" i="13" s="1"/>
  <c r="C406" i="4"/>
  <c r="C402" i="13" s="1"/>
  <c r="C416" i="4"/>
  <c r="C412" i="13" s="1"/>
  <c r="C428" i="4"/>
  <c r="C424" i="13" s="1"/>
  <c r="C438" i="4"/>
  <c r="C434" i="13" s="1"/>
  <c r="C447" i="4"/>
  <c r="C443" i="13" s="1"/>
  <c r="C455" i="4"/>
  <c r="C451" i="13" s="1"/>
  <c r="C463" i="4"/>
  <c r="C459" i="13" s="1"/>
  <c r="C471" i="4"/>
  <c r="C467" i="13" s="1"/>
  <c r="C479" i="4"/>
  <c r="C475" i="13" s="1"/>
  <c r="C487" i="4"/>
  <c r="C483" i="13" s="1"/>
  <c r="C495" i="4"/>
  <c r="C491" i="13" s="1"/>
  <c r="C503" i="4"/>
  <c r="C499" i="13" s="1"/>
  <c r="C511" i="4"/>
  <c r="C507" i="13" s="1"/>
  <c r="C519" i="4"/>
  <c r="C515" i="13" s="1"/>
  <c r="C527" i="4"/>
  <c r="C523" i="13" s="1"/>
  <c r="C535" i="4"/>
  <c r="C531" i="13" s="1"/>
  <c r="C543" i="4"/>
  <c r="C539" i="13" s="1"/>
  <c r="C551" i="4"/>
  <c r="C547" i="13" s="1"/>
  <c r="C559" i="4"/>
  <c r="C555" i="13" s="1"/>
  <c r="C567" i="4"/>
  <c r="C563" i="13" s="1"/>
  <c r="C575" i="4"/>
  <c r="C571" i="13" s="1"/>
  <c r="C583" i="4"/>
  <c r="C579" i="13" s="1"/>
  <c r="C591" i="4"/>
  <c r="C587" i="13" s="1"/>
  <c r="C599" i="4"/>
  <c r="C595" i="13" s="1"/>
  <c r="C607" i="4"/>
  <c r="C603" i="13" s="1"/>
  <c r="C615" i="4"/>
  <c r="C611" i="13" s="1"/>
  <c r="C623" i="4"/>
  <c r="C619" i="13" s="1"/>
  <c r="C631" i="4"/>
  <c r="C627" i="13" s="1"/>
  <c r="F11" i="3"/>
  <c r="F19" i="3"/>
  <c r="F28" i="3"/>
  <c r="F36" i="3"/>
  <c r="F44" i="3"/>
  <c r="F52" i="3"/>
  <c r="F60" i="3"/>
  <c r="F68" i="3"/>
  <c r="F76" i="3"/>
  <c r="F84" i="3"/>
  <c r="F92" i="3"/>
  <c r="F100" i="3"/>
  <c r="F108" i="3"/>
  <c r="F116" i="3"/>
  <c r="F124" i="3"/>
  <c r="F132" i="3"/>
  <c r="F140" i="3"/>
  <c r="F148" i="3"/>
  <c r="F156" i="3"/>
  <c r="F164" i="3"/>
  <c r="F172" i="3"/>
  <c r="F180" i="3"/>
  <c r="F188" i="3"/>
  <c r="F196" i="3"/>
  <c r="F204" i="3"/>
  <c r="F212" i="3"/>
  <c r="F220" i="3"/>
  <c r="F228" i="3"/>
  <c r="F236" i="3"/>
  <c r="F244" i="3"/>
  <c r="F252" i="3"/>
  <c r="F260" i="3"/>
  <c r="F268" i="3"/>
  <c r="F276" i="3"/>
  <c r="F284" i="3"/>
  <c r="F292" i="3"/>
  <c r="F300" i="3"/>
  <c r="F308" i="3"/>
  <c r="F317" i="3"/>
  <c r="F325" i="3"/>
  <c r="F333" i="3"/>
  <c r="F341" i="3"/>
  <c r="D255" i="4"/>
  <c r="D251" i="13" s="1"/>
  <c r="C350" i="4"/>
  <c r="C346" i="13" s="1"/>
  <c r="C456" i="4"/>
  <c r="C452" i="13" s="1"/>
  <c r="C520" i="4"/>
  <c r="C516" i="13" s="1"/>
  <c r="C584" i="4"/>
  <c r="C580" i="13" s="1"/>
  <c r="F37" i="3"/>
  <c r="F101" i="3"/>
  <c r="F165" i="3"/>
  <c r="F229" i="3"/>
  <c r="F293" i="3"/>
  <c r="F349" i="3"/>
  <c r="F366" i="3"/>
  <c r="F379" i="3"/>
  <c r="F387" i="3"/>
  <c r="F395" i="3"/>
  <c r="F403" i="3"/>
  <c r="F411" i="3"/>
  <c r="F419" i="3"/>
  <c r="F427" i="3"/>
  <c r="F435" i="3"/>
  <c r="F443" i="3"/>
  <c r="F451" i="3"/>
  <c r="F459" i="3"/>
  <c r="F467" i="3"/>
  <c r="F475" i="3"/>
  <c r="F483" i="3"/>
  <c r="F491" i="3"/>
  <c r="F499" i="3"/>
  <c r="E8" i="3"/>
  <c r="E16" i="3"/>
  <c r="G16" i="3" s="1"/>
  <c r="E24" i="3"/>
  <c r="G24" i="3" s="1"/>
  <c r="E32" i="3"/>
  <c r="G32" i="3" s="1"/>
  <c r="E40" i="3"/>
  <c r="G40" i="3" s="1"/>
  <c r="E48" i="3"/>
  <c r="G48" i="3" s="1"/>
  <c r="E56" i="3"/>
  <c r="G56" i="3" s="1"/>
  <c r="E64" i="3"/>
  <c r="G64" i="3" s="1"/>
  <c r="E72" i="3"/>
  <c r="G72" i="3" s="1"/>
  <c r="E80" i="3"/>
  <c r="G80" i="3" s="1"/>
  <c r="E88" i="3"/>
  <c r="G88" i="3" s="1"/>
  <c r="E96" i="3"/>
  <c r="G96" i="3" s="1"/>
  <c r="E104" i="3"/>
  <c r="G104" i="3" s="1"/>
  <c r="E112" i="3"/>
  <c r="G112" i="3" s="1"/>
  <c r="E120" i="3"/>
  <c r="G120" i="3" s="1"/>
  <c r="E128" i="3"/>
  <c r="G128" i="3" s="1"/>
  <c r="E136" i="3"/>
  <c r="G136" i="3" s="1"/>
  <c r="E144" i="3"/>
  <c r="G144" i="3" s="1"/>
  <c r="E152" i="3"/>
  <c r="G152" i="3" s="1"/>
  <c r="E160" i="3"/>
  <c r="G160" i="3" s="1"/>
  <c r="E168" i="3"/>
  <c r="G168" i="3" s="1"/>
  <c r="E176" i="3"/>
  <c r="G176" i="3" s="1"/>
  <c r="E184" i="3"/>
  <c r="G184" i="3" s="1"/>
  <c r="E192" i="3"/>
  <c r="G192" i="3" s="1"/>
  <c r="E200" i="3"/>
  <c r="G200" i="3" s="1"/>
  <c r="E208" i="3"/>
  <c r="G208" i="3" s="1"/>
  <c r="E216" i="3"/>
  <c r="G216" i="3" s="1"/>
  <c r="E224" i="3"/>
  <c r="G224" i="3" s="1"/>
  <c r="E232" i="3"/>
  <c r="G232" i="3" s="1"/>
  <c r="E240" i="3"/>
  <c r="G240" i="3" s="1"/>
  <c r="E248" i="3"/>
  <c r="G248" i="3" s="1"/>
  <c r="E256" i="3"/>
  <c r="G256" i="3" s="1"/>
  <c r="E264" i="3"/>
  <c r="G264" i="3" s="1"/>
  <c r="E272" i="3"/>
  <c r="G272" i="3" s="1"/>
  <c r="E280" i="3"/>
  <c r="G280" i="3" s="1"/>
  <c r="E288" i="3"/>
  <c r="G288" i="3" s="1"/>
  <c r="E296" i="3"/>
  <c r="G296" i="3" s="1"/>
  <c r="E304" i="3"/>
  <c r="G304" i="3" s="1"/>
  <c r="E312" i="3"/>
  <c r="G312" i="3" s="1"/>
  <c r="E320" i="3"/>
  <c r="G320" i="3" s="1"/>
  <c r="E328" i="3"/>
  <c r="G328" i="3" s="1"/>
  <c r="E336" i="3"/>
  <c r="G336" i="3" s="1"/>
  <c r="E344" i="3"/>
  <c r="G344" i="3" s="1"/>
  <c r="E352" i="3"/>
  <c r="G352" i="3" s="1"/>
  <c r="E360" i="3"/>
  <c r="G360" i="3" s="1"/>
  <c r="E368" i="3"/>
  <c r="G368" i="3" s="1"/>
  <c r="E376" i="3"/>
  <c r="G376" i="3" s="1"/>
  <c r="E384" i="3"/>
  <c r="G384" i="3" s="1"/>
  <c r="E392" i="3"/>
  <c r="G392" i="3" s="1"/>
  <c r="E400" i="3"/>
  <c r="G400" i="3" s="1"/>
  <c r="E408" i="3"/>
  <c r="G408" i="3" s="1"/>
  <c r="E416" i="3"/>
  <c r="G416" i="3" s="1"/>
  <c r="E424" i="3"/>
  <c r="G424" i="3" s="1"/>
  <c r="E432" i="3"/>
  <c r="G432" i="3" s="1"/>
  <c r="E440" i="3"/>
  <c r="G440" i="3" s="1"/>
  <c r="E448" i="3"/>
  <c r="G448" i="3" s="1"/>
  <c r="E456" i="3"/>
  <c r="G456" i="3" s="1"/>
  <c r="E464" i="3"/>
  <c r="G464" i="3" s="1"/>
  <c r="D424" i="4"/>
  <c r="D420" i="13" s="1"/>
  <c r="C382" i="4"/>
  <c r="C378" i="13" s="1"/>
  <c r="C464" i="4"/>
  <c r="C460" i="13" s="1"/>
  <c r="C528" i="4"/>
  <c r="C524" i="13" s="1"/>
  <c r="C592" i="4"/>
  <c r="C588" i="13" s="1"/>
  <c r="F45" i="3"/>
  <c r="F109" i="3"/>
  <c r="F173" i="3"/>
  <c r="F237" i="3"/>
  <c r="F301" i="3"/>
  <c r="F350" i="3"/>
  <c r="F370" i="3"/>
  <c r="F380" i="3"/>
  <c r="F388" i="3"/>
  <c r="F396" i="3"/>
  <c r="F404" i="3"/>
  <c r="F412" i="3"/>
  <c r="F420" i="3"/>
  <c r="F428" i="3"/>
  <c r="F436" i="3"/>
  <c r="F444" i="3"/>
  <c r="F452" i="3"/>
  <c r="F460" i="3"/>
  <c r="F468" i="3"/>
  <c r="F476" i="3"/>
  <c r="F484" i="3"/>
  <c r="F492" i="3"/>
  <c r="F500" i="3"/>
  <c r="E9" i="3"/>
  <c r="E17" i="3"/>
  <c r="G17" i="3" s="1"/>
  <c r="E25" i="3"/>
  <c r="G25" i="3" s="1"/>
  <c r="E33" i="3"/>
  <c r="G33" i="3" s="1"/>
  <c r="E41" i="3"/>
  <c r="G41" i="3" s="1"/>
  <c r="E49" i="3"/>
  <c r="G49" i="3" s="1"/>
  <c r="E57" i="3"/>
  <c r="G57" i="3" s="1"/>
  <c r="E65" i="3"/>
  <c r="G65" i="3" s="1"/>
  <c r="E73" i="3"/>
  <c r="G73" i="3" s="1"/>
  <c r="E81" i="3"/>
  <c r="G81" i="3" s="1"/>
  <c r="E89" i="3"/>
  <c r="G89" i="3" s="1"/>
  <c r="E97" i="3"/>
  <c r="G97" i="3" s="1"/>
  <c r="E105" i="3"/>
  <c r="G105" i="3" s="1"/>
  <c r="E113" i="3"/>
  <c r="G113" i="3" s="1"/>
  <c r="E121" i="3"/>
  <c r="G121" i="3" s="1"/>
  <c r="E129" i="3"/>
  <c r="G129" i="3" s="1"/>
  <c r="E137" i="3"/>
  <c r="G137" i="3" s="1"/>
  <c r="E145" i="3"/>
  <c r="G145" i="3" s="1"/>
  <c r="E153" i="3"/>
  <c r="G153" i="3" s="1"/>
  <c r="E161" i="3"/>
  <c r="G161" i="3" s="1"/>
  <c r="E169" i="3"/>
  <c r="G169" i="3" s="1"/>
  <c r="E177" i="3"/>
  <c r="G177" i="3" s="1"/>
  <c r="E185" i="3"/>
  <c r="G185" i="3" s="1"/>
  <c r="E193" i="3"/>
  <c r="G193" i="3" s="1"/>
  <c r="E201" i="3"/>
  <c r="G201" i="3" s="1"/>
  <c r="E209" i="3"/>
  <c r="G209" i="3" s="1"/>
  <c r="E217" i="3"/>
  <c r="G217" i="3" s="1"/>
  <c r="E225" i="3"/>
  <c r="G225" i="3" s="1"/>
  <c r="E233" i="3"/>
  <c r="G233" i="3" s="1"/>
  <c r="E241" i="3"/>
  <c r="G241" i="3" s="1"/>
  <c r="E249" i="3"/>
  <c r="G249" i="3" s="1"/>
  <c r="E257" i="3"/>
  <c r="G257" i="3" s="1"/>
  <c r="E265" i="3"/>
  <c r="G265" i="3" s="1"/>
  <c r="E273" i="3"/>
  <c r="G273" i="3" s="1"/>
  <c r="E281" i="3"/>
  <c r="G281" i="3" s="1"/>
  <c r="E289" i="3"/>
  <c r="G289" i="3" s="1"/>
  <c r="E297" i="3"/>
  <c r="G297" i="3" s="1"/>
  <c r="E305" i="3"/>
  <c r="G305" i="3" s="1"/>
  <c r="E313" i="3"/>
  <c r="G313" i="3" s="1"/>
  <c r="E321" i="3"/>
  <c r="G321" i="3" s="1"/>
  <c r="E329" i="3"/>
  <c r="G329" i="3" s="1"/>
  <c r="E337" i="3"/>
  <c r="G337" i="3" s="1"/>
  <c r="E345" i="3"/>
  <c r="G345" i="3" s="1"/>
  <c r="E353" i="3"/>
  <c r="G353" i="3" s="1"/>
  <c r="E361" i="3"/>
  <c r="G361" i="3" s="1"/>
  <c r="E369" i="3"/>
  <c r="G369" i="3" s="1"/>
  <c r="E377" i="3"/>
  <c r="G377" i="3" s="1"/>
  <c r="E385" i="3"/>
  <c r="G385" i="3" s="1"/>
  <c r="E393" i="3"/>
  <c r="G393" i="3" s="1"/>
  <c r="E401" i="3"/>
  <c r="G401" i="3" s="1"/>
  <c r="E409" i="3"/>
  <c r="G409" i="3" s="1"/>
  <c r="E417" i="3"/>
  <c r="G417" i="3" s="1"/>
  <c r="E425" i="3"/>
  <c r="G425" i="3" s="1"/>
  <c r="E433" i="3"/>
  <c r="G433" i="3" s="1"/>
  <c r="E441" i="3"/>
  <c r="G441" i="3" s="1"/>
  <c r="E449" i="3"/>
  <c r="G449" i="3" s="1"/>
  <c r="E457" i="3"/>
  <c r="G457" i="3" s="1"/>
  <c r="D573" i="4"/>
  <c r="D569" i="13" s="1"/>
  <c r="C397" i="4"/>
  <c r="C393" i="13" s="1"/>
  <c r="C472" i="4"/>
  <c r="C468" i="13" s="1"/>
  <c r="C536" i="4"/>
  <c r="C532" i="13" s="1"/>
  <c r="C600" i="4"/>
  <c r="C596" i="13" s="1"/>
  <c r="F53" i="3"/>
  <c r="F117" i="3"/>
  <c r="F181" i="3"/>
  <c r="F245" i="3"/>
  <c r="F309" i="3"/>
  <c r="F356" i="3"/>
  <c r="F372" i="3"/>
  <c r="F381" i="3"/>
  <c r="F389" i="3"/>
  <c r="F397" i="3"/>
  <c r="F405" i="3"/>
  <c r="F413" i="3"/>
  <c r="F421" i="3"/>
  <c r="F429" i="3"/>
  <c r="F437" i="3"/>
  <c r="F445" i="3"/>
  <c r="F453" i="3"/>
  <c r="F461" i="3"/>
  <c r="F469" i="3"/>
  <c r="F477" i="3"/>
  <c r="F485" i="3"/>
  <c r="F493" i="3"/>
  <c r="F501" i="3"/>
  <c r="E10" i="3"/>
  <c r="E18" i="3"/>
  <c r="G18" i="3" s="1"/>
  <c r="E26" i="3"/>
  <c r="G26" i="3" s="1"/>
  <c r="E34" i="3"/>
  <c r="G34" i="3" s="1"/>
  <c r="E42" i="3"/>
  <c r="G42" i="3" s="1"/>
  <c r="E50" i="3"/>
  <c r="G50" i="3" s="1"/>
  <c r="E58" i="3"/>
  <c r="G58" i="3" s="1"/>
  <c r="E66" i="3"/>
  <c r="G66" i="3" s="1"/>
  <c r="E74" i="3"/>
  <c r="G74" i="3" s="1"/>
  <c r="E82" i="3"/>
  <c r="G82" i="3" s="1"/>
  <c r="E90" i="3"/>
  <c r="G90" i="3" s="1"/>
  <c r="E98" i="3"/>
  <c r="G98" i="3" s="1"/>
  <c r="E106" i="3"/>
  <c r="G106" i="3" s="1"/>
  <c r="E114" i="3"/>
  <c r="G114" i="3" s="1"/>
  <c r="E122" i="3"/>
  <c r="G122" i="3" s="1"/>
  <c r="E130" i="3"/>
  <c r="G130" i="3" s="1"/>
  <c r="E138" i="3"/>
  <c r="G138" i="3" s="1"/>
  <c r="E146" i="3"/>
  <c r="G146" i="3" s="1"/>
  <c r="E154" i="3"/>
  <c r="G154" i="3" s="1"/>
  <c r="E162" i="3"/>
  <c r="G162" i="3" s="1"/>
  <c r="E170" i="3"/>
  <c r="G170" i="3" s="1"/>
  <c r="E178" i="3"/>
  <c r="G178" i="3" s="1"/>
  <c r="E186" i="3"/>
  <c r="G186" i="3" s="1"/>
  <c r="E194" i="3"/>
  <c r="G194" i="3" s="1"/>
  <c r="E202" i="3"/>
  <c r="G202" i="3" s="1"/>
  <c r="E210" i="3"/>
  <c r="G210" i="3" s="1"/>
  <c r="E218" i="3"/>
  <c r="G218" i="3" s="1"/>
  <c r="E226" i="3"/>
  <c r="G226" i="3" s="1"/>
  <c r="E234" i="3"/>
  <c r="G234" i="3" s="1"/>
  <c r="E242" i="3"/>
  <c r="G242" i="3" s="1"/>
  <c r="E250" i="3"/>
  <c r="G250" i="3" s="1"/>
  <c r="E258" i="3"/>
  <c r="G258" i="3" s="1"/>
  <c r="E266" i="3"/>
  <c r="G266" i="3" s="1"/>
  <c r="E274" i="3"/>
  <c r="G274" i="3" s="1"/>
  <c r="E282" i="3"/>
  <c r="G282" i="3" s="1"/>
  <c r="E290" i="3"/>
  <c r="G290" i="3" s="1"/>
  <c r="E298" i="3"/>
  <c r="G298" i="3" s="1"/>
  <c r="E306" i="3"/>
  <c r="G306" i="3" s="1"/>
  <c r="E314" i="3"/>
  <c r="G314" i="3" s="1"/>
  <c r="E322" i="3"/>
  <c r="G322" i="3" s="1"/>
  <c r="E330" i="3"/>
  <c r="G330" i="3" s="1"/>
  <c r="E338" i="3"/>
  <c r="G338" i="3" s="1"/>
  <c r="E346" i="3"/>
  <c r="G346" i="3" s="1"/>
  <c r="E354" i="3"/>
  <c r="G354" i="3" s="1"/>
  <c r="E362" i="3"/>
  <c r="G362" i="3" s="1"/>
  <c r="E370" i="3"/>
  <c r="G370" i="3" s="1"/>
  <c r="E378" i="3"/>
  <c r="G378" i="3" s="1"/>
  <c r="E386" i="3"/>
  <c r="G386" i="3" s="1"/>
  <c r="E394" i="3"/>
  <c r="G394" i="3" s="1"/>
  <c r="E402" i="3"/>
  <c r="G402" i="3" s="1"/>
  <c r="E410" i="3"/>
  <c r="G410" i="3" s="1"/>
  <c r="E418" i="3"/>
  <c r="G418" i="3" s="1"/>
  <c r="E426" i="3"/>
  <c r="G426" i="3" s="1"/>
  <c r="C18" i="4"/>
  <c r="C14" i="13" s="1"/>
  <c r="C407" i="4"/>
  <c r="C403" i="13" s="1"/>
  <c r="C480" i="4"/>
  <c r="C476" i="13" s="1"/>
  <c r="C544" i="4"/>
  <c r="C540" i="13" s="1"/>
  <c r="C608" i="4"/>
  <c r="C604" i="13" s="1"/>
  <c r="F61" i="3"/>
  <c r="F125" i="3"/>
  <c r="F189" i="3"/>
  <c r="F253" i="3"/>
  <c r="F318" i="3"/>
  <c r="F357" i="3"/>
  <c r="F373" i="3"/>
  <c r="F382" i="3"/>
  <c r="F390" i="3"/>
  <c r="F398" i="3"/>
  <c r="F406" i="3"/>
  <c r="F414" i="3"/>
  <c r="F422" i="3"/>
  <c r="F430" i="3"/>
  <c r="F438" i="3"/>
  <c r="F446" i="3"/>
  <c r="F454" i="3"/>
  <c r="F462" i="3"/>
  <c r="F470" i="3"/>
  <c r="F478" i="3"/>
  <c r="F486" i="3"/>
  <c r="F494" i="3"/>
  <c r="F502" i="3"/>
  <c r="E11" i="3"/>
  <c r="G11" i="3" s="1"/>
  <c r="E19" i="3"/>
  <c r="G19" i="3" s="1"/>
  <c r="E27" i="3"/>
  <c r="G27" i="3" s="1"/>
  <c r="E35" i="3"/>
  <c r="G35" i="3" s="1"/>
  <c r="E43" i="3"/>
  <c r="G43" i="3" s="1"/>
  <c r="E51" i="3"/>
  <c r="G51" i="3" s="1"/>
  <c r="E59" i="3"/>
  <c r="G59" i="3" s="1"/>
  <c r="E67" i="3"/>
  <c r="G67" i="3" s="1"/>
  <c r="E75" i="3"/>
  <c r="G75" i="3" s="1"/>
  <c r="E83" i="3"/>
  <c r="G83" i="3" s="1"/>
  <c r="E91" i="3"/>
  <c r="G91" i="3" s="1"/>
  <c r="E99" i="3"/>
  <c r="G99" i="3" s="1"/>
  <c r="E107" i="3"/>
  <c r="G107" i="3" s="1"/>
  <c r="E115" i="3"/>
  <c r="G115" i="3" s="1"/>
  <c r="E123" i="3"/>
  <c r="G123" i="3" s="1"/>
  <c r="E131" i="3"/>
  <c r="G131" i="3" s="1"/>
  <c r="E139" i="3"/>
  <c r="G139" i="3" s="1"/>
  <c r="E147" i="3"/>
  <c r="G147" i="3" s="1"/>
  <c r="E155" i="3"/>
  <c r="G155" i="3" s="1"/>
  <c r="E163" i="3"/>
  <c r="G163" i="3" s="1"/>
  <c r="E171" i="3"/>
  <c r="G171" i="3" s="1"/>
  <c r="E179" i="3"/>
  <c r="G179" i="3" s="1"/>
  <c r="E187" i="3"/>
  <c r="G187" i="3" s="1"/>
  <c r="E195" i="3"/>
  <c r="G195" i="3" s="1"/>
  <c r="E203" i="3"/>
  <c r="G203" i="3" s="1"/>
  <c r="E211" i="3"/>
  <c r="G211" i="3" s="1"/>
  <c r="E219" i="3"/>
  <c r="G219" i="3" s="1"/>
  <c r="E227" i="3"/>
  <c r="G227" i="3" s="1"/>
  <c r="E235" i="3"/>
  <c r="G235" i="3" s="1"/>
  <c r="E243" i="3"/>
  <c r="G243" i="3" s="1"/>
  <c r="E251" i="3"/>
  <c r="G251" i="3" s="1"/>
  <c r="E259" i="3"/>
  <c r="G259" i="3" s="1"/>
  <c r="E267" i="3"/>
  <c r="G267" i="3" s="1"/>
  <c r="E275" i="3"/>
  <c r="G275" i="3" s="1"/>
  <c r="E283" i="3"/>
  <c r="G283" i="3" s="1"/>
  <c r="E291" i="3"/>
  <c r="G291" i="3" s="1"/>
  <c r="E299" i="3"/>
  <c r="G299" i="3" s="1"/>
  <c r="E307" i="3"/>
  <c r="G307" i="3" s="1"/>
  <c r="E315" i="3"/>
  <c r="G315" i="3" s="1"/>
  <c r="E323" i="3"/>
  <c r="G323" i="3" s="1"/>
  <c r="E331" i="3"/>
  <c r="G331" i="3" s="1"/>
  <c r="E339" i="3"/>
  <c r="G339" i="3" s="1"/>
  <c r="E347" i="3"/>
  <c r="G347" i="3" s="1"/>
  <c r="E355" i="3"/>
  <c r="G355" i="3" s="1"/>
  <c r="E363" i="3"/>
  <c r="G363" i="3" s="1"/>
  <c r="E371" i="3"/>
  <c r="G371" i="3" s="1"/>
  <c r="E379" i="3"/>
  <c r="G379" i="3" s="1"/>
  <c r="E387" i="3"/>
  <c r="G387" i="3" s="1"/>
  <c r="E395" i="3"/>
  <c r="G395" i="3" s="1"/>
  <c r="E403" i="3"/>
  <c r="G403" i="3" s="1"/>
  <c r="E411" i="3"/>
  <c r="G411" i="3" s="1"/>
  <c r="E419" i="3"/>
  <c r="G419" i="3" s="1"/>
  <c r="E427" i="3"/>
  <c r="G427" i="3" s="1"/>
  <c r="C91" i="4"/>
  <c r="C87" i="13" s="1"/>
  <c r="C418" i="4"/>
  <c r="C414" i="13" s="1"/>
  <c r="C488" i="4"/>
  <c r="C484" i="13" s="1"/>
  <c r="C552" i="4"/>
  <c r="C548" i="13" s="1"/>
  <c r="C616" i="4"/>
  <c r="C612" i="13" s="1"/>
  <c r="F69" i="3"/>
  <c r="F133" i="3"/>
  <c r="F197" i="3"/>
  <c r="F261" i="3"/>
  <c r="F326" i="3"/>
  <c r="F358" i="3"/>
  <c r="F374" i="3"/>
  <c r="F383" i="3"/>
  <c r="F391" i="3"/>
  <c r="F399" i="3"/>
  <c r="F407" i="3"/>
  <c r="F415" i="3"/>
  <c r="F423" i="3"/>
  <c r="F431" i="3"/>
  <c r="F439" i="3"/>
  <c r="F447" i="3"/>
  <c r="F455" i="3"/>
  <c r="F463" i="3"/>
  <c r="F471" i="3"/>
  <c r="F479" i="3"/>
  <c r="F487" i="3"/>
  <c r="F495" i="3"/>
  <c r="F503" i="3"/>
  <c r="E12" i="3"/>
  <c r="G12" i="3" s="1"/>
  <c r="E20" i="3"/>
  <c r="G20" i="3" s="1"/>
  <c r="E28" i="3"/>
  <c r="G28" i="3" s="1"/>
  <c r="E36" i="3"/>
  <c r="G36" i="3" s="1"/>
  <c r="E44" i="3"/>
  <c r="G44" i="3" s="1"/>
  <c r="E52" i="3"/>
  <c r="G52" i="3" s="1"/>
  <c r="E60" i="3"/>
  <c r="G60" i="3" s="1"/>
  <c r="E68" i="3"/>
  <c r="G68" i="3" s="1"/>
  <c r="E76" i="3"/>
  <c r="G76" i="3" s="1"/>
  <c r="E84" i="3"/>
  <c r="G84" i="3" s="1"/>
  <c r="E92" i="3"/>
  <c r="G92" i="3" s="1"/>
  <c r="E100" i="3"/>
  <c r="G100" i="3" s="1"/>
  <c r="E108" i="3"/>
  <c r="G108" i="3" s="1"/>
  <c r="E116" i="3"/>
  <c r="G116" i="3" s="1"/>
  <c r="E124" i="3"/>
  <c r="G124" i="3" s="1"/>
  <c r="E132" i="3"/>
  <c r="G132" i="3" s="1"/>
  <c r="E140" i="3"/>
  <c r="G140" i="3" s="1"/>
  <c r="E148" i="3"/>
  <c r="G148" i="3" s="1"/>
  <c r="E156" i="3"/>
  <c r="G156" i="3" s="1"/>
  <c r="E164" i="3"/>
  <c r="G164" i="3" s="1"/>
  <c r="E172" i="3"/>
  <c r="G172" i="3" s="1"/>
  <c r="E180" i="3"/>
  <c r="G180" i="3" s="1"/>
  <c r="E188" i="3"/>
  <c r="G188" i="3" s="1"/>
  <c r="E196" i="3"/>
  <c r="G196" i="3" s="1"/>
  <c r="E204" i="3"/>
  <c r="G204" i="3" s="1"/>
  <c r="E212" i="3"/>
  <c r="G212" i="3" s="1"/>
  <c r="E220" i="3"/>
  <c r="G220" i="3" s="1"/>
  <c r="E228" i="3"/>
  <c r="G228" i="3" s="1"/>
  <c r="E236" i="3"/>
  <c r="G236" i="3" s="1"/>
  <c r="E244" i="3"/>
  <c r="G244" i="3" s="1"/>
  <c r="E252" i="3"/>
  <c r="G252" i="3" s="1"/>
  <c r="E260" i="3"/>
  <c r="G260" i="3" s="1"/>
  <c r="E268" i="3"/>
  <c r="G268" i="3" s="1"/>
  <c r="E276" i="3"/>
  <c r="G276" i="3" s="1"/>
  <c r="E284" i="3"/>
  <c r="G284" i="3" s="1"/>
  <c r="E292" i="3"/>
  <c r="G292" i="3" s="1"/>
  <c r="E300" i="3"/>
  <c r="G300" i="3" s="1"/>
  <c r="E308" i="3"/>
  <c r="G308" i="3" s="1"/>
  <c r="E316" i="3"/>
  <c r="G316" i="3" s="1"/>
  <c r="E324" i="3"/>
  <c r="G324" i="3" s="1"/>
  <c r="E332" i="3"/>
  <c r="G332" i="3" s="1"/>
  <c r="E340" i="3"/>
  <c r="G340" i="3" s="1"/>
  <c r="E348" i="3"/>
  <c r="G348" i="3" s="1"/>
  <c r="E356" i="3"/>
  <c r="G356" i="3" s="1"/>
  <c r="E364" i="3"/>
  <c r="G364" i="3" s="1"/>
  <c r="E372" i="3"/>
  <c r="G372" i="3" s="1"/>
  <c r="E380" i="3"/>
  <c r="G380" i="3" s="1"/>
  <c r="E388" i="3"/>
  <c r="G388" i="3" s="1"/>
  <c r="C158" i="4"/>
  <c r="C154" i="13" s="1"/>
  <c r="C429" i="4"/>
  <c r="C425" i="13" s="1"/>
  <c r="C496" i="4"/>
  <c r="C492" i="13" s="1"/>
  <c r="C560" i="4"/>
  <c r="C556" i="13" s="1"/>
  <c r="C624" i="4"/>
  <c r="C620" i="13" s="1"/>
  <c r="F12" i="3"/>
  <c r="F77" i="3"/>
  <c r="F141" i="3"/>
  <c r="F205" i="3"/>
  <c r="F269" i="3"/>
  <c r="F334" i="3"/>
  <c r="F362" i="3"/>
  <c r="F376" i="3"/>
  <c r="F384" i="3"/>
  <c r="F392" i="3"/>
  <c r="F400" i="3"/>
  <c r="F408" i="3"/>
  <c r="F416" i="3"/>
  <c r="F424" i="3"/>
  <c r="F432" i="3"/>
  <c r="F440" i="3"/>
  <c r="F448" i="3"/>
  <c r="F456" i="3"/>
  <c r="F464" i="3"/>
  <c r="F472" i="3"/>
  <c r="F480" i="3"/>
  <c r="F488" i="3"/>
  <c r="F496" i="3"/>
  <c r="F504" i="3"/>
  <c r="E13" i="3"/>
  <c r="G13" i="3" s="1"/>
  <c r="E21" i="3"/>
  <c r="G21" i="3" s="1"/>
  <c r="E29" i="3"/>
  <c r="G29" i="3" s="1"/>
  <c r="E37" i="3"/>
  <c r="G37" i="3" s="1"/>
  <c r="E45" i="3"/>
  <c r="G45" i="3" s="1"/>
  <c r="E53" i="3"/>
  <c r="G53" i="3" s="1"/>
  <c r="E61" i="3"/>
  <c r="G61" i="3" s="1"/>
  <c r="E69" i="3"/>
  <c r="G69" i="3" s="1"/>
  <c r="E77" i="3"/>
  <c r="G77" i="3" s="1"/>
  <c r="E85" i="3"/>
  <c r="G85" i="3" s="1"/>
  <c r="E93" i="3"/>
  <c r="G93" i="3" s="1"/>
  <c r="E101" i="3"/>
  <c r="G101" i="3" s="1"/>
  <c r="E109" i="3"/>
  <c r="G109" i="3" s="1"/>
  <c r="E117" i="3"/>
  <c r="G117" i="3" s="1"/>
  <c r="E125" i="3"/>
  <c r="G125" i="3" s="1"/>
  <c r="E133" i="3"/>
  <c r="G133" i="3" s="1"/>
  <c r="E141" i="3"/>
  <c r="G141" i="3" s="1"/>
  <c r="E149" i="3"/>
  <c r="G149" i="3" s="1"/>
  <c r="E157" i="3"/>
  <c r="G157" i="3" s="1"/>
  <c r="E165" i="3"/>
  <c r="G165" i="3" s="1"/>
  <c r="E173" i="3"/>
  <c r="G173" i="3" s="1"/>
  <c r="E181" i="3"/>
  <c r="G181" i="3" s="1"/>
  <c r="E189" i="3"/>
  <c r="G189" i="3" s="1"/>
  <c r="E197" i="3"/>
  <c r="G197" i="3" s="1"/>
  <c r="E205" i="3"/>
  <c r="G205" i="3" s="1"/>
  <c r="E213" i="3"/>
  <c r="G213" i="3" s="1"/>
  <c r="E221" i="3"/>
  <c r="G221" i="3" s="1"/>
  <c r="E229" i="3"/>
  <c r="G229" i="3" s="1"/>
  <c r="E237" i="3"/>
  <c r="G237" i="3" s="1"/>
  <c r="E245" i="3"/>
  <c r="G245" i="3" s="1"/>
  <c r="E253" i="3"/>
  <c r="G253" i="3" s="1"/>
  <c r="E261" i="3"/>
  <c r="G261" i="3" s="1"/>
  <c r="E269" i="3"/>
  <c r="G269" i="3" s="1"/>
  <c r="E277" i="3"/>
  <c r="G277" i="3" s="1"/>
  <c r="E285" i="3"/>
  <c r="G285" i="3" s="1"/>
  <c r="E293" i="3"/>
  <c r="G293" i="3" s="1"/>
  <c r="E301" i="3"/>
  <c r="G301" i="3" s="1"/>
  <c r="E309" i="3"/>
  <c r="G309" i="3" s="1"/>
  <c r="E317" i="3"/>
  <c r="G317" i="3" s="1"/>
  <c r="E325" i="3"/>
  <c r="G325" i="3" s="1"/>
  <c r="E333" i="3"/>
  <c r="G333" i="3" s="1"/>
  <c r="E341" i="3"/>
  <c r="G341" i="3" s="1"/>
  <c r="E349" i="3"/>
  <c r="G349" i="3" s="1"/>
  <c r="E357" i="3"/>
  <c r="G357" i="3" s="1"/>
  <c r="E365" i="3"/>
  <c r="G365" i="3" s="1"/>
  <c r="E373" i="3"/>
  <c r="G373" i="3" s="1"/>
  <c r="E381" i="3"/>
  <c r="G381" i="3" s="1"/>
  <c r="E389" i="3"/>
  <c r="G389" i="3" s="1"/>
  <c r="C286" i="4"/>
  <c r="C282" i="13" s="1"/>
  <c r="F85" i="3"/>
  <c r="F342" i="3"/>
  <c r="F393" i="3"/>
  <c r="F425" i="3"/>
  <c r="F457" i="3"/>
  <c r="F489" i="3"/>
  <c r="E22" i="3"/>
  <c r="G22" i="3" s="1"/>
  <c r="E54" i="3"/>
  <c r="G54" i="3" s="1"/>
  <c r="E86" i="3"/>
  <c r="G86" i="3" s="1"/>
  <c r="E118" i="3"/>
  <c r="G118" i="3" s="1"/>
  <c r="E150" i="3"/>
  <c r="G150" i="3" s="1"/>
  <c r="E182" i="3"/>
  <c r="G182" i="3" s="1"/>
  <c r="E214" i="3"/>
  <c r="G214" i="3" s="1"/>
  <c r="E246" i="3"/>
  <c r="G246" i="3" s="1"/>
  <c r="E278" i="3"/>
  <c r="G278" i="3" s="1"/>
  <c r="E310" i="3"/>
  <c r="G310" i="3" s="1"/>
  <c r="E342" i="3"/>
  <c r="G342" i="3" s="1"/>
  <c r="E374" i="3"/>
  <c r="G374" i="3" s="1"/>
  <c r="E398" i="3"/>
  <c r="G398" i="3" s="1"/>
  <c r="E414" i="3"/>
  <c r="G414" i="3" s="1"/>
  <c r="E430" i="3"/>
  <c r="G430" i="3" s="1"/>
  <c r="E442" i="3"/>
  <c r="G442" i="3" s="1"/>
  <c r="E452" i="3"/>
  <c r="G452" i="3" s="1"/>
  <c r="E462" i="3"/>
  <c r="G462" i="3" s="1"/>
  <c r="E471" i="3"/>
  <c r="G471" i="3" s="1"/>
  <c r="E479" i="3"/>
  <c r="G479" i="3" s="1"/>
  <c r="E487" i="3"/>
  <c r="G487" i="3" s="1"/>
  <c r="E495" i="3"/>
  <c r="G495" i="3" s="1"/>
  <c r="E503" i="3"/>
  <c r="G503" i="3" s="1"/>
  <c r="D12" i="3"/>
  <c r="D20" i="3"/>
  <c r="D28" i="3"/>
  <c r="D36" i="3"/>
  <c r="D44" i="3"/>
  <c r="D52" i="3"/>
  <c r="D60" i="3"/>
  <c r="D68" i="3"/>
  <c r="D76" i="3"/>
  <c r="D84" i="3"/>
  <c r="D92" i="3"/>
  <c r="D100" i="3"/>
  <c r="D108" i="3"/>
  <c r="D116" i="3"/>
  <c r="D124" i="3"/>
  <c r="D132" i="3"/>
  <c r="D140" i="3"/>
  <c r="D148" i="3"/>
  <c r="D156" i="3"/>
  <c r="D164" i="3"/>
  <c r="D172" i="3"/>
  <c r="D180" i="3"/>
  <c r="D188" i="3"/>
  <c r="D196" i="3"/>
  <c r="D204" i="3"/>
  <c r="D212" i="3"/>
  <c r="D220" i="3"/>
  <c r="D228" i="3"/>
  <c r="D236" i="3"/>
  <c r="D244" i="3"/>
  <c r="D252" i="3"/>
  <c r="D260" i="3"/>
  <c r="D268" i="3"/>
  <c r="D276" i="3"/>
  <c r="D284" i="3"/>
  <c r="D292" i="3"/>
  <c r="D300" i="3"/>
  <c r="D308" i="3"/>
  <c r="D316" i="3"/>
  <c r="D324" i="3"/>
  <c r="D332" i="3"/>
  <c r="D340" i="3"/>
  <c r="D348" i="3"/>
  <c r="D356" i="3"/>
  <c r="D364" i="3"/>
  <c r="D372" i="3"/>
  <c r="D380" i="3"/>
  <c r="D388" i="3"/>
  <c r="D396" i="3"/>
  <c r="D404" i="3"/>
  <c r="D412" i="3"/>
  <c r="D420" i="3"/>
  <c r="D428" i="3"/>
  <c r="D436" i="3"/>
  <c r="D444" i="3"/>
  <c r="D452" i="3"/>
  <c r="D460" i="3"/>
  <c r="D468" i="3"/>
  <c r="D476" i="3"/>
  <c r="D484" i="3"/>
  <c r="D492" i="3"/>
  <c r="C439" i="4"/>
  <c r="C435" i="13" s="1"/>
  <c r="F93" i="3"/>
  <c r="F348" i="3"/>
  <c r="F394" i="3"/>
  <c r="F426" i="3"/>
  <c r="F458" i="3"/>
  <c r="F490" i="3"/>
  <c r="E23" i="3"/>
  <c r="G23" i="3" s="1"/>
  <c r="E55" i="3"/>
  <c r="G55" i="3" s="1"/>
  <c r="E87" i="3"/>
  <c r="G87" i="3" s="1"/>
  <c r="E119" i="3"/>
  <c r="G119" i="3" s="1"/>
  <c r="E151" i="3"/>
  <c r="G151" i="3" s="1"/>
  <c r="E183" i="3"/>
  <c r="G183" i="3" s="1"/>
  <c r="E215" i="3"/>
  <c r="G215" i="3" s="1"/>
  <c r="E247" i="3"/>
  <c r="G247" i="3" s="1"/>
  <c r="E279" i="3"/>
  <c r="G279" i="3" s="1"/>
  <c r="E311" i="3"/>
  <c r="G311" i="3" s="1"/>
  <c r="E343" i="3"/>
  <c r="G343" i="3" s="1"/>
  <c r="E375" i="3"/>
  <c r="G375" i="3" s="1"/>
  <c r="E399" i="3"/>
  <c r="G399" i="3" s="1"/>
  <c r="E415" i="3"/>
  <c r="G415" i="3" s="1"/>
  <c r="E431" i="3"/>
  <c r="G431" i="3" s="1"/>
  <c r="E443" i="3"/>
  <c r="G443" i="3" s="1"/>
  <c r="E453" i="3"/>
  <c r="G453" i="3" s="1"/>
  <c r="E463" i="3"/>
  <c r="G463" i="3" s="1"/>
  <c r="E472" i="3"/>
  <c r="G472" i="3" s="1"/>
  <c r="E480" i="3"/>
  <c r="G480" i="3" s="1"/>
  <c r="E488" i="3"/>
  <c r="G488" i="3" s="1"/>
  <c r="E496" i="3"/>
  <c r="G496" i="3" s="1"/>
  <c r="E504" i="3"/>
  <c r="G504" i="3" s="1"/>
  <c r="D13" i="3"/>
  <c r="D21" i="3"/>
  <c r="D29" i="3"/>
  <c r="D37" i="3"/>
  <c r="D45" i="3"/>
  <c r="D53" i="3"/>
  <c r="D61" i="3"/>
  <c r="D69" i="3"/>
  <c r="D77" i="3"/>
  <c r="D85" i="3"/>
  <c r="D93" i="3"/>
  <c r="D101" i="3"/>
  <c r="D109" i="3"/>
  <c r="D117" i="3"/>
  <c r="D125" i="3"/>
  <c r="D133" i="3"/>
  <c r="D141" i="3"/>
  <c r="D149" i="3"/>
  <c r="D157" i="3"/>
  <c r="D165" i="3"/>
  <c r="D173" i="3"/>
  <c r="D181" i="3"/>
  <c r="D189" i="3"/>
  <c r="D197" i="3"/>
  <c r="D205" i="3"/>
  <c r="D213" i="3"/>
  <c r="D221" i="3"/>
  <c r="D229" i="3"/>
  <c r="D237" i="3"/>
  <c r="D245" i="3"/>
  <c r="D253" i="3"/>
  <c r="D261" i="3"/>
  <c r="D269" i="3"/>
  <c r="D277" i="3"/>
  <c r="D285" i="3"/>
  <c r="D293" i="3"/>
  <c r="D301" i="3"/>
  <c r="D309" i="3"/>
  <c r="D317" i="3"/>
  <c r="D325" i="3"/>
  <c r="D333" i="3"/>
  <c r="D341" i="3"/>
  <c r="D349" i="3"/>
  <c r="D357" i="3"/>
  <c r="D365" i="3"/>
  <c r="D373" i="3"/>
  <c r="D381" i="3"/>
  <c r="D389" i="3"/>
  <c r="D397" i="3"/>
  <c r="D405" i="3"/>
  <c r="D413" i="3"/>
  <c r="D421" i="3"/>
  <c r="D429" i="3"/>
  <c r="D437" i="3"/>
  <c r="D445" i="3"/>
  <c r="D453" i="3"/>
  <c r="C448" i="4"/>
  <c r="C444" i="13" s="1"/>
  <c r="F149" i="3"/>
  <c r="F364" i="3"/>
  <c r="F401" i="3"/>
  <c r="F433" i="3"/>
  <c r="F465" i="3"/>
  <c r="F497" i="3"/>
  <c r="E30" i="3"/>
  <c r="G30" i="3" s="1"/>
  <c r="E62" i="3"/>
  <c r="G62" i="3" s="1"/>
  <c r="E94" i="3"/>
  <c r="G94" i="3" s="1"/>
  <c r="E126" i="3"/>
  <c r="G126" i="3" s="1"/>
  <c r="E158" i="3"/>
  <c r="G158" i="3" s="1"/>
  <c r="E190" i="3"/>
  <c r="G190" i="3" s="1"/>
  <c r="E222" i="3"/>
  <c r="G222" i="3" s="1"/>
  <c r="E254" i="3"/>
  <c r="G254" i="3" s="1"/>
  <c r="E286" i="3"/>
  <c r="G286" i="3" s="1"/>
  <c r="E318" i="3"/>
  <c r="G318" i="3" s="1"/>
  <c r="E350" i="3"/>
  <c r="G350" i="3" s="1"/>
  <c r="E382" i="3"/>
  <c r="G382" i="3" s="1"/>
  <c r="E404" i="3"/>
  <c r="G404" i="3" s="1"/>
  <c r="E420" i="3"/>
  <c r="G420" i="3" s="1"/>
  <c r="E434" i="3"/>
  <c r="G434" i="3" s="1"/>
  <c r="E444" i="3"/>
  <c r="G444" i="3" s="1"/>
  <c r="E454" i="3"/>
  <c r="G454" i="3" s="1"/>
  <c r="E465" i="3"/>
  <c r="G465" i="3" s="1"/>
  <c r="E473" i="3"/>
  <c r="G473" i="3" s="1"/>
  <c r="E481" i="3"/>
  <c r="G481" i="3" s="1"/>
  <c r="E489" i="3"/>
  <c r="G489" i="3" s="1"/>
  <c r="E497" i="3"/>
  <c r="G497" i="3" s="1"/>
  <c r="E505" i="3"/>
  <c r="G505" i="3" s="1"/>
  <c r="D14" i="3"/>
  <c r="D22" i="3"/>
  <c r="D30" i="3"/>
  <c r="D38" i="3"/>
  <c r="D46" i="3"/>
  <c r="D54" i="3"/>
  <c r="D62" i="3"/>
  <c r="D70" i="3"/>
  <c r="D78" i="3"/>
  <c r="D86" i="3"/>
  <c r="D94" i="3"/>
  <c r="D102" i="3"/>
  <c r="D110" i="3"/>
  <c r="D118" i="3"/>
  <c r="D126" i="3"/>
  <c r="D134" i="3"/>
  <c r="D142" i="3"/>
  <c r="D150" i="3"/>
  <c r="D158" i="3"/>
  <c r="D166" i="3"/>
  <c r="D174" i="3"/>
  <c r="D182" i="3"/>
  <c r="D190" i="3"/>
  <c r="D198" i="3"/>
  <c r="D206" i="3"/>
  <c r="D214" i="3"/>
  <c r="D222" i="3"/>
  <c r="D230" i="3"/>
  <c r="D238" i="3"/>
  <c r="D246" i="3"/>
  <c r="D254" i="3"/>
  <c r="D262" i="3"/>
  <c r="D270" i="3"/>
  <c r="D278" i="3"/>
  <c r="D286" i="3"/>
  <c r="D294" i="3"/>
  <c r="D302" i="3"/>
  <c r="D310" i="3"/>
  <c r="D318" i="3"/>
  <c r="D326" i="3"/>
  <c r="D334" i="3"/>
  <c r="D342" i="3"/>
  <c r="D350" i="3"/>
  <c r="D358" i="3"/>
  <c r="D366" i="3"/>
  <c r="D374" i="3"/>
  <c r="D382" i="3"/>
  <c r="C504" i="4"/>
  <c r="C500" i="13" s="1"/>
  <c r="F157" i="3"/>
  <c r="F365" i="3"/>
  <c r="F402" i="3"/>
  <c r="F434" i="3"/>
  <c r="F466" i="3"/>
  <c r="F498" i="3"/>
  <c r="E31" i="3"/>
  <c r="G31" i="3" s="1"/>
  <c r="E63" i="3"/>
  <c r="G63" i="3" s="1"/>
  <c r="E95" i="3"/>
  <c r="G95" i="3" s="1"/>
  <c r="E127" i="3"/>
  <c r="G127" i="3" s="1"/>
  <c r="E159" i="3"/>
  <c r="G159" i="3" s="1"/>
  <c r="E191" i="3"/>
  <c r="G191" i="3" s="1"/>
  <c r="E223" i="3"/>
  <c r="G223" i="3" s="1"/>
  <c r="E255" i="3"/>
  <c r="G255" i="3" s="1"/>
  <c r="E287" i="3"/>
  <c r="G287" i="3" s="1"/>
  <c r="E319" i="3"/>
  <c r="G319" i="3" s="1"/>
  <c r="E351" i="3"/>
  <c r="G351" i="3" s="1"/>
  <c r="E383" i="3"/>
  <c r="G383" i="3" s="1"/>
  <c r="E405" i="3"/>
  <c r="G405" i="3" s="1"/>
  <c r="E421" i="3"/>
  <c r="G421" i="3" s="1"/>
  <c r="E435" i="3"/>
  <c r="G435" i="3" s="1"/>
  <c r="E445" i="3"/>
  <c r="G445" i="3" s="1"/>
  <c r="E455" i="3"/>
  <c r="G455" i="3" s="1"/>
  <c r="E466" i="3"/>
  <c r="G466" i="3" s="1"/>
  <c r="E474" i="3"/>
  <c r="G474" i="3" s="1"/>
  <c r="E482" i="3"/>
  <c r="G482" i="3" s="1"/>
  <c r="E490" i="3"/>
  <c r="G490" i="3" s="1"/>
  <c r="E498" i="3"/>
  <c r="G498" i="3" s="1"/>
  <c r="D7" i="3"/>
  <c r="D15" i="3"/>
  <c r="D23" i="3"/>
  <c r="D31" i="3"/>
  <c r="D39" i="3"/>
  <c r="D47" i="3"/>
  <c r="D55" i="3"/>
  <c r="D63" i="3"/>
  <c r="D71" i="3"/>
  <c r="D79" i="3"/>
  <c r="D87" i="3"/>
  <c r="D95" i="3"/>
  <c r="D103" i="3"/>
  <c r="D111" i="3"/>
  <c r="D119" i="3"/>
  <c r="D127" i="3"/>
  <c r="D135" i="3"/>
  <c r="D143" i="3"/>
  <c r="D151" i="3"/>
  <c r="D159" i="3"/>
  <c r="D167" i="3"/>
  <c r="D175" i="3"/>
  <c r="D183" i="3"/>
  <c r="D191" i="3"/>
  <c r="D199" i="3"/>
  <c r="D207" i="3"/>
  <c r="D215" i="3"/>
  <c r="D223" i="3"/>
  <c r="D231" i="3"/>
  <c r="D239" i="3"/>
  <c r="D247" i="3"/>
  <c r="D255" i="3"/>
  <c r="D263" i="3"/>
  <c r="D271" i="3"/>
  <c r="D279" i="3"/>
  <c r="D287" i="3"/>
  <c r="D295" i="3"/>
  <c r="D303" i="3"/>
  <c r="D311" i="3"/>
  <c r="D319" i="3"/>
  <c r="D327" i="3"/>
  <c r="D335" i="3"/>
  <c r="D343" i="3"/>
  <c r="D351" i="3"/>
  <c r="D359" i="3"/>
  <c r="D367" i="3"/>
  <c r="D375" i="3"/>
  <c r="D383" i="3"/>
  <c r="D391" i="3"/>
  <c r="D399" i="3"/>
  <c r="D407" i="3"/>
  <c r="D415" i="3"/>
  <c r="D423" i="3"/>
  <c r="D431" i="3"/>
  <c r="D439" i="3"/>
  <c r="D447" i="3"/>
  <c r="C512" i="4"/>
  <c r="C508" i="13" s="1"/>
  <c r="F213" i="3"/>
  <c r="F377" i="3"/>
  <c r="F409" i="3"/>
  <c r="F441" i="3"/>
  <c r="F473" i="3"/>
  <c r="F505" i="3"/>
  <c r="E38" i="3"/>
  <c r="G38" i="3" s="1"/>
  <c r="E70" i="3"/>
  <c r="G70" i="3" s="1"/>
  <c r="E102" i="3"/>
  <c r="G102" i="3" s="1"/>
  <c r="E134" i="3"/>
  <c r="G134" i="3" s="1"/>
  <c r="E166" i="3"/>
  <c r="G166" i="3" s="1"/>
  <c r="E198" i="3"/>
  <c r="G198" i="3" s="1"/>
  <c r="E230" i="3"/>
  <c r="G230" i="3" s="1"/>
  <c r="E262" i="3"/>
  <c r="G262" i="3" s="1"/>
  <c r="E294" i="3"/>
  <c r="G294" i="3" s="1"/>
  <c r="E326" i="3"/>
  <c r="G326" i="3" s="1"/>
  <c r="E358" i="3"/>
  <c r="G358" i="3" s="1"/>
  <c r="E390" i="3"/>
  <c r="G390" i="3" s="1"/>
  <c r="E406" i="3"/>
  <c r="G406" i="3" s="1"/>
  <c r="E422" i="3"/>
  <c r="G422" i="3" s="1"/>
  <c r="E436" i="3"/>
  <c r="G436" i="3" s="1"/>
  <c r="E446" i="3"/>
  <c r="G446" i="3" s="1"/>
  <c r="E458" i="3"/>
  <c r="G458" i="3" s="1"/>
  <c r="E467" i="3"/>
  <c r="G467" i="3" s="1"/>
  <c r="E475" i="3"/>
  <c r="G475" i="3" s="1"/>
  <c r="E483" i="3"/>
  <c r="G483" i="3" s="1"/>
  <c r="E491" i="3"/>
  <c r="G491" i="3" s="1"/>
  <c r="E499" i="3"/>
  <c r="G499" i="3" s="1"/>
  <c r="D8" i="3"/>
  <c r="D16" i="3"/>
  <c r="D24" i="3"/>
  <c r="D32" i="3"/>
  <c r="D40" i="3"/>
  <c r="D48" i="3"/>
  <c r="D56" i="3"/>
  <c r="D64" i="3"/>
  <c r="D72" i="3"/>
  <c r="D80" i="3"/>
  <c r="D88" i="3"/>
  <c r="D96" i="3"/>
  <c r="D104" i="3"/>
  <c r="D112" i="3"/>
  <c r="D120" i="3"/>
  <c r="D128" i="3"/>
  <c r="D136" i="3"/>
  <c r="D144" i="3"/>
  <c r="D152" i="3"/>
  <c r="D160" i="3"/>
  <c r="D168" i="3"/>
  <c r="D176" i="3"/>
  <c r="D184" i="3"/>
  <c r="D192" i="3"/>
  <c r="D200" i="3"/>
  <c r="D208" i="3"/>
  <c r="D216" i="3"/>
  <c r="D224" i="3"/>
  <c r="D232" i="3"/>
  <c r="D240" i="3"/>
  <c r="D248" i="3"/>
  <c r="D256" i="3"/>
  <c r="D264" i="3"/>
  <c r="D272" i="3"/>
  <c r="D280" i="3"/>
  <c r="D288" i="3"/>
  <c r="D296" i="3"/>
  <c r="D304" i="3"/>
  <c r="D312" i="3"/>
  <c r="D320" i="3"/>
  <c r="D328" i="3"/>
  <c r="D336" i="3"/>
  <c r="D344" i="3"/>
  <c r="D352" i="3"/>
  <c r="D360" i="3"/>
  <c r="D368" i="3"/>
  <c r="D376" i="3"/>
  <c r="D384" i="3"/>
  <c r="D392" i="3"/>
  <c r="D400" i="3"/>
  <c r="D408" i="3"/>
  <c r="D416" i="3"/>
  <c r="D424" i="3"/>
  <c r="D432" i="3"/>
  <c r="D440" i="3"/>
  <c r="D448" i="3"/>
  <c r="D456" i="3"/>
  <c r="C568" i="4"/>
  <c r="C564" i="13" s="1"/>
  <c r="F221" i="3"/>
  <c r="F378" i="3"/>
  <c r="F410" i="3"/>
  <c r="F442" i="3"/>
  <c r="F474" i="3"/>
  <c r="E7" i="3"/>
  <c r="E39" i="3"/>
  <c r="G39" i="3" s="1"/>
  <c r="E71" i="3"/>
  <c r="G71" i="3" s="1"/>
  <c r="E103" i="3"/>
  <c r="G103" i="3" s="1"/>
  <c r="E135" i="3"/>
  <c r="G135" i="3" s="1"/>
  <c r="E167" i="3"/>
  <c r="G167" i="3" s="1"/>
  <c r="E199" i="3"/>
  <c r="G199" i="3" s="1"/>
  <c r="E231" i="3"/>
  <c r="G231" i="3" s="1"/>
  <c r="E263" i="3"/>
  <c r="G263" i="3" s="1"/>
  <c r="E295" i="3"/>
  <c r="G295" i="3" s="1"/>
  <c r="E327" i="3"/>
  <c r="G327" i="3" s="1"/>
  <c r="E359" i="3"/>
  <c r="G359" i="3" s="1"/>
  <c r="E391" i="3"/>
  <c r="G391" i="3" s="1"/>
  <c r="E407" i="3"/>
  <c r="G407" i="3" s="1"/>
  <c r="E423" i="3"/>
  <c r="G423" i="3" s="1"/>
  <c r="E437" i="3"/>
  <c r="G437" i="3" s="1"/>
  <c r="E447" i="3"/>
  <c r="G447" i="3" s="1"/>
  <c r="E459" i="3"/>
  <c r="G459" i="3" s="1"/>
  <c r="E468" i="3"/>
  <c r="G468" i="3" s="1"/>
  <c r="E476" i="3"/>
  <c r="G476" i="3" s="1"/>
  <c r="E484" i="3"/>
  <c r="G484" i="3" s="1"/>
  <c r="E492" i="3"/>
  <c r="G492" i="3" s="1"/>
  <c r="E500" i="3"/>
  <c r="G500" i="3" s="1"/>
  <c r="D9" i="3"/>
  <c r="D17" i="3"/>
  <c r="D25" i="3"/>
  <c r="D33" i="3"/>
  <c r="D41" i="3"/>
  <c r="D49" i="3"/>
  <c r="D57" i="3"/>
  <c r="D65" i="3"/>
  <c r="D73" i="3"/>
  <c r="D81" i="3"/>
  <c r="D89" i="3"/>
  <c r="D97" i="3"/>
  <c r="D105" i="3"/>
  <c r="D113" i="3"/>
  <c r="D121" i="3"/>
  <c r="D129" i="3"/>
  <c r="D137" i="3"/>
  <c r="D145" i="3"/>
  <c r="D153" i="3"/>
  <c r="D161" i="3"/>
  <c r="D169" i="3"/>
  <c r="D177" i="3"/>
  <c r="D185" i="3"/>
  <c r="D193" i="3"/>
  <c r="D201" i="3"/>
  <c r="D209" i="3"/>
  <c r="D217" i="3"/>
  <c r="D225" i="3"/>
  <c r="D233" i="3"/>
  <c r="D241" i="3"/>
  <c r="D249" i="3"/>
  <c r="D257" i="3"/>
  <c r="D265" i="3"/>
  <c r="D273" i="3"/>
  <c r="D281" i="3"/>
  <c r="D289" i="3"/>
  <c r="D297" i="3"/>
  <c r="D305" i="3"/>
  <c r="D313" i="3"/>
  <c r="D321" i="3"/>
  <c r="D329" i="3"/>
  <c r="D337" i="3"/>
  <c r="D345" i="3"/>
  <c r="D353" i="3"/>
  <c r="D361" i="3"/>
  <c r="D369" i="3"/>
  <c r="D377" i="3"/>
  <c r="D385" i="3"/>
  <c r="D393" i="3"/>
  <c r="D401" i="3"/>
  <c r="D409" i="3"/>
  <c r="D417" i="3"/>
  <c r="D425" i="3"/>
  <c r="C576" i="4"/>
  <c r="C572" i="13" s="1"/>
  <c r="F21" i="3"/>
  <c r="F277" i="3"/>
  <c r="F385" i="3"/>
  <c r="F417" i="3"/>
  <c r="F449" i="3"/>
  <c r="F481" i="3"/>
  <c r="E14" i="3"/>
  <c r="G14" i="3" s="1"/>
  <c r="E46" i="3"/>
  <c r="G46" i="3" s="1"/>
  <c r="E78" i="3"/>
  <c r="G78" i="3" s="1"/>
  <c r="E110" i="3"/>
  <c r="G110" i="3" s="1"/>
  <c r="E142" i="3"/>
  <c r="G142" i="3" s="1"/>
  <c r="E174" i="3"/>
  <c r="G174" i="3" s="1"/>
  <c r="E206" i="3"/>
  <c r="G206" i="3" s="1"/>
  <c r="E238" i="3"/>
  <c r="G238" i="3" s="1"/>
  <c r="E270" i="3"/>
  <c r="G270" i="3" s="1"/>
  <c r="E302" i="3"/>
  <c r="G302" i="3" s="1"/>
  <c r="E334" i="3"/>
  <c r="G334" i="3" s="1"/>
  <c r="E366" i="3"/>
  <c r="G366" i="3" s="1"/>
  <c r="E396" i="3"/>
  <c r="G396" i="3" s="1"/>
  <c r="E412" i="3"/>
  <c r="G412" i="3" s="1"/>
  <c r="E428" i="3"/>
  <c r="G428" i="3" s="1"/>
  <c r="E438" i="3"/>
  <c r="G438" i="3" s="1"/>
  <c r="E450" i="3"/>
  <c r="G450" i="3" s="1"/>
  <c r="E460" i="3"/>
  <c r="G460" i="3" s="1"/>
  <c r="E469" i="3"/>
  <c r="G469" i="3" s="1"/>
  <c r="E477" i="3"/>
  <c r="G477" i="3" s="1"/>
  <c r="E485" i="3"/>
  <c r="G485" i="3" s="1"/>
  <c r="E493" i="3"/>
  <c r="G493" i="3" s="1"/>
  <c r="E501" i="3"/>
  <c r="G501" i="3" s="1"/>
  <c r="D10" i="3"/>
  <c r="D18" i="3"/>
  <c r="D26" i="3"/>
  <c r="D34" i="3"/>
  <c r="D42" i="3"/>
  <c r="D50" i="3"/>
  <c r="D58" i="3"/>
  <c r="D66" i="3"/>
  <c r="D74" i="3"/>
  <c r="D82" i="3"/>
  <c r="D90" i="3"/>
  <c r="D98" i="3"/>
  <c r="D106" i="3"/>
  <c r="D114" i="3"/>
  <c r="D122" i="3"/>
  <c r="D130" i="3"/>
  <c r="D138" i="3"/>
  <c r="D146" i="3"/>
  <c r="D154" i="3"/>
  <c r="D162" i="3"/>
  <c r="D170" i="3"/>
  <c r="D178" i="3"/>
  <c r="D186" i="3"/>
  <c r="D194" i="3"/>
  <c r="D202" i="3"/>
  <c r="D210" i="3"/>
  <c r="D218" i="3"/>
  <c r="D226" i="3"/>
  <c r="D234" i="3"/>
  <c r="D242" i="3"/>
  <c r="D250" i="3"/>
  <c r="D258" i="3"/>
  <c r="D266" i="3"/>
  <c r="D274" i="3"/>
  <c r="D282" i="3"/>
  <c r="D290" i="3"/>
  <c r="D298" i="3"/>
  <c r="D306" i="3"/>
  <c r="D314" i="3"/>
  <c r="D322" i="3"/>
  <c r="D330" i="3"/>
  <c r="D338" i="3"/>
  <c r="D346" i="3"/>
  <c r="D354" i="3"/>
  <c r="D362" i="3"/>
  <c r="D370" i="3"/>
  <c r="D378" i="3"/>
  <c r="D386" i="3"/>
  <c r="D394" i="3"/>
  <c r="D402" i="3"/>
  <c r="D410" i="3"/>
  <c r="D418" i="3"/>
  <c r="D426" i="3"/>
  <c r="C222" i="4"/>
  <c r="C218" i="13" s="1"/>
  <c r="C632" i="4"/>
  <c r="C628" i="13" s="1"/>
  <c r="F29" i="3"/>
  <c r="F285" i="3"/>
  <c r="F386" i="3"/>
  <c r="F418" i="3"/>
  <c r="F450" i="3"/>
  <c r="F482" i="3"/>
  <c r="E15" i="3"/>
  <c r="G15" i="3" s="1"/>
  <c r="E143" i="3"/>
  <c r="G143" i="3" s="1"/>
  <c r="E397" i="3"/>
  <c r="G397" i="3" s="1"/>
  <c r="E486" i="3"/>
  <c r="G486" i="3" s="1"/>
  <c r="D51" i="3"/>
  <c r="D115" i="3"/>
  <c r="D179" i="3"/>
  <c r="D243" i="3"/>
  <c r="D307" i="3"/>
  <c r="D371" i="3"/>
  <c r="D411" i="3"/>
  <c r="D435" i="3"/>
  <c r="D451" i="3"/>
  <c r="D463" i="3"/>
  <c r="D472" i="3"/>
  <c r="D481" i="3"/>
  <c r="D490" i="3"/>
  <c r="D499" i="3"/>
  <c r="C8" i="3"/>
  <c r="C16" i="3"/>
  <c r="C24" i="3"/>
  <c r="C32" i="3"/>
  <c r="C40" i="3"/>
  <c r="C48" i="3"/>
  <c r="C56" i="3"/>
  <c r="C64"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280" i="3"/>
  <c r="C288" i="3"/>
  <c r="C296" i="3"/>
  <c r="C304" i="3"/>
  <c r="C312" i="3"/>
  <c r="C320" i="3"/>
  <c r="C328" i="3"/>
  <c r="C336" i="3"/>
  <c r="C344" i="3"/>
  <c r="C352" i="3"/>
  <c r="C360" i="3"/>
  <c r="C368" i="3"/>
  <c r="C376" i="3"/>
  <c r="C384" i="3"/>
  <c r="C392" i="3"/>
  <c r="C400" i="3"/>
  <c r="C408" i="3"/>
  <c r="C416" i="3"/>
  <c r="C424" i="3"/>
  <c r="C432" i="3"/>
  <c r="C440" i="3"/>
  <c r="C448" i="3"/>
  <c r="C456" i="3"/>
  <c r="C464" i="3"/>
  <c r="C472" i="3"/>
  <c r="C480" i="3"/>
  <c r="C488" i="3"/>
  <c r="C496" i="3"/>
  <c r="C504" i="3"/>
  <c r="E175" i="3"/>
  <c r="G175" i="3" s="1"/>
  <c r="E413" i="3"/>
  <c r="G413" i="3" s="1"/>
  <c r="E494" i="3"/>
  <c r="G494" i="3" s="1"/>
  <c r="D59" i="3"/>
  <c r="D123" i="3"/>
  <c r="D187" i="3"/>
  <c r="D251" i="3"/>
  <c r="D315" i="3"/>
  <c r="D379" i="3"/>
  <c r="D414" i="3"/>
  <c r="D438" i="3"/>
  <c r="D454" i="3"/>
  <c r="D464" i="3"/>
  <c r="D473" i="3"/>
  <c r="D482" i="3"/>
  <c r="D491" i="3"/>
  <c r="D500" i="3"/>
  <c r="C9" i="3"/>
  <c r="C17" i="3"/>
  <c r="C25" i="3"/>
  <c r="C33" i="3"/>
  <c r="C41" i="3"/>
  <c r="C49" i="3"/>
  <c r="C57" i="3"/>
  <c r="C65" i="3"/>
  <c r="C73" i="3"/>
  <c r="C81" i="3"/>
  <c r="C89" i="3"/>
  <c r="C97" i="3"/>
  <c r="C105" i="3"/>
  <c r="C113" i="3"/>
  <c r="C121" i="3"/>
  <c r="C129" i="3"/>
  <c r="C137" i="3"/>
  <c r="C145" i="3"/>
  <c r="C153" i="3"/>
  <c r="C161" i="3"/>
  <c r="C169" i="3"/>
  <c r="C177" i="3"/>
  <c r="C185" i="3"/>
  <c r="C193" i="3"/>
  <c r="C201" i="3"/>
  <c r="C209" i="3"/>
  <c r="C217" i="3"/>
  <c r="C225" i="3"/>
  <c r="C233" i="3"/>
  <c r="C241" i="3"/>
  <c r="C249" i="3"/>
  <c r="C257" i="3"/>
  <c r="C265" i="3"/>
  <c r="C273" i="3"/>
  <c r="C281" i="3"/>
  <c r="C289" i="3"/>
  <c r="C297" i="3"/>
  <c r="C305" i="3"/>
  <c r="C313" i="3"/>
  <c r="C321" i="3"/>
  <c r="C329" i="3"/>
  <c r="C337" i="3"/>
  <c r="C345" i="3"/>
  <c r="C353" i="3"/>
  <c r="C361" i="3"/>
  <c r="C369" i="3"/>
  <c r="C377" i="3"/>
  <c r="C385" i="3"/>
  <c r="C393" i="3"/>
  <c r="C401" i="3"/>
  <c r="C409" i="3"/>
  <c r="C417" i="3"/>
  <c r="C425" i="3"/>
  <c r="C433" i="3"/>
  <c r="C441" i="3"/>
  <c r="C449" i="3"/>
  <c r="C457" i="3"/>
  <c r="C465" i="3"/>
  <c r="C473" i="3"/>
  <c r="C481" i="3"/>
  <c r="C489" i="3"/>
  <c r="C497" i="3"/>
  <c r="C505" i="3"/>
  <c r="E207" i="3"/>
  <c r="G207" i="3" s="1"/>
  <c r="E429" i="3"/>
  <c r="G429" i="3" s="1"/>
  <c r="E502" i="3"/>
  <c r="G502" i="3" s="1"/>
  <c r="D67" i="3"/>
  <c r="D131" i="3"/>
  <c r="D195" i="3"/>
  <c r="D259" i="3"/>
  <c r="D323" i="3"/>
  <c r="D387" i="3"/>
  <c r="D419" i="3"/>
  <c r="D441" i="3"/>
  <c r="D455" i="3"/>
  <c r="D465" i="3"/>
  <c r="D474" i="3"/>
  <c r="D483" i="3"/>
  <c r="D493" i="3"/>
  <c r="D501" i="3"/>
  <c r="C10" i="3"/>
  <c r="C18" i="3"/>
  <c r="C26" i="3"/>
  <c r="C34" i="3"/>
  <c r="C42" i="3"/>
  <c r="C50" i="3"/>
  <c r="C58" i="3"/>
  <c r="C66" i="3"/>
  <c r="C74" i="3"/>
  <c r="C82" i="3"/>
  <c r="C90" i="3"/>
  <c r="C98" i="3"/>
  <c r="C106" i="3"/>
  <c r="C114" i="3"/>
  <c r="C122" i="3"/>
  <c r="C130" i="3"/>
  <c r="C138" i="3"/>
  <c r="C146" i="3"/>
  <c r="C154" i="3"/>
  <c r="C162" i="3"/>
  <c r="C170" i="3"/>
  <c r="C178" i="3"/>
  <c r="C186" i="3"/>
  <c r="C194" i="3"/>
  <c r="C202" i="3"/>
  <c r="C210" i="3"/>
  <c r="C218" i="3"/>
  <c r="C226" i="3"/>
  <c r="C234" i="3"/>
  <c r="C242" i="3"/>
  <c r="C250" i="3"/>
  <c r="C258" i="3"/>
  <c r="C266" i="3"/>
  <c r="C274" i="3"/>
  <c r="C282" i="3"/>
  <c r="C290" i="3"/>
  <c r="C298" i="3"/>
  <c r="C306" i="3"/>
  <c r="C314" i="3"/>
  <c r="C322" i="3"/>
  <c r="C330" i="3"/>
  <c r="C338" i="3"/>
  <c r="C346" i="3"/>
  <c r="C354" i="3"/>
  <c r="C362" i="3"/>
  <c r="C370" i="3"/>
  <c r="C378" i="3"/>
  <c r="C386" i="3"/>
  <c r="C394" i="3"/>
  <c r="C402" i="3"/>
  <c r="C410" i="3"/>
  <c r="C418" i="3"/>
  <c r="C426" i="3"/>
  <c r="C434" i="3"/>
  <c r="C442" i="3"/>
  <c r="C450" i="3"/>
  <c r="C458" i="3"/>
  <c r="C466" i="3"/>
  <c r="C474" i="3"/>
  <c r="C482" i="3"/>
  <c r="C490" i="3"/>
  <c r="C498" i="3"/>
  <c r="E6" i="3"/>
  <c r="E239" i="3"/>
  <c r="G239" i="3" s="1"/>
  <c r="E439" i="3"/>
  <c r="G439" i="3" s="1"/>
  <c r="D11" i="3"/>
  <c r="D75" i="3"/>
  <c r="D139" i="3"/>
  <c r="D203" i="3"/>
  <c r="D267" i="3"/>
  <c r="D331" i="3"/>
  <c r="D390" i="3"/>
  <c r="D422" i="3"/>
  <c r="D442" i="3"/>
  <c r="D457" i="3"/>
  <c r="D466" i="3"/>
  <c r="D475" i="3"/>
  <c r="D485" i="3"/>
  <c r="D494" i="3"/>
  <c r="D502" i="3"/>
  <c r="C11" i="3"/>
  <c r="C19" i="3"/>
  <c r="C27" i="3"/>
  <c r="C35" i="3"/>
  <c r="C43" i="3"/>
  <c r="C51" i="3"/>
  <c r="C59" i="3"/>
  <c r="C67" i="3"/>
  <c r="C75" i="3"/>
  <c r="C83" i="3"/>
  <c r="C91" i="3"/>
  <c r="C99" i="3"/>
  <c r="C107" i="3"/>
  <c r="C115" i="3"/>
  <c r="C123" i="3"/>
  <c r="C131" i="3"/>
  <c r="C139" i="3"/>
  <c r="C147" i="3"/>
  <c r="C155" i="3"/>
  <c r="C163" i="3"/>
  <c r="C171" i="3"/>
  <c r="C179" i="3"/>
  <c r="C187" i="3"/>
  <c r="C195" i="3"/>
  <c r="C203" i="3"/>
  <c r="C211" i="3"/>
  <c r="C219" i="3"/>
  <c r="C227" i="3"/>
  <c r="C235" i="3"/>
  <c r="C243" i="3"/>
  <c r="C251" i="3"/>
  <c r="C259" i="3"/>
  <c r="C267" i="3"/>
  <c r="C275" i="3"/>
  <c r="C283" i="3"/>
  <c r="C291" i="3"/>
  <c r="C299" i="3"/>
  <c r="C307" i="3"/>
  <c r="C315" i="3"/>
  <c r="C323" i="3"/>
  <c r="C331" i="3"/>
  <c r="C339" i="3"/>
  <c r="C347" i="3"/>
  <c r="C355" i="3"/>
  <c r="C363" i="3"/>
  <c r="C371" i="3"/>
  <c r="C379" i="3"/>
  <c r="C387" i="3"/>
  <c r="C395" i="3"/>
  <c r="C403" i="3"/>
  <c r="C411" i="3"/>
  <c r="C419" i="3"/>
  <c r="C427" i="3"/>
  <c r="C435" i="3"/>
  <c r="C443" i="3"/>
  <c r="C451" i="3"/>
  <c r="C459" i="3"/>
  <c r="C467" i="3"/>
  <c r="C475" i="3"/>
  <c r="C483" i="3"/>
  <c r="C491" i="3"/>
  <c r="C499" i="3"/>
  <c r="D6" i="3"/>
  <c r="E271" i="3"/>
  <c r="G271" i="3" s="1"/>
  <c r="E451" i="3"/>
  <c r="G451" i="3" s="1"/>
  <c r="D19" i="3"/>
  <c r="D83" i="3"/>
  <c r="D147" i="3"/>
  <c r="D211" i="3"/>
  <c r="D275" i="3"/>
  <c r="D339" i="3"/>
  <c r="D395" i="3"/>
  <c r="D427" i="3"/>
  <c r="D443" i="3"/>
  <c r="D458" i="3"/>
  <c r="D467" i="3"/>
  <c r="D477" i="3"/>
  <c r="D486" i="3"/>
  <c r="D495" i="3"/>
  <c r="D503" i="3"/>
  <c r="C12" i="3"/>
  <c r="C20" i="3"/>
  <c r="C28" i="3"/>
  <c r="C36" i="3"/>
  <c r="C44" i="3"/>
  <c r="C52" i="3"/>
  <c r="C60" i="3"/>
  <c r="C68" i="3"/>
  <c r="C76" i="3"/>
  <c r="C84" i="3"/>
  <c r="C92" i="3"/>
  <c r="C100" i="3"/>
  <c r="C108" i="3"/>
  <c r="C116" i="3"/>
  <c r="C124" i="3"/>
  <c r="C132" i="3"/>
  <c r="C140" i="3"/>
  <c r="C148" i="3"/>
  <c r="C156" i="3"/>
  <c r="C164" i="3"/>
  <c r="C172" i="3"/>
  <c r="C180" i="3"/>
  <c r="C188" i="3"/>
  <c r="C196" i="3"/>
  <c r="C204" i="3"/>
  <c r="C212" i="3"/>
  <c r="C220" i="3"/>
  <c r="C228" i="3"/>
  <c r="C236" i="3"/>
  <c r="C244" i="3"/>
  <c r="C252" i="3"/>
  <c r="C260" i="3"/>
  <c r="C268" i="3"/>
  <c r="C276" i="3"/>
  <c r="C284" i="3"/>
  <c r="C292" i="3"/>
  <c r="C300" i="3"/>
  <c r="C308" i="3"/>
  <c r="C316" i="3"/>
  <c r="C324" i="3"/>
  <c r="C332" i="3"/>
  <c r="C340" i="3"/>
  <c r="C348" i="3"/>
  <c r="C356" i="3"/>
  <c r="C364" i="3"/>
  <c r="C372" i="3"/>
  <c r="C380" i="3"/>
  <c r="C388" i="3"/>
  <c r="C396" i="3"/>
  <c r="C404" i="3"/>
  <c r="C412" i="3"/>
  <c r="C420" i="3"/>
  <c r="C428" i="3"/>
  <c r="C436" i="3"/>
  <c r="C444" i="3"/>
  <c r="C452" i="3"/>
  <c r="C460" i="3"/>
  <c r="C468" i="3"/>
  <c r="C476" i="3"/>
  <c r="C484" i="3"/>
  <c r="C492" i="3"/>
  <c r="C500" i="3"/>
  <c r="C6" i="3"/>
  <c r="E47" i="3"/>
  <c r="G47" i="3" s="1"/>
  <c r="E303" i="3"/>
  <c r="G303" i="3" s="1"/>
  <c r="E461" i="3"/>
  <c r="G461" i="3" s="1"/>
  <c r="D27" i="3"/>
  <c r="D91" i="3"/>
  <c r="D155" i="3"/>
  <c r="D219" i="3"/>
  <c r="D283" i="3"/>
  <c r="D347" i="3"/>
  <c r="D398" i="3"/>
  <c r="D430" i="3"/>
  <c r="D446" i="3"/>
  <c r="D459" i="3"/>
  <c r="D469" i="3"/>
  <c r="D478" i="3"/>
  <c r="D487" i="3"/>
  <c r="D496" i="3"/>
  <c r="D504" i="3"/>
  <c r="C13" i="3"/>
  <c r="C21" i="3"/>
  <c r="C29" i="3"/>
  <c r="C37" i="3"/>
  <c r="C45" i="3"/>
  <c r="C53" i="3"/>
  <c r="C61" i="3"/>
  <c r="C69" i="3"/>
  <c r="C77" i="3"/>
  <c r="C85" i="3"/>
  <c r="C93" i="3"/>
  <c r="C101" i="3"/>
  <c r="C109" i="3"/>
  <c r="C117" i="3"/>
  <c r="C125" i="3"/>
  <c r="C133" i="3"/>
  <c r="C141" i="3"/>
  <c r="C149" i="3"/>
  <c r="C157" i="3"/>
  <c r="C165" i="3"/>
  <c r="C173" i="3"/>
  <c r="C181" i="3"/>
  <c r="C189" i="3"/>
  <c r="C197" i="3"/>
  <c r="C205" i="3"/>
  <c r="C213" i="3"/>
  <c r="C221" i="3"/>
  <c r="C229" i="3"/>
  <c r="C237" i="3"/>
  <c r="C245" i="3"/>
  <c r="C253" i="3"/>
  <c r="C261" i="3"/>
  <c r="C269" i="3"/>
  <c r="C277" i="3"/>
  <c r="C285" i="3"/>
  <c r="C293" i="3"/>
  <c r="C301" i="3"/>
  <c r="C309" i="3"/>
  <c r="C317" i="3"/>
  <c r="C325" i="3"/>
  <c r="C333" i="3"/>
  <c r="C341" i="3"/>
  <c r="C349" i="3"/>
  <c r="C357" i="3"/>
  <c r="C365" i="3"/>
  <c r="C373" i="3"/>
  <c r="C381" i="3"/>
  <c r="C389" i="3"/>
  <c r="C397" i="3"/>
  <c r="C405" i="3"/>
  <c r="C413" i="3"/>
  <c r="C421" i="3"/>
  <c r="C429" i="3"/>
  <c r="C437" i="3"/>
  <c r="C445" i="3"/>
  <c r="C453" i="3"/>
  <c r="C461" i="3"/>
  <c r="C469" i="3"/>
  <c r="C477" i="3"/>
  <c r="C485" i="3"/>
  <c r="C493" i="3"/>
  <c r="C501" i="3"/>
  <c r="E79" i="3"/>
  <c r="G79" i="3" s="1"/>
  <c r="E335" i="3"/>
  <c r="G335" i="3" s="1"/>
  <c r="E470" i="3"/>
  <c r="G470" i="3" s="1"/>
  <c r="D35" i="3"/>
  <c r="D99" i="3"/>
  <c r="D163" i="3"/>
  <c r="D227" i="3"/>
  <c r="D291" i="3"/>
  <c r="D355" i="3"/>
  <c r="D403" i="3"/>
  <c r="D433" i="3"/>
  <c r="D449" i="3"/>
  <c r="D461" i="3"/>
  <c r="D470" i="3"/>
  <c r="D479" i="3"/>
  <c r="D488" i="3"/>
  <c r="D497" i="3"/>
  <c r="D505" i="3"/>
  <c r="C14" i="3"/>
  <c r="C22" i="3"/>
  <c r="C30" i="3"/>
  <c r="C38" i="3"/>
  <c r="C46" i="3"/>
  <c r="C54" i="3"/>
  <c r="C62"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278" i="3"/>
  <c r="C286" i="3"/>
  <c r="C294" i="3"/>
  <c r="C302" i="3"/>
  <c r="C310" i="3"/>
  <c r="C318" i="3"/>
  <c r="C326" i="3"/>
  <c r="C334" i="3"/>
  <c r="C342" i="3"/>
  <c r="C350" i="3"/>
  <c r="C358" i="3"/>
  <c r="C366" i="3"/>
  <c r="C374" i="3"/>
  <c r="C382" i="3"/>
  <c r="C390" i="3"/>
  <c r="C398" i="3"/>
  <c r="C406" i="3"/>
  <c r="C414" i="3"/>
  <c r="C422" i="3"/>
  <c r="C430" i="3"/>
  <c r="C438" i="3"/>
  <c r="C446" i="3"/>
  <c r="C454" i="3"/>
  <c r="C462" i="3"/>
  <c r="C470" i="3"/>
  <c r="C478" i="3"/>
  <c r="C486" i="3"/>
  <c r="C494" i="3"/>
  <c r="C502" i="3"/>
  <c r="H6" i="3"/>
  <c r="C263" i="3"/>
  <c r="E367" i="3"/>
  <c r="G367" i="3" s="1"/>
  <c r="C383" i="3"/>
  <c r="C63" i="3"/>
  <c r="C503" i="3"/>
  <c r="C119" i="3"/>
  <c r="C495" i="3"/>
  <c r="C431" i="3"/>
  <c r="C367" i="3"/>
  <c r="C303" i="3"/>
  <c r="C239" i="3"/>
  <c r="C175" i="3"/>
  <c r="C111" i="3"/>
  <c r="C47" i="3"/>
  <c r="D480" i="3"/>
  <c r="D235" i="3"/>
  <c r="C399" i="3"/>
  <c r="C271" i="3"/>
  <c r="C143" i="3"/>
  <c r="E478" i="3"/>
  <c r="G478" i="3" s="1"/>
  <c r="C391" i="3"/>
  <c r="C199" i="3"/>
  <c r="C7" i="3"/>
  <c r="C255" i="3"/>
  <c r="C127" i="3"/>
  <c r="E111" i="3"/>
  <c r="G111" i="3" s="1"/>
  <c r="C375" i="3"/>
  <c r="C183" i="3"/>
  <c r="D299" i="3"/>
  <c r="C487" i="3"/>
  <c r="C423" i="3"/>
  <c r="C359" i="3"/>
  <c r="C295" i="3"/>
  <c r="C231" i="3"/>
  <c r="C167" i="3"/>
  <c r="C103" i="3"/>
  <c r="C39" i="3"/>
  <c r="D471" i="3"/>
  <c r="D171" i="3"/>
  <c r="C463" i="3"/>
  <c r="C15" i="3"/>
  <c r="C327" i="3"/>
  <c r="C71" i="3"/>
  <c r="C447" i="3"/>
  <c r="D498" i="3"/>
  <c r="C311" i="3"/>
  <c r="C55" i="3"/>
  <c r="C479" i="3"/>
  <c r="C415" i="3"/>
  <c r="C351" i="3"/>
  <c r="C287" i="3"/>
  <c r="C223" i="3"/>
  <c r="C159" i="3"/>
  <c r="C95" i="3"/>
  <c r="C31" i="3"/>
  <c r="D462" i="3"/>
  <c r="D107" i="3"/>
  <c r="C335" i="3"/>
  <c r="C207" i="3"/>
  <c r="C79" i="3"/>
  <c r="D434" i="3"/>
  <c r="C455" i="3"/>
  <c r="C135" i="3"/>
  <c r="D406" i="3"/>
  <c r="C319" i="3"/>
  <c r="C191" i="3"/>
  <c r="D363" i="3"/>
  <c r="C439" i="3"/>
  <c r="C247" i="3"/>
  <c r="D489" i="3"/>
  <c r="C471" i="3"/>
  <c r="C407" i="3"/>
  <c r="C343" i="3"/>
  <c r="C279" i="3"/>
  <c r="C215" i="3"/>
  <c r="C151" i="3"/>
  <c r="C87" i="3"/>
  <c r="C23" i="3"/>
  <c r="D450" i="3"/>
  <c r="D43" i="3"/>
  <c r="H105" i="3"/>
  <c r="H49" i="3"/>
  <c r="H488" i="3"/>
  <c r="H464" i="3"/>
  <c r="H408" i="3"/>
  <c r="H272" i="3"/>
  <c r="H216" i="3"/>
  <c r="H136" i="3"/>
  <c r="H88" i="3"/>
  <c r="H439" i="3"/>
  <c r="H375" i="3"/>
  <c r="H255" i="3"/>
  <c r="H16" i="3"/>
  <c r="H24" i="3"/>
  <c r="H33" i="3"/>
  <c r="H26" i="3"/>
  <c r="H34" i="3"/>
  <c r="H35" i="3"/>
  <c r="H12" i="3"/>
  <c r="H28" i="3"/>
  <c r="H29" i="3"/>
  <c r="H30" i="3"/>
  <c r="H14" i="3"/>
  <c r="H38" i="3"/>
  <c r="H21" i="3"/>
  <c r="H22" i="3"/>
  <c r="H398" i="3"/>
  <c r="H206" i="3"/>
  <c r="H94" i="3"/>
  <c r="H78" i="3"/>
  <c r="H485" i="3"/>
  <c r="H453" i="3"/>
  <c r="H437" i="3"/>
  <c r="H421" i="3"/>
  <c r="H405" i="3"/>
  <c r="H373" i="3"/>
  <c r="H285" i="3"/>
  <c r="H253" i="3"/>
  <c r="H237" i="3"/>
  <c r="H229" i="3"/>
  <c r="H213" i="3"/>
  <c r="H181" i="3"/>
  <c r="H173" i="3"/>
  <c r="H165" i="3"/>
  <c r="H141" i="3"/>
  <c r="H133" i="3"/>
  <c r="H125" i="3"/>
  <c r="H109" i="3"/>
  <c r="H80" i="3"/>
  <c r="H495" i="3"/>
  <c r="H311" i="3"/>
  <c r="H183" i="3"/>
  <c r="H47" i="3"/>
  <c r="H494" i="3"/>
  <c r="H462" i="3"/>
  <c r="H406" i="3"/>
  <c r="H350" i="3"/>
  <c r="H302" i="3"/>
  <c r="H262" i="3"/>
  <c r="H142" i="3"/>
  <c r="H86" i="3"/>
  <c r="H101" i="3"/>
  <c r="H93" i="3"/>
  <c r="H77" i="3"/>
  <c r="H69" i="3"/>
  <c r="H484" i="3"/>
  <c r="H476" i="3"/>
  <c r="H468" i="3"/>
  <c r="H452" i="3"/>
  <c r="H444" i="3"/>
  <c r="H420" i="3"/>
  <c r="H412" i="3"/>
  <c r="H404" i="3"/>
  <c r="H372" i="3"/>
  <c r="H340" i="3"/>
  <c r="H316" i="3"/>
  <c r="H300" i="3"/>
  <c r="H284" i="3"/>
  <c r="H252" i="3"/>
  <c r="H236" i="3"/>
  <c r="H228" i="3"/>
  <c r="H204" i="3"/>
  <c r="H196" i="3"/>
  <c r="H172" i="3"/>
  <c r="H164" i="3"/>
  <c r="H148" i="3"/>
  <c r="H116" i="3"/>
  <c r="H41" i="3"/>
  <c r="H472" i="3"/>
  <c r="H400" i="3"/>
  <c r="H336" i="3"/>
  <c r="H200" i="3"/>
  <c r="H144" i="3"/>
  <c r="H431" i="3"/>
  <c r="H383" i="3"/>
  <c r="H247" i="3"/>
  <c r="H199" i="3"/>
  <c r="H111" i="3"/>
  <c r="H63" i="3"/>
  <c r="H486" i="3"/>
  <c r="H430" i="3"/>
  <c r="H374" i="3"/>
  <c r="H270" i="3"/>
  <c r="H222" i="3"/>
  <c r="H150" i="3"/>
  <c r="H60" i="3"/>
  <c r="H435" i="3"/>
  <c r="H411" i="3"/>
  <c r="H371" i="3"/>
  <c r="H363" i="3"/>
  <c r="H355" i="3"/>
  <c r="H347" i="3"/>
  <c r="H307" i="3"/>
  <c r="H299" i="3"/>
  <c r="H291" i="3"/>
  <c r="H283" i="3"/>
  <c r="H251" i="3"/>
  <c r="H243" i="3"/>
  <c r="H235" i="3"/>
  <c r="H227" i="3"/>
  <c r="H219" i="3"/>
  <c r="H179" i="3"/>
  <c r="H171" i="3"/>
  <c r="H163" i="3"/>
  <c r="H155" i="3"/>
  <c r="H123" i="3"/>
  <c r="H115" i="3"/>
  <c r="H107" i="3"/>
  <c r="H456" i="3"/>
  <c r="H328" i="3"/>
  <c r="H208" i="3"/>
  <c r="H152" i="3"/>
  <c r="H96" i="3"/>
  <c r="H447" i="3"/>
  <c r="H319" i="3"/>
  <c r="H239" i="3"/>
  <c r="H191" i="3"/>
  <c r="H119" i="3"/>
  <c r="H103" i="3"/>
  <c r="H414" i="3"/>
  <c r="H334" i="3"/>
  <c r="H230" i="3"/>
  <c r="H158" i="3"/>
  <c r="H483" i="3"/>
  <c r="H427" i="3"/>
  <c r="H51" i="3"/>
  <c r="H458" i="3"/>
  <c r="H418" i="3"/>
  <c r="H370" i="3"/>
  <c r="H354" i="3"/>
  <c r="H306" i="3"/>
  <c r="H290" i="3"/>
  <c r="H242" i="3"/>
  <c r="H226" i="3"/>
  <c r="H178" i="3"/>
  <c r="H170" i="3"/>
  <c r="H162" i="3"/>
  <c r="H114" i="3"/>
  <c r="H106" i="3"/>
  <c r="H97" i="3"/>
  <c r="H480" i="3"/>
  <c r="H424" i="3"/>
  <c r="H392" i="3"/>
  <c r="H344" i="3"/>
  <c r="H280" i="3"/>
  <c r="H264" i="3"/>
  <c r="H72" i="3"/>
  <c r="H503" i="3"/>
  <c r="H367" i="3"/>
  <c r="H303" i="3"/>
  <c r="H175" i="3"/>
  <c r="H127" i="3"/>
  <c r="H55" i="3"/>
  <c r="H382" i="3"/>
  <c r="H342" i="3"/>
  <c r="H214" i="3"/>
  <c r="H84" i="3"/>
  <c r="H44" i="3"/>
  <c r="H491" i="3"/>
  <c r="H419" i="3"/>
  <c r="H99" i="3"/>
  <c r="H43" i="3"/>
  <c r="H490" i="3"/>
  <c r="H482" i="3"/>
  <c r="H450" i="3"/>
  <c r="H434" i="3"/>
  <c r="H362" i="3"/>
  <c r="H314" i="3"/>
  <c r="H298" i="3"/>
  <c r="H282" i="3"/>
  <c r="H234" i="3"/>
  <c r="H154" i="3"/>
  <c r="H98" i="3"/>
  <c r="H50" i="3"/>
  <c r="H42" i="3"/>
  <c r="H505" i="3"/>
  <c r="H497" i="3"/>
  <c r="H489" i="3"/>
  <c r="H481" i="3"/>
  <c r="H433" i="3"/>
  <c r="H425" i="3"/>
  <c r="H417" i="3"/>
  <c r="H385" i="3"/>
  <c r="H369" i="3"/>
  <c r="H361" i="3"/>
  <c r="H353" i="3"/>
  <c r="H305" i="3"/>
  <c r="H297" i="3"/>
  <c r="H289" i="3"/>
  <c r="H241" i="3"/>
  <c r="H233" i="3"/>
  <c r="H225" i="3"/>
  <c r="H177" i="3"/>
  <c r="H169" i="3"/>
  <c r="H161" i="3"/>
  <c r="H121" i="3"/>
  <c r="H113" i="3"/>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4" i="2"/>
  <c r="I263" i="2"/>
  <c r="I262" i="2"/>
  <c r="I261"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N105" i="2"/>
  <c r="A5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278" i="3"/>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I6" i="2"/>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A105"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6" i="2"/>
  <c r="G184" i="2"/>
  <c r="A104" i="1"/>
  <c r="A101" i="1"/>
  <c r="A102" i="1"/>
  <c r="A10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7" i="1"/>
  <c r="A8" i="1"/>
  <c r="A9" i="1"/>
  <c r="A10" i="1"/>
  <c r="A11" i="1"/>
  <c r="A12" i="1"/>
  <c r="A13" i="1"/>
  <c r="A14" i="1"/>
  <c r="A15" i="1"/>
  <c r="A16" i="1"/>
  <c r="A17" i="1"/>
  <c r="A18" i="1"/>
  <c r="A19" i="1"/>
  <c r="A20" i="1"/>
  <c r="A21" i="1"/>
  <c r="A22" i="1"/>
  <c r="A23" i="1"/>
  <c r="A6" i="1"/>
  <c r="K6" i="1"/>
  <c r="Q6" i="13" l="1"/>
  <c r="Q5" i="13"/>
  <c r="G2" i="10"/>
  <c r="G1" i="10"/>
  <c r="C500" i="2"/>
  <c r="C60" i="2"/>
  <c r="C204" i="2"/>
  <c r="C301" i="2"/>
  <c r="C421" i="2"/>
  <c r="C165" i="2"/>
  <c r="C484" i="2"/>
  <c r="C228" i="2"/>
  <c r="C285" i="2"/>
  <c r="C348" i="2"/>
  <c r="C84" i="2"/>
  <c r="C437" i="2"/>
  <c r="C181" i="2"/>
  <c r="C212" i="2"/>
  <c r="C51" i="2"/>
  <c r="C467" i="2"/>
  <c r="C363" i="2"/>
  <c r="C267" i="2"/>
  <c r="C155" i="2"/>
  <c r="C26" i="2"/>
  <c r="C394" i="2"/>
  <c r="C266" i="2"/>
  <c r="C138" i="2"/>
  <c r="C8" i="2"/>
  <c r="C377" i="2"/>
  <c r="C249" i="2"/>
  <c r="C120" i="2"/>
  <c r="C488" i="2"/>
  <c r="C360" i="2"/>
  <c r="C232" i="2"/>
  <c r="C103" i="2"/>
  <c r="C471" i="2"/>
  <c r="C343" i="2"/>
  <c r="C215" i="2"/>
  <c r="C86" i="2"/>
  <c r="C454" i="2"/>
  <c r="C326" i="2"/>
  <c r="C198" i="2"/>
  <c r="C69" i="2"/>
  <c r="F247" i="2"/>
  <c r="D458" i="2"/>
  <c r="F183" i="2"/>
  <c r="D464" i="2"/>
  <c r="D246" i="2"/>
  <c r="F305" i="2"/>
  <c r="D495" i="2"/>
  <c r="D282" i="2"/>
  <c r="F345" i="2"/>
  <c r="D478" i="2"/>
  <c r="D153" i="2"/>
  <c r="D50" i="2"/>
  <c r="D216" i="2"/>
  <c r="D500" i="2"/>
  <c r="G181" i="2"/>
  <c r="F309" i="2"/>
  <c r="F196" i="2"/>
  <c r="D231" i="2"/>
  <c r="G444" i="2"/>
  <c r="G267" i="2"/>
  <c r="G377" i="2"/>
  <c r="G167" i="2"/>
  <c r="C172" i="2"/>
  <c r="C493" i="2"/>
  <c r="C468" i="2"/>
  <c r="C52" i="2"/>
  <c r="C173" i="2"/>
  <c r="C389" i="2"/>
  <c r="C133" i="2"/>
  <c r="C452" i="2"/>
  <c r="C196" i="2"/>
  <c r="H10" i="3"/>
  <c r="C253" i="2"/>
  <c r="C316" i="2"/>
  <c r="C19" i="2"/>
  <c r="C405" i="2"/>
  <c r="C149" i="2"/>
  <c r="C180" i="2"/>
  <c r="C43" i="2"/>
  <c r="C459" i="2"/>
  <c r="C355" i="2"/>
  <c r="C243" i="2"/>
  <c r="C114" i="2"/>
  <c r="C482" i="2"/>
  <c r="C354" i="2"/>
  <c r="C226" i="2"/>
  <c r="C97" i="2"/>
  <c r="C465" i="2"/>
  <c r="C337" i="2"/>
  <c r="C209" i="2"/>
  <c r="C80" i="2"/>
  <c r="C448" i="2"/>
  <c r="C320" i="2"/>
  <c r="C192" i="2"/>
  <c r="C63" i="2"/>
  <c r="C431" i="2"/>
  <c r="C303" i="2"/>
  <c r="C175" i="2"/>
  <c r="C46" i="2"/>
  <c r="C414" i="2"/>
  <c r="C286" i="2"/>
  <c r="C158" i="2"/>
  <c r="C29" i="2"/>
  <c r="F295" i="2"/>
  <c r="D23" i="2"/>
  <c r="F112" i="2"/>
  <c r="D456" i="2"/>
  <c r="D228" i="2"/>
  <c r="F241" i="2"/>
  <c r="D487" i="2"/>
  <c r="D273" i="2"/>
  <c r="F327" i="2"/>
  <c r="D446" i="2"/>
  <c r="D18" i="2"/>
  <c r="D170" i="2"/>
  <c r="D476" i="2"/>
  <c r="F438" i="2"/>
  <c r="F301" i="2"/>
  <c r="G341" i="2"/>
  <c r="D223" i="2"/>
  <c r="G404" i="2"/>
  <c r="G99" i="2"/>
  <c r="G361" i="2"/>
  <c r="G135" i="2"/>
  <c r="D387" i="2"/>
  <c r="C365" i="2"/>
  <c r="C357" i="2"/>
  <c r="C420" i="2"/>
  <c r="C477" i="2"/>
  <c r="C76" i="2"/>
  <c r="C35" i="2"/>
  <c r="C347" i="2"/>
  <c r="C474" i="2"/>
  <c r="C218" i="2"/>
  <c r="C457" i="2"/>
  <c r="C201" i="2"/>
  <c r="C440" i="2"/>
  <c r="C423" i="2"/>
  <c r="D46" i="2"/>
  <c r="D155" i="2"/>
  <c r="D423" i="2"/>
  <c r="D437" i="2"/>
  <c r="G8" i="3"/>
  <c r="C300" i="2"/>
  <c r="C269" i="2"/>
  <c r="C492" i="2"/>
  <c r="C237" i="2"/>
  <c r="C461" i="2"/>
  <c r="C325" i="2"/>
  <c r="C44" i="2"/>
  <c r="C388" i="2"/>
  <c r="C132" i="2"/>
  <c r="C445" i="2"/>
  <c r="C189" i="2"/>
  <c r="H9" i="3"/>
  <c r="C252" i="2"/>
  <c r="C341" i="2"/>
  <c r="C11" i="2"/>
  <c r="C115" i="2"/>
  <c r="C27" i="2"/>
  <c r="C427" i="2"/>
  <c r="C331" i="2"/>
  <c r="C227" i="2"/>
  <c r="C98" i="2"/>
  <c r="C466" i="2"/>
  <c r="C338" i="2"/>
  <c r="C210" i="2"/>
  <c r="C81" i="2"/>
  <c r="C449" i="2"/>
  <c r="C321" i="2"/>
  <c r="C193" i="2"/>
  <c r="C64" i="2"/>
  <c r="C432" i="2"/>
  <c r="C304" i="2"/>
  <c r="C176" i="2"/>
  <c r="C47" i="2"/>
  <c r="C415" i="2"/>
  <c r="C287" i="2"/>
  <c r="C159" i="2"/>
  <c r="C30" i="2"/>
  <c r="C398" i="2"/>
  <c r="C270" i="2"/>
  <c r="C142" i="2"/>
  <c r="C12" i="2"/>
  <c r="F416" i="2"/>
  <c r="D64" i="2"/>
  <c r="D85" i="2"/>
  <c r="D374" i="2"/>
  <c r="D128" i="2"/>
  <c r="D116" i="2"/>
  <c r="D415" i="2"/>
  <c r="D181" i="2"/>
  <c r="D123" i="2"/>
  <c r="D354" i="2"/>
  <c r="F321" i="2"/>
  <c r="D429" i="2"/>
  <c r="F407" i="2"/>
  <c r="D251" i="2"/>
  <c r="F238" i="2"/>
  <c r="G285" i="2"/>
  <c r="F283" i="2"/>
  <c r="F322" i="2"/>
  <c r="G116" i="2"/>
  <c r="G346" i="2"/>
  <c r="G456" i="2"/>
  <c r="G38" i="2"/>
  <c r="G7" i="3"/>
  <c r="C397" i="2"/>
  <c r="C100" i="2"/>
  <c r="C164" i="2"/>
  <c r="C221" i="2"/>
  <c r="C284" i="2"/>
  <c r="C373" i="2"/>
  <c r="C148" i="2"/>
  <c r="C435" i="2"/>
  <c r="C235" i="2"/>
  <c r="C106" i="2"/>
  <c r="C346" i="2"/>
  <c r="C89" i="2"/>
  <c r="C329" i="2"/>
  <c r="C72" i="2"/>
  <c r="C312" i="2"/>
  <c r="C184" i="2"/>
  <c r="C55" i="2"/>
  <c r="C295" i="2"/>
  <c r="C167" i="2"/>
  <c r="C38" i="2"/>
  <c r="C406" i="2"/>
  <c r="C278" i="2"/>
  <c r="C150" i="2"/>
  <c r="C20" i="2"/>
  <c r="F353" i="2"/>
  <c r="D93" i="2"/>
  <c r="D392" i="2"/>
  <c r="D124" i="2"/>
  <c r="D190" i="2"/>
  <c r="G245" i="2"/>
  <c r="D363" i="2"/>
  <c r="F367" i="2"/>
  <c r="F425" i="2"/>
  <c r="D342" i="2"/>
  <c r="F262" i="2"/>
  <c r="G349" i="2"/>
  <c r="F363" i="2"/>
  <c r="F370" i="2"/>
  <c r="G124" i="2"/>
  <c r="F22" i="2"/>
  <c r="G472" i="2"/>
  <c r="G78" i="2"/>
  <c r="D410" i="2"/>
  <c r="G10" i="3"/>
  <c r="G9" i="3"/>
  <c r="C141" i="2"/>
  <c r="C396" i="2"/>
  <c r="C108" i="2"/>
  <c r="C364" i="2"/>
  <c r="C293" i="2"/>
  <c r="C356" i="2"/>
  <c r="C99" i="2"/>
  <c r="C413" i="2"/>
  <c r="C157" i="2"/>
  <c r="C476" i="2"/>
  <c r="C220" i="2"/>
  <c r="C309" i="2"/>
  <c r="C404" i="2"/>
  <c r="C68" i="2"/>
  <c r="C499" i="2"/>
  <c r="C419" i="2"/>
  <c r="C307" i="2"/>
  <c r="C219" i="2"/>
  <c r="C90" i="2"/>
  <c r="C458" i="2"/>
  <c r="C330" i="2"/>
  <c r="C202" i="2"/>
  <c r="C73" i="2"/>
  <c r="C441" i="2"/>
  <c r="C313" i="2"/>
  <c r="C185" i="2"/>
  <c r="C56" i="2"/>
  <c r="C424" i="2"/>
  <c r="C296" i="2"/>
  <c r="C168" i="2"/>
  <c r="C39" i="2"/>
  <c r="C407" i="2"/>
  <c r="C279" i="2"/>
  <c r="C151" i="2"/>
  <c r="C22" i="2"/>
  <c r="C390" i="2"/>
  <c r="C262" i="2"/>
  <c r="C134" i="2"/>
  <c r="D222" i="2"/>
  <c r="D69" i="2"/>
  <c r="D347" i="2"/>
  <c r="F498" i="2"/>
  <c r="D108" i="2"/>
  <c r="D407" i="2"/>
  <c r="D163" i="2"/>
  <c r="D99" i="2"/>
  <c r="D326" i="2"/>
  <c r="F257" i="2"/>
  <c r="D397" i="2"/>
  <c r="F279" i="2"/>
  <c r="D242" i="2"/>
  <c r="F222" i="2"/>
  <c r="F420" i="2"/>
  <c r="F243" i="2"/>
  <c r="F314" i="2"/>
  <c r="F135" i="2"/>
  <c r="G338" i="2"/>
  <c r="G440" i="2"/>
  <c r="C268" i="2"/>
  <c r="C236" i="2"/>
  <c r="C460" i="2"/>
  <c r="H7" i="3"/>
  <c r="C261" i="2"/>
  <c r="C324" i="2"/>
  <c r="C36" i="2"/>
  <c r="C381" i="2"/>
  <c r="C124" i="2"/>
  <c r="C444" i="2"/>
  <c r="C188" i="2"/>
  <c r="H8" i="3"/>
  <c r="C277" i="2"/>
  <c r="C372" i="2"/>
  <c r="C91" i="2"/>
  <c r="C491" i="2"/>
  <c r="C411" i="2"/>
  <c r="C299" i="2"/>
  <c r="C179" i="2"/>
  <c r="C50" i="2"/>
  <c r="C418" i="2"/>
  <c r="C290" i="2"/>
  <c r="C162" i="2"/>
  <c r="C33" i="2"/>
  <c r="C401" i="2"/>
  <c r="C273" i="2"/>
  <c r="C145" i="2"/>
  <c r="C15" i="2"/>
  <c r="C384" i="2"/>
  <c r="C256" i="2"/>
  <c r="C128" i="2"/>
  <c r="C495" i="2"/>
  <c r="C367" i="2"/>
  <c r="C239" i="2"/>
  <c r="C110" i="2"/>
  <c r="C478" i="2"/>
  <c r="C350" i="2"/>
  <c r="C222" i="2"/>
  <c r="C93" i="2"/>
  <c r="D249" i="2"/>
  <c r="D45" i="2"/>
  <c r="D338" i="2"/>
  <c r="F489" i="2"/>
  <c r="D100" i="2"/>
  <c r="D391" i="2"/>
  <c r="D126" i="2"/>
  <c r="D91" i="2"/>
  <c r="D290" i="2"/>
  <c r="F193" i="2"/>
  <c r="D371" i="2"/>
  <c r="F215" i="2"/>
  <c r="D233" i="2"/>
  <c r="F49" i="2"/>
  <c r="F388" i="2"/>
  <c r="F235" i="2"/>
  <c r="F218" i="2"/>
  <c r="F127" i="2"/>
  <c r="G330" i="2"/>
  <c r="D39" i="2"/>
  <c r="D195" i="2"/>
  <c r="F454" i="2"/>
  <c r="D62" i="2"/>
  <c r="D340" i="2"/>
  <c r="D147" i="2"/>
  <c r="G501" i="2"/>
  <c r="D473" i="2"/>
  <c r="D286" i="2"/>
  <c r="F472" i="2"/>
  <c r="D368" i="2"/>
  <c r="D14" i="2"/>
  <c r="D332" i="2"/>
  <c r="D139" i="2"/>
  <c r="G317" i="2"/>
  <c r="D466" i="2"/>
  <c r="D284" i="2"/>
  <c r="F464" i="2"/>
  <c r="D341" i="2"/>
  <c r="D112" i="2"/>
  <c r="D442" i="2"/>
  <c r="D257" i="2"/>
  <c r="F423" i="2"/>
  <c r="F352" i="2"/>
  <c r="D505" i="2"/>
  <c r="D323" i="2"/>
  <c r="D130" i="2"/>
  <c r="D86" i="2"/>
  <c r="G54" i="2"/>
  <c r="G118" i="2"/>
  <c r="G182" i="2"/>
  <c r="G246" i="2"/>
  <c r="G310" i="2"/>
  <c r="G374" i="2"/>
  <c r="G438" i="2"/>
  <c r="G502" i="2"/>
  <c r="F66" i="2"/>
  <c r="F130" i="2"/>
  <c r="G15" i="2"/>
  <c r="G79" i="2"/>
  <c r="G143" i="2"/>
  <c r="G207" i="2"/>
  <c r="G271" i="2"/>
  <c r="G335" i="2"/>
  <c r="G399" i="2"/>
  <c r="G463" i="2"/>
  <c r="F27" i="2"/>
  <c r="F91" i="2"/>
  <c r="F155" i="2"/>
  <c r="G40" i="2"/>
  <c r="G104" i="2"/>
  <c r="G168" i="2"/>
  <c r="G232" i="2"/>
  <c r="G296" i="2"/>
  <c r="G360" i="2"/>
  <c r="G424" i="2"/>
  <c r="G488" i="2"/>
  <c r="F52" i="2"/>
  <c r="F116" i="2"/>
  <c r="F180" i="2"/>
  <c r="G65" i="2"/>
  <c r="G129" i="2"/>
  <c r="G193" i="2"/>
  <c r="G257" i="2"/>
  <c r="G321" i="2"/>
  <c r="G385" i="2"/>
  <c r="G449" i="2"/>
  <c r="F13" i="2"/>
  <c r="F77" i="2"/>
  <c r="F141" i="2"/>
  <c r="G34" i="2"/>
  <c r="G98" i="2"/>
  <c r="G162" i="2"/>
  <c r="G226" i="2"/>
  <c r="G290" i="2"/>
  <c r="G354" i="2"/>
  <c r="G418" i="2"/>
  <c r="G482" i="2"/>
  <c r="F46" i="2"/>
  <c r="F110" i="2"/>
  <c r="G27" i="2"/>
  <c r="G91" i="2"/>
  <c r="G155" i="2"/>
  <c r="G219" i="2"/>
  <c r="G283" i="2"/>
  <c r="G125" i="2"/>
  <c r="D174" i="2"/>
  <c r="D497" i="2"/>
  <c r="D314" i="2"/>
  <c r="F501" i="2"/>
  <c r="D40" i="2"/>
  <c r="D120" i="2"/>
  <c r="D450" i="2"/>
  <c r="D266" i="2"/>
  <c r="F441" i="2"/>
  <c r="F400" i="2"/>
  <c r="D490" i="2"/>
  <c r="D312" i="2"/>
  <c r="F493" i="2"/>
  <c r="D248" i="2"/>
  <c r="D118" i="2"/>
  <c r="D443" i="2"/>
  <c r="D258" i="2"/>
  <c r="F439" i="2"/>
  <c r="F481" i="2"/>
  <c r="D94" i="2"/>
  <c r="D419" i="2"/>
  <c r="D230" i="2"/>
  <c r="F375" i="2"/>
  <c r="D148" i="2"/>
  <c r="D474" i="2"/>
  <c r="D293" i="2"/>
  <c r="F473" i="2"/>
  <c r="D393" i="2"/>
  <c r="D102" i="2"/>
  <c r="D427" i="2"/>
  <c r="D240" i="2"/>
  <c r="F393" i="2"/>
  <c r="D467" i="2"/>
  <c r="D285" i="2"/>
  <c r="F471" i="2"/>
  <c r="D95" i="2"/>
  <c r="D425" i="2"/>
  <c r="D232" i="2"/>
  <c r="F376" i="2"/>
  <c r="D71" i="2"/>
  <c r="D401" i="2"/>
  <c r="D204" i="2"/>
  <c r="F312" i="2"/>
  <c r="F289" i="2"/>
  <c r="F231" i="2"/>
  <c r="D451" i="2"/>
  <c r="D267" i="2"/>
  <c r="F453" i="2"/>
  <c r="F502" i="2"/>
  <c r="D16" i="2"/>
  <c r="D79" i="2"/>
  <c r="D409" i="2"/>
  <c r="D213" i="2"/>
  <c r="F335" i="2"/>
  <c r="D119" i="2"/>
  <c r="D449" i="2"/>
  <c r="D259" i="2"/>
  <c r="F440" i="2"/>
  <c r="D72" i="2"/>
  <c r="D402" i="2"/>
  <c r="D211" i="2"/>
  <c r="F313" i="2"/>
  <c r="D48" i="2"/>
  <c r="D377" i="2"/>
  <c r="D184" i="2"/>
  <c r="F249" i="2"/>
  <c r="D63" i="2"/>
  <c r="F113" i="2"/>
  <c r="D433" i="2"/>
  <c r="D241" i="2"/>
  <c r="F399" i="2"/>
  <c r="D56" i="2"/>
  <c r="D386" i="2"/>
  <c r="D193" i="2"/>
  <c r="F272" i="2"/>
  <c r="D96" i="2"/>
  <c r="D426" i="2"/>
  <c r="D238" i="2"/>
  <c r="F377" i="2"/>
  <c r="D54" i="2"/>
  <c r="D378" i="2"/>
  <c r="D185" i="2"/>
  <c r="F265" i="2"/>
  <c r="D30" i="2"/>
  <c r="D350" i="2"/>
  <c r="D157" i="2"/>
  <c r="F185" i="2"/>
  <c r="D366" i="2"/>
  <c r="D313" i="2"/>
  <c r="D78" i="2"/>
  <c r="D165" i="2"/>
  <c r="D305" i="2"/>
  <c r="D330" i="2"/>
  <c r="D294" i="2"/>
  <c r="D482" i="2"/>
  <c r="D276" i="2"/>
  <c r="F417" i="2"/>
  <c r="G22" i="2"/>
  <c r="G94" i="2"/>
  <c r="G166" i="2"/>
  <c r="G238" i="2"/>
  <c r="G318" i="2"/>
  <c r="G390" i="2"/>
  <c r="G462" i="2"/>
  <c r="F34" i="2"/>
  <c r="F106" i="2"/>
  <c r="F178" i="2"/>
  <c r="G71" i="2"/>
  <c r="G151" i="2"/>
  <c r="G223" i="2"/>
  <c r="G295" i="2"/>
  <c r="G367" i="2"/>
  <c r="G439" i="2"/>
  <c r="F11" i="2"/>
  <c r="F83" i="2"/>
  <c r="F163" i="2"/>
  <c r="G56" i="2"/>
  <c r="G128" i="2"/>
  <c r="G200" i="2"/>
  <c r="G272" i="2"/>
  <c r="G344" i="2"/>
  <c r="G416" i="2"/>
  <c r="G496" i="2"/>
  <c r="F68" i="2"/>
  <c r="F140" i="2"/>
  <c r="G33" i="2"/>
  <c r="G105" i="2"/>
  <c r="G177" i="2"/>
  <c r="G249" i="2"/>
  <c r="G329" i="2"/>
  <c r="G401" i="2"/>
  <c r="G473" i="2"/>
  <c r="F45" i="2"/>
  <c r="F117" i="2"/>
  <c r="G18" i="2"/>
  <c r="G90" i="2"/>
  <c r="G170" i="2"/>
  <c r="G242" i="2"/>
  <c r="G314" i="2"/>
  <c r="G386" i="2"/>
  <c r="G458" i="2"/>
  <c r="F30" i="2"/>
  <c r="F102" i="2"/>
  <c r="G35" i="2"/>
  <c r="G107" i="2"/>
  <c r="G179" i="2"/>
  <c r="G251" i="2"/>
  <c r="G323" i="2"/>
  <c r="G387" i="2"/>
  <c r="G451" i="2"/>
  <c r="F15" i="2"/>
  <c r="F79" i="2"/>
  <c r="F143" i="2"/>
  <c r="G36" i="2"/>
  <c r="G100" i="2"/>
  <c r="G164" i="2"/>
  <c r="G228" i="2"/>
  <c r="G292" i="2"/>
  <c r="G356" i="2"/>
  <c r="G420" i="2"/>
  <c r="G484" i="2"/>
  <c r="F48" i="2"/>
  <c r="G197" i="2"/>
  <c r="F152" i="2"/>
  <c r="F234" i="2"/>
  <c r="F298" i="2"/>
  <c r="F362" i="2"/>
  <c r="F426" i="2"/>
  <c r="F491" i="2"/>
  <c r="D175" i="2"/>
  <c r="D239" i="2"/>
  <c r="D303" i="2"/>
  <c r="D367" i="2"/>
  <c r="G333" i="2"/>
  <c r="F187" i="2"/>
  <c r="F251" i="2"/>
  <c r="F315" i="2"/>
  <c r="F379" i="2"/>
  <c r="F443" i="2"/>
  <c r="G469" i="2"/>
  <c r="F204" i="2"/>
  <c r="F268" i="2"/>
  <c r="F332" i="2"/>
  <c r="F396" i="2"/>
  <c r="G29" i="2"/>
  <c r="F41" i="2"/>
  <c r="F213" i="2"/>
  <c r="F277" i="2"/>
  <c r="F341" i="2"/>
  <c r="F405" i="2"/>
  <c r="G165" i="2"/>
  <c r="F136" i="2"/>
  <c r="F230" i="2"/>
  <c r="F294" i="2"/>
  <c r="F358" i="2"/>
  <c r="F422" i="2"/>
  <c r="F209" i="2"/>
  <c r="F383" i="2"/>
  <c r="F494" i="2"/>
  <c r="D187" i="2"/>
  <c r="D260" i="2"/>
  <c r="D333" i="2"/>
  <c r="D404" i="2"/>
  <c r="D468" i="2"/>
  <c r="D33" i="2"/>
  <c r="D97" i="2"/>
  <c r="F145" i="2"/>
  <c r="F343" i="2"/>
  <c r="F476" i="2"/>
  <c r="D411" i="2"/>
  <c r="D220" i="2"/>
  <c r="D166" i="2"/>
  <c r="D55" i="2"/>
  <c r="F329" i="2"/>
  <c r="D158" i="2"/>
  <c r="D304" i="2"/>
  <c r="D459" i="2"/>
  <c r="D250" i="2"/>
  <c r="F359" i="2"/>
  <c r="G30" i="2"/>
  <c r="G102" i="2"/>
  <c r="G174" i="2"/>
  <c r="G254" i="2"/>
  <c r="G326" i="2"/>
  <c r="G398" i="2"/>
  <c r="G470" i="2"/>
  <c r="F42" i="2"/>
  <c r="F114" i="2"/>
  <c r="G7" i="2"/>
  <c r="G87" i="2"/>
  <c r="G159" i="2"/>
  <c r="G231" i="2"/>
  <c r="G303" i="2"/>
  <c r="G375" i="2"/>
  <c r="G447" i="2"/>
  <c r="F19" i="2"/>
  <c r="F99" i="2"/>
  <c r="F171" i="2"/>
  <c r="G64" i="2"/>
  <c r="G136" i="2"/>
  <c r="G208" i="2"/>
  <c r="G280" i="2"/>
  <c r="G352" i="2"/>
  <c r="G432" i="2"/>
  <c r="G504" i="2"/>
  <c r="F76" i="2"/>
  <c r="F148" i="2"/>
  <c r="G41" i="2"/>
  <c r="G113" i="2"/>
  <c r="G185" i="2"/>
  <c r="G265" i="2"/>
  <c r="G337" i="2"/>
  <c r="G409" i="2"/>
  <c r="G481" i="2"/>
  <c r="F53" i="2"/>
  <c r="D268" i="2"/>
  <c r="D194" i="2"/>
  <c r="D140" i="2"/>
  <c r="D32" i="2"/>
  <c r="F271" i="2"/>
  <c r="D138" i="2"/>
  <c r="D277" i="2"/>
  <c r="D221" i="2"/>
  <c r="D6" i="2"/>
  <c r="D168" i="2"/>
  <c r="D38" i="2"/>
  <c r="F500" i="2"/>
  <c r="D403" i="2"/>
  <c r="F208" i="2"/>
  <c r="D31" i="2"/>
  <c r="F492" i="2"/>
  <c r="D131" i="2"/>
  <c r="D111" i="2"/>
  <c r="D418" i="2"/>
  <c r="D203" i="2"/>
  <c r="F248" i="2"/>
  <c r="G46" i="2"/>
  <c r="G126" i="2"/>
  <c r="G198" i="2"/>
  <c r="G270" i="2"/>
  <c r="G342" i="2"/>
  <c r="G414" i="2"/>
  <c r="G486" i="2"/>
  <c r="F58" i="2"/>
  <c r="F138" i="2"/>
  <c r="G31" i="2"/>
  <c r="G103" i="2"/>
  <c r="G175" i="2"/>
  <c r="G247" i="2"/>
  <c r="G319" i="2"/>
  <c r="G391" i="2"/>
  <c r="G471" i="2"/>
  <c r="F43" i="2"/>
  <c r="F115" i="2"/>
  <c r="G8" i="2"/>
  <c r="G80" i="2"/>
  <c r="G152" i="2"/>
  <c r="G224" i="2"/>
  <c r="G304" i="2"/>
  <c r="G376" i="2"/>
  <c r="G448" i="2"/>
  <c r="F20" i="2"/>
  <c r="F92" i="2"/>
  <c r="F164" i="2"/>
  <c r="G57" i="2"/>
  <c r="G137" i="2"/>
  <c r="G209" i="2"/>
  <c r="G281" i="2"/>
  <c r="G353" i="2"/>
  <c r="G425" i="2"/>
  <c r="G497" i="2"/>
  <c r="D104" i="2"/>
  <c r="D103" i="2"/>
  <c r="F336" i="2"/>
  <c r="D15" i="2"/>
  <c r="F224" i="2"/>
  <c r="D385" i="2"/>
  <c r="D8" i="2"/>
  <c r="F207" i="2"/>
  <c r="F490" i="2"/>
  <c r="D88" i="2"/>
  <c r="D395" i="2"/>
  <c r="D177" i="2"/>
  <c r="F184" i="2"/>
  <c r="G62" i="2"/>
  <c r="G134" i="2"/>
  <c r="G206" i="2"/>
  <c r="G278" i="2"/>
  <c r="G350" i="2"/>
  <c r="G422" i="2"/>
  <c r="G494" i="2"/>
  <c r="F74" i="2"/>
  <c r="F146" i="2"/>
  <c r="G39" i="2"/>
  <c r="G111" i="2"/>
  <c r="G183" i="2"/>
  <c r="G255" i="2"/>
  <c r="G327" i="2"/>
  <c r="G407" i="2"/>
  <c r="G479" i="2"/>
  <c r="D475" i="2"/>
  <c r="D80" i="2"/>
  <c r="F288" i="2"/>
  <c r="D491" i="2"/>
  <c r="G493" i="2"/>
  <c r="D358" i="2"/>
  <c r="D489" i="2"/>
  <c r="G309" i="2"/>
  <c r="D7" i="2"/>
  <c r="F463" i="2"/>
  <c r="D70" i="2"/>
  <c r="D376" i="2"/>
  <c r="D156" i="2"/>
  <c r="D434" i="2"/>
  <c r="G70" i="2"/>
  <c r="G142" i="2"/>
  <c r="G214" i="2"/>
  <c r="G286" i="2"/>
  <c r="G358" i="2"/>
  <c r="G430" i="2"/>
  <c r="F10" i="2"/>
  <c r="F82" i="2"/>
  <c r="F154" i="2"/>
  <c r="G47" i="2"/>
  <c r="G119" i="2"/>
  <c r="G191" i="2"/>
  <c r="G263" i="2"/>
  <c r="G343" i="2"/>
  <c r="G415" i="2"/>
  <c r="G487" i="2"/>
  <c r="F59" i="2"/>
  <c r="F131" i="2"/>
  <c r="G24" i="2"/>
  <c r="G96" i="2"/>
  <c r="G176" i="2"/>
  <c r="G248" i="2"/>
  <c r="G320" i="2"/>
  <c r="G392" i="2"/>
  <c r="G464" i="2"/>
  <c r="F36" i="2"/>
  <c r="F108" i="2"/>
  <c r="G9" i="2"/>
  <c r="G81" i="2"/>
  <c r="G153" i="2"/>
  <c r="G225" i="2"/>
  <c r="G297" i="2"/>
  <c r="G369" i="2"/>
  <c r="G441" i="2"/>
  <c r="F21" i="2"/>
  <c r="F93" i="2"/>
  <c r="F165" i="2"/>
  <c r="G66" i="2"/>
  <c r="G138" i="2"/>
  <c r="G210" i="2"/>
  <c r="G282" i="2"/>
  <c r="G362" i="2"/>
  <c r="G434" i="2"/>
  <c r="G6" i="2"/>
  <c r="F78" i="2"/>
  <c r="F150" i="2"/>
  <c r="G75" i="2"/>
  <c r="G147" i="2"/>
  <c r="G227" i="2"/>
  <c r="G299" i="2"/>
  <c r="G363" i="2"/>
  <c r="G427" i="2"/>
  <c r="G491" i="2"/>
  <c r="F55" i="2"/>
  <c r="F119" i="2"/>
  <c r="G12" i="2"/>
  <c r="G76" i="2"/>
  <c r="G140" i="2"/>
  <c r="G204" i="2"/>
  <c r="G268" i="2"/>
  <c r="G332" i="2"/>
  <c r="G396" i="2"/>
  <c r="G460" i="2"/>
  <c r="F24" i="2"/>
  <c r="F88" i="2"/>
  <c r="F17" i="2"/>
  <c r="F210" i="2"/>
  <c r="F274" i="2"/>
  <c r="F338" i="2"/>
  <c r="F402" i="2"/>
  <c r="F466" i="2"/>
  <c r="F225" i="2"/>
  <c r="F462" i="2"/>
  <c r="G150" i="2"/>
  <c r="G334" i="2"/>
  <c r="F26" i="2"/>
  <c r="G55" i="2"/>
  <c r="G239" i="2"/>
  <c r="G431" i="2"/>
  <c r="F107" i="2"/>
  <c r="G72" i="2"/>
  <c r="G216" i="2"/>
  <c r="G368" i="2"/>
  <c r="F12" i="2"/>
  <c r="F156" i="2"/>
  <c r="G121" i="2"/>
  <c r="G273" i="2"/>
  <c r="G417" i="2"/>
  <c r="F61" i="2"/>
  <c r="F157" i="2"/>
  <c r="G82" i="2"/>
  <c r="G186" i="2"/>
  <c r="G274" i="2"/>
  <c r="G378" i="2"/>
  <c r="G474" i="2"/>
  <c r="F70" i="2"/>
  <c r="G19" i="2"/>
  <c r="G123" i="2"/>
  <c r="G211" i="2"/>
  <c r="G315" i="2"/>
  <c r="G403" i="2"/>
  <c r="G483" i="2"/>
  <c r="F71" i="2"/>
  <c r="F159" i="2"/>
  <c r="G68" i="2"/>
  <c r="G156" i="2"/>
  <c r="G244" i="2"/>
  <c r="G324" i="2"/>
  <c r="G412" i="2"/>
  <c r="G500" i="2"/>
  <c r="F80" i="2"/>
  <c r="F120" i="2"/>
  <c r="F250" i="2"/>
  <c r="F330" i="2"/>
  <c r="F418" i="2"/>
  <c r="D127" i="2"/>
  <c r="D199" i="2"/>
  <c r="D271" i="2"/>
  <c r="D343" i="2"/>
  <c r="G205" i="2"/>
  <c r="F176" i="2"/>
  <c r="F259" i="2"/>
  <c r="F331" i="2"/>
  <c r="F403" i="2"/>
  <c r="G213" i="2"/>
  <c r="F177" i="2"/>
  <c r="F252" i="2"/>
  <c r="F324" i="2"/>
  <c r="F404" i="2"/>
  <c r="G157" i="2"/>
  <c r="F160" i="2"/>
  <c r="F245" i="2"/>
  <c r="F317" i="2"/>
  <c r="F389" i="2"/>
  <c r="G101" i="2"/>
  <c r="F161" i="2"/>
  <c r="F246" i="2"/>
  <c r="F318" i="2"/>
  <c r="F390" i="2"/>
  <c r="F9" i="2"/>
  <c r="F337" i="2"/>
  <c r="F485" i="2"/>
  <c r="D196" i="2"/>
  <c r="D278" i="2"/>
  <c r="D361" i="2"/>
  <c r="D436" i="2"/>
  <c r="D9" i="2"/>
  <c r="D81" i="2"/>
  <c r="F57" i="2"/>
  <c r="F361" i="2"/>
  <c r="F495" i="2"/>
  <c r="D188" i="2"/>
  <c r="D261" i="2"/>
  <c r="D334" i="2"/>
  <c r="D405" i="2"/>
  <c r="D469" i="2"/>
  <c r="D34" i="2"/>
  <c r="D98" i="2"/>
  <c r="F166" i="2"/>
  <c r="F344" i="2"/>
  <c r="F477" i="2"/>
  <c r="D171" i="2"/>
  <c r="D244" i="2"/>
  <c r="D317" i="2"/>
  <c r="D390" i="2"/>
  <c r="D454" i="2"/>
  <c r="D19" i="2"/>
  <c r="D83" i="2"/>
  <c r="G429" i="2"/>
  <c r="F304" i="2"/>
  <c r="F460" i="2"/>
  <c r="D154" i="2"/>
  <c r="D227" i="2"/>
  <c r="D321" i="2"/>
  <c r="D212" i="2"/>
  <c r="D47" i="2"/>
  <c r="F311" i="2"/>
  <c r="G158" i="2"/>
  <c r="G366" i="2"/>
  <c r="F50" i="2"/>
  <c r="G63" i="2"/>
  <c r="G279" i="2"/>
  <c r="G455" i="2"/>
  <c r="F123" i="2"/>
  <c r="G88" i="2"/>
  <c r="G240" i="2"/>
  <c r="G384" i="2"/>
  <c r="F28" i="2"/>
  <c r="F172" i="2"/>
  <c r="G145" i="2"/>
  <c r="G289" i="2"/>
  <c r="G433" i="2"/>
  <c r="F69" i="2"/>
  <c r="F173" i="2"/>
  <c r="G106" i="2"/>
  <c r="G194" i="2"/>
  <c r="G298" i="2"/>
  <c r="G394" i="2"/>
  <c r="G490" i="2"/>
  <c r="F86" i="2"/>
  <c r="G43" i="2"/>
  <c r="G131" i="2"/>
  <c r="G235" i="2"/>
  <c r="G331" i="2"/>
  <c r="G411" i="2"/>
  <c r="G499" i="2"/>
  <c r="F87" i="2"/>
  <c r="F167" i="2"/>
  <c r="G84" i="2"/>
  <c r="G172" i="2"/>
  <c r="G252" i="2"/>
  <c r="G340" i="2"/>
  <c r="G428" i="2"/>
  <c r="F8" i="2"/>
  <c r="G69" i="2"/>
  <c r="F174" i="2"/>
  <c r="F258" i="2"/>
  <c r="F346" i="2"/>
  <c r="F434" i="2"/>
  <c r="D135" i="2"/>
  <c r="D207" i="2"/>
  <c r="D279" i="2"/>
  <c r="D351" i="2"/>
  <c r="G269" i="2"/>
  <c r="F195" i="2"/>
  <c r="F267" i="2"/>
  <c r="F339" i="2"/>
  <c r="F411" i="2"/>
  <c r="G277" i="2"/>
  <c r="F188" i="2"/>
  <c r="F260" i="2"/>
  <c r="F340" i="2"/>
  <c r="F412" i="2"/>
  <c r="G221" i="2"/>
  <c r="F181" i="2"/>
  <c r="F253" i="2"/>
  <c r="F325" i="2"/>
  <c r="F397" i="2"/>
  <c r="G229" i="2"/>
  <c r="F182" i="2"/>
  <c r="F254" i="2"/>
  <c r="F326" i="2"/>
  <c r="F398" i="2"/>
  <c r="F144" i="2"/>
  <c r="F360" i="2"/>
  <c r="F503" i="2"/>
  <c r="D205" i="2"/>
  <c r="D288" i="2"/>
  <c r="D370" i="2"/>
  <c r="D444" i="2"/>
  <c r="D17" i="2"/>
  <c r="D89" i="2"/>
  <c r="F192" i="2"/>
  <c r="F384" i="2"/>
  <c r="F504" i="2"/>
  <c r="D197" i="2"/>
  <c r="D270" i="2"/>
  <c r="D344" i="2"/>
  <c r="D186" i="2"/>
  <c r="D357" i="2"/>
  <c r="D24" i="2"/>
  <c r="G190" i="2"/>
  <c r="G382" i="2"/>
  <c r="F90" i="2"/>
  <c r="G95" i="2"/>
  <c r="G287" i="2"/>
  <c r="G495" i="2"/>
  <c r="F139" i="2"/>
  <c r="G112" i="2"/>
  <c r="G256" i="2"/>
  <c r="G400" i="2"/>
  <c r="F44" i="2"/>
  <c r="G17" i="2"/>
  <c r="G161" i="2"/>
  <c r="G305" i="2"/>
  <c r="G457" i="2"/>
  <c r="F85" i="2"/>
  <c r="G10" i="2"/>
  <c r="G114" i="2"/>
  <c r="G202" i="2"/>
  <c r="G306" i="2"/>
  <c r="G402" i="2"/>
  <c r="G498" i="2"/>
  <c r="F94" i="2"/>
  <c r="G51" i="2"/>
  <c r="G139" i="2"/>
  <c r="G243" i="2"/>
  <c r="G339" i="2"/>
  <c r="G419" i="2"/>
  <c r="F7" i="2"/>
  <c r="F95" i="2"/>
  <c r="F175" i="2"/>
  <c r="G92" i="2"/>
  <c r="G180" i="2"/>
  <c r="G260" i="2"/>
  <c r="G348" i="2"/>
  <c r="G436" i="2"/>
  <c r="F16" i="2"/>
  <c r="G133" i="2"/>
  <c r="F186" i="2"/>
  <c r="F266" i="2"/>
  <c r="F354" i="2"/>
  <c r="F442" i="2"/>
  <c r="D143" i="2"/>
  <c r="D215" i="2"/>
  <c r="D287" i="2"/>
  <c r="D359" i="2"/>
  <c r="G397" i="2"/>
  <c r="F203" i="2"/>
  <c r="F275" i="2"/>
  <c r="F347" i="2"/>
  <c r="D331" i="2"/>
  <c r="D483" i="2"/>
  <c r="D441" i="2"/>
  <c r="G14" i="2"/>
  <c r="G222" i="2"/>
  <c r="G406" i="2"/>
  <c r="F98" i="2"/>
  <c r="G127" i="2"/>
  <c r="G311" i="2"/>
  <c r="G503" i="2"/>
  <c r="F147" i="2"/>
  <c r="G120" i="2"/>
  <c r="G264" i="2"/>
  <c r="G408" i="2"/>
  <c r="F60" i="2"/>
  <c r="G25" i="2"/>
  <c r="G169" i="2"/>
  <c r="G313" i="2"/>
  <c r="G465" i="2"/>
  <c r="F101" i="2"/>
  <c r="G26" i="2"/>
  <c r="G122" i="2"/>
  <c r="G218" i="2"/>
  <c r="G322" i="2"/>
  <c r="G410" i="2"/>
  <c r="F14" i="2"/>
  <c r="F118" i="2"/>
  <c r="G59" i="2"/>
  <c r="G163" i="2"/>
  <c r="G259" i="2"/>
  <c r="G347" i="2"/>
  <c r="G435" i="2"/>
  <c r="F23" i="2"/>
  <c r="F103" i="2"/>
  <c r="G20" i="2"/>
  <c r="G108" i="2"/>
  <c r="G188" i="2"/>
  <c r="G276" i="2"/>
  <c r="D498" i="2"/>
  <c r="D465" i="2"/>
  <c r="D349" i="2"/>
  <c r="G110" i="2"/>
  <c r="F18" i="2"/>
  <c r="G215" i="2"/>
  <c r="F75" i="2"/>
  <c r="G192" i="2"/>
  <c r="G480" i="2"/>
  <c r="G97" i="2"/>
  <c r="G393" i="2"/>
  <c r="F149" i="2"/>
  <c r="G178" i="2"/>
  <c r="G370" i="2"/>
  <c r="F62" i="2"/>
  <c r="G115" i="2"/>
  <c r="G307" i="2"/>
  <c r="G475" i="2"/>
  <c r="F151" i="2"/>
  <c r="G148" i="2"/>
  <c r="G316" i="2"/>
  <c r="G468" i="2"/>
  <c r="G261" i="2"/>
  <c r="F226" i="2"/>
  <c r="F378" i="2"/>
  <c r="F499" i="2"/>
  <c r="D247" i="2"/>
  <c r="D375" i="2"/>
  <c r="F121" i="2"/>
  <c r="F291" i="2"/>
  <c r="F395" i="2"/>
  <c r="G405" i="2"/>
  <c r="F228" i="2"/>
  <c r="F316" i="2"/>
  <c r="F428" i="2"/>
  <c r="G477" i="2"/>
  <c r="F237" i="2"/>
  <c r="F349" i="2"/>
  <c r="F437" i="2"/>
  <c r="F104" i="2"/>
  <c r="F270" i="2"/>
  <c r="F366" i="2"/>
  <c r="G365" i="2"/>
  <c r="F424" i="2"/>
  <c r="D160" i="2"/>
  <c r="D269" i="2"/>
  <c r="D388" i="2"/>
  <c r="D484" i="2"/>
  <c r="D73" i="2"/>
  <c r="F233" i="2"/>
  <c r="F457" i="2"/>
  <c r="D179" i="2"/>
  <c r="D289" i="2"/>
  <c r="D380" i="2"/>
  <c r="D453" i="2"/>
  <c r="D26" i="2"/>
  <c r="D106" i="2"/>
  <c r="F216" i="2"/>
  <c r="F408" i="2"/>
  <c r="D134" i="2"/>
  <c r="D217" i="2"/>
  <c r="D299" i="2"/>
  <c r="D381" i="2"/>
  <c r="D462" i="2"/>
  <c r="D35" i="2"/>
  <c r="D107" i="2"/>
  <c r="F217" i="2"/>
  <c r="F409" i="2"/>
  <c r="D136" i="2"/>
  <c r="D218" i="2"/>
  <c r="D300" i="2"/>
  <c r="D373" i="2"/>
  <c r="D439" i="2"/>
  <c r="D503" i="2"/>
  <c r="D68" i="2"/>
  <c r="G109" i="2"/>
  <c r="F264" i="2"/>
  <c r="F433" i="2"/>
  <c r="D137" i="2"/>
  <c r="D210" i="2"/>
  <c r="D283" i="2"/>
  <c r="D356" i="2"/>
  <c r="D424" i="2"/>
  <c r="D488" i="2"/>
  <c r="D53" i="2"/>
  <c r="D117" i="2"/>
  <c r="D499" i="2"/>
  <c r="D322" i="2"/>
  <c r="D129" i="2"/>
  <c r="D302" i="2"/>
  <c r="G230" i="2"/>
  <c r="F122" i="2"/>
  <c r="G351" i="2"/>
  <c r="F179" i="2"/>
  <c r="G288" i="2"/>
  <c r="F84" i="2"/>
  <c r="G201" i="2"/>
  <c r="G489" i="2"/>
  <c r="G42" i="2"/>
  <c r="G234" i="2"/>
  <c r="G426" i="2"/>
  <c r="F126" i="2"/>
  <c r="G171" i="2"/>
  <c r="G355" i="2"/>
  <c r="F31" i="2"/>
  <c r="G28" i="2"/>
  <c r="G196" i="2"/>
  <c r="G364" i="2"/>
  <c r="G476" i="2"/>
  <c r="G325" i="2"/>
  <c r="F242" i="2"/>
  <c r="F386" i="2"/>
  <c r="D151" i="2"/>
  <c r="D255" i="2"/>
  <c r="D383" i="2"/>
  <c r="F153" i="2"/>
  <c r="F299" i="2"/>
  <c r="F419" i="2"/>
  <c r="F33" i="2"/>
  <c r="F236" i="2"/>
  <c r="F348" i="2"/>
  <c r="F436" i="2"/>
  <c r="F97" i="2"/>
  <c r="F261" i="2"/>
  <c r="F357" i="2"/>
  <c r="F445" i="2"/>
  <c r="F190" i="2"/>
  <c r="F278" i="2"/>
  <c r="F374" i="2"/>
  <c r="F191" i="2"/>
  <c r="F446" i="2"/>
  <c r="D169" i="2"/>
  <c r="D297" i="2"/>
  <c r="D396" i="2"/>
  <c r="D492" i="2"/>
  <c r="D105" i="2"/>
  <c r="F256" i="2"/>
  <c r="F467" i="2"/>
  <c r="D206" i="2"/>
  <c r="D298" i="2"/>
  <c r="D389" i="2"/>
  <c r="D461" i="2"/>
  <c r="D42" i="2"/>
  <c r="D114" i="2"/>
  <c r="F239" i="2"/>
  <c r="F431" i="2"/>
  <c r="D144" i="2"/>
  <c r="D226" i="2"/>
  <c r="D308" i="2"/>
  <c r="D398" i="2"/>
  <c r="D470" i="2"/>
  <c r="D43" i="2"/>
  <c r="D115" i="2"/>
  <c r="F240" i="2"/>
  <c r="F432" i="2"/>
  <c r="D145" i="2"/>
  <c r="D236" i="2"/>
  <c r="D309" i="2"/>
  <c r="D382" i="2"/>
  <c r="D447" i="2"/>
  <c r="D12" i="2"/>
  <c r="D76" i="2"/>
  <c r="G253" i="2"/>
  <c r="F287" i="2"/>
  <c r="F451" i="2"/>
  <c r="D146" i="2"/>
  <c r="D219" i="2"/>
  <c r="D292" i="2"/>
  <c r="D365" i="2"/>
  <c r="D432" i="2"/>
  <c r="D496" i="2"/>
  <c r="D61" i="2"/>
  <c r="D125" i="2"/>
  <c r="D481" i="2"/>
  <c r="D296" i="2"/>
  <c r="F482" i="2"/>
  <c r="D229" i="2"/>
  <c r="G262" i="2"/>
  <c r="F162" i="2"/>
  <c r="G359" i="2"/>
  <c r="G16" i="2"/>
  <c r="G312" i="2"/>
  <c r="F100" i="2"/>
  <c r="G217" i="2"/>
  <c r="G505" i="2"/>
  <c r="G50" i="2"/>
  <c r="G250" i="2"/>
  <c r="G442" i="2"/>
  <c r="F134" i="2"/>
  <c r="G187" i="2"/>
  <c r="G371" i="2"/>
  <c r="F39" i="2"/>
  <c r="G44" i="2"/>
  <c r="G212" i="2"/>
  <c r="G372" i="2"/>
  <c r="G492" i="2"/>
  <c r="G389" i="2"/>
  <c r="F282" i="2"/>
  <c r="F394" i="2"/>
  <c r="D159" i="2"/>
  <c r="D263" i="2"/>
  <c r="G13" i="2"/>
  <c r="F211" i="2"/>
  <c r="F307" i="2"/>
  <c r="F427" i="2"/>
  <c r="F96" i="2"/>
  <c r="F244" i="2"/>
  <c r="F356" i="2"/>
  <c r="F444" i="2"/>
  <c r="F129" i="2"/>
  <c r="F269" i="2"/>
  <c r="F365" i="2"/>
  <c r="G37" i="2"/>
  <c r="F198" i="2"/>
  <c r="F286" i="2"/>
  <c r="F382" i="2"/>
  <c r="F232" i="2"/>
  <c r="F456" i="2"/>
  <c r="D178" i="2"/>
  <c r="D306" i="2"/>
  <c r="D412" i="2"/>
  <c r="D360" i="2"/>
  <c r="F484" i="2"/>
  <c r="G294" i="2"/>
  <c r="F170" i="2"/>
  <c r="G383" i="2"/>
  <c r="G32" i="2"/>
  <c r="G328" i="2"/>
  <c r="F124" i="2"/>
  <c r="G233" i="2"/>
  <c r="F29" i="2"/>
  <c r="G58" i="2"/>
  <c r="G258" i="2"/>
  <c r="G450" i="2"/>
  <c r="F142" i="2"/>
  <c r="G195" i="2"/>
  <c r="G379" i="2"/>
  <c r="F47" i="2"/>
  <c r="G52" i="2"/>
  <c r="G220" i="2"/>
  <c r="G380" i="2"/>
  <c r="F32" i="2"/>
  <c r="G453" i="2"/>
  <c r="F290" i="2"/>
  <c r="F410" i="2"/>
  <c r="D167" i="2"/>
  <c r="D295" i="2"/>
  <c r="G77" i="2"/>
  <c r="F219" i="2"/>
  <c r="F323" i="2"/>
  <c r="F435" i="2"/>
  <c r="F128" i="2"/>
  <c r="F276" i="2"/>
  <c r="F364" i="2"/>
  <c r="F452" i="2"/>
  <c r="F189" i="2"/>
  <c r="F285" i="2"/>
  <c r="F373" i="2"/>
  <c r="G293" i="2"/>
  <c r="F206" i="2"/>
  <c r="F302" i="2"/>
  <c r="F406" i="2"/>
  <c r="F255" i="2"/>
  <c r="F465" i="2"/>
  <c r="D214" i="2"/>
  <c r="D315" i="2"/>
  <c r="D420" i="2"/>
  <c r="D25" i="2"/>
  <c r="D121" i="2"/>
  <c r="F297" i="2"/>
  <c r="D133" i="2"/>
  <c r="D225" i="2"/>
  <c r="D316" i="2"/>
  <c r="D413" i="2"/>
  <c r="D485" i="2"/>
  <c r="D58" i="2"/>
  <c r="G53" i="2"/>
  <c r="F280" i="2"/>
  <c r="F459" i="2"/>
  <c r="D162" i="2"/>
  <c r="D253" i="2"/>
  <c r="D336" i="2"/>
  <c r="D414" i="2"/>
  <c r="D486" i="2"/>
  <c r="D59" i="2"/>
  <c r="G61" i="2"/>
  <c r="F281" i="2"/>
  <c r="F469" i="2"/>
  <c r="D172" i="2"/>
  <c r="D254" i="2"/>
  <c r="D328" i="2"/>
  <c r="D399" i="2"/>
  <c r="D463" i="2"/>
  <c r="D28" i="2"/>
  <c r="D92" i="2"/>
  <c r="F105" i="2"/>
  <c r="F328" i="2"/>
  <c r="F470" i="2"/>
  <c r="D164" i="2"/>
  <c r="D237" i="2"/>
  <c r="D310" i="2"/>
  <c r="D384" i="2"/>
  <c r="D448" i="2"/>
  <c r="D13" i="2"/>
  <c r="D77" i="2"/>
  <c r="G301" i="2"/>
  <c r="D339" i="2"/>
  <c r="G173" i="2"/>
  <c r="G302" i="2"/>
  <c r="G23" i="2"/>
  <c r="G423" i="2"/>
  <c r="G48" i="2"/>
  <c r="G336" i="2"/>
  <c r="F132" i="2"/>
  <c r="G241" i="2"/>
  <c r="F37" i="2"/>
  <c r="G74" i="2"/>
  <c r="G266" i="2"/>
  <c r="G466" i="2"/>
  <c r="G11" i="2"/>
  <c r="G203" i="2"/>
  <c r="G395" i="2"/>
  <c r="F63" i="2"/>
  <c r="G60" i="2"/>
  <c r="G236" i="2"/>
  <c r="G388" i="2"/>
  <c r="F40" i="2"/>
  <c r="F81" i="2"/>
  <c r="F306" i="2"/>
  <c r="F450" i="2"/>
  <c r="D183" i="2"/>
  <c r="D311" i="2"/>
  <c r="G141" i="2"/>
  <c r="F227" i="2"/>
  <c r="F355" i="2"/>
  <c r="G21" i="2"/>
  <c r="F158" i="2"/>
  <c r="F284" i="2"/>
  <c r="F372" i="2"/>
  <c r="G93" i="2"/>
  <c r="F197" i="2"/>
  <c r="F293" i="2"/>
  <c r="F381" i="2"/>
  <c r="G357" i="2"/>
  <c r="F214" i="2"/>
  <c r="F310" i="2"/>
  <c r="F414" i="2"/>
  <c r="F273" i="2"/>
  <c r="F475" i="2"/>
  <c r="D224" i="2"/>
  <c r="D324" i="2"/>
  <c r="D428" i="2"/>
  <c r="D41" i="2"/>
  <c r="G45" i="2"/>
  <c r="F320" i="2"/>
  <c r="D142" i="2"/>
  <c r="D234" i="2"/>
  <c r="D325" i="2"/>
  <c r="D421" i="2"/>
  <c r="D493" i="2"/>
  <c r="D66" i="2"/>
  <c r="G237" i="2"/>
  <c r="F303" i="2"/>
  <c r="F468" i="2"/>
  <c r="D180" i="2"/>
  <c r="D262" i="2"/>
  <c r="D345" i="2"/>
  <c r="D422" i="2"/>
  <c r="D494" i="2"/>
  <c r="G86" i="2"/>
  <c r="F51" i="2"/>
  <c r="G49" i="2"/>
  <c r="F133" i="2"/>
  <c r="F38" i="2"/>
  <c r="G443" i="2"/>
  <c r="G132" i="2"/>
  <c r="F64" i="2"/>
  <c r="F458" i="2"/>
  <c r="D335" i="2"/>
  <c r="F371" i="2"/>
  <c r="F292" i="2"/>
  <c r="G413" i="2"/>
  <c r="F421" i="2"/>
  <c r="F334" i="2"/>
  <c r="F401" i="2"/>
  <c r="D352" i="2"/>
  <c r="D65" i="2"/>
  <c r="F447" i="2"/>
  <c r="D280" i="2"/>
  <c r="D445" i="2"/>
  <c r="D90" i="2"/>
  <c r="F385" i="2"/>
  <c r="D208" i="2"/>
  <c r="D372" i="2"/>
  <c r="D27" i="2"/>
  <c r="F73" i="2"/>
  <c r="F449" i="2"/>
  <c r="D200" i="2"/>
  <c r="D337" i="2"/>
  <c r="D431" i="2"/>
  <c r="D44" i="2"/>
  <c r="G437" i="2"/>
  <c r="F392" i="2"/>
  <c r="D173" i="2"/>
  <c r="D274" i="2"/>
  <c r="D400" i="2"/>
  <c r="D504" i="2"/>
  <c r="D101" i="2"/>
  <c r="D435" i="2"/>
  <c r="D202" i="2"/>
  <c r="F137" i="2"/>
  <c r="C37" i="2"/>
  <c r="C101" i="2"/>
  <c r="C166" i="2"/>
  <c r="C230" i="2"/>
  <c r="C294" i="2"/>
  <c r="C358" i="2"/>
  <c r="C422" i="2"/>
  <c r="C486" i="2"/>
  <c r="C54" i="2"/>
  <c r="C118" i="2"/>
  <c r="C183" i="2"/>
  <c r="C247" i="2"/>
  <c r="C311" i="2"/>
  <c r="C375" i="2"/>
  <c r="C439" i="2"/>
  <c r="C503" i="2"/>
  <c r="C71" i="2"/>
  <c r="C136" i="2"/>
  <c r="C200" i="2"/>
  <c r="C264" i="2"/>
  <c r="C328" i="2"/>
  <c r="C392" i="2"/>
  <c r="C456" i="2"/>
  <c r="C24" i="2"/>
  <c r="C88" i="2"/>
  <c r="C153" i="2"/>
  <c r="C217" i="2"/>
  <c r="C281" i="2"/>
  <c r="C345" i="2"/>
  <c r="C409" i="2"/>
  <c r="C473" i="2"/>
  <c r="C41" i="2"/>
  <c r="C105" i="2"/>
  <c r="C170" i="2"/>
  <c r="C234" i="2"/>
  <c r="C298" i="2"/>
  <c r="C362" i="2"/>
  <c r="C426" i="2"/>
  <c r="C490" i="2"/>
  <c r="C58" i="2"/>
  <c r="C122" i="2"/>
  <c r="C187" i="2"/>
  <c r="C251" i="2"/>
  <c r="C315" i="2"/>
  <c r="C379" i="2"/>
  <c r="C443" i="2"/>
  <c r="C10" i="2"/>
  <c r="C75" i="2"/>
  <c r="C244" i="2"/>
  <c r="C116" i="2"/>
  <c r="G446" i="2"/>
  <c r="F67" i="2"/>
  <c r="G73" i="2"/>
  <c r="G130" i="2"/>
  <c r="F54" i="2"/>
  <c r="G459" i="2"/>
  <c r="G284" i="2"/>
  <c r="F72" i="2"/>
  <c r="F474" i="2"/>
  <c r="G461" i="2"/>
  <c r="F387" i="2"/>
  <c r="F300" i="2"/>
  <c r="F205" i="2"/>
  <c r="F429" i="2"/>
  <c r="F342" i="2"/>
  <c r="D132" i="2"/>
  <c r="D379" i="2"/>
  <c r="D113" i="2"/>
  <c r="F486" i="2"/>
  <c r="D307" i="2"/>
  <c r="D477" i="2"/>
  <c r="D122" i="2"/>
  <c r="F448" i="2"/>
  <c r="D235" i="2"/>
  <c r="D406" i="2"/>
  <c r="D51" i="2"/>
  <c r="F168" i="2"/>
  <c r="F478" i="2"/>
  <c r="D209" i="2"/>
  <c r="D346" i="2"/>
  <c r="D455" i="2"/>
  <c r="D52" i="2"/>
  <c r="F169" i="2"/>
  <c r="F415" i="2"/>
  <c r="D182" i="2"/>
  <c r="D301" i="2"/>
  <c r="D408" i="2"/>
  <c r="D21" i="2"/>
  <c r="D109" i="2"/>
  <c r="D417" i="2"/>
  <c r="D176" i="2"/>
  <c r="C45" i="2"/>
  <c r="C109" i="2"/>
  <c r="C174" i="2"/>
  <c r="C238" i="2"/>
  <c r="C302" i="2"/>
  <c r="C366" i="2"/>
  <c r="C430" i="2"/>
  <c r="C494" i="2"/>
  <c r="C62" i="2"/>
  <c r="C127" i="2"/>
  <c r="C191" i="2"/>
  <c r="C255" i="2"/>
  <c r="C319" i="2"/>
  <c r="C383" i="2"/>
  <c r="C447" i="2"/>
  <c r="C14" i="2"/>
  <c r="C79" i="2"/>
  <c r="C144" i="2"/>
  <c r="C208" i="2"/>
  <c r="C272" i="2"/>
  <c r="C336" i="2"/>
  <c r="C400" i="2"/>
  <c r="C464" i="2"/>
  <c r="C32" i="2"/>
  <c r="C96" i="2"/>
  <c r="C161" i="2"/>
  <c r="C225" i="2"/>
  <c r="C289" i="2"/>
  <c r="C353" i="2"/>
  <c r="C417" i="2"/>
  <c r="C481" i="2"/>
  <c r="C49" i="2"/>
  <c r="C113" i="2"/>
  <c r="C178" i="2"/>
  <c r="C242" i="2"/>
  <c r="C306" i="2"/>
  <c r="C370" i="2"/>
  <c r="C434" i="2"/>
  <c r="C498" i="2"/>
  <c r="C66" i="2"/>
  <c r="C131" i="2"/>
  <c r="C195" i="2"/>
  <c r="C259" i="2"/>
  <c r="C323" i="2"/>
  <c r="C387" i="2"/>
  <c r="C451" i="2"/>
  <c r="C18" i="2"/>
  <c r="C83" i="2"/>
  <c r="C276" i="2"/>
  <c r="D457" i="2"/>
  <c r="G454" i="2"/>
  <c r="G144" i="2"/>
  <c r="G89" i="2"/>
  <c r="G146" i="2"/>
  <c r="G67" i="2"/>
  <c r="G467" i="2"/>
  <c r="G300" i="2"/>
  <c r="F194" i="2"/>
  <c r="F483" i="2"/>
  <c r="F25" i="2"/>
  <c r="G85" i="2"/>
  <c r="F308" i="2"/>
  <c r="F221" i="2"/>
  <c r="G421" i="2"/>
  <c r="F350" i="2"/>
  <c r="D141" i="2"/>
  <c r="D452" i="2"/>
  <c r="G189" i="2"/>
  <c r="D152" i="2"/>
  <c r="D353" i="2"/>
  <c r="D501" i="2"/>
  <c r="G381" i="2"/>
  <c r="F487" i="2"/>
  <c r="D272" i="2"/>
  <c r="D430" i="2"/>
  <c r="D67" i="2"/>
  <c r="F199" i="2"/>
  <c r="F488" i="2"/>
  <c r="D245" i="2"/>
  <c r="D355" i="2"/>
  <c r="D471" i="2"/>
  <c r="D60" i="2"/>
  <c r="F200" i="2"/>
  <c r="F461" i="2"/>
  <c r="D192" i="2"/>
  <c r="D320" i="2"/>
  <c r="D416" i="2"/>
  <c r="D29" i="2"/>
  <c r="G117" i="2"/>
  <c r="D110" i="2"/>
  <c r="D394" i="2"/>
  <c r="D149" i="2"/>
  <c r="C53" i="2"/>
  <c r="C117" i="2"/>
  <c r="C182" i="2"/>
  <c r="C246" i="2"/>
  <c r="C310" i="2"/>
  <c r="C374" i="2"/>
  <c r="C438" i="2"/>
  <c r="C502" i="2"/>
  <c r="C70" i="2"/>
  <c r="C135" i="2"/>
  <c r="C199" i="2"/>
  <c r="C263" i="2"/>
  <c r="C327" i="2"/>
  <c r="C391" i="2"/>
  <c r="C455" i="2"/>
  <c r="C23" i="2"/>
  <c r="C87" i="2"/>
  <c r="C152" i="2"/>
  <c r="C216" i="2"/>
  <c r="C280" i="2"/>
  <c r="C344" i="2"/>
  <c r="C408" i="2"/>
  <c r="C472" i="2"/>
  <c r="C40" i="2"/>
  <c r="C104" i="2"/>
  <c r="C169" i="2"/>
  <c r="C233" i="2"/>
  <c r="C297" i="2"/>
  <c r="C361" i="2"/>
  <c r="C425" i="2"/>
  <c r="C489" i="2"/>
  <c r="C57" i="2"/>
  <c r="C121" i="2"/>
  <c r="C186" i="2"/>
  <c r="C250" i="2"/>
  <c r="C314" i="2"/>
  <c r="C378" i="2"/>
  <c r="C442" i="2"/>
  <c r="C9" i="2"/>
  <c r="C74" i="2"/>
  <c r="C139" i="2"/>
  <c r="C203" i="2"/>
  <c r="D22" i="2"/>
  <c r="G478" i="2"/>
  <c r="G160" i="2"/>
  <c r="G345" i="2"/>
  <c r="G154" i="2"/>
  <c r="G83" i="2"/>
  <c r="F111" i="2"/>
  <c r="G308" i="2"/>
  <c r="F202" i="2"/>
  <c r="D191" i="2"/>
  <c r="F89" i="2"/>
  <c r="G149" i="2"/>
  <c r="F380" i="2"/>
  <c r="F229" i="2"/>
  <c r="G485" i="2"/>
  <c r="F430" i="2"/>
  <c r="D150" i="2"/>
  <c r="D460" i="2"/>
  <c r="G373" i="2"/>
  <c r="D161" i="2"/>
  <c r="D362" i="2"/>
  <c r="D10" i="2"/>
  <c r="F65" i="2"/>
  <c r="F496" i="2"/>
  <c r="D281" i="2"/>
  <c r="D438" i="2"/>
  <c r="D75" i="2"/>
  <c r="F263" i="2"/>
  <c r="F497" i="2"/>
  <c r="D264" i="2"/>
  <c r="D364" i="2"/>
  <c r="D479" i="2"/>
  <c r="D84" i="2"/>
  <c r="F223" i="2"/>
  <c r="F479" i="2"/>
  <c r="D201" i="2"/>
  <c r="D329" i="2"/>
  <c r="D440" i="2"/>
  <c r="D37" i="2"/>
  <c r="G445" i="2"/>
  <c r="D87" i="2"/>
  <c r="D369" i="2"/>
  <c r="F455" i="2"/>
  <c r="C61" i="2"/>
  <c r="C126" i="2"/>
  <c r="C190" i="2"/>
  <c r="C254" i="2"/>
  <c r="C318" i="2"/>
  <c r="C382" i="2"/>
  <c r="C446" i="2"/>
  <c r="C13" i="2"/>
  <c r="C78" i="2"/>
  <c r="C143" i="2"/>
  <c r="C207" i="2"/>
  <c r="C271" i="2"/>
  <c r="C335" i="2"/>
  <c r="C399" i="2"/>
  <c r="C463" i="2"/>
  <c r="C31" i="2"/>
  <c r="C95" i="2"/>
  <c r="C160" i="2"/>
  <c r="C224" i="2"/>
  <c r="C288" i="2"/>
  <c r="C352" i="2"/>
  <c r="C416" i="2"/>
  <c r="C480" i="2"/>
  <c r="C48" i="2"/>
  <c r="C112" i="2"/>
  <c r="C177" i="2"/>
  <c r="C241" i="2"/>
  <c r="C305" i="2"/>
  <c r="C369" i="2"/>
  <c r="C433" i="2"/>
  <c r="C497" i="2"/>
  <c r="C65" i="2"/>
  <c r="C130" i="2"/>
  <c r="C194" i="2"/>
  <c r="C258" i="2"/>
  <c r="C322" i="2"/>
  <c r="C386" i="2"/>
  <c r="C450" i="2"/>
  <c r="C17" i="2"/>
  <c r="C82" i="2"/>
  <c r="C147" i="2"/>
  <c r="C211" i="2"/>
  <c r="C275" i="2"/>
  <c r="C339" i="2"/>
  <c r="C403" i="2"/>
  <c r="C428" i="2"/>
  <c r="C140" i="2"/>
  <c r="C107" i="2"/>
  <c r="C333" i="2"/>
  <c r="C436" i="2"/>
  <c r="C485" i="2"/>
  <c r="C229" i="2"/>
  <c r="C292" i="2"/>
  <c r="C349" i="2"/>
  <c r="C92" i="2"/>
  <c r="C412" i="2"/>
  <c r="C156" i="2"/>
  <c r="C501" i="2"/>
  <c r="C245" i="2"/>
  <c r="C340" i="2"/>
  <c r="C67" i="2"/>
  <c r="C483" i="2"/>
  <c r="C395" i="2"/>
  <c r="C291" i="2"/>
  <c r="C171" i="2"/>
  <c r="C42" i="2"/>
  <c r="C410" i="2"/>
  <c r="C282" i="2"/>
  <c r="C154" i="2"/>
  <c r="C25" i="2"/>
  <c r="C393" i="2"/>
  <c r="C265" i="2"/>
  <c r="C137" i="2"/>
  <c r="C504" i="2"/>
  <c r="C376" i="2"/>
  <c r="C248" i="2"/>
  <c r="C119" i="2"/>
  <c r="C487" i="2"/>
  <c r="C359" i="2"/>
  <c r="C231" i="2"/>
  <c r="C102" i="2"/>
  <c r="C470" i="2"/>
  <c r="C342" i="2"/>
  <c r="C214" i="2"/>
  <c r="C85" i="2"/>
  <c r="D275" i="2"/>
  <c r="D480" i="2"/>
  <c r="D265" i="2"/>
  <c r="F369" i="2"/>
  <c r="D36" i="2"/>
  <c r="D318" i="2"/>
  <c r="F391" i="2"/>
  <c r="D11" i="2"/>
  <c r="D198" i="2"/>
  <c r="D82" i="2"/>
  <c r="D252" i="2"/>
  <c r="D57" i="2"/>
  <c r="F319" i="2"/>
  <c r="F413" i="2"/>
  <c r="F220" i="2"/>
  <c r="D327" i="2"/>
  <c r="F56" i="2"/>
  <c r="G291" i="2"/>
  <c r="F125" i="2"/>
  <c r="F35" i="2"/>
  <c r="C205" i="2"/>
  <c r="C332" i="2"/>
  <c r="C429" i="2"/>
  <c r="C453" i="2"/>
  <c r="C197" i="2"/>
  <c r="C260" i="2"/>
  <c r="C317" i="2"/>
  <c r="C28" i="2"/>
  <c r="C380" i="2"/>
  <c r="C123" i="2"/>
  <c r="C469" i="2"/>
  <c r="C213" i="2"/>
  <c r="C308" i="2"/>
  <c r="C59" i="2"/>
  <c r="C475" i="2"/>
  <c r="C371" i="2"/>
  <c r="C283" i="2"/>
  <c r="C163" i="2"/>
  <c r="C34" i="2"/>
  <c r="C402" i="2"/>
  <c r="C274" i="2"/>
  <c r="C146" i="2"/>
  <c r="C16" i="2"/>
  <c r="C385" i="2"/>
  <c r="C257" i="2"/>
  <c r="C129" i="2"/>
  <c r="C496" i="2"/>
  <c r="C368" i="2"/>
  <c r="C240" i="2"/>
  <c r="C111" i="2"/>
  <c r="C479" i="2"/>
  <c r="C351" i="2"/>
  <c r="C223" i="2"/>
  <c r="C94" i="2"/>
  <c r="C462" i="2"/>
  <c r="C334" i="2"/>
  <c r="C206" i="2"/>
  <c r="C77" i="2"/>
  <c r="D348" i="2"/>
  <c r="F201" i="2"/>
  <c r="D472" i="2"/>
  <c r="D256" i="2"/>
  <c r="F351" i="2"/>
  <c r="D20" i="2"/>
  <c r="D291" i="2"/>
  <c r="F368" i="2"/>
  <c r="D502" i="2"/>
  <c r="D189" i="2"/>
  <c r="D74" i="2"/>
  <c r="D243" i="2"/>
  <c r="D49" i="2"/>
  <c r="F296" i="2"/>
  <c r="F333" i="2"/>
  <c r="F212" i="2"/>
  <c r="D319" i="2"/>
  <c r="G452" i="2"/>
  <c r="G275" i="2"/>
  <c r="F109" i="2"/>
  <c r="G199" i="2"/>
  <c r="C125" i="2"/>
  <c r="F6" i="2"/>
  <c r="L6" i="1"/>
  <c r="F6" i="3" s="1"/>
  <c r="F505" i="2" l="1"/>
  <c r="F30" i="3"/>
  <c r="F313" i="3"/>
  <c r="F20" i="3"/>
  <c r="F480" i="2"/>
  <c r="C505" i="2"/>
  <c r="C7" i="2"/>
  <c r="C6" i="2"/>
  <c r="C21" i="2" l="1"/>
  <c r="H421" i="1"/>
  <c r="V421" i="1" s="1"/>
  <c r="H407" i="1"/>
  <c r="F407" i="1" s="1"/>
  <c r="B402" i="10" s="1"/>
  <c r="H309" i="1"/>
  <c r="V309" i="1" s="1"/>
  <c r="H422" i="1"/>
  <c r="F422" i="1" s="1"/>
  <c r="B417" i="10" s="1"/>
  <c r="H93" i="1"/>
  <c r="V93" i="1" s="1"/>
  <c r="H120" i="1"/>
  <c r="F120" i="1" s="1"/>
  <c r="B115" i="10" s="1"/>
  <c r="H394" i="1"/>
  <c r="H269" i="1"/>
  <c r="H48" i="1"/>
  <c r="H65" i="1"/>
  <c r="H194" i="1"/>
  <c r="H312" i="1"/>
  <c r="H157" i="1"/>
  <c r="H385" i="1"/>
  <c r="H191" i="1"/>
  <c r="H122" i="1"/>
  <c r="H383" i="1"/>
  <c r="H268" i="1"/>
  <c r="H311" i="1"/>
  <c r="H443" i="1"/>
  <c r="H329" i="1"/>
  <c r="H386" i="1"/>
  <c r="H282" i="1"/>
  <c r="H412" i="1"/>
  <c r="H454" i="1"/>
  <c r="H24" i="1"/>
  <c r="H291" i="1"/>
  <c r="H155" i="1"/>
  <c r="H289" i="1"/>
  <c r="H482" i="1"/>
  <c r="H272" i="1"/>
  <c r="H293" i="1"/>
  <c r="H162" i="1"/>
  <c r="H219" i="1"/>
  <c r="H234" i="1"/>
  <c r="H195" i="1"/>
  <c r="H285" i="1"/>
  <c r="H348" i="1"/>
  <c r="H183" i="1"/>
  <c r="H363" i="1"/>
  <c r="H51" i="1"/>
  <c r="H339" i="1"/>
  <c r="H22" i="1"/>
  <c r="H249" i="1"/>
  <c r="H26" i="1"/>
  <c r="H187" i="1"/>
  <c r="H44" i="1"/>
  <c r="H156" i="1"/>
  <c r="H151" i="1"/>
  <c r="H500" i="1"/>
  <c r="H213" i="1"/>
  <c r="H231" i="1"/>
  <c r="H147" i="1"/>
  <c r="H37" i="1"/>
  <c r="H316" i="1"/>
  <c r="H198" i="1"/>
  <c r="H218" i="1"/>
  <c r="H98" i="1"/>
  <c r="H498" i="1"/>
  <c r="H492" i="1"/>
  <c r="H472" i="1"/>
  <c r="H185" i="1"/>
  <c r="H308" i="1"/>
  <c r="H14" i="1"/>
  <c r="H424" i="1"/>
  <c r="H409" i="1"/>
  <c r="H459" i="1"/>
  <c r="H56" i="1"/>
  <c r="H305" i="1"/>
  <c r="H41" i="1"/>
  <c r="H179" i="1"/>
  <c r="H6" i="1"/>
  <c r="H43" i="1"/>
  <c r="H124" i="1"/>
  <c r="H83" i="1"/>
  <c r="H116" i="1"/>
  <c r="H473" i="1"/>
  <c r="H101" i="1"/>
  <c r="H113" i="1"/>
  <c r="H136" i="1"/>
  <c r="H491" i="1"/>
  <c r="H248" i="1"/>
  <c r="H20" i="1"/>
  <c r="H246" i="1"/>
  <c r="H465" i="1"/>
  <c r="H109" i="1"/>
  <c r="H432" i="1"/>
  <c r="H341" i="1"/>
  <c r="H429" i="1"/>
  <c r="H314" i="1"/>
  <c r="H12" i="1"/>
  <c r="H91" i="1"/>
  <c r="H163" i="1"/>
  <c r="H290" i="1"/>
  <c r="H365" i="1"/>
  <c r="H425" i="1"/>
  <c r="H81" i="1"/>
  <c r="H67" i="1"/>
  <c r="H46" i="1"/>
  <c r="H189" i="1"/>
  <c r="H430" i="1"/>
  <c r="H369" i="1"/>
  <c r="H458" i="1"/>
  <c r="H33" i="1"/>
  <c r="H125" i="1"/>
  <c r="H327" i="1"/>
  <c r="H387" i="1"/>
  <c r="H42" i="1"/>
  <c r="H324" i="1"/>
  <c r="H102" i="1"/>
  <c r="H77" i="1"/>
  <c r="H401" i="1"/>
  <c r="H107" i="1"/>
  <c r="H144" i="1"/>
  <c r="H322" i="1"/>
  <c r="H153" i="1"/>
  <c r="H384" i="1"/>
  <c r="H485" i="1"/>
  <c r="H149" i="1"/>
  <c r="H319" i="1"/>
  <c r="H486" i="1"/>
  <c r="H40" i="1"/>
  <c r="H488" i="1"/>
  <c r="H178" i="1"/>
  <c r="H247" i="1"/>
  <c r="H132" i="1"/>
  <c r="H478" i="1"/>
  <c r="H118" i="1"/>
  <c r="H76" i="1"/>
  <c r="H331" i="1"/>
  <c r="H161" i="1"/>
  <c r="H497" i="1"/>
  <c r="H75" i="1"/>
  <c r="H317" i="1"/>
  <c r="H207" i="1"/>
  <c r="H334" i="1"/>
  <c r="H62" i="1"/>
  <c r="H64" i="1"/>
  <c r="H484" i="1"/>
  <c r="H200" i="1"/>
  <c r="H264" i="1"/>
  <c r="H255" i="1"/>
  <c r="H287" i="1"/>
  <c r="H275" i="1"/>
  <c r="H487" i="1"/>
  <c r="H141" i="1"/>
  <c r="H220" i="1"/>
  <c r="H30" i="1"/>
  <c r="H99" i="1"/>
  <c r="H251" i="1"/>
  <c r="H283" i="1"/>
  <c r="H95" i="1"/>
  <c r="H104" i="1"/>
  <c r="H332" i="1"/>
  <c r="H276" i="1"/>
  <c r="H7" i="1"/>
  <c r="H117" i="1"/>
  <c r="H80" i="1"/>
  <c r="H361" i="1"/>
  <c r="H129" i="1"/>
  <c r="H212" i="1"/>
  <c r="H140" i="1"/>
  <c r="H73" i="1"/>
  <c r="H35" i="1"/>
  <c r="H58" i="1"/>
  <c r="H360" i="1"/>
  <c r="H477" i="1"/>
  <c r="H493" i="1"/>
  <c r="H423" i="1"/>
  <c r="H372" i="1"/>
  <c r="V372" i="1" s="1"/>
  <c r="H304" i="1"/>
  <c r="F304" i="1" s="1"/>
  <c r="B299" i="10" s="1"/>
  <c r="H228" i="1"/>
  <c r="V228" i="1" s="1"/>
  <c r="H227" i="1"/>
  <c r="F227" i="1" s="1"/>
  <c r="B222" i="10" s="1"/>
  <c r="H294" i="1"/>
  <c r="V294" i="1" s="1"/>
  <c r="H236" i="1"/>
  <c r="F236" i="1" s="1"/>
  <c r="B231" i="10" s="1"/>
  <c r="H451" i="1"/>
  <c r="V451" i="1" s="1"/>
  <c r="H94" i="1"/>
  <c r="F94" i="1" s="1"/>
  <c r="B89" i="10" s="1"/>
  <c r="H416" i="1"/>
  <c r="V416" i="1" s="1"/>
  <c r="H496" i="1"/>
  <c r="F496" i="1" s="1"/>
  <c r="B491" i="10" s="1"/>
  <c r="H315" i="1"/>
  <c r="V315" i="1" s="1"/>
  <c r="H353" i="1"/>
  <c r="F353" i="1" s="1"/>
  <c r="B348" i="10" s="1"/>
  <c r="H377" i="1"/>
  <c r="F377" i="1" s="1"/>
  <c r="B372" i="10" s="1"/>
  <c r="H474" i="1"/>
  <c r="F474" i="1" s="1"/>
  <c r="B469" i="10" s="1"/>
  <c r="H374" i="1"/>
  <c r="F374" i="1" s="1"/>
  <c r="B369" i="10" s="1"/>
  <c r="H160" i="1"/>
  <c r="F160" i="1" s="1"/>
  <c r="B155" i="10" s="1"/>
  <c r="H265" i="1"/>
  <c r="V265" i="1" s="1"/>
  <c r="H467" i="1"/>
  <c r="F467" i="1" s="1"/>
  <c r="B462" i="10" s="1"/>
  <c r="H358" i="1"/>
  <c r="V358" i="1" s="1"/>
  <c r="H427" i="1"/>
  <c r="F427" i="1" s="1"/>
  <c r="B422" i="10" s="1"/>
  <c r="H460" i="1"/>
  <c r="V460" i="1" s="1"/>
  <c r="H440" i="1"/>
  <c r="V440" i="1" s="1"/>
  <c r="H356" i="1"/>
  <c r="V356" i="1" s="1"/>
  <c r="H418" i="1"/>
  <c r="V418" i="1" s="1"/>
  <c r="H270" i="1"/>
  <c r="V270" i="1" s="1"/>
  <c r="H181" i="1"/>
  <c r="V181" i="1" s="1"/>
  <c r="H145" i="1"/>
  <c r="V145" i="1" s="1"/>
  <c r="H442" i="1"/>
  <c r="V442" i="1" s="1"/>
  <c r="H431" i="1"/>
  <c r="V431" i="1" s="1"/>
  <c r="H404" i="1"/>
  <c r="V404" i="1" s="1"/>
  <c r="H338" i="1"/>
  <c r="V338" i="1" s="1"/>
  <c r="H180" i="1"/>
  <c r="H335" i="1"/>
  <c r="V335" i="1" s="1"/>
  <c r="H108" i="1"/>
  <c r="H243" i="1"/>
  <c r="H261" i="1"/>
  <c r="H450" i="1"/>
  <c r="H229" i="1"/>
  <c r="H325" i="1"/>
  <c r="H381" i="1"/>
  <c r="H70" i="1"/>
  <c r="H18" i="1"/>
  <c r="H128" i="1"/>
  <c r="H501" i="1"/>
  <c r="H326" i="1"/>
  <c r="H38" i="1"/>
  <c r="F38" i="1" s="1"/>
  <c r="B33" i="10" s="1"/>
  <c r="H435" i="1"/>
  <c r="H252" i="1"/>
  <c r="F252" i="1" s="1"/>
  <c r="B247" i="10" s="1"/>
  <c r="H296" i="1"/>
  <c r="H351" i="1"/>
  <c r="F351" i="1" s="1"/>
  <c r="B346" i="10" s="1"/>
  <c r="H444" i="1"/>
  <c r="H463" i="1"/>
  <c r="H323" i="1"/>
  <c r="H333" i="1"/>
  <c r="H359" i="1"/>
  <c r="H55" i="1"/>
  <c r="H16" i="1"/>
  <c r="H400" i="1"/>
  <c r="H176" i="1"/>
  <c r="H258" i="1"/>
  <c r="F258" i="1" s="1"/>
  <c r="B253" i="10" s="1"/>
  <c r="H420" i="1"/>
  <c r="H121" i="1"/>
  <c r="F121" i="1" s="1"/>
  <c r="B116" i="10" s="1"/>
  <c r="H86" i="1"/>
  <c r="H436" i="1"/>
  <c r="H72" i="1"/>
  <c r="H154" i="1"/>
  <c r="H232" i="1"/>
  <c r="H426" i="1"/>
  <c r="F426" i="1" s="1"/>
  <c r="B421" i="10" s="1"/>
  <c r="H100" i="1"/>
  <c r="H267" i="1"/>
  <c r="F267" i="1" s="1"/>
  <c r="B262" i="10" s="1"/>
  <c r="H449" i="1"/>
  <c r="H224" i="1"/>
  <c r="F224" i="1" s="1"/>
  <c r="B219" i="10" s="1"/>
  <c r="H375" i="1"/>
  <c r="H173" i="1"/>
  <c r="F173" i="1" s="1"/>
  <c r="B168" i="10" s="1"/>
  <c r="H123" i="1"/>
  <c r="H36" i="1"/>
  <c r="F36" i="1" s="1"/>
  <c r="B31" i="10" s="1"/>
  <c r="H494" i="1"/>
  <c r="H159" i="1"/>
  <c r="H399" i="1"/>
  <c r="H13" i="1"/>
  <c r="F13" i="1" s="1"/>
  <c r="B8" i="10" s="1"/>
  <c r="H66" i="1"/>
  <c r="H238" i="1"/>
  <c r="F238" i="1" s="1"/>
  <c r="B233" i="10" s="1"/>
  <c r="H502" i="1"/>
  <c r="H82" i="1"/>
  <c r="F82" i="1" s="1"/>
  <c r="B77" i="10" s="1"/>
  <c r="H483" i="1"/>
  <c r="H299" i="1"/>
  <c r="F299" i="1" s="1"/>
  <c r="B294" i="10" s="1"/>
  <c r="H476" i="1"/>
  <c r="H210" i="1"/>
  <c r="F210" i="1" s="1"/>
  <c r="B205" i="10" s="1"/>
  <c r="H47" i="1"/>
  <c r="H380" i="1"/>
  <c r="F380" i="1" s="1"/>
  <c r="B375" i="10" s="1"/>
  <c r="H19" i="1"/>
  <c r="H190" i="1"/>
  <c r="F190" i="1" s="1"/>
  <c r="B185" i="10" s="1"/>
  <c r="H318" i="1"/>
  <c r="H204" i="1"/>
  <c r="F204" i="1" s="1"/>
  <c r="B199" i="10" s="1"/>
  <c r="H300" i="1"/>
  <c r="H197" i="1"/>
  <c r="F197" i="1" s="1"/>
  <c r="B192" i="10" s="1"/>
  <c r="H278" i="1"/>
  <c r="H32" i="1"/>
  <c r="F32" i="1" s="1"/>
  <c r="B27" i="10" s="1"/>
  <c r="H23" i="1"/>
  <c r="H452" i="1"/>
  <c r="H17" i="1"/>
  <c r="H313" i="1"/>
  <c r="F313" i="1" s="1"/>
  <c r="B308" i="10" s="1"/>
  <c r="H184" i="1"/>
  <c r="H215" i="1"/>
  <c r="F215" i="1" s="1"/>
  <c r="B210" i="10" s="1"/>
  <c r="H455" i="1"/>
  <c r="H433" i="1"/>
  <c r="V433" i="1" s="1"/>
  <c r="H448" i="1"/>
  <c r="H250" i="1"/>
  <c r="F250" i="1" s="1"/>
  <c r="B245" i="10" s="1"/>
  <c r="H150" i="1"/>
  <c r="H233" i="1"/>
  <c r="F233" i="1" s="1"/>
  <c r="B228" i="10" s="1"/>
  <c r="H262" i="1"/>
  <c r="H146" i="1"/>
  <c r="F146" i="1" s="1"/>
  <c r="B141" i="10" s="1"/>
  <c r="H230" i="1"/>
  <c r="H355" i="1"/>
  <c r="F355" i="1" s="1"/>
  <c r="B350" i="10" s="1"/>
  <c r="H69" i="1"/>
  <c r="H188" i="1"/>
  <c r="F188" i="1" s="1"/>
  <c r="B183" i="10" s="1"/>
  <c r="H88" i="1"/>
  <c r="H411" i="1"/>
  <c r="F411" i="1" s="1"/>
  <c r="B406" i="10" s="1"/>
  <c r="H410" i="1"/>
  <c r="H408" i="1"/>
  <c r="F408" i="1" s="1"/>
  <c r="B403" i="10" s="1"/>
  <c r="H78" i="1"/>
  <c r="H337" i="1"/>
  <c r="F337" i="1" s="1"/>
  <c r="B332" i="10" s="1"/>
  <c r="H368" i="1"/>
  <c r="H60" i="1"/>
  <c r="F60" i="1" s="1"/>
  <c r="B55" i="10" s="1"/>
  <c r="H259" i="1"/>
  <c r="H239" i="1"/>
  <c r="F239" i="1" s="1"/>
  <c r="B234" i="10" s="1"/>
  <c r="H74" i="1"/>
  <c r="H11" i="1"/>
  <c r="F11" i="1" s="1"/>
  <c r="B6" i="10" s="1"/>
  <c r="H112" i="1"/>
  <c r="H61" i="1"/>
  <c r="F61" i="1" s="1"/>
  <c r="B56" i="10" s="1"/>
  <c r="H391" i="1"/>
  <c r="H84" i="1"/>
  <c r="F84" i="1" s="1"/>
  <c r="B79" i="10" s="1"/>
  <c r="H57" i="1"/>
  <c r="H346" i="1"/>
  <c r="F346" i="1" s="1"/>
  <c r="B341" i="10" s="1"/>
  <c r="H217" i="1"/>
  <c r="H242" i="1"/>
  <c r="F242" i="1" s="1"/>
  <c r="B237" i="10" s="1"/>
  <c r="H397" i="1"/>
  <c r="H260" i="1"/>
  <c r="F260" i="1" s="1"/>
  <c r="B255" i="10" s="1"/>
  <c r="H292" i="1"/>
  <c r="H106" i="1"/>
  <c r="F106" i="1" s="1"/>
  <c r="B101" i="10" s="1"/>
  <c r="H192" i="1"/>
  <c r="H499" i="1"/>
  <c r="F499" i="1" s="1"/>
  <c r="B494" i="10" s="1"/>
  <c r="H347" i="1"/>
  <c r="H216" i="1"/>
  <c r="F216" i="1" s="1"/>
  <c r="B211" i="10" s="1"/>
  <c r="H445" i="1"/>
  <c r="H45" i="1"/>
  <c r="F45" i="1" s="1"/>
  <c r="B40" i="10" s="1"/>
  <c r="H182" i="1"/>
  <c r="V182" i="1" s="1"/>
  <c r="H139" i="1"/>
  <c r="F139" i="1" s="1"/>
  <c r="B134" i="10" s="1"/>
  <c r="H203" i="1"/>
  <c r="H9" i="1"/>
  <c r="F9" i="1" s="1"/>
  <c r="B4" i="10" s="1"/>
  <c r="H221" i="1"/>
  <c r="H462" i="1"/>
  <c r="F462" i="1" s="1"/>
  <c r="B457" i="10" s="1"/>
  <c r="H119" i="1"/>
  <c r="F119" i="1" s="1"/>
  <c r="B114" i="10" s="1"/>
  <c r="H39" i="1"/>
  <c r="F39" i="1" s="1"/>
  <c r="B34" i="10" s="1"/>
  <c r="H167" i="1"/>
  <c r="F167" i="1" s="1"/>
  <c r="B162" i="10" s="1"/>
  <c r="H396" i="1"/>
  <c r="F396" i="1" s="1"/>
  <c r="B391" i="10" s="1"/>
  <c r="H321" i="1"/>
  <c r="V321" i="1" s="1"/>
  <c r="H405" i="1"/>
  <c r="F405" i="1" s="1"/>
  <c r="B400" i="10" s="1"/>
  <c r="H376" i="1"/>
  <c r="F376" i="1" s="1"/>
  <c r="B371" i="10" s="1"/>
  <c r="H175" i="1"/>
  <c r="V175" i="1" s="1"/>
  <c r="H52" i="1"/>
  <c r="F52" i="1" s="1"/>
  <c r="B47" i="10" s="1"/>
  <c r="H34" i="1"/>
  <c r="V34" i="1" s="1"/>
  <c r="H378" i="1"/>
  <c r="F378" i="1" s="1"/>
  <c r="B373" i="10" s="1"/>
  <c r="H266" i="1"/>
  <c r="V266" i="1" s="1"/>
  <c r="H373" i="1"/>
  <c r="F373" i="1" s="1"/>
  <c r="B368" i="10" s="1"/>
  <c r="H434" i="1"/>
  <c r="V434" i="1" s="1"/>
  <c r="H31" i="1"/>
  <c r="F31" i="1" s="1"/>
  <c r="B26" i="10" s="1"/>
  <c r="H469" i="1"/>
  <c r="V469" i="1" s="1"/>
  <c r="H127" i="1"/>
  <c r="F127" i="1" s="1"/>
  <c r="B122" i="10" s="1"/>
  <c r="H295" i="1"/>
  <c r="V295" i="1" s="1"/>
  <c r="H226" i="1"/>
  <c r="F226" i="1" s="1"/>
  <c r="B221" i="10" s="1"/>
  <c r="H245" i="1"/>
  <c r="V245" i="1" s="1"/>
  <c r="H135" i="1"/>
  <c r="F135" i="1" s="1"/>
  <c r="B130" i="10" s="1"/>
  <c r="H196" i="1"/>
  <c r="V196" i="1" s="1"/>
  <c r="H171" i="1"/>
  <c r="F171" i="1" s="1"/>
  <c r="B166" i="10" s="1"/>
  <c r="H115" i="1"/>
  <c r="V115" i="1" s="1"/>
  <c r="H143" i="1"/>
  <c r="V143" i="1" s="1"/>
  <c r="H256" i="1"/>
  <c r="V256" i="1" s="1"/>
  <c r="H254" i="1"/>
  <c r="F254" i="1" s="1"/>
  <c r="B249" i="10" s="1"/>
  <c r="H165" i="1"/>
  <c r="H89" i="1"/>
  <c r="V89" i="1" s="1"/>
  <c r="H490" i="1"/>
  <c r="H475" i="1"/>
  <c r="F475" i="1" s="1"/>
  <c r="B470" i="10" s="1"/>
  <c r="H168" i="1"/>
  <c r="H366" i="1"/>
  <c r="V366" i="1" s="1"/>
  <c r="H481" i="1"/>
  <c r="H357" i="1"/>
  <c r="F357" i="1" s="1"/>
  <c r="B352" i="10" s="1"/>
  <c r="H111" i="1"/>
  <c r="H103" i="1"/>
  <c r="F103" i="1" s="1"/>
  <c r="B98" i="10" s="1"/>
  <c r="H345" i="1"/>
  <c r="H403" i="1"/>
  <c r="F403" i="1" s="1"/>
  <c r="B398" i="10" s="1"/>
  <c r="H271" i="1"/>
  <c r="H148" i="1"/>
  <c r="H205" i="1"/>
  <c r="H280" i="1"/>
  <c r="H68" i="1"/>
  <c r="H362" i="1"/>
  <c r="H457" i="1"/>
  <c r="H303" i="1"/>
  <c r="H263" i="1"/>
  <c r="H504" i="1"/>
  <c r="H241" i="1"/>
  <c r="H244" i="1"/>
  <c r="H134" i="1"/>
  <c r="H495" i="1"/>
  <c r="H439" i="1"/>
  <c r="H344" i="1"/>
  <c r="H126" i="1"/>
  <c r="H470" i="1"/>
  <c r="H466" i="1"/>
  <c r="H297" i="1"/>
  <c r="H306" i="1"/>
  <c r="H202" i="1"/>
  <c r="H392" i="1"/>
  <c r="H169" i="1"/>
  <c r="H298" i="1"/>
  <c r="H371" i="1"/>
  <c r="H133" i="1"/>
  <c r="H301" i="1"/>
  <c r="H417" i="1"/>
  <c r="H279" i="1"/>
  <c r="H302" i="1"/>
  <c r="H328" i="1"/>
  <c r="H340" i="1"/>
  <c r="H87" i="1"/>
  <c r="H222" i="1"/>
  <c r="H131" i="1"/>
  <c r="H193" i="1"/>
  <c r="H96" i="1"/>
  <c r="H352" i="1"/>
  <c r="H201" i="1"/>
  <c r="H105" i="1"/>
  <c r="H441" i="1"/>
  <c r="H206" i="1"/>
  <c r="H186" i="1"/>
  <c r="H85" i="1"/>
  <c r="H53" i="1"/>
  <c r="H379" i="1"/>
  <c r="H209" i="1"/>
  <c r="H253" i="1"/>
  <c r="H114" i="1"/>
  <c r="H10" i="1"/>
  <c r="H350" i="1"/>
  <c r="H320" i="1"/>
  <c r="H274" i="1"/>
  <c r="H257" i="1"/>
  <c r="H59" i="1"/>
  <c r="H21" i="1"/>
  <c r="H110" i="1"/>
  <c r="H214" i="1"/>
  <c r="H446" i="1"/>
  <c r="H428" i="1"/>
  <c r="H29" i="1"/>
  <c r="H92" i="1"/>
  <c r="H413" i="1"/>
  <c r="H240" i="1"/>
  <c r="H211" i="1"/>
  <c r="H71" i="1"/>
  <c r="H288" i="1"/>
  <c r="H237" i="1"/>
  <c r="H393" i="1"/>
  <c r="V393" i="1" s="1"/>
  <c r="H461" i="1"/>
  <c r="H166" i="1"/>
  <c r="V166" i="1" s="1"/>
  <c r="H137" i="1"/>
  <c r="H489" i="1"/>
  <c r="H447" i="1"/>
  <c r="H174" i="1"/>
  <c r="H364" i="1"/>
  <c r="H28" i="1"/>
  <c r="H437" i="1"/>
  <c r="H273" i="1"/>
  <c r="H354" i="1"/>
  <c r="H142" i="1"/>
  <c r="H208" i="1"/>
  <c r="H235" i="1"/>
  <c r="H286" i="1"/>
  <c r="H395" i="1"/>
  <c r="V395" i="1" s="1"/>
  <c r="H223" i="1"/>
  <c r="H390" i="1"/>
  <c r="V390" i="1" s="1"/>
  <c r="H464" i="1"/>
  <c r="H453" i="1"/>
  <c r="V453" i="1" s="1"/>
  <c r="H370" i="1"/>
  <c r="H63" i="1"/>
  <c r="V63" i="1" s="1"/>
  <c r="H25" i="1"/>
  <c r="H438" i="1"/>
  <c r="V438" i="1" s="1"/>
  <c r="H479" i="1"/>
  <c r="H170" i="1"/>
  <c r="H398" i="1"/>
  <c r="H310" i="1"/>
  <c r="V310" i="1" s="1"/>
  <c r="H199" i="1"/>
  <c r="H50" i="1"/>
  <c r="F50" i="1" s="1"/>
  <c r="B45" i="10" s="1"/>
  <c r="H367" i="1"/>
  <c r="V367" i="1" s="1"/>
  <c r="H27" i="1"/>
  <c r="F27" i="1" s="1"/>
  <c r="B22" i="10" s="1"/>
  <c r="H284" i="1"/>
  <c r="V284" i="1" s="1"/>
  <c r="H8" i="1"/>
  <c r="F8" i="1" s="1"/>
  <c r="B3" i="10" s="1"/>
  <c r="H90" i="1"/>
  <c r="V90" i="1" s="1"/>
  <c r="H414" i="1"/>
  <c r="F414" i="1" s="1"/>
  <c r="B409" i="10" s="1"/>
  <c r="H307" i="1"/>
  <c r="F307" i="1" s="1"/>
  <c r="B302" i="10" s="1"/>
  <c r="H419" i="1"/>
  <c r="V419" i="1" s="1"/>
  <c r="H406" i="1"/>
  <c r="V406" i="1" s="1"/>
  <c r="H336" i="1"/>
  <c r="F336" i="1" s="1"/>
  <c r="B331" i="10" s="1"/>
  <c r="H388" i="1"/>
  <c r="V388" i="1" s="1"/>
  <c r="H415" i="1"/>
  <c r="F415" i="1" s="1"/>
  <c r="B410" i="10" s="1"/>
  <c r="H164" i="1"/>
  <c r="V164" i="1" s="1"/>
  <c r="H130" i="1"/>
  <c r="F130" i="1" s="1"/>
  <c r="B125" i="10" s="1"/>
  <c r="H152" i="1"/>
  <c r="V152" i="1" s="1"/>
  <c r="H389" i="1"/>
  <c r="F389" i="1" s="1"/>
  <c r="B384" i="10" s="1"/>
  <c r="H342" i="1"/>
  <c r="V342" i="1" s="1"/>
  <c r="H471" i="1"/>
  <c r="F471" i="1" s="1"/>
  <c r="B466" i="10" s="1"/>
  <c r="H503" i="1"/>
  <c r="V503" i="1" s="1"/>
  <c r="H172" i="1"/>
  <c r="F172" i="1" s="1"/>
  <c r="B167" i="10" s="1"/>
  <c r="H349" i="1"/>
  <c r="V349" i="1" s="1"/>
  <c r="H138" i="1"/>
  <c r="F138" i="1" s="1"/>
  <c r="B133" i="10" s="1"/>
  <c r="H468" i="1"/>
  <c r="V468" i="1" s="1"/>
  <c r="H177" i="1"/>
  <c r="F177" i="1" s="1"/>
  <c r="B172" i="10" s="1"/>
  <c r="H225" i="1"/>
  <c r="F225" i="1" s="1"/>
  <c r="B220" i="10" s="1"/>
  <c r="H79" i="1"/>
  <c r="V79" i="1" s="1"/>
  <c r="H277" i="1"/>
  <c r="F277" i="1" s="1"/>
  <c r="B272" i="10" s="1"/>
  <c r="H281" i="1"/>
  <c r="F281" i="1" s="1"/>
  <c r="B276" i="10" s="1"/>
  <c r="H97" i="1"/>
  <c r="V97" i="1" s="1"/>
  <c r="H54" i="1"/>
  <c r="F54" i="1" s="1"/>
  <c r="B49" i="10" s="1"/>
  <c r="H382" i="1"/>
  <c r="V382" i="1" s="1"/>
  <c r="H456" i="1"/>
  <c r="F456" i="1" s="1"/>
  <c r="B451" i="10" s="1"/>
  <c r="H480" i="1"/>
  <c r="V480" i="1" s="1"/>
  <c r="H158" i="1"/>
  <c r="F158" i="1" s="1"/>
  <c r="B153" i="10" s="1"/>
  <c r="H402" i="1"/>
  <c r="V402" i="1" s="1"/>
  <c r="H15" i="1"/>
  <c r="F15" i="1" s="1"/>
  <c r="B10" i="10" s="1"/>
  <c r="H343" i="1"/>
  <c r="V343" i="1" s="1"/>
  <c r="H330" i="1"/>
  <c r="F330" i="1" s="1"/>
  <c r="B325" i="10" s="1"/>
  <c r="H49" i="1"/>
  <c r="V49" i="1" s="1"/>
  <c r="S5" i="5"/>
  <c r="D6" i="5"/>
  <c r="Q5" i="5"/>
  <c r="P5" i="5"/>
  <c r="T5" i="5"/>
  <c r="U5" i="5"/>
  <c r="R5" i="5"/>
  <c r="E6" i="5"/>
  <c r="I6" i="5" s="1"/>
  <c r="C6" i="5"/>
  <c r="O5" i="5"/>
  <c r="Q9" i="13" l="1"/>
  <c r="Q10" i="13"/>
  <c r="V236" i="1"/>
  <c r="V50" i="1"/>
  <c r="V462" i="1"/>
  <c r="V426" i="1"/>
  <c r="F453" i="1"/>
  <c r="B448" i="10" s="1"/>
  <c r="V408" i="1"/>
  <c r="V224" i="1"/>
  <c r="V496" i="1"/>
  <c r="V8" i="1"/>
  <c r="V45" i="1"/>
  <c r="V242" i="1"/>
  <c r="V27" i="1"/>
  <c r="F393" i="1"/>
  <c r="B388" i="10" s="1"/>
  <c r="V337" i="1"/>
  <c r="F166" i="1"/>
  <c r="B161" i="10" s="1"/>
  <c r="V474" i="1"/>
  <c r="V94" i="1"/>
  <c r="F395" i="1"/>
  <c r="B390" i="10" s="1"/>
  <c r="V167" i="1"/>
  <c r="V260" i="1"/>
  <c r="V210" i="1"/>
  <c r="V238" i="1"/>
  <c r="V252" i="1"/>
  <c r="V304" i="1"/>
  <c r="F390" i="1"/>
  <c r="B385" i="10" s="1"/>
  <c r="V351" i="1"/>
  <c r="V227" i="1"/>
  <c r="V197" i="1"/>
  <c r="V427" i="1"/>
  <c r="V267" i="1"/>
  <c r="V414" i="1"/>
  <c r="V355" i="1"/>
  <c r="V204" i="1"/>
  <c r="V467" i="1"/>
  <c r="V353" i="1"/>
  <c r="F321" i="1"/>
  <c r="B316" i="10" s="1"/>
  <c r="V61" i="1"/>
  <c r="V32" i="1"/>
  <c r="V299" i="1"/>
  <c r="V13" i="1"/>
  <c r="V38" i="1"/>
  <c r="F25" i="1"/>
  <c r="B20" i="10" s="1"/>
  <c r="V25" i="1"/>
  <c r="F142" i="1"/>
  <c r="B137" i="10" s="1"/>
  <c r="V142" i="1"/>
  <c r="V364" i="1"/>
  <c r="F364" i="1"/>
  <c r="B359" i="10" s="1"/>
  <c r="F211" i="1"/>
  <c r="B206" i="10" s="1"/>
  <c r="V211" i="1"/>
  <c r="V428" i="1"/>
  <c r="F428" i="1"/>
  <c r="B423" i="10" s="1"/>
  <c r="F114" i="1"/>
  <c r="B109" i="10" s="1"/>
  <c r="V114" i="1"/>
  <c r="F186" i="1"/>
  <c r="B181" i="10" s="1"/>
  <c r="V186" i="1"/>
  <c r="F131" i="1"/>
  <c r="B126" i="10" s="1"/>
  <c r="V131" i="1"/>
  <c r="F301" i="1"/>
  <c r="B296" i="10" s="1"/>
  <c r="V301" i="1"/>
  <c r="F297" i="1"/>
  <c r="B292" i="10" s="1"/>
  <c r="V297" i="1"/>
  <c r="F244" i="1"/>
  <c r="B239" i="10" s="1"/>
  <c r="V244" i="1"/>
  <c r="F280" i="1"/>
  <c r="B275" i="10" s="1"/>
  <c r="V280" i="1"/>
  <c r="F49" i="1"/>
  <c r="B44" i="10" s="1"/>
  <c r="F343" i="1"/>
  <c r="B338" i="10" s="1"/>
  <c r="F402" i="1"/>
  <c r="B397" i="10" s="1"/>
  <c r="F480" i="1"/>
  <c r="B475" i="10" s="1"/>
  <c r="F382" i="1"/>
  <c r="B377" i="10" s="1"/>
  <c r="F97" i="1"/>
  <c r="B92" i="10" s="1"/>
  <c r="F468" i="1"/>
  <c r="B463" i="10" s="1"/>
  <c r="F349" i="1"/>
  <c r="B344" i="10" s="1"/>
  <c r="F503" i="1"/>
  <c r="B498" i="10" s="1"/>
  <c r="F342" i="1"/>
  <c r="B337" i="10" s="1"/>
  <c r="F152" i="1"/>
  <c r="B147" i="10" s="1"/>
  <c r="F164" i="1"/>
  <c r="B159" i="10" s="1"/>
  <c r="F388" i="1"/>
  <c r="B383" i="10" s="1"/>
  <c r="F406" i="1"/>
  <c r="B401" i="10" s="1"/>
  <c r="F90" i="1"/>
  <c r="B85" i="10" s="1"/>
  <c r="F284" i="1"/>
  <c r="B279" i="10" s="1"/>
  <c r="F367" i="1"/>
  <c r="B362" i="10" s="1"/>
  <c r="F310" i="1"/>
  <c r="B305" i="10" s="1"/>
  <c r="F223" i="1"/>
  <c r="B218" i="10" s="1"/>
  <c r="V223" i="1"/>
  <c r="F174" i="1"/>
  <c r="B169" i="10" s="1"/>
  <c r="V174" i="1"/>
  <c r="F461" i="1"/>
  <c r="B456" i="10" s="1"/>
  <c r="V461" i="1"/>
  <c r="F446" i="1"/>
  <c r="B441" i="10" s="1"/>
  <c r="V446" i="1"/>
  <c r="V257" i="1"/>
  <c r="F257" i="1"/>
  <c r="B252" i="10" s="1"/>
  <c r="V206" i="1"/>
  <c r="F206" i="1"/>
  <c r="B201" i="10" s="1"/>
  <c r="V222" i="1"/>
  <c r="F222" i="1"/>
  <c r="B217" i="10" s="1"/>
  <c r="V133" i="1"/>
  <c r="F133" i="1"/>
  <c r="B128" i="10" s="1"/>
  <c r="V466" i="1"/>
  <c r="F466" i="1"/>
  <c r="B461" i="10" s="1"/>
  <c r="V241" i="1"/>
  <c r="F241" i="1"/>
  <c r="B236" i="10" s="1"/>
  <c r="V205" i="1"/>
  <c r="F205" i="1"/>
  <c r="B200" i="10" s="1"/>
  <c r="V481" i="1"/>
  <c r="F481" i="1"/>
  <c r="B476" i="10" s="1"/>
  <c r="V277" i="1"/>
  <c r="V225" i="1"/>
  <c r="V307" i="1"/>
  <c r="F398" i="1"/>
  <c r="B393" i="10" s="1"/>
  <c r="V398" i="1"/>
  <c r="F63" i="1"/>
  <c r="B58" i="10" s="1"/>
  <c r="V354" i="1"/>
  <c r="F354" i="1"/>
  <c r="B349" i="10" s="1"/>
  <c r="V240" i="1"/>
  <c r="F240" i="1"/>
  <c r="B235" i="10" s="1"/>
  <c r="F274" i="1"/>
  <c r="B269" i="10" s="1"/>
  <c r="V274" i="1"/>
  <c r="V253" i="1"/>
  <c r="F253" i="1"/>
  <c r="B248" i="10" s="1"/>
  <c r="V441" i="1"/>
  <c r="F441" i="1"/>
  <c r="B436" i="10" s="1"/>
  <c r="F87" i="1"/>
  <c r="B82" i="10" s="1"/>
  <c r="V87" i="1"/>
  <c r="F371" i="1"/>
  <c r="B366" i="10" s="1"/>
  <c r="V371" i="1"/>
  <c r="F470" i="1"/>
  <c r="B465" i="10" s="1"/>
  <c r="V470" i="1"/>
  <c r="F504" i="1"/>
  <c r="B499" i="10" s="1"/>
  <c r="V504" i="1"/>
  <c r="F148" i="1"/>
  <c r="B143" i="10" s="1"/>
  <c r="V148" i="1"/>
  <c r="V330" i="1"/>
  <c r="V15" i="1"/>
  <c r="V158" i="1"/>
  <c r="V456" i="1"/>
  <c r="V54" i="1"/>
  <c r="V281" i="1"/>
  <c r="F79" i="1"/>
  <c r="B74" i="10" s="1"/>
  <c r="V177" i="1"/>
  <c r="V138" i="1"/>
  <c r="V172" i="1"/>
  <c r="V471" i="1"/>
  <c r="V389" i="1"/>
  <c r="V130" i="1"/>
  <c r="V415" i="1"/>
  <c r="V336" i="1"/>
  <c r="F419" i="1"/>
  <c r="B414" i="10" s="1"/>
  <c r="F170" i="1"/>
  <c r="B165" i="10" s="1"/>
  <c r="V170" i="1"/>
  <c r="F370" i="1"/>
  <c r="B365" i="10" s="1"/>
  <c r="V370" i="1"/>
  <c r="F273" i="1"/>
  <c r="B268" i="10" s="1"/>
  <c r="V273" i="1"/>
  <c r="V447" i="1"/>
  <c r="F447" i="1"/>
  <c r="B442" i="10" s="1"/>
  <c r="F413" i="1"/>
  <c r="B408" i="10" s="1"/>
  <c r="V413" i="1"/>
  <c r="V214" i="1"/>
  <c r="F214" i="1"/>
  <c r="B209" i="10" s="1"/>
  <c r="F209" i="1"/>
  <c r="B204" i="10" s="1"/>
  <c r="V209" i="1"/>
  <c r="F105" i="1"/>
  <c r="B100" i="10" s="1"/>
  <c r="V105" i="1"/>
  <c r="V340" i="1"/>
  <c r="F340" i="1"/>
  <c r="B335" i="10" s="1"/>
  <c r="V298" i="1"/>
  <c r="F298" i="1"/>
  <c r="B293" i="10" s="1"/>
  <c r="V126" i="1"/>
  <c r="F126" i="1"/>
  <c r="B121" i="10" s="1"/>
  <c r="V263" i="1"/>
  <c r="F263" i="1"/>
  <c r="B258" i="10" s="1"/>
  <c r="V271" i="1"/>
  <c r="F271" i="1"/>
  <c r="B266" i="10" s="1"/>
  <c r="V168" i="1"/>
  <c r="F168" i="1"/>
  <c r="B163" i="10" s="1"/>
  <c r="F286" i="1"/>
  <c r="B281" i="10" s="1"/>
  <c r="V286" i="1"/>
  <c r="F489" i="1"/>
  <c r="B484" i="10" s="1"/>
  <c r="V489" i="1"/>
  <c r="V237" i="1"/>
  <c r="F237" i="1"/>
  <c r="B232" i="10" s="1"/>
  <c r="F110" i="1"/>
  <c r="B105" i="10" s="1"/>
  <c r="V110" i="1"/>
  <c r="V320" i="1"/>
  <c r="F320" i="1"/>
  <c r="B315" i="10" s="1"/>
  <c r="F201" i="1"/>
  <c r="B196" i="10" s="1"/>
  <c r="V201" i="1"/>
  <c r="F328" i="1"/>
  <c r="B323" i="10" s="1"/>
  <c r="V328" i="1"/>
  <c r="F169" i="1"/>
  <c r="B164" i="10" s="1"/>
  <c r="V169" i="1"/>
  <c r="F344" i="1"/>
  <c r="B339" i="10" s="1"/>
  <c r="V344" i="1"/>
  <c r="F303" i="1"/>
  <c r="B298" i="10" s="1"/>
  <c r="V303" i="1"/>
  <c r="F479" i="1"/>
  <c r="B474" i="10" s="1"/>
  <c r="V479" i="1"/>
  <c r="F235" i="1"/>
  <c r="B230" i="10" s="1"/>
  <c r="V235" i="1"/>
  <c r="V437" i="1"/>
  <c r="F437" i="1"/>
  <c r="B432" i="10" s="1"/>
  <c r="F288" i="1"/>
  <c r="B283" i="10" s="1"/>
  <c r="V288" i="1"/>
  <c r="V92" i="1"/>
  <c r="F92" i="1"/>
  <c r="B87" i="10" s="1"/>
  <c r="F350" i="1"/>
  <c r="B345" i="10" s="1"/>
  <c r="V350" i="1"/>
  <c r="V379" i="1"/>
  <c r="F379" i="1"/>
  <c r="B374" i="10" s="1"/>
  <c r="V352" i="1"/>
  <c r="F352" i="1"/>
  <c r="B347" i="10" s="1"/>
  <c r="V302" i="1"/>
  <c r="F302" i="1"/>
  <c r="B297" i="10" s="1"/>
  <c r="V392" i="1"/>
  <c r="F392" i="1"/>
  <c r="B387" i="10" s="1"/>
  <c r="F439" i="1"/>
  <c r="B434" i="10" s="1"/>
  <c r="V439" i="1"/>
  <c r="V457" i="1"/>
  <c r="F457" i="1"/>
  <c r="B452" i="10" s="1"/>
  <c r="V345" i="1"/>
  <c r="F345" i="1"/>
  <c r="B340" i="10" s="1"/>
  <c r="V490" i="1"/>
  <c r="F490" i="1"/>
  <c r="B485" i="10" s="1"/>
  <c r="F464" i="1"/>
  <c r="B459" i="10" s="1"/>
  <c r="V464" i="1"/>
  <c r="F28" i="1"/>
  <c r="B23" i="10" s="1"/>
  <c r="V28" i="1"/>
  <c r="V137" i="1"/>
  <c r="F137" i="1"/>
  <c r="B132" i="10" s="1"/>
  <c r="F29" i="1"/>
  <c r="B24" i="10" s="1"/>
  <c r="V29" i="1"/>
  <c r="V21" i="1"/>
  <c r="F21" i="1"/>
  <c r="B16" i="10" s="1"/>
  <c r="F53" i="1"/>
  <c r="B48" i="10" s="1"/>
  <c r="V53" i="1"/>
  <c r="F96" i="1"/>
  <c r="B91" i="10" s="1"/>
  <c r="V96" i="1"/>
  <c r="F279" i="1"/>
  <c r="B274" i="10" s="1"/>
  <c r="V279" i="1"/>
  <c r="F202" i="1"/>
  <c r="B197" i="10" s="1"/>
  <c r="V202" i="1"/>
  <c r="F495" i="1"/>
  <c r="B490" i="10" s="1"/>
  <c r="V495" i="1"/>
  <c r="F362" i="1"/>
  <c r="B357" i="10" s="1"/>
  <c r="V362" i="1"/>
  <c r="F199" i="1"/>
  <c r="B194" i="10" s="1"/>
  <c r="V199" i="1"/>
  <c r="F438" i="1"/>
  <c r="B433" i="10" s="1"/>
  <c r="V208" i="1"/>
  <c r="F208" i="1"/>
  <c r="B203" i="10" s="1"/>
  <c r="V71" i="1"/>
  <c r="F71" i="1"/>
  <c r="B66" i="10" s="1"/>
  <c r="F59" i="1"/>
  <c r="B54" i="10" s="1"/>
  <c r="V59" i="1"/>
  <c r="V10" i="1"/>
  <c r="F10" i="1"/>
  <c r="B5" i="10" s="1"/>
  <c r="V85" i="1"/>
  <c r="F85" i="1"/>
  <c r="B80" i="10" s="1"/>
  <c r="V193" i="1"/>
  <c r="F193" i="1"/>
  <c r="B188" i="10" s="1"/>
  <c r="V417" i="1"/>
  <c r="F417" i="1"/>
  <c r="B412" i="10" s="1"/>
  <c r="V306" i="1"/>
  <c r="F306" i="1"/>
  <c r="B301" i="10" s="1"/>
  <c r="V134" i="1"/>
  <c r="F134" i="1"/>
  <c r="B129" i="10" s="1"/>
  <c r="V68" i="1"/>
  <c r="F68" i="1"/>
  <c r="B63" i="10" s="1"/>
  <c r="V111" i="1"/>
  <c r="F111" i="1"/>
  <c r="B106" i="10" s="1"/>
  <c r="F165" i="1"/>
  <c r="B160" i="10" s="1"/>
  <c r="V165" i="1"/>
  <c r="V292" i="1"/>
  <c r="F292" i="1"/>
  <c r="B287" i="10" s="1"/>
  <c r="V368" i="1"/>
  <c r="F368" i="1"/>
  <c r="B363" i="10" s="1"/>
  <c r="F448" i="1"/>
  <c r="B443" i="10" s="1"/>
  <c r="V448" i="1"/>
  <c r="V184" i="1"/>
  <c r="F184" i="1"/>
  <c r="B179" i="10" s="1"/>
  <c r="V318" i="1"/>
  <c r="F318" i="1"/>
  <c r="B313" i="10" s="1"/>
  <c r="F494" i="1"/>
  <c r="B489" i="10" s="1"/>
  <c r="V494" i="1"/>
  <c r="F154" i="1"/>
  <c r="B149" i="10" s="1"/>
  <c r="V154" i="1"/>
  <c r="F420" i="1"/>
  <c r="B415" i="10" s="1"/>
  <c r="V420" i="1"/>
  <c r="F326" i="1"/>
  <c r="B321" i="10" s="1"/>
  <c r="V326" i="1"/>
  <c r="V450" i="1"/>
  <c r="F450" i="1"/>
  <c r="B445" i="10" s="1"/>
  <c r="F366" i="1"/>
  <c r="B361" i="10" s="1"/>
  <c r="F89" i="1"/>
  <c r="B84" i="10" s="1"/>
  <c r="F143" i="1"/>
  <c r="B138" i="10" s="1"/>
  <c r="V445" i="1"/>
  <c r="F445" i="1"/>
  <c r="B440" i="10" s="1"/>
  <c r="V112" i="1"/>
  <c r="F112" i="1"/>
  <c r="B107" i="10" s="1"/>
  <c r="V230" i="1"/>
  <c r="F230" i="1"/>
  <c r="B225" i="10" s="1"/>
  <c r="V476" i="1"/>
  <c r="F476" i="1"/>
  <c r="B471" i="10" s="1"/>
  <c r="F449" i="1"/>
  <c r="B444" i="10" s="1"/>
  <c r="V449" i="1"/>
  <c r="F359" i="1"/>
  <c r="B354" i="10" s="1"/>
  <c r="V359" i="1"/>
  <c r="V501" i="1"/>
  <c r="F501" i="1"/>
  <c r="B496" i="10" s="1"/>
  <c r="V261" i="1"/>
  <c r="F261" i="1"/>
  <c r="B256" i="10" s="1"/>
  <c r="V403" i="1"/>
  <c r="V103" i="1"/>
  <c r="V357" i="1"/>
  <c r="V475" i="1"/>
  <c r="V254" i="1"/>
  <c r="V171" i="1"/>
  <c r="V135" i="1"/>
  <c r="V226" i="1"/>
  <c r="V127" i="1"/>
  <c r="V31" i="1"/>
  <c r="V373" i="1"/>
  <c r="V378" i="1"/>
  <c r="V52" i="1"/>
  <c r="V376" i="1"/>
  <c r="V221" i="1"/>
  <c r="F221" i="1"/>
  <c r="B216" i="10" s="1"/>
  <c r="V499" i="1"/>
  <c r="V217" i="1"/>
  <c r="F217" i="1"/>
  <c r="B212" i="10" s="1"/>
  <c r="V239" i="1"/>
  <c r="V410" i="1"/>
  <c r="F410" i="1"/>
  <c r="B405" i="10" s="1"/>
  <c r="V233" i="1"/>
  <c r="F433" i="1"/>
  <c r="B428" i="10" s="1"/>
  <c r="V278" i="1"/>
  <c r="F278" i="1"/>
  <c r="B273" i="10" s="1"/>
  <c r="V190" i="1"/>
  <c r="V66" i="1"/>
  <c r="F66" i="1"/>
  <c r="B61" i="10" s="1"/>
  <c r="V36" i="1"/>
  <c r="V72" i="1"/>
  <c r="F72" i="1"/>
  <c r="B67" i="10" s="1"/>
  <c r="V258" i="1"/>
  <c r="F333" i="1"/>
  <c r="B328" i="10" s="1"/>
  <c r="V333" i="1"/>
  <c r="F296" i="1"/>
  <c r="B291" i="10" s="1"/>
  <c r="V296" i="1"/>
  <c r="F128" i="1"/>
  <c r="B123" i="10" s="1"/>
  <c r="V128" i="1"/>
  <c r="V243" i="1"/>
  <c r="F243" i="1"/>
  <c r="B238" i="10" s="1"/>
  <c r="F256" i="1"/>
  <c r="B251" i="10" s="1"/>
  <c r="F115" i="1"/>
  <c r="B110" i="10" s="1"/>
  <c r="F196" i="1"/>
  <c r="B191" i="10" s="1"/>
  <c r="F245" i="1"/>
  <c r="B240" i="10" s="1"/>
  <c r="F295" i="1"/>
  <c r="B290" i="10" s="1"/>
  <c r="F469" i="1"/>
  <c r="B464" i="10" s="1"/>
  <c r="F434" i="1"/>
  <c r="B429" i="10" s="1"/>
  <c r="F266" i="1"/>
  <c r="B261" i="10" s="1"/>
  <c r="F34" i="1"/>
  <c r="B29" i="10" s="1"/>
  <c r="F175" i="1"/>
  <c r="B170" i="10" s="1"/>
  <c r="V405" i="1"/>
  <c r="V39" i="1"/>
  <c r="V139" i="1"/>
  <c r="V192" i="1"/>
  <c r="F192" i="1"/>
  <c r="B187" i="10" s="1"/>
  <c r="V84" i="1"/>
  <c r="V259" i="1"/>
  <c r="F259" i="1"/>
  <c r="B254" i="10" s="1"/>
  <c r="V188" i="1"/>
  <c r="V150" i="1"/>
  <c r="F150" i="1"/>
  <c r="B145" i="10" s="1"/>
  <c r="V313" i="1"/>
  <c r="V19" i="1"/>
  <c r="F19" i="1"/>
  <c r="B14" i="10" s="1"/>
  <c r="V123" i="1"/>
  <c r="F123" i="1"/>
  <c r="B118" i="10" s="1"/>
  <c r="F436" i="1"/>
  <c r="B431" i="10" s="1"/>
  <c r="V436" i="1"/>
  <c r="V176" i="1"/>
  <c r="F176" i="1"/>
  <c r="B171" i="10" s="1"/>
  <c r="F18" i="1"/>
  <c r="B13" i="10" s="1"/>
  <c r="V18" i="1"/>
  <c r="V108" i="1"/>
  <c r="F108" i="1"/>
  <c r="B103" i="10" s="1"/>
  <c r="V391" i="1"/>
  <c r="F391" i="1"/>
  <c r="B386" i="10" s="1"/>
  <c r="V69" i="1"/>
  <c r="F69" i="1"/>
  <c r="B64" i="10" s="1"/>
  <c r="V455" i="1"/>
  <c r="F455" i="1"/>
  <c r="B450" i="10" s="1"/>
  <c r="V17" i="1"/>
  <c r="F17" i="1"/>
  <c r="B12" i="10" s="1"/>
  <c r="V483" i="1"/>
  <c r="F483" i="1"/>
  <c r="B478" i="10" s="1"/>
  <c r="F100" i="1"/>
  <c r="B95" i="10" s="1"/>
  <c r="V100" i="1"/>
  <c r="F400" i="1"/>
  <c r="B395" i="10" s="1"/>
  <c r="V400" i="1"/>
  <c r="F323" i="1"/>
  <c r="B318" i="10" s="1"/>
  <c r="V323" i="1"/>
  <c r="F70" i="1"/>
  <c r="B65" i="10" s="1"/>
  <c r="V70" i="1"/>
  <c r="V396" i="1"/>
  <c r="F182" i="1"/>
  <c r="B177" i="10" s="1"/>
  <c r="V216" i="1"/>
  <c r="V397" i="1"/>
  <c r="F397" i="1"/>
  <c r="B392" i="10" s="1"/>
  <c r="V11" i="1"/>
  <c r="V78" i="1"/>
  <c r="F78" i="1"/>
  <c r="B73" i="10" s="1"/>
  <c r="V146" i="1"/>
  <c r="F452" i="1"/>
  <c r="B447" i="10" s="1"/>
  <c r="V452" i="1"/>
  <c r="V300" i="1"/>
  <c r="F300" i="1"/>
  <c r="B295" i="10" s="1"/>
  <c r="V380" i="1"/>
  <c r="V399" i="1"/>
  <c r="F399" i="1"/>
  <c r="B394" i="10" s="1"/>
  <c r="V173" i="1"/>
  <c r="F86" i="1"/>
  <c r="B81" i="10" s="1"/>
  <c r="V86" i="1"/>
  <c r="F463" i="1"/>
  <c r="B458" i="10" s="1"/>
  <c r="V463" i="1"/>
  <c r="F435" i="1"/>
  <c r="B430" i="10" s="1"/>
  <c r="V435" i="1"/>
  <c r="F381" i="1"/>
  <c r="B376" i="10" s="1"/>
  <c r="V381" i="1"/>
  <c r="V180" i="1"/>
  <c r="F180" i="1"/>
  <c r="B175" i="10" s="1"/>
  <c r="V119" i="1"/>
  <c r="V9" i="1"/>
  <c r="V347" i="1"/>
  <c r="F347" i="1"/>
  <c r="B342" i="10" s="1"/>
  <c r="V346" i="1"/>
  <c r="V74" i="1"/>
  <c r="F74" i="1"/>
  <c r="B69" i="10" s="1"/>
  <c r="V411" i="1"/>
  <c r="V262" i="1"/>
  <c r="F262" i="1"/>
  <c r="B257" i="10" s="1"/>
  <c r="V47" i="1"/>
  <c r="F47" i="1"/>
  <c r="B42" i="10" s="1"/>
  <c r="V82" i="1"/>
  <c r="F159" i="1"/>
  <c r="B154" i="10" s="1"/>
  <c r="V159" i="1"/>
  <c r="F375" i="1"/>
  <c r="B370" i="10" s="1"/>
  <c r="V375" i="1"/>
  <c r="F16" i="1"/>
  <c r="B11" i="10" s="1"/>
  <c r="V16" i="1"/>
  <c r="V325" i="1"/>
  <c r="F325" i="1"/>
  <c r="B320" i="10" s="1"/>
  <c r="V203" i="1"/>
  <c r="F203" i="1"/>
  <c r="B198" i="10" s="1"/>
  <c r="V106" i="1"/>
  <c r="V57" i="1"/>
  <c r="F57" i="1"/>
  <c r="B52" i="10" s="1"/>
  <c r="V60" i="1"/>
  <c r="V88" i="1"/>
  <c r="F88" i="1"/>
  <c r="B83" i="10" s="1"/>
  <c r="V250" i="1"/>
  <c r="V215" i="1"/>
  <c r="V23" i="1"/>
  <c r="F23" i="1"/>
  <c r="B18" i="10" s="1"/>
  <c r="V502" i="1"/>
  <c r="F502" i="1"/>
  <c r="B497" i="10" s="1"/>
  <c r="F232" i="1"/>
  <c r="B227" i="10" s="1"/>
  <c r="V232" i="1"/>
  <c r="V121" i="1"/>
  <c r="F55" i="1"/>
  <c r="B50" i="10" s="1"/>
  <c r="V55" i="1"/>
  <c r="F444" i="1"/>
  <c r="B439" i="10" s="1"/>
  <c r="V444" i="1"/>
  <c r="V229" i="1"/>
  <c r="F229" i="1"/>
  <c r="B224" i="10" s="1"/>
  <c r="F404" i="1"/>
  <c r="B399" i="10" s="1"/>
  <c r="F442" i="1"/>
  <c r="B437" i="10" s="1"/>
  <c r="F181" i="1"/>
  <c r="B176" i="10" s="1"/>
  <c r="F418" i="1"/>
  <c r="B413" i="10" s="1"/>
  <c r="F440" i="1"/>
  <c r="B435" i="10" s="1"/>
  <c r="V160" i="1"/>
  <c r="F477" i="1"/>
  <c r="B472" i="10" s="1"/>
  <c r="V477" i="1"/>
  <c r="F361" i="1"/>
  <c r="B356" i="10" s="1"/>
  <c r="V361" i="1"/>
  <c r="F283" i="1"/>
  <c r="B278" i="10" s="1"/>
  <c r="V283" i="1"/>
  <c r="F287" i="1"/>
  <c r="B282" i="10" s="1"/>
  <c r="V287" i="1"/>
  <c r="V207" i="1"/>
  <c r="F207" i="1"/>
  <c r="B202" i="10" s="1"/>
  <c r="V478" i="1"/>
  <c r="F478" i="1"/>
  <c r="B473" i="10" s="1"/>
  <c r="V149" i="1"/>
  <c r="F149" i="1"/>
  <c r="B144" i="10" s="1"/>
  <c r="V77" i="1"/>
  <c r="F77" i="1"/>
  <c r="B72" i="10" s="1"/>
  <c r="V458" i="1"/>
  <c r="F458" i="1"/>
  <c r="B453" i="10" s="1"/>
  <c r="F365" i="1"/>
  <c r="B360" i="10" s="1"/>
  <c r="V365" i="1"/>
  <c r="V432" i="1"/>
  <c r="F432" i="1"/>
  <c r="B427" i="10" s="1"/>
  <c r="F113" i="1"/>
  <c r="B108" i="10" s="1"/>
  <c r="V113" i="1"/>
  <c r="F179" i="1"/>
  <c r="B174" i="10" s="1"/>
  <c r="V179" i="1"/>
  <c r="V308" i="1"/>
  <c r="F308" i="1"/>
  <c r="B303" i="10" s="1"/>
  <c r="V316" i="1"/>
  <c r="F316" i="1"/>
  <c r="B311" i="10" s="1"/>
  <c r="V44" i="1"/>
  <c r="F44" i="1"/>
  <c r="B39" i="10" s="1"/>
  <c r="F183" i="1"/>
  <c r="B178" i="10" s="1"/>
  <c r="V183" i="1"/>
  <c r="V272" i="1"/>
  <c r="F272" i="1"/>
  <c r="B267" i="10" s="1"/>
  <c r="V282" i="1"/>
  <c r="F282" i="1"/>
  <c r="B277" i="10" s="1"/>
  <c r="V191" i="1"/>
  <c r="F191" i="1"/>
  <c r="B186" i="10" s="1"/>
  <c r="F394" i="1"/>
  <c r="B389" i="10" s="1"/>
  <c r="V394" i="1"/>
  <c r="F360" i="1"/>
  <c r="B355" i="10" s="1"/>
  <c r="V360" i="1"/>
  <c r="F80" i="1"/>
  <c r="B75" i="10" s="1"/>
  <c r="V80" i="1"/>
  <c r="V251" i="1"/>
  <c r="F251" i="1"/>
  <c r="B246" i="10" s="1"/>
  <c r="V255" i="1"/>
  <c r="F255" i="1"/>
  <c r="B250" i="10" s="1"/>
  <c r="F317" i="1"/>
  <c r="B312" i="10" s="1"/>
  <c r="V317" i="1"/>
  <c r="F132" i="1"/>
  <c r="B127" i="10" s="1"/>
  <c r="V132" i="1"/>
  <c r="F485" i="1"/>
  <c r="B480" i="10" s="1"/>
  <c r="V485" i="1"/>
  <c r="F102" i="1"/>
  <c r="B97" i="10" s="1"/>
  <c r="V102" i="1"/>
  <c r="F369" i="1"/>
  <c r="B364" i="10" s="1"/>
  <c r="V369" i="1"/>
  <c r="V290" i="1"/>
  <c r="F290" i="1"/>
  <c r="B285" i="10" s="1"/>
  <c r="F109" i="1"/>
  <c r="B104" i="10" s="1"/>
  <c r="V109" i="1"/>
  <c r="V101" i="1"/>
  <c r="F101" i="1"/>
  <c r="B96" i="10" s="1"/>
  <c r="V41" i="1"/>
  <c r="F41" i="1"/>
  <c r="B36" i="10" s="1"/>
  <c r="F185" i="1"/>
  <c r="B180" i="10" s="1"/>
  <c r="V185" i="1"/>
  <c r="F37" i="1"/>
  <c r="B32" i="10" s="1"/>
  <c r="V37" i="1"/>
  <c r="V187" i="1"/>
  <c r="F187" i="1"/>
  <c r="B182" i="10" s="1"/>
  <c r="V348" i="1"/>
  <c r="F348" i="1"/>
  <c r="B343" i="10" s="1"/>
  <c r="F482" i="1"/>
  <c r="B477" i="10" s="1"/>
  <c r="V482" i="1"/>
  <c r="F386" i="1"/>
  <c r="B381" i="10" s="1"/>
  <c r="V386" i="1"/>
  <c r="F385" i="1"/>
  <c r="B380" i="10" s="1"/>
  <c r="V385" i="1"/>
  <c r="V58" i="1"/>
  <c r="F58" i="1"/>
  <c r="B53" i="10" s="1"/>
  <c r="F117" i="1"/>
  <c r="B112" i="10" s="1"/>
  <c r="V117" i="1"/>
  <c r="F99" i="1"/>
  <c r="B94" i="10" s="1"/>
  <c r="V99" i="1"/>
  <c r="V264" i="1"/>
  <c r="F264" i="1"/>
  <c r="B259" i="10" s="1"/>
  <c r="V75" i="1"/>
  <c r="F75" i="1"/>
  <c r="B70" i="10" s="1"/>
  <c r="V247" i="1"/>
  <c r="F247" i="1"/>
  <c r="B242" i="10" s="1"/>
  <c r="V384" i="1"/>
  <c r="F384" i="1"/>
  <c r="B379" i="10" s="1"/>
  <c r="V324" i="1"/>
  <c r="F324" i="1"/>
  <c r="B319" i="10" s="1"/>
  <c r="V430" i="1"/>
  <c r="F430" i="1"/>
  <c r="B425" i="10" s="1"/>
  <c r="V163" i="1"/>
  <c r="F163" i="1"/>
  <c r="B158" i="10" s="1"/>
  <c r="V465" i="1"/>
  <c r="F465" i="1"/>
  <c r="B460" i="10" s="1"/>
  <c r="F473" i="1"/>
  <c r="B468" i="10" s="1"/>
  <c r="V473" i="1"/>
  <c r="V305" i="1"/>
  <c r="F305" i="1"/>
  <c r="B300" i="10" s="1"/>
  <c r="V472" i="1"/>
  <c r="F472" i="1"/>
  <c r="B467" i="10" s="1"/>
  <c r="V147" i="1"/>
  <c r="F147" i="1"/>
  <c r="B142" i="10" s="1"/>
  <c r="V26" i="1"/>
  <c r="F26" i="1"/>
  <c r="B21" i="10" s="1"/>
  <c r="F285" i="1"/>
  <c r="B280" i="10" s="1"/>
  <c r="V285" i="1"/>
  <c r="V289" i="1"/>
  <c r="F289" i="1"/>
  <c r="B284" i="10" s="1"/>
  <c r="V329" i="1"/>
  <c r="F329" i="1"/>
  <c r="B324" i="10" s="1"/>
  <c r="F157" i="1"/>
  <c r="B152" i="10" s="1"/>
  <c r="V157" i="1"/>
  <c r="F35" i="1"/>
  <c r="B30" i="10" s="1"/>
  <c r="V35" i="1"/>
  <c r="F7" i="1"/>
  <c r="B2" i="10" s="1"/>
  <c r="V7" i="1"/>
  <c r="V30" i="1"/>
  <c r="F30" i="1"/>
  <c r="B25" i="10" s="1"/>
  <c r="F200" i="1"/>
  <c r="B195" i="10" s="1"/>
  <c r="V200" i="1"/>
  <c r="F497" i="1"/>
  <c r="B492" i="10" s="1"/>
  <c r="V497" i="1"/>
  <c r="F178" i="1"/>
  <c r="B173" i="10" s="1"/>
  <c r="V178" i="1"/>
  <c r="F153" i="1"/>
  <c r="B148" i="10" s="1"/>
  <c r="V153" i="1"/>
  <c r="V42" i="1"/>
  <c r="F42" i="1"/>
  <c r="B37" i="10" s="1"/>
  <c r="F189" i="1"/>
  <c r="B184" i="10" s="1"/>
  <c r="V189" i="1"/>
  <c r="F91" i="1"/>
  <c r="B86" i="10" s="1"/>
  <c r="V91" i="1"/>
  <c r="F246" i="1"/>
  <c r="B241" i="10" s="1"/>
  <c r="V246" i="1"/>
  <c r="V116" i="1"/>
  <c r="F116" i="1"/>
  <c r="B111" i="10" s="1"/>
  <c r="F56" i="1"/>
  <c r="B51" i="10" s="1"/>
  <c r="V56" i="1"/>
  <c r="F492" i="1"/>
  <c r="B487" i="10" s="1"/>
  <c r="V492" i="1"/>
  <c r="F231" i="1"/>
  <c r="B226" i="10" s="1"/>
  <c r="V231" i="1"/>
  <c r="V249" i="1"/>
  <c r="F249" i="1"/>
  <c r="B244" i="10" s="1"/>
  <c r="F195" i="1"/>
  <c r="B190" i="10" s="1"/>
  <c r="V195" i="1"/>
  <c r="F155" i="1"/>
  <c r="B150" i="10" s="1"/>
  <c r="V155" i="1"/>
  <c r="F443" i="1"/>
  <c r="B438" i="10" s="1"/>
  <c r="V443" i="1"/>
  <c r="F312" i="1"/>
  <c r="B307" i="10" s="1"/>
  <c r="V312" i="1"/>
  <c r="F335" i="1"/>
  <c r="B330" i="10" s="1"/>
  <c r="F338" i="1"/>
  <c r="B333" i="10" s="1"/>
  <c r="F431" i="1"/>
  <c r="B426" i="10" s="1"/>
  <c r="F145" i="1"/>
  <c r="B140" i="10" s="1"/>
  <c r="F270" i="1"/>
  <c r="B265" i="10" s="1"/>
  <c r="F356" i="1"/>
  <c r="B351" i="10" s="1"/>
  <c r="F460" i="1"/>
  <c r="B455" i="10" s="1"/>
  <c r="F358" i="1"/>
  <c r="B353" i="10" s="1"/>
  <c r="F265" i="1"/>
  <c r="B260" i="10" s="1"/>
  <c r="V374" i="1"/>
  <c r="V377" i="1"/>
  <c r="F315" i="1"/>
  <c r="B310" i="10" s="1"/>
  <c r="F416" i="1"/>
  <c r="B411" i="10" s="1"/>
  <c r="F451" i="1"/>
  <c r="B446" i="10" s="1"/>
  <c r="F294" i="1"/>
  <c r="B289" i="10" s="1"/>
  <c r="F228" i="1"/>
  <c r="B223" i="10" s="1"/>
  <c r="F372" i="1"/>
  <c r="B367" i="10" s="1"/>
  <c r="V73" i="1"/>
  <c r="F73" i="1"/>
  <c r="B68" i="10" s="1"/>
  <c r="V276" i="1"/>
  <c r="F276" i="1"/>
  <c r="B271" i="10" s="1"/>
  <c r="F220" i="1"/>
  <c r="B215" i="10" s="1"/>
  <c r="V220" i="1"/>
  <c r="V484" i="1"/>
  <c r="F484" i="1"/>
  <c r="B479" i="10" s="1"/>
  <c r="V161" i="1"/>
  <c r="F161" i="1"/>
  <c r="B156" i="10" s="1"/>
  <c r="V488" i="1"/>
  <c r="F488" i="1"/>
  <c r="B483" i="10" s="1"/>
  <c r="V322" i="1"/>
  <c r="F322" i="1"/>
  <c r="B317" i="10" s="1"/>
  <c r="V387" i="1"/>
  <c r="F387" i="1"/>
  <c r="B382" i="10" s="1"/>
  <c r="F46" i="1"/>
  <c r="B41" i="10" s="1"/>
  <c r="V46" i="1"/>
  <c r="V12" i="1"/>
  <c r="F12" i="1"/>
  <c r="B7" i="10" s="1"/>
  <c r="V20" i="1"/>
  <c r="F20" i="1"/>
  <c r="B15" i="10" s="1"/>
  <c r="F83" i="1"/>
  <c r="B78" i="10" s="1"/>
  <c r="V83" i="1"/>
  <c r="V459" i="1"/>
  <c r="F459" i="1"/>
  <c r="B454" i="10" s="1"/>
  <c r="V498" i="1"/>
  <c r="F498" i="1"/>
  <c r="B493" i="10" s="1"/>
  <c r="V213" i="1"/>
  <c r="F213" i="1"/>
  <c r="B208" i="10" s="1"/>
  <c r="F22" i="1"/>
  <c r="B17" i="10" s="1"/>
  <c r="V22" i="1"/>
  <c r="V234" i="1"/>
  <c r="F234" i="1"/>
  <c r="B229" i="10" s="1"/>
  <c r="V291" i="1"/>
  <c r="F291" i="1"/>
  <c r="B286" i="10" s="1"/>
  <c r="V311" i="1"/>
  <c r="F311" i="1"/>
  <c r="B306" i="10" s="1"/>
  <c r="F194" i="1"/>
  <c r="B189" i="10" s="1"/>
  <c r="V194" i="1"/>
  <c r="V140" i="1"/>
  <c r="F140" i="1"/>
  <c r="B135" i="10" s="1"/>
  <c r="F332" i="1"/>
  <c r="B327" i="10" s="1"/>
  <c r="V332" i="1"/>
  <c r="V141" i="1"/>
  <c r="F141" i="1"/>
  <c r="B136" i="10" s="1"/>
  <c r="F64" i="1"/>
  <c r="B59" i="10" s="1"/>
  <c r="V64" i="1"/>
  <c r="F331" i="1"/>
  <c r="B326" i="10" s="1"/>
  <c r="V331" i="1"/>
  <c r="F40" i="1"/>
  <c r="B35" i="10" s="1"/>
  <c r="V40" i="1"/>
  <c r="F144" i="1"/>
  <c r="B139" i="10" s="1"/>
  <c r="V144" i="1"/>
  <c r="V327" i="1"/>
  <c r="F327" i="1"/>
  <c r="B322" i="10" s="1"/>
  <c r="V67" i="1"/>
  <c r="F67" i="1"/>
  <c r="B62" i="10" s="1"/>
  <c r="F314" i="1"/>
  <c r="B309" i="10" s="1"/>
  <c r="V314" i="1"/>
  <c r="F248" i="1"/>
  <c r="B243" i="10" s="1"/>
  <c r="V248" i="1"/>
  <c r="F124" i="1"/>
  <c r="B119" i="10" s="1"/>
  <c r="V124" i="1"/>
  <c r="F409" i="1"/>
  <c r="B404" i="10" s="1"/>
  <c r="V409" i="1"/>
  <c r="F98" i="1"/>
  <c r="B93" i="10" s="1"/>
  <c r="V98" i="1"/>
  <c r="F500" i="1"/>
  <c r="B495" i="10" s="1"/>
  <c r="V500" i="1"/>
  <c r="V339" i="1"/>
  <c r="F339" i="1"/>
  <c r="B334" i="10" s="1"/>
  <c r="F219" i="1"/>
  <c r="B214" i="10" s="1"/>
  <c r="V219" i="1"/>
  <c r="F24" i="1"/>
  <c r="B19" i="10" s="1"/>
  <c r="V24" i="1"/>
  <c r="F268" i="1"/>
  <c r="B263" i="10" s="1"/>
  <c r="V268" i="1"/>
  <c r="V65" i="1"/>
  <c r="F65" i="1"/>
  <c r="B60" i="10" s="1"/>
  <c r="V423" i="1"/>
  <c r="F423" i="1"/>
  <c r="B418" i="10" s="1"/>
  <c r="V212" i="1"/>
  <c r="F212" i="1"/>
  <c r="B207" i="10" s="1"/>
  <c r="V104" i="1"/>
  <c r="F104" i="1"/>
  <c r="B99" i="10" s="1"/>
  <c r="F487" i="1"/>
  <c r="B482" i="10" s="1"/>
  <c r="V487" i="1"/>
  <c r="V62" i="1"/>
  <c r="F62" i="1"/>
  <c r="B57" i="10" s="1"/>
  <c r="V76" i="1"/>
  <c r="F76" i="1"/>
  <c r="B71" i="10" s="1"/>
  <c r="V486" i="1"/>
  <c r="F486" i="1"/>
  <c r="B481" i="10" s="1"/>
  <c r="F107" i="1"/>
  <c r="B102" i="10" s="1"/>
  <c r="V107" i="1"/>
  <c r="F125" i="1"/>
  <c r="B120" i="10" s="1"/>
  <c r="V125" i="1"/>
  <c r="F81" i="1"/>
  <c r="B76" i="10" s="1"/>
  <c r="V81" i="1"/>
  <c r="V429" i="1"/>
  <c r="F429" i="1"/>
  <c r="B424" i="10" s="1"/>
  <c r="V491" i="1"/>
  <c r="F491" i="1"/>
  <c r="B486" i="10" s="1"/>
  <c r="V43" i="1"/>
  <c r="F43" i="1"/>
  <c r="B38" i="10" s="1"/>
  <c r="V424" i="1"/>
  <c r="F424" i="1"/>
  <c r="B419" i="10" s="1"/>
  <c r="V218" i="1"/>
  <c r="F218" i="1"/>
  <c r="B213" i="10" s="1"/>
  <c r="V151" i="1"/>
  <c r="F151" i="1"/>
  <c r="B146" i="10" s="1"/>
  <c r="V51" i="1"/>
  <c r="F51" i="1"/>
  <c r="B46" i="10" s="1"/>
  <c r="V162" i="1"/>
  <c r="F162" i="1"/>
  <c r="B157" i="10" s="1"/>
  <c r="V454" i="1"/>
  <c r="F454" i="1"/>
  <c r="B449" i="10" s="1"/>
  <c r="V383" i="1"/>
  <c r="F383" i="1"/>
  <c r="B378" i="10" s="1"/>
  <c r="F48" i="1"/>
  <c r="B43" i="10" s="1"/>
  <c r="V48" i="1"/>
  <c r="V493" i="1"/>
  <c r="F493" i="1"/>
  <c r="B488" i="10" s="1"/>
  <c r="V129" i="1"/>
  <c r="F129" i="1"/>
  <c r="B124" i="10" s="1"/>
  <c r="F95" i="1"/>
  <c r="B90" i="10" s="1"/>
  <c r="V95" i="1"/>
  <c r="V275" i="1"/>
  <c r="F275" i="1"/>
  <c r="B270" i="10" s="1"/>
  <c r="F334" i="1"/>
  <c r="B329" i="10" s="1"/>
  <c r="V334" i="1"/>
  <c r="F118" i="1"/>
  <c r="B113" i="10" s="1"/>
  <c r="V118" i="1"/>
  <c r="F319" i="1"/>
  <c r="B314" i="10" s="1"/>
  <c r="V319" i="1"/>
  <c r="F401" i="1"/>
  <c r="B396" i="10" s="1"/>
  <c r="V401" i="1"/>
  <c r="V33" i="1"/>
  <c r="F33" i="1"/>
  <c r="B28" i="10" s="1"/>
  <c r="V425" i="1"/>
  <c r="F425" i="1"/>
  <c r="B420" i="10" s="1"/>
  <c r="F341" i="1"/>
  <c r="B336" i="10" s="1"/>
  <c r="V341" i="1"/>
  <c r="F136" i="1"/>
  <c r="B131" i="10" s="1"/>
  <c r="V136" i="1"/>
  <c r="F6" i="1"/>
  <c r="V6" i="1"/>
  <c r="F14" i="1"/>
  <c r="B9" i="10" s="1"/>
  <c r="V14" i="1"/>
  <c r="F198" i="1"/>
  <c r="B193" i="10" s="1"/>
  <c r="V198" i="1"/>
  <c r="F156" i="1"/>
  <c r="B151" i="10" s="1"/>
  <c r="V156" i="1"/>
  <c r="F363" i="1"/>
  <c r="B358" i="10" s="1"/>
  <c r="V363" i="1"/>
  <c r="F293" i="1"/>
  <c r="B288" i="10" s="1"/>
  <c r="V293" i="1"/>
  <c r="F412" i="1"/>
  <c r="B407" i="10" s="1"/>
  <c r="V412" i="1"/>
  <c r="F122" i="1"/>
  <c r="B117" i="10" s="1"/>
  <c r="V122" i="1"/>
  <c r="V269" i="1"/>
  <c r="F269" i="1"/>
  <c r="B264" i="10" s="1"/>
  <c r="V120" i="1"/>
  <c r="V422" i="1"/>
  <c r="V407" i="1"/>
  <c r="F93" i="1"/>
  <c r="B88" i="10" s="1"/>
  <c r="F309" i="1"/>
  <c r="B304" i="10" s="1"/>
  <c r="F421" i="1"/>
  <c r="B416" i="10" s="1"/>
  <c r="Q8" i="13" l="1"/>
  <c r="B1" i="10"/>
  <c r="E2" i="10" s="1"/>
  <c r="E1" i="10" l="1"/>
  <c r="E3" i="10" s="1"/>
</calcChain>
</file>

<file path=xl/sharedStrings.xml><?xml version="1.0" encoding="utf-8"?>
<sst xmlns="http://schemas.openxmlformats.org/spreadsheetml/2006/main" count="361" uniqueCount="203">
  <si>
    <t>Goat ID</t>
  </si>
  <si>
    <t>Gender</t>
  </si>
  <si>
    <t>Breed</t>
  </si>
  <si>
    <t>Date of Birth</t>
  </si>
  <si>
    <t>Age (Years)</t>
  </si>
  <si>
    <t>Age (months)</t>
  </si>
  <si>
    <t>Mother ID</t>
  </si>
  <si>
    <t>Father ID</t>
  </si>
  <si>
    <t>Birth Wt (kg)</t>
  </si>
  <si>
    <t>Origin</t>
  </si>
  <si>
    <t>Status</t>
  </si>
  <si>
    <t>Buying price</t>
  </si>
  <si>
    <t>Date sold/Death</t>
  </si>
  <si>
    <t>Sr#</t>
  </si>
  <si>
    <t>Sr #</t>
  </si>
  <si>
    <t>Color</t>
  </si>
  <si>
    <t>Seller/Buyers contact</t>
  </si>
  <si>
    <t>Sold</t>
  </si>
  <si>
    <t>Died</t>
  </si>
  <si>
    <t>Sick</t>
  </si>
  <si>
    <t>Vaccinated</t>
  </si>
  <si>
    <t xml:space="preserve">AL-KARAM GOAT FARM </t>
  </si>
  <si>
    <t xml:space="preserve">MASTER RECORD </t>
  </si>
  <si>
    <t>MALE</t>
  </si>
  <si>
    <t>FEMALE</t>
  </si>
  <si>
    <t>YES</t>
  </si>
  <si>
    <t>NO</t>
  </si>
  <si>
    <t>Teddy</t>
  </si>
  <si>
    <t>Purchased</t>
  </si>
  <si>
    <t>Bred</t>
  </si>
  <si>
    <t>Buyer/seller</t>
  </si>
  <si>
    <t>Purchase Date</t>
  </si>
  <si>
    <t>Purchase Wt (Kg)</t>
  </si>
  <si>
    <t>BREEDING RECORD</t>
  </si>
  <si>
    <t>Breedar ID</t>
  </si>
  <si>
    <t>Age</t>
  </si>
  <si>
    <t>Breeding Date</t>
  </si>
  <si>
    <t>Expected Kidding Date</t>
  </si>
  <si>
    <t>Delivered Date</t>
  </si>
  <si>
    <t>Male-Kids</t>
  </si>
  <si>
    <t>Female-Kids</t>
  </si>
  <si>
    <t>Next-Breeding</t>
  </si>
  <si>
    <t>Comments</t>
  </si>
  <si>
    <t>Total Offsprings</t>
  </si>
  <si>
    <t>Birth Date</t>
  </si>
  <si>
    <t>Current  Weight</t>
  </si>
  <si>
    <t>Birth Weight</t>
  </si>
  <si>
    <t>1 Month</t>
  </si>
  <si>
    <t>2 Month</t>
  </si>
  <si>
    <t>3 Month</t>
  </si>
  <si>
    <t>4 Month</t>
  </si>
  <si>
    <t>5 Month</t>
  </si>
  <si>
    <t>6 Month</t>
  </si>
  <si>
    <t>7 Month</t>
  </si>
  <si>
    <t>8 Month</t>
  </si>
  <si>
    <t>9 Month</t>
  </si>
  <si>
    <t>10 Month</t>
  </si>
  <si>
    <t>11 Month</t>
  </si>
  <si>
    <t>12 Month</t>
  </si>
  <si>
    <t>13 Month</t>
  </si>
  <si>
    <t>14 Month</t>
  </si>
  <si>
    <t>15 Month</t>
  </si>
  <si>
    <t>16 Month</t>
  </si>
  <si>
    <t>17 Month</t>
  </si>
  <si>
    <t>18 Month</t>
  </si>
  <si>
    <t>19 Month</t>
  </si>
  <si>
    <t>20 Month</t>
  </si>
  <si>
    <t>21 Month</t>
  </si>
  <si>
    <t>22 Month</t>
  </si>
  <si>
    <t>23 Month</t>
  </si>
  <si>
    <t>24 Month</t>
  </si>
  <si>
    <t>25 Month</t>
  </si>
  <si>
    <t>26 Month</t>
  </si>
  <si>
    <t>27 Month</t>
  </si>
  <si>
    <t>28 Month</t>
  </si>
  <si>
    <t>29 Month</t>
  </si>
  <si>
    <t>30 Month</t>
  </si>
  <si>
    <t>31 Month</t>
  </si>
  <si>
    <t>32 Month</t>
  </si>
  <si>
    <t>33 Month</t>
  </si>
  <si>
    <t>34 Month</t>
  </si>
  <si>
    <t>35 Month</t>
  </si>
  <si>
    <t>36 Month</t>
  </si>
  <si>
    <t xml:space="preserve">WEIGHT RECORD </t>
  </si>
  <si>
    <t xml:space="preserve">Next Wt Date </t>
  </si>
  <si>
    <t>Sold Price</t>
  </si>
  <si>
    <t>Date of Sale</t>
  </si>
  <si>
    <t>Buyer Name</t>
  </si>
  <si>
    <t>Buyer City</t>
  </si>
  <si>
    <t>Buyers Contact Details</t>
  </si>
  <si>
    <t>SALES RECORD</t>
  </si>
  <si>
    <t>Expired Date</t>
  </si>
  <si>
    <t>Current Value</t>
  </si>
  <si>
    <t>Cause Of Death</t>
  </si>
  <si>
    <t>QUICK</t>
  </si>
  <si>
    <t>SEARCH</t>
  </si>
  <si>
    <t>Current value</t>
  </si>
  <si>
    <t>Date</t>
  </si>
  <si>
    <t>Problem Diagonise</t>
  </si>
  <si>
    <t>Company</t>
  </si>
  <si>
    <t>Dose Given (ml)</t>
  </si>
  <si>
    <t>Route</t>
  </si>
  <si>
    <t>Withdrawal Period (Days)</t>
  </si>
  <si>
    <t>Withdrawal Period Completed (Date)</t>
  </si>
  <si>
    <t>COMMENTS</t>
  </si>
  <si>
    <t>Treatment</t>
  </si>
  <si>
    <t xml:space="preserve">Vet Name                              </t>
  </si>
  <si>
    <t>MORTALITY RECORD</t>
  </si>
  <si>
    <r>
      <rPr>
        <sz val="12"/>
        <color rgb="FFAFF965"/>
        <rFont val="Times New Roman Bold"/>
      </rPr>
      <t>I</t>
    </r>
    <r>
      <rPr>
        <sz val="12"/>
        <color rgb="FFAFF965"/>
        <rFont val="Arial Rounded MT Bold"/>
        <family val="2"/>
      </rPr>
      <t>LLNESS RECORD</t>
    </r>
  </si>
  <si>
    <t>Intramuscular-(IM)</t>
  </si>
  <si>
    <t>Subcutaneous-(SQ)</t>
  </si>
  <si>
    <t>Intravenous-(IV)</t>
  </si>
  <si>
    <t xml:space="preserve">Topical </t>
  </si>
  <si>
    <t>Recovered</t>
  </si>
  <si>
    <t>G26003-1</t>
  </si>
  <si>
    <t>VACCINE RECORD</t>
  </si>
  <si>
    <t>Type Of Feed</t>
  </si>
  <si>
    <t>Quantity</t>
  </si>
  <si>
    <t>Cost/Item</t>
  </si>
  <si>
    <t>Total Cost</t>
  </si>
  <si>
    <t xml:space="preserve"> Contact</t>
  </si>
  <si>
    <t>Seller Name</t>
  </si>
  <si>
    <t>FEED RECORD</t>
  </si>
  <si>
    <t>OPERATION EXP RECORD</t>
  </si>
  <si>
    <t>Category</t>
  </si>
  <si>
    <t>Detail</t>
  </si>
  <si>
    <t>Medicine</t>
  </si>
  <si>
    <t>Labor</t>
  </si>
  <si>
    <t>Utilities</t>
  </si>
  <si>
    <t>Salary</t>
  </si>
  <si>
    <t>Miscellaneous</t>
  </si>
  <si>
    <t>G26004-1</t>
  </si>
  <si>
    <t>fever</t>
  </si>
  <si>
    <t>fa</t>
  </si>
  <si>
    <t>da</t>
  </si>
  <si>
    <t>af</t>
  </si>
  <si>
    <t>ga</t>
  </si>
  <si>
    <t>jcgc</t>
  </si>
  <si>
    <t>wszfe</t>
  </si>
  <si>
    <t>fdF</t>
  </si>
  <si>
    <t>gxdfrq</t>
  </si>
  <si>
    <t>nhfx</t>
  </si>
  <si>
    <t>active male</t>
  </si>
  <si>
    <t>active female</t>
  </si>
  <si>
    <t>G26007-1</t>
  </si>
  <si>
    <t>G26006-1</t>
  </si>
  <si>
    <t>Sold male</t>
  </si>
  <si>
    <t>Sold Female</t>
  </si>
  <si>
    <t>G26003-0</t>
  </si>
  <si>
    <t>G26008-1</t>
  </si>
  <si>
    <t>G26006-0</t>
  </si>
  <si>
    <t>G26005-0</t>
  </si>
  <si>
    <t>G26005-1</t>
  </si>
  <si>
    <t>Month</t>
  </si>
  <si>
    <t>Year</t>
  </si>
  <si>
    <t>Buyers name and contact</t>
  </si>
  <si>
    <t>January</t>
  </si>
  <si>
    <t>February</t>
  </si>
  <si>
    <t>March</t>
  </si>
  <si>
    <t>April</t>
  </si>
  <si>
    <t>May</t>
  </si>
  <si>
    <t>June</t>
  </si>
  <si>
    <t>July</t>
  </si>
  <si>
    <t>August</t>
  </si>
  <si>
    <t>September</t>
  </si>
  <si>
    <t>October</t>
  </si>
  <si>
    <t>November</t>
  </si>
  <si>
    <t>December</t>
  </si>
  <si>
    <t>All</t>
  </si>
  <si>
    <t xml:space="preserve">Month </t>
  </si>
  <si>
    <t>sales</t>
  </si>
  <si>
    <t>profit</t>
  </si>
  <si>
    <t>cost</t>
  </si>
  <si>
    <t>G26014-1</t>
  </si>
  <si>
    <t>G26013-1</t>
  </si>
  <si>
    <t>G26007-0</t>
  </si>
  <si>
    <t>G26010-1</t>
  </si>
  <si>
    <t>profit margin</t>
  </si>
  <si>
    <t>Total sold</t>
  </si>
  <si>
    <t>Females Sold</t>
  </si>
  <si>
    <t xml:space="preserve">Males sold </t>
  </si>
  <si>
    <t>Total Mortality</t>
  </si>
  <si>
    <t xml:space="preserve">Male Deaths </t>
  </si>
  <si>
    <t>Female Deaths</t>
  </si>
  <si>
    <t>G26001-0</t>
  </si>
  <si>
    <t>G26001-1</t>
  </si>
  <si>
    <t>G26002-1</t>
  </si>
  <si>
    <t>G26004-0</t>
  </si>
  <si>
    <t>G26008-0</t>
  </si>
  <si>
    <t>G26009-1</t>
  </si>
  <si>
    <t>G26011-0</t>
  </si>
  <si>
    <t>G26012-1</t>
  </si>
  <si>
    <t>G26015-1</t>
  </si>
  <si>
    <t>G26016-0</t>
  </si>
  <si>
    <t>G26017-0</t>
  </si>
  <si>
    <t>G26018-0</t>
  </si>
  <si>
    <t>G26019-0</t>
  </si>
  <si>
    <t>G26020-0</t>
  </si>
  <si>
    <t>G26021-1</t>
  </si>
  <si>
    <t>G26022-0</t>
  </si>
  <si>
    <t>G26023-1</t>
  </si>
  <si>
    <t>G26024-1</t>
  </si>
  <si>
    <t>G26025-0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</si>
</sst>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Rs&quot;#,##0"/>
    <numFmt numFmtId="165" formatCode="00000000000"/>
    <numFmt numFmtId="166" formatCode="dd/mm/yyyy;@"/>
  </numFmts>
  <fonts count="20">
    <font>
      <sz val="12"/>
      <color theme="1"/>
      <name val="Calibri"/>
      <family val="2"/>
      <scheme val="minor"/>
    </font>
    <font>
      <b/>
      <sz val="12"/>
      <color theme="1"/>
      <name val="Calibri"/>
      <family val="2"/>
      <scheme val="minor"/>
    </font>
    <font>
      <b/>
      <sz val="9"/>
      <color theme="1"/>
      <name val="Arial"/>
      <family val="2"/>
    </font>
    <font>
      <sz val="24"/>
      <color rgb="FFAFF965"/>
      <name val="Cooper Black"/>
      <family val="5"/>
    </font>
    <font>
      <sz val="12"/>
      <color rgb="FFAFF965"/>
      <name val="Arial Rounded MT Bold"/>
      <family val="2"/>
    </font>
    <font>
      <b/>
      <sz val="11"/>
      <color theme="1"/>
      <name val="Arial Narrow Bold"/>
    </font>
    <font>
      <b/>
      <sz val="12"/>
      <color theme="1" tint="4.9989318521683403E-2"/>
      <name val="Arial Narrow Bold"/>
    </font>
    <font>
      <b/>
      <sz val="11"/>
      <color theme="1" tint="4.9989318521683403E-2"/>
      <name val="Arial Narrow Bold"/>
    </font>
    <font>
      <sz val="12"/>
      <color theme="1" tint="4.9989318521683403E-2"/>
      <name val="Arial Narrow Bold"/>
    </font>
    <font>
      <b/>
      <sz val="10"/>
      <color theme="1" tint="4.9989318521683403E-2"/>
      <name val="Arial Narrow Bold"/>
    </font>
    <font>
      <b/>
      <sz val="24"/>
      <color rgb="FFAFF965"/>
      <name val="Cooper Black"/>
      <family val="5"/>
    </font>
    <font>
      <sz val="8"/>
      <name val="Calibri"/>
      <family val="2"/>
      <scheme val="minor"/>
    </font>
    <font>
      <sz val="12"/>
      <color rgb="FF000000"/>
      <name val="Calibri"/>
      <family val="2"/>
      <scheme val="minor"/>
    </font>
    <font>
      <sz val="14"/>
      <color rgb="FFAFF965"/>
      <name val="Cooper Black"/>
      <family val="5"/>
    </font>
    <font>
      <sz val="14"/>
      <color theme="1"/>
      <name val="Cooper Black"/>
      <family val="5"/>
    </font>
    <font>
      <b/>
      <sz val="8"/>
      <color theme="1"/>
      <name val="Arial"/>
      <family val="2"/>
    </font>
    <font>
      <b/>
      <sz val="10"/>
      <color theme="1"/>
      <name val="Arial"/>
      <family val="2"/>
    </font>
    <font>
      <sz val="12"/>
      <color rgb="FFAFF965"/>
      <name val="Times New Roman Bold"/>
    </font>
    <font>
      <sz val="10"/>
      <name val="Arial"/>
      <family val="2"/>
    </font>
    <font>
      <sz val="12"/>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3" tint="-0.249977111117893"/>
        <bgColor indexed="64"/>
      </patternFill>
    </fill>
    <fill>
      <patternFill patternType="solid">
        <fgColor rgb="FFAFF96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bgColor indexed="64"/>
      </patternFill>
    </fill>
    <fill>
      <patternFill patternType="solid">
        <fgColor rgb="FFD7FFCA"/>
        <bgColor indexed="64"/>
      </patternFill>
    </fill>
  </fills>
  <borders count="17">
    <border>
      <left/>
      <right/>
      <top/>
      <bottom/>
      <diagonal/>
    </border>
    <border>
      <left style="thin">
        <color rgb="FFAFF965"/>
      </left>
      <right/>
      <top style="thin">
        <color rgb="FFAFF965"/>
      </top>
      <bottom/>
      <diagonal/>
    </border>
    <border>
      <left/>
      <right/>
      <top style="thin">
        <color rgb="FFAFF965"/>
      </top>
      <bottom/>
      <diagonal/>
    </border>
    <border>
      <left/>
      <right style="thin">
        <color rgb="FFAFF965"/>
      </right>
      <top style="thin">
        <color rgb="FFAFF965"/>
      </top>
      <bottom/>
      <diagonal/>
    </border>
    <border>
      <left style="thin">
        <color rgb="FFAFF965"/>
      </left>
      <right/>
      <top/>
      <bottom/>
      <diagonal/>
    </border>
    <border>
      <left/>
      <right style="thin">
        <color rgb="FFAFF965"/>
      </right>
      <top/>
      <bottom/>
      <diagonal/>
    </border>
    <border>
      <left style="thin">
        <color theme="1"/>
      </left>
      <right style="thin">
        <color theme="1"/>
      </right>
      <top style="thin">
        <color theme="1"/>
      </top>
      <bottom style="thin">
        <color theme="1"/>
      </bottom>
      <diagonal/>
    </border>
    <border>
      <left style="thin">
        <color rgb="FFAFF965"/>
      </left>
      <right/>
      <top/>
      <bottom style="thin">
        <color theme="1"/>
      </bottom>
      <diagonal/>
    </border>
    <border>
      <left/>
      <right/>
      <top/>
      <bottom style="thin">
        <color theme="1"/>
      </bottom>
      <diagonal/>
    </border>
    <border>
      <left/>
      <right style="thin">
        <color rgb="FFAFF965"/>
      </right>
      <top/>
      <bottom style="thin">
        <color theme="1"/>
      </bottom>
      <diagonal/>
    </border>
    <border>
      <left style="thin">
        <color theme="1"/>
      </left>
      <right/>
      <top style="thin">
        <color theme="1"/>
      </top>
      <bottom/>
      <diagonal/>
    </border>
    <border>
      <left/>
      <right/>
      <top style="thin">
        <color theme="1"/>
      </top>
      <bottom/>
      <diagonal/>
    </border>
    <border>
      <left style="thin">
        <color theme="1"/>
      </left>
      <right/>
      <top/>
      <bottom style="thin">
        <color theme="1"/>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theme="1"/>
      </left>
      <right style="thin">
        <color theme="1"/>
      </right>
      <top/>
      <bottom style="thin">
        <color theme="1"/>
      </bottom>
      <diagonal/>
    </border>
    <border>
      <left/>
      <right/>
      <top/>
      <bottom style="thin">
        <color indexed="64"/>
      </bottom>
      <diagonal/>
    </border>
  </borders>
  <cellStyleXfs count="2">
    <xf numFmtId="0" fontId="0" fillId="0" borderId="0"/>
    <xf numFmtId="9" fontId="19" fillId="0" borderId="0" applyFont="0" applyFill="0" applyBorder="0" applyAlignment="0" applyProtection="0"/>
  </cellStyleXfs>
  <cellXfs count="162">
    <xf numFmtId="0" fontId="0" fillId="0" borderId="0" xfId="0"/>
    <xf numFmtId="0" fontId="1" fillId="0" borderId="0" xfId="0" applyFont="1" applyAlignment="1">
      <alignment horizontal="center"/>
    </xf>
    <xf numFmtId="14" fontId="0" fillId="0" borderId="0" xfId="0" applyNumberFormat="1"/>
    <xf numFmtId="1" fontId="0" fillId="0" borderId="0" xfId="0" applyNumberFormat="1"/>
    <xf numFmtId="0" fontId="3" fillId="4" borderId="0" xfId="0" applyFont="1" applyFill="1" applyBorder="1" applyAlignment="1">
      <alignment horizontal="left" indent="36"/>
    </xf>
    <xf numFmtId="0" fontId="3" fillId="4" borderId="5" xfId="0" applyFont="1" applyFill="1" applyBorder="1" applyAlignment="1">
      <alignment horizontal="left" indent="36"/>
    </xf>
    <xf numFmtId="0" fontId="1" fillId="0" borderId="6" xfId="0" applyFont="1" applyBorder="1" applyAlignment="1">
      <alignment horizontal="center"/>
    </xf>
    <xf numFmtId="0" fontId="0" fillId="0" borderId="6" xfId="0" applyBorder="1"/>
    <xf numFmtId="14" fontId="0" fillId="0" borderId="6" xfId="0" applyNumberFormat="1" applyBorder="1"/>
    <xf numFmtId="164" fontId="0" fillId="0" borderId="6" xfId="0" applyNumberFormat="1" applyBorder="1"/>
    <xf numFmtId="164" fontId="0" fillId="0" borderId="0" xfId="0" applyNumberFormat="1"/>
    <xf numFmtId="0" fontId="3" fillId="4" borderId="4" xfId="0" applyFont="1" applyFill="1" applyBorder="1" applyAlignment="1">
      <alignment horizontal="center"/>
    </xf>
    <xf numFmtId="0" fontId="3" fillId="4" borderId="0" xfId="0" applyFont="1" applyFill="1" applyBorder="1" applyAlignment="1">
      <alignment horizontal="center"/>
    </xf>
    <xf numFmtId="0" fontId="2" fillId="5" borderId="6" xfId="0" applyFont="1" applyFill="1" applyBorder="1" applyAlignment="1" applyProtection="1">
      <alignment horizontal="center" vertical="center"/>
      <protection locked="0"/>
    </xf>
    <xf numFmtId="14" fontId="2" fillId="5" borderId="6" xfId="0" applyNumberFormat="1" applyFont="1" applyFill="1" applyBorder="1" applyAlignment="1" applyProtection="1">
      <alignment horizontal="center" vertical="center"/>
      <protection locked="0"/>
    </xf>
    <xf numFmtId="14" fontId="2" fillId="5" borderId="6" xfId="0" applyNumberFormat="1" applyFont="1" applyFill="1" applyBorder="1" applyAlignment="1" applyProtection="1">
      <alignment horizontal="center" vertical="center" wrapText="1"/>
      <protection locked="0"/>
    </xf>
    <xf numFmtId="0" fontId="2" fillId="5" borderId="6" xfId="0" applyFont="1" applyFill="1" applyBorder="1" applyAlignment="1" applyProtection="1">
      <alignment horizontal="center" vertical="center" wrapText="1"/>
      <protection locked="0"/>
    </xf>
    <xf numFmtId="0" fontId="0" fillId="0" borderId="6" xfId="0" applyBorder="1" applyAlignment="1">
      <alignment horizontal="center"/>
    </xf>
    <xf numFmtId="14" fontId="0" fillId="0" borderId="6" xfId="0" applyNumberFormat="1" applyBorder="1" applyAlignment="1">
      <alignment horizontal="center"/>
    </xf>
    <xf numFmtId="0" fontId="2" fillId="2" borderId="6" xfId="0" applyFont="1" applyFill="1" applyBorder="1" applyAlignment="1">
      <alignment horizontal="center" vertical="center" wrapText="1"/>
    </xf>
    <xf numFmtId="0" fontId="10" fillId="4" borderId="4" xfId="0" applyFont="1" applyFill="1" applyBorder="1" applyAlignment="1">
      <alignment horizontal="left" indent="36"/>
    </xf>
    <xf numFmtId="0" fontId="1" fillId="0" borderId="0" xfId="0" applyFont="1"/>
    <xf numFmtId="0" fontId="2" fillId="2" borderId="6" xfId="0" applyFont="1" applyFill="1" applyBorder="1" applyAlignment="1">
      <alignment horizontal="center" vertical="center"/>
    </xf>
    <xf numFmtId="0" fontId="0" fillId="3" borderId="0" xfId="0" applyFill="1"/>
    <xf numFmtId="0" fontId="0" fillId="3" borderId="0" xfId="0" applyFill="1" applyBorder="1"/>
    <xf numFmtId="0" fontId="0" fillId="4" borderId="0" xfId="0" applyFill="1"/>
    <xf numFmtId="0" fontId="12" fillId="0" borderId="13" xfId="0" applyFont="1" applyBorder="1"/>
    <xf numFmtId="0" fontId="0" fillId="0" borderId="0" xfId="0" applyAlignment="1">
      <alignment horizontal="center"/>
    </xf>
    <xf numFmtId="0" fontId="1" fillId="0" borderId="6" xfId="0" applyFont="1" applyBorder="1"/>
    <xf numFmtId="0" fontId="2" fillId="6" borderId="6" xfId="0" applyFont="1" applyFill="1" applyBorder="1" applyAlignment="1">
      <alignment horizontal="center" vertical="center"/>
    </xf>
    <xf numFmtId="0" fontId="2" fillId="6" borderId="6" xfId="0" applyFont="1" applyFill="1" applyBorder="1" applyAlignment="1">
      <alignment horizontal="center" vertical="center" wrapText="1"/>
    </xf>
    <xf numFmtId="14" fontId="2" fillId="6" borderId="6" xfId="0" applyNumberFormat="1" applyFont="1" applyFill="1" applyBorder="1" applyAlignment="1">
      <alignment horizontal="center" vertical="center"/>
    </xf>
    <xf numFmtId="164" fontId="2" fillId="6" borderId="6" xfId="0" applyNumberFormat="1" applyFont="1" applyFill="1" applyBorder="1" applyAlignment="1">
      <alignment horizontal="center" vertical="center" wrapText="1"/>
    </xf>
    <xf numFmtId="0" fontId="0" fillId="7" borderId="0" xfId="0" applyFill="1"/>
    <xf numFmtId="0" fontId="14" fillId="3" borderId="0" xfId="0" applyFont="1" applyFill="1" applyAlignment="1"/>
    <xf numFmtId="0" fontId="0" fillId="8" borderId="6" xfId="0" applyFill="1" applyBorder="1" applyAlignment="1">
      <alignment horizontal="center"/>
    </xf>
    <xf numFmtId="14" fontId="0" fillId="8" borderId="6" xfId="0" applyNumberFormat="1" applyFill="1" applyBorder="1" applyAlignment="1">
      <alignment horizontal="center"/>
    </xf>
    <xf numFmtId="0" fontId="0" fillId="8" borderId="6" xfId="0" applyFill="1" applyBorder="1"/>
    <xf numFmtId="14" fontId="0" fillId="8" borderId="6" xfId="0" applyNumberFormat="1" applyFill="1" applyBorder="1"/>
    <xf numFmtId="164" fontId="0" fillId="8" borderId="6" xfId="0" applyNumberFormat="1" applyFill="1" applyBorder="1" applyAlignment="1">
      <alignment horizontal="center"/>
    </xf>
    <xf numFmtId="164" fontId="0" fillId="8" borderId="6" xfId="0" applyNumberFormat="1" applyFill="1" applyBorder="1"/>
    <xf numFmtId="0" fontId="18" fillId="0" borderId="14" xfId="0" applyFont="1" applyBorder="1" applyAlignment="1">
      <alignment horizontal="left"/>
    </xf>
    <xf numFmtId="0" fontId="18" fillId="0" borderId="0" xfId="0" applyFont="1" applyFill="1" applyBorder="1" applyAlignment="1">
      <alignment horizontal="left"/>
    </xf>
    <xf numFmtId="0" fontId="0" fillId="8" borderId="0" xfId="0" applyFill="1"/>
    <xf numFmtId="0" fontId="16" fillId="2" borderId="6" xfId="0" applyFont="1" applyFill="1" applyBorder="1" applyAlignment="1">
      <alignment horizontal="center" vertical="center" wrapText="1"/>
    </xf>
    <xf numFmtId="0" fontId="15" fillId="2" borderId="6" xfId="0" applyFont="1" applyFill="1" applyBorder="1" applyAlignment="1">
      <alignment horizontal="center" vertical="center" wrapText="1"/>
    </xf>
    <xf numFmtId="14" fontId="15" fillId="2" borderId="6" xfId="0" applyNumberFormat="1" applyFont="1" applyFill="1" applyBorder="1" applyAlignment="1">
      <alignment horizontal="center" vertical="center" wrapText="1"/>
    </xf>
    <xf numFmtId="14" fontId="2" fillId="2" borderId="6" xfId="0" applyNumberFormat="1" applyFont="1" applyFill="1" applyBorder="1" applyAlignment="1">
      <alignment horizontal="center" vertical="center" wrapText="1"/>
    </xf>
    <xf numFmtId="0" fontId="0" fillId="0" borderId="6" xfId="0" applyNumberFormat="1" applyBorder="1"/>
    <xf numFmtId="0" fontId="12" fillId="0" borderId="13" xfId="0" applyFont="1" applyBorder="1" applyAlignment="1">
      <alignment horizontal="center"/>
    </xf>
    <xf numFmtId="164" fontId="0" fillId="0" borderId="6" xfId="0" applyNumberFormat="1" applyBorder="1" applyAlignment="1">
      <alignment horizontal="center"/>
    </xf>
    <xf numFmtId="14" fontId="12" fillId="0" borderId="13" xfId="0" applyNumberFormat="1" applyFont="1" applyBorder="1" applyAlignment="1">
      <alignment horizontal="center"/>
    </xf>
    <xf numFmtId="14" fontId="12" fillId="0" borderId="6" xfId="0" applyNumberFormat="1" applyFont="1" applyBorder="1" applyAlignment="1">
      <alignment horizontal="center"/>
    </xf>
    <xf numFmtId="14" fontId="0" fillId="0" borderId="0" xfId="0" applyNumberFormat="1" applyAlignment="1">
      <alignment horizontal="center"/>
    </xf>
    <xf numFmtId="164" fontId="0" fillId="0" borderId="0" xfId="0" applyNumberFormat="1" applyAlignment="1">
      <alignment horizontal="center"/>
    </xf>
    <xf numFmtId="0" fontId="10" fillId="4" borderId="4" xfId="0" applyFont="1" applyFill="1" applyBorder="1" applyAlignment="1">
      <alignment horizontal="center"/>
    </xf>
    <xf numFmtId="0" fontId="0" fillId="0" borderId="6" xfId="0" applyNumberFormat="1" applyBorder="1" applyAlignment="1">
      <alignment horizontal="center"/>
    </xf>
    <xf numFmtId="164" fontId="2" fillId="2" borderId="6" xfId="0" applyNumberFormat="1" applyFont="1" applyFill="1" applyBorder="1" applyAlignment="1">
      <alignment horizontal="center" vertical="center"/>
    </xf>
    <xf numFmtId="164" fontId="2" fillId="2" borderId="6" xfId="0" applyNumberFormat="1" applyFont="1" applyFill="1" applyBorder="1" applyAlignment="1">
      <alignment horizontal="center" vertical="center" wrapText="1"/>
    </xf>
    <xf numFmtId="164" fontId="0" fillId="8" borderId="6" xfId="0" applyNumberFormat="1" applyFont="1" applyFill="1" applyBorder="1" applyAlignment="1">
      <alignment horizontal="center"/>
    </xf>
    <xf numFmtId="1" fontId="0" fillId="0" borderId="6" xfId="0" applyNumberFormat="1" applyBorder="1" applyAlignment="1">
      <alignment horizontal="center"/>
    </xf>
    <xf numFmtId="1" fontId="2" fillId="2" borderId="6" xfId="0" applyNumberFormat="1" applyFont="1" applyFill="1" applyBorder="1" applyAlignment="1">
      <alignment horizontal="center" vertical="center" wrapText="1"/>
    </xf>
    <xf numFmtId="165" fontId="0" fillId="0" borderId="6" xfId="0" applyNumberFormat="1" applyBorder="1" applyAlignment="1">
      <alignment horizontal="center"/>
    </xf>
    <xf numFmtId="166" fontId="0" fillId="0" borderId="6" xfId="0" applyNumberFormat="1" applyBorder="1"/>
    <xf numFmtId="166" fontId="0" fillId="0" borderId="0" xfId="0" applyNumberFormat="1"/>
    <xf numFmtId="166" fontId="2" fillId="2" borderId="6" xfId="0" applyNumberFormat="1" applyFont="1" applyFill="1" applyBorder="1" applyAlignment="1">
      <alignment horizontal="center" vertical="center"/>
    </xf>
    <xf numFmtId="0" fontId="0" fillId="7" borderId="0" xfId="0" applyFill="1" applyBorder="1"/>
    <xf numFmtId="14" fontId="0" fillId="0" borderId="0" xfId="0" applyNumberFormat="1" applyBorder="1"/>
    <xf numFmtId="0" fontId="0" fillId="0" borderId="0" xfId="0" applyBorder="1"/>
    <xf numFmtId="166" fontId="0" fillId="0" borderId="0" xfId="0" applyNumberFormat="1" applyBorder="1"/>
    <xf numFmtId="14" fontId="0" fillId="7" borderId="0" xfId="0" applyNumberFormat="1" applyFill="1" applyBorder="1"/>
    <xf numFmtId="0" fontId="15"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16" fillId="3" borderId="0" xfId="0" applyFont="1" applyFill="1" applyBorder="1" applyAlignment="1">
      <alignment horizontal="center" vertical="center" wrapText="1"/>
    </xf>
    <xf numFmtId="14" fontId="15" fillId="3" borderId="0" xfId="0" applyNumberFormat="1" applyFont="1" applyFill="1" applyBorder="1" applyAlignment="1">
      <alignment horizontal="center" vertical="center" wrapText="1"/>
    </xf>
    <xf numFmtId="14" fontId="2" fillId="3" borderId="0" xfId="0" applyNumberFormat="1" applyFont="1" applyFill="1" applyBorder="1" applyAlignment="1">
      <alignment horizontal="center" vertical="center" wrapText="1"/>
    </xf>
    <xf numFmtId="0" fontId="0" fillId="0" borderId="6" xfId="0" applyBorder="1" applyProtection="1">
      <protection locked="0"/>
    </xf>
    <xf numFmtId="0" fontId="0" fillId="0" borderId="0" xfId="0" applyProtection="1">
      <protection locked="0"/>
    </xf>
    <xf numFmtId="0" fontId="0" fillId="0" borderId="0" xfId="0" applyProtection="1"/>
    <xf numFmtId="0" fontId="3" fillId="4" borderId="4" xfId="0" applyFont="1" applyFill="1" applyBorder="1" applyAlignment="1" applyProtection="1">
      <alignment horizontal="left" indent="36"/>
    </xf>
    <xf numFmtId="0" fontId="3" fillId="4" borderId="0" xfId="0" applyFont="1" applyFill="1" applyBorder="1" applyAlignment="1" applyProtection="1">
      <alignment horizontal="left" indent="36"/>
    </xf>
    <xf numFmtId="0" fontId="3" fillId="4" borderId="5" xfId="0" applyFont="1" applyFill="1" applyBorder="1" applyAlignment="1" applyProtection="1">
      <alignment horizontal="left" indent="36"/>
    </xf>
    <xf numFmtId="0" fontId="6" fillId="5" borderId="6" xfId="0" applyFont="1" applyFill="1" applyBorder="1" applyAlignment="1" applyProtection="1">
      <alignment horizontal="center"/>
    </xf>
    <xf numFmtId="0" fontId="7" fillId="5" borderId="6" xfId="0" applyFont="1" applyFill="1" applyBorder="1" applyAlignment="1" applyProtection="1">
      <alignment horizontal="center" vertical="top"/>
    </xf>
    <xf numFmtId="0" fontId="7" fillId="5" borderId="6" xfId="0" applyFont="1" applyFill="1" applyBorder="1" applyAlignment="1" applyProtection="1">
      <alignment vertical="top"/>
    </xf>
    <xf numFmtId="14" fontId="7" fillId="5" borderId="6" xfId="0" applyNumberFormat="1" applyFont="1" applyFill="1" applyBorder="1" applyAlignment="1" applyProtection="1">
      <alignment horizontal="center" vertical="top"/>
    </xf>
    <xf numFmtId="0" fontId="8" fillId="5" borderId="6" xfId="0" applyFont="1" applyFill="1" applyBorder="1" applyProtection="1"/>
    <xf numFmtId="0" fontId="7" fillId="5" borderId="6" xfId="0" applyFont="1" applyFill="1" applyBorder="1" applyAlignment="1" applyProtection="1">
      <alignment vertical="center"/>
    </xf>
    <xf numFmtId="0" fontId="7" fillId="5" borderId="6" xfId="0" applyFont="1" applyFill="1" applyBorder="1" applyAlignment="1" applyProtection="1">
      <alignment horizontal="center" vertical="center"/>
    </xf>
    <xf numFmtId="14" fontId="9" fillId="5" borderId="6" xfId="0" applyNumberFormat="1" applyFont="1" applyFill="1" applyBorder="1" applyAlignment="1" applyProtection="1">
      <alignment horizontal="center" vertical="top"/>
    </xf>
    <xf numFmtId="164" fontId="7" fillId="5" borderId="6" xfId="0" applyNumberFormat="1" applyFont="1" applyFill="1" applyBorder="1" applyAlignment="1" applyProtection="1">
      <alignment horizontal="center" vertical="top"/>
    </xf>
    <xf numFmtId="0" fontId="5" fillId="5" borderId="6" xfId="0" applyFont="1" applyFill="1" applyBorder="1" applyAlignment="1" applyProtection="1">
      <alignment horizontal="center" vertical="top"/>
    </xf>
    <xf numFmtId="0" fontId="2" fillId="5" borderId="6" xfId="0" applyFont="1" applyFill="1" applyBorder="1" applyAlignment="1" applyProtection="1">
      <alignment horizontal="center" vertical="center"/>
    </xf>
    <xf numFmtId="0" fontId="1" fillId="0" borderId="6" xfId="0" applyFont="1" applyBorder="1" applyAlignment="1" applyProtection="1">
      <alignment horizontal="center"/>
    </xf>
    <xf numFmtId="0" fontId="0" fillId="8" borderId="6" xfId="0" applyFill="1" applyBorder="1" applyProtection="1"/>
    <xf numFmtId="0" fontId="0" fillId="0" borderId="6" xfId="0" applyBorder="1" applyProtection="1"/>
    <xf numFmtId="0" fontId="7" fillId="8" borderId="6" xfId="0" applyFont="1" applyFill="1" applyBorder="1" applyAlignment="1" applyProtection="1">
      <alignment vertical="top"/>
    </xf>
    <xf numFmtId="1" fontId="0" fillId="8" borderId="6" xfId="0" applyNumberFormat="1" applyFill="1" applyBorder="1" applyProtection="1"/>
    <xf numFmtId="166" fontId="7" fillId="8" borderId="6" xfId="0" applyNumberFormat="1" applyFont="1" applyFill="1" applyBorder="1" applyAlignment="1" applyProtection="1">
      <alignment vertical="top"/>
    </xf>
    <xf numFmtId="1" fontId="0" fillId="7" borderId="6" xfId="0" applyNumberFormat="1" applyFill="1" applyBorder="1" applyProtection="1"/>
    <xf numFmtId="166" fontId="0" fillId="0" borderId="6" xfId="0" applyNumberFormat="1" applyBorder="1" applyProtection="1"/>
    <xf numFmtId="0" fontId="1" fillId="0" borderId="0" xfId="0" applyFont="1" applyAlignment="1" applyProtection="1">
      <alignment horizontal="center"/>
    </xf>
    <xf numFmtId="1" fontId="0" fillId="7" borderId="0" xfId="0" applyNumberFormat="1" applyFill="1" applyProtection="1"/>
    <xf numFmtId="166" fontId="0" fillId="0" borderId="0" xfId="0" applyNumberFormat="1" applyProtection="1"/>
    <xf numFmtId="14" fontId="0" fillId="0" borderId="6" xfId="0" applyNumberFormat="1" applyBorder="1" applyProtection="1">
      <protection locked="0"/>
    </xf>
    <xf numFmtId="14" fontId="0" fillId="0" borderId="0" xfId="0" applyNumberFormat="1" applyProtection="1">
      <protection locked="0"/>
    </xf>
    <xf numFmtId="164" fontId="0" fillId="0" borderId="6" xfId="0" applyNumberFormat="1" applyBorder="1" applyProtection="1">
      <protection locked="0"/>
    </xf>
    <xf numFmtId="164" fontId="0" fillId="0" borderId="0" xfId="0" applyNumberFormat="1" applyProtection="1">
      <protection locked="0"/>
    </xf>
    <xf numFmtId="0" fontId="2" fillId="2" borderId="15" xfId="0" applyFont="1" applyFill="1" applyBorder="1" applyAlignment="1">
      <alignment horizontal="center" vertical="center"/>
    </xf>
    <xf numFmtId="0" fontId="2" fillId="3" borderId="16" xfId="0" applyFont="1" applyFill="1" applyBorder="1" applyAlignment="1">
      <alignment horizontal="center" vertical="center"/>
    </xf>
    <xf numFmtId="0" fontId="12" fillId="3" borderId="16" xfId="0" applyFont="1" applyFill="1" applyBorder="1"/>
    <xf numFmtId="0" fontId="0" fillId="0" borderId="0" xfId="0" applyNumberFormat="1"/>
    <xf numFmtId="0" fontId="0" fillId="0" borderId="0" xfId="0" applyAlignment="1">
      <alignment horizontal="right"/>
    </xf>
    <xf numFmtId="164" fontId="0" fillId="0" borderId="0" xfId="0" applyNumberFormat="1" applyAlignment="1">
      <alignment horizontal="right"/>
    </xf>
    <xf numFmtId="9" fontId="0" fillId="0" borderId="0" xfId="1" applyFont="1"/>
    <xf numFmtId="0" fontId="3" fillId="3" borderId="1" xfId="0" applyFont="1" applyFill="1" applyBorder="1" applyAlignment="1" applyProtection="1">
      <alignment horizontal="left" indent="72"/>
    </xf>
    <xf numFmtId="0" fontId="3" fillId="3" borderId="2" xfId="0" applyFont="1" applyFill="1" applyBorder="1" applyAlignment="1" applyProtection="1">
      <alignment horizontal="left" indent="72"/>
    </xf>
    <xf numFmtId="0" fontId="3" fillId="3" borderId="3" xfId="0" applyFont="1" applyFill="1" applyBorder="1" applyAlignment="1" applyProtection="1">
      <alignment horizontal="left" indent="72"/>
    </xf>
    <xf numFmtId="0" fontId="3" fillId="3" borderId="4" xfId="0" applyFont="1" applyFill="1" applyBorder="1" applyAlignment="1" applyProtection="1">
      <alignment horizontal="left" indent="72"/>
    </xf>
    <xf numFmtId="0" fontId="3" fillId="3" borderId="0" xfId="0" applyFont="1" applyFill="1" applyBorder="1" applyAlignment="1" applyProtection="1">
      <alignment horizontal="left" indent="72"/>
    </xf>
    <xf numFmtId="0" fontId="3" fillId="3" borderId="5" xfId="0" applyFont="1" applyFill="1" applyBorder="1" applyAlignment="1" applyProtection="1">
      <alignment horizontal="left" indent="72"/>
    </xf>
    <xf numFmtId="0" fontId="4" fillId="3" borderId="7" xfId="0" applyFont="1" applyFill="1" applyBorder="1" applyAlignment="1" applyProtection="1">
      <alignment horizontal="left" indent="83"/>
    </xf>
    <xf numFmtId="0" fontId="4" fillId="3" borderId="8" xfId="0" applyFont="1" applyFill="1" applyBorder="1" applyAlignment="1" applyProtection="1">
      <alignment horizontal="left" indent="83"/>
    </xf>
    <xf numFmtId="0" fontId="4" fillId="3" borderId="9" xfId="0" applyFont="1" applyFill="1" applyBorder="1" applyAlignment="1" applyProtection="1">
      <alignment horizontal="left" indent="83"/>
    </xf>
    <xf numFmtId="0" fontId="3" fillId="3" borderId="1" xfId="0" applyFont="1" applyFill="1" applyBorder="1" applyAlignment="1">
      <alignment horizontal="left" indent="36"/>
    </xf>
    <xf numFmtId="0" fontId="3" fillId="3" borderId="2" xfId="0" applyFont="1" applyFill="1" applyBorder="1" applyAlignment="1">
      <alignment horizontal="left" indent="36"/>
    </xf>
    <xf numFmtId="0" fontId="3" fillId="3" borderId="4" xfId="0" applyFont="1" applyFill="1" applyBorder="1" applyAlignment="1">
      <alignment horizontal="left" indent="36"/>
    </xf>
    <xf numFmtId="0" fontId="3" fillId="3" borderId="0" xfId="0" applyFont="1" applyFill="1" applyBorder="1" applyAlignment="1">
      <alignment horizontal="left" indent="36"/>
    </xf>
    <xf numFmtId="0" fontId="4" fillId="3" borderId="7" xfId="0" applyFont="1" applyFill="1" applyBorder="1" applyAlignment="1">
      <alignment horizontal="left" indent="65"/>
    </xf>
    <xf numFmtId="0" fontId="4" fillId="3" borderId="8" xfId="0" applyFont="1" applyFill="1" applyBorder="1" applyAlignment="1">
      <alignment horizontal="left" indent="65"/>
    </xf>
    <xf numFmtId="0" fontId="3" fillId="3" borderId="10" xfId="0" applyFont="1" applyFill="1" applyBorder="1" applyAlignment="1">
      <alignment horizontal="left" indent="17"/>
    </xf>
    <xf numFmtId="0" fontId="3" fillId="3" borderId="11" xfId="0" applyFont="1" applyFill="1" applyBorder="1" applyAlignment="1">
      <alignment horizontal="left" indent="17"/>
    </xf>
    <xf numFmtId="0" fontId="3" fillId="3" borderId="12" xfId="0" applyFont="1" applyFill="1" applyBorder="1" applyAlignment="1">
      <alignment horizontal="left" indent="17"/>
    </xf>
    <xf numFmtId="0" fontId="3" fillId="3" borderId="8" xfId="0" applyFont="1" applyFill="1" applyBorder="1" applyAlignment="1">
      <alignment horizontal="left" indent="17"/>
    </xf>
    <xf numFmtId="0" fontId="4" fillId="3" borderId="4" xfId="0" applyFont="1" applyFill="1" applyBorder="1" applyAlignment="1">
      <alignment horizontal="left" indent="46"/>
    </xf>
    <xf numFmtId="0" fontId="4" fillId="3" borderId="0" xfId="0" applyFont="1" applyFill="1" applyBorder="1" applyAlignment="1">
      <alignment horizontal="left" indent="46"/>
    </xf>
    <xf numFmtId="0" fontId="4" fillId="3" borderId="5" xfId="0" applyFont="1" applyFill="1" applyBorder="1" applyAlignment="1">
      <alignment horizontal="left" indent="46"/>
    </xf>
    <xf numFmtId="0" fontId="3" fillId="3" borderId="1" xfId="0" applyFont="1" applyFill="1" applyBorder="1" applyAlignment="1">
      <alignment horizontal="left" indent="21"/>
    </xf>
    <xf numFmtId="0" fontId="3" fillId="3" borderId="2" xfId="0" applyFont="1" applyFill="1" applyBorder="1" applyAlignment="1">
      <alignment horizontal="left" indent="21"/>
    </xf>
    <xf numFmtId="0" fontId="3" fillId="3" borderId="4" xfId="0" applyFont="1" applyFill="1" applyBorder="1" applyAlignment="1">
      <alignment horizontal="left" indent="21"/>
    </xf>
    <xf numFmtId="0" fontId="3" fillId="3" borderId="0" xfId="0" applyFont="1" applyFill="1" applyBorder="1" applyAlignment="1">
      <alignment horizontal="left" indent="21"/>
    </xf>
    <xf numFmtId="0" fontId="4" fillId="3" borderId="4" xfId="0" applyFont="1" applyFill="1" applyBorder="1" applyAlignment="1">
      <alignment horizontal="left" indent="51"/>
    </xf>
    <xf numFmtId="0" fontId="4" fillId="3" borderId="0" xfId="0" applyFont="1" applyFill="1" applyBorder="1" applyAlignment="1">
      <alignment horizontal="left" indent="51"/>
    </xf>
    <xf numFmtId="0" fontId="13" fillId="3" borderId="0" xfId="0" applyFont="1" applyFill="1" applyAlignment="1">
      <alignment horizontal="left"/>
    </xf>
    <xf numFmtId="0" fontId="13" fillId="3" borderId="0" xfId="0" applyFont="1" applyFill="1" applyAlignment="1">
      <alignment horizontal="left" indent="5"/>
    </xf>
    <xf numFmtId="0" fontId="4" fillId="3" borderId="4" xfId="0" applyFont="1" applyFill="1" applyBorder="1" applyAlignment="1">
      <alignment horizontal="left" indent="49"/>
    </xf>
    <xf numFmtId="0" fontId="4" fillId="3" borderId="0" xfId="0" applyFont="1" applyFill="1" applyBorder="1" applyAlignment="1">
      <alignment horizontal="left" indent="49"/>
    </xf>
    <xf numFmtId="0" fontId="13" fillId="3" borderId="0" xfId="0" applyFont="1" applyFill="1" applyAlignment="1">
      <alignment horizontal="left" indent="3"/>
    </xf>
    <xf numFmtId="0" fontId="4" fillId="3" borderId="4" xfId="0" applyFont="1" applyFill="1" applyBorder="1" applyAlignment="1">
      <alignment horizontal="left" indent="66"/>
    </xf>
    <xf numFmtId="0" fontId="4" fillId="3" borderId="0" xfId="0" applyFont="1" applyFill="1" applyBorder="1" applyAlignment="1">
      <alignment horizontal="left" indent="66"/>
    </xf>
    <xf numFmtId="0" fontId="3" fillId="3" borderId="1" xfId="0" applyFont="1" applyFill="1" applyBorder="1" applyAlignment="1">
      <alignment horizontal="left" indent="24"/>
    </xf>
    <xf numFmtId="0" fontId="3" fillId="3" borderId="2" xfId="0" applyFont="1" applyFill="1" applyBorder="1" applyAlignment="1">
      <alignment horizontal="left" indent="24"/>
    </xf>
    <xf numFmtId="0" fontId="3" fillId="3" borderId="4" xfId="0" applyFont="1" applyFill="1" applyBorder="1" applyAlignment="1">
      <alignment horizontal="left" indent="24"/>
    </xf>
    <xf numFmtId="0" fontId="3" fillId="3" borderId="0" xfId="0" applyFont="1" applyFill="1" applyBorder="1" applyAlignment="1">
      <alignment horizontal="left" indent="24"/>
    </xf>
    <xf numFmtId="0" fontId="4" fillId="3" borderId="4" xfId="0" applyFont="1" applyFill="1" applyBorder="1" applyAlignment="1">
      <alignment horizontal="left" indent="53"/>
    </xf>
    <xf numFmtId="0" fontId="4" fillId="3" borderId="0" xfId="0" applyFont="1" applyFill="1" applyBorder="1" applyAlignment="1">
      <alignment horizontal="left" indent="53"/>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3" fillId="3" borderId="8" xfId="0" applyFont="1" applyFill="1" applyBorder="1" applyAlignment="1">
      <alignment horizontal="center"/>
    </xf>
    <xf numFmtId="0" fontId="4" fillId="3" borderId="0" xfId="0" applyFont="1" applyFill="1" applyBorder="1" applyAlignment="1">
      <alignment horizontal="center"/>
    </xf>
    <xf numFmtId="0" fontId="0" fillId="3" borderId="0" xfId="0" applyFill="1" applyBorder="1" applyAlignment="1">
      <alignment horizontal="center"/>
    </xf>
  </cellXfs>
  <cellStyles count="2">
    <cellStyle name="Normal" xfId="0" builtinId="0"/>
    <cellStyle name="Per cent" xfId="1" builtinId="5"/>
  </cellStyles>
  <dxfs count="6">
    <dxf>
      <numFmt numFmtId="19" formatCode="dd/mm/yyyy"/>
    </dxf>
    <dxf>
      <numFmt numFmtId="164" formatCode="&quot;Rs&quot;#,##0"/>
    </dxf>
    <dxf>
      <numFmt numFmtId="164" formatCode="&quot;Rs&quot;#,##0"/>
    </dxf>
    <dxf>
      <font>
        <b/>
        <i/>
        <u val="none"/>
        <color theme="1"/>
      </font>
      <fill>
        <patternFill>
          <fgColor rgb="FF00B0F0"/>
          <bgColor rgb="FF00B0F0"/>
        </patternFill>
      </fill>
    </dxf>
    <dxf>
      <font>
        <b/>
        <i/>
        <color theme="1"/>
      </font>
      <fill>
        <patternFill>
          <fgColor rgb="FFFF8588"/>
          <bgColor rgb="FFFF8588"/>
        </patternFill>
      </fill>
    </dxf>
    <dxf>
      <font>
        <b/>
        <i/>
        <color theme="1"/>
      </font>
      <fill>
        <patternFill>
          <fgColor rgb="FFEC77FF"/>
          <bgColor rgb="FFEC77FF"/>
        </patternFill>
      </fill>
    </dxf>
  </dxfs>
  <tableStyles count="0" defaultTableStyle="TableStyleMedium2" defaultPivotStyle="PivotStyleLight16"/>
  <colors>
    <mruColors>
      <color rgb="FF8C8787"/>
      <color rgb="FFFF8588"/>
      <color rgb="FFAFF965"/>
      <color rgb="FFD7FFCA"/>
      <color rgb="FF323E4E"/>
      <color rgb="FFB5C7E8"/>
      <color rgb="FFEC7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15097416831805"/>
          <c:y val="7.2529969468102196E-2"/>
          <c:w val="0.48280272872349761"/>
          <c:h val="0.88480989876265481"/>
        </c:manualLayout>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A50-6F48-A0BD-EA58E296661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A50-6F48-A0BD-EA58E296661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A50-6F48-A0BD-EA58E29666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PK"/>
              </a:p>
            </c:txPr>
            <c:showLegendKey val="0"/>
            <c:showVal val="0"/>
            <c:showCatName val="1"/>
            <c:showSerName val="0"/>
            <c:showPercent val="1"/>
            <c:showBubbleSize val="0"/>
            <c:separator>
</c:separator>
            <c:showLeaderLines val="0"/>
            <c:extLst>
              <c:ext xmlns:c15="http://schemas.microsoft.com/office/drawing/2012/chart" uri="{CE6537A1-D6FC-4f65-9D91-7224C49458BB}"/>
            </c:extLst>
          </c:dLbls>
          <c:cat>
            <c:strRef>
              <c:f>(Sheet4!$K$1,Sheet4!$N$1,Sheet4!$P$1)</c:f>
              <c:strCache>
                <c:ptCount val="3"/>
                <c:pt idx="0">
                  <c:v>sales</c:v>
                </c:pt>
                <c:pt idx="1">
                  <c:v>profit</c:v>
                </c:pt>
                <c:pt idx="2">
                  <c:v>cost</c:v>
                </c:pt>
              </c:strCache>
            </c:strRef>
          </c:cat>
          <c:val>
            <c:numRef>
              <c:f>(Sheet4!$L$1,Sheet4!$O$1,Sheet4!$Q$1)</c:f>
              <c:numCache>
                <c:formatCode>"Rs"#,##0</c:formatCode>
                <c:ptCount val="3"/>
                <c:pt idx="0">
                  <c:v>204400</c:v>
                </c:pt>
                <c:pt idx="1">
                  <c:v>-38800</c:v>
                </c:pt>
                <c:pt idx="2">
                  <c:v>243200</c:v>
                </c:pt>
              </c:numCache>
            </c:numRef>
          </c:val>
          <c:extLst>
            <c:ext xmlns:c16="http://schemas.microsoft.com/office/drawing/2014/chart" uri="{C3380CC4-5D6E-409C-BE32-E72D297353CC}">
              <c16:uniqueId val="{00000006-8A50-6F48-A0BD-EA58E2966611}"/>
            </c:ext>
          </c:extLst>
        </c:ser>
        <c:dLbls>
          <c:showLegendKey val="0"/>
          <c:showVal val="0"/>
          <c:showCatName val="0"/>
          <c:showSerName val="0"/>
          <c:showPercent val="0"/>
          <c:showBubbleSize val="0"/>
          <c:showLeaderLines val="0"/>
        </c:dLbls>
        <c:firstSliceAng val="317"/>
        <c:holeSize val="55"/>
      </c:doughnutChart>
      <c:spPr>
        <a:noFill/>
        <a:ln>
          <a:noFill/>
        </a:ln>
        <a:effectLst/>
      </c:spPr>
    </c:plotArea>
    <c:legend>
      <c:legendPos val="b"/>
      <c:layout>
        <c:manualLayout>
          <c:xMode val="edge"/>
          <c:yMode val="edge"/>
          <c:x val="0.72307384739491087"/>
          <c:y val="0.24542760726337784"/>
          <c:w val="0.17968749451975516"/>
          <c:h val="0.3708989233488670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lt1">
                  <a:lumMod val="85000"/>
                </a:schemeClr>
              </a:solidFill>
              <a:latin typeface="Cooper Black" panose="0208090404030B020404" pitchFamily="18" charset="77"/>
              <a:ea typeface="+mn-ea"/>
              <a:cs typeface="+mn-cs"/>
            </a:defRPr>
          </a:pPr>
          <a:endParaRPr lang="en-P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P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110012844139183E-2"/>
          <c:y val="2.6284124664057707E-2"/>
          <c:w val="0.85223512732648765"/>
          <c:h val="0.85897435897435892"/>
        </c:manualLayout>
      </c:layout>
      <c:barChart>
        <c:barDir val="col"/>
        <c:grouping val="clustered"/>
        <c:varyColors val="0"/>
        <c:ser>
          <c:idx val="0"/>
          <c:order val="0"/>
          <c:spPr>
            <a:solidFill>
              <a:srgbClr val="AFF965"/>
            </a:solidFill>
            <a:ln>
              <a:noFill/>
            </a:ln>
            <a:effectLst/>
          </c:spPr>
          <c:invertIfNegative val="0"/>
          <c:cat>
            <c:strRef>
              <c:f>Sheet4!$P$4:$P$10</c:f>
              <c:strCache>
                <c:ptCount val="7"/>
                <c:pt idx="0">
                  <c:v>Total sold</c:v>
                </c:pt>
                <c:pt idx="1">
                  <c:v>Males sold </c:v>
                </c:pt>
                <c:pt idx="2">
                  <c:v>Females Sold</c:v>
                </c:pt>
                <c:pt idx="4">
                  <c:v>Total Mortality</c:v>
                </c:pt>
                <c:pt idx="5">
                  <c:v>Male Deaths </c:v>
                </c:pt>
                <c:pt idx="6">
                  <c:v>Female Deaths</c:v>
                </c:pt>
              </c:strCache>
            </c:strRef>
          </c:cat>
          <c:val>
            <c:numRef>
              <c:f>Sheet4!$Q$4:$Q$10</c:f>
              <c:numCache>
                <c:formatCode>General</c:formatCode>
                <c:ptCount val="7"/>
                <c:pt idx="0">
                  <c:v>8</c:v>
                </c:pt>
                <c:pt idx="1">
                  <c:v>3</c:v>
                </c:pt>
                <c:pt idx="2">
                  <c:v>1</c:v>
                </c:pt>
                <c:pt idx="4">
                  <c:v>3</c:v>
                </c:pt>
                <c:pt idx="5">
                  <c:v>3</c:v>
                </c:pt>
                <c:pt idx="6">
                  <c:v>0</c:v>
                </c:pt>
              </c:numCache>
            </c:numRef>
          </c:val>
          <c:extLst>
            <c:ext xmlns:c16="http://schemas.microsoft.com/office/drawing/2014/chart" uri="{C3380CC4-5D6E-409C-BE32-E72D297353CC}">
              <c16:uniqueId val="{00000000-E0F5-AA4E-BE0E-00706AC24748}"/>
            </c:ext>
          </c:extLst>
        </c:ser>
        <c:dLbls>
          <c:showLegendKey val="0"/>
          <c:showVal val="0"/>
          <c:showCatName val="0"/>
          <c:showSerName val="0"/>
          <c:showPercent val="0"/>
          <c:showBubbleSize val="0"/>
        </c:dLbls>
        <c:gapWidth val="182"/>
        <c:axId val="865196319"/>
        <c:axId val="875638415"/>
      </c:barChart>
      <c:catAx>
        <c:axId val="865196319"/>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AFF965"/>
                </a:solidFill>
                <a:latin typeface="+mn-lt"/>
                <a:ea typeface="+mn-ea"/>
                <a:cs typeface="+mn-cs"/>
              </a:defRPr>
            </a:pPr>
            <a:endParaRPr lang="en-PK"/>
          </a:p>
        </c:txPr>
        <c:crossAx val="875638415"/>
        <c:crosses val="autoZero"/>
        <c:auto val="1"/>
        <c:lblAlgn val="ctr"/>
        <c:lblOffset val="100"/>
        <c:noMultiLvlLbl val="0"/>
      </c:catAx>
      <c:valAx>
        <c:axId val="875638415"/>
        <c:scaling>
          <c:orientation val="minMax"/>
        </c:scaling>
        <c:delete val="1"/>
        <c:axPos val="l"/>
        <c:numFmt formatCode="General" sourceLinked="1"/>
        <c:majorTickMark val="none"/>
        <c:minorTickMark val="none"/>
        <c:tickLblPos val="nextTo"/>
        <c:crossAx val="865196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P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Sheet4!$M$3" fmlaRange="Sheet4!$O$2:$O$14" noThreeD="1" sel="1" val="0"/>
</file>

<file path=xl/ctrlProps/ctrlProp2.xml><?xml version="1.0" encoding="utf-8"?>
<formControlPr xmlns="http://schemas.microsoft.com/office/spreadsheetml/2009/9/main" objectType="Drop" dropStyle="combo" dx="15" fmlaLink="Sheet4!$M$4" fmlaRange="Sheet4!$N$2:$N$14" noThreeD="1" sel="1" val="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289891</xdr:colOff>
      <xdr:row>0</xdr:row>
      <xdr:rowOff>0</xdr:rowOff>
    </xdr:from>
    <xdr:to>
      <xdr:col>20</xdr:col>
      <xdr:colOff>427935</xdr:colOff>
      <xdr:row>44</xdr:row>
      <xdr:rowOff>41413</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1118152" y="0"/>
          <a:ext cx="15875000" cy="9152283"/>
        </a:xfrm>
        <a:prstGeom prst="rect">
          <a:avLst/>
        </a:prstGeom>
        <a:solidFill>
          <a:srgbClr val="D7FFC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342900</xdr:colOff>
      <xdr:row>1</xdr:row>
      <xdr:rowOff>25400</xdr:rowOff>
    </xdr:from>
    <xdr:to>
      <xdr:col>3</xdr:col>
      <xdr:colOff>673100</xdr:colOff>
      <xdr:row>32</xdr:row>
      <xdr:rowOff>190500</xdr:rowOff>
    </xdr:to>
    <xdr:sp macro="" textlink="">
      <xdr:nvSpPr>
        <xdr:cNvPr id="4" name="Round Diagonal Corner of Rectangle 3">
          <a:extLst>
            <a:ext uri="{FF2B5EF4-FFF2-40B4-BE49-F238E27FC236}">
              <a16:creationId xmlns:a16="http://schemas.microsoft.com/office/drawing/2014/main" id="{00000000-0008-0000-0000-000004000000}"/>
            </a:ext>
          </a:extLst>
        </xdr:cNvPr>
        <xdr:cNvSpPr/>
      </xdr:nvSpPr>
      <xdr:spPr>
        <a:xfrm>
          <a:off x="1168400" y="228600"/>
          <a:ext cx="1981200" cy="6464300"/>
        </a:xfrm>
        <a:prstGeom prst="round2Diag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38100</xdr:colOff>
      <xdr:row>24</xdr:row>
      <xdr:rowOff>38100</xdr:rowOff>
    </xdr:from>
    <xdr:to>
      <xdr:col>7</xdr:col>
      <xdr:colOff>774700</xdr:colOff>
      <xdr:row>32</xdr:row>
      <xdr:rowOff>88900</xdr:rowOff>
    </xdr:to>
    <xdr:sp macro="" textlink="">
      <xdr:nvSpPr>
        <xdr:cNvPr id="7" name="Rounded Rectangle 6">
          <a:extLst>
            <a:ext uri="{FF2B5EF4-FFF2-40B4-BE49-F238E27FC236}">
              <a16:creationId xmlns:a16="http://schemas.microsoft.com/office/drawing/2014/main" id="{00000000-0008-0000-0000-000007000000}"/>
            </a:ext>
          </a:extLst>
        </xdr:cNvPr>
        <xdr:cNvSpPr/>
      </xdr:nvSpPr>
      <xdr:spPr>
        <a:xfrm>
          <a:off x="3340100" y="4914900"/>
          <a:ext cx="3213100" cy="1676400"/>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solidFill>
              <a:schemeClr val="bg2">
                <a:lumMod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495300</xdr:colOff>
          <xdr:row>7</xdr:row>
          <xdr:rowOff>101600</xdr:rowOff>
        </xdr:from>
        <xdr:to>
          <xdr:col>3</xdr:col>
          <xdr:colOff>495300</xdr:colOff>
          <xdr:row>9</xdr:row>
          <xdr:rowOff>25400</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9</xdr:row>
          <xdr:rowOff>88900</xdr:rowOff>
        </xdr:from>
        <xdr:to>
          <xdr:col>3</xdr:col>
          <xdr:colOff>495300</xdr:colOff>
          <xdr:row>11</xdr:row>
          <xdr:rowOff>12700</xdr:rowOff>
        </xdr:to>
        <xdr:sp macro="" textlink="">
          <xdr:nvSpPr>
            <xdr:cNvPr id="2051" name="Drop Dow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447261</xdr:colOff>
      <xdr:row>27</xdr:row>
      <xdr:rowOff>82826</xdr:rowOff>
    </xdr:from>
    <xdr:to>
      <xdr:col>7</xdr:col>
      <xdr:colOff>495300</xdr:colOff>
      <xdr:row>30</xdr:row>
      <xdr:rowOff>57426</xdr:rowOff>
    </xdr:to>
    <xdr:sp macro="" textlink="Sheet4!L1">
      <xdr:nvSpPr>
        <xdr:cNvPr id="2" name="TextBox 1">
          <a:extLst>
            <a:ext uri="{FF2B5EF4-FFF2-40B4-BE49-F238E27FC236}">
              <a16:creationId xmlns:a16="http://schemas.microsoft.com/office/drawing/2014/main" id="{00000000-0008-0000-0000-000002000000}"/>
            </a:ext>
          </a:extLst>
        </xdr:cNvPr>
        <xdr:cNvSpPr txBox="1"/>
      </xdr:nvSpPr>
      <xdr:spPr>
        <a:xfrm>
          <a:off x="3749261" y="5569226"/>
          <a:ext cx="2524539"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79896CC-78D4-154E-91F6-F252229F1151}" type="TxLink">
            <a:rPr lang="en-US" sz="2800" b="0" i="0" u="none" strike="noStrike">
              <a:solidFill>
                <a:srgbClr val="AFF965"/>
              </a:solidFill>
              <a:latin typeface="Arial Rounded MT Bold" panose="020F0704030504030204" pitchFamily="34" charset="77"/>
              <a:cs typeface="Calibri"/>
            </a:rPr>
            <a:pPr/>
            <a:t>Rs204,400</a:t>
          </a:fld>
          <a:endParaRPr lang="en-GB" sz="2400">
            <a:solidFill>
              <a:srgbClr val="AFF965"/>
            </a:solidFill>
            <a:latin typeface="Arial Rounded MT Bold" panose="020F0704030504030204" pitchFamily="34" charset="77"/>
          </a:endParaRPr>
        </a:p>
      </xdr:txBody>
    </xdr:sp>
    <xdr:clientData/>
  </xdr:twoCellAnchor>
  <xdr:twoCellAnchor>
    <xdr:from>
      <xdr:col>4</xdr:col>
      <xdr:colOff>76200</xdr:colOff>
      <xdr:row>24</xdr:row>
      <xdr:rowOff>177800</xdr:rowOff>
    </xdr:from>
    <xdr:to>
      <xdr:col>7</xdr:col>
      <xdr:colOff>127000</xdr:colOff>
      <xdr:row>27</xdr:row>
      <xdr:rowOff>152400</xdr:rowOff>
    </xdr:to>
    <xdr:sp macro="" textlink="Sheet4!L1">
      <xdr:nvSpPr>
        <xdr:cNvPr id="15" name="TextBox 14">
          <a:extLst>
            <a:ext uri="{FF2B5EF4-FFF2-40B4-BE49-F238E27FC236}">
              <a16:creationId xmlns:a16="http://schemas.microsoft.com/office/drawing/2014/main" id="{00000000-0008-0000-0000-00000F000000}"/>
            </a:ext>
          </a:extLst>
        </xdr:cNvPr>
        <xdr:cNvSpPr txBox="1"/>
      </xdr:nvSpPr>
      <xdr:spPr>
        <a:xfrm>
          <a:off x="3378200" y="5054600"/>
          <a:ext cx="252730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ACADEMY ENGRAVED LET PLAIN:1.0" panose="02000000000000000000" pitchFamily="2" charset="0"/>
            </a:rPr>
            <a:t>Total revenue</a:t>
          </a:r>
        </a:p>
      </xdr:txBody>
    </xdr:sp>
    <xdr:clientData/>
  </xdr:twoCellAnchor>
  <xdr:twoCellAnchor>
    <xdr:from>
      <xdr:col>3</xdr:col>
      <xdr:colOff>721139</xdr:colOff>
      <xdr:row>1</xdr:row>
      <xdr:rowOff>40860</xdr:rowOff>
    </xdr:from>
    <xdr:to>
      <xdr:col>20</xdr:col>
      <xdr:colOff>199887</xdr:colOff>
      <xdr:row>5</xdr:row>
      <xdr:rowOff>38099</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3197639" y="244060"/>
          <a:ext cx="13512248" cy="810039"/>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600" b="0" i="0" u="none" strike="noStrike">
              <a:solidFill>
                <a:srgbClr val="AFF965"/>
              </a:solidFill>
              <a:effectLst/>
              <a:latin typeface="Cooper Black" panose="0208090404030B020404" pitchFamily="18" charset="77"/>
              <a:ea typeface="+mn-ea"/>
              <a:cs typeface="+mn-cs"/>
            </a:rPr>
            <a:t>AL-KARAM GOAT FARM </a:t>
          </a:r>
          <a:r>
            <a:rPr lang="en-GB" sz="1600">
              <a:solidFill>
                <a:srgbClr val="AFF965"/>
              </a:solidFill>
              <a:latin typeface="Cooper Black" panose="0208090404030B020404" pitchFamily="18" charset="77"/>
            </a:rPr>
            <a:t> </a:t>
          </a:r>
        </a:p>
      </xdr:txBody>
    </xdr:sp>
    <xdr:clientData/>
  </xdr:twoCellAnchor>
  <xdr:twoCellAnchor>
    <xdr:from>
      <xdr:col>3</xdr:col>
      <xdr:colOff>723900</xdr:colOff>
      <xdr:row>3</xdr:row>
      <xdr:rowOff>12700</xdr:rowOff>
    </xdr:from>
    <xdr:to>
      <xdr:col>20</xdr:col>
      <xdr:colOff>203200</xdr:colOff>
      <xdr:row>3</xdr:row>
      <xdr:rowOff>63500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3200400" y="622300"/>
          <a:ext cx="13512800" cy="50800"/>
        </a:xfrm>
        <a:prstGeom prst="rect">
          <a:avLst/>
        </a:prstGeom>
        <a:solidFill>
          <a:srgbClr val="AFF96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clientData/>
  </xdr:twoCellAnchor>
  <xdr:twoCellAnchor>
    <xdr:from>
      <xdr:col>6</xdr:col>
      <xdr:colOff>711200</xdr:colOff>
      <xdr:row>3</xdr:row>
      <xdr:rowOff>38100</xdr:rowOff>
    </xdr:from>
    <xdr:to>
      <xdr:col>10</xdr:col>
      <xdr:colOff>469900</xdr:colOff>
      <xdr:row>5</xdr:row>
      <xdr:rowOff>12700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5664200" y="647700"/>
          <a:ext cx="30607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a:solidFill>
                <a:srgbClr val="AFF965"/>
              </a:solidFill>
              <a:latin typeface="Arial Rounded MT Bold" panose="020F0704030504030204" pitchFamily="34" charset="77"/>
            </a:rPr>
            <a:t>Dashboard</a:t>
          </a:r>
          <a:endParaRPr lang="en-GB" sz="1400">
            <a:solidFill>
              <a:srgbClr val="AFF965"/>
            </a:solidFill>
            <a:latin typeface="Arial Rounded MT Bold" panose="020F0704030504030204" pitchFamily="34" charset="77"/>
          </a:endParaRPr>
        </a:p>
      </xdr:txBody>
    </xdr:sp>
    <xdr:clientData/>
  </xdr:twoCellAnchor>
  <xdr:twoCellAnchor>
    <xdr:from>
      <xdr:col>4</xdr:col>
      <xdr:colOff>25400</xdr:colOff>
      <xdr:row>5</xdr:row>
      <xdr:rowOff>177800</xdr:rowOff>
    </xdr:from>
    <xdr:to>
      <xdr:col>6</xdr:col>
      <xdr:colOff>596900</xdr:colOff>
      <xdr:row>12</xdr:row>
      <xdr:rowOff>50800</xdr:rowOff>
    </xdr:to>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3327400" y="1193800"/>
          <a:ext cx="2222500" cy="1295400"/>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solidFill>
              <a:schemeClr val="bg2">
                <a:lumMod val="50000"/>
              </a:schemeClr>
            </a:solidFill>
          </a:endParaRPr>
        </a:p>
      </xdr:txBody>
    </xdr:sp>
    <xdr:clientData/>
  </xdr:twoCellAnchor>
  <xdr:twoCellAnchor>
    <xdr:from>
      <xdr:col>8</xdr:col>
      <xdr:colOff>88900</xdr:colOff>
      <xdr:row>24</xdr:row>
      <xdr:rowOff>50800</xdr:rowOff>
    </xdr:from>
    <xdr:to>
      <xdr:col>12</xdr:col>
      <xdr:colOff>0</xdr:colOff>
      <xdr:row>32</xdr:row>
      <xdr:rowOff>101600</xdr:rowOff>
    </xdr:to>
    <xdr:sp macro="" textlink="">
      <xdr:nvSpPr>
        <xdr:cNvPr id="14" name="Rounded Rectangle 13">
          <a:extLst>
            <a:ext uri="{FF2B5EF4-FFF2-40B4-BE49-F238E27FC236}">
              <a16:creationId xmlns:a16="http://schemas.microsoft.com/office/drawing/2014/main" id="{00000000-0008-0000-0000-00000E000000}"/>
            </a:ext>
          </a:extLst>
        </xdr:cNvPr>
        <xdr:cNvSpPr/>
      </xdr:nvSpPr>
      <xdr:spPr>
        <a:xfrm>
          <a:off x="6692900" y="4927600"/>
          <a:ext cx="3213100" cy="1676400"/>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solidFill>
              <a:schemeClr val="bg2">
                <a:lumMod val="50000"/>
              </a:schemeClr>
            </a:solidFill>
          </a:endParaRPr>
        </a:p>
      </xdr:txBody>
    </xdr:sp>
    <xdr:clientData/>
  </xdr:twoCellAnchor>
  <xdr:twoCellAnchor>
    <xdr:from>
      <xdr:col>12</xdr:col>
      <xdr:colOff>165100</xdr:colOff>
      <xdr:row>24</xdr:row>
      <xdr:rowOff>38100</xdr:rowOff>
    </xdr:from>
    <xdr:to>
      <xdr:col>16</xdr:col>
      <xdr:colOff>76200</xdr:colOff>
      <xdr:row>32</xdr:row>
      <xdr:rowOff>88900</xdr:rowOff>
    </xdr:to>
    <xdr:sp macro="" textlink="">
      <xdr:nvSpPr>
        <xdr:cNvPr id="16" name="Rounded Rectangle 15">
          <a:extLst>
            <a:ext uri="{FF2B5EF4-FFF2-40B4-BE49-F238E27FC236}">
              <a16:creationId xmlns:a16="http://schemas.microsoft.com/office/drawing/2014/main" id="{00000000-0008-0000-0000-000010000000}"/>
            </a:ext>
          </a:extLst>
        </xdr:cNvPr>
        <xdr:cNvSpPr/>
      </xdr:nvSpPr>
      <xdr:spPr>
        <a:xfrm>
          <a:off x="10071100" y="4914900"/>
          <a:ext cx="3213100" cy="1676400"/>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solidFill>
              <a:schemeClr val="bg2">
                <a:lumMod val="50000"/>
              </a:schemeClr>
            </a:solidFill>
          </a:endParaRPr>
        </a:p>
      </xdr:txBody>
    </xdr:sp>
    <xdr:clientData/>
  </xdr:twoCellAnchor>
  <xdr:twoCellAnchor>
    <xdr:from>
      <xdr:col>16</xdr:col>
      <xdr:colOff>279400</xdr:colOff>
      <xdr:row>24</xdr:row>
      <xdr:rowOff>12700</xdr:rowOff>
    </xdr:from>
    <xdr:to>
      <xdr:col>20</xdr:col>
      <xdr:colOff>190500</xdr:colOff>
      <xdr:row>32</xdr:row>
      <xdr:rowOff>63500</xdr:rowOff>
    </xdr:to>
    <xdr:sp macro="" textlink="">
      <xdr:nvSpPr>
        <xdr:cNvPr id="17" name="Rounded Rectangle 16">
          <a:extLst>
            <a:ext uri="{FF2B5EF4-FFF2-40B4-BE49-F238E27FC236}">
              <a16:creationId xmlns:a16="http://schemas.microsoft.com/office/drawing/2014/main" id="{00000000-0008-0000-0000-000011000000}"/>
            </a:ext>
          </a:extLst>
        </xdr:cNvPr>
        <xdr:cNvSpPr/>
      </xdr:nvSpPr>
      <xdr:spPr>
        <a:xfrm>
          <a:off x="13487400" y="4889500"/>
          <a:ext cx="3213100" cy="1676400"/>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solidFill>
              <a:schemeClr val="bg2">
                <a:lumMod val="50000"/>
              </a:schemeClr>
            </a:solidFill>
          </a:endParaRPr>
        </a:p>
      </xdr:txBody>
    </xdr:sp>
    <xdr:clientData/>
  </xdr:twoCellAnchor>
  <xdr:twoCellAnchor>
    <xdr:from>
      <xdr:col>8</xdr:col>
      <xdr:colOff>586961</xdr:colOff>
      <xdr:row>27</xdr:row>
      <xdr:rowOff>70126</xdr:rowOff>
    </xdr:from>
    <xdr:to>
      <xdr:col>11</xdr:col>
      <xdr:colOff>635000</xdr:colOff>
      <xdr:row>30</xdr:row>
      <xdr:rowOff>44726</xdr:rowOff>
    </xdr:to>
    <xdr:sp macro="" textlink="Sheet4!Q1">
      <xdr:nvSpPr>
        <xdr:cNvPr id="18" name="TextBox 17">
          <a:extLst>
            <a:ext uri="{FF2B5EF4-FFF2-40B4-BE49-F238E27FC236}">
              <a16:creationId xmlns:a16="http://schemas.microsoft.com/office/drawing/2014/main" id="{00000000-0008-0000-0000-000012000000}"/>
            </a:ext>
          </a:extLst>
        </xdr:cNvPr>
        <xdr:cNvSpPr txBox="1"/>
      </xdr:nvSpPr>
      <xdr:spPr>
        <a:xfrm>
          <a:off x="7190961" y="5556526"/>
          <a:ext cx="2524539"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5DC5333A-DB62-9A4C-A9F5-791AB49B7809}" type="TxLink">
            <a:rPr lang="en-US" sz="2800" b="0" i="0" u="none" strike="noStrike">
              <a:solidFill>
                <a:srgbClr val="AFF965"/>
              </a:solidFill>
              <a:latin typeface="Arial Rounded MT Bold" panose="020F0704030504030204" pitchFamily="34" charset="77"/>
              <a:cs typeface="Calibri"/>
            </a:rPr>
            <a:pPr/>
            <a:t>Rs243,200</a:t>
          </a:fld>
          <a:endParaRPr lang="en-GB" sz="4800">
            <a:solidFill>
              <a:srgbClr val="AFF965"/>
            </a:solidFill>
            <a:latin typeface="Arial Rounded MT Bold" panose="020F0704030504030204" pitchFamily="34" charset="77"/>
          </a:endParaRPr>
        </a:p>
      </xdr:txBody>
    </xdr:sp>
    <xdr:clientData/>
  </xdr:twoCellAnchor>
  <xdr:twoCellAnchor>
    <xdr:from>
      <xdr:col>8</xdr:col>
      <xdr:colOff>215900</xdr:colOff>
      <xdr:row>24</xdr:row>
      <xdr:rowOff>165100</xdr:rowOff>
    </xdr:from>
    <xdr:to>
      <xdr:col>11</xdr:col>
      <xdr:colOff>266700</xdr:colOff>
      <xdr:row>27</xdr:row>
      <xdr:rowOff>139700</xdr:rowOff>
    </xdr:to>
    <xdr:sp macro="" textlink="Sheet4!L1">
      <xdr:nvSpPr>
        <xdr:cNvPr id="19" name="TextBox 18">
          <a:extLst>
            <a:ext uri="{FF2B5EF4-FFF2-40B4-BE49-F238E27FC236}">
              <a16:creationId xmlns:a16="http://schemas.microsoft.com/office/drawing/2014/main" id="{00000000-0008-0000-0000-000013000000}"/>
            </a:ext>
          </a:extLst>
        </xdr:cNvPr>
        <xdr:cNvSpPr txBox="1"/>
      </xdr:nvSpPr>
      <xdr:spPr>
        <a:xfrm>
          <a:off x="6819900" y="5041900"/>
          <a:ext cx="252730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ACADEMY ENGRAVED LET PLAIN:1.0" panose="02000000000000000000" pitchFamily="2" charset="0"/>
            </a:rPr>
            <a:t>Total</a:t>
          </a:r>
          <a:r>
            <a:rPr lang="en-GB" sz="2400" baseline="0">
              <a:solidFill>
                <a:schemeClr val="bg1"/>
              </a:solidFill>
              <a:latin typeface="ACADEMY ENGRAVED LET PLAIN:1.0" panose="02000000000000000000" pitchFamily="2" charset="0"/>
            </a:rPr>
            <a:t> Cost</a:t>
          </a:r>
        </a:p>
      </xdr:txBody>
    </xdr:sp>
    <xdr:clientData/>
  </xdr:twoCellAnchor>
  <xdr:twoCellAnchor>
    <xdr:from>
      <xdr:col>12</xdr:col>
      <xdr:colOff>612361</xdr:colOff>
      <xdr:row>27</xdr:row>
      <xdr:rowOff>95526</xdr:rowOff>
    </xdr:from>
    <xdr:to>
      <xdr:col>15</xdr:col>
      <xdr:colOff>660400</xdr:colOff>
      <xdr:row>30</xdr:row>
      <xdr:rowOff>70126</xdr:rowOff>
    </xdr:to>
    <xdr:sp macro="" textlink="Sheet4!O1">
      <xdr:nvSpPr>
        <xdr:cNvPr id="20" name="TextBox 19">
          <a:extLst>
            <a:ext uri="{FF2B5EF4-FFF2-40B4-BE49-F238E27FC236}">
              <a16:creationId xmlns:a16="http://schemas.microsoft.com/office/drawing/2014/main" id="{00000000-0008-0000-0000-000014000000}"/>
            </a:ext>
          </a:extLst>
        </xdr:cNvPr>
        <xdr:cNvSpPr txBox="1"/>
      </xdr:nvSpPr>
      <xdr:spPr>
        <a:xfrm>
          <a:off x="10518361" y="5581926"/>
          <a:ext cx="2524539"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38219333-16D6-BC44-8C45-982123BDAD20}" type="TxLink">
            <a:rPr lang="en-US" sz="2800" b="0" i="0" u="none" strike="noStrike">
              <a:solidFill>
                <a:srgbClr val="AFF965"/>
              </a:solidFill>
              <a:latin typeface="Arial Rounded MT Bold" panose="020F0704030504030204" pitchFamily="34" charset="77"/>
              <a:cs typeface="Calibri"/>
            </a:rPr>
            <a:pPr/>
            <a:t>-Rs38,800</a:t>
          </a:fld>
          <a:endParaRPr lang="en-GB" sz="8800">
            <a:solidFill>
              <a:srgbClr val="AFF965"/>
            </a:solidFill>
            <a:latin typeface="Arial Rounded MT Bold" panose="020F0704030504030204" pitchFamily="34" charset="77"/>
          </a:endParaRPr>
        </a:p>
      </xdr:txBody>
    </xdr:sp>
    <xdr:clientData/>
  </xdr:twoCellAnchor>
  <xdr:twoCellAnchor>
    <xdr:from>
      <xdr:col>12</xdr:col>
      <xdr:colOff>241300</xdr:colOff>
      <xdr:row>24</xdr:row>
      <xdr:rowOff>152400</xdr:rowOff>
    </xdr:from>
    <xdr:to>
      <xdr:col>15</xdr:col>
      <xdr:colOff>292100</xdr:colOff>
      <xdr:row>27</xdr:row>
      <xdr:rowOff>127000</xdr:rowOff>
    </xdr:to>
    <xdr:sp macro="" textlink="Sheet4!L1">
      <xdr:nvSpPr>
        <xdr:cNvPr id="21" name="TextBox 20">
          <a:extLst>
            <a:ext uri="{FF2B5EF4-FFF2-40B4-BE49-F238E27FC236}">
              <a16:creationId xmlns:a16="http://schemas.microsoft.com/office/drawing/2014/main" id="{00000000-0008-0000-0000-000015000000}"/>
            </a:ext>
          </a:extLst>
        </xdr:cNvPr>
        <xdr:cNvSpPr txBox="1"/>
      </xdr:nvSpPr>
      <xdr:spPr>
        <a:xfrm>
          <a:off x="10147300" y="5029200"/>
          <a:ext cx="252730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aseline="0">
              <a:solidFill>
                <a:schemeClr val="bg1"/>
              </a:solidFill>
              <a:latin typeface="ACADEMY ENGRAVED LET PLAIN:1.0" panose="02000000000000000000" pitchFamily="2" charset="0"/>
            </a:rPr>
            <a:t>Profit</a:t>
          </a:r>
        </a:p>
      </xdr:txBody>
    </xdr:sp>
    <xdr:clientData/>
  </xdr:twoCellAnchor>
  <xdr:twoCellAnchor>
    <xdr:from>
      <xdr:col>4</xdr:col>
      <xdr:colOff>63500</xdr:colOff>
      <xdr:row>6</xdr:row>
      <xdr:rowOff>63500</xdr:rowOff>
    </xdr:from>
    <xdr:to>
      <xdr:col>6</xdr:col>
      <xdr:colOff>571500</xdr:colOff>
      <xdr:row>7</xdr:row>
      <xdr:rowOff>177800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3365500" y="1282700"/>
          <a:ext cx="21590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400">
              <a:solidFill>
                <a:schemeClr val="bg1"/>
              </a:solidFill>
              <a:latin typeface="ACADEMY ENGRAVED LET PLAIN:1.0" panose="02000000000000000000" pitchFamily="2" charset="0"/>
              <a:ea typeface="STSong" panose="02010600040101010101" pitchFamily="2" charset="-122"/>
            </a:rPr>
            <a:t>CURRENTLY</a:t>
          </a:r>
          <a:r>
            <a:rPr lang="en-GB" sz="1400" baseline="0">
              <a:solidFill>
                <a:schemeClr val="bg1"/>
              </a:solidFill>
              <a:latin typeface="ACADEMY ENGRAVED LET PLAIN:1.0" panose="02000000000000000000" pitchFamily="2" charset="0"/>
              <a:ea typeface="STSong" panose="02010600040101010101" pitchFamily="2" charset="-122"/>
            </a:rPr>
            <a:t> ACTIVE</a:t>
          </a:r>
        </a:p>
      </xdr:txBody>
    </xdr:sp>
    <xdr:clientData/>
  </xdr:twoCellAnchor>
  <xdr:twoCellAnchor>
    <xdr:from>
      <xdr:col>4</xdr:col>
      <xdr:colOff>88900</xdr:colOff>
      <xdr:row>9</xdr:row>
      <xdr:rowOff>114300</xdr:rowOff>
    </xdr:from>
    <xdr:to>
      <xdr:col>5</xdr:col>
      <xdr:colOff>558800</xdr:colOff>
      <xdr:row>11</xdr:row>
      <xdr:rowOff>25400</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3390900" y="1943100"/>
          <a:ext cx="12954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baseline="0">
              <a:solidFill>
                <a:srgbClr val="AFF965"/>
              </a:solidFill>
              <a:latin typeface="Arial Rounded MT Bold" panose="020F0704030504030204" pitchFamily="34" charset="77"/>
              <a:ea typeface="STSong" panose="02010600040101010101" pitchFamily="2" charset="-122"/>
            </a:rPr>
            <a:t>Active males</a:t>
          </a:r>
          <a:endParaRPr lang="en-GB" sz="1050">
            <a:solidFill>
              <a:srgbClr val="AFF965"/>
            </a:solidFill>
            <a:latin typeface="Arial Rounded MT Bold" panose="020F0704030504030204" pitchFamily="34" charset="77"/>
            <a:ea typeface="STSong" panose="02010600040101010101" pitchFamily="2" charset="-122"/>
          </a:endParaRPr>
        </a:p>
      </xdr:txBody>
    </xdr:sp>
    <xdr:clientData/>
  </xdr:twoCellAnchor>
  <xdr:twoCellAnchor>
    <xdr:from>
      <xdr:col>4</xdr:col>
      <xdr:colOff>88900</xdr:colOff>
      <xdr:row>10</xdr:row>
      <xdr:rowOff>114300</xdr:rowOff>
    </xdr:from>
    <xdr:to>
      <xdr:col>6</xdr:col>
      <xdr:colOff>76200</xdr:colOff>
      <xdr:row>12</xdr:row>
      <xdr:rowOff>25400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3390900" y="2146300"/>
          <a:ext cx="16383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baseline="0">
              <a:solidFill>
                <a:srgbClr val="AFF965"/>
              </a:solidFill>
              <a:latin typeface="Arial Rounded MT Bold" panose="020F0704030504030204" pitchFamily="34" charset="77"/>
              <a:ea typeface="STSong" panose="02010600040101010101" pitchFamily="2" charset="-122"/>
            </a:rPr>
            <a:t>Active</a:t>
          </a:r>
          <a:r>
            <a:rPr lang="en-GB" sz="1000" baseline="0">
              <a:solidFill>
                <a:srgbClr val="AFF965"/>
              </a:solidFill>
              <a:latin typeface="ACADEMY ENGRAVED LET PLAIN:1.0" panose="02000000000000000000" pitchFamily="2" charset="0"/>
              <a:ea typeface="STSong" panose="02010600040101010101" pitchFamily="2" charset="-122"/>
            </a:rPr>
            <a:t> </a:t>
          </a:r>
          <a:r>
            <a:rPr lang="en-GB" sz="1050" baseline="0">
              <a:solidFill>
                <a:srgbClr val="AFF965"/>
              </a:solidFill>
              <a:latin typeface="Arial Rounded MT Bold" panose="020F0704030504030204" pitchFamily="34" charset="77"/>
              <a:ea typeface="STSong" panose="02010600040101010101" pitchFamily="2" charset="-122"/>
            </a:rPr>
            <a:t>Females</a:t>
          </a:r>
          <a:endParaRPr lang="en-GB" sz="1000">
            <a:solidFill>
              <a:srgbClr val="AFF965"/>
            </a:solidFill>
            <a:latin typeface="Arial Rounded MT Bold" panose="020F0704030504030204" pitchFamily="34" charset="77"/>
            <a:ea typeface="STSong" panose="02010600040101010101" pitchFamily="2" charset="-122"/>
          </a:endParaRPr>
        </a:p>
      </xdr:txBody>
    </xdr:sp>
    <xdr:clientData/>
  </xdr:twoCellAnchor>
  <xdr:twoCellAnchor>
    <xdr:from>
      <xdr:col>5</xdr:col>
      <xdr:colOff>228600</xdr:colOff>
      <xdr:row>9</xdr:row>
      <xdr:rowOff>127000</xdr:rowOff>
    </xdr:from>
    <xdr:to>
      <xdr:col>6</xdr:col>
      <xdr:colOff>215900</xdr:colOff>
      <xdr:row>11</xdr:row>
      <xdr:rowOff>38100</xdr:rowOff>
    </xdr:to>
    <xdr:sp macro="" textlink="Sheet1!E1">
      <xdr:nvSpPr>
        <xdr:cNvPr id="24" name="TextBox 23">
          <a:extLst>
            <a:ext uri="{FF2B5EF4-FFF2-40B4-BE49-F238E27FC236}">
              <a16:creationId xmlns:a16="http://schemas.microsoft.com/office/drawing/2014/main" id="{00000000-0008-0000-0000-000018000000}"/>
            </a:ext>
          </a:extLst>
        </xdr:cNvPr>
        <xdr:cNvSpPr txBox="1"/>
      </xdr:nvSpPr>
      <xdr:spPr>
        <a:xfrm>
          <a:off x="4356100" y="1955800"/>
          <a:ext cx="8128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4F02A921-272D-5949-BD27-7BB5FC8283F6}" type="TxLink">
            <a:rPr lang="en-US" sz="1200" b="1" i="0" u="none" strike="noStrike">
              <a:solidFill>
                <a:schemeClr val="bg1"/>
              </a:solidFill>
              <a:latin typeface="Times New Roman" panose="02020603050405020304" pitchFamily="18" charset="0"/>
              <a:ea typeface="STSong" panose="02010600040101010101" pitchFamily="2" charset="-122"/>
              <a:cs typeface="Times New Roman" panose="02020603050405020304" pitchFamily="18" charset="0"/>
            </a:rPr>
            <a:pPr/>
            <a:t>8</a:t>
          </a:fld>
          <a:endParaRPr lang="en-GB" sz="1050" b="1">
            <a:solidFill>
              <a:schemeClr val="bg1"/>
            </a:solidFill>
            <a:latin typeface="Times New Roman" panose="02020603050405020304" pitchFamily="18" charset="0"/>
            <a:ea typeface="STSong" panose="02010600040101010101" pitchFamily="2" charset="-122"/>
            <a:cs typeface="Times New Roman" panose="02020603050405020304" pitchFamily="18" charset="0"/>
          </a:endParaRPr>
        </a:p>
      </xdr:txBody>
    </xdr:sp>
    <xdr:clientData/>
  </xdr:twoCellAnchor>
  <xdr:twoCellAnchor>
    <xdr:from>
      <xdr:col>5</xdr:col>
      <xdr:colOff>381000</xdr:colOff>
      <xdr:row>10</xdr:row>
      <xdr:rowOff>114300</xdr:rowOff>
    </xdr:from>
    <xdr:to>
      <xdr:col>6</xdr:col>
      <xdr:colOff>368300</xdr:colOff>
      <xdr:row>12</xdr:row>
      <xdr:rowOff>25400</xdr:rowOff>
    </xdr:to>
    <xdr:sp macro="" textlink="Sheet1!E2">
      <xdr:nvSpPr>
        <xdr:cNvPr id="25" name="TextBox 24">
          <a:extLst>
            <a:ext uri="{FF2B5EF4-FFF2-40B4-BE49-F238E27FC236}">
              <a16:creationId xmlns:a16="http://schemas.microsoft.com/office/drawing/2014/main" id="{00000000-0008-0000-0000-000019000000}"/>
            </a:ext>
          </a:extLst>
        </xdr:cNvPr>
        <xdr:cNvSpPr txBox="1"/>
      </xdr:nvSpPr>
      <xdr:spPr>
        <a:xfrm>
          <a:off x="4508500" y="2146300"/>
          <a:ext cx="8128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492B01D6-F178-C74D-8341-3E140D90C29B}" type="TxLink">
            <a:rPr lang="en-US" sz="1200" b="1" i="0" u="none" strike="noStrike">
              <a:solidFill>
                <a:schemeClr val="bg1"/>
              </a:solidFill>
              <a:latin typeface="Times New Roman" panose="02020603050405020304" pitchFamily="18" charset="0"/>
              <a:ea typeface="STSong" panose="02010600040101010101" pitchFamily="2" charset="-122"/>
              <a:cs typeface="Times New Roman" panose="02020603050405020304" pitchFamily="18" charset="0"/>
            </a:rPr>
            <a:pPr/>
            <a:t>10</a:t>
          </a:fld>
          <a:endParaRPr lang="en-GB" sz="1050" b="1">
            <a:solidFill>
              <a:schemeClr val="bg1"/>
            </a:solidFill>
            <a:latin typeface="Times New Roman" panose="02020603050405020304" pitchFamily="18" charset="0"/>
            <a:ea typeface="STSong" panose="02010600040101010101" pitchFamily="2" charset="-122"/>
            <a:cs typeface="Times New Roman" panose="02020603050405020304" pitchFamily="18" charset="0"/>
          </a:endParaRPr>
        </a:p>
      </xdr:txBody>
    </xdr:sp>
    <xdr:clientData/>
  </xdr:twoCellAnchor>
  <xdr:twoCellAnchor>
    <xdr:from>
      <xdr:col>4</xdr:col>
      <xdr:colOff>38100</xdr:colOff>
      <xdr:row>7</xdr:row>
      <xdr:rowOff>190500</xdr:rowOff>
    </xdr:from>
    <xdr:to>
      <xdr:col>6</xdr:col>
      <xdr:colOff>596900</xdr:colOff>
      <xdr:row>9</xdr:row>
      <xdr:rowOff>101600</xdr:rowOff>
    </xdr:to>
    <xdr:sp macro="" textlink="Sheet1!E3">
      <xdr:nvSpPr>
        <xdr:cNvPr id="26" name="TextBox 25">
          <a:extLst>
            <a:ext uri="{FF2B5EF4-FFF2-40B4-BE49-F238E27FC236}">
              <a16:creationId xmlns:a16="http://schemas.microsoft.com/office/drawing/2014/main" id="{00000000-0008-0000-0000-00001A000000}"/>
            </a:ext>
          </a:extLst>
        </xdr:cNvPr>
        <xdr:cNvSpPr txBox="1"/>
      </xdr:nvSpPr>
      <xdr:spPr>
        <a:xfrm>
          <a:off x="3340100" y="1612900"/>
          <a:ext cx="22098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315898-59DC-4344-AE76-AEC68190D0B1}" type="TxLink">
            <a:rPr lang="en-US" sz="1800" b="1" i="0" u="none" strike="noStrike">
              <a:solidFill>
                <a:schemeClr val="bg1"/>
              </a:solidFill>
              <a:latin typeface="Arial Rounded MT Bold" panose="020F0704030504030204" pitchFamily="34" charset="77"/>
              <a:ea typeface="STSong" panose="02010600040101010101" pitchFamily="2" charset="-122"/>
              <a:cs typeface="Angsana New" panose="02020603050405020304" pitchFamily="18" charset="-34"/>
            </a:rPr>
            <a:pPr algn="ctr"/>
            <a:t>18</a:t>
          </a:fld>
          <a:endParaRPr lang="en-GB" sz="1800" b="1">
            <a:solidFill>
              <a:schemeClr val="bg1"/>
            </a:solidFill>
            <a:latin typeface="Arial Rounded MT Bold" panose="020F0704030504030204" pitchFamily="34" charset="77"/>
            <a:ea typeface="STSong" panose="02010600040101010101" pitchFamily="2" charset="-122"/>
            <a:cs typeface="Angsana New" panose="02020603050405020304" pitchFamily="18" charset="-34"/>
          </a:endParaRPr>
        </a:p>
      </xdr:txBody>
    </xdr:sp>
    <xdr:clientData/>
  </xdr:twoCellAnchor>
  <xdr:twoCellAnchor>
    <xdr:from>
      <xdr:col>7</xdr:col>
      <xdr:colOff>0</xdr:colOff>
      <xdr:row>5</xdr:row>
      <xdr:rowOff>190500</xdr:rowOff>
    </xdr:from>
    <xdr:to>
      <xdr:col>9</xdr:col>
      <xdr:colOff>571500</xdr:colOff>
      <xdr:row>12</xdr:row>
      <xdr:rowOff>63500</xdr:rowOff>
    </xdr:to>
    <xdr:sp macro="" textlink="">
      <xdr:nvSpPr>
        <xdr:cNvPr id="27" name="Rounded Rectangle 26">
          <a:extLst>
            <a:ext uri="{FF2B5EF4-FFF2-40B4-BE49-F238E27FC236}">
              <a16:creationId xmlns:a16="http://schemas.microsoft.com/office/drawing/2014/main" id="{00000000-0008-0000-0000-00001B000000}"/>
            </a:ext>
          </a:extLst>
        </xdr:cNvPr>
        <xdr:cNvSpPr/>
      </xdr:nvSpPr>
      <xdr:spPr>
        <a:xfrm>
          <a:off x="5778500" y="1206500"/>
          <a:ext cx="2222500" cy="1295400"/>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solidFill>
              <a:schemeClr val="bg2">
                <a:lumMod val="50000"/>
              </a:schemeClr>
            </a:solidFill>
          </a:endParaRPr>
        </a:p>
      </xdr:txBody>
    </xdr:sp>
    <xdr:clientData/>
  </xdr:twoCellAnchor>
  <xdr:twoCellAnchor>
    <xdr:from>
      <xdr:col>9</xdr:col>
      <xdr:colOff>800100</xdr:colOff>
      <xdr:row>6</xdr:row>
      <xdr:rowOff>0</xdr:rowOff>
    </xdr:from>
    <xdr:to>
      <xdr:col>12</xdr:col>
      <xdr:colOff>546100</xdr:colOff>
      <xdr:row>12</xdr:row>
      <xdr:rowOff>76200</xdr:rowOff>
    </xdr:to>
    <xdr:sp macro="" textlink="">
      <xdr:nvSpPr>
        <xdr:cNvPr id="28" name="Rounded Rectangle 27">
          <a:extLst>
            <a:ext uri="{FF2B5EF4-FFF2-40B4-BE49-F238E27FC236}">
              <a16:creationId xmlns:a16="http://schemas.microsoft.com/office/drawing/2014/main" id="{00000000-0008-0000-0000-00001C000000}"/>
            </a:ext>
          </a:extLst>
        </xdr:cNvPr>
        <xdr:cNvSpPr/>
      </xdr:nvSpPr>
      <xdr:spPr>
        <a:xfrm>
          <a:off x="8229600" y="1219200"/>
          <a:ext cx="2222500" cy="1295400"/>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solidFill>
              <a:schemeClr val="bg2">
                <a:lumMod val="50000"/>
              </a:schemeClr>
            </a:solidFill>
          </a:endParaRPr>
        </a:p>
      </xdr:txBody>
    </xdr:sp>
    <xdr:clientData/>
  </xdr:twoCellAnchor>
  <xdr:twoCellAnchor>
    <xdr:from>
      <xdr:col>10</xdr:col>
      <xdr:colOff>38100</xdr:colOff>
      <xdr:row>6</xdr:row>
      <xdr:rowOff>88900</xdr:rowOff>
    </xdr:from>
    <xdr:to>
      <xdr:col>12</xdr:col>
      <xdr:colOff>152400</xdr:colOff>
      <xdr:row>8</xdr:row>
      <xdr:rowOff>0</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8293100" y="1308100"/>
          <a:ext cx="17653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aseline="0">
              <a:solidFill>
                <a:schemeClr val="bg1"/>
              </a:solidFill>
              <a:latin typeface="ACADEMY ENGRAVED LET PLAIN:1.0" panose="02000000000000000000" pitchFamily="2" charset="0"/>
              <a:ea typeface="+mn-ea"/>
            </a:rPr>
            <a:t>MORTALITY</a:t>
          </a:r>
          <a:endParaRPr lang="en-GB" sz="1600">
            <a:solidFill>
              <a:schemeClr val="bg1"/>
            </a:solidFill>
            <a:latin typeface="ACADEMY ENGRAVED LET PLAIN:1.0" panose="02000000000000000000" pitchFamily="2" charset="0"/>
            <a:ea typeface="STSong" panose="02010600040101010101" pitchFamily="2" charset="-122"/>
          </a:endParaRPr>
        </a:p>
      </xdr:txBody>
    </xdr:sp>
    <xdr:clientData/>
  </xdr:twoCellAnchor>
  <xdr:twoCellAnchor>
    <xdr:from>
      <xdr:col>7</xdr:col>
      <xdr:colOff>63500</xdr:colOff>
      <xdr:row>6</xdr:row>
      <xdr:rowOff>50800</xdr:rowOff>
    </xdr:from>
    <xdr:to>
      <xdr:col>9</xdr:col>
      <xdr:colOff>177800</xdr:colOff>
      <xdr:row>7</xdr:row>
      <xdr:rowOff>165100</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5842000" y="1270000"/>
          <a:ext cx="17653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600" baseline="0">
              <a:solidFill>
                <a:schemeClr val="bg1"/>
              </a:solidFill>
              <a:latin typeface="ACADEMY ENGRAVED LET PLAIN:1.0" panose="02000000000000000000" pitchFamily="2" charset="0"/>
              <a:ea typeface="+mn-ea"/>
            </a:rPr>
            <a:t>TOTAL SOLD</a:t>
          </a:r>
        </a:p>
      </xdr:txBody>
    </xdr:sp>
    <xdr:clientData/>
  </xdr:twoCellAnchor>
  <xdr:twoCellAnchor>
    <xdr:from>
      <xdr:col>7</xdr:col>
      <xdr:colOff>0</xdr:colOff>
      <xdr:row>8</xdr:row>
      <xdr:rowOff>0</xdr:rowOff>
    </xdr:from>
    <xdr:to>
      <xdr:col>9</xdr:col>
      <xdr:colOff>558800</xdr:colOff>
      <xdr:row>9</xdr:row>
      <xdr:rowOff>177800</xdr:rowOff>
    </xdr:to>
    <xdr:sp macro="" textlink="Sheet4!Q4">
      <xdr:nvSpPr>
        <xdr:cNvPr id="31" name="TextBox 30">
          <a:extLst>
            <a:ext uri="{FF2B5EF4-FFF2-40B4-BE49-F238E27FC236}">
              <a16:creationId xmlns:a16="http://schemas.microsoft.com/office/drawing/2014/main" id="{00000000-0008-0000-0000-00001F000000}"/>
            </a:ext>
          </a:extLst>
        </xdr:cNvPr>
        <xdr:cNvSpPr txBox="1"/>
      </xdr:nvSpPr>
      <xdr:spPr>
        <a:xfrm>
          <a:off x="5778500" y="1625600"/>
          <a:ext cx="22098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6ACDFBE-7C67-434D-8684-2165D2485AC7}" type="TxLink">
            <a:rPr lang="en-US" sz="1800" b="0" i="0" u="none" strike="noStrike">
              <a:solidFill>
                <a:schemeClr val="bg1"/>
              </a:solidFill>
              <a:latin typeface="Arial Rounded MT Bold" panose="020F0704030504030204" pitchFamily="34" charset="77"/>
              <a:ea typeface="STSong" panose="02010600040101010101" pitchFamily="2" charset="-122"/>
              <a:cs typeface="Calibri"/>
            </a:rPr>
            <a:pPr algn="ctr"/>
            <a:t>8</a:t>
          </a:fld>
          <a:endParaRPr lang="en-GB" sz="2800" b="1">
            <a:solidFill>
              <a:schemeClr val="bg1"/>
            </a:solidFill>
            <a:latin typeface="Arial Rounded MT Bold" panose="020F0704030504030204" pitchFamily="34" charset="77"/>
            <a:ea typeface="STSong" panose="02010600040101010101" pitchFamily="2" charset="-122"/>
            <a:cs typeface="Angsana New" panose="02020603050405020304" pitchFamily="18" charset="-34"/>
          </a:endParaRPr>
        </a:p>
      </xdr:txBody>
    </xdr:sp>
    <xdr:clientData/>
  </xdr:twoCellAnchor>
  <xdr:twoCellAnchor>
    <xdr:from>
      <xdr:col>7</xdr:col>
      <xdr:colOff>76200</xdr:colOff>
      <xdr:row>10</xdr:row>
      <xdr:rowOff>0</xdr:rowOff>
    </xdr:from>
    <xdr:to>
      <xdr:col>8</xdr:col>
      <xdr:colOff>546100</xdr:colOff>
      <xdr:row>11</xdr:row>
      <xdr:rowOff>114300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5854700" y="2032000"/>
          <a:ext cx="12954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baseline="0">
              <a:solidFill>
                <a:srgbClr val="AFF965"/>
              </a:solidFill>
              <a:latin typeface="Arial Rounded MT Bold" panose="020F0704030504030204" pitchFamily="34" charset="77"/>
              <a:ea typeface="STSong" panose="02010600040101010101" pitchFamily="2" charset="-122"/>
            </a:rPr>
            <a:t>Males Sold</a:t>
          </a:r>
          <a:endParaRPr lang="en-GB" sz="1050">
            <a:solidFill>
              <a:srgbClr val="AFF965"/>
            </a:solidFill>
            <a:latin typeface="Arial Rounded MT Bold" panose="020F0704030504030204" pitchFamily="34" charset="77"/>
            <a:ea typeface="STSong" panose="02010600040101010101" pitchFamily="2" charset="-122"/>
          </a:endParaRPr>
        </a:p>
      </xdr:txBody>
    </xdr:sp>
    <xdr:clientData/>
  </xdr:twoCellAnchor>
  <xdr:twoCellAnchor>
    <xdr:from>
      <xdr:col>7</xdr:col>
      <xdr:colOff>76200</xdr:colOff>
      <xdr:row>10</xdr:row>
      <xdr:rowOff>177800</xdr:rowOff>
    </xdr:from>
    <xdr:to>
      <xdr:col>9</xdr:col>
      <xdr:colOff>63500</xdr:colOff>
      <xdr:row>12</xdr:row>
      <xdr:rowOff>88900</xdr:rowOff>
    </xdr:to>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5854700" y="2209800"/>
          <a:ext cx="16383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baseline="0">
              <a:solidFill>
                <a:srgbClr val="AFF965"/>
              </a:solidFill>
              <a:latin typeface="Arial Rounded MT Bold" panose="020F0704030504030204" pitchFamily="34" charset="77"/>
              <a:ea typeface="STSong" panose="02010600040101010101" pitchFamily="2" charset="-122"/>
            </a:rPr>
            <a:t>Females sold</a:t>
          </a:r>
          <a:endParaRPr lang="en-GB" sz="1000">
            <a:solidFill>
              <a:srgbClr val="AFF965"/>
            </a:solidFill>
            <a:latin typeface="Arial Rounded MT Bold" panose="020F0704030504030204" pitchFamily="34" charset="77"/>
            <a:ea typeface="STSong" panose="02010600040101010101" pitchFamily="2" charset="-122"/>
          </a:endParaRPr>
        </a:p>
      </xdr:txBody>
    </xdr:sp>
    <xdr:clientData/>
  </xdr:twoCellAnchor>
  <xdr:twoCellAnchor>
    <xdr:from>
      <xdr:col>8</xdr:col>
      <xdr:colOff>152400</xdr:colOff>
      <xdr:row>9</xdr:row>
      <xdr:rowOff>177800</xdr:rowOff>
    </xdr:from>
    <xdr:to>
      <xdr:col>9</xdr:col>
      <xdr:colOff>139700</xdr:colOff>
      <xdr:row>11</xdr:row>
      <xdr:rowOff>88900</xdr:rowOff>
    </xdr:to>
    <xdr:sp macro="" textlink="Sheet4!Q5">
      <xdr:nvSpPr>
        <xdr:cNvPr id="34" name="TextBox 33">
          <a:extLst>
            <a:ext uri="{FF2B5EF4-FFF2-40B4-BE49-F238E27FC236}">
              <a16:creationId xmlns:a16="http://schemas.microsoft.com/office/drawing/2014/main" id="{00000000-0008-0000-0000-000022000000}"/>
            </a:ext>
          </a:extLst>
        </xdr:cNvPr>
        <xdr:cNvSpPr txBox="1"/>
      </xdr:nvSpPr>
      <xdr:spPr>
        <a:xfrm>
          <a:off x="6756400" y="2006600"/>
          <a:ext cx="8128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C9DE37D-3CFE-5549-B526-FE268A97BB1F}" type="TxLink">
            <a:rPr lang="en-US" sz="1200" b="1" i="0" u="none" strike="noStrike">
              <a:solidFill>
                <a:schemeClr val="bg1"/>
              </a:solidFill>
              <a:latin typeface="Times New Roman" panose="02020603050405020304" pitchFamily="18" charset="0"/>
              <a:ea typeface="STSong" panose="02010600040101010101" pitchFamily="2" charset="-122"/>
              <a:cs typeface="Times New Roman" panose="02020603050405020304" pitchFamily="18" charset="0"/>
            </a:rPr>
            <a:pPr/>
            <a:t>3</a:t>
          </a:fld>
          <a:endParaRPr lang="en-GB" sz="1050" b="1">
            <a:solidFill>
              <a:schemeClr val="bg1"/>
            </a:solidFill>
            <a:latin typeface="Times New Roman" panose="02020603050405020304" pitchFamily="18" charset="0"/>
            <a:ea typeface="STSong" panose="02010600040101010101" pitchFamily="2" charset="-122"/>
            <a:cs typeface="Times New Roman" panose="02020603050405020304" pitchFamily="18" charset="0"/>
          </a:endParaRPr>
        </a:p>
      </xdr:txBody>
    </xdr:sp>
    <xdr:clientData/>
  </xdr:twoCellAnchor>
  <xdr:twoCellAnchor>
    <xdr:from>
      <xdr:col>8</xdr:col>
      <xdr:colOff>304800</xdr:colOff>
      <xdr:row>10</xdr:row>
      <xdr:rowOff>177800</xdr:rowOff>
    </xdr:from>
    <xdr:to>
      <xdr:col>9</xdr:col>
      <xdr:colOff>292100</xdr:colOff>
      <xdr:row>12</xdr:row>
      <xdr:rowOff>88900</xdr:rowOff>
    </xdr:to>
    <xdr:sp macro="" textlink="Sheet4!Q6">
      <xdr:nvSpPr>
        <xdr:cNvPr id="35" name="TextBox 34">
          <a:extLst>
            <a:ext uri="{FF2B5EF4-FFF2-40B4-BE49-F238E27FC236}">
              <a16:creationId xmlns:a16="http://schemas.microsoft.com/office/drawing/2014/main" id="{00000000-0008-0000-0000-000023000000}"/>
            </a:ext>
          </a:extLst>
        </xdr:cNvPr>
        <xdr:cNvSpPr txBox="1"/>
      </xdr:nvSpPr>
      <xdr:spPr>
        <a:xfrm>
          <a:off x="6908800" y="2209800"/>
          <a:ext cx="8128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B0D7A96-1773-7D4A-86AD-E8B033E79220}" type="TxLink">
            <a:rPr lang="en-US" sz="1200" b="1" i="0" u="none" strike="noStrike">
              <a:solidFill>
                <a:schemeClr val="bg1"/>
              </a:solidFill>
              <a:latin typeface="Times New Roman" panose="02020603050405020304" pitchFamily="18" charset="0"/>
              <a:ea typeface="STSong" panose="02010600040101010101" pitchFamily="2" charset="-122"/>
              <a:cs typeface="Times New Roman" panose="02020603050405020304" pitchFamily="18" charset="0"/>
            </a:rPr>
            <a:pPr/>
            <a:t>1</a:t>
          </a:fld>
          <a:endParaRPr lang="en-GB" sz="1050" b="1">
            <a:solidFill>
              <a:schemeClr val="bg1"/>
            </a:solidFill>
            <a:latin typeface="Times New Roman" panose="02020603050405020304" pitchFamily="18" charset="0"/>
            <a:ea typeface="STSong" panose="02010600040101010101" pitchFamily="2" charset="-122"/>
            <a:cs typeface="Times New Roman" panose="02020603050405020304" pitchFamily="18" charset="0"/>
          </a:endParaRPr>
        </a:p>
      </xdr:txBody>
    </xdr:sp>
    <xdr:clientData/>
  </xdr:twoCellAnchor>
  <xdr:twoCellAnchor>
    <xdr:from>
      <xdr:col>10</xdr:col>
      <xdr:colOff>0</xdr:colOff>
      <xdr:row>8</xdr:row>
      <xdr:rowOff>25400</xdr:rowOff>
    </xdr:from>
    <xdr:to>
      <xdr:col>12</xdr:col>
      <xdr:colOff>558800</xdr:colOff>
      <xdr:row>10</xdr:row>
      <xdr:rowOff>0</xdr:rowOff>
    </xdr:to>
    <xdr:sp macro="" textlink="Sheet4!Q8">
      <xdr:nvSpPr>
        <xdr:cNvPr id="36" name="TextBox 35">
          <a:extLst>
            <a:ext uri="{FF2B5EF4-FFF2-40B4-BE49-F238E27FC236}">
              <a16:creationId xmlns:a16="http://schemas.microsoft.com/office/drawing/2014/main" id="{00000000-0008-0000-0000-000024000000}"/>
            </a:ext>
          </a:extLst>
        </xdr:cNvPr>
        <xdr:cNvSpPr txBox="1"/>
      </xdr:nvSpPr>
      <xdr:spPr>
        <a:xfrm>
          <a:off x="8255000" y="1651000"/>
          <a:ext cx="22098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51CF56-092B-BF43-8060-20033CEA0594}" type="TxLink">
            <a:rPr lang="en-US" sz="1600" b="0" i="0" u="none" strike="noStrike">
              <a:solidFill>
                <a:schemeClr val="bg1"/>
              </a:solidFill>
              <a:latin typeface="Arial Rounded MT Bold" panose="020F0704030504030204" pitchFamily="34" charset="77"/>
              <a:ea typeface="STSong" panose="02010600040101010101" pitchFamily="2" charset="-122"/>
              <a:cs typeface="Calibri"/>
            </a:rPr>
            <a:pPr algn="ctr"/>
            <a:t>3</a:t>
          </a:fld>
          <a:endParaRPr lang="en-GB" sz="3600" b="1">
            <a:solidFill>
              <a:schemeClr val="bg1"/>
            </a:solidFill>
            <a:latin typeface="Arial Rounded MT Bold" panose="020F0704030504030204" pitchFamily="34" charset="77"/>
            <a:ea typeface="STSong" panose="02010600040101010101" pitchFamily="2" charset="-122"/>
            <a:cs typeface="Angsana New" panose="02020603050405020304" pitchFamily="18" charset="-34"/>
          </a:endParaRPr>
        </a:p>
      </xdr:txBody>
    </xdr:sp>
    <xdr:clientData/>
  </xdr:twoCellAnchor>
  <xdr:twoCellAnchor>
    <xdr:from>
      <xdr:col>10</xdr:col>
      <xdr:colOff>12700</xdr:colOff>
      <xdr:row>10</xdr:row>
      <xdr:rowOff>0</xdr:rowOff>
    </xdr:from>
    <xdr:to>
      <xdr:col>11</xdr:col>
      <xdr:colOff>482600</xdr:colOff>
      <xdr:row>11</xdr:row>
      <xdr:rowOff>114300</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8267700" y="2032000"/>
          <a:ext cx="12954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baseline="0">
              <a:solidFill>
                <a:srgbClr val="AFF965"/>
              </a:solidFill>
              <a:latin typeface="Arial Rounded MT Bold" panose="020F0704030504030204" pitchFamily="34" charset="77"/>
              <a:ea typeface="STSong" panose="02010600040101010101" pitchFamily="2" charset="-122"/>
            </a:rPr>
            <a:t>Males Sold</a:t>
          </a:r>
          <a:endParaRPr lang="en-GB" sz="1050">
            <a:solidFill>
              <a:srgbClr val="AFF965"/>
            </a:solidFill>
            <a:latin typeface="Arial Rounded MT Bold" panose="020F0704030504030204" pitchFamily="34" charset="77"/>
            <a:ea typeface="STSong" panose="02010600040101010101" pitchFamily="2" charset="-122"/>
          </a:endParaRPr>
        </a:p>
      </xdr:txBody>
    </xdr:sp>
    <xdr:clientData/>
  </xdr:twoCellAnchor>
  <xdr:twoCellAnchor>
    <xdr:from>
      <xdr:col>10</xdr:col>
      <xdr:colOff>12700</xdr:colOff>
      <xdr:row>10</xdr:row>
      <xdr:rowOff>177800</xdr:rowOff>
    </xdr:from>
    <xdr:to>
      <xdr:col>12</xdr:col>
      <xdr:colOff>0</xdr:colOff>
      <xdr:row>12</xdr:row>
      <xdr:rowOff>88900</xdr:rowOff>
    </xdr:to>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8267700" y="2209800"/>
          <a:ext cx="16383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baseline="0">
              <a:solidFill>
                <a:srgbClr val="AFF965"/>
              </a:solidFill>
              <a:latin typeface="Arial Rounded MT Bold" panose="020F0704030504030204" pitchFamily="34" charset="77"/>
              <a:ea typeface="STSong" panose="02010600040101010101" pitchFamily="2" charset="-122"/>
            </a:rPr>
            <a:t>Females sold</a:t>
          </a:r>
          <a:endParaRPr lang="en-GB" sz="1000">
            <a:solidFill>
              <a:srgbClr val="AFF965"/>
            </a:solidFill>
            <a:latin typeface="Arial Rounded MT Bold" panose="020F0704030504030204" pitchFamily="34" charset="77"/>
            <a:ea typeface="STSong" panose="02010600040101010101" pitchFamily="2" charset="-122"/>
          </a:endParaRPr>
        </a:p>
      </xdr:txBody>
    </xdr:sp>
    <xdr:clientData/>
  </xdr:twoCellAnchor>
  <xdr:twoCellAnchor>
    <xdr:from>
      <xdr:col>11</xdr:col>
      <xdr:colOff>152400</xdr:colOff>
      <xdr:row>9</xdr:row>
      <xdr:rowOff>177800</xdr:rowOff>
    </xdr:from>
    <xdr:to>
      <xdr:col>12</xdr:col>
      <xdr:colOff>139700</xdr:colOff>
      <xdr:row>11</xdr:row>
      <xdr:rowOff>88900</xdr:rowOff>
    </xdr:to>
    <xdr:sp macro="" textlink="Sheet4!Q9">
      <xdr:nvSpPr>
        <xdr:cNvPr id="39" name="TextBox 38">
          <a:extLst>
            <a:ext uri="{FF2B5EF4-FFF2-40B4-BE49-F238E27FC236}">
              <a16:creationId xmlns:a16="http://schemas.microsoft.com/office/drawing/2014/main" id="{00000000-0008-0000-0000-000027000000}"/>
            </a:ext>
          </a:extLst>
        </xdr:cNvPr>
        <xdr:cNvSpPr txBox="1"/>
      </xdr:nvSpPr>
      <xdr:spPr>
        <a:xfrm>
          <a:off x="9232900" y="2006600"/>
          <a:ext cx="8128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DFED88D-7E1B-AE43-8DBA-E01C42EE35E6}" type="TxLink">
            <a:rPr lang="en-US" sz="1200" b="0" i="0" u="none" strike="noStrike">
              <a:solidFill>
                <a:schemeClr val="bg1"/>
              </a:solidFill>
              <a:latin typeface="Arial Rounded MT Bold" panose="020F0704030504030204" pitchFamily="34" charset="77"/>
              <a:ea typeface="STSong" panose="02010600040101010101" pitchFamily="2" charset="-122"/>
              <a:cs typeface="Calibri"/>
            </a:rPr>
            <a:pPr/>
            <a:t>3</a:t>
          </a:fld>
          <a:endParaRPr lang="en-GB" sz="1050" b="1">
            <a:solidFill>
              <a:schemeClr val="bg1"/>
            </a:solidFill>
            <a:latin typeface="Arial Rounded MT Bold" panose="020F0704030504030204" pitchFamily="34" charset="77"/>
            <a:ea typeface="STSong" panose="02010600040101010101" pitchFamily="2" charset="-122"/>
            <a:cs typeface="Times New Roman" panose="02020603050405020304" pitchFamily="18" charset="0"/>
          </a:endParaRPr>
        </a:p>
      </xdr:txBody>
    </xdr:sp>
    <xdr:clientData/>
  </xdr:twoCellAnchor>
  <xdr:twoCellAnchor>
    <xdr:from>
      <xdr:col>11</xdr:col>
      <xdr:colOff>304800</xdr:colOff>
      <xdr:row>10</xdr:row>
      <xdr:rowOff>177800</xdr:rowOff>
    </xdr:from>
    <xdr:to>
      <xdr:col>12</xdr:col>
      <xdr:colOff>292100</xdr:colOff>
      <xdr:row>12</xdr:row>
      <xdr:rowOff>88900</xdr:rowOff>
    </xdr:to>
    <xdr:sp macro="" textlink="Sheet4!Q10">
      <xdr:nvSpPr>
        <xdr:cNvPr id="40" name="TextBox 39">
          <a:extLst>
            <a:ext uri="{FF2B5EF4-FFF2-40B4-BE49-F238E27FC236}">
              <a16:creationId xmlns:a16="http://schemas.microsoft.com/office/drawing/2014/main" id="{00000000-0008-0000-0000-000028000000}"/>
            </a:ext>
          </a:extLst>
        </xdr:cNvPr>
        <xdr:cNvSpPr txBox="1"/>
      </xdr:nvSpPr>
      <xdr:spPr>
        <a:xfrm>
          <a:off x="9385300" y="2209800"/>
          <a:ext cx="8128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126FE0A-8692-2D40-9E85-E9A7E12AE9F6}" type="TxLink">
            <a:rPr lang="en-US" sz="1200" b="0" i="0" u="none" strike="noStrike">
              <a:solidFill>
                <a:schemeClr val="bg1"/>
              </a:solidFill>
              <a:latin typeface="Arial Rounded MT Bold" panose="020F0704030504030204" pitchFamily="34" charset="77"/>
              <a:ea typeface="STSong" panose="02010600040101010101" pitchFamily="2" charset="-122"/>
              <a:cs typeface="Calibri"/>
            </a:rPr>
            <a:pPr/>
            <a:t>0</a:t>
          </a:fld>
          <a:endParaRPr lang="en-GB" sz="1050" b="1">
            <a:solidFill>
              <a:schemeClr val="bg1"/>
            </a:solidFill>
            <a:latin typeface="Arial Rounded MT Bold" panose="020F0704030504030204" pitchFamily="34" charset="77"/>
            <a:ea typeface="STSong" panose="02010600040101010101" pitchFamily="2" charset="-122"/>
            <a:cs typeface="Times New Roman" panose="02020603050405020304" pitchFamily="18" charset="0"/>
          </a:endParaRPr>
        </a:p>
      </xdr:txBody>
    </xdr:sp>
    <xdr:clientData/>
  </xdr:twoCellAnchor>
  <xdr:twoCellAnchor>
    <xdr:from>
      <xdr:col>16</xdr:col>
      <xdr:colOff>650461</xdr:colOff>
      <xdr:row>27</xdr:row>
      <xdr:rowOff>82826</xdr:rowOff>
    </xdr:from>
    <xdr:to>
      <xdr:col>19</xdr:col>
      <xdr:colOff>698500</xdr:colOff>
      <xdr:row>30</xdr:row>
      <xdr:rowOff>57426</xdr:rowOff>
    </xdr:to>
    <xdr:sp macro="" textlink="Sheet4!Q12">
      <xdr:nvSpPr>
        <xdr:cNvPr id="41" name="TextBox 40">
          <a:extLst>
            <a:ext uri="{FF2B5EF4-FFF2-40B4-BE49-F238E27FC236}">
              <a16:creationId xmlns:a16="http://schemas.microsoft.com/office/drawing/2014/main" id="{00000000-0008-0000-0000-000029000000}"/>
            </a:ext>
          </a:extLst>
        </xdr:cNvPr>
        <xdr:cNvSpPr txBox="1"/>
      </xdr:nvSpPr>
      <xdr:spPr>
        <a:xfrm>
          <a:off x="13858461" y="5569226"/>
          <a:ext cx="2524539"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991021-9EA2-C74D-B36F-EF4A1A94F8A9}" type="TxLink">
            <a:rPr lang="en-US" sz="3600" b="0" i="0" u="none" strike="noStrike">
              <a:solidFill>
                <a:srgbClr val="AFF965"/>
              </a:solidFill>
              <a:latin typeface="Arial Rounded MT Bold" panose="020F0704030504030204" pitchFamily="34" charset="77"/>
              <a:cs typeface="Calibri"/>
            </a:rPr>
            <a:pPr algn="ctr"/>
            <a:t>-19%</a:t>
          </a:fld>
          <a:endParaRPr lang="en-GB" sz="34400">
            <a:solidFill>
              <a:srgbClr val="AFF965"/>
            </a:solidFill>
            <a:latin typeface="Arial Rounded MT Bold" panose="020F0704030504030204" pitchFamily="34" charset="77"/>
          </a:endParaRPr>
        </a:p>
      </xdr:txBody>
    </xdr:sp>
    <xdr:clientData/>
  </xdr:twoCellAnchor>
  <xdr:twoCellAnchor>
    <xdr:from>
      <xdr:col>16</xdr:col>
      <xdr:colOff>279400</xdr:colOff>
      <xdr:row>24</xdr:row>
      <xdr:rowOff>127000</xdr:rowOff>
    </xdr:from>
    <xdr:to>
      <xdr:col>19</xdr:col>
      <xdr:colOff>330200</xdr:colOff>
      <xdr:row>27</xdr:row>
      <xdr:rowOff>101600</xdr:rowOff>
    </xdr:to>
    <xdr:sp macro="" textlink="Sheet4!L1">
      <xdr:nvSpPr>
        <xdr:cNvPr id="42" name="TextBox 41">
          <a:extLst>
            <a:ext uri="{FF2B5EF4-FFF2-40B4-BE49-F238E27FC236}">
              <a16:creationId xmlns:a16="http://schemas.microsoft.com/office/drawing/2014/main" id="{00000000-0008-0000-0000-00002A000000}"/>
            </a:ext>
          </a:extLst>
        </xdr:cNvPr>
        <xdr:cNvSpPr txBox="1"/>
      </xdr:nvSpPr>
      <xdr:spPr>
        <a:xfrm>
          <a:off x="13487400" y="5003800"/>
          <a:ext cx="252730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aseline="0">
              <a:solidFill>
                <a:schemeClr val="bg1"/>
              </a:solidFill>
              <a:latin typeface="ACADEMY ENGRAVED LET PLAIN:1.0" panose="02000000000000000000" pitchFamily="2" charset="0"/>
            </a:rPr>
            <a:t>Profit margin</a:t>
          </a:r>
        </a:p>
      </xdr:txBody>
    </xdr:sp>
    <xdr:clientData/>
  </xdr:twoCellAnchor>
  <xdr:twoCellAnchor>
    <xdr:from>
      <xdr:col>12</xdr:col>
      <xdr:colOff>698500</xdr:colOff>
      <xdr:row>5</xdr:row>
      <xdr:rowOff>165100</xdr:rowOff>
    </xdr:from>
    <xdr:to>
      <xdr:col>20</xdr:col>
      <xdr:colOff>63500</xdr:colOff>
      <xdr:row>23</xdr:row>
      <xdr:rowOff>101600</xdr:rowOff>
    </xdr:to>
    <xdr:sp macro="" textlink="">
      <xdr:nvSpPr>
        <xdr:cNvPr id="43" name="Rounded Rectangle 42">
          <a:extLst>
            <a:ext uri="{FF2B5EF4-FFF2-40B4-BE49-F238E27FC236}">
              <a16:creationId xmlns:a16="http://schemas.microsoft.com/office/drawing/2014/main" id="{00000000-0008-0000-0000-00002B000000}"/>
            </a:ext>
          </a:extLst>
        </xdr:cNvPr>
        <xdr:cNvSpPr/>
      </xdr:nvSpPr>
      <xdr:spPr>
        <a:xfrm>
          <a:off x="10604500" y="1181100"/>
          <a:ext cx="5969000" cy="3594100"/>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solidFill>
              <a:schemeClr val="bg2">
                <a:lumMod val="50000"/>
              </a:schemeClr>
            </a:solidFill>
          </a:endParaRPr>
        </a:p>
      </xdr:txBody>
    </xdr:sp>
    <xdr:clientData/>
  </xdr:twoCellAnchor>
  <xdr:twoCellAnchor>
    <xdr:from>
      <xdr:col>12</xdr:col>
      <xdr:colOff>749300</xdr:colOff>
      <xdr:row>6</xdr:row>
      <xdr:rowOff>165100</xdr:rowOff>
    </xdr:from>
    <xdr:to>
      <xdr:col>19</xdr:col>
      <xdr:colOff>673100</xdr:colOff>
      <xdr:row>22</xdr:row>
      <xdr:rowOff>25400</xdr:rowOff>
    </xdr:to>
    <xdr:graphicFrame macro="">
      <xdr:nvGraphicFramePr>
        <xdr:cNvPr id="45" name="Chart 44">
          <a:extLst>
            <a:ext uri="{FF2B5EF4-FFF2-40B4-BE49-F238E27FC236}">
              <a16:creationId xmlns:a16="http://schemas.microsoft.com/office/drawing/2014/main" id="{00000000-0008-0000-0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38652</xdr:colOff>
      <xdr:row>12</xdr:row>
      <xdr:rowOff>190500</xdr:rowOff>
    </xdr:from>
    <xdr:to>
      <xdr:col>12</xdr:col>
      <xdr:colOff>609600</xdr:colOff>
      <xdr:row>23</xdr:row>
      <xdr:rowOff>127000</xdr:rowOff>
    </xdr:to>
    <xdr:sp macro="" textlink="">
      <xdr:nvSpPr>
        <xdr:cNvPr id="46" name="Rounded Rectangle 45">
          <a:extLst>
            <a:ext uri="{FF2B5EF4-FFF2-40B4-BE49-F238E27FC236}">
              <a16:creationId xmlns:a16="http://schemas.microsoft.com/office/drawing/2014/main" id="{00000000-0008-0000-0000-00002E000000}"/>
            </a:ext>
          </a:extLst>
        </xdr:cNvPr>
        <xdr:cNvSpPr/>
      </xdr:nvSpPr>
      <xdr:spPr>
        <a:xfrm>
          <a:off x="3340652" y="2628900"/>
          <a:ext cx="7174948" cy="2171700"/>
        </a:xfrm>
        <a:prstGeom prst="roundRect">
          <a:avLst/>
        </a:prstGeom>
        <a:solidFill>
          <a:schemeClr val="tx2">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solidFill>
              <a:schemeClr val="bg2">
                <a:lumMod val="50000"/>
              </a:schemeClr>
            </a:solidFill>
          </a:endParaRPr>
        </a:p>
      </xdr:txBody>
    </xdr:sp>
    <xdr:clientData/>
  </xdr:twoCellAnchor>
  <xdr:twoCellAnchor>
    <xdr:from>
      <xdr:col>4</xdr:col>
      <xdr:colOff>50800</xdr:colOff>
      <xdr:row>13</xdr:row>
      <xdr:rowOff>12700</xdr:rowOff>
    </xdr:from>
    <xdr:to>
      <xdr:col>12</xdr:col>
      <xdr:colOff>609600</xdr:colOff>
      <xdr:row>23</xdr:row>
      <xdr:rowOff>101600</xdr:rowOff>
    </xdr:to>
    <xdr:graphicFrame macro="">
      <xdr:nvGraphicFramePr>
        <xdr:cNvPr id="47" name="Chart 46">
          <a:extLst>
            <a:ext uri="{FF2B5EF4-FFF2-40B4-BE49-F238E27FC236}">
              <a16:creationId xmlns:a16="http://schemas.microsoft.com/office/drawing/2014/main" id="{00000000-0008-0000-00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139700</xdr:colOff>
      <xdr:row>0</xdr:row>
      <xdr:rowOff>139700</xdr:rowOff>
    </xdr:from>
    <xdr:to>
      <xdr:col>9</xdr:col>
      <xdr:colOff>609600</xdr:colOff>
      <xdr:row>34</xdr:row>
      <xdr:rowOff>127000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39700" y="139700"/>
          <a:ext cx="7899400" cy="6896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2000" b="1">
            <a:latin typeface="Times New Roman" panose="02020603050405020304" pitchFamily="18" charset="0"/>
            <a:cs typeface="Times New Roman" panose="02020603050405020304" pitchFamily="18" charset="0"/>
          </a:endParaRPr>
        </a:p>
        <a:p>
          <a:r>
            <a:rPr lang="en-GB" sz="1400">
              <a:latin typeface="Times New Roman" panose="02020603050405020304" pitchFamily="18" charset="0"/>
              <a:cs typeface="Times New Roman" panose="02020603050405020304" pitchFamily="18" charset="0"/>
            </a:rPr>
            <a:t>Developed an automated financial management and performance analytics system for a livestock enterprise. The model integrates cost classification, profitability analysis, KPI dashboards, and financial projections into a structured Excel-based framework to enhance financial transparency and managerial decision-making.</a:t>
          </a:r>
          <a:endParaRPr lang="en-GB" sz="1400" b="1">
            <a:latin typeface="Times New Roman" panose="02020603050405020304" pitchFamily="18" charset="0"/>
            <a:cs typeface="Times New Roman" panose="02020603050405020304" pitchFamily="18" charset="0"/>
          </a:endParaRPr>
        </a:p>
        <a:p>
          <a:endParaRPr lang="en-GB" sz="2000" b="1">
            <a:latin typeface="Times New Roman" panose="02020603050405020304" pitchFamily="18" charset="0"/>
            <a:cs typeface="Times New Roman" panose="02020603050405020304" pitchFamily="18" charset="0"/>
          </a:endParaRPr>
        </a:p>
        <a:p>
          <a:r>
            <a:rPr lang="en-GB" sz="2000" b="1">
              <a:latin typeface="Times New Roman" panose="02020603050405020304" pitchFamily="18" charset="0"/>
              <a:cs typeface="Times New Roman" panose="02020603050405020304" pitchFamily="18" charset="0"/>
            </a:rPr>
            <a:t>Project Description </a:t>
          </a:r>
        </a:p>
        <a:p>
          <a:endParaRPr lang="en-GB" sz="2000" b="1">
            <a:latin typeface="Times New Roman" panose="02020603050405020304" pitchFamily="18" charset="0"/>
            <a:cs typeface="Times New Roman" panose="02020603050405020304" pitchFamily="18" charset="0"/>
          </a:endParaRPr>
        </a:p>
        <a:p>
          <a:r>
            <a:rPr lang="en-GB">
              <a:latin typeface="Times New Roman" panose="02020603050405020304" pitchFamily="18" charset="0"/>
              <a:cs typeface="Times New Roman" panose="02020603050405020304" pitchFamily="18" charset="0"/>
            </a:rPr>
            <a:t>Designed and developed a comprehensive Excel-based financial management and performance analytics system for a small-scale livestock enterprise.</a:t>
          </a:r>
        </a:p>
        <a:p>
          <a:endParaRPr lang="en-GB">
            <a:latin typeface="Times New Roman" panose="02020603050405020304" pitchFamily="18" charset="0"/>
            <a:cs typeface="Times New Roman" panose="02020603050405020304" pitchFamily="18" charset="0"/>
          </a:endParaRPr>
        </a:p>
        <a:p>
          <a:r>
            <a:rPr lang="en-GB">
              <a:latin typeface="Times New Roman" panose="02020603050405020304" pitchFamily="18" charset="0"/>
              <a:cs typeface="Times New Roman" panose="02020603050405020304" pitchFamily="18" charset="0"/>
            </a:rPr>
            <a:t>The system was built to address the absence of structured financial control, cost classification, and profitability measurement within the farm’s operations. It integrates operational data with financial analysis tools to improve transparency and support data-driven decision-making.</a:t>
          </a:r>
        </a:p>
        <a:p>
          <a:endParaRPr lang="en-GB">
            <a:latin typeface="Times New Roman" panose="02020603050405020304" pitchFamily="18" charset="0"/>
            <a:cs typeface="Times New Roman" panose="02020603050405020304" pitchFamily="18" charset="0"/>
          </a:endParaRPr>
        </a:p>
        <a:p>
          <a:r>
            <a:rPr lang="en-GB">
              <a:latin typeface="Times New Roman" panose="02020603050405020304" pitchFamily="18" charset="0"/>
              <a:cs typeface="Times New Roman" panose="02020603050405020304" pitchFamily="18" charset="0"/>
            </a:rPr>
            <a:t>The model automates livestock tracking, cost allocation, revenue recording, and real-time KPI reporting through dynamic dashboards and structured financial logic.</a:t>
          </a:r>
        </a:p>
        <a:p>
          <a:endParaRPr lang="en-PK" b="1">
            <a:latin typeface="Times New Roman" panose="02020603050405020304" pitchFamily="18" charset="0"/>
            <a:cs typeface="Times New Roman" panose="02020603050405020304" pitchFamily="18" charset="0"/>
          </a:endParaRPr>
        </a:p>
        <a:p>
          <a:endParaRPr lang="en-PK" b="1">
            <a:latin typeface="Times New Roman" panose="02020603050405020304" pitchFamily="18" charset="0"/>
            <a:cs typeface="Times New Roman" panose="02020603050405020304" pitchFamily="18" charset="0"/>
          </a:endParaRPr>
        </a:p>
        <a:p>
          <a:endParaRPr lang="en-PK" b="1">
            <a:latin typeface="Times New Roman" panose="02020603050405020304" pitchFamily="18" charset="0"/>
            <a:cs typeface="Times New Roman" panose="02020603050405020304" pitchFamily="18" charset="0"/>
          </a:endParaRPr>
        </a:p>
        <a:p>
          <a:endParaRPr lang="en-PK" b="1">
            <a:latin typeface="Times New Roman" panose="02020603050405020304" pitchFamily="18" charset="0"/>
            <a:cs typeface="Times New Roman" panose="02020603050405020304" pitchFamily="18" charset="0"/>
          </a:endParaRPr>
        </a:p>
        <a:p>
          <a:r>
            <a:rPr lang="en-PK" sz="1200" b="1">
              <a:latin typeface="Times New Roman" panose="02020603050405020304" pitchFamily="18" charset="0"/>
              <a:cs typeface="Times New Roman" panose="02020603050405020304" pitchFamily="18" charset="0"/>
            </a:rPr>
            <a:t> </a:t>
          </a:r>
          <a:r>
            <a:rPr lang="en-GB" sz="1200" b="1">
              <a:latin typeface="Times New Roman" panose="02020603050405020304" pitchFamily="18" charset="0"/>
              <a:cs typeface="Times New Roman" panose="02020603050405020304" pitchFamily="18" charset="0"/>
            </a:rPr>
            <a:t>Key Features</a:t>
          </a:r>
        </a:p>
        <a:p>
          <a:endParaRPr lang="en-GB" b="1">
            <a:latin typeface="Times New Roman" panose="02020603050405020304" pitchFamily="18" charset="0"/>
            <a:cs typeface="Times New Roman" panose="02020603050405020304" pitchFamily="18" charset="0"/>
          </a:endParaRPr>
        </a:p>
        <a:p>
          <a:r>
            <a:rPr lang="en-GB">
              <a:latin typeface="Times New Roman" panose="02020603050405020304" pitchFamily="18" charset="0"/>
              <a:cs typeface="Times New Roman" panose="02020603050405020304" pitchFamily="18" charset="0"/>
            </a:rPr>
            <a:t>• Automated livestock master database with status tracking (active, sold, deceased)</a:t>
          </a:r>
          <a:br>
            <a:rPr lang="en-GB">
              <a:latin typeface="Times New Roman" panose="02020603050405020304" pitchFamily="18" charset="0"/>
              <a:cs typeface="Times New Roman" panose="02020603050405020304" pitchFamily="18" charset="0"/>
            </a:rPr>
          </a:br>
          <a:r>
            <a:rPr lang="en-GB">
              <a:latin typeface="Times New Roman" panose="02020603050405020304" pitchFamily="18" charset="0"/>
              <a:cs typeface="Times New Roman" panose="02020603050405020304" pitchFamily="18" charset="0"/>
            </a:rPr>
            <a:t>• Cost classification (fixed vs variable; operational expense tracking)</a:t>
          </a:r>
          <a:br>
            <a:rPr lang="en-GB">
              <a:latin typeface="Times New Roman" panose="02020603050405020304" pitchFamily="18" charset="0"/>
              <a:cs typeface="Times New Roman" panose="02020603050405020304" pitchFamily="18" charset="0"/>
            </a:rPr>
          </a:br>
          <a:r>
            <a:rPr lang="en-GB">
              <a:latin typeface="Times New Roman" panose="02020603050405020304" pitchFamily="18" charset="0"/>
              <a:cs typeface="Times New Roman" panose="02020603050405020304" pitchFamily="18" charset="0"/>
            </a:rPr>
            <a:t>• Revenue recording and profitability calculation</a:t>
          </a:r>
          <a:br>
            <a:rPr lang="en-GB">
              <a:latin typeface="Times New Roman" panose="02020603050405020304" pitchFamily="18" charset="0"/>
              <a:cs typeface="Times New Roman" panose="02020603050405020304" pitchFamily="18" charset="0"/>
            </a:rPr>
          </a:br>
          <a:r>
            <a:rPr lang="en-GB">
              <a:latin typeface="Times New Roman" panose="02020603050405020304" pitchFamily="18" charset="0"/>
              <a:cs typeface="Times New Roman" panose="02020603050405020304" pitchFamily="18" charset="0"/>
            </a:rPr>
            <a:t>• Monthly and yearly financial summaries using dynamic date-based formulas</a:t>
          </a:r>
          <a:br>
            <a:rPr lang="en-GB">
              <a:latin typeface="Times New Roman" panose="02020603050405020304" pitchFamily="18" charset="0"/>
              <a:cs typeface="Times New Roman" panose="02020603050405020304" pitchFamily="18" charset="0"/>
            </a:rPr>
          </a:br>
          <a:r>
            <a:rPr lang="en-GB">
              <a:latin typeface="Times New Roman" panose="02020603050405020304" pitchFamily="18" charset="0"/>
              <a:cs typeface="Times New Roman" panose="02020603050405020304" pitchFamily="18" charset="0"/>
            </a:rPr>
            <a:t>• KPI dashboard (total livestock, active male/female ratio, revenue, cost, profit)</a:t>
          </a:r>
          <a:br>
            <a:rPr lang="en-GB">
              <a:latin typeface="Times New Roman" panose="02020603050405020304" pitchFamily="18" charset="0"/>
              <a:cs typeface="Times New Roman" panose="02020603050405020304" pitchFamily="18" charset="0"/>
            </a:rPr>
          </a:br>
          <a:r>
            <a:rPr lang="en-GB">
              <a:latin typeface="Times New Roman" panose="02020603050405020304" pitchFamily="18" charset="0"/>
              <a:cs typeface="Times New Roman" panose="02020603050405020304" pitchFamily="18" charset="0"/>
            </a:rPr>
            <a:t>• Contribution and break-even analysis</a:t>
          </a:r>
          <a:br>
            <a:rPr lang="en-GB">
              <a:latin typeface="Times New Roman" panose="02020603050405020304" pitchFamily="18" charset="0"/>
              <a:cs typeface="Times New Roman" panose="02020603050405020304" pitchFamily="18" charset="0"/>
            </a:rPr>
          </a:br>
          <a:r>
            <a:rPr lang="en-GB">
              <a:latin typeface="Times New Roman" panose="02020603050405020304" pitchFamily="18" charset="0"/>
              <a:cs typeface="Times New Roman" panose="02020603050405020304" pitchFamily="18" charset="0"/>
            </a:rPr>
            <a:t>• Sensitivity analysis for feed cost and mortality impact</a:t>
          </a:r>
          <a:br>
            <a:rPr lang="en-GB">
              <a:latin typeface="Times New Roman" panose="02020603050405020304" pitchFamily="18" charset="0"/>
              <a:cs typeface="Times New Roman" panose="02020603050405020304" pitchFamily="18" charset="0"/>
            </a:rPr>
          </a:br>
          <a:r>
            <a:rPr lang="en-GB">
              <a:latin typeface="Times New Roman" panose="02020603050405020304" pitchFamily="18" charset="0"/>
              <a:cs typeface="Times New Roman" panose="02020603050405020304" pitchFamily="18" charset="0"/>
            </a:rPr>
            <a:t>• Financial projection and cash flow modeling</a:t>
          </a:r>
          <a:br>
            <a:rPr lang="en-GB">
              <a:latin typeface="Times New Roman" panose="02020603050405020304" pitchFamily="18" charset="0"/>
              <a:cs typeface="Times New Roman" panose="02020603050405020304" pitchFamily="18" charset="0"/>
            </a:rPr>
          </a:br>
          <a:r>
            <a:rPr lang="en-GB">
              <a:latin typeface="Times New Roman" panose="02020603050405020304" pitchFamily="18" charset="0"/>
              <a:cs typeface="Times New Roman" panose="02020603050405020304" pitchFamily="18" charset="0"/>
            </a:rPr>
            <a:t>• Fully automated using advanced Excel functions (SUMIFS, VLOOKUP/XLOOKUP, conditional logic, date functions)</a:t>
          </a:r>
        </a:p>
        <a:p>
          <a:endParaRPr lang="en-GB" sz="1100">
            <a:latin typeface="Times New Roman" panose="02020603050405020304" pitchFamily="18" charset="0"/>
            <a:cs typeface="Times New Roman" panose="02020603050405020304" pitchFamily="18"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3FAC806-520A-B144-BCB5-148AEC8FD610}" name="Table3" displayName="Table3" ref="A1:J630" totalsRowShown="0">
  <autoFilter ref="A1:J630" xr:uid="{242968C9-67F0-8E45-8073-EA3CAFAE289E}"/>
  <tableColumns count="10">
    <tableColumn id="1" xr3:uid="{F70B1785-C58E-8642-9924-DEF1951C2F31}" name="Sr#">
      <calculatedColumnFormula>IF(SALE!A6=0,"",SALE!A6)</calculatedColumnFormula>
    </tableColumn>
    <tableColumn id="2" xr3:uid="{EE5776F7-C9E4-8443-BCEE-C885FD898AA7}" name="Goat ID">
      <calculatedColumnFormula>IF(SALE!B6=0,"",SALE!B6)</calculatedColumnFormula>
    </tableColumn>
    <tableColumn id="3" xr3:uid="{E3BDF95A-D967-5740-BB47-3072D20B7628}" name="Breed">
      <calculatedColumnFormula>IF(SALE!C6=0,"",SALE!C6)</calculatedColumnFormula>
    </tableColumn>
    <tableColumn id="4" xr3:uid="{EF092F47-3EA0-6F46-A5F7-FE23419CDA67}" name="Gender">
      <calculatedColumnFormula>IF(SALE!D6=0,"",SALE!D6)</calculatedColumnFormula>
    </tableColumn>
    <tableColumn id="5" xr3:uid="{A5D4DFC0-829B-DE41-B7C6-3DEFB2314361}" name="Current value" dataDxfId="2">
      <calculatedColumnFormula>IF(SALE!E6=0,"",SALE!E6)</calculatedColumnFormula>
    </tableColumn>
    <tableColumn id="6" xr3:uid="{19EE3AA3-85F5-5642-9D4D-30284ECC1A71}" name="Sold Price" dataDxfId="1">
      <calculatedColumnFormula>IF(SALE!F6=0,"",SALE!F6)</calculatedColumnFormula>
    </tableColumn>
    <tableColumn id="7" xr3:uid="{58D8F19F-5166-094E-B007-CB8324B4E2B4}" name="Date of Sale" dataDxfId="0">
      <calculatedColumnFormula>IF(SALE!G6=0,"",SALE!G6)</calculatedColumnFormula>
    </tableColumn>
    <tableColumn id="8" xr3:uid="{83A8A6BC-49F9-5A4E-B775-F7B39AD0EBFA}" name="Month">
      <calculatedColumnFormula>IF(SALE!H6=0,"",SALE!H6)</calculatedColumnFormula>
    </tableColumn>
    <tableColumn id="9" xr3:uid="{407C18EB-6C7B-484A-B440-7AF347861BA6}" name="Year">
      <calculatedColumnFormula>IF(SALE!I6=0,"",SALE!I6)</calculatedColumnFormula>
    </tableColumn>
    <tableColumn id="10" xr3:uid="{B8BC46EB-B052-9E4C-B814-922F787E0322}" name="Buyers name and contact">
      <calculatedColumnFormula>IF(SALE!J6=0,"",SALE!J6)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D2A88-065F-3F48-A92C-1808A02980C8}">
  <sheetPr codeName="Sheet10">
    <tabColor theme="1" tint="4.9989318521683403E-2"/>
  </sheetPr>
  <dimension ref="A1:A35"/>
  <sheetViews>
    <sheetView showGridLines="0" zoomScaleNormal="100" workbookViewId="0">
      <selection activeCell="A13" sqref="A13"/>
    </sheetView>
  </sheetViews>
  <sheetFormatPr baseColWidth="10" defaultColWidth="0" defaultRowHeight="16" zeroHeight="1"/>
  <cols>
    <col min="1" max="22" width="10.83203125" style="23" customWidth="1"/>
    <col min="23" max="23" width="0" style="23" hidden="1" customWidth="1"/>
    <col min="24" max="16384" width="0" style="23"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Drop Down 2">
              <controlPr defaultSize="0" autoLine="0" autoPict="0">
                <anchor moveWithCells="1">
                  <from>
                    <xdr:col>1</xdr:col>
                    <xdr:colOff>495300</xdr:colOff>
                    <xdr:row>7</xdr:row>
                    <xdr:rowOff>101600</xdr:rowOff>
                  </from>
                  <to>
                    <xdr:col>3</xdr:col>
                    <xdr:colOff>495300</xdr:colOff>
                    <xdr:row>9</xdr:row>
                    <xdr:rowOff>25400</xdr:rowOff>
                  </to>
                </anchor>
              </controlPr>
            </control>
          </mc:Choice>
        </mc:AlternateContent>
        <mc:AlternateContent xmlns:mc="http://schemas.openxmlformats.org/markup-compatibility/2006">
          <mc:Choice Requires="x14">
            <control shapeId="2051" r:id="rId4" name="Drop Down 3">
              <controlPr defaultSize="0" autoLine="0" autoPict="0">
                <anchor moveWithCells="1">
                  <from>
                    <xdr:col>1</xdr:col>
                    <xdr:colOff>495300</xdr:colOff>
                    <xdr:row>9</xdr:row>
                    <xdr:rowOff>88900</xdr:rowOff>
                  </from>
                  <to>
                    <xdr:col>3</xdr:col>
                    <xdr:colOff>495300</xdr:colOff>
                    <xdr:row>11</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5B89B-9537-9D4E-92DF-3E792974B092}">
  <sheetPr codeName="Sheet1">
    <tabColor theme="2" tint="-0.749992370372631"/>
  </sheetPr>
  <dimension ref="A1:AE1000"/>
  <sheetViews>
    <sheetView showGridLines="0" tabSelected="1" workbookViewId="0">
      <pane ySplit="5" topLeftCell="A6" activePane="bottomLeft" state="frozen"/>
      <selection pane="bottomLeft" activeCell="G32" sqref="G32"/>
    </sheetView>
  </sheetViews>
  <sheetFormatPr baseColWidth="10" defaultColWidth="0" defaultRowHeight="16"/>
  <cols>
    <col min="1" max="1" width="4.33203125" style="101" bestFit="1" customWidth="1"/>
    <col min="2" max="2" width="9.1640625" style="78" bestFit="1" customWidth="1"/>
    <col min="3" max="3" width="7.83203125" style="77" bestFit="1" customWidth="1"/>
    <col min="4" max="4" width="7.5" style="77" customWidth="1"/>
    <col min="5" max="5" width="10" style="77" customWidth="1"/>
    <col min="6" max="6" width="8.33203125" style="78" bestFit="1" customWidth="1"/>
    <col min="7" max="7" width="7.1640625" style="78" customWidth="1"/>
    <col min="8" max="8" width="6.6640625" style="78" customWidth="1"/>
    <col min="9" max="9" width="9" style="78" customWidth="1"/>
    <col min="10" max="10" width="10.83203125" style="105" customWidth="1"/>
    <col min="11" max="11" width="10.6640625" style="102" bestFit="1" customWidth="1"/>
    <col min="12" max="12" width="12.33203125" style="102" bestFit="1" customWidth="1"/>
    <col min="13" max="13" width="9.1640625" style="77" bestFit="1" customWidth="1"/>
    <col min="14" max="14" width="8.1640625" style="77" bestFit="1" customWidth="1"/>
    <col min="15" max="15" width="10.6640625" style="77" bestFit="1" customWidth="1"/>
    <col min="16" max="16" width="9.5" style="77" bestFit="1" customWidth="1"/>
    <col min="17" max="17" width="13.1640625" style="77" bestFit="1" customWidth="1"/>
    <col min="18" max="18" width="18" style="77" bestFit="1" customWidth="1"/>
    <col min="19" max="19" width="12.1640625" style="105" bestFit="1" customWidth="1"/>
    <col min="20" max="20" width="14" style="105" bestFit="1" customWidth="1"/>
    <col min="21" max="21" width="10.6640625" style="107" bestFit="1" customWidth="1"/>
    <col min="22" max="22" width="13.83203125" style="103" bestFit="1" customWidth="1"/>
    <col min="23" max="23" width="9" style="77" bestFit="1" customWidth="1"/>
    <col min="24" max="27" width="10.83203125" style="78" hidden="1" customWidth="1"/>
    <col min="28" max="28" width="7.83203125" style="78" hidden="1" customWidth="1"/>
    <col min="29" max="29" width="4.1640625" style="78" hidden="1" customWidth="1"/>
    <col min="30" max="30" width="0" style="78" hidden="1" customWidth="1"/>
    <col min="31" max="16384" width="10.83203125" style="78" hidden="1"/>
  </cols>
  <sheetData>
    <row r="1" spans="1:31" ht="16" customHeight="1">
      <c r="A1" s="115" t="s">
        <v>21</v>
      </c>
      <c r="B1" s="116"/>
      <c r="C1" s="116"/>
      <c r="D1" s="116"/>
      <c r="E1" s="116"/>
      <c r="F1" s="116"/>
      <c r="G1" s="116"/>
      <c r="H1" s="116"/>
      <c r="I1" s="116"/>
      <c r="J1" s="116"/>
      <c r="K1" s="116"/>
      <c r="L1" s="116"/>
      <c r="M1" s="116"/>
      <c r="N1" s="116"/>
      <c r="O1" s="116"/>
      <c r="P1" s="116"/>
      <c r="Q1" s="116"/>
      <c r="R1" s="116"/>
      <c r="S1" s="116"/>
      <c r="T1" s="116"/>
      <c r="U1" s="116"/>
      <c r="V1" s="116"/>
      <c r="W1" s="117"/>
    </row>
    <row r="2" spans="1:31" ht="16" customHeight="1">
      <c r="A2" s="118"/>
      <c r="B2" s="119"/>
      <c r="C2" s="119"/>
      <c r="D2" s="119"/>
      <c r="E2" s="119"/>
      <c r="F2" s="119"/>
      <c r="G2" s="119"/>
      <c r="H2" s="119"/>
      <c r="I2" s="119"/>
      <c r="J2" s="119"/>
      <c r="K2" s="119"/>
      <c r="L2" s="119"/>
      <c r="M2" s="119"/>
      <c r="N2" s="119"/>
      <c r="O2" s="119"/>
      <c r="P2" s="119"/>
      <c r="Q2" s="119"/>
      <c r="R2" s="119"/>
      <c r="S2" s="119"/>
      <c r="T2" s="119"/>
      <c r="U2" s="119"/>
      <c r="V2" s="119"/>
      <c r="W2" s="120"/>
    </row>
    <row r="3" spans="1:31" ht="4" customHeight="1">
      <c r="A3" s="79"/>
      <c r="B3" s="80"/>
      <c r="C3" s="80"/>
      <c r="D3" s="80"/>
      <c r="E3" s="80"/>
      <c r="F3" s="80"/>
      <c r="G3" s="80"/>
      <c r="H3" s="80"/>
      <c r="I3" s="80"/>
      <c r="J3" s="80"/>
      <c r="K3" s="80"/>
      <c r="L3" s="80"/>
      <c r="M3" s="80"/>
      <c r="N3" s="80"/>
      <c r="O3" s="80"/>
      <c r="P3" s="80"/>
      <c r="Q3" s="80"/>
      <c r="R3" s="80"/>
      <c r="S3" s="80"/>
      <c r="T3" s="80"/>
      <c r="U3" s="80"/>
      <c r="V3" s="80"/>
      <c r="W3" s="81"/>
    </row>
    <row r="4" spans="1:31">
      <c r="A4" s="121" t="s">
        <v>22</v>
      </c>
      <c r="B4" s="122"/>
      <c r="C4" s="122"/>
      <c r="D4" s="122"/>
      <c r="E4" s="122"/>
      <c r="F4" s="122"/>
      <c r="G4" s="122"/>
      <c r="H4" s="122"/>
      <c r="I4" s="122"/>
      <c r="J4" s="122"/>
      <c r="K4" s="122"/>
      <c r="L4" s="122"/>
      <c r="M4" s="122"/>
      <c r="N4" s="122"/>
      <c r="O4" s="122"/>
      <c r="P4" s="122"/>
      <c r="Q4" s="122"/>
      <c r="R4" s="122"/>
      <c r="S4" s="122"/>
      <c r="T4" s="122"/>
      <c r="U4" s="122"/>
      <c r="V4" s="122"/>
      <c r="W4" s="123"/>
    </row>
    <row r="5" spans="1:31">
      <c r="A5" s="82" t="s">
        <v>14</v>
      </c>
      <c r="B5" s="83" t="s">
        <v>0</v>
      </c>
      <c r="C5" s="83" t="s">
        <v>1</v>
      </c>
      <c r="D5" s="83" t="s">
        <v>2</v>
      </c>
      <c r="E5" s="83" t="s">
        <v>15</v>
      </c>
      <c r="F5" s="84" t="s">
        <v>10</v>
      </c>
      <c r="G5" s="84" t="s">
        <v>17</v>
      </c>
      <c r="H5" s="84" t="s">
        <v>18</v>
      </c>
      <c r="I5" s="84" t="s">
        <v>19</v>
      </c>
      <c r="J5" s="85" t="s">
        <v>3</v>
      </c>
      <c r="K5" s="86" t="s">
        <v>4</v>
      </c>
      <c r="L5" s="86" t="s">
        <v>5</v>
      </c>
      <c r="M5" s="83" t="s">
        <v>6</v>
      </c>
      <c r="N5" s="83" t="s">
        <v>7</v>
      </c>
      <c r="O5" s="87" t="s">
        <v>8</v>
      </c>
      <c r="P5" s="88" t="s">
        <v>9</v>
      </c>
      <c r="Q5" s="83" t="s">
        <v>30</v>
      </c>
      <c r="R5" s="83" t="s">
        <v>16</v>
      </c>
      <c r="S5" s="85" t="s">
        <v>31</v>
      </c>
      <c r="T5" s="89" t="s">
        <v>32</v>
      </c>
      <c r="U5" s="90" t="s">
        <v>11</v>
      </c>
      <c r="V5" s="91" t="s">
        <v>12</v>
      </c>
      <c r="W5" s="92" t="s">
        <v>20</v>
      </c>
    </row>
    <row r="6" spans="1:31">
      <c r="A6" s="93">
        <f>ROW(A1)</f>
        <v>1</v>
      </c>
      <c r="B6" s="94" t="s">
        <v>185</v>
      </c>
      <c r="C6" s="76" t="s">
        <v>23</v>
      </c>
      <c r="D6" s="76" t="s">
        <v>27</v>
      </c>
      <c r="E6" s="76"/>
      <c r="F6" s="94" t="str">
        <f ca="1">IF(OR(G6="Sold",H6="Died",I6="Sick"),"Inactive",IF(OR(C6="MALE",C6="FEMALE"),"Active",""))</f>
        <v>Active</v>
      </c>
      <c r="G6" s="96" t="str">
        <f>IFERROR((IF((VLOOKUP(B6,SALE!$B$5:$B$1000,1,0))&gt;0,"Sold","")),"")</f>
        <v/>
      </c>
      <c r="H6" s="96" t="str">
        <f>IFERROR((IF((VLOOKUP(B6,MORTALITY!$B$5:$B$1000,1,0))&gt;0,"Died","")),"")</f>
        <v/>
      </c>
      <c r="I6" s="96" t="str">
        <f ca="1">IFERROR(
   IF(LOOKUP(2,1/((ILLNESS!$B$6:$B$1000=B6)*(ILLNESS!$L$6:$L$1000&lt;&gt;"")),
            ILLNESS!$L$6:$L$1000)="No",
      "Sick",""),
"")</f>
        <v/>
      </c>
      <c r="J6" s="104">
        <v>44634</v>
      </c>
      <c r="K6" s="97">
        <f ca="1">IF(J6="","",DATEDIF($J6,TODAY(),"Y"))</f>
        <v>4</v>
      </c>
      <c r="L6" s="97">
        <f ca="1">IFERROR(DATEDIF($J6,TODAY(),"M")-($K6*12),"")</f>
        <v>4</v>
      </c>
      <c r="M6" s="76"/>
      <c r="N6" s="76"/>
      <c r="O6" s="76">
        <v>10</v>
      </c>
      <c r="P6" s="76" t="s">
        <v>28</v>
      </c>
      <c r="Q6" s="76"/>
      <c r="R6" s="76"/>
      <c r="S6" s="104"/>
      <c r="T6" s="104"/>
      <c r="U6" s="106"/>
      <c r="V6" s="98" t="str">
        <f>IF(OR(G6="Sold",H6="Died"),IF(G6="Sold",VLOOKUP(B6,SALE!$B$5:$J$1000,6,0),IF(H6="Died",VLOOKUP(B6,MORTALITY!$B$5:$K$1000,5,0),"")),"")</f>
        <v/>
      </c>
      <c r="W6" s="76"/>
      <c r="AB6" s="78" t="s">
        <v>23</v>
      </c>
      <c r="AC6" s="78" t="s">
        <v>25</v>
      </c>
      <c r="AD6" s="78" t="s">
        <v>27</v>
      </c>
      <c r="AE6" s="78" t="s">
        <v>28</v>
      </c>
    </row>
    <row r="7" spans="1:31">
      <c r="A7" s="93">
        <f>ROW(A2)</f>
        <v>2</v>
      </c>
      <c r="B7" s="94" t="s">
        <v>186</v>
      </c>
      <c r="C7" s="76" t="s">
        <v>23</v>
      </c>
      <c r="D7" s="76" t="s">
        <v>27</v>
      </c>
      <c r="E7" s="76"/>
      <c r="F7" s="94" t="str">
        <f t="shared" ref="F7:F70" ca="1" si="0">IF(OR(G7="Sold",H7="Died",I7="Sick"),"Inactive",IF(OR(C7="MALE",C7="FEMALE"),"Active",""))</f>
        <v>Active</v>
      </c>
      <c r="G7" s="96" t="str">
        <f>IFERROR((IF((VLOOKUP(B7,SALE!$B$5:$B$1000,1,0))&gt;0,"Sold","")),"")</f>
        <v/>
      </c>
      <c r="H7" s="96" t="str">
        <f>IFERROR((IF((VLOOKUP(B7,MORTALITY!$B$5:$B$1000,1,0))&gt;0,"Died","")),"")</f>
        <v/>
      </c>
      <c r="I7" s="96" t="str">
        <f ca="1">IFERROR(
   IF(LOOKUP(2,1/((ILLNESS!$B$6:$B$1000=B7)*(ILLNESS!$L$6:$L$1000&lt;&gt;"")),
            ILLNESS!$L$6:$L$1000)="No",
      "Sick",""),
"")</f>
        <v/>
      </c>
      <c r="J7" s="104">
        <v>45329</v>
      </c>
      <c r="K7" s="97">
        <f t="shared" ref="K7:K70" ca="1" si="1">IF(J7="","",DATEDIF($J7,TODAY(),"Y"))</f>
        <v>2</v>
      </c>
      <c r="L7" s="97">
        <f t="shared" ref="L7:L70" ca="1" si="2">IFERROR(DATEDIF($J7,TODAY(),"M")-($K7*12),"")</f>
        <v>6</v>
      </c>
      <c r="M7" s="76"/>
      <c r="N7" s="76"/>
      <c r="O7" s="76">
        <v>1.5</v>
      </c>
      <c r="P7" s="76" t="s">
        <v>28</v>
      </c>
      <c r="Q7" s="76"/>
      <c r="R7" s="76"/>
      <c r="S7" s="104"/>
      <c r="T7" s="104"/>
      <c r="U7" s="106"/>
      <c r="V7" s="98" t="str">
        <f>IF(OR(G7="Sold",H7="Died"),IF(G7="Sold",VLOOKUP(B7,SALE!$B$5:$J$1000,6,0),IF(H7="Died",VLOOKUP(B7,MORTALITY!$B$5:$K$1000,5,0),"")),"")</f>
        <v/>
      </c>
      <c r="W7" s="76"/>
      <c r="AB7" s="78" t="s">
        <v>24</v>
      </c>
      <c r="AC7" s="78" t="s">
        <v>26</v>
      </c>
      <c r="AE7" s="78" t="s">
        <v>29</v>
      </c>
    </row>
    <row r="8" spans="1:31">
      <c r="A8" s="93">
        <f>ROW(A4)</f>
        <v>4</v>
      </c>
      <c r="B8" s="94" t="s">
        <v>148</v>
      </c>
      <c r="C8" s="76" t="s">
        <v>24</v>
      </c>
      <c r="D8" s="76" t="s">
        <v>27</v>
      </c>
      <c r="E8" s="76"/>
      <c r="F8" s="94" t="str">
        <f t="shared" ca="1" si="0"/>
        <v>Inactive</v>
      </c>
      <c r="G8" s="96" t="str">
        <f>IFERROR((IF((VLOOKUP(B8,SALE!$B$5:$B$1000,1,0))&gt;0,"Sold","")),"")</f>
        <v>Sold</v>
      </c>
      <c r="H8" s="96" t="str">
        <f>IFERROR((IF((VLOOKUP(B8,MORTALITY!$B$5:$B$1000,1,0))&gt;0,"Died","")),"")</f>
        <v/>
      </c>
      <c r="I8" s="96" t="str">
        <f ca="1">IFERROR(
   IF(LOOKUP(2,1/((ILLNESS!$B$6:$B$1000=B8)*(ILLNESS!$L$6:$L$1000&lt;&gt;"")),
            ILLNESS!$L$6:$L$1000)="No",
      "Sick",""),
"")</f>
        <v/>
      </c>
      <c r="J8" s="104">
        <v>44970</v>
      </c>
      <c r="K8" s="97">
        <f t="shared" ca="1" si="1"/>
        <v>3</v>
      </c>
      <c r="L8" s="97">
        <f t="shared" ca="1" si="2"/>
        <v>5</v>
      </c>
      <c r="M8" s="76"/>
      <c r="N8" s="76"/>
      <c r="O8" s="76">
        <v>3</v>
      </c>
      <c r="P8" s="76" t="s">
        <v>28</v>
      </c>
      <c r="Q8" s="76"/>
      <c r="R8" s="76"/>
      <c r="S8" s="104"/>
      <c r="T8" s="104"/>
      <c r="U8" s="106"/>
      <c r="V8" s="98">
        <f>IF(OR(G8="Sold",H8="Died"),IF(G8="Sold",VLOOKUP(B8,SALE!$B$5:$J$1000,6,0),IF(H8="Died",VLOOKUP(B8,MORTALITY!$B$5:$K$1000,5,0),"")),"")</f>
        <v>46012</v>
      </c>
      <c r="W8" s="76"/>
    </row>
    <row r="9" spans="1:31">
      <c r="A9" s="93">
        <f t="shared" ref="A9:A72" si="3">ROW(A5)</f>
        <v>5</v>
      </c>
      <c r="B9" s="94" t="s">
        <v>187</v>
      </c>
      <c r="C9" s="76" t="s">
        <v>24</v>
      </c>
      <c r="D9" s="76" t="s">
        <v>27</v>
      </c>
      <c r="E9" s="76"/>
      <c r="F9" s="94" t="str">
        <f t="shared" ca="1" si="0"/>
        <v>Active</v>
      </c>
      <c r="G9" s="96" t="str">
        <f>IFERROR((IF((VLOOKUP(B9,SALE!$B$5:$B$1000,1,0))&gt;0,"Sold","")),"")</f>
        <v/>
      </c>
      <c r="H9" s="96" t="str">
        <f>IFERROR((IF((VLOOKUP(B9,MORTALITY!$B$5:$B$1000,1,0))&gt;0,"Died","")),"")</f>
        <v/>
      </c>
      <c r="I9" s="96" t="str">
        <f ca="1">IFERROR(
   IF(LOOKUP(2,1/((ILLNESS!$B$6:$B$1000=B9)*(ILLNESS!$L$6:$L$1000&lt;&gt;"")),
            ILLNESS!$L$6:$L$1000)="No",
      "Sick",""),
"")</f>
        <v/>
      </c>
      <c r="J9" s="104">
        <v>44970</v>
      </c>
      <c r="K9" s="97">
        <f t="shared" ca="1" si="1"/>
        <v>3</v>
      </c>
      <c r="L9" s="97">
        <f t="shared" ca="1" si="2"/>
        <v>5</v>
      </c>
      <c r="M9" s="76"/>
      <c r="N9" s="76"/>
      <c r="O9" s="76">
        <v>2.5</v>
      </c>
      <c r="P9" s="76" t="s">
        <v>28</v>
      </c>
      <c r="Q9" s="76"/>
      <c r="R9" s="76"/>
      <c r="S9" s="104"/>
      <c r="T9" s="104"/>
      <c r="U9" s="106"/>
      <c r="V9" s="98" t="str">
        <f>IF(OR(G9="Sold",H9="Died"),IF(G9="Sold",VLOOKUP(B9,SALE!$B$5:$J$1000,6,0),IF(H9="Died",VLOOKUP(B9,MORTALITY!$B$5:$K$1000,5,0),"")),"")</f>
        <v/>
      </c>
      <c r="W9" s="76"/>
    </row>
    <row r="10" spans="1:31">
      <c r="A10" s="93">
        <f t="shared" si="3"/>
        <v>6</v>
      </c>
      <c r="B10" s="94" t="s">
        <v>152</v>
      </c>
      <c r="C10" s="76" t="s">
        <v>23</v>
      </c>
      <c r="D10" s="76" t="s">
        <v>27</v>
      </c>
      <c r="E10" s="76"/>
      <c r="F10" s="94" t="str">
        <f t="shared" ca="1" si="0"/>
        <v>Inactive</v>
      </c>
      <c r="G10" s="96" t="str">
        <f>IFERROR((IF((VLOOKUP(B10,SALE!$B$5:$B$1000,1,0))&gt;0,"Sold","")),"")</f>
        <v>Sold</v>
      </c>
      <c r="H10" s="96" t="str">
        <f>IFERROR((IF((VLOOKUP(B10,MORTALITY!$B$5:$B$1000,1,0))&gt;0,"Died","")),"")</f>
        <v/>
      </c>
      <c r="I10" s="96" t="str">
        <f ca="1">IFERROR(
   IF(LOOKUP(2,1/((ILLNESS!$B$6:$B$1000=B10)*(ILLNESS!$L$6:$L$1000&lt;&gt;"")),
            ILLNESS!$L$6:$L$1000)="No",
      "Sick",""),
"")</f>
        <v/>
      </c>
      <c r="J10" s="104">
        <v>44971</v>
      </c>
      <c r="K10" s="97">
        <f t="shared" ca="1" si="1"/>
        <v>3</v>
      </c>
      <c r="L10" s="97">
        <f t="shared" ca="1" si="2"/>
        <v>5</v>
      </c>
      <c r="M10" s="76"/>
      <c r="N10" s="76"/>
      <c r="O10" s="76"/>
      <c r="P10" s="76"/>
      <c r="Q10" s="76"/>
      <c r="R10" s="76"/>
      <c r="S10" s="104"/>
      <c r="T10" s="104"/>
      <c r="U10" s="106"/>
      <c r="V10" s="98">
        <f>IF(OR(G10="Sold",H10="Died"),IF(G10="Sold",VLOOKUP(B10,SALE!$B$5:$J$1000,6,0),IF(H10="Died",VLOOKUP(B10,MORTALITY!$B$5:$K$1000,5,0),"")),"")</f>
        <v>45468</v>
      </c>
      <c r="W10" s="76"/>
    </row>
    <row r="11" spans="1:31">
      <c r="A11" s="93">
        <f t="shared" si="3"/>
        <v>7</v>
      </c>
      <c r="B11" s="94" t="s">
        <v>145</v>
      </c>
      <c r="C11" s="76" t="s">
        <v>23</v>
      </c>
      <c r="D11" s="76" t="s">
        <v>27</v>
      </c>
      <c r="E11" s="76"/>
      <c r="F11" s="94" t="str">
        <f t="shared" ca="1" si="0"/>
        <v>Inactive</v>
      </c>
      <c r="G11" s="96" t="str">
        <f>IFERROR((IF((VLOOKUP(B11,SALE!$B$5:$B$1000,1,0))&gt;0,"Sold","")),"")</f>
        <v>Sold</v>
      </c>
      <c r="H11" s="96" t="str">
        <f>IFERROR((IF((VLOOKUP(B11,MORTALITY!$B$5:$B$1000,1,0))&gt;0,"Died","")),"")</f>
        <v/>
      </c>
      <c r="I11" s="96" t="str">
        <f ca="1">IFERROR(
   IF(LOOKUP(2,1/((ILLNESS!$B$6:$B$1000=B11)*(ILLNESS!$L$6:$L$1000&lt;&gt;"")),
            ILLNESS!$L$6:$L$1000)="No",
      "Sick",""),
"")</f>
        <v/>
      </c>
      <c r="J11" s="104">
        <v>44972</v>
      </c>
      <c r="K11" s="97">
        <f t="shared" ca="1" si="1"/>
        <v>3</v>
      </c>
      <c r="L11" s="97">
        <f t="shared" ca="1" si="2"/>
        <v>5</v>
      </c>
      <c r="M11" s="76"/>
      <c r="N11" s="76"/>
      <c r="O11" s="76"/>
      <c r="P11" s="76"/>
      <c r="Q11" s="76"/>
      <c r="R11" s="76"/>
      <c r="S11" s="104"/>
      <c r="T11" s="104"/>
      <c r="U11" s="106"/>
      <c r="V11" s="98">
        <f>IF(OR(G11="Sold",H11="Died"),IF(G11="Sold",VLOOKUP(B11,SALE!$B$5:$J$1000,6,0),IF(H11="Died",VLOOKUP(B11,MORTALITY!$B$5:$K$1000,5,0),"")),"")</f>
        <v>45423</v>
      </c>
      <c r="W11" s="76"/>
    </row>
    <row r="12" spans="1:31">
      <c r="A12" s="93">
        <f t="shared" si="3"/>
        <v>8</v>
      </c>
      <c r="B12" s="94" t="s">
        <v>144</v>
      </c>
      <c r="C12" s="76" t="s">
        <v>23</v>
      </c>
      <c r="D12" s="76" t="s">
        <v>27</v>
      </c>
      <c r="E12" s="76"/>
      <c r="F12" s="94" t="str">
        <f t="shared" ca="1" si="0"/>
        <v>Inactive</v>
      </c>
      <c r="G12" s="96" t="str">
        <f>IFERROR((IF((VLOOKUP(B12,SALE!$B$5:$B$1000,1,0))&gt;0,"Sold","")),"")</f>
        <v>Sold</v>
      </c>
      <c r="H12" s="96" t="str">
        <f>IFERROR((IF((VLOOKUP(B12,MORTALITY!$B$5:$B$1000,1,0))&gt;0,"Died","")),"")</f>
        <v/>
      </c>
      <c r="I12" s="96" t="str">
        <f ca="1">IFERROR(
   IF(LOOKUP(2,1/((ILLNESS!$B$6:$B$1000=B12)*(ILLNESS!$L$6:$L$1000&lt;&gt;"")),
            ILLNESS!$L$6:$L$1000)="No",
      "Sick",""),
"")</f>
        <v/>
      </c>
      <c r="J12" s="104">
        <v>44973</v>
      </c>
      <c r="K12" s="97">
        <f t="shared" ca="1" si="1"/>
        <v>3</v>
      </c>
      <c r="L12" s="97">
        <f t="shared" ca="1" si="2"/>
        <v>5</v>
      </c>
      <c r="M12" s="76"/>
      <c r="N12" s="76"/>
      <c r="O12" s="76"/>
      <c r="P12" s="76"/>
      <c r="Q12" s="76"/>
      <c r="R12" s="76"/>
      <c r="S12" s="104"/>
      <c r="T12" s="104"/>
      <c r="U12" s="106"/>
      <c r="V12" s="98">
        <f>IF(OR(G12="Sold",H12="Died"),IF(G12="Sold",VLOOKUP(B12,SALE!$B$5:$J$1000,6,0),IF(H12="Died",VLOOKUP(B12,MORTALITY!$B$5:$K$1000,5,0),"")),"")</f>
        <v>45691</v>
      </c>
      <c r="W12" s="76"/>
    </row>
    <row r="13" spans="1:31">
      <c r="A13" s="93">
        <f t="shared" si="3"/>
        <v>9</v>
      </c>
      <c r="B13" s="94" t="s">
        <v>188</v>
      </c>
      <c r="C13" s="76" t="s">
        <v>24</v>
      </c>
      <c r="D13" s="76" t="s">
        <v>27</v>
      </c>
      <c r="E13" s="76"/>
      <c r="F13" s="94" t="str">
        <f t="shared" ca="1" si="0"/>
        <v>Active</v>
      </c>
      <c r="G13" s="96" t="str">
        <f>IFERROR((IF((VLOOKUP(B13,SALE!$B$5:$B$1000,1,0))&gt;0,"Sold","")),"")</f>
        <v/>
      </c>
      <c r="H13" s="96" t="str">
        <f>IFERROR((IF((VLOOKUP(B13,MORTALITY!$B$5:$B$1000,1,0))&gt;0,"Died","")),"")</f>
        <v/>
      </c>
      <c r="I13" s="96" t="str">
        <f ca="1">IFERROR(
   IF(LOOKUP(2,1/((ILLNESS!$B$6:$B$1000=B13)*(ILLNESS!$L$6:$L$1000&lt;&gt;"")),
            ILLNESS!$L$6:$L$1000)="No",
      "Sick",""),
"")</f>
        <v/>
      </c>
      <c r="J13" s="104">
        <v>44974</v>
      </c>
      <c r="K13" s="97">
        <f t="shared" ca="1" si="1"/>
        <v>3</v>
      </c>
      <c r="L13" s="97">
        <f t="shared" ca="1" si="2"/>
        <v>5</v>
      </c>
      <c r="M13" s="76"/>
      <c r="N13" s="76"/>
      <c r="O13" s="76"/>
      <c r="P13" s="76"/>
      <c r="Q13" s="76"/>
      <c r="R13" s="76"/>
      <c r="S13" s="104"/>
      <c r="T13" s="104"/>
      <c r="U13" s="106"/>
      <c r="V13" s="98" t="str">
        <f>IF(OR(G13="Sold",H13="Died"),IF(G13="Sold",VLOOKUP(B13,SALE!$B$5:$J$1000,6,0),IF(H13="Died",VLOOKUP(B13,MORTALITY!$B$5:$K$1000,5,0),"")),"")</f>
        <v/>
      </c>
      <c r="W13" s="76"/>
    </row>
    <row r="14" spans="1:31">
      <c r="A14" s="93">
        <f t="shared" si="3"/>
        <v>10</v>
      </c>
      <c r="B14" s="94" t="s">
        <v>189</v>
      </c>
      <c r="C14" s="76" t="s">
        <v>23</v>
      </c>
      <c r="D14" s="76" t="s">
        <v>27</v>
      </c>
      <c r="E14" s="76"/>
      <c r="F14" s="94" t="str">
        <f t="shared" ca="1" si="0"/>
        <v>Active</v>
      </c>
      <c r="G14" s="96" t="str">
        <f>IFERROR((IF((VLOOKUP(B14,SALE!$B$5:$B$1000,1,0))&gt;0,"Sold","")),"")</f>
        <v/>
      </c>
      <c r="H14" s="96" t="str">
        <f>IFERROR((IF((VLOOKUP(B14,MORTALITY!$B$5:$B$1000,1,0))&gt;0,"Died","")),"")</f>
        <v/>
      </c>
      <c r="I14" s="96" t="str">
        <f ca="1">IFERROR(
   IF(LOOKUP(2,1/((ILLNESS!$B$6:$B$1000=B14)*(ILLNESS!$L$6:$L$1000&lt;&gt;"")),
            ILLNESS!$L$6:$L$1000)="No",
      "Sick",""),
"")</f>
        <v/>
      </c>
      <c r="J14" s="104">
        <v>44975</v>
      </c>
      <c r="K14" s="97">
        <f t="shared" ca="1" si="1"/>
        <v>3</v>
      </c>
      <c r="L14" s="97">
        <f t="shared" ca="1" si="2"/>
        <v>5</v>
      </c>
      <c r="M14" s="76"/>
      <c r="N14" s="76"/>
      <c r="O14" s="76"/>
      <c r="P14" s="76"/>
      <c r="Q14" s="76"/>
      <c r="R14" s="76"/>
      <c r="S14" s="104"/>
      <c r="T14" s="104"/>
      <c r="U14" s="106"/>
      <c r="V14" s="98" t="str">
        <f>IF(OR(G14="Sold",H14="Died"),IF(G14="Sold",VLOOKUP(B14,SALE!$B$5:$J$1000,6,0),IF(H14="Died",VLOOKUP(B14,MORTALITY!$B$5:$K$1000,5,0),"")),"")</f>
        <v/>
      </c>
      <c r="W14" s="76"/>
    </row>
    <row r="15" spans="1:31">
      <c r="A15" s="93">
        <f t="shared" si="3"/>
        <v>11</v>
      </c>
      <c r="B15" s="94" t="s">
        <v>176</v>
      </c>
      <c r="C15" s="76" t="s">
        <v>23</v>
      </c>
      <c r="D15" s="76" t="s">
        <v>27</v>
      </c>
      <c r="E15" s="76"/>
      <c r="F15" s="94" t="str">
        <f t="shared" ca="1" si="0"/>
        <v>Inactive</v>
      </c>
      <c r="G15" s="96" t="str">
        <f>IFERROR((IF((VLOOKUP(B15,SALE!$B$5:$B$1000,1,0))&gt;0,"Sold","")),"")</f>
        <v/>
      </c>
      <c r="H15" s="96" t="str">
        <f>IFERROR((IF((VLOOKUP(B15,MORTALITY!$B$5:$B$1000,1,0))&gt;0,"Died","")),"")</f>
        <v>Died</v>
      </c>
      <c r="I15" s="96" t="str">
        <f ca="1">IFERROR(
   IF(LOOKUP(2,1/((ILLNESS!$B$6:$B$1000=B15)*(ILLNESS!$L$6:$L$1000&lt;&gt;"")),
            ILLNESS!$L$6:$L$1000)="No",
      "Sick",""),
"")</f>
        <v/>
      </c>
      <c r="J15" s="104">
        <v>44976</v>
      </c>
      <c r="K15" s="97">
        <f t="shared" ca="1" si="1"/>
        <v>3</v>
      </c>
      <c r="L15" s="97">
        <f t="shared" ca="1" si="2"/>
        <v>5</v>
      </c>
      <c r="M15" s="76"/>
      <c r="N15" s="76"/>
      <c r="O15" s="76"/>
      <c r="P15" s="76"/>
      <c r="Q15" s="76"/>
      <c r="R15" s="76"/>
      <c r="S15" s="104"/>
      <c r="T15" s="104"/>
      <c r="U15" s="106"/>
      <c r="V15" s="98">
        <f>IF(OR(G15="Sold",H15="Died"),IF(G15="Sold",VLOOKUP(B15,SALE!$B$5:$J$1000,6,0),IF(H15="Died",VLOOKUP(B15,MORTALITY!$B$5:$K$1000,5,0),"")),"")</f>
        <v>45783</v>
      </c>
      <c r="W15" s="76"/>
    </row>
    <row r="16" spans="1:31">
      <c r="A16" s="93">
        <f t="shared" si="3"/>
        <v>12</v>
      </c>
      <c r="B16" s="94" t="s">
        <v>190</v>
      </c>
      <c r="C16" s="76" t="s">
        <v>24</v>
      </c>
      <c r="D16" s="76" t="s">
        <v>27</v>
      </c>
      <c r="E16" s="76"/>
      <c r="F16" s="94" t="str">
        <f t="shared" ca="1" si="0"/>
        <v>Active</v>
      </c>
      <c r="G16" s="96" t="str">
        <f>IFERROR((IF((VLOOKUP(B16,SALE!$B$5:$B$1000,1,0))&gt;0,"Sold","")),"")</f>
        <v/>
      </c>
      <c r="H16" s="96" t="str">
        <f>IFERROR((IF((VLOOKUP(B16,MORTALITY!$B$5:$B$1000,1,0))&gt;0,"Died","")),"")</f>
        <v/>
      </c>
      <c r="I16" s="96" t="str">
        <f ca="1">IFERROR(
   IF(LOOKUP(2,1/((ILLNESS!$B$6:$B$1000=B16)*(ILLNESS!$L$6:$L$1000&lt;&gt;"")),
            ILLNESS!$L$6:$L$1000)="No",
      "Sick",""),
"")</f>
        <v/>
      </c>
      <c r="J16" s="104">
        <v>44977</v>
      </c>
      <c r="K16" s="97">
        <f t="shared" ca="1" si="1"/>
        <v>3</v>
      </c>
      <c r="L16" s="97">
        <f t="shared" ca="1" si="2"/>
        <v>5</v>
      </c>
      <c r="M16" s="76"/>
      <c r="N16" s="76"/>
      <c r="O16" s="76"/>
      <c r="P16" s="76"/>
      <c r="Q16" s="76"/>
      <c r="R16" s="76"/>
      <c r="S16" s="104"/>
      <c r="T16" s="104"/>
      <c r="U16" s="106"/>
      <c r="V16" s="98" t="str">
        <f>IF(OR(G16="Sold",H16="Died"),IF(G16="Sold",VLOOKUP(B16,SALE!$B$5:$J$1000,6,0),IF(H16="Died",VLOOKUP(B16,MORTALITY!$B$5:$K$1000,5,0),"")),"")</f>
        <v/>
      </c>
      <c r="W16" s="76"/>
    </row>
    <row r="17" spans="1:23">
      <c r="A17" s="93">
        <f t="shared" si="3"/>
        <v>13</v>
      </c>
      <c r="B17" s="94" t="s">
        <v>191</v>
      </c>
      <c r="C17" s="76" t="s">
        <v>23</v>
      </c>
      <c r="D17" s="76" t="s">
        <v>27</v>
      </c>
      <c r="E17" s="76"/>
      <c r="F17" s="94" t="str">
        <f t="shared" ca="1" si="0"/>
        <v>Active</v>
      </c>
      <c r="G17" s="96" t="str">
        <f>IFERROR((IF((VLOOKUP(B17,SALE!$B$5:$B$1000,1,0))&gt;0,"Sold","")),"")</f>
        <v/>
      </c>
      <c r="H17" s="96" t="str">
        <f>IFERROR((IF((VLOOKUP(B17,MORTALITY!$B$5:$B$1000,1,0))&gt;0,"Died","")),"")</f>
        <v/>
      </c>
      <c r="I17" s="96" t="str">
        <f ca="1">IFERROR(
   IF(LOOKUP(2,1/((ILLNESS!$B$6:$B$1000=B17)*(ILLNESS!$L$6:$L$1000&lt;&gt;"")),
            ILLNESS!$L$6:$L$1000)="No",
      "Sick",""),
"")</f>
        <v/>
      </c>
      <c r="J17" s="104">
        <v>44978</v>
      </c>
      <c r="K17" s="97">
        <f t="shared" ca="1" si="1"/>
        <v>3</v>
      </c>
      <c r="L17" s="97">
        <f t="shared" ca="1" si="2"/>
        <v>5</v>
      </c>
      <c r="M17" s="76"/>
      <c r="N17" s="76"/>
      <c r="O17" s="76"/>
      <c r="P17" s="76"/>
      <c r="Q17" s="76"/>
      <c r="R17" s="76"/>
      <c r="S17" s="104"/>
      <c r="T17" s="104"/>
      <c r="U17" s="106"/>
      <c r="V17" s="98" t="str">
        <f>IF(OR(G17="Sold",H17="Died"),IF(G17="Sold",VLOOKUP(B17,SALE!$B$5:$J$1000,6,0),IF(H17="Died",VLOOKUP(B17,MORTALITY!$B$5:$K$1000,5,0),"")),"")</f>
        <v/>
      </c>
      <c r="W17" s="76"/>
    </row>
    <row r="18" spans="1:23">
      <c r="A18" s="93">
        <f t="shared" si="3"/>
        <v>14</v>
      </c>
      <c r="B18" s="94" t="s">
        <v>174</v>
      </c>
      <c r="C18" s="76" t="s">
        <v>23</v>
      </c>
      <c r="D18" s="76" t="s">
        <v>27</v>
      </c>
      <c r="E18" s="76"/>
      <c r="F18" s="94" t="str">
        <f t="shared" ca="1" si="0"/>
        <v>Inactive</v>
      </c>
      <c r="G18" s="96" t="str">
        <f>IFERROR((IF((VLOOKUP(B18,SALE!$B$5:$B$1000,1,0))&gt;0,"Sold","")),"")</f>
        <v/>
      </c>
      <c r="H18" s="96" t="str">
        <f>IFERROR((IF((VLOOKUP(B18,MORTALITY!$B$5:$B$1000,1,0))&gt;0,"Died","")),"")</f>
        <v>Died</v>
      </c>
      <c r="I18" s="96" t="str">
        <f ca="1">IFERROR(
   IF(LOOKUP(2,1/((ILLNESS!$B$6:$B$1000=B18)*(ILLNESS!$L$6:$L$1000&lt;&gt;"")),
            ILLNESS!$L$6:$L$1000)="No",
      "Sick",""),
"")</f>
        <v/>
      </c>
      <c r="J18" s="104">
        <v>44979</v>
      </c>
      <c r="K18" s="97">
        <f t="shared" ca="1" si="1"/>
        <v>3</v>
      </c>
      <c r="L18" s="97">
        <f t="shared" ca="1" si="2"/>
        <v>5</v>
      </c>
      <c r="M18" s="76"/>
      <c r="N18" s="76"/>
      <c r="O18" s="76"/>
      <c r="P18" s="76"/>
      <c r="Q18" s="76"/>
      <c r="R18" s="76"/>
      <c r="S18" s="104"/>
      <c r="T18" s="104"/>
      <c r="U18" s="106"/>
      <c r="V18" s="98">
        <f>IF(OR(G18="Sold",H18="Died"),IF(G18="Sold",VLOOKUP(B18,SALE!$B$5:$J$1000,6,0),IF(H18="Died",VLOOKUP(B18,MORTALITY!$B$5:$K$1000,5,0),"")),"")</f>
        <v>45781</v>
      </c>
      <c r="W18" s="76"/>
    </row>
    <row r="19" spans="1:23">
      <c r="A19" s="93">
        <f t="shared" si="3"/>
        <v>15</v>
      </c>
      <c r="B19" s="94" t="s">
        <v>173</v>
      </c>
      <c r="C19" s="76" t="s">
        <v>23</v>
      </c>
      <c r="D19" s="76" t="s">
        <v>27</v>
      </c>
      <c r="E19" s="76"/>
      <c r="F19" s="94" t="str">
        <f t="shared" ca="1" si="0"/>
        <v>Inactive</v>
      </c>
      <c r="G19" s="96" t="str">
        <f>IFERROR((IF((VLOOKUP(B19,SALE!$B$5:$B$1000,1,0))&gt;0,"Sold","")),"")</f>
        <v/>
      </c>
      <c r="H19" s="96" t="str">
        <f>IFERROR((IF((VLOOKUP(B19,MORTALITY!$B$5:$B$1000,1,0))&gt;0,"Died","")),"")</f>
        <v>Died</v>
      </c>
      <c r="I19" s="96" t="str">
        <f ca="1">IFERROR(
   IF(LOOKUP(2,1/((ILLNESS!$B$6:$B$1000=B19)*(ILLNESS!$L$6:$L$1000&lt;&gt;"")),
            ILLNESS!$L$6:$L$1000)="No",
      "Sick",""),
"")</f>
        <v/>
      </c>
      <c r="J19" s="104">
        <v>44980</v>
      </c>
      <c r="K19" s="97">
        <f t="shared" ca="1" si="1"/>
        <v>3</v>
      </c>
      <c r="L19" s="97">
        <f t="shared" ca="1" si="2"/>
        <v>5</v>
      </c>
      <c r="M19" s="76"/>
      <c r="N19" s="76"/>
      <c r="O19" s="76"/>
      <c r="P19" s="76"/>
      <c r="Q19" s="76"/>
      <c r="R19" s="76"/>
      <c r="S19" s="104"/>
      <c r="T19" s="104"/>
      <c r="U19" s="106"/>
      <c r="V19" s="98">
        <f>IF(OR(G19="Sold",H19="Died"),IF(G19="Sold",VLOOKUP(B19,SALE!$B$5:$J$1000,6,0),IF(H19="Died",VLOOKUP(B19,MORTALITY!$B$5:$K$1000,5,0),"")),"")</f>
        <v>45780</v>
      </c>
      <c r="W19" s="76"/>
    </row>
    <row r="20" spans="1:23">
      <c r="A20" s="93">
        <f t="shared" si="3"/>
        <v>16</v>
      </c>
      <c r="B20" s="94" t="s">
        <v>192</v>
      </c>
      <c r="C20" s="76" t="s">
        <v>23</v>
      </c>
      <c r="D20" s="76" t="s">
        <v>27</v>
      </c>
      <c r="E20" s="76"/>
      <c r="F20" s="94" t="str">
        <f t="shared" ca="1" si="0"/>
        <v>Active</v>
      </c>
      <c r="G20" s="96" t="str">
        <f>IFERROR((IF((VLOOKUP(B20,SALE!$B$5:$B$1000,1,0))&gt;0,"Sold","")),"")</f>
        <v/>
      </c>
      <c r="H20" s="96" t="str">
        <f>IFERROR((IF((VLOOKUP(B20,MORTALITY!$B$5:$B$1000,1,0))&gt;0,"Died","")),"")</f>
        <v/>
      </c>
      <c r="I20" s="96" t="str">
        <f ca="1">IFERROR(
   IF(LOOKUP(2,1/((ILLNESS!$B$6:$B$1000=B20)*(ILLNESS!$L$6:$L$1000&lt;&gt;"")),
            ILLNESS!$L$6:$L$1000)="No",
      "Sick",""),
"")</f>
        <v/>
      </c>
      <c r="J20" s="104">
        <v>44981</v>
      </c>
      <c r="K20" s="97">
        <f t="shared" ca="1" si="1"/>
        <v>3</v>
      </c>
      <c r="L20" s="97">
        <f t="shared" ca="1" si="2"/>
        <v>5</v>
      </c>
      <c r="M20" s="76"/>
      <c r="N20" s="76"/>
      <c r="O20" s="76"/>
      <c r="P20" s="76"/>
      <c r="Q20" s="76"/>
      <c r="R20" s="76"/>
      <c r="S20" s="104"/>
      <c r="T20" s="104"/>
      <c r="U20" s="106"/>
      <c r="V20" s="98" t="str">
        <f>IF(OR(G20="Sold",H20="Died"),IF(G20="Sold",VLOOKUP(B20,SALE!$B$5:$J$1000,6,0),IF(H20="Died",VLOOKUP(B20,MORTALITY!$B$5:$K$1000,5,0),"")),"")</f>
        <v/>
      </c>
      <c r="W20" s="76"/>
    </row>
    <row r="21" spans="1:23">
      <c r="A21" s="93">
        <f t="shared" si="3"/>
        <v>17</v>
      </c>
      <c r="B21" s="94" t="s">
        <v>193</v>
      </c>
      <c r="C21" s="76" t="s">
        <v>24</v>
      </c>
      <c r="D21" s="76" t="s">
        <v>27</v>
      </c>
      <c r="E21" s="76"/>
      <c r="F21" s="94" t="str">
        <f t="shared" ca="1" si="0"/>
        <v>Active</v>
      </c>
      <c r="G21" s="96" t="str">
        <f>IFERROR((IF((VLOOKUP(B21,SALE!$B$5:$B$1000,1,0))&gt;0,"Sold","")),"")</f>
        <v/>
      </c>
      <c r="H21" s="96" t="str">
        <f>IFERROR((IF((VLOOKUP(B21,MORTALITY!$B$5:$B$1000,1,0))&gt;0,"Died","")),"")</f>
        <v/>
      </c>
      <c r="I21" s="96" t="str">
        <f ca="1">IFERROR(
   IF(LOOKUP(2,1/((ILLNESS!$B$6:$B$1000=B21)*(ILLNESS!$L$6:$L$1000&lt;&gt;"")),
            ILLNESS!$L$6:$L$1000)="No",
      "Sick",""),
"")</f>
        <v/>
      </c>
      <c r="J21" s="104">
        <v>44982</v>
      </c>
      <c r="K21" s="97">
        <f t="shared" ca="1" si="1"/>
        <v>3</v>
      </c>
      <c r="L21" s="97">
        <f t="shared" ca="1" si="2"/>
        <v>5</v>
      </c>
      <c r="M21" s="76"/>
      <c r="N21" s="76"/>
      <c r="O21" s="76"/>
      <c r="P21" s="76"/>
      <c r="Q21" s="76"/>
      <c r="R21" s="76"/>
      <c r="S21" s="104"/>
      <c r="T21" s="104"/>
      <c r="U21" s="106"/>
      <c r="V21" s="98" t="str">
        <f>IF(OR(G21="Sold",H21="Died"),IF(G21="Sold",VLOOKUP(B21,SALE!$B$5:$J$1000,6,0),IF(H21="Died",VLOOKUP(B21,MORTALITY!$B$5:$K$1000,5,0),"")),"")</f>
        <v/>
      </c>
      <c r="W21" s="76"/>
    </row>
    <row r="22" spans="1:23">
      <c r="A22" s="93">
        <f t="shared" si="3"/>
        <v>18</v>
      </c>
      <c r="B22" s="94" t="s">
        <v>194</v>
      </c>
      <c r="C22" s="76" t="s">
        <v>24</v>
      </c>
      <c r="D22" s="76" t="s">
        <v>27</v>
      </c>
      <c r="E22" s="76"/>
      <c r="F22" s="94" t="str">
        <f t="shared" ca="1" si="0"/>
        <v>Active</v>
      </c>
      <c r="G22" s="96" t="str">
        <f>IFERROR((IF((VLOOKUP(B22,SALE!$B$5:$B$1000,1,0))&gt;0,"Sold","")),"")</f>
        <v/>
      </c>
      <c r="H22" s="96" t="str">
        <f>IFERROR((IF((VLOOKUP(B22,MORTALITY!$B$5:$B$1000,1,0))&gt;0,"Died","")),"")</f>
        <v/>
      </c>
      <c r="I22" s="96" t="str">
        <f ca="1">IFERROR(
   IF(LOOKUP(2,1/((ILLNESS!$B$6:$B$1000=B22)*(ILLNESS!$L$6:$L$1000&lt;&gt;"")),
            ILLNESS!$L$6:$L$1000)="No",
      "Sick",""),
"")</f>
        <v/>
      </c>
      <c r="J22" s="104">
        <v>44983</v>
      </c>
      <c r="K22" s="97">
        <f t="shared" ca="1" si="1"/>
        <v>3</v>
      </c>
      <c r="L22" s="97">
        <f t="shared" ca="1" si="2"/>
        <v>5</v>
      </c>
      <c r="M22" s="76"/>
      <c r="N22" s="76"/>
      <c r="O22" s="76"/>
      <c r="P22" s="76"/>
      <c r="Q22" s="76"/>
      <c r="R22" s="76"/>
      <c r="S22" s="104"/>
      <c r="T22" s="104"/>
      <c r="U22" s="106"/>
      <c r="V22" s="98" t="str">
        <f>IF(OR(G22="Sold",H22="Died"),IF(G22="Sold",VLOOKUP(B22,SALE!$B$5:$J$1000,6,0),IF(H22="Died",VLOOKUP(B22,MORTALITY!$B$5:$K$1000,5,0),"")),"")</f>
        <v/>
      </c>
      <c r="W22" s="76"/>
    </row>
    <row r="23" spans="1:23">
      <c r="A23" s="93">
        <f t="shared" si="3"/>
        <v>19</v>
      </c>
      <c r="B23" s="94" t="s">
        <v>195</v>
      </c>
      <c r="C23" s="76" t="s">
        <v>24</v>
      </c>
      <c r="D23" s="76" t="s">
        <v>27</v>
      </c>
      <c r="E23" s="76"/>
      <c r="F23" s="94" t="str">
        <f t="shared" ca="1" si="0"/>
        <v>Active</v>
      </c>
      <c r="G23" s="96" t="str">
        <f>IFERROR((IF((VLOOKUP(B23,SALE!$B$5:$B$1000,1,0))&gt;0,"Sold","")),"")</f>
        <v/>
      </c>
      <c r="H23" s="96" t="str">
        <f>IFERROR((IF((VLOOKUP(B23,MORTALITY!$B$5:$B$1000,1,0))&gt;0,"Died","")),"")</f>
        <v/>
      </c>
      <c r="I23" s="96" t="str">
        <f ca="1">IFERROR(
   IF(LOOKUP(2,1/((ILLNESS!$B$6:$B$1000=B23)*(ILLNESS!$L$6:$L$1000&lt;&gt;"")),
            ILLNESS!$L$6:$L$1000)="No",
      "Sick",""),
"")</f>
        <v/>
      </c>
      <c r="J23" s="104">
        <v>44984</v>
      </c>
      <c r="K23" s="97">
        <f t="shared" ca="1" si="1"/>
        <v>3</v>
      </c>
      <c r="L23" s="97">
        <f t="shared" ca="1" si="2"/>
        <v>5</v>
      </c>
      <c r="M23" s="76"/>
      <c r="N23" s="76"/>
      <c r="O23" s="76"/>
      <c r="P23" s="76"/>
      <c r="Q23" s="76"/>
      <c r="R23" s="76"/>
      <c r="S23" s="104"/>
      <c r="T23" s="104"/>
      <c r="U23" s="106"/>
      <c r="V23" s="98" t="str">
        <f>IF(OR(G23="Sold",H23="Died"),IF(G23="Sold",VLOOKUP(B23,SALE!$B$5:$J$1000,6,0),IF(H23="Died",VLOOKUP(B23,MORTALITY!$B$5:$K$1000,5,0),"")),"")</f>
        <v/>
      </c>
      <c r="W23" s="76"/>
    </row>
    <row r="24" spans="1:23">
      <c r="A24" s="93">
        <f t="shared" si="3"/>
        <v>20</v>
      </c>
      <c r="B24" s="94" t="s">
        <v>196</v>
      </c>
      <c r="C24" s="76" t="s">
        <v>24</v>
      </c>
      <c r="D24" s="76" t="s">
        <v>27</v>
      </c>
      <c r="E24" s="76"/>
      <c r="F24" s="94" t="str">
        <f t="shared" ca="1" si="0"/>
        <v>Active</v>
      </c>
      <c r="G24" s="96" t="str">
        <f>IFERROR((IF((VLOOKUP(B24,SALE!$B$5:$B$1000,1,0))&gt;0,"Sold","")),"")</f>
        <v/>
      </c>
      <c r="H24" s="96" t="str">
        <f>IFERROR((IF((VLOOKUP(B24,MORTALITY!$B$5:$B$1000,1,0))&gt;0,"Died","")),"")</f>
        <v/>
      </c>
      <c r="I24" s="96" t="str">
        <f ca="1">IFERROR(
   IF(LOOKUP(2,1/((ILLNESS!$B$6:$B$1000=B24)*(ILLNESS!$L$6:$L$1000&lt;&gt;"")),
            ILLNESS!$L$6:$L$1000)="No",
      "Sick",""),
"")</f>
        <v/>
      </c>
      <c r="J24" s="104">
        <v>44985</v>
      </c>
      <c r="K24" s="97">
        <f t="shared" ca="1" si="1"/>
        <v>3</v>
      </c>
      <c r="L24" s="97">
        <f t="shared" ca="1" si="2"/>
        <v>5</v>
      </c>
      <c r="M24" s="76"/>
      <c r="N24" s="76"/>
      <c r="O24" s="76"/>
      <c r="P24" s="76"/>
      <c r="Q24" s="76"/>
      <c r="R24" s="76"/>
      <c r="S24" s="104"/>
      <c r="T24" s="104"/>
      <c r="U24" s="106"/>
      <c r="V24" s="98" t="str">
        <f>IF(OR(G24="Sold",H24="Died"),IF(G24="Sold",VLOOKUP(B24,SALE!$B$5:$J$1000,6,0),IF(H24="Died",VLOOKUP(B24,MORTALITY!$B$5:$K$1000,5,0),"")),"")</f>
        <v/>
      </c>
      <c r="W24" s="76"/>
    </row>
    <row r="25" spans="1:23">
      <c r="A25" s="93">
        <f t="shared" si="3"/>
        <v>21</v>
      </c>
      <c r="B25" s="94" t="s">
        <v>197</v>
      </c>
      <c r="C25" s="76" t="s">
        <v>24</v>
      </c>
      <c r="D25" s="76" t="s">
        <v>27</v>
      </c>
      <c r="E25" s="76"/>
      <c r="F25" s="94" t="str">
        <f t="shared" ca="1" si="0"/>
        <v>Active</v>
      </c>
      <c r="G25" s="96" t="str">
        <f>IFERROR((IF((VLOOKUP(B25,SALE!$B$5:$B$1000,1,0))&gt;0,"Sold","")),"")</f>
        <v/>
      </c>
      <c r="H25" s="96" t="str">
        <f>IFERROR((IF((VLOOKUP(B25,MORTALITY!$B$5:$B$1000,1,0))&gt;0,"Died","")),"")</f>
        <v/>
      </c>
      <c r="I25" s="96" t="str">
        <f ca="1">IFERROR(
   IF(LOOKUP(2,1/((ILLNESS!$B$6:$B$1000=B25)*(ILLNESS!$L$6:$L$1000&lt;&gt;"")),
            ILLNESS!$L$6:$L$1000)="No",
      "Sick",""),
"")</f>
        <v/>
      </c>
      <c r="J25" s="104">
        <v>44986</v>
      </c>
      <c r="K25" s="97">
        <f t="shared" ca="1" si="1"/>
        <v>3</v>
      </c>
      <c r="L25" s="97">
        <f t="shared" ca="1" si="2"/>
        <v>5</v>
      </c>
      <c r="M25" s="76"/>
      <c r="N25" s="76"/>
      <c r="O25" s="76"/>
      <c r="P25" s="76"/>
      <c r="Q25" s="76"/>
      <c r="R25" s="76"/>
      <c r="S25" s="104"/>
      <c r="T25" s="104"/>
      <c r="U25" s="106"/>
      <c r="V25" s="98" t="str">
        <f>IF(OR(G25="Sold",H25="Died"),IF(G25="Sold",VLOOKUP(B25,SALE!$B$5:$J$1000,6,0),IF(H25="Died",VLOOKUP(B25,MORTALITY!$B$5:$K$1000,5,0),"")),"")</f>
        <v/>
      </c>
      <c r="W25" s="76"/>
    </row>
    <row r="26" spans="1:23">
      <c r="A26" s="93">
        <f t="shared" si="3"/>
        <v>22</v>
      </c>
      <c r="B26" s="94" t="s">
        <v>199</v>
      </c>
      <c r="C26" s="76" t="s">
        <v>24</v>
      </c>
      <c r="D26" s="76" t="s">
        <v>27</v>
      </c>
      <c r="E26" s="76"/>
      <c r="F26" s="94" t="str">
        <f t="shared" ca="1" si="0"/>
        <v>Active</v>
      </c>
      <c r="G26" s="96" t="str">
        <f>IFERROR((IF((VLOOKUP(B26,SALE!$B$5:$B$1000,1,0))&gt;0,"Sold","")),"")</f>
        <v/>
      </c>
      <c r="H26" s="96" t="str">
        <f>IFERROR((IF((VLOOKUP(B26,MORTALITY!$B$5:$B$1000,1,0))&gt;0,"Died","")),"")</f>
        <v/>
      </c>
      <c r="I26" s="96" t="str">
        <f ca="1">IFERROR(
   IF(LOOKUP(2,1/((ILLNESS!$B$6:$B$1000=B26)*(ILLNESS!$L$6:$L$1000&lt;&gt;"")),
            ILLNESS!$L$6:$L$1000)="No",
      "Sick",""),
"")</f>
        <v/>
      </c>
      <c r="J26" s="104">
        <v>44987</v>
      </c>
      <c r="K26" s="97">
        <f t="shared" ca="1" si="1"/>
        <v>3</v>
      </c>
      <c r="L26" s="97">
        <f t="shared" ca="1" si="2"/>
        <v>5</v>
      </c>
      <c r="M26" s="76"/>
      <c r="N26" s="76"/>
      <c r="O26" s="76"/>
      <c r="P26" s="76"/>
      <c r="Q26" s="76"/>
      <c r="R26" s="76"/>
      <c r="S26" s="104"/>
      <c r="T26" s="104"/>
      <c r="U26" s="106"/>
      <c r="V26" s="98" t="str">
        <f>IF(OR(G26="Sold",H26="Died"),IF(G26="Sold",VLOOKUP(B26,SALE!$B$5:$J$1000,6,0),IF(H26="Died",VLOOKUP(B26,MORTALITY!$B$5:$K$1000,5,0),"")),"")</f>
        <v/>
      </c>
      <c r="W26" s="76"/>
    </row>
    <row r="27" spans="1:23">
      <c r="A27" s="93">
        <f t="shared" si="3"/>
        <v>23</v>
      </c>
      <c r="B27" s="94" t="s">
        <v>198</v>
      </c>
      <c r="C27" s="76" t="s">
        <v>23</v>
      </c>
      <c r="D27" s="76" t="s">
        <v>27</v>
      </c>
      <c r="E27" s="76"/>
      <c r="F27" s="94" t="str">
        <f t="shared" ca="1" si="0"/>
        <v>Active</v>
      </c>
      <c r="G27" s="96" t="str">
        <f>IFERROR((IF((VLOOKUP(B27,SALE!$B$5:$B$1000,1,0))&gt;0,"Sold","")),"")</f>
        <v/>
      </c>
      <c r="H27" s="96" t="str">
        <f>IFERROR((IF((VLOOKUP(B27,MORTALITY!$B$5:$B$1000,1,0))&gt;0,"Died","")),"")</f>
        <v/>
      </c>
      <c r="I27" s="96" t="str">
        <f ca="1">IFERROR(
   IF(LOOKUP(2,1/((ILLNESS!$B$6:$B$1000=B27)*(ILLNESS!$L$6:$L$1000&lt;&gt;"")),
            ILLNESS!$L$6:$L$1000)="No",
      "Sick",""),
"")</f>
        <v/>
      </c>
      <c r="J27" s="104"/>
      <c r="K27" s="97" t="str">
        <f t="shared" ca="1" si="1"/>
        <v/>
      </c>
      <c r="L27" s="97" t="str">
        <f t="shared" ca="1" si="2"/>
        <v/>
      </c>
      <c r="M27" s="76"/>
      <c r="N27" s="76"/>
      <c r="O27" s="76"/>
      <c r="P27" s="76"/>
      <c r="Q27" s="76"/>
      <c r="R27" s="76"/>
      <c r="S27" s="104"/>
      <c r="T27" s="104"/>
      <c r="U27" s="106"/>
      <c r="V27" s="98" t="str">
        <f>IF(OR(G27="Sold",H27="Died"),IF(G27="Sold",VLOOKUP(B27,SALE!$B$5:$J$1000,6,0),IF(H27="Died",VLOOKUP(B27,MORTALITY!$B$5:$K$1000,5,0),"")),"")</f>
        <v/>
      </c>
      <c r="W27" s="76"/>
    </row>
    <row r="28" spans="1:23">
      <c r="A28" s="93">
        <f t="shared" si="3"/>
        <v>24</v>
      </c>
      <c r="B28" s="94" t="s">
        <v>200</v>
      </c>
      <c r="C28" s="76" t="s">
        <v>23</v>
      </c>
      <c r="D28" s="76" t="s">
        <v>27</v>
      </c>
      <c r="E28" s="76"/>
      <c r="F28" s="94" t="str">
        <f t="shared" ca="1" si="0"/>
        <v>Active</v>
      </c>
      <c r="G28" s="96" t="str">
        <f>IFERROR((IF((VLOOKUP(B28,SALE!$B$5:$B$1000,1,0))&gt;0,"Sold","")),"")</f>
        <v/>
      </c>
      <c r="H28" s="96" t="str">
        <f>IFERROR((IF((VLOOKUP(B28,MORTALITY!$B$5:$B$1000,1,0))&gt;0,"Died","")),"")</f>
        <v/>
      </c>
      <c r="I28" s="96" t="str">
        <f ca="1">IFERROR(
   IF(LOOKUP(2,1/((ILLNESS!$B$6:$B$1000=B28)*(ILLNESS!$L$6:$L$1000&lt;&gt;"")),
            ILLNESS!$L$6:$L$1000)="No",
      "Sick",""),
"")</f>
        <v/>
      </c>
      <c r="J28" s="104"/>
      <c r="K28" s="97" t="str">
        <f t="shared" ca="1" si="1"/>
        <v/>
      </c>
      <c r="L28" s="97" t="str">
        <f t="shared" ca="1" si="2"/>
        <v/>
      </c>
      <c r="M28" s="76"/>
      <c r="N28" s="76"/>
      <c r="O28" s="76"/>
      <c r="P28" s="76"/>
      <c r="Q28" s="76"/>
      <c r="R28" s="76"/>
      <c r="S28" s="104"/>
      <c r="T28" s="104"/>
      <c r="U28" s="106"/>
      <c r="V28" s="98" t="str">
        <f>IF(OR(G28="Sold",H28="Died"),IF(G28="Sold",VLOOKUP(B28,SALE!$B$5:$J$1000,6,0),IF(H28="Died",VLOOKUP(B28,MORTALITY!$B$5:$K$1000,5,0),"")),"")</f>
        <v/>
      </c>
      <c r="W28" s="76"/>
    </row>
    <row r="29" spans="1:23">
      <c r="A29" s="93">
        <f t="shared" si="3"/>
        <v>25</v>
      </c>
      <c r="B29" s="94" t="s">
        <v>202</v>
      </c>
      <c r="C29" s="76" t="s">
        <v>24</v>
      </c>
      <c r="D29" s="76" t="s">
        <v>27</v>
      </c>
      <c r="E29" s="76"/>
      <c r="F29" s="94" t="str">
        <f t="shared" ca="1" si="0"/>
        <v>Active</v>
      </c>
      <c r="G29" s="96" t="str">
        <f>IFERROR((IF((VLOOKUP(B29,SALE!$B$5:$B$1000,1,0))&gt;0,"Sold","")),"")</f>
        <v/>
      </c>
      <c r="H29" s="96" t="str">
        <f>IFERROR((IF((VLOOKUP(B29,MORTALITY!$B$5:$B$1000,1,0))&gt;0,"Died","")),"")</f>
        <v/>
      </c>
      <c r="I29" s="96" t="str">
        <f ca="1">IFERROR(
   IF(LOOKUP(2,1/((ILLNESS!$B$6:$B$1000=B29)*(ILLNESS!$L$6:$L$1000&lt;&gt;"")),
            ILLNESS!$L$6:$L$1000)="No",
      "Sick",""),
"")</f>
        <v/>
      </c>
      <c r="J29" s="104"/>
      <c r="K29" s="97" t="str">
        <f t="shared" ca="1" si="1"/>
        <v/>
      </c>
      <c r="L29" s="97" t="str">
        <f t="shared" ca="1" si="2"/>
        <v/>
      </c>
      <c r="M29" s="76"/>
      <c r="N29" s="76"/>
      <c r="O29" s="76"/>
      <c r="P29" s="76"/>
      <c r="Q29" s="76"/>
      <c r="R29" s="76"/>
      <c r="S29" s="104"/>
      <c r="T29" s="104"/>
      <c r="U29" s="106"/>
      <c r="V29" s="98" t="str">
        <f>IF(OR(G29="Sold",H29="Died"),IF(G29="Sold",VLOOKUP(B29,SALE!$B$5:$J$1000,6,0),IF(H29="Died",VLOOKUP(B29,MORTALITY!$B$5:$K$1000,5,0),"")),"")</f>
        <v/>
      </c>
      <c r="W29" s="76"/>
    </row>
    <row r="30" spans="1:23">
      <c r="A30" s="93">
        <f t="shared" si="3"/>
        <v>26</v>
      </c>
      <c r="B30" s="94" t="s">
        <v>201</v>
      </c>
      <c r="C30" s="76" t="s">
        <v>23</v>
      </c>
      <c r="D30" s="76" t="s">
        <v>27</v>
      </c>
      <c r="E30" s="76"/>
      <c r="F30" s="94" t="str">
        <f t="shared" ca="1" si="0"/>
        <v>Active</v>
      </c>
      <c r="G30" s="96" t="str">
        <f>IFERROR((IF((VLOOKUP(B30,SALE!$B$5:$B$1000,1,0))&gt;0,"Sold","")),"")</f>
        <v/>
      </c>
      <c r="H30" s="96" t="str">
        <f>IFERROR((IF((VLOOKUP(B30,MORTALITY!$B$5:$B$1000,1,0))&gt;0,"Died","")),"")</f>
        <v/>
      </c>
      <c r="I30" s="96" t="str">
        <f ca="1">IFERROR(
   IF(LOOKUP(2,1/((ILLNESS!$B$6:$B$1000=B30)*(ILLNESS!$L$6:$L$1000&lt;&gt;"")),
            ILLNESS!$L$6:$L$1000)="No",
      "Sick",""),
"")</f>
        <v/>
      </c>
      <c r="J30" s="104"/>
      <c r="K30" s="97" t="str">
        <f t="shared" ca="1" si="1"/>
        <v/>
      </c>
      <c r="L30" s="97" t="str">
        <f t="shared" ca="1" si="2"/>
        <v/>
      </c>
      <c r="M30" s="76"/>
      <c r="N30" s="76"/>
      <c r="O30" s="76"/>
      <c r="P30" s="76"/>
      <c r="Q30" s="76"/>
      <c r="R30" s="76"/>
      <c r="S30" s="104"/>
      <c r="T30" s="104"/>
      <c r="U30" s="106"/>
      <c r="V30" s="98" t="str">
        <f>IF(OR(G30="Sold",H30="Died"),IF(G30="Sold",VLOOKUP(B30,SALE!$B$5:$J$1000,6,0),IF(H30="Died",VLOOKUP(B30,MORTALITY!$B$5:$K$1000,5,0),"")),"")</f>
        <v/>
      </c>
      <c r="W30" s="76"/>
    </row>
    <row r="31" spans="1:23">
      <c r="A31" s="93">
        <f t="shared" si="3"/>
        <v>27</v>
      </c>
      <c r="B31" s="94"/>
      <c r="C31" s="76"/>
      <c r="D31" s="76"/>
      <c r="E31" s="76"/>
      <c r="F31" s="94" t="str">
        <f t="shared" ca="1" si="0"/>
        <v/>
      </c>
      <c r="G31" s="96" t="str">
        <f>IFERROR((IF((VLOOKUP(B31,SALE!$B$5:$B$1000,1,0))&gt;0,"Sold","")),"")</f>
        <v/>
      </c>
      <c r="H31" s="96" t="str">
        <f>IFERROR((IF((VLOOKUP(B31,MORTALITY!$B$5:$B$1000,1,0))&gt;0,"Died","")),"")</f>
        <v/>
      </c>
      <c r="I31" s="96" t="str">
        <f ca="1">IFERROR(
   IF(LOOKUP(2,1/((ILLNESS!$B$6:$B$1000=B31)*(ILLNESS!$L$6:$L$1000&lt;&gt;"")),
            ILLNESS!$L$6:$L$1000)="No",
      "Sick",""),
"")</f>
        <v/>
      </c>
      <c r="J31" s="104"/>
      <c r="K31" s="97" t="str">
        <f t="shared" ca="1" si="1"/>
        <v/>
      </c>
      <c r="L31" s="97" t="str">
        <f t="shared" ca="1" si="2"/>
        <v/>
      </c>
      <c r="M31" s="76"/>
      <c r="N31" s="76"/>
      <c r="O31" s="76"/>
      <c r="P31" s="76"/>
      <c r="Q31" s="76"/>
      <c r="R31" s="76"/>
      <c r="S31" s="104"/>
      <c r="T31" s="104"/>
      <c r="U31" s="106"/>
      <c r="V31" s="98" t="str">
        <f>IF(OR(G31="Sold",H31="Died"),IF(G31="Sold",VLOOKUP(B31,SALE!$B$5:$J$1000,6,0),IF(H31="Died",VLOOKUP(B31,MORTALITY!$B$5:$K$1000,5,0),"")),"")</f>
        <v/>
      </c>
      <c r="W31" s="76"/>
    </row>
    <row r="32" spans="1:23">
      <c r="A32" s="93">
        <f t="shared" si="3"/>
        <v>28</v>
      </c>
      <c r="B32" s="94"/>
      <c r="C32" s="76"/>
      <c r="D32" s="76"/>
      <c r="E32" s="76"/>
      <c r="F32" s="94" t="str">
        <f t="shared" ca="1" si="0"/>
        <v/>
      </c>
      <c r="G32" s="96" t="str">
        <f>IFERROR((IF((VLOOKUP(B32,SALE!$B$5:$B$1000,1,0))&gt;0,"Sold","")),"")</f>
        <v/>
      </c>
      <c r="H32" s="96" t="str">
        <f>IFERROR((IF((VLOOKUP(B32,MORTALITY!$B$5:$B$1000,1,0))&gt;0,"Died","")),"")</f>
        <v/>
      </c>
      <c r="I32" s="96" t="str">
        <f ca="1">IFERROR(
   IF(LOOKUP(2,1/((ILLNESS!$B$6:$B$1000=B32)*(ILLNESS!$L$6:$L$1000&lt;&gt;"")),
            ILLNESS!$L$6:$L$1000)="No",
      "Sick",""),
"")</f>
        <v/>
      </c>
      <c r="J32" s="104"/>
      <c r="K32" s="97" t="str">
        <f t="shared" ca="1" si="1"/>
        <v/>
      </c>
      <c r="L32" s="97" t="str">
        <f t="shared" ca="1" si="2"/>
        <v/>
      </c>
      <c r="M32" s="76"/>
      <c r="N32" s="76"/>
      <c r="O32" s="76"/>
      <c r="P32" s="76"/>
      <c r="Q32" s="76"/>
      <c r="R32" s="76"/>
      <c r="S32" s="104"/>
      <c r="T32" s="104"/>
      <c r="U32" s="106"/>
      <c r="V32" s="98" t="str">
        <f>IF(OR(G32="Sold",H32="Died"),IF(G32="Sold",VLOOKUP(B32,SALE!$B$5:$J$1000,6,0),IF(H32="Died",VLOOKUP(B32,MORTALITY!$B$5:$K$1000,5,0),"")),"")</f>
        <v/>
      </c>
      <c r="W32" s="76"/>
    </row>
    <row r="33" spans="1:23">
      <c r="A33" s="93">
        <f t="shared" si="3"/>
        <v>29</v>
      </c>
      <c r="B33" s="94"/>
      <c r="C33" s="76"/>
      <c r="D33" s="76"/>
      <c r="E33" s="76"/>
      <c r="F33" s="94" t="str">
        <f t="shared" ca="1" si="0"/>
        <v/>
      </c>
      <c r="G33" s="96" t="str">
        <f>IFERROR((IF((VLOOKUP(B33,SALE!$B$5:$B$1000,1,0))&gt;0,"Sold","")),"")</f>
        <v/>
      </c>
      <c r="H33" s="96" t="str">
        <f>IFERROR((IF((VLOOKUP(B33,MORTALITY!$B$5:$B$1000,1,0))&gt;0,"Died","")),"")</f>
        <v/>
      </c>
      <c r="I33" s="96" t="str">
        <f ca="1">IFERROR(
   IF(LOOKUP(2,1/((ILLNESS!$B$6:$B$1000=B33)*(ILLNESS!$L$6:$L$1000&lt;&gt;"")),
            ILLNESS!$L$6:$L$1000)="No",
      "Sick",""),
"")</f>
        <v/>
      </c>
      <c r="J33" s="104"/>
      <c r="K33" s="97" t="str">
        <f t="shared" ca="1" si="1"/>
        <v/>
      </c>
      <c r="L33" s="97" t="str">
        <f t="shared" ca="1" si="2"/>
        <v/>
      </c>
      <c r="M33" s="76"/>
      <c r="N33" s="76"/>
      <c r="O33" s="76"/>
      <c r="P33" s="76"/>
      <c r="Q33" s="76"/>
      <c r="R33" s="76"/>
      <c r="S33" s="104"/>
      <c r="T33" s="104"/>
      <c r="U33" s="106"/>
      <c r="V33" s="98" t="str">
        <f>IF(OR(G33="Sold",H33="Died"),IF(G33="Sold",VLOOKUP(B33,SALE!$B$5:$J$1000,6,0),IF(H33="Died",VLOOKUP(B33,MORTALITY!$B$5:$K$1000,5,0),"")),"")</f>
        <v/>
      </c>
      <c r="W33" s="76"/>
    </row>
    <row r="34" spans="1:23">
      <c r="A34" s="93">
        <f t="shared" si="3"/>
        <v>30</v>
      </c>
      <c r="B34" s="94"/>
      <c r="C34" s="76"/>
      <c r="D34" s="76"/>
      <c r="E34" s="76"/>
      <c r="F34" s="94" t="str">
        <f t="shared" ca="1" si="0"/>
        <v/>
      </c>
      <c r="G34" s="96" t="str">
        <f>IFERROR((IF((VLOOKUP(B34,SALE!$B$5:$B$1000,1,0))&gt;0,"Sold","")),"")</f>
        <v/>
      </c>
      <c r="H34" s="96" t="str">
        <f>IFERROR((IF((VLOOKUP(B34,MORTALITY!$B$5:$B$1000,1,0))&gt;0,"Died","")),"")</f>
        <v/>
      </c>
      <c r="I34" s="96" t="str">
        <f ca="1">IFERROR(
   IF(LOOKUP(2,1/((ILLNESS!$B$6:$B$1000=B34)*(ILLNESS!$L$6:$L$1000&lt;&gt;"")),
            ILLNESS!$L$6:$L$1000)="No",
      "Sick",""),
"")</f>
        <v/>
      </c>
      <c r="J34" s="104"/>
      <c r="K34" s="97" t="str">
        <f t="shared" ca="1" si="1"/>
        <v/>
      </c>
      <c r="L34" s="97" t="str">
        <f t="shared" ca="1" si="2"/>
        <v/>
      </c>
      <c r="M34" s="76"/>
      <c r="N34" s="76"/>
      <c r="O34" s="76"/>
      <c r="P34" s="76"/>
      <c r="Q34" s="76"/>
      <c r="R34" s="76"/>
      <c r="S34" s="104"/>
      <c r="T34" s="104"/>
      <c r="U34" s="106"/>
      <c r="V34" s="98" t="str">
        <f>IF(OR(G34="Sold",H34="Died"),IF(G34="Sold",VLOOKUP(B34,SALE!$B$5:$J$1000,6,0),IF(H34="Died",VLOOKUP(B34,MORTALITY!$B$5:$K$1000,5,0),"")),"")</f>
        <v/>
      </c>
      <c r="W34" s="76"/>
    </row>
    <row r="35" spans="1:23">
      <c r="A35" s="93">
        <f t="shared" si="3"/>
        <v>31</v>
      </c>
      <c r="B35" s="94"/>
      <c r="C35" s="76"/>
      <c r="D35" s="76"/>
      <c r="E35" s="76"/>
      <c r="F35" s="94" t="str">
        <f t="shared" ca="1" si="0"/>
        <v/>
      </c>
      <c r="G35" s="96" t="str">
        <f>IFERROR((IF((VLOOKUP(B35,SALE!$B$5:$B$1000,1,0))&gt;0,"Sold","")),"")</f>
        <v/>
      </c>
      <c r="H35" s="96" t="str">
        <f>IFERROR((IF((VLOOKUP(B35,MORTALITY!$B$5:$B$1000,1,0))&gt;0,"Died","")),"")</f>
        <v/>
      </c>
      <c r="I35" s="96" t="str">
        <f ca="1">IFERROR(
   IF(LOOKUP(2,1/((ILLNESS!$B$6:$B$1000=B35)*(ILLNESS!$L$6:$L$1000&lt;&gt;"")),
            ILLNESS!$L$6:$L$1000)="No",
      "Sick",""),
"")</f>
        <v/>
      </c>
      <c r="J35" s="104"/>
      <c r="K35" s="97" t="str">
        <f t="shared" ca="1" si="1"/>
        <v/>
      </c>
      <c r="L35" s="97" t="str">
        <f t="shared" ca="1" si="2"/>
        <v/>
      </c>
      <c r="M35" s="76"/>
      <c r="N35" s="76"/>
      <c r="O35" s="76"/>
      <c r="P35" s="76"/>
      <c r="Q35" s="76"/>
      <c r="R35" s="76"/>
      <c r="S35" s="104"/>
      <c r="T35" s="104"/>
      <c r="U35" s="106"/>
      <c r="V35" s="98" t="str">
        <f>IF(OR(G35="Sold",H35="Died"),IF(G35="Sold",VLOOKUP(B35,SALE!$B$5:$J$1000,6,0),IF(H35="Died",VLOOKUP(B35,MORTALITY!$B$5:$K$1000,5,0),"")),"")</f>
        <v/>
      </c>
      <c r="W35" s="76"/>
    </row>
    <row r="36" spans="1:23">
      <c r="A36" s="93">
        <f t="shared" si="3"/>
        <v>32</v>
      </c>
      <c r="B36" s="94"/>
      <c r="C36" s="76"/>
      <c r="D36" s="76"/>
      <c r="E36" s="76"/>
      <c r="F36" s="94" t="str">
        <f t="shared" ca="1" si="0"/>
        <v/>
      </c>
      <c r="G36" s="96" t="str">
        <f>IFERROR((IF((VLOOKUP(B36,SALE!$B$5:$B$1000,1,0))&gt;0,"Sold","")),"")</f>
        <v/>
      </c>
      <c r="H36" s="96" t="str">
        <f>IFERROR((IF((VLOOKUP(B36,MORTALITY!$B$5:$B$1000,1,0))&gt;0,"Died","")),"")</f>
        <v/>
      </c>
      <c r="I36" s="96" t="str">
        <f ca="1">IFERROR(
   IF(LOOKUP(2,1/((ILLNESS!$B$6:$B$1000=B36)*(ILLNESS!$L$6:$L$1000&lt;&gt;"")),
            ILLNESS!$L$6:$L$1000)="No",
      "Sick",""),
"")</f>
        <v/>
      </c>
      <c r="J36" s="104"/>
      <c r="K36" s="97" t="str">
        <f t="shared" ca="1" si="1"/>
        <v/>
      </c>
      <c r="L36" s="97" t="str">
        <f t="shared" ca="1" si="2"/>
        <v/>
      </c>
      <c r="M36" s="76"/>
      <c r="N36" s="76"/>
      <c r="O36" s="76"/>
      <c r="P36" s="76"/>
      <c r="Q36" s="76"/>
      <c r="R36" s="76"/>
      <c r="S36" s="104"/>
      <c r="T36" s="104"/>
      <c r="U36" s="106"/>
      <c r="V36" s="98" t="str">
        <f>IF(OR(G36="Sold",H36="Died"),IF(G36="Sold",VLOOKUP(B36,SALE!$B$5:$J$1000,6,0),IF(H36="Died",VLOOKUP(B36,MORTALITY!$B$5:$K$1000,5,0),"")),"")</f>
        <v/>
      </c>
      <c r="W36" s="76"/>
    </row>
    <row r="37" spans="1:23">
      <c r="A37" s="93">
        <f t="shared" si="3"/>
        <v>33</v>
      </c>
      <c r="B37" s="94"/>
      <c r="C37" s="76"/>
      <c r="D37" s="76"/>
      <c r="E37" s="76"/>
      <c r="F37" s="94" t="str">
        <f t="shared" ca="1" si="0"/>
        <v/>
      </c>
      <c r="G37" s="96" t="str">
        <f>IFERROR((IF((VLOOKUP(B37,SALE!$B$5:$B$1000,1,0))&gt;0,"Sold","")),"")</f>
        <v/>
      </c>
      <c r="H37" s="96" t="str">
        <f>IFERROR((IF((VLOOKUP(B37,MORTALITY!$B$5:$B$1000,1,0))&gt;0,"Died","")),"")</f>
        <v/>
      </c>
      <c r="I37" s="96" t="str">
        <f ca="1">IFERROR(
   IF(LOOKUP(2,1/((ILLNESS!$B$6:$B$1000=B37)*(ILLNESS!$L$6:$L$1000&lt;&gt;"")),
            ILLNESS!$L$6:$L$1000)="No",
      "Sick",""),
"")</f>
        <v/>
      </c>
      <c r="J37" s="104"/>
      <c r="K37" s="97" t="str">
        <f t="shared" ca="1" si="1"/>
        <v/>
      </c>
      <c r="L37" s="97" t="str">
        <f t="shared" ca="1" si="2"/>
        <v/>
      </c>
      <c r="M37" s="76"/>
      <c r="N37" s="76"/>
      <c r="O37" s="76"/>
      <c r="P37" s="76"/>
      <c r="Q37" s="76"/>
      <c r="R37" s="76"/>
      <c r="S37" s="104"/>
      <c r="T37" s="104"/>
      <c r="U37" s="106"/>
      <c r="V37" s="98" t="str">
        <f>IF(OR(G37="Sold",H37="Died"),IF(G37="Sold",VLOOKUP(B37,SALE!$B$5:$J$1000,6,0),IF(H37="Died",VLOOKUP(B37,MORTALITY!$B$5:$K$1000,5,0),"")),"")</f>
        <v/>
      </c>
      <c r="W37" s="76"/>
    </row>
    <row r="38" spans="1:23">
      <c r="A38" s="93">
        <f t="shared" si="3"/>
        <v>34</v>
      </c>
      <c r="B38" s="94"/>
      <c r="C38" s="76"/>
      <c r="D38" s="76"/>
      <c r="E38" s="76"/>
      <c r="F38" s="94" t="str">
        <f t="shared" ca="1" si="0"/>
        <v/>
      </c>
      <c r="G38" s="96" t="str">
        <f>IFERROR((IF((VLOOKUP(B38,SALE!$B$5:$B$1000,1,0))&gt;0,"Sold","")),"")</f>
        <v/>
      </c>
      <c r="H38" s="96" t="str">
        <f>IFERROR((IF((VLOOKUP(B38,MORTALITY!$B$5:$B$1000,1,0))&gt;0,"Died","")),"")</f>
        <v/>
      </c>
      <c r="I38" s="96" t="str">
        <f ca="1">IFERROR(
   IF(LOOKUP(2,1/((ILLNESS!$B$6:$B$1000=B38)*(ILLNESS!$L$6:$L$1000&lt;&gt;"")),
            ILLNESS!$L$6:$L$1000)="No",
      "Sick",""),
"")</f>
        <v/>
      </c>
      <c r="J38" s="104"/>
      <c r="K38" s="97" t="str">
        <f t="shared" ca="1" si="1"/>
        <v/>
      </c>
      <c r="L38" s="97" t="str">
        <f t="shared" ca="1" si="2"/>
        <v/>
      </c>
      <c r="M38" s="76"/>
      <c r="N38" s="76"/>
      <c r="O38" s="76"/>
      <c r="P38" s="76"/>
      <c r="Q38" s="76"/>
      <c r="R38" s="76"/>
      <c r="S38" s="104"/>
      <c r="T38" s="104"/>
      <c r="U38" s="106"/>
      <c r="V38" s="98" t="str">
        <f>IF(OR(G38="Sold",H38="Died"),IF(G38="Sold",VLOOKUP(B38,SALE!$B$5:$J$1000,6,0),IF(H38="Died",VLOOKUP(B38,MORTALITY!$B$5:$K$1000,5,0),"")),"")</f>
        <v/>
      </c>
      <c r="W38" s="76"/>
    </row>
    <row r="39" spans="1:23">
      <c r="A39" s="93">
        <f t="shared" si="3"/>
        <v>35</v>
      </c>
      <c r="B39" s="94"/>
      <c r="C39" s="76"/>
      <c r="D39" s="76"/>
      <c r="E39" s="76"/>
      <c r="F39" s="94" t="str">
        <f t="shared" ca="1" si="0"/>
        <v/>
      </c>
      <c r="G39" s="96" t="str">
        <f>IFERROR((IF((VLOOKUP(B39,SALE!$B$5:$B$1000,1,0))&gt;0,"Sold","")),"")</f>
        <v/>
      </c>
      <c r="H39" s="96" t="str">
        <f>IFERROR((IF((VLOOKUP(B39,MORTALITY!$B$5:$B$1000,1,0))&gt;0,"Died","")),"")</f>
        <v/>
      </c>
      <c r="I39" s="96" t="str">
        <f ca="1">IFERROR(
   IF(LOOKUP(2,1/((ILLNESS!$B$6:$B$1000=B39)*(ILLNESS!$L$6:$L$1000&lt;&gt;"")),
            ILLNESS!$L$6:$L$1000)="No",
      "Sick",""),
"")</f>
        <v/>
      </c>
      <c r="J39" s="104"/>
      <c r="K39" s="97" t="str">
        <f t="shared" ca="1" si="1"/>
        <v/>
      </c>
      <c r="L39" s="97" t="str">
        <f t="shared" ca="1" si="2"/>
        <v/>
      </c>
      <c r="M39" s="76"/>
      <c r="N39" s="76"/>
      <c r="O39" s="76"/>
      <c r="P39" s="76"/>
      <c r="Q39" s="76"/>
      <c r="R39" s="76"/>
      <c r="S39" s="104"/>
      <c r="T39" s="104"/>
      <c r="U39" s="106"/>
      <c r="V39" s="98" t="str">
        <f>IF(OR(G39="Sold",H39="Died"),IF(G39="Sold",VLOOKUP(B39,SALE!$B$5:$J$1000,6,0),IF(H39="Died",VLOOKUP(B39,MORTALITY!$B$5:$K$1000,5,0),"")),"")</f>
        <v/>
      </c>
      <c r="W39" s="76"/>
    </row>
    <row r="40" spans="1:23">
      <c r="A40" s="93">
        <f t="shared" si="3"/>
        <v>36</v>
      </c>
      <c r="B40" s="94"/>
      <c r="C40" s="76"/>
      <c r="D40" s="76"/>
      <c r="E40" s="76"/>
      <c r="F40" s="94" t="str">
        <f t="shared" ca="1" si="0"/>
        <v/>
      </c>
      <c r="G40" s="96" t="str">
        <f>IFERROR((IF((VLOOKUP(B40,SALE!$B$5:$B$1000,1,0))&gt;0,"Sold","")),"")</f>
        <v/>
      </c>
      <c r="H40" s="96" t="str">
        <f>IFERROR((IF((VLOOKUP(B40,MORTALITY!$B$5:$B$1000,1,0))&gt;0,"Died","")),"")</f>
        <v/>
      </c>
      <c r="I40" s="96" t="str">
        <f ca="1">IFERROR(
   IF(LOOKUP(2,1/((ILLNESS!$B$6:$B$1000=B40)*(ILLNESS!$L$6:$L$1000&lt;&gt;"")),
            ILLNESS!$L$6:$L$1000)="No",
      "Sick",""),
"")</f>
        <v/>
      </c>
      <c r="J40" s="104"/>
      <c r="K40" s="97" t="str">
        <f t="shared" ca="1" si="1"/>
        <v/>
      </c>
      <c r="L40" s="97" t="str">
        <f t="shared" ca="1" si="2"/>
        <v/>
      </c>
      <c r="M40" s="76"/>
      <c r="N40" s="76"/>
      <c r="O40" s="76"/>
      <c r="P40" s="76"/>
      <c r="Q40" s="76"/>
      <c r="R40" s="76"/>
      <c r="S40" s="104"/>
      <c r="T40" s="104"/>
      <c r="U40" s="106"/>
      <c r="V40" s="98" t="str">
        <f>IF(OR(G40="Sold",H40="Died"),IF(G40="Sold",VLOOKUP(B40,SALE!$B$5:$J$1000,6,0),IF(H40="Died",VLOOKUP(B40,MORTALITY!$B$5:$K$1000,5,0),"")),"")</f>
        <v/>
      </c>
      <c r="W40" s="76"/>
    </row>
    <row r="41" spans="1:23">
      <c r="A41" s="93">
        <f t="shared" si="3"/>
        <v>37</v>
      </c>
      <c r="B41" s="94"/>
      <c r="C41" s="76"/>
      <c r="D41" s="76"/>
      <c r="E41" s="76"/>
      <c r="F41" s="94" t="str">
        <f t="shared" ca="1" si="0"/>
        <v/>
      </c>
      <c r="G41" s="96" t="str">
        <f>IFERROR((IF((VLOOKUP(B41,SALE!$B$5:$B$1000,1,0))&gt;0,"Sold","")),"")</f>
        <v/>
      </c>
      <c r="H41" s="96" t="str">
        <f>IFERROR((IF((VLOOKUP(B41,MORTALITY!$B$5:$B$1000,1,0))&gt;0,"Died","")),"")</f>
        <v/>
      </c>
      <c r="I41" s="96" t="str">
        <f ca="1">IFERROR(
   IF(LOOKUP(2,1/((ILLNESS!$B$6:$B$1000=B41)*(ILLNESS!$L$6:$L$1000&lt;&gt;"")),
            ILLNESS!$L$6:$L$1000)="No",
      "Sick",""),
"")</f>
        <v/>
      </c>
      <c r="J41" s="104"/>
      <c r="K41" s="97" t="str">
        <f t="shared" ca="1" si="1"/>
        <v/>
      </c>
      <c r="L41" s="97" t="str">
        <f t="shared" ca="1" si="2"/>
        <v/>
      </c>
      <c r="M41" s="76"/>
      <c r="N41" s="76"/>
      <c r="O41" s="76"/>
      <c r="P41" s="76"/>
      <c r="Q41" s="76"/>
      <c r="R41" s="76"/>
      <c r="S41" s="104"/>
      <c r="T41" s="104"/>
      <c r="U41" s="106"/>
      <c r="V41" s="98" t="str">
        <f>IF(OR(G41="Sold",H41="Died"),IF(G41="Sold",VLOOKUP(B41,SALE!$B$5:$J$1000,6,0),IF(H41="Died",VLOOKUP(B41,MORTALITY!$B$5:$K$1000,5,0),"")),"")</f>
        <v/>
      </c>
      <c r="W41" s="76"/>
    </row>
    <row r="42" spans="1:23">
      <c r="A42" s="93">
        <f t="shared" si="3"/>
        <v>38</v>
      </c>
      <c r="B42" s="94"/>
      <c r="C42" s="76"/>
      <c r="D42" s="76"/>
      <c r="E42" s="76"/>
      <c r="F42" s="94" t="str">
        <f t="shared" ca="1" si="0"/>
        <v/>
      </c>
      <c r="G42" s="96" t="str">
        <f>IFERROR((IF((VLOOKUP(B42,SALE!$B$5:$B$1000,1,0))&gt;0,"Sold","")),"")</f>
        <v/>
      </c>
      <c r="H42" s="96" t="str">
        <f>IFERROR((IF((VLOOKUP(B42,MORTALITY!$B$5:$B$1000,1,0))&gt;0,"Died","")),"")</f>
        <v/>
      </c>
      <c r="I42" s="96" t="str">
        <f ca="1">IFERROR(
   IF(LOOKUP(2,1/((ILLNESS!$B$6:$B$1000=B42)*(ILLNESS!$L$6:$L$1000&lt;&gt;"")),
            ILLNESS!$L$6:$L$1000)="No",
      "Sick",""),
"")</f>
        <v/>
      </c>
      <c r="J42" s="104"/>
      <c r="K42" s="97" t="str">
        <f t="shared" ca="1" si="1"/>
        <v/>
      </c>
      <c r="L42" s="97" t="str">
        <f t="shared" ca="1" si="2"/>
        <v/>
      </c>
      <c r="M42" s="76"/>
      <c r="N42" s="76"/>
      <c r="O42" s="76"/>
      <c r="P42" s="76"/>
      <c r="Q42" s="76"/>
      <c r="R42" s="76"/>
      <c r="S42" s="104"/>
      <c r="T42" s="104"/>
      <c r="U42" s="106"/>
      <c r="V42" s="98" t="str">
        <f>IF(OR(G42="Sold",H42="Died"),IF(G42="Sold",VLOOKUP(B42,SALE!$B$5:$J$1000,6,0),IF(H42="Died",VLOOKUP(B42,MORTALITY!$B$5:$K$1000,5,0),"")),"")</f>
        <v/>
      </c>
      <c r="W42" s="76"/>
    </row>
    <row r="43" spans="1:23">
      <c r="A43" s="93">
        <f t="shared" si="3"/>
        <v>39</v>
      </c>
      <c r="B43" s="94"/>
      <c r="C43" s="76"/>
      <c r="D43" s="76"/>
      <c r="E43" s="76"/>
      <c r="F43" s="94" t="str">
        <f t="shared" ca="1" si="0"/>
        <v/>
      </c>
      <c r="G43" s="96" t="str">
        <f>IFERROR((IF((VLOOKUP(B43,SALE!$B$5:$B$1000,1,0))&gt;0,"Sold","")),"")</f>
        <v/>
      </c>
      <c r="H43" s="96" t="str">
        <f>IFERROR((IF((VLOOKUP(B43,MORTALITY!$B$5:$B$1000,1,0))&gt;0,"Died","")),"")</f>
        <v/>
      </c>
      <c r="I43" s="96" t="str">
        <f ca="1">IFERROR(
   IF(LOOKUP(2,1/((ILLNESS!$B$6:$B$1000=B43)*(ILLNESS!$L$6:$L$1000&lt;&gt;"")),
            ILLNESS!$L$6:$L$1000)="No",
      "Sick",""),
"")</f>
        <v/>
      </c>
      <c r="J43" s="104"/>
      <c r="K43" s="97" t="str">
        <f t="shared" ca="1" si="1"/>
        <v/>
      </c>
      <c r="L43" s="97" t="str">
        <f t="shared" ca="1" si="2"/>
        <v/>
      </c>
      <c r="M43" s="76"/>
      <c r="N43" s="76"/>
      <c r="O43" s="76"/>
      <c r="P43" s="76"/>
      <c r="Q43" s="76"/>
      <c r="R43" s="76"/>
      <c r="S43" s="104"/>
      <c r="T43" s="104"/>
      <c r="U43" s="106"/>
      <c r="V43" s="98" t="str">
        <f>IF(OR(G43="Sold",H43="Died"),IF(G43="Sold",VLOOKUP(B43,SALE!$B$5:$J$1000,6,0),IF(H43="Died",VLOOKUP(B43,MORTALITY!$B$5:$K$1000,5,0),"")),"")</f>
        <v/>
      </c>
      <c r="W43" s="76"/>
    </row>
    <row r="44" spans="1:23">
      <c r="A44" s="93">
        <f t="shared" si="3"/>
        <v>40</v>
      </c>
      <c r="B44" s="94"/>
      <c r="C44" s="76"/>
      <c r="D44" s="76"/>
      <c r="E44" s="76"/>
      <c r="F44" s="94" t="str">
        <f t="shared" ca="1" si="0"/>
        <v/>
      </c>
      <c r="G44" s="96" t="str">
        <f>IFERROR((IF((VLOOKUP(B44,SALE!$B$5:$B$1000,1,0))&gt;0,"Sold","")),"")</f>
        <v/>
      </c>
      <c r="H44" s="96" t="str">
        <f>IFERROR((IF((VLOOKUP(B44,MORTALITY!$B$5:$B$1000,1,0))&gt;0,"Died","")),"")</f>
        <v/>
      </c>
      <c r="I44" s="96" t="str">
        <f ca="1">IFERROR(
   IF(LOOKUP(2,1/((ILLNESS!$B$6:$B$1000=B44)*(ILLNESS!$L$6:$L$1000&lt;&gt;"")),
            ILLNESS!$L$6:$L$1000)="No",
      "Sick",""),
"")</f>
        <v/>
      </c>
      <c r="J44" s="104"/>
      <c r="K44" s="97" t="str">
        <f t="shared" ca="1" si="1"/>
        <v/>
      </c>
      <c r="L44" s="97" t="str">
        <f t="shared" ca="1" si="2"/>
        <v/>
      </c>
      <c r="M44" s="76"/>
      <c r="N44" s="76"/>
      <c r="O44" s="76"/>
      <c r="P44" s="76"/>
      <c r="Q44" s="76"/>
      <c r="R44" s="76"/>
      <c r="S44" s="104"/>
      <c r="T44" s="104"/>
      <c r="U44" s="106"/>
      <c r="V44" s="98" t="str">
        <f>IF(OR(G44="Sold",H44="Died"),IF(G44="Sold",VLOOKUP(B44,SALE!$B$5:$J$1000,6,0),IF(H44="Died",VLOOKUP(B44,MORTALITY!$B$5:$K$1000,5,0),"")),"")</f>
        <v/>
      </c>
      <c r="W44" s="76"/>
    </row>
    <row r="45" spans="1:23">
      <c r="A45" s="93">
        <f t="shared" si="3"/>
        <v>41</v>
      </c>
      <c r="B45" s="94"/>
      <c r="C45" s="76"/>
      <c r="D45" s="76"/>
      <c r="E45" s="76"/>
      <c r="F45" s="94" t="str">
        <f t="shared" ca="1" si="0"/>
        <v/>
      </c>
      <c r="G45" s="96" t="str">
        <f>IFERROR((IF((VLOOKUP(B45,SALE!$B$5:$B$1000,1,0))&gt;0,"Sold","")),"")</f>
        <v/>
      </c>
      <c r="H45" s="96" t="str">
        <f>IFERROR((IF((VLOOKUP(B45,MORTALITY!$B$5:$B$1000,1,0))&gt;0,"Died","")),"")</f>
        <v/>
      </c>
      <c r="I45" s="96" t="str">
        <f ca="1">IFERROR(
   IF(LOOKUP(2,1/((ILLNESS!$B$6:$B$1000=B45)*(ILLNESS!$L$6:$L$1000&lt;&gt;"")),
            ILLNESS!$L$6:$L$1000)="No",
      "Sick",""),
"")</f>
        <v/>
      </c>
      <c r="J45" s="104"/>
      <c r="K45" s="97" t="str">
        <f t="shared" ca="1" si="1"/>
        <v/>
      </c>
      <c r="L45" s="97" t="str">
        <f t="shared" ca="1" si="2"/>
        <v/>
      </c>
      <c r="M45" s="76"/>
      <c r="N45" s="76"/>
      <c r="O45" s="76"/>
      <c r="P45" s="76"/>
      <c r="Q45" s="76"/>
      <c r="R45" s="76"/>
      <c r="S45" s="104"/>
      <c r="T45" s="104"/>
      <c r="U45" s="106"/>
      <c r="V45" s="98" t="str">
        <f>IF(OR(G45="Sold",H45="Died"),IF(G45="Sold",VLOOKUP(B45,SALE!$B$5:$J$1000,6,0),IF(H45="Died",VLOOKUP(B45,MORTALITY!$B$5:$K$1000,5,0),"")),"")</f>
        <v/>
      </c>
      <c r="W45" s="76"/>
    </row>
    <row r="46" spans="1:23">
      <c r="A46" s="93">
        <f t="shared" si="3"/>
        <v>42</v>
      </c>
      <c r="B46" s="94"/>
      <c r="C46" s="76"/>
      <c r="D46" s="76"/>
      <c r="E46" s="76"/>
      <c r="F46" s="94" t="str">
        <f t="shared" ca="1" si="0"/>
        <v/>
      </c>
      <c r="G46" s="96" t="str">
        <f>IFERROR((IF((VLOOKUP(B46,SALE!$B$5:$B$1000,1,0))&gt;0,"Sold","")),"")</f>
        <v/>
      </c>
      <c r="H46" s="96" t="str">
        <f>IFERROR((IF((VLOOKUP(B46,MORTALITY!$B$5:$B$1000,1,0))&gt;0,"Died","")),"")</f>
        <v/>
      </c>
      <c r="I46" s="96" t="str">
        <f ca="1">IFERROR(
   IF(LOOKUP(2,1/((ILLNESS!$B$6:$B$1000=B46)*(ILLNESS!$L$6:$L$1000&lt;&gt;"")),
            ILLNESS!$L$6:$L$1000)="No",
      "Sick",""),
"")</f>
        <v/>
      </c>
      <c r="J46" s="104"/>
      <c r="K46" s="97" t="str">
        <f t="shared" ca="1" si="1"/>
        <v/>
      </c>
      <c r="L46" s="97" t="str">
        <f t="shared" ca="1" si="2"/>
        <v/>
      </c>
      <c r="M46" s="76"/>
      <c r="N46" s="76"/>
      <c r="O46" s="76"/>
      <c r="P46" s="76"/>
      <c r="Q46" s="76"/>
      <c r="R46" s="76"/>
      <c r="S46" s="104"/>
      <c r="T46" s="104"/>
      <c r="U46" s="106"/>
      <c r="V46" s="98" t="str">
        <f>IF(OR(G46="Sold",H46="Died"),IF(G46="Sold",VLOOKUP(B46,SALE!$B$5:$J$1000,6,0),IF(H46="Died",VLOOKUP(B46,MORTALITY!$B$5:$K$1000,5,0),"")),"")</f>
        <v/>
      </c>
      <c r="W46" s="76"/>
    </row>
    <row r="47" spans="1:23">
      <c r="A47" s="93">
        <f t="shared" si="3"/>
        <v>43</v>
      </c>
      <c r="B47" s="94"/>
      <c r="C47" s="76"/>
      <c r="D47" s="76"/>
      <c r="E47" s="76"/>
      <c r="F47" s="94" t="str">
        <f t="shared" ca="1" si="0"/>
        <v/>
      </c>
      <c r="G47" s="96" t="str">
        <f>IFERROR((IF((VLOOKUP(B47,SALE!$B$5:$B$1000,1,0))&gt;0,"Sold","")),"")</f>
        <v/>
      </c>
      <c r="H47" s="96" t="str">
        <f>IFERROR((IF((VLOOKUP(B47,MORTALITY!$B$5:$B$1000,1,0))&gt;0,"Died","")),"")</f>
        <v/>
      </c>
      <c r="I47" s="96" t="str">
        <f ca="1">IFERROR(
   IF(LOOKUP(2,1/((ILLNESS!$B$6:$B$1000=B47)*(ILLNESS!$L$6:$L$1000&lt;&gt;"")),
            ILLNESS!$L$6:$L$1000)="No",
      "Sick",""),
"")</f>
        <v/>
      </c>
      <c r="J47" s="104"/>
      <c r="K47" s="97" t="str">
        <f t="shared" ca="1" si="1"/>
        <v/>
      </c>
      <c r="L47" s="97" t="str">
        <f t="shared" ca="1" si="2"/>
        <v/>
      </c>
      <c r="M47" s="76"/>
      <c r="N47" s="76"/>
      <c r="O47" s="76"/>
      <c r="P47" s="76"/>
      <c r="Q47" s="76"/>
      <c r="R47" s="76"/>
      <c r="S47" s="104"/>
      <c r="T47" s="104"/>
      <c r="U47" s="106"/>
      <c r="V47" s="98" t="str">
        <f>IF(OR(G47="Sold",H47="Died"),IF(G47="Sold",VLOOKUP(B47,SALE!$B$5:$J$1000,6,0),IF(H47="Died",VLOOKUP(B47,MORTALITY!$B$5:$K$1000,5,0),"")),"")</f>
        <v/>
      </c>
      <c r="W47" s="76"/>
    </row>
    <row r="48" spans="1:23">
      <c r="A48" s="93">
        <f t="shared" si="3"/>
        <v>44</v>
      </c>
      <c r="B48" s="94"/>
      <c r="C48" s="76"/>
      <c r="D48" s="76"/>
      <c r="E48" s="76"/>
      <c r="F48" s="94" t="str">
        <f t="shared" ca="1" si="0"/>
        <v/>
      </c>
      <c r="G48" s="96" t="str">
        <f>IFERROR((IF((VLOOKUP(B48,SALE!$B$5:$B$1000,1,0))&gt;0,"Sold","")),"")</f>
        <v/>
      </c>
      <c r="H48" s="96" t="str">
        <f>IFERROR((IF((VLOOKUP(B48,MORTALITY!$B$5:$B$1000,1,0))&gt;0,"Died","")),"")</f>
        <v/>
      </c>
      <c r="I48" s="96" t="str">
        <f ca="1">IFERROR(
   IF(LOOKUP(2,1/((ILLNESS!$B$6:$B$1000=B48)*(ILLNESS!$L$6:$L$1000&lt;&gt;"")),
            ILLNESS!$L$6:$L$1000)="No",
      "Sick",""),
"")</f>
        <v/>
      </c>
      <c r="J48" s="104"/>
      <c r="K48" s="97" t="str">
        <f t="shared" ca="1" si="1"/>
        <v/>
      </c>
      <c r="L48" s="97" t="str">
        <f t="shared" ca="1" si="2"/>
        <v/>
      </c>
      <c r="M48" s="76"/>
      <c r="N48" s="76"/>
      <c r="O48" s="76"/>
      <c r="P48" s="76"/>
      <c r="Q48" s="76"/>
      <c r="R48" s="76"/>
      <c r="S48" s="104"/>
      <c r="T48" s="104"/>
      <c r="U48" s="106"/>
      <c r="V48" s="98" t="str">
        <f>IF(OR(G48="Sold",H48="Died"),IF(G48="Sold",VLOOKUP(B48,SALE!$B$5:$J$1000,6,0),IF(H48="Died",VLOOKUP(B48,MORTALITY!$B$5:$K$1000,5,0),"")),"")</f>
        <v/>
      </c>
      <c r="W48" s="76"/>
    </row>
    <row r="49" spans="1:23">
      <c r="A49" s="93">
        <f t="shared" si="3"/>
        <v>45</v>
      </c>
      <c r="B49" s="94"/>
      <c r="C49" s="76"/>
      <c r="D49" s="76"/>
      <c r="E49" s="76"/>
      <c r="F49" s="94" t="str">
        <f t="shared" ca="1" si="0"/>
        <v/>
      </c>
      <c r="G49" s="96" t="str">
        <f>IFERROR((IF((VLOOKUP(B49,SALE!$B$5:$B$1000,1,0))&gt;0,"Sold","")),"")</f>
        <v/>
      </c>
      <c r="H49" s="96" t="str">
        <f>IFERROR((IF((VLOOKUP(B49,MORTALITY!$B$5:$B$1000,1,0))&gt;0,"Died","")),"")</f>
        <v/>
      </c>
      <c r="I49" s="96" t="str">
        <f ca="1">IFERROR(
   IF(LOOKUP(2,1/((ILLNESS!$B$6:$B$1000=B49)*(ILLNESS!$L$6:$L$1000&lt;&gt;"")),
            ILLNESS!$L$6:$L$1000)="No",
      "Sick",""),
"")</f>
        <v/>
      </c>
      <c r="J49" s="104"/>
      <c r="K49" s="97" t="str">
        <f t="shared" ca="1" si="1"/>
        <v/>
      </c>
      <c r="L49" s="97" t="str">
        <f t="shared" ca="1" si="2"/>
        <v/>
      </c>
      <c r="M49" s="76"/>
      <c r="N49" s="76"/>
      <c r="O49" s="76"/>
      <c r="P49" s="76"/>
      <c r="Q49" s="76"/>
      <c r="R49" s="76"/>
      <c r="S49" s="104"/>
      <c r="T49" s="104"/>
      <c r="U49" s="106"/>
      <c r="V49" s="98" t="str">
        <f>IF(OR(G49="Sold",H49="Died"),IF(G49="Sold",VLOOKUP(B49,SALE!$B$5:$J$1000,6,0),IF(H49="Died",VLOOKUP(B49,MORTALITY!$B$5:$K$1000,5,0),"")),"")</f>
        <v/>
      </c>
      <c r="W49" s="76"/>
    </row>
    <row r="50" spans="1:23">
      <c r="A50" s="93">
        <f t="shared" si="3"/>
        <v>46</v>
      </c>
      <c r="B50" s="94"/>
      <c r="C50" s="76"/>
      <c r="D50" s="76"/>
      <c r="E50" s="76"/>
      <c r="F50" s="94" t="str">
        <f t="shared" ca="1" si="0"/>
        <v/>
      </c>
      <c r="G50" s="96" t="str">
        <f>IFERROR((IF((VLOOKUP(B50,SALE!$B$5:$B$1000,1,0))&gt;0,"Sold","")),"")</f>
        <v/>
      </c>
      <c r="H50" s="96" t="str">
        <f>IFERROR((IF((VLOOKUP(B50,MORTALITY!$B$5:$B$1000,1,0))&gt;0,"Died","")),"")</f>
        <v/>
      </c>
      <c r="I50" s="96" t="str">
        <f ca="1">IFERROR(
   IF(LOOKUP(2,1/((ILLNESS!$B$6:$B$1000=B50)*(ILLNESS!$L$6:$L$1000&lt;&gt;"")),
            ILLNESS!$L$6:$L$1000)="No",
      "Sick",""),
"")</f>
        <v/>
      </c>
      <c r="J50" s="104"/>
      <c r="K50" s="97" t="str">
        <f t="shared" ca="1" si="1"/>
        <v/>
      </c>
      <c r="L50" s="97" t="str">
        <f t="shared" ca="1" si="2"/>
        <v/>
      </c>
      <c r="M50" s="76"/>
      <c r="N50" s="76"/>
      <c r="O50" s="76"/>
      <c r="P50" s="76"/>
      <c r="Q50" s="76"/>
      <c r="R50" s="76"/>
      <c r="S50" s="104"/>
      <c r="T50" s="104"/>
      <c r="U50" s="106"/>
      <c r="V50" s="98" t="str">
        <f>IF(OR(G50="Sold",H50="Died"),IF(G50="Sold",VLOOKUP(B50,SALE!$B$5:$J$1000,6,0),IF(H50="Died",VLOOKUP(B50,MORTALITY!$B$5:$K$1000,5,0),"")),"")</f>
        <v/>
      </c>
      <c r="W50" s="76"/>
    </row>
    <row r="51" spans="1:23">
      <c r="A51" s="93">
        <f t="shared" si="3"/>
        <v>47</v>
      </c>
      <c r="B51" s="94"/>
      <c r="C51" s="76"/>
      <c r="D51" s="76"/>
      <c r="E51" s="76"/>
      <c r="F51" s="94" t="str">
        <f t="shared" ca="1" si="0"/>
        <v/>
      </c>
      <c r="G51" s="96" t="str">
        <f>IFERROR((IF((VLOOKUP(B51,SALE!$B$5:$B$1000,1,0))&gt;0,"Sold","")),"")</f>
        <v/>
      </c>
      <c r="H51" s="96" t="str">
        <f>IFERROR((IF((VLOOKUP(B51,MORTALITY!$B$5:$B$1000,1,0))&gt;0,"Died","")),"")</f>
        <v/>
      </c>
      <c r="I51" s="96" t="str">
        <f ca="1">IFERROR(
   IF(LOOKUP(2,1/((ILLNESS!$B$6:$B$1000=B51)*(ILLNESS!$L$6:$L$1000&lt;&gt;"")),
            ILLNESS!$L$6:$L$1000)="No",
      "Sick",""),
"")</f>
        <v/>
      </c>
      <c r="J51" s="104"/>
      <c r="K51" s="97" t="str">
        <f t="shared" ca="1" si="1"/>
        <v/>
      </c>
      <c r="L51" s="97" t="str">
        <f t="shared" ca="1" si="2"/>
        <v/>
      </c>
      <c r="M51" s="76"/>
      <c r="N51" s="76"/>
      <c r="O51" s="76"/>
      <c r="P51" s="76"/>
      <c r="Q51" s="76"/>
      <c r="R51" s="76"/>
      <c r="S51" s="104"/>
      <c r="T51" s="104"/>
      <c r="U51" s="106"/>
      <c r="V51" s="98" t="str">
        <f>IF(OR(G51="Sold",H51="Died"),IF(G51="Sold",VLOOKUP(B51,SALE!$B$5:$J$1000,6,0),IF(H51="Died",VLOOKUP(B51,MORTALITY!$B$5:$K$1000,5,0),"")),"")</f>
        <v/>
      </c>
      <c r="W51" s="76"/>
    </row>
    <row r="52" spans="1:23">
      <c r="A52" s="93">
        <f t="shared" si="3"/>
        <v>48</v>
      </c>
      <c r="B52" s="94"/>
      <c r="C52" s="76"/>
      <c r="D52" s="76"/>
      <c r="E52" s="76"/>
      <c r="F52" s="94" t="str">
        <f t="shared" ca="1" si="0"/>
        <v/>
      </c>
      <c r="G52" s="96" t="str">
        <f>IFERROR((IF((VLOOKUP(B52,SALE!$B$5:$B$1000,1,0))&gt;0,"Sold","")),"")</f>
        <v/>
      </c>
      <c r="H52" s="96" t="str">
        <f>IFERROR((IF((VLOOKUP(B52,MORTALITY!$B$5:$B$1000,1,0))&gt;0,"Died","")),"")</f>
        <v/>
      </c>
      <c r="I52" s="96" t="str">
        <f ca="1">IFERROR(
   IF(LOOKUP(2,1/((ILLNESS!$B$6:$B$1000=B52)*(ILLNESS!$L$6:$L$1000&lt;&gt;"")),
            ILLNESS!$L$6:$L$1000)="No",
      "Sick",""),
"")</f>
        <v/>
      </c>
      <c r="J52" s="104"/>
      <c r="K52" s="97" t="str">
        <f t="shared" ca="1" si="1"/>
        <v/>
      </c>
      <c r="L52" s="97" t="str">
        <f t="shared" ca="1" si="2"/>
        <v/>
      </c>
      <c r="M52" s="76"/>
      <c r="N52" s="76"/>
      <c r="O52" s="76"/>
      <c r="P52" s="76"/>
      <c r="Q52" s="76"/>
      <c r="R52" s="76"/>
      <c r="S52" s="104"/>
      <c r="T52" s="104"/>
      <c r="U52" s="106"/>
      <c r="V52" s="98" t="str">
        <f>IF(OR(G52="Sold",H52="Died"),IF(G52="Sold",VLOOKUP(B52,SALE!$B$5:$J$1000,6,0),IF(H52="Died",VLOOKUP(B52,MORTALITY!$B$5:$K$1000,5,0),"")),"")</f>
        <v/>
      </c>
      <c r="W52" s="76"/>
    </row>
    <row r="53" spans="1:23">
      <c r="A53" s="93">
        <f t="shared" si="3"/>
        <v>49</v>
      </c>
      <c r="B53" s="94"/>
      <c r="C53" s="76"/>
      <c r="D53" s="76"/>
      <c r="E53" s="76"/>
      <c r="F53" s="94" t="str">
        <f t="shared" ca="1" si="0"/>
        <v/>
      </c>
      <c r="G53" s="96" t="str">
        <f>IFERROR((IF((VLOOKUP(B53,SALE!$B$5:$B$1000,1,0))&gt;0,"Sold","")),"")</f>
        <v/>
      </c>
      <c r="H53" s="96" t="str">
        <f>IFERROR((IF((VLOOKUP(B53,MORTALITY!$B$5:$B$1000,1,0))&gt;0,"Died","")),"")</f>
        <v/>
      </c>
      <c r="I53" s="96" t="str">
        <f ca="1">IFERROR(
   IF(LOOKUP(2,1/((ILLNESS!$B$6:$B$1000=B53)*(ILLNESS!$L$6:$L$1000&lt;&gt;"")),
            ILLNESS!$L$6:$L$1000)="No",
      "Sick",""),
"")</f>
        <v/>
      </c>
      <c r="J53" s="104"/>
      <c r="K53" s="97" t="str">
        <f t="shared" ca="1" si="1"/>
        <v/>
      </c>
      <c r="L53" s="97" t="str">
        <f t="shared" ca="1" si="2"/>
        <v/>
      </c>
      <c r="M53" s="76"/>
      <c r="N53" s="76"/>
      <c r="O53" s="76"/>
      <c r="P53" s="76"/>
      <c r="Q53" s="76"/>
      <c r="R53" s="76"/>
      <c r="S53" s="104"/>
      <c r="T53" s="104"/>
      <c r="U53" s="106"/>
      <c r="V53" s="98" t="str">
        <f>IF(OR(G53="Sold",H53="Died"),IF(G53="Sold",VLOOKUP(B53,SALE!$B$5:$J$1000,6,0),IF(H53="Died",VLOOKUP(B53,MORTALITY!$B$5:$K$1000,5,0),"")),"")</f>
        <v/>
      </c>
      <c r="W53" s="76"/>
    </row>
    <row r="54" spans="1:23">
      <c r="A54" s="93">
        <f t="shared" si="3"/>
        <v>50</v>
      </c>
      <c r="B54" s="94"/>
      <c r="C54" s="76"/>
      <c r="D54" s="76"/>
      <c r="E54" s="76"/>
      <c r="F54" s="94" t="str">
        <f t="shared" ca="1" si="0"/>
        <v/>
      </c>
      <c r="G54" s="96" t="str">
        <f>IFERROR((IF((VLOOKUP(B54,SALE!$B$5:$B$1000,1,0))&gt;0,"Sold","")),"")</f>
        <v/>
      </c>
      <c r="H54" s="96" t="str">
        <f>IFERROR((IF((VLOOKUP(B54,MORTALITY!$B$5:$B$1000,1,0))&gt;0,"Died","")),"")</f>
        <v/>
      </c>
      <c r="I54" s="96" t="str">
        <f ca="1">IFERROR(
   IF(LOOKUP(2,1/((ILLNESS!$B$6:$B$1000=B54)*(ILLNESS!$L$6:$L$1000&lt;&gt;"")),
            ILLNESS!$L$6:$L$1000)="No",
      "Sick",""),
"")</f>
        <v/>
      </c>
      <c r="J54" s="104"/>
      <c r="K54" s="97" t="str">
        <f t="shared" ca="1" si="1"/>
        <v/>
      </c>
      <c r="L54" s="97" t="str">
        <f t="shared" ca="1" si="2"/>
        <v/>
      </c>
      <c r="M54" s="76"/>
      <c r="N54" s="76"/>
      <c r="O54" s="76"/>
      <c r="P54" s="76"/>
      <c r="Q54" s="76"/>
      <c r="R54" s="76"/>
      <c r="S54" s="104"/>
      <c r="T54" s="104"/>
      <c r="U54" s="106"/>
      <c r="V54" s="98" t="str">
        <f>IF(OR(G54="Sold",H54="Died"),IF(G54="Sold",VLOOKUP(B54,SALE!$B$5:$J$1000,6,0),IF(H54="Died",VLOOKUP(B54,MORTALITY!$B$5:$K$1000,5,0),"")),"")</f>
        <v/>
      </c>
      <c r="W54" s="76"/>
    </row>
    <row r="55" spans="1:23">
      <c r="A55" s="93">
        <f t="shared" si="3"/>
        <v>51</v>
      </c>
      <c r="B55" s="94"/>
      <c r="C55" s="76"/>
      <c r="D55" s="76"/>
      <c r="E55" s="76"/>
      <c r="F55" s="94" t="str">
        <f t="shared" ca="1" si="0"/>
        <v/>
      </c>
      <c r="G55" s="96" t="str">
        <f>IFERROR((IF((VLOOKUP(B55,SALE!$B$5:$B$1000,1,0))&gt;0,"Sold","")),"")</f>
        <v/>
      </c>
      <c r="H55" s="96" t="str">
        <f>IFERROR((IF((VLOOKUP(B55,MORTALITY!$B$5:$B$1000,1,0))&gt;0,"Died","")),"")</f>
        <v/>
      </c>
      <c r="I55" s="96" t="str">
        <f ca="1">IFERROR(
   IF(LOOKUP(2,1/((ILLNESS!$B$6:$B$1000=B55)*(ILLNESS!$L$6:$L$1000&lt;&gt;"")),
            ILLNESS!$L$6:$L$1000)="No",
      "Sick",""),
"")</f>
        <v/>
      </c>
      <c r="J55" s="104"/>
      <c r="K55" s="97" t="str">
        <f t="shared" ca="1" si="1"/>
        <v/>
      </c>
      <c r="L55" s="97" t="str">
        <f t="shared" ca="1" si="2"/>
        <v/>
      </c>
      <c r="M55" s="76"/>
      <c r="N55" s="76"/>
      <c r="O55" s="76"/>
      <c r="P55" s="76"/>
      <c r="Q55" s="76"/>
      <c r="R55" s="76"/>
      <c r="S55" s="104"/>
      <c r="T55" s="104"/>
      <c r="U55" s="106"/>
      <c r="V55" s="98" t="str">
        <f>IF(OR(G55="Sold",H55="Died"),IF(G55="Sold",VLOOKUP(B55,SALE!$B$5:$J$1000,6,0),IF(H55="Died",VLOOKUP(B55,MORTALITY!$B$5:$K$1000,5,0),"")),"")</f>
        <v/>
      </c>
      <c r="W55" s="76"/>
    </row>
    <row r="56" spans="1:23">
      <c r="A56" s="93">
        <f t="shared" si="3"/>
        <v>52</v>
      </c>
      <c r="B56" s="94"/>
      <c r="C56" s="76"/>
      <c r="D56" s="76"/>
      <c r="E56" s="76"/>
      <c r="F56" s="94" t="str">
        <f t="shared" ca="1" si="0"/>
        <v/>
      </c>
      <c r="G56" s="96" t="str">
        <f>IFERROR((IF((VLOOKUP(B56,SALE!$B$5:$B$1000,1,0))&gt;0,"Sold","")),"")</f>
        <v/>
      </c>
      <c r="H56" s="96" t="str">
        <f>IFERROR((IF((VLOOKUP(B56,MORTALITY!$B$5:$B$1000,1,0))&gt;0,"Died","")),"")</f>
        <v/>
      </c>
      <c r="I56" s="96" t="str">
        <f ca="1">IFERROR(
   IF(LOOKUP(2,1/((ILLNESS!$B$6:$B$1000=B56)*(ILLNESS!$L$6:$L$1000&lt;&gt;"")),
            ILLNESS!$L$6:$L$1000)="No",
      "Sick",""),
"")</f>
        <v/>
      </c>
      <c r="J56" s="104"/>
      <c r="K56" s="97" t="str">
        <f t="shared" ca="1" si="1"/>
        <v/>
      </c>
      <c r="L56" s="97" t="str">
        <f t="shared" ca="1" si="2"/>
        <v/>
      </c>
      <c r="M56" s="76"/>
      <c r="N56" s="76"/>
      <c r="O56" s="76"/>
      <c r="P56" s="76"/>
      <c r="Q56" s="76"/>
      <c r="R56" s="76"/>
      <c r="S56" s="104"/>
      <c r="T56" s="104"/>
      <c r="U56" s="106"/>
      <c r="V56" s="98" t="str">
        <f>IF(OR(G56="Sold",H56="Died"),IF(G56="Sold",VLOOKUP(B56,SALE!$B$5:$J$1000,6,0),IF(H56="Died",VLOOKUP(B56,MORTALITY!$B$5:$K$1000,5,0),"")),"")</f>
        <v/>
      </c>
      <c r="W56" s="76"/>
    </row>
    <row r="57" spans="1:23">
      <c r="A57" s="93">
        <f t="shared" si="3"/>
        <v>53</v>
      </c>
      <c r="B57" s="94"/>
      <c r="C57" s="76"/>
      <c r="D57" s="76"/>
      <c r="E57" s="76"/>
      <c r="F57" s="94" t="str">
        <f t="shared" ca="1" si="0"/>
        <v/>
      </c>
      <c r="G57" s="96" t="str">
        <f>IFERROR((IF((VLOOKUP(B57,SALE!$B$5:$B$1000,1,0))&gt;0,"Sold","")),"")</f>
        <v/>
      </c>
      <c r="H57" s="96" t="str">
        <f>IFERROR((IF((VLOOKUP(B57,MORTALITY!$B$5:$B$1000,1,0))&gt;0,"Died","")),"")</f>
        <v/>
      </c>
      <c r="I57" s="96" t="str">
        <f ca="1">IFERROR(
   IF(LOOKUP(2,1/((ILLNESS!$B$6:$B$1000=B57)*(ILLNESS!$L$6:$L$1000&lt;&gt;"")),
            ILLNESS!$L$6:$L$1000)="No",
      "Sick",""),
"")</f>
        <v/>
      </c>
      <c r="J57" s="104"/>
      <c r="K57" s="97" t="str">
        <f t="shared" ca="1" si="1"/>
        <v/>
      </c>
      <c r="L57" s="97" t="str">
        <f t="shared" ca="1" si="2"/>
        <v/>
      </c>
      <c r="M57" s="76"/>
      <c r="N57" s="76"/>
      <c r="O57" s="76"/>
      <c r="P57" s="76"/>
      <c r="Q57" s="76"/>
      <c r="R57" s="76"/>
      <c r="S57" s="104"/>
      <c r="T57" s="104"/>
      <c r="U57" s="106"/>
      <c r="V57" s="98" t="str">
        <f>IF(OR(G57="Sold",H57="Died"),IF(G57="Sold",VLOOKUP(B57,SALE!$B$5:$J$1000,6,0),IF(H57="Died",VLOOKUP(B57,MORTALITY!$B$5:$K$1000,5,0),"")),"")</f>
        <v/>
      </c>
      <c r="W57" s="76"/>
    </row>
    <row r="58" spans="1:23">
      <c r="A58" s="93">
        <f t="shared" si="3"/>
        <v>54</v>
      </c>
      <c r="B58" s="94"/>
      <c r="C58" s="76"/>
      <c r="D58" s="76"/>
      <c r="E58" s="76"/>
      <c r="F58" s="94" t="str">
        <f t="shared" ca="1" si="0"/>
        <v/>
      </c>
      <c r="G58" s="96" t="str">
        <f>IFERROR((IF((VLOOKUP(B58,SALE!$B$5:$B$1000,1,0))&gt;0,"Sold","")),"")</f>
        <v/>
      </c>
      <c r="H58" s="96" t="str">
        <f>IFERROR((IF((VLOOKUP(B58,MORTALITY!$B$5:$B$1000,1,0))&gt;0,"Died","")),"")</f>
        <v/>
      </c>
      <c r="I58" s="96" t="str">
        <f ca="1">IFERROR(
   IF(LOOKUP(2,1/((ILLNESS!$B$6:$B$1000=B58)*(ILLNESS!$L$6:$L$1000&lt;&gt;"")),
            ILLNESS!$L$6:$L$1000)="No",
      "Sick",""),
"")</f>
        <v/>
      </c>
      <c r="J58" s="104"/>
      <c r="K58" s="97" t="str">
        <f t="shared" ca="1" si="1"/>
        <v/>
      </c>
      <c r="L58" s="97" t="str">
        <f t="shared" ca="1" si="2"/>
        <v/>
      </c>
      <c r="M58" s="76"/>
      <c r="N58" s="76"/>
      <c r="O58" s="76"/>
      <c r="P58" s="76"/>
      <c r="Q58" s="76"/>
      <c r="R58" s="76"/>
      <c r="S58" s="104"/>
      <c r="T58" s="104"/>
      <c r="U58" s="106"/>
      <c r="V58" s="98" t="str">
        <f>IF(OR(G58="Sold",H58="Died"),IF(G58="Sold",VLOOKUP(B58,SALE!$B$5:$J$1000,6,0),IF(H58="Died",VLOOKUP(B58,MORTALITY!$B$5:$K$1000,5,0),"")),"")</f>
        <v/>
      </c>
      <c r="W58" s="76"/>
    </row>
    <row r="59" spans="1:23">
      <c r="A59" s="93">
        <f t="shared" si="3"/>
        <v>55</v>
      </c>
      <c r="B59" s="94"/>
      <c r="C59" s="76"/>
      <c r="D59" s="76"/>
      <c r="E59" s="76"/>
      <c r="F59" s="94" t="str">
        <f t="shared" ca="1" si="0"/>
        <v/>
      </c>
      <c r="G59" s="96" t="str">
        <f>IFERROR((IF((VLOOKUP(B59,SALE!$B$5:$B$1000,1,0))&gt;0,"Sold","")),"")</f>
        <v/>
      </c>
      <c r="H59" s="96" t="str">
        <f>IFERROR((IF((VLOOKUP(B59,MORTALITY!$B$5:$B$1000,1,0))&gt;0,"Died","")),"")</f>
        <v/>
      </c>
      <c r="I59" s="96" t="str">
        <f ca="1">IFERROR(
   IF(LOOKUP(2,1/((ILLNESS!$B$6:$B$1000=B59)*(ILLNESS!$L$6:$L$1000&lt;&gt;"")),
            ILLNESS!$L$6:$L$1000)="No",
      "Sick",""),
"")</f>
        <v/>
      </c>
      <c r="J59" s="104"/>
      <c r="K59" s="97" t="str">
        <f t="shared" ca="1" si="1"/>
        <v/>
      </c>
      <c r="L59" s="97" t="str">
        <f t="shared" ca="1" si="2"/>
        <v/>
      </c>
      <c r="M59" s="76"/>
      <c r="N59" s="76"/>
      <c r="O59" s="76"/>
      <c r="P59" s="76"/>
      <c r="Q59" s="76"/>
      <c r="R59" s="76"/>
      <c r="S59" s="104"/>
      <c r="T59" s="104"/>
      <c r="U59" s="106"/>
      <c r="V59" s="98" t="str">
        <f>IF(OR(G59="Sold",H59="Died"),IF(G59="Sold",VLOOKUP(B59,SALE!$B$5:$J$1000,6,0),IF(H59="Died",VLOOKUP(B59,MORTALITY!$B$5:$K$1000,5,0),"")),"")</f>
        <v/>
      </c>
      <c r="W59" s="76"/>
    </row>
    <row r="60" spans="1:23">
      <c r="A60" s="93">
        <f t="shared" si="3"/>
        <v>56</v>
      </c>
      <c r="B60" s="94"/>
      <c r="C60" s="76"/>
      <c r="D60" s="76"/>
      <c r="E60" s="76"/>
      <c r="F60" s="94" t="str">
        <f t="shared" ca="1" si="0"/>
        <v/>
      </c>
      <c r="G60" s="96" t="str">
        <f>IFERROR((IF((VLOOKUP(B60,SALE!$B$5:$B$1000,1,0))&gt;0,"Sold","")),"")</f>
        <v/>
      </c>
      <c r="H60" s="96" t="str">
        <f>IFERROR((IF((VLOOKUP(B60,MORTALITY!$B$5:$B$1000,1,0))&gt;0,"Died","")),"")</f>
        <v/>
      </c>
      <c r="I60" s="96" t="str">
        <f ca="1">IFERROR(
   IF(LOOKUP(2,1/((ILLNESS!$B$6:$B$1000=B60)*(ILLNESS!$L$6:$L$1000&lt;&gt;"")),
            ILLNESS!$L$6:$L$1000)="No",
      "Sick",""),
"")</f>
        <v/>
      </c>
      <c r="J60" s="104"/>
      <c r="K60" s="97" t="str">
        <f t="shared" ca="1" si="1"/>
        <v/>
      </c>
      <c r="L60" s="97" t="str">
        <f t="shared" ca="1" si="2"/>
        <v/>
      </c>
      <c r="M60" s="76"/>
      <c r="N60" s="76"/>
      <c r="O60" s="76"/>
      <c r="P60" s="76"/>
      <c r="Q60" s="76"/>
      <c r="R60" s="76"/>
      <c r="S60" s="104"/>
      <c r="T60" s="104"/>
      <c r="U60" s="106"/>
      <c r="V60" s="98" t="str">
        <f>IF(OR(G60="Sold",H60="Died"),IF(G60="Sold",VLOOKUP(B60,SALE!$B$5:$J$1000,6,0),IF(H60="Died",VLOOKUP(B60,MORTALITY!$B$5:$K$1000,5,0),"")),"")</f>
        <v/>
      </c>
      <c r="W60" s="76"/>
    </row>
    <row r="61" spans="1:23">
      <c r="A61" s="93">
        <f t="shared" si="3"/>
        <v>57</v>
      </c>
      <c r="B61" s="94"/>
      <c r="C61" s="76"/>
      <c r="D61" s="76"/>
      <c r="E61" s="76"/>
      <c r="F61" s="94" t="str">
        <f t="shared" ca="1" si="0"/>
        <v/>
      </c>
      <c r="G61" s="96" t="str">
        <f>IFERROR((IF((VLOOKUP(B61,SALE!$B$5:$B$1000,1,0))&gt;0,"Sold","")),"")</f>
        <v/>
      </c>
      <c r="H61" s="96" t="str">
        <f>IFERROR((IF((VLOOKUP(B61,MORTALITY!$B$5:$B$1000,1,0))&gt;0,"Died","")),"")</f>
        <v/>
      </c>
      <c r="I61" s="96" t="str">
        <f ca="1">IFERROR(
   IF(LOOKUP(2,1/((ILLNESS!$B$6:$B$1000=B61)*(ILLNESS!$L$6:$L$1000&lt;&gt;"")),
            ILLNESS!$L$6:$L$1000)="No",
      "Sick",""),
"")</f>
        <v/>
      </c>
      <c r="J61" s="104"/>
      <c r="K61" s="97" t="str">
        <f t="shared" ca="1" si="1"/>
        <v/>
      </c>
      <c r="L61" s="97" t="str">
        <f t="shared" ca="1" si="2"/>
        <v/>
      </c>
      <c r="M61" s="76"/>
      <c r="N61" s="76"/>
      <c r="O61" s="76"/>
      <c r="P61" s="76"/>
      <c r="Q61" s="76"/>
      <c r="R61" s="76"/>
      <c r="S61" s="104"/>
      <c r="T61" s="104"/>
      <c r="U61" s="106"/>
      <c r="V61" s="98" t="str">
        <f>IF(OR(G61="Sold",H61="Died"),IF(G61="Sold",VLOOKUP(B61,SALE!$B$5:$J$1000,6,0),IF(H61="Died",VLOOKUP(B61,MORTALITY!$B$5:$K$1000,5,0),"")),"")</f>
        <v/>
      </c>
      <c r="W61" s="76"/>
    </row>
    <row r="62" spans="1:23">
      <c r="A62" s="93">
        <f t="shared" si="3"/>
        <v>58</v>
      </c>
      <c r="B62" s="94"/>
      <c r="C62" s="76"/>
      <c r="D62" s="76"/>
      <c r="E62" s="76"/>
      <c r="F62" s="94" t="str">
        <f t="shared" ca="1" si="0"/>
        <v/>
      </c>
      <c r="G62" s="96" t="str">
        <f>IFERROR((IF((VLOOKUP(B62,SALE!$B$5:$B$1000,1,0))&gt;0,"Sold","")),"")</f>
        <v/>
      </c>
      <c r="H62" s="96" t="str">
        <f>IFERROR((IF((VLOOKUP(B62,MORTALITY!$B$5:$B$1000,1,0))&gt;0,"Died","")),"")</f>
        <v/>
      </c>
      <c r="I62" s="96" t="str">
        <f ca="1">IFERROR(
   IF(LOOKUP(2,1/((ILLNESS!$B$6:$B$1000=B62)*(ILLNESS!$L$6:$L$1000&lt;&gt;"")),
            ILLNESS!$L$6:$L$1000)="No",
      "Sick",""),
"")</f>
        <v/>
      </c>
      <c r="J62" s="104"/>
      <c r="K62" s="97" t="str">
        <f t="shared" ca="1" si="1"/>
        <v/>
      </c>
      <c r="L62" s="97" t="str">
        <f t="shared" ca="1" si="2"/>
        <v/>
      </c>
      <c r="M62" s="76"/>
      <c r="N62" s="76"/>
      <c r="O62" s="76"/>
      <c r="P62" s="76"/>
      <c r="Q62" s="76"/>
      <c r="R62" s="76"/>
      <c r="S62" s="104"/>
      <c r="T62" s="104"/>
      <c r="U62" s="106"/>
      <c r="V62" s="98" t="str">
        <f>IF(OR(G62="Sold",H62="Died"),IF(G62="Sold",VLOOKUP(B62,SALE!$B$5:$J$1000,6,0),IF(H62="Died",VLOOKUP(B62,MORTALITY!$B$5:$K$1000,5,0),"")),"")</f>
        <v/>
      </c>
      <c r="W62" s="76"/>
    </row>
    <row r="63" spans="1:23">
      <c r="A63" s="93">
        <f t="shared" si="3"/>
        <v>59</v>
      </c>
      <c r="B63" s="94"/>
      <c r="C63" s="76"/>
      <c r="D63" s="76"/>
      <c r="E63" s="76"/>
      <c r="F63" s="94" t="str">
        <f t="shared" ca="1" si="0"/>
        <v/>
      </c>
      <c r="G63" s="96" t="str">
        <f>IFERROR((IF((VLOOKUP(B63,SALE!$B$5:$B$1000,1,0))&gt;0,"Sold","")),"")</f>
        <v/>
      </c>
      <c r="H63" s="96" t="str">
        <f>IFERROR((IF((VLOOKUP(B63,MORTALITY!$B$5:$B$1000,1,0))&gt;0,"Died","")),"")</f>
        <v/>
      </c>
      <c r="I63" s="96" t="str">
        <f ca="1">IFERROR(
   IF(LOOKUP(2,1/((ILLNESS!$B$6:$B$1000=B63)*(ILLNESS!$L$6:$L$1000&lt;&gt;"")),
            ILLNESS!$L$6:$L$1000)="No",
      "Sick",""),
"")</f>
        <v/>
      </c>
      <c r="J63" s="104"/>
      <c r="K63" s="97" t="str">
        <f t="shared" ca="1" si="1"/>
        <v/>
      </c>
      <c r="L63" s="97" t="str">
        <f t="shared" ca="1" si="2"/>
        <v/>
      </c>
      <c r="M63" s="76"/>
      <c r="N63" s="76"/>
      <c r="O63" s="76"/>
      <c r="P63" s="76"/>
      <c r="Q63" s="76"/>
      <c r="R63" s="76"/>
      <c r="S63" s="104"/>
      <c r="T63" s="104"/>
      <c r="U63" s="106"/>
      <c r="V63" s="98" t="str">
        <f>IF(OR(G63="Sold",H63="Died"),IF(G63="Sold",VLOOKUP(B63,SALE!$B$5:$J$1000,6,0),IF(H63="Died",VLOOKUP(B63,MORTALITY!$B$5:$K$1000,5,0),"")),"")</f>
        <v/>
      </c>
      <c r="W63" s="76"/>
    </row>
    <row r="64" spans="1:23">
      <c r="A64" s="93">
        <f t="shared" si="3"/>
        <v>60</v>
      </c>
      <c r="B64" s="94"/>
      <c r="C64" s="76"/>
      <c r="D64" s="76"/>
      <c r="E64" s="76"/>
      <c r="F64" s="94" t="str">
        <f t="shared" ca="1" si="0"/>
        <v/>
      </c>
      <c r="G64" s="96" t="str">
        <f>IFERROR((IF((VLOOKUP(B64,SALE!$B$5:$B$1000,1,0))&gt;0,"Sold","")),"")</f>
        <v/>
      </c>
      <c r="H64" s="96" t="str">
        <f>IFERROR((IF((VLOOKUP(B64,MORTALITY!$B$5:$B$1000,1,0))&gt;0,"Died","")),"")</f>
        <v/>
      </c>
      <c r="I64" s="96" t="str">
        <f ca="1">IFERROR(
   IF(LOOKUP(2,1/((ILLNESS!$B$6:$B$1000=B64)*(ILLNESS!$L$6:$L$1000&lt;&gt;"")),
            ILLNESS!$L$6:$L$1000)="No",
      "Sick",""),
"")</f>
        <v/>
      </c>
      <c r="J64" s="104"/>
      <c r="K64" s="97" t="str">
        <f t="shared" ca="1" si="1"/>
        <v/>
      </c>
      <c r="L64" s="97" t="str">
        <f t="shared" ca="1" si="2"/>
        <v/>
      </c>
      <c r="M64" s="76"/>
      <c r="N64" s="76"/>
      <c r="O64" s="76"/>
      <c r="P64" s="76"/>
      <c r="Q64" s="76"/>
      <c r="R64" s="76"/>
      <c r="S64" s="104"/>
      <c r="T64" s="104"/>
      <c r="U64" s="106"/>
      <c r="V64" s="98" t="str">
        <f>IF(OR(G64="Sold",H64="Died"),IF(G64="Sold",VLOOKUP(B64,SALE!$B$5:$J$1000,6,0),IF(H64="Died",VLOOKUP(B64,MORTALITY!$B$5:$K$1000,5,0),"")),"")</f>
        <v/>
      </c>
      <c r="W64" s="76"/>
    </row>
    <row r="65" spans="1:23">
      <c r="A65" s="93">
        <f t="shared" si="3"/>
        <v>61</v>
      </c>
      <c r="B65" s="94"/>
      <c r="C65" s="76"/>
      <c r="D65" s="76"/>
      <c r="E65" s="76"/>
      <c r="F65" s="94" t="str">
        <f t="shared" ca="1" si="0"/>
        <v/>
      </c>
      <c r="G65" s="96" t="str">
        <f>IFERROR((IF((VLOOKUP(B65,SALE!$B$5:$B$1000,1,0))&gt;0,"Sold","")),"")</f>
        <v/>
      </c>
      <c r="H65" s="96" t="str">
        <f>IFERROR((IF((VLOOKUP(B65,MORTALITY!$B$5:$B$1000,1,0))&gt;0,"Died","")),"")</f>
        <v/>
      </c>
      <c r="I65" s="96" t="str">
        <f ca="1">IFERROR(
   IF(LOOKUP(2,1/((ILLNESS!$B$6:$B$1000=B65)*(ILLNESS!$L$6:$L$1000&lt;&gt;"")),
            ILLNESS!$L$6:$L$1000)="No",
      "Sick",""),
"")</f>
        <v/>
      </c>
      <c r="J65" s="104"/>
      <c r="K65" s="97" t="str">
        <f t="shared" ca="1" si="1"/>
        <v/>
      </c>
      <c r="L65" s="97" t="str">
        <f t="shared" ca="1" si="2"/>
        <v/>
      </c>
      <c r="M65" s="76"/>
      <c r="N65" s="76"/>
      <c r="O65" s="76"/>
      <c r="P65" s="76"/>
      <c r="Q65" s="76"/>
      <c r="R65" s="76"/>
      <c r="S65" s="104"/>
      <c r="T65" s="104"/>
      <c r="U65" s="106"/>
      <c r="V65" s="98" t="str">
        <f>IF(OR(G65="Sold",H65="Died"),IF(G65="Sold",VLOOKUP(B65,SALE!$B$5:$J$1000,6,0),IF(H65="Died",VLOOKUP(B65,MORTALITY!$B$5:$K$1000,5,0),"")),"")</f>
        <v/>
      </c>
      <c r="W65" s="76"/>
    </row>
    <row r="66" spans="1:23">
      <c r="A66" s="93">
        <f t="shared" si="3"/>
        <v>62</v>
      </c>
      <c r="B66" s="94"/>
      <c r="C66" s="76"/>
      <c r="D66" s="76"/>
      <c r="E66" s="76"/>
      <c r="F66" s="94" t="str">
        <f t="shared" ca="1" si="0"/>
        <v/>
      </c>
      <c r="G66" s="96" t="str">
        <f>IFERROR((IF((VLOOKUP(B66,SALE!$B$5:$B$1000,1,0))&gt;0,"Sold","")),"")</f>
        <v/>
      </c>
      <c r="H66" s="96" t="str">
        <f>IFERROR((IF((VLOOKUP(B66,MORTALITY!$B$5:$B$1000,1,0))&gt;0,"Died","")),"")</f>
        <v/>
      </c>
      <c r="I66" s="96" t="str">
        <f ca="1">IFERROR(
   IF(LOOKUP(2,1/((ILLNESS!$B$6:$B$1000=B66)*(ILLNESS!$L$6:$L$1000&lt;&gt;"")),
            ILLNESS!$L$6:$L$1000)="No",
      "Sick",""),
"")</f>
        <v/>
      </c>
      <c r="J66" s="104"/>
      <c r="K66" s="97" t="str">
        <f t="shared" ca="1" si="1"/>
        <v/>
      </c>
      <c r="L66" s="97" t="str">
        <f t="shared" ca="1" si="2"/>
        <v/>
      </c>
      <c r="M66" s="76"/>
      <c r="N66" s="76"/>
      <c r="O66" s="76"/>
      <c r="P66" s="76"/>
      <c r="Q66" s="76"/>
      <c r="R66" s="76"/>
      <c r="S66" s="104"/>
      <c r="T66" s="104"/>
      <c r="U66" s="106"/>
      <c r="V66" s="98" t="str">
        <f>IF(OR(G66="Sold",H66="Died"),IF(G66="Sold",VLOOKUP(B66,SALE!$B$5:$J$1000,6,0),IF(H66="Died",VLOOKUP(B66,MORTALITY!$B$5:$K$1000,5,0),"")),"")</f>
        <v/>
      </c>
      <c r="W66" s="76"/>
    </row>
    <row r="67" spans="1:23">
      <c r="A67" s="93">
        <f t="shared" si="3"/>
        <v>63</v>
      </c>
      <c r="B67" s="94"/>
      <c r="C67" s="76"/>
      <c r="D67" s="76"/>
      <c r="E67" s="76"/>
      <c r="F67" s="94" t="str">
        <f t="shared" ca="1" si="0"/>
        <v/>
      </c>
      <c r="G67" s="96" t="str">
        <f>IFERROR((IF((VLOOKUP(B67,SALE!$B$5:$B$1000,1,0))&gt;0,"Sold","")),"")</f>
        <v/>
      </c>
      <c r="H67" s="96" t="str">
        <f>IFERROR((IF((VLOOKUP(B67,MORTALITY!$B$5:$B$1000,1,0))&gt;0,"Died","")),"")</f>
        <v/>
      </c>
      <c r="I67" s="96" t="str">
        <f ca="1">IFERROR(
   IF(LOOKUP(2,1/((ILLNESS!$B$6:$B$1000=B67)*(ILLNESS!$L$6:$L$1000&lt;&gt;"")),
            ILLNESS!$L$6:$L$1000)="No",
      "Sick",""),
"")</f>
        <v/>
      </c>
      <c r="J67" s="104"/>
      <c r="K67" s="97" t="str">
        <f t="shared" ca="1" si="1"/>
        <v/>
      </c>
      <c r="L67" s="97" t="str">
        <f t="shared" ca="1" si="2"/>
        <v/>
      </c>
      <c r="M67" s="76"/>
      <c r="N67" s="76"/>
      <c r="O67" s="76"/>
      <c r="P67" s="76"/>
      <c r="Q67" s="76"/>
      <c r="R67" s="76"/>
      <c r="S67" s="104"/>
      <c r="T67" s="104"/>
      <c r="U67" s="106"/>
      <c r="V67" s="98" t="str">
        <f>IF(OR(G67="Sold",H67="Died"),IF(G67="Sold",VLOOKUP(B67,SALE!$B$5:$J$1000,6,0),IF(H67="Died",VLOOKUP(B67,MORTALITY!$B$5:$K$1000,5,0),"")),"")</f>
        <v/>
      </c>
      <c r="W67" s="76"/>
    </row>
    <row r="68" spans="1:23">
      <c r="A68" s="93">
        <f t="shared" si="3"/>
        <v>64</v>
      </c>
      <c r="B68" s="94"/>
      <c r="C68" s="76"/>
      <c r="D68" s="76"/>
      <c r="E68" s="76"/>
      <c r="F68" s="94" t="str">
        <f t="shared" ca="1" si="0"/>
        <v/>
      </c>
      <c r="G68" s="96" t="str">
        <f>IFERROR((IF((VLOOKUP(B68,SALE!$B$5:$B$1000,1,0))&gt;0,"Sold","")),"")</f>
        <v/>
      </c>
      <c r="H68" s="96" t="str">
        <f>IFERROR((IF((VLOOKUP(B68,MORTALITY!$B$5:$B$1000,1,0))&gt;0,"Died","")),"")</f>
        <v/>
      </c>
      <c r="I68" s="96" t="str">
        <f ca="1">IFERROR(
   IF(LOOKUP(2,1/((ILLNESS!$B$6:$B$1000=B68)*(ILLNESS!$L$6:$L$1000&lt;&gt;"")),
            ILLNESS!$L$6:$L$1000)="No",
      "Sick",""),
"")</f>
        <v/>
      </c>
      <c r="J68" s="104"/>
      <c r="K68" s="97" t="str">
        <f t="shared" ca="1" si="1"/>
        <v/>
      </c>
      <c r="L68" s="97" t="str">
        <f t="shared" ca="1" si="2"/>
        <v/>
      </c>
      <c r="M68" s="76"/>
      <c r="N68" s="76"/>
      <c r="O68" s="76"/>
      <c r="P68" s="76"/>
      <c r="Q68" s="76"/>
      <c r="R68" s="76"/>
      <c r="S68" s="104"/>
      <c r="T68" s="104"/>
      <c r="U68" s="106"/>
      <c r="V68" s="98" t="str">
        <f>IF(OR(G68="Sold",H68="Died"),IF(G68="Sold",VLOOKUP(B68,SALE!$B$5:$J$1000,6,0),IF(H68="Died",VLOOKUP(B68,MORTALITY!$B$5:$K$1000,5,0),"")),"")</f>
        <v/>
      </c>
      <c r="W68" s="76"/>
    </row>
    <row r="69" spans="1:23">
      <c r="A69" s="93">
        <f t="shared" si="3"/>
        <v>65</v>
      </c>
      <c r="B69" s="94"/>
      <c r="C69" s="76"/>
      <c r="D69" s="76"/>
      <c r="E69" s="76"/>
      <c r="F69" s="94" t="str">
        <f t="shared" ca="1" si="0"/>
        <v/>
      </c>
      <c r="G69" s="96" t="str">
        <f>IFERROR((IF((VLOOKUP(B69,SALE!$B$5:$B$1000,1,0))&gt;0,"Sold","")),"")</f>
        <v/>
      </c>
      <c r="H69" s="96" t="str">
        <f>IFERROR((IF((VLOOKUP(B69,MORTALITY!$B$5:$B$1000,1,0))&gt;0,"Died","")),"")</f>
        <v/>
      </c>
      <c r="I69" s="96" t="str">
        <f ca="1">IFERROR(
   IF(LOOKUP(2,1/((ILLNESS!$B$6:$B$1000=B69)*(ILLNESS!$L$6:$L$1000&lt;&gt;"")),
            ILLNESS!$L$6:$L$1000)="No",
      "Sick",""),
"")</f>
        <v/>
      </c>
      <c r="J69" s="104"/>
      <c r="K69" s="97" t="str">
        <f t="shared" ca="1" si="1"/>
        <v/>
      </c>
      <c r="L69" s="97" t="str">
        <f t="shared" ca="1" si="2"/>
        <v/>
      </c>
      <c r="M69" s="76"/>
      <c r="N69" s="76"/>
      <c r="O69" s="76"/>
      <c r="P69" s="76"/>
      <c r="Q69" s="76"/>
      <c r="R69" s="76"/>
      <c r="S69" s="104"/>
      <c r="T69" s="104"/>
      <c r="U69" s="106"/>
      <c r="V69" s="98" t="str">
        <f>IF(OR(G69="Sold",H69="Died"),IF(G69="Sold",VLOOKUP(B69,SALE!$B$5:$J$1000,6,0),IF(H69="Died",VLOOKUP(B69,MORTALITY!$B$5:$K$1000,5,0),"")),"")</f>
        <v/>
      </c>
      <c r="W69" s="76"/>
    </row>
    <row r="70" spans="1:23">
      <c r="A70" s="93">
        <f t="shared" si="3"/>
        <v>66</v>
      </c>
      <c r="B70" s="94"/>
      <c r="C70" s="76"/>
      <c r="D70" s="76"/>
      <c r="E70" s="76"/>
      <c r="F70" s="94" t="str">
        <f t="shared" ca="1" si="0"/>
        <v/>
      </c>
      <c r="G70" s="96" t="str">
        <f>IFERROR((IF((VLOOKUP(B70,SALE!$B$5:$B$1000,1,0))&gt;0,"Sold","")),"")</f>
        <v/>
      </c>
      <c r="H70" s="96" t="str">
        <f>IFERROR((IF((VLOOKUP(B70,MORTALITY!$B$5:$B$1000,1,0))&gt;0,"Died","")),"")</f>
        <v/>
      </c>
      <c r="I70" s="96" t="str">
        <f ca="1">IFERROR(
   IF(LOOKUP(2,1/((ILLNESS!$B$6:$B$1000=B70)*(ILLNESS!$L$6:$L$1000&lt;&gt;"")),
            ILLNESS!$L$6:$L$1000)="No",
      "Sick",""),
"")</f>
        <v/>
      </c>
      <c r="J70" s="104"/>
      <c r="K70" s="97" t="str">
        <f t="shared" ca="1" si="1"/>
        <v/>
      </c>
      <c r="L70" s="97" t="str">
        <f t="shared" ca="1" si="2"/>
        <v/>
      </c>
      <c r="M70" s="76"/>
      <c r="N70" s="76"/>
      <c r="O70" s="76"/>
      <c r="P70" s="76"/>
      <c r="Q70" s="76"/>
      <c r="R70" s="76"/>
      <c r="S70" s="104"/>
      <c r="T70" s="104"/>
      <c r="U70" s="106"/>
      <c r="V70" s="98" t="str">
        <f>IF(OR(G70="Sold",H70="Died"),IF(G70="Sold",VLOOKUP(B70,SALE!$B$5:$J$1000,6,0),IF(H70="Died",VLOOKUP(B70,MORTALITY!$B$5:$K$1000,5,0),"")),"")</f>
        <v/>
      </c>
      <c r="W70" s="76"/>
    </row>
    <row r="71" spans="1:23">
      <c r="A71" s="93">
        <f t="shared" si="3"/>
        <v>67</v>
      </c>
      <c r="B71" s="94"/>
      <c r="C71" s="76"/>
      <c r="D71" s="76"/>
      <c r="E71" s="76"/>
      <c r="F71" s="94" t="str">
        <f t="shared" ref="F71:F134" ca="1" si="4">IF(OR(G71="Sold",H71="Died",I71="Sick"),"Inactive",IF(OR(C71="MALE",C71="FEMALE"),"Active",""))</f>
        <v/>
      </c>
      <c r="G71" s="96" t="str">
        <f>IFERROR((IF((VLOOKUP(B71,SALE!$B$5:$B$1000,1,0))&gt;0,"Sold","")),"")</f>
        <v/>
      </c>
      <c r="H71" s="96" t="str">
        <f>IFERROR((IF((VLOOKUP(B71,MORTALITY!$B$5:$B$1000,1,0))&gt;0,"Died","")),"")</f>
        <v/>
      </c>
      <c r="I71" s="96" t="str">
        <f ca="1">IFERROR(
   IF(LOOKUP(2,1/((ILLNESS!$B$6:$B$1000=B71)*(ILLNESS!$L$6:$L$1000&lt;&gt;"")),
            ILLNESS!$L$6:$L$1000)="No",
      "Sick",""),
"")</f>
        <v/>
      </c>
      <c r="J71" s="104"/>
      <c r="K71" s="97" t="str">
        <f t="shared" ref="K71:K134" ca="1" si="5">IF(J71="","",DATEDIF($J71,TODAY(),"Y"))</f>
        <v/>
      </c>
      <c r="L71" s="97" t="str">
        <f t="shared" ref="L71:L134" ca="1" si="6">IFERROR(DATEDIF($J71,TODAY(),"M")-($K71*12),"")</f>
        <v/>
      </c>
      <c r="M71" s="76"/>
      <c r="N71" s="76"/>
      <c r="O71" s="76"/>
      <c r="P71" s="76"/>
      <c r="Q71" s="76"/>
      <c r="R71" s="76"/>
      <c r="S71" s="104"/>
      <c r="T71" s="104"/>
      <c r="U71" s="106"/>
      <c r="V71" s="98" t="str">
        <f>IF(OR(G71="Sold",H71="Died"),IF(G71="Sold",VLOOKUP(B71,SALE!$B$5:$J$1000,6,0),IF(H71="Died",VLOOKUP(B71,MORTALITY!$B$5:$K$1000,5,0),"")),"")</f>
        <v/>
      </c>
      <c r="W71" s="76"/>
    </row>
    <row r="72" spans="1:23">
      <c r="A72" s="93">
        <f t="shared" si="3"/>
        <v>68</v>
      </c>
      <c r="B72" s="94"/>
      <c r="C72" s="76"/>
      <c r="D72" s="76"/>
      <c r="E72" s="76"/>
      <c r="F72" s="94" t="str">
        <f t="shared" ca="1" si="4"/>
        <v/>
      </c>
      <c r="G72" s="96" t="str">
        <f>IFERROR((IF((VLOOKUP(B72,SALE!$B$5:$B$1000,1,0))&gt;0,"Sold","")),"")</f>
        <v/>
      </c>
      <c r="H72" s="96" t="str">
        <f>IFERROR((IF((VLOOKUP(B72,MORTALITY!$B$5:$B$1000,1,0))&gt;0,"Died","")),"")</f>
        <v/>
      </c>
      <c r="I72" s="96" t="str">
        <f ca="1">IFERROR(
   IF(LOOKUP(2,1/((ILLNESS!$B$6:$B$1000=B72)*(ILLNESS!$L$6:$L$1000&lt;&gt;"")),
            ILLNESS!$L$6:$L$1000)="No",
      "Sick",""),
"")</f>
        <v/>
      </c>
      <c r="J72" s="104"/>
      <c r="K72" s="97" t="str">
        <f t="shared" ca="1" si="5"/>
        <v/>
      </c>
      <c r="L72" s="97" t="str">
        <f t="shared" ca="1" si="6"/>
        <v/>
      </c>
      <c r="M72" s="76"/>
      <c r="N72" s="76"/>
      <c r="O72" s="76"/>
      <c r="P72" s="76"/>
      <c r="Q72" s="76"/>
      <c r="R72" s="76"/>
      <c r="S72" s="104"/>
      <c r="T72" s="104"/>
      <c r="U72" s="106"/>
      <c r="V72" s="98" t="str">
        <f>IF(OR(G72="Sold",H72="Died"),IF(G72="Sold",VLOOKUP(B72,SALE!$B$5:$J$1000,6,0),IF(H72="Died",VLOOKUP(B72,MORTALITY!$B$5:$K$1000,5,0),"")),"")</f>
        <v/>
      </c>
      <c r="W72" s="76"/>
    </row>
    <row r="73" spans="1:23">
      <c r="A73" s="93">
        <f t="shared" ref="A73:A136" si="7">ROW(A69)</f>
        <v>69</v>
      </c>
      <c r="B73" s="94"/>
      <c r="C73" s="76"/>
      <c r="D73" s="76"/>
      <c r="E73" s="76"/>
      <c r="F73" s="94" t="str">
        <f t="shared" ca="1" si="4"/>
        <v/>
      </c>
      <c r="G73" s="96" t="str">
        <f>IFERROR((IF((VLOOKUP(B73,SALE!$B$5:$B$1000,1,0))&gt;0,"Sold","")),"")</f>
        <v/>
      </c>
      <c r="H73" s="96" t="str">
        <f>IFERROR((IF((VLOOKUP(B73,MORTALITY!$B$5:$B$1000,1,0))&gt;0,"Died","")),"")</f>
        <v/>
      </c>
      <c r="I73" s="96" t="str">
        <f ca="1">IFERROR(
   IF(LOOKUP(2,1/((ILLNESS!$B$6:$B$1000=B73)*(ILLNESS!$L$6:$L$1000&lt;&gt;"")),
            ILLNESS!$L$6:$L$1000)="No",
      "Sick",""),
"")</f>
        <v/>
      </c>
      <c r="J73" s="104"/>
      <c r="K73" s="97" t="str">
        <f t="shared" ca="1" si="5"/>
        <v/>
      </c>
      <c r="L73" s="97" t="str">
        <f t="shared" ca="1" si="6"/>
        <v/>
      </c>
      <c r="M73" s="76"/>
      <c r="N73" s="76"/>
      <c r="O73" s="76"/>
      <c r="P73" s="76"/>
      <c r="Q73" s="76"/>
      <c r="R73" s="76"/>
      <c r="S73" s="104"/>
      <c r="T73" s="104"/>
      <c r="U73" s="106"/>
      <c r="V73" s="98" t="str">
        <f>IF(OR(G73="Sold",H73="Died"),IF(G73="Sold",VLOOKUP(B73,SALE!$B$5:$J$1000,6,0),IF(H73="Died",VLOOKUP(B73,MORTALITY!$B$5:$K$1000,5,0),"")),"")</f>
        <v/>
      </c>
      <c r="W73" s="76"/>
    </row>
    <row r="74" spans="1:23">
      <c r="A74" s="93">
        <f t="shared" si="7"/>
        <v>70</v>
      </c>
      <c r="B74" s="94"/>
      <c r="C74" s="76"/>
      <c r="D74" s="76"/>
      <c r="E74" s="76"/>
      <c r="F74" s="94" t="str">
        <f t="shared" ca="1" si="4"/>
        <v/>
      </c>
      <c r="G74" s="96" t="str">
        <f>IFERROR((IF((VLOOKUP(B74,SALE!$B$5:$B$1000,1,0))&gt;0,"Sold","")),"")</f>
        <v/>
      </c>
      <c r="H74" s="96" t="str">
        <f>IFERROR((IF((VLOOKUP(B74,MORTALITY!$B$5:$B$1000,1,0))&gt;0,"Died","")),"")</f>
        <v/>
      </c>
      <c r="I74" s="96" t="str">
        <f ca="1">IFERROR(
   IF(LOOKUP(2,1/((ILLNESS!$B$6:$B$1000=B74)*(ILLNESS!$L$6:$L$1000&lt;&gt;"")),
            ILLNESS!$L$6:$L$1000)="No",
      "Sick",""),
"")</f>
        <v/>
      </c>
      <c r="J74" s="104"/>
      <c r="K74" s="97" t="str">
        <f t="shared" ca="1" si="5"/>
        <v/>
      </c>
      <c r="L74" s="97" t="str">
        <f t="shared" ca="1" si="6"/>
        <v/>
      </c>
      <c r="M74" s="76"/>
      <c r="N74" s="76"/>
      <c r="O74" s="76"/>
      <c r="P74" s="76"/>
      <c r="Q74" s="76"/>
      <c r="R74" s="76"/>
      <c r="S74" s="104"/>
      <c r="T74" s="104"/>
      <c r="U74" s="106"/>
      <c r="V74" s="98" t="str">
        <f>IF(OR(G74="Sold",H74="Died"),IF(G74="Sold",VLOOKUP(B74,SALE!$B$5:$J$1000,6,0),IF(H74="Died",VLOOKUP(B74,MORTALITY!$B$5:$K$1000,5,0),"")),"")</f>
        <v/>
      </c>
      <c r="W74" s="76"/>
    </row>
    <row r="75" spans="1:23">
      <c r="A75" s="93">
        <f t="shared" si="7"/>
        <v>71</v>
      </c>
      <c r="B75" s="94"/>
      <c r="C75" s="76"/>
      <c r="D75" s="76"/>
      <c r="E75" s="76"/>
      <c r="F75" s="94" t="str">
        <f t="shared" ca="1" si="4"/>
        <v/>
      </c>
      <c r="G75" s="96" t="str">
        <f>IFERROR((IF((VLOOKUP(B75,SALE!$B$5:$B$1000,1,0))&gt;0,"Sold","")),"")</f>
        <v/>
      </c>
      <c r="H75" s="96" t="str">
        <f>IFERROR((IF((VLOOKUP(B75,MORTALITY!$B$5:$B$1000,1,0))&gt;0,"Died","")),"")</f>
        <v/>
      </c>
      <c r="I75" s="96" t="str">
        <f ca="1">IFERROR(
   IF(LOOKUP(2,1/((ILLNESS!$B$6:$B$1000=B75)*(ILLNESS!$L$6:$L$1000&lt;&gt;"")),
            ILLNESS!$L$6:$L$1000)="No",
      "Sick",""),
"")</f>
        <v/>
      </c>
      <c r="J75" s="104"/>
      <c r="K75" s="97" t="str">
        <f t="shared" ca="1" si="5"/>
        <v/>
      </c>
      <c r="L75" s="97" t="str">
        <f t="shared" ca="1" si="6"/>
        <v/>
      </c>
      <c r="M75" s="76"/>
      <c r="N75" s="76"/>
      <c r="O75" s="76"/>
      <c r="P75" s="76"/>
      <c r="Q75" s="76"/>
      <c r="R75" s="76"/>
      <c r="S75" s="104"/>
      <c r="T75" s="104"/>
      <c r="U75" s="106"/>
      <c r="V75" s="98" t="str">
        <f>IF(OR(G75="Sold",H75="Died"),IF(G75="Sold",VLOOKUP(B75,SALE!$B$5:$J$1000,6,0),IF(H75="Died",VLOOKUP(B75,MORTALITY!$B$5:$K$1000,5,0),"")),"")</f>
        <v/>
      </c>
      <c r="W75" s="76"/>
    </row>
    <row r="76" spans="1:23">
      <c r="A76" s="93">
        <f t="shared" si="7"/>
        <v>72</v>
      </c>
      <c r="B76" s="94"/>
      <c r="C76" s="76"/>
      <c r="D76" s="76"/>
      <c r="E76" s="76"/>
      <c r="F76" s="94" t="str">
        <f t="shared" ca="1" si="4"/>
        <v/>
      </c>
      <c r="G76" s="96" t="str">
        <f>IFERROR((IF((VLOOKUP(B76,SALE!$B$5:$B$1000,1,0))&gt;0,"Sold","")),"")</f>
        <v/>
      </c>
      <c r="H76" s="96" t="str">
        <f>IFERROR((IF((VLOOKUP(B76,MORTALITY!$B$5:$B$1000,1,0))&gt;0,"Died","")),"")</f>
        <v/>
      </c>
      <c r="I76" s="96" t="str">
        <f ca="1">IFERROR(
   IF(LOOKUP(2,1/((ILLNESS!$B$6:$B$1000=B76)*(ILLNESS!$L$6:$L$1000&lt;&gt;"")),
            ILLNESS!$L$6:$L$1000)="No",
      "Sick",""),
"")</f>
        <v/>
      </c>
      <c r="J76" s="104"/>
      <c r="K76" s="97" t="str">
        <f t="shared" ca="1" si="5"/>
        <v/>
      </c>
      <c r="L76" s="97" t="str">
        <f t="shared" ca="1" si="6"/>
        <v/>
      </c>
      <c r="M76" s="76"/>
      <c r="N76" s="76"/>
      <c r="O76" s="76"/>
      <c r="P76" s="76"/>
      <c r="Q76" s="76"/>
      <c r="R76" s="76"/>
      <c r="S76" s="104"/>
      <c r="T76" s="104"/>
      <c r="U76" s="106"/>
      <c r="V76" s="98" t="str">
        <f>IF(OR(G76="Sold",H76="Died"),IF(G76="Sold",VLOOKUP(B76,SALE!$B$5:$J$1000,6,0),IF(H76="Died",VLOOKUP(B76,MORTALITY!$B$5:$K$1000,5,0),"")),"")</f>
        <v/>
      </c>
      <c r="W76" s="76"/>
    </row>
    <row r="77" spans="1:23">
      <c r="A77" s="93">
        <f t="shared" si="7"/>
        <v>73</v>
      </c>
      <c r="B77" s="94"/>
      <c r="C77" s="76"/>
      <c r="D77" s="76"/>
      <c r="E77" s="76"/>
      <c r="F77" s="94" t="str">
        <f t="shared" ca="1" si="4"/>
        <v/>
      </c>
      <c r="G77" s="96" t="str">
        <f>IFERROR((IF((VLOOKUP(B77,SALE!$B$5:$B$1000,1,0))&gt;0,"Sold","")),"")</f>
        <v/>
      </c>
      <c r="H77" s="96" t="str">
        <f>IFERROR((IF((VLOOKUP(B77,MORTALITY!$B$5:$B$1000,1,0))&gt;0,"Died","")),"")</f>
        <v/>
      </c>
      <c r="I77" s="96" t="str">
        <f ca="1">IFERROR(
   IF(LOOKUP(2,1/((ILLNESS!$B$6:$B$1000=B77)*(ILLNESS!$L$6:$L$1000&lt;&gt;"")),
            ILLNESS!$L$6:$L$1000)="No",
      "Sick",""),
"")</f>
        <v/>
      </c>
      <c r="J77" s="104"/>
      <c r="K77" s="97" t="str">
        <f t="shared" ca="1" si="5"/>
        <v/>
      </c>
      <c r="L77" s="97" t="str">
        <f t="shared" ca="1" si="6"/>
        <v/>
      </c>
      <c r="M77" s="76"/>
      <c r="N77" s="76"/>
      <c r="O77" s="76"/>
      <c r="P77" s="76"/>
      <c r="Q77" s="76"/>
      <c r="R77" s="76"/>
      <c r="S77" s="104"/>
      <c r="T77" s="104"/>
      <c r="U77" s="106"/>
      <c r="V77" s="98" t="str">
        <f>IF(OR(G77="Sold",H77="Died"),IF(G77="Sold",VLOOKUP(B77,SALE!$B$5:$J$1000,6,0),IF(H77="Died",VLOOKUP(B77,MORTALITY!$B$5:$K$1000,5,0),"")),"")</f>
        <v/>
      </c>
      <c r="W77" s="76"/>
    </row>
    <row r="78" spans="1:23">
      <c r="A78" s="93">
        <f t="shared" si="7"/>
        <v>74</v>
      </c>
      <c r="B78" s="94"/>
      <c r="C78" s="76"/>
      <c r="D78" s="76"/>
      <c r="E78" s="76"/>
      <c r="F78" s="94" t="str">
        <f t="shared" ca="1" si="4"/>
        <v/>
      </c>
      <c r="G78" s="96" t="str">
        <f>IFERROR((IF((VLOOKUP(B78,SALE!$B$5:$B$1000,1,0))&gt;0,"Sold","")),"")</f>
        <v/>
      </c>
      <c r="H78" s="96" t="str">
        <f>IFERROR((IF((VLOOKUP(B78,MORTALITY!$B$5:$B$1000,1,0))&gt;0,"Died","")),"")</f>
        <v/>
      </c>
      <c r="I78" s="96" t="str">
        <f ca="1">IFERROR(
   IF(LOOKUP(2,1/((ILLNESS!$B$6:$B$1000=B78)*(ILLNESS!$L$6:$L$1000&lt;&gt;"")),
            ILLNESS!$L$6:$L$1000)="No",
      "Sick",""),
"")</f>
        <v/>
      </c>
      <c r="J78" s="104"/>
      <c r="K78" s="97" t="str">
        <f t="shared" ca="1" si="5"/>
        <v/>
      </c>
      <c r="L78" s="97" t="str">
        <f t="shared" ca="1" si="6"/>
        <v/>
      </c>
      <c r="M78" s="76"/>
      <c r="N78" s="76"/>
      <c r="O78" s="76"/>
      <c r="P78" s="76"/>
      <c r="Q78" s="76"/>
      <c r="R78" s="76"/>
      <c r="S78" s="104"/>
      <c r="T78" s="104"/>
      <c r="U78" s="106"/>
      <c r="V78" s="98" t="str">
        <f>IF(OR(G78="Sold",H78="Died"),IF(G78="Sold",VLOOKUP(B78,SALE!$B$5:$J$1000,6,0),IF(H78="Died",VLOOKUP(B78,MORTALITY!$B$5:$K$1000,5,0),"")),"")</f>
        <v/>
      </c>
      <c r="W78" s="76"/>
    </row>
    <row r="79" spans="1:23">
      <c r="A79" s="93">
        <f t="shared" si="7"/>
        <v>75</v>
      </c>
      <c r="B79" s="94"/>
      <c r="C79" s="76"/>
      <c r="D79" s="76"/>
      <c r="E79" s="76"/>
      <c r="F79" s="94" t="str">
        <f t="shared" ca="1" si="4"/>
        <v/>
      </c>
      <c r="G79" s="96" t="str">
        <f>IFERROR((IF((VLOOKUP(B79,SALE!$B$5:$B$1000,1,0))&gt;0,"Sold","")),"")</f>
        <v/>
      </c>
      <c r="H79" s="96" t="str">
        <f>IFERROR((IF((VLOOKUP(B79,MORTALITY!$B$5:$B$1000,1,0))&gt;0,"Died","")),"")</f>
        <v/>
      </c>
      <c r="I79" s="96" t="str">
        <f ca="1">IFERROR(
   IF(LOOKUP(2,1/((ILLNESS!$B$6:$B$1000=B79)*(ILLNESS!$L$6:$L$1000&lt;&gt;"")),
            ILLNESS!$L$6:$L$1000)="No",
      "Sick",""),
"")</f>
        <v/>
      </c>
      <c r="J79" s="104"/>
      <c r="K79" s="97" t="str">
        <f t="shared" ca="1" si="5"/>
        <v/>
      </c>
      <c r="L79" s="97" t="str">
        <f t="shared" ca="1" si="6"/>
        <v/>
      </c>
      <c r="M79" s="76"/>
      <c r="N79" s="76"/>
      <c r="O79" s="76"/>
      <c r="P79" s="76"/>
      <c r="Q79" s="76"/>
      <c r="R79" s="76"/>
      <c r="S79" s="104"/>
      <c r="T79" s="104"/>
      <c r="U79" s="106"/>
      <c r="V79" s="98" t="str">
        <f>IF(OR(G79="Sold",H79="Died"),IF(G79="Sold",VLOOKUP(B79,SALE!$B$5:$J$1000,6,0),IF(H79="Died",VLOOKUP(B79,MORTALITY!$B$5:$K$1000,5,0),"")),"")</f>
        <v/>
      </c>
      <c r="W79" s="76"/>
    </row>
    <row r="80" spans="1:23">
      <c r="A80" s="93">
        <f t="shared" si="7"/>
        <v>76</v>
      </c>
      <c r="B80" s="94"/>
      <c r="C80" s="76"/>
      <c r="D80" s="76"/>
      <c r="E80" s="76"/>
      <c r="F80" s="94" t="str">
        <f t="shared" ca="1" si="4"/>
        <v/>
      </c>
      <c r="G80" s="96" t="str">
        <f>IFERROR((IF((VLOOKUP(B80,SALE!$B$5:$B$1000,1,0))&gt;0,"Sold","")),"")</f>
        <v/>
      </c>
      <c r="H80" s="96" t="str">
        <f>IFERROR((IF((VLOOKUP(B80,MORTALITY!$B$5:$B$1000,1,0))&gt;0,"Died","")),"")</f>
        <v/>
      </c>
      <c r="I80" s="96" t="str">
        <f ca="1">IFERROR(
   IF(LOOKUP(2,1/((ILLNESS!$B$6:$B$1000=B80)*(ILLNESS!$L$6:$L$1000&lt;&gt;"")),
            ILLNESS!$L$6:$L$1000)="No",
      "Sick",""),
"")</f>
        <v/>
      </c>
      <c r="J80" s="104"/>
      <c r="K80" s="97" t="str">
        <f t="shared" ca="1" si="5"/>
        <v/>
      </c>
      <c r="L80" s="97" t="str">
        <f t="shared" ca="1" si="6"/>
        <v/>
      </c>
      <c r="M80" s="76"/>
      <c r="N80" s="76"/>
      <c r="O80" s="76"/>
      <c r="P80" s="76"/>
      <c r="Q80" s="76"/>
      <c r="R80" s="76"/>
      <c r="S80" s="104"/>
      <c r="T80" s="104"/>
      <c r="U80" s="106"/>
      <c r="V80" s="98" t="str">
        <f>IF(OR(G80="Sold",H80="Died"),IF(G80="Sold",VLOOKUP(B80,SALE!$B$5:$J$1000,6,0),IF(H80="Died",VLOOKUP(B80,MORTALITY!$B$5:$K$1000,5,0),"")),"")</f>
        <v/>
      </c>
      <c r="W80" s="76"/>
    </row>
    <row r="81" spans="1:23">
      <c r="A81" s="93">
        <f t="shared" si="7"/>
        <v>77</v>
      </c>
      <c r="B81" s="94"/>
      <c r="C81" s="76"/>
      <c r="D81" s="76"/>
      <c r="E81" s="76"/>
      <c r="F81" s="94" t="str">
        <f t="shared" ca="1" si="4"/>
        <v/>
      </c>
      <c r="G81" s="96" t="str">
        <f>IFERROR((IF((VLOOKUP(B81,SALE!$B$5:$B$1000,1,0))&gt;0,"Sold","")),"")</f>
        <v/>
      </c>
      <c r="H81" s="96" t="str">
        <f>IFERROR((IF((VLOOKUP(B81,MORTALITY!$B$5:$B$1000,1,0))&gt;0,"Died","")),"")</f>
        <v/>
      </c>
      <c r="I81" s="96" t="str">
        <f ca="1">IFERROR(
   IF(LOOKUP(2,1/((ILLNESS!$B$6:$B$1000=B81)*(ILLNESS!$L$6:$L$1000&lt;&gt;"")),
            ILLNESS!$L$6:$L$1000)="No",
      "Sick",""),
"")</f>
        <v/>
      </c>
      <c r="J81" s="104"/>
      <c r="K81" s="97" t="str">
        <f t="shared" ca="1" si="5"/>
        <v/>
      </c>
      <c r="L81" s="97" t="str">
        <f t="shared" ca="1" si="6"/>
        <v/>
      </c>
      <c r="M81" s="76"/>
      <c r="N81" s="76"/>
      <c r="O81" s="76"/>
      <c r="P81" s="76"/>
      <c r="Q81" s="76"/>
      <c r="R81" s="76"/>
      <c r="S81" s="104"/>
      <c r="T81" s="104"/>
      <c r="U81" s="106"/>
      <c r="V81" s="98" t="str">
        <f>IF(OR(G81="Sold",H81="Died"),IF(G81="Sold",VLOOKUP(B81,SALE!$B$5:$J$1000,6,0),IF(H81="Died",VLOOKUP(B81,MORTALITY!$B$5:$K$1000,5,0),"")),"")</f>
        <v/>
      </c>
      <c r="W81" s="76"/>
    </row>
    <row r="82" spans="1:23">
      <c r="A82" s="93">
        <f t="shared" si="7"/>
        <v>78</v>
      </c>
      <c r="B82" s="94"/>
      <c r="C82" s="76"/>
      <c r="D82" s="76"/>
      <c r="E82" s="76"/>
      <c r="F82" s="94" t="str">
        <f t="shared" ca="1" si="4"/>
        <v/>
      </c>
      <c r="G82" s="96" t="str">
        <f>IFERROR((IF((VLOOKUP(B82,SALE!$B$5:$B$1000,1,0))&gt;0,"Sold","")),"")</f>
        <v/>
      </c>
      <c r="H82" s="96" t="str">
        <f>IFERROR((IF((VLOOKUP(B82,MORTALITY!$B$5:$B$1000,1,0))&gt;0,"Died","")),"")</f>
        <v/>
      </c>
      <c r="I82" s="96" t="str">
        <f ca="1">IFERROR(
   IF(LOOKUP(2,1/((ILLNESS!$B$6:$B$1000=B82)*(ILLNESS!$L$6:$L$1000&lt;&gt;"")),
            ILLNESS!$L$6:$L$1000)="No",
      "Sick",""),
"")</f>
        <v/>
      </c>
      <c r="J82" s="104"/>
      <c r="K82" s="97" t="str">
        <f t="shared" ca="1" si="5"/>
        <v/>
      </c>
      <c r="L82" s="97" t="str">
        <f t="shared" ca="1" si="6"/>
        <v/>
      </c>
      <c r="M82" s="76"/>
      <c r="N82" s="76"/>
      <c r="O82" s="76"/>
      <c r="P82" s="76"/>
      <c r="Q82" s="76"/>
      <c r="R82" s="76"/>
      <c r="S82" s="104"/>
      <c r="T82" s="104"/>
      <c r="U82" s="106"/>
      <c r="V82" s="98" t="str">
        <f>IF(OR(G82="Sold",H82="Died"),IF(G82="Sold",VLOOKUP(B82,SALE!$B$5:$J$1000,6,0),IF(H82="Died",VLOOKUP(B82,MORTALITY!$B$5:$K$1000,5,0),"")),"")</f>
        <v/>
      </c>
      <c r="W82" s="76"/>
    </row>
    <row r="83" spans="1:23">
      <c r="A83" s="93">
        <f t="shared" si="7"/>
        <v>79</v>
      </c>
      <c r="B83" s="94"/>
      <c r="C83" s="76"/>
      <c r="D83" s="76"/>
      <c r="E83" s="76"/>
      <c r="F83" s="94" t="str">
        <f t="shared" ca="1" si="4"/>
        <v/>
      </c>
      <c r="G83" s="96" t="str">
        <f>IFERROR((IF((VLOOKUP(B83,SALE!$B$5:$B$1000,1,0))&gt;0,"Sold","")),"")</f>
        <v/>
      </c>
      <c r="H83" s="96" t="str">
        <f>IFERROR((IF((VLOOKUP(B83,MORTALITY!$B$5:$B$1000,1,0))&gt;0,"Died","")),"")</f>
        <v/>
      </c>
      <c r="I83" s="96" t="str">
        <f ca="1">IFERROR(
   IF(LOOKUP(2,1/((ILLNESS!$B$6:$B$1000=B83)*(ILLNESS!$L$6:$L$1000&lt;&gt;"")),
            ILLNESS!$L$6:$L$1000)="No",
      "Sick",""),
"")</f>
        <v/>
      </c>
      <c r="J83" s="104"/>
      <c r="K83" s="97" t="str">
        <f t="shared" ca="1" si="5"/>
        <v/>
      </c>
      <c r="L83" s="97" t="str">
        <f t="shared" ca="1" si="6"/>
        <v/>
      </c>
      <c r="M83" s="76"/>
      <c r="N83" s="76"/>
      <c r="O83" s="76"/>
      <c r="P83" s="76"/>
      <c r="Q83" s="76"/>
      <c r="R83" s="76"/>
      <c r="S83" s="104"/>
      <c r="T83" s="104"/>
      <c r="U83" s="106"/>
      <c r="V83" s="98" t="str">
        <f>IF(OR(G83="Sold",H83="Died"),IF(G83="Sold",VLOOKUP(B83,SALE!$B$5:$J$1000,6,0),IF(H83="Died",VLOOKUP(B83,MORTALITY!$B$5:$K$1000,5,0),"")),"")</f>
        <v/>
      </c>
      <c r="W83" s="76"/>
    </row>
    <row r="84" spans="1:23">
      <c r="A84" s="93">
        <f t="shared" si="7"/>
        <v>80</v>
      </c>
      <c r="B84" s="94"/>
      <c r="C84" s="76"/>
      <c r="D84" s="76"/>
      <c r="E84" s="76"/>
      <c r="F84" s="94" t="str">
        <f t="shared" ca="1" si="4"/>
        <v/>
      </c>
      <c r="G84" s="96" t="str">
        <f>IFERROR((IF((VLOOKUP(B84,SALE!$B$5:$B$1000,1,0))&gt;0,"Sold","")),"")</f>
        <v/>
      </c>
      <c r="H84" s="96" t="str">
        <f>IFERROR((IF((VLOOKUP(B84,MORTALITY!$B$5:$B$1000,1,0))&gt;0,"Died","")),"")</f>
        <v/>
      </c>
      <c r="I84" s="96" t="str">
        <f ca="1">IFERROR(
   IF(LOOKUP(2,1/((ILLNESS!$B$6:$B$1000=B84)*(ILLNESS!$L$6:$L$1000&lt;&gt;"")),
            ILLNESS!$L$6:$L$1000)="No",
      "Sick",""),
"")</f>
        <v/>
      </c>
      <c r="J84" s="104"/>
      <c r="K84" s="97" t="str">
        <f t="shared" ca="1" si="5"/>
        <v/>
      </c>
      <c r="L84" s="97" t="str">
        <f t="shared" ca="1" si="6"/>
        <v/>
      </c>
      <c r="M84" s="76"/>
      <c r="N84" s="76"/>
      <c r="O84" s="76"/>
      <c r="P84" s="76"/>
      <c r="Q84" s="76"/>
      <c r="R84" s="76"/>
      <c r="S84" s="104"/>
      <c r="T84" s="104"/>
      <c r="U84" s="106"/>
      <c r="V84" s="98" t="str">
        <f>IF(OR(G84="Sold",H84="Died"),IF(G84="Sold",VLOOKUP(B84,SALE!$B$5:$J$1000,6,0),IF(H84="Died",VLOOKUP(B84,MORTALITY!$B$5:$K$1000,5,0),"")),"")</f>
        <v/>
      </c>
      <c r="W84" s="76"/>
    </row>
    <row r="85" spans="1:23">
      <c r="A85" s="93">
        <f t="shared" si="7"/>
        <v>81</v>
      </c>
      <c r="B85" s="94"/>
      <c r="C85" s="76"/>
      <c r="D85" s="76"/>
      <c r="E85" s="76"/>
      <c r="F85" s="94" t="str">
        <f t="shared" ca="1" si="4"/>
        <v/>
      </c>
      <c r="G85" s="96" t="str">
        <f>IFERROR((IF((VLOOKUP(B85,SALE!$B$5:$B$1000,1,0))&gt;0,"Sold","")),"")</f>
        <v/>
      </c>
      <c r="H85" s="96" t="str">
        <f>IFERROR((IF((VLOOKUP(B85,MORTALITY!$B$5:$B$1000,1,0))&gt;0,"Died","")),"")</f>
        <v/>
      </c>
      <c r="I85" s="96" t="str">
        <f ca="1">IFERROR(
   IF(LOOKUP(2,1/((ILLNESS!$B$6:$B$1000=B85)*(ILLNESS!$L$6:$L$1000&lt;&gt;"")),
            ILLNESS!$L$6:$L$1000)="No",
      "Sick",""),
"")</f>
        <v/>
      </c>
      <c r="J85" s="104"/>
      <c r="K85" s="97" t="str">
        <f t="shared" ca="1" si="5"/>
        <v/>
      </c>
      <c r="L85" s="97" t="str">
        <f t="shared" ca="1" si="6"/>
        <v/>
      </c>
      <c r="M85" s="76"/>
      <c r="N85" s="76"/>
      <c r="O85" s="76"/>
      <c r="P85" s="76"/>
      <c r="Q85" s="76"/>
      <c r="R85" s="76"/>
      <c r="S85" s="104"/>
      <c r="T85" s="104"/>
      <c r="U85" s="106"/>
      <c r="V85" s="98" t="str">
        <f>IF(OR(G85="Sold",H85="Died"),IF(G85="Sold",VLOOKUP(B85,SALE!$B$5:$J$1000,6,0),IF(H85="Died",VLOOKUP(B85,MORTALITY!$B$5:$K$1000,5,0),"")),"")</f>
        <v/>
      </c>
      <c r="W85" s="76"/>
    </row>
    <row r="86" spans="1:23">
      <c r="A86" s="93">
        <f t="shared" si="7"/>
        <v>82</v>
      </c>
      <c r="B86" s="94"/>
      <c r="C86" s="76"/>
      <c r="D86" s="76"/>
      <c r="E86" s="76"/>
      <c r="F86" s="94" t="str">
        <f t="shared" ca="1" si="4"/>
        <v/>
      </c>
      <c r="G86" s="96" t="str">
        <f>IFERROR((IF((VLOOKUP(B86,SALE!$B$5:$B$1000,1,0))&gt;0,"Sold","")),"")</f>
        <v/>
      </c>
      <c r="H86" s="96" t="str">
        <f>IFERROR((IF((VLOOKUP(B86,MORTALITY!$B$5:$B$1000,1,0))&gt;0,"Died","")),"")</f>
        <v/>
      </c>
      <c r="I86" s="96" t="str">
        <f ca="1">IFERROR(
   IF(LOOKUP(2,1/((ILLNESS!$B$6:$B$1000=B86)*(ILLNESS!$L$6:$L$1000&lt;&gt;"")),
            ILLNESS!$L$6:$L$1000)="No",
      "Sick",""),
"")</f>
        <v/>
      </c>
      <c r="J86" s="104"/>
      <c r="K86" s="97" t="str">
        <f t="shared" ca="1" si="5"/>
        <v/>
      </c>
      <c r="L86" s="97" t="str">
        <f t="shared" ca="1" si="6"/>
        <v/>
      </c>
      <c r="M86" s="76"/>
      <c r="N86" s="76"/>
      <c r="O86" s="76"/>
      <c r="P86" s="76"/>
      <c r="Q86" s="76"/>
      <c r="R86" s="76"/>
      <c r="S86" s="104"/>
      <c r="T86" s="104"/>
      <c r="U86" s="106"/>
      <c r="V86" s="98" t="str">
        <f>IF(OR(G86="Sold",H86="Died"),IF(G86="Sold",VLOOKUP(B86,SALE!$B$5:$J$1000,6,0),IF(H86="Died",VLOOKUP(B86,MORTALITY!$B$5:$K$1000,5,0),"")),"")</f>
        <v/>
      </c>
      <c r="W86" s="76"/>
    </row>
    <row r="87" spans="1:23">
      <c r="A87" s="93">
        <f t="shared" si="7"/>
        <v>83</v>
      </c>
      <c r="B87" s="94"/>
      <c r="C87" s="76"/>
      <c r="D87" s="76"/>
      <c r="E87" s="76"/>
      <c r="F87" s="94" t="str">
        <f t="shared" ca="1" si="4"/>
        <v/>
      </c>
      <c r="G87" s="96" t="str">
        <f>IFERROR((IF((VLOOKUP(B87,SALE!$B$5:$B$1000,1,0))&gt;0,"Sold","")),"")</f>
        <v/>
      </c>
      <c r="H87" s="96" t="str">
        <f>IFERROR((IF((VLOOKUP(B87,MORTALITY!$B$5:$B$1000,1,0))&gt;0,"Died","")),"")</f>
        <v/>
      </c>
      <c r="I87" s="96" t="str">
        <f ca="1">IFERROR(
   IF(LOOKUP(2,1/((ILLNESS!$B$6:$B$1000=B87)*(ILLNESS!$L$6:$L$1000&lt;&gt;"")),
            ILLNESS!$L$6:$L$1000)="No",
      "Sick",""),
"")</f>
        <v/>
      </c>
      <c r="J87" s="104"/>
      <c r="K87" s="97" t="str">
        <f t="shared" ca="1" si="5"/>
        <v/>
      </c>
      <c r="L87" s="97" t="str">
        <f t="shared" ca="1" si="6"/>
        <v/>
      </c>
      <c r="M87" s="76"/>
      <c r="N87" s="76"/>
      <c r="O87" s="76"/>
      <c r="P87" s="76"/>
      <c r="Q87" s="76"/>
      <c r="R87" s="76"/>
      <c r="S87" s="104"/>
      <c r="T87" s="104"/>
      <c r="U87" s="106"/>
      <c r="V87" s="98" t="str">
        <f>IF(OR(G87="Sold",H87="Died"),IF(G87="Sold",VLOOKUP(B87,SALE!$B$5:$J$1000,6,0),IF(H87="Died",VLOOKUP(B87,MORTALITY!$B$5:$K$1000,5,0),"")),"")</f>
        <v/>
      </c>
      <c r="W87" s="76"/>
    </row>
    <row r="88" spans="1:23">
      <c r="A88" s="93">
        <f t="shared" si="7"/>
        <v>84</v>
      </c>
      <c r="B88" s="94"/>
      <c r="C88" s="76"/>
      <c r="D88" s="76"/>
      <c r="E88" s="76"/>
      <c r="F88" s="94" t="str">
        <f t="shared" ca="1" si="4"/>
        <v/>
      </c>
      <c r="G88" s="96" t="str">
        <f>IFERROR((IF((VLOOKUP(B88,SALE!$B$5:$B$1000,1,0))&gt;0,"Sold","")),"")</f>
        <v/>
      </c>
      <c r="H88" s="96" t="str">
        <f>IFERROR((IF((VLOOKUP(B88,MORTALITY!$B$5:$B$1000,1,0))&gt;0,"Died","")),"")</f>
        <v/>
      </c>
      <c r="I88" s="96" t="str">
        <f ca="1">IFERROR(
   IF(LOOKUP(2,1/((ILLNESS!$B$6:$B$1000=B88)*(ILLNESS!$L$6:$L$1000&lt;&gt;"")),
            ILLNESS!$L$6:$L$1000)="No",
      "Sick",""),
"")</f>
        <v/>
      </c>
      <c r="J88" s="104"/>
      <c r="K88" s="97" t="str">
        <f t="shared" ca="1" si="5"/>
        <v/>
      </c>
      <c r="L88" s="97" t="str">
        <f t="shared" ca="1" si="6"/>
        <v/>
      </c>
      <c r="M88" s="76"/>
      <c r="N88" s="76"/>
      <c r="O88" s="76"/>
      <c r="P88" s="76"/>
      <c r="Q88" s="76"/>
      <c r="R88" s="76"/>
      <c r="S88" s="104"/>
      <c r="T88" s="104"/>
      <c r="U88" s="106"/>
      <c r="V88" s="98" t="str">
        <f>IF(OR(G88="Sold",H88="Died"),IF(G88="Sold",VLOOKUP(B88,SALE!$B$5:$J$1000,6,0),IF(H88="Died",VLOOKUP(B88,MORTALITY!$B$5:$K$1000,5,0),"")),"")</f>
        <v/>
      </c>
      <c r="W88" s="76"/>
    </row>
    <row r="89" spans="1:23">
      <c r="A89" s="93">
        <f t="shared" si="7"/>
        <v>85</v>
      </c>
      <c r="B89" s="94"/>
      <c r="C89" s="76"/>
      <c r="D89" s="76"/>
      <c r="E89" s="76"/>
      <c r="F89" s="94" t="str">
        <f t="shared" ca="1" si="4"/>
        <v/>
      </c>
      <c r="G89" s="96" t="str">
        <f>IFERROR((IF((VLOOKUP(B89,SALE!$B$5:$B$1000,1,0))&gt;0,"Sold","")),"")</f>
        <v/>
      </c>
      <c r="H89" s="96" t="str">
        <f>IFERROR((IF((VLOOKUP(B89,MORTALITY!$B$5:$B$1000,1,0))&gt;0,"Died","")),"")</f>
        <v/>
      </c>
      <c r="I89" s="96" t="str">
        <f ca="1">IFERROR(
   IF(LOOKUP(2,1/((ILLNESS!$B$6:$B$1000=B89)*(ILLNESS!$L$6:$L$1000&lt;&gt;"")),
            ILLNESS!$L$6:$L$1000)="No",
      "Sick",""),
"")</f>
        <v/>
      </c>
      <c r="J89" s="104"/>
      <c r="K89" s="97" t="str">
        <f t="shared" ca="1" si="5"/>
        <v/>
      </c>
      <c r="L89" s="97" t="str">
        <f t="shared" ca="1" si="6"/>
        <v/>
      </c>
      <c r="M89" s="76"/>
      <c r="N89" s="76"/>
      <c r="O89" s="76"/>
      <c r="P89" s="76"/>
      <c r="Q89" s="76"/>
      <c r="R89" s="76"/>
      <c r="S89" s="104"/>
      <c r="T89" s="104"/>
      <c r="U89" s="106"/>
      <c r="V89" s="98" t="str">
        <f>IF(OR(G89="Sold",H89="Died"),IF(G89="Sold",VLOOKUP(B89,SALE!$B$5:$J$1000,6,0),IF(H89="Died",VLOOKUP(B89,MORTALITY!$B$5:$K$1000,5,0),"")),"")</f>
        <v/>
      </c>
      <c r="W89" s="76"/>
    </row>
    <row r="90" spans="1:23">
      <c r="A90" s="93">
        <f t="shared" si="7"/>
        <v>86</v>
      </c>
      <c r="B90" s="94"/>
      <c r="C90" s="76"/>
      <c r="D90" s="76"/>
      <c r="E90" s="76"/>
      <c r="F90" s="94" t="str">
        <f t="shared" ca="1" si="4"/>
        <v/>
      </c>
      <c r="G90" s="96" t="str">
        <f>IFERROR((IF((VLOOKUP(B90,SALE!$B$5:$B$1000,1,0))&gt;0,"Sold","")),"")</f>
        <v/>
      </c>
      <c r="H90" s="96" t="str">
        <f>IFERROR((IF((VLOOKUP(B90,MORTALITY!$B$5:$B$1000,1,0))&gt;0,"Died","")),"")</f>
        <v/>
      </c>
      <c r="I90" s="96" t="str">
        <f ca="1">IFERROR(
   IF(LOOKUP(2,1/((ILLNESS!$B$6:$B$1000=B90)*(ILLNESS!$L$6:$L$1000&lt;&gt;"")),
            ILLNESS!$L$6:$L$1000)="No",
      "Sick",""),
"")</f>
        <v/>
      </c>
      <c r="J90" s="104"/>
      <c r="K90" s="97" t="str">
        <f t="shared" ca="1" si="5"/>
        <v/>
      </c>
      <c r="L90" s="97" t="str">
        <f t="shared" ca="1" si="6"/>
        <v/>
      </c>
      <c r="M90" s="76"/>
      <c r="N90" s="76"/>
      <c r="O90" s="76"/>
      <c r="P90" s="76"/>
      <c r="Q90" s="76"/>
      <c r="R90" s="76"/>
      <c r="S90" s="104"/>
      <c r="T90" s="104"/>
      <c r="U90" s="106"/>
      <c r="V90" s="98" t="str">
        <f>IF(OR(G90="Sold",H90="Died"),IF(G90="Sold",VLOOKUP(B90,SALE!$B$5:$J$1000,6,0),IF(H90="Died",VLOOKUP(B90,MORTALITY!$B$5:$K$1000,5,0),"")),"")</f>
        <v/>
      </c>
      <c r="W90" s="76"/>
    </row>
    <row r="91" spans="1:23">
      <c r="A91" s="93">
        <f t="shared" si="7"/>
        <v>87</v>
      </c>
      <c r="B91" s="94"/>
      <c r="C91" s="76"/>
      <c r="D91" s="76"/>
      <c r="E91" s="76"/>
      <c r="F91" s="94" t="str">
        <f t="shared" ca="1" si="4"/>
        <v/>
      </c>
      <c r="G91" s="96" t="str">
        <f>IFERROR((IF((VLOOKUP(B91,SALE!$B$5:$B$1000,1,0))&gt;0,"Sold","")),"")</f>
        <v/>
      </c>
      <c r="H91" s="96" t="str">
        <f>IFERROR((IF((VLOOKUP(B91,MORTALITY!$B$5:$B$1000,1,0))&gt;0,"Died","")),"")</f>
        <v/>
      </c>
      <c r="I91" s="96" t="str">
        <f ca="1">IFERROR(
   IF(LOOKUP(2,1/((ILLNESS!$B$6:$B$1000=B91)*(ILLNESS!$L$6:$L$1000&lt;&gt;"")),
            ILLNESS!$L$6:$L$1000)="No",
      "Sick",""),
"")</f>
        <v/>
      </c>
      <c r="J91" s="104"/>
      <c r="K91" s="97" t="str">
        <f t="shared" ca="1" si="5"/>
        <v/>
      </c>
      <c r="L91" s="97" t="str">
        <f t="shared" ca="1" si="6"/>
        <v/>
      </c>
      <c r="M91" s="76"/>
      <c r="N91" s="76"/>
      <c r="O91" s="76"/>
      <c r="P91" s="76"/>
      <c r="Q91" s="76"/>
      <c r="R91" s="76"/>
      <c r="S91" s="104"/>
      <c r="T91" s="104"/>
      <c r="U91" s="106"/>
      <c r="V91" s="98" t="str">
        <f>IF(OR(G91="Sold",H91="Died"),IF(G91="Sold",VLOOKUP(B91,SALE!$B$5:$J$1000,6,0),IF(H91="Died",VLOOKUP(B91,MORTALITY!$B$5:$K$1000,5,0),"")),"")</f>
        <v/>
      </c>
      <c r="W91" s="76"/>
    </row>
    <row r="92" spans="1:23">
      <c r="A92" s="93">
        <f t="shared" si="7"/>
        <v>88</v>
      </c>
      <c r="B92" s="94"/>
      <c r="C92" s="76"/>
      <c r="D92" s="76"/>
      <c r="E92" s="76"/>
      <c r="F92" s="94" t="str">
        <f t="shared" ca="1" si="4"/>
        <v/>
      </c>
      <c r="G92" s="96" t="str">
        <f>IFERROR((IF((VLOOKUP(B92,SALE!$B$5:$B$1000,1,0))&gt;0,"Sold","")),"")</f>
        <v/>
      </c>
      <c r="H92" s="96" t="str">
        <f>IFERROR((IF((VLOOKUP(B92,MORTALITY!$B$5:$B$1000,1,0))&gt;0,"Died","")),"")</f>
        <v/>
      </c>
      <c r="I92" s="96" t="str">
        <f ca="1">IFERROR(
   IF(LOOKUP(2,1/((ILLNESS!$B$6:$B$1000=B92)*(ILLNESS!$L$6:$L$1000&lt;&gt;"")),
            ILLNESS!$L$6:$L$1000)="No",
      "Sick",""),
"")</f>
        <v/>
      </c>
      <c r="J92" s="104"/>
      <c r="K92" s="97" t="str">
        <f t="shared" ca="1" si="5"/>
        <v/>
      </c>
      <c r="L92" s="97" t="str">
        <f t="shared" ca="1" si="6"/>
        <v/>
      </c>
      <c r="M92" s="76"/>
      <c r="N92" s="76"/>
      <c r="O92" s="76"/>
      <c r="P92" s="76"/>
      <c r="Q92" s="76"/>
      <c r="R92" s="76"/>
      <c r="S92" s="104"/>
      <c r="T92" s="104"/>
      <c r="U92" s="106"/>
      <c r="V92" s="98" t="str">
        <f>IF(OR(G92="Sold",H92="Died"),IF(G92="Sold",VLOOKUP(B92,SALE!$B$5:$J$1000,6,0),IF(H92="Died",VLOOKUP(B92,MORTALITY!$B$5:$K$1000,5,0),"")),"")</f>
        <v/>
      </c>
      <c r="W92" s="76"/>
    </row>
    <row r="93" spans="1:23">
      <c r="A93" s="93">
        <f t="shared" si="7"/>
        <v>89</v>
      </c>
      <c r="B93" s="94"/>
      <c r="C93" s="76"/>
      <c r="D93" s="76"/>
      <c r="E93" s="76"/>
      <c r="F93" s="94" t="str">
        <f t="shared" ca="1" si="4"/>
        <v/>
      </c>
      <c r="G93" s="96" t="str">
        <f>IFERROR((IF((VLOOKUP(B93,SALE!$B$5:$B$1000,1,0))&gt;0,"Sold","")),"")</f>
        <v/>
      </c>
      <c r="H93" s="96" t="str">
        <f>IFERROR((IF((VLOOKUP(B93,MORTALITY!$B$5:$B$1000,1,0))&gt;0,"Died","")),"")</f>
        <v/>
      </c>
      <c r="I93" s="96" t="str">
        <f ca="1">IFERROR(
   IF(LOOKUP(2,1/((ILLNESS!$B$6:$B$1000=B93)*(ILLNESS!$L$6:$L$1000&lt;&gt;"")),
            ILLNESS!$L$6:$L$1000)="No",
      "Sick",""),
"")</f>
        <v/>
      </c>
      <c r="J93" s="104"/>
      <c r="K93" s="97" t="str">
        <f t="shared" ca="1" si="5"/>
        <v/>
      </c>
      <c r="L93" s="97" t="str">
        <f t="shared" ca="1" si="6"/>
        <v/>
      </c>
      <c r="M93" s="76"/>
      <c r="N93" s="76"/>
      <c r="O93" s="76"/>
      <c r="P93" s="76"/>
      <c r="Q93" s="76"/>
      <c r="R93" s="76"/>
      <c r="S93" s="104"/>
      <c r="T93" s="104"/>
      <c r="U93" s="106"/>
      <c r="V93" s="98" t="str">
        <f>IF(OR(G93="Sold",H93="Died"),IF(G93="Sold",VLOOKUP(B93,SALE!$B$5:$J$1000,6,0),IF(H93="Died",VLOOKUP(B93,MORTALITY!$B$5:$K$1000,5,0),"")),"")</f>
        <v/>
      </c>
      <c r="W93" s="76"/>
    </row>
    <row r="94" spans="1:23">
      <c r="A94" s="93">
        <f t="shared" si="7"/>
        <v>90</v>
      </c>
      <c r="B94" s="94"/>
      <c r="C94" s="76"/>
      <c r="D94" s="76"/>
      <c r="E94" s="76"/>
      <c r="F94" s="94" t="str">
        <f t="shared" ca="1" si="4"/>
        <v/>
      </c>
      <c r="G94" s="96" t="str">
        <f>IFERROR((IF((VLOOKUP(B94,SALE!$B$5:$B$1000,1,0))&gt;0,"Sold","")),"")</f>
        <v/>
      </c>
      <c r="H94" s="96" t="str">
        <f>IFERROR((IF((VLOOKUP(B94,MORTALITY!$B$5:$B$1000,1,0))&gt;0,"Died","")),"")</f>
        <v/>
      </c>
      <c r="I94" s="96" t="str">
        <f ca="1">IFERROR(
   IF(LOOKUP(2,1/((ILLNESS!$B$6:$B$1000=B94)*(ILLNESS!$L$6:$L$1000&lt;&gt;"")),
            ILLNESS!$L$6:$L$1000)="No",
      "Sick",""),
"")</f>
        <v/>
      </c>
      <c r="J94" s="104"/>
      <c r="K94" s="97" t="str">
        <f t="shared" ca="1" si="5"/>
        <v/>
      </c>
      <c r="L94" s="97" t="str">
        <f t="shared" ca="1" si="6"/>
        <v/>
      </c>
      <c r="M94" s="76"/>
      <c r="N94" s="76"/>
      <c r="O94" s="76"/>
      <c r="P94" s="76"/>
      <c r="Q94" s="76"/>
      <c r="R94" s="76"/>
      <c r="S94" s="104"/>
      <c r="T94" s="104"/>
      <c r="U94" s="106"/>
      <c r="V94" s="98" t="str">
        <f>IF(OR(G94="Sold",H94="Died"),IF(G94="Sold",VLOOKUP(B94,SALE!$B$5:$J$1000,6,0),IF(H94="Died",VLOOKUP(B94,MORTALITY!$B$5:$K$1000,5,0),"")),"")</f>
        <v/>
      </c>
      <c r="W94" s="76"/>
    </row>
    <row r="95" spans="1:23">
      <c r="A95" s="93">
        <f t="shared" si="7"/>
        <v>91</v>
      </c>
      <c r="B95" s="94"/>
      <c r="C95" s="76"/>
      <c r="D95" s="76"/>
      <c r="E95" s="76"/>
      <c r="F95" s="94" t="str">
        <f t="shared" ca="1" si="4"/>
        <v/>
      </c>
      <c r="G95" s="96" t="str">
        <f>IFERROR((IF((VLOOKUP(B95,SALE!$B$5:$B$1000,1,0))&gt;0,"Sold","")),"")</f>
        <v/>
      </c>
      <c r="H95" s="96" t="str">
        <f>IFERROR((IF((VLOOKUP(B95,MORTALITY!$B$5:$B$1000,1,0))&gt;0,"Died","")),"")</f>
        <v/>
      </c>
      <c r="I95" s="96" t="str">
        <f ca="1">IFERROR(
   IF(LOOKUP(2,1/((ILLNESS!$B$6:$B$1000=B95)*(ILLNESS!$L$6:$L$1000&lt;&gt;"")),
            ILLNESS!$L$6:$L$1000)="No",
      "Sick",""),
"")</f>
        <v/>
      </c>
      <c r="J95" s="104"/>
      <c r="K95" s="97" t="str">
        <f t="shared" ca="1" si="5"/>
        <v/>
      </c>
      <c r="L95" s="97" t="str">
        <f t="shared" ca="1" si="6"/>
        <v/>
      </c>
      <c r="M95" s="76"/>
      <c r="N95" s="76"/>
      <c r="O95" s="76"/>
      <c r="P95" s="76"/>
      <c r="Q95" s="76"/>
      <c r="R95" s="76"/>
      <c r="S95" s="104"/>
      <c r="T95" s="104"/>
      <c r="U95" s="106"/>
      <c r="V95" s="98" t="str">
        <f>IF(OR(G95="Sold",H95="Died"),IF(G95="Sold",VLOOKUP(B95,SALE!$B$5:$J$1000,6,0),IF(H95="Died",VLOOKUP(B95,MORTALITY!$B$5:$K$1000,5,0),"")),"")</f>
        <v/>
      </c>
      <c r="W95" s="76"/>
    </row>
    <row r="96" spans="1:23">
      <c r="A96" s="93">
        <f t="shared" si="7"/>
        <v>92</v>
      </c>
      <c r="B96" s="94"/>
      <c r="C96" s="76"/>
      <c r="D96" s="76"/>
      <c r="E96" s="76"/>
      <c r="F96" s="94" t="str">
        <f t="shared" ca="1" si="4"/>
        <v/>
      </c>
      <c r="G96" s="96" t="str">
        <f>IFERROR((IF((VLOOKUP(B96,SALE!$B$5:$B$1000,1,0))&gt;0,"Sold","")),"")</f>
        <v/>
      </c>
      <c r="H96" s="96" t="str">
        <f>IFERROR((IF((VLOOKUP(B96,MORTALITY!$B$5:$B$1000,1,0))&gt;0,"Died","")),"")</f>
        <v/>
      </c>
      <c r="I96" s="96" t="str">
        <f ca="1">IFERROR(
   IF(LOOKUP(2,1/((ILLNESS!$B$6:$B$1000=B96)*(ILLNESS!$L$6:$L$1000&lt;&gt;"")),
            ILLNESS!$L$6:$L$1000)="No",
      "Sick",""),
"")</f>
        <v/>
      </c>
      <c r="J96" s="104"/>
      <c r="K96" s="97" t="str">
        <f t="shared" ca="1" si="5"/>
        <v/>
      </c>
      <c r="L96" s="97" t="str">
        <f t="shared" ca="1" si="6"/>
        <v/>
      </c>
      <c r="M96" s="76"/>
      <c r="N96" s="76"/>
      <c r="O96" s="76"/>
      <c r="P96" s="76"/>
      <c r="Q96" s="76"/>
      <c r="R96" s="76"/>
      <c r="S96" s="104"/>
      <c r="T96" s="104"/>
      <c r="U96" s="106"/>
      <c r="V96" s="98" t="str">
        <f>IF(OR(G96="Sold",H96="Died"),IF(G96="Sold",VLOOKUP(B96,SALE!$B$5:$J$1000,6,0),IF(H96="Died",VLOOKUP(B96,MORTALITY!$B$5:$K$1000,5,0),"")),"")</f>
        <v/>
      </c>
      <c r="W96" s="76"/>
    </row>
    <row r="97" spans="1:23">
      <c r="A97" s="93">
        <f t="shared" si="7"/>
        <v>93</v>
      </c>
      <c r="B97" s="94"/>
      <c r="C97" s="76"/>
      <c r="D97" s="76"/>
      <c r="E97" s="76"/>
      <c r="F97" s="94" t="str">
        <f t="shared" ca="1" si="4"/>
        <v/>
      </c>
      <c r="G97" s="96" t="str">
        <f>IFERROR((IF((VLOOKUP(B97,SALE!$B$5:$B$1000,1,0))&gt;0,"Sold","")),"")</f>
        <v/>
      </c>
      <c r="H97" s="96" t="str">
        <f>IFERROR((IF((VLOOKUP(B97,MORTALITY!$B$5:$B$1000,1,0))&gt;0,"Died","")),"")</f>
        <v/>
      </c>
      <c r="I97" s="96" t="str">
        <f ca="1">IFERROR(
   IF(LOOKUP(2,1/((ILLNESS!$B$6:$B$1000=B97)*(ILLNESS!$L$6:$L$1000&lt;&gt;"")),
            ILLNESS!$L$6:$L$1000)="No",
      "Sick",""),
"")</f>
        <v/>
      </c>
      <c r="J97" s="104"/>
      <c r="K97" s="97" t="str">
        <f t="shared" ca="1" si="5"/>
        <v/>
      </c>
      <c r="L97" s="97" t="str">
        <f t="shared" ca="1" si="6"/>
        <v/>
      </c>
      <c r="M97" s="76"/>
      <c r="N97" s="76"/>
      <c r="O97" s="76"/>
      <c r="P97" s="76"/>
      <c r="Q97" s="76"/>
      <c r="R97" s="76"/>
      <c r="S97" s="104"/>
      <c r="T97" s="104"/>
      <c r="U97" s="106"/>
      <c r="V97" s="98" t="str">
        <f>IF(OR(G97="Sold",H97="Died"),IF(G97="Sold",VLOOKUP(B97,SALE!$B$5:$J$1000,6,0),IF(H97="Died",VLOOKUP(B97,MORTALITY!$B$5:$K$1000,5,0),"")),"")</f>
        <v/>
      </c>
      <c r="W97" s="76"/>
    </row>
    <row r="98" spans="1:23">
      <c r="A98" s="93">
        <f t="shared" si="7"/>
        <v>94</v>
      </c>
      <c r="B98" s="94"/>
      <c r="C98" s="76"/>
      <c r="D98" s="76"/>
      <c r="E98" s="76"/>
      <c r="F98" s="94" t="str">
        <f t="shared" ca="1" si="4"/>
        <v/>
      </c>
      <c r="G98" s="96" t="str">
        <f>IFERROR((IF((VLOOKUP(B98,SALE!$B$5:$B$1000,1,0))&gt;0,"Sold","")),"")</f>
        <v/>
      </c>
      <c r="H98" s="96" t="str">
        <f>IFERROR((IF((VLOOKUP(B98,MORTALITY!$B$5:$B$1000,1,0))&gt;0,"Died","")),"")</f>
        <v/>
      </c>
      <c r="I98" s="96" t="str">
        <f ca="1">IFERROR(
   IF(LOOKUP(2,1/((ILLNESS!$B$6:$B$1000=B98)*(ILLNESS!$L$6:$L$1000&lt;&gt;"")),
            ILLNESS!$L$6:$L$1000)="No",
      "Sick",""),
"")</f>
        <v/>
      </c>
      <c r="J98" s="104"/>
      <c r="K98" s="97" t="str">
        <f t="shared" ca="1" si="5"/>
        <v/>
      </c>
      <c r="L98" s="97" t="str">
        <f t="shared" ca="1" si="6"/>
        <v/>
      </c>
      <c r="M98" s="76"/>
      <c r="N98" s="76"/>
      <c r="O98" s="76"/>
      <c r="P98" s="76"/>
      <c r="Q98" s="76"/>
      <c r="R98" s="76"/>
      <c r="S98" s="104"/>
      <c r="T98" s="104"/>
      <c r="U98" s="106"/>
      <c r="V98" s="98" t="str">
        <f>IF(OR(G98="Sold",H98="Died"),IF(G98="Sold",VLOOKUP(B98,SALE!$B$5:$J$1000,6,0),IF(H98="Died",VLOOKUP(B98,MORTALITY!$B$5:$K$1000,5,0),"")),"")</f>
        <v/>
      </c>
      <c r="W98" s="76"/>
    </row>
    <row r="99" spans="1:23">
      <c r="A99" s="93">
        <f t="shared" si="7"/>
        <v>95</v>
      </c>
      <c r="B99" s="94"/>
      <c r="C99" s="76"/>
      <c r="D99" s="76"/>
      <c r="E99" s="76"/>
      <c r="F99" s="94" t="str">
        <f t="shared" ca="1" si="4"/>
        <v/>
      </c>
      <c r="G99" s="96" t="str">
        <f>IFERROR((IF((VLOOKUP(B99,SALE!$B$5:$B$1000,1,0))&gt;0,"Sold","")),"")</f>
        <v/>
      </c>
      <c r="H99" s="96" t="str">
        <f>IFERROR((IF((VLOOKUP(B99,MORTALITY!$B$5:$B$1000,1,0))&gt;0,"Died","")),"")</f>
        <v/>
      </c>
      <c r="I99" s="96" t="str">
        <f ca="1">IFERROR(
   IF(LOOKUP(2,1/((ILLNESS!$B$6:$B$1000=B99)*(ILLNESS!$L$6:$L$1000&lt;&gt;"")),
            ILLNESS!$L$6:$L$1000)="No",
      "Sick",""),
"")</f>
        <v/>
      </c>
      <c r="J99" s="104"/>
      <c r="K99" s="97" t="str">
        <f t="shared" ca="1" si="5"/>
        <v/>
      </c>
      <c r="L99" s="97" t="str">
        <f t="shared" ca="1" si="6"/>
        <v/>
      </c>
      <c r="M99" s="76"/>
      <c r="N99" s="76"/>
      <c r="O99" s="76"/>
      <c r="P99" s="76"/>
      <c r="Q99" s="76"/>
      <c r="R99" s="76"/>
      <c r="S99" s="104"/>
      <c r="T99" s="104"/>
      <c r="U99" s="106"/>
      <c r="V99" s="98" t="str">
        <f>IF(OR(G99="Sold",H99="Died"),IF(G99="Sold",VLOOKUP(B99,SALE!$B$5:$J$1000,6,0),IF(H99="Died",VLOOKUP(B99,MORTALITY!$B$5:$K$1000,5,0),"")),"")</f>
        <v/>
      </c>
      <c r="W99" s="76"/>
    </row>
    <row r="100" spans="1:23">
      <c r="A100" s="93">
        <f t="shared" si="7"/>
        <v>96</v>
      </c>
      <c r="B100" s="94"/>
      <c r="C100" s="76"/>
      <c r="D100" s="76"/>
      <c r="E100" s="76"/>
      <c r="F100" s="94" t="str">
        <f t="shared" ca="1" si="4"/>
        <v/>
      </c>
      <c r="G100" s="96" t="str">
        <f>IFERROR((IF((VLOOKUP(B100,SALE!$B$5:$B$1000,1,0))&gt;0,"Sold","")),"")</f>
        <v/>
      </c>
      <c r="H100" s="96" t="str">
        <f>IFERROR((IF((VLOOKUP(B100,MORTALITY!$B$5:$B$1000,1,0))&gt;0,"Died","")),"")</f>
        <v/>
      </c>
      <c r="I100" s="96" t="str">
        <f ca="1">IFERROR(
   IF(LOOKUP(2,1/((ILLNESS!$B$6:$B$1000=B100)*(ILLNESS!$L$6:$L$1000&lt;&gt;"")),
            ILLNESS!$L$6:$L$1000)="No",
      "Sick",""),
"")</f>
        <v/>
      </c>
      <c r="J100" s="104"/>
      <c r="K100" s="97" t="str">
        <f t="shared" ca="1" si="5"/>
        <v/>
      </c>
      <c r="L100" s="97" t="str">
        <f t="shared" ca="1" si="6"/>
        <v/>
      </c>
      <c r="M100" s="76"/>
      <c r="N100" s="76"/>
      <c r="O100" s="76"/>
      <c r="P100" s="76"/>
      <c r="Q100" s="76"/>
      <c r="R100" s="76"/>
      <c r="S100" s="104"/>
      <c r="T100" s="104"/>
      <c r="U100" s="106"/>
      <c r="V100" s="98" t="str">
        <f>IF(OR(G100="Sold",H100="Died"),IF(G100="Sold",VLOOKUP(B100,SALE!$B$5:$J$1000,6,0),IF(H100="Died",VLOOKUP(B100,MORTALITY!$B$5:$K$1000,5,0),"")),"")</f>
        <v/>
      </c>
      <c r="W100" s="76"/>
    </row>
    <row r="101" spans="1:23">
      <c r="A101" s="93">
        <f t="shared" si="7"/>
        <v>97</v>
      </c>
      <c r="B101" s="94"/>
      <c r="C101" s="76"/>
      <c r="D101" s="76"/>
      <c r="E101" s="76"/>
      <c r="F101" s="94" t="str">
        <f t="shared" ca="1" si="4"/>
        <v/>
      </c>
      <c r="G101" s="96" t="str">
        <f>IFERROR((IF((VLOOKUP(B101,SALE!$B$5:$B$1000,1,0))&gt;0,"Sold","")),"")</f>
        <v/>
      </c>
      <c r="H101" s="96" t="str">
        <f>IFERROR((IF((VLOOKUP(B101,MORTALITY!$B$5:$B$1000,1,0))&gt;0,"Died","")),"")</f>
        <v/>
      </c>
      <c r="I101" s="96" t="str">
        <f ca="1">IFERROR(
   IF(LOOKUP(2,1/((ILLNESS!$B$6:$B$1000=B101)*(ILLNESS!$L$6:$L$1000&lt;&gt;"")),
            ILLNESS!$L$6:$L$1000)="No",
      "Sick",""),
"")</f>
        <v/>
      </c>
      <c r="J101" s="104"/>
      <c r="K101" s="97" t="str">
        <f t="shared" ca="1" si="5"/>
        <v/>
      </c>
      <c r="L101" s="97" t="str">
        <f t="shared" ca="1" si="6"/>
        <v/>
      </c>
      <c r="M101" s="76"/>
      <c r="N101" s="76"/>
      <c r="O101" s="76"/>
      <c r="P101" s="76"/>
      <c r="Q101" s="76"/>
      <c r="R101" s="76"/>
      <c r="S101" s="104"/>
      <c r="T101" s="104"/>
      <c r="U101" s="106"/>
      <c r="V101" s="98" t="str">
        <f>IF(OR(G101="Sold",H101="Died"),IF(G101="Sold",VLOOKUP(B101,SALE!$B$5:$J$1000,6,0),IF(H101="Died",VLOOKUP(B101,MORTALITY!$B$5:$K$1000,5,0),"")),"")</f>
        <v/>
      </c>
      <c r="W101" s="76"/>
    </row>
    <row r="102" spans="1:23">
      <c r="A102" s="93">
        <f t="shared" si="7"/>
        <v>98</v>
      </c>
      <c r="B102" s="94"/>
      <c r="C102" s="76"/>
      <c r="D102" s="76"/>
      <c r="E102" s="76"/>
      <c r="F102" s="94" t="str">
        <f t="shared" ca="1" si="4"/>
        <v/>
      </c>
      <c r="G102" s="96" t="str">
        <f>IFERROR((IF((VLOOKUP(B102,SALE!$B$5:$B$1000,1,0))&gt;0,"Sold","")),"")</f>
        <v/>
      </c>
      <c r="H102" s="96" t="str">
        <f>IFERROR((IF((VLOOKUP(B102,MORTALITY!$B$5:$B$1000,1,0))&gt;0,"Died","")),"")</f>
        <v/>
      </c>
      <c r="I102" s="96" t="str">
        <f ca="1">IFERROR(
   IF(LOOKUP(2,1/((ILLNESS!$B$6:$B$1000=B102)*(ILLNESS!$L$6:$L$1000&lt;&gt;"")),
            ILLNESS!$L$6:$L$1000)="No",
      "Sick",""),
"")</f>
        <v/>
      </c>
      <c r="J102" s="104"/>
      <c r="K102" s="97" t="str">
        <f t="shared" ca="1" si="5"/>
        <v/>
      </c>
      <c r="L102" s="97" t="str">
        <f t="shared" ca="1" si="6"/>
        <v/>
      </c>
      <c r="M102" s="76"/>
      <c r="N102" s="76"/>
      <c r="O102" s="76"/>
      <c r="P102" s="76"/>
      <c r="Q102" s="76"/>
      <c r="R102" s="76"/>
      <c r="S102" s="104"/>
      <c r="T102" s="104"/>
      <c r="U102" s="106"/>
      <c r="V102" s="98" t="str">
        <f>IF(OR(G102="Sold",H102="Died"),IF(G102="Sold",VLOOKUP(B102,SALE!$B$5:$J$1000,6,0),IF(H102="Died",VLOOKUP(B102,MORTALITY!$B$5:$K$1000,5,0),"")),"")</f>
        <v/>
      </c>
      <c r="W102" s="76"/>
    </row>
    <row r="103" spans="1:23">
      <c r="A103" s="93">
        <f t="shared" si="7"/>
        <v>99</v>
      </c>
      <c r="B103" s="94"/>
      <c r="C103" s="76"/>
      <c r="D103" s="76"/>
      <c r="E103" s="76"/>
      <c r="F103" s="94" t="str">
        <f t="shared" ca="1" si="4"/>
        <v/>
      </c>
      <c r="G103" s="96" t="str">
        <f>IFERROR((IF((VLOOKUP(B103,SALE!$B$5:$B$1000,1,0))&gt;0,"Sold","")),"")</f>
        <v/>
      </c>
      <c r="H103" s="96" t="str">
        <f>IFERROR((IF((VLOOKUP(B103,MORTALITY!$B$5:$B$1000,1,0))&gt;0,"Died","")),"")</f>
        <v/>
      </c>
      <c r="I103" s="96" t="str">
        <f ca="1">IFERROR(
   IF(LOOKUP(2,1/((ILLNESS!$B$6:$B$1000=B103)*(ILLNESS!$L$6:$L$1000&lt;&gt;"")),
            ILLNESS!$L$6:$L$1000)="No",
      "Sick",""),
"")</f>
        <v/>
      </c>
      <c r="J103" s="104"/>
      <c r="K103" s="97" t="str">
        <f t="shared" ca="1" si="5"/>
        <v/>
      </c>
      <c r="L103" s="97" t="str">
        <f t="shared" ca="1" si="6"/>
        <v/>
      </c>
      <c r="M103" s="76"/>
      <c r="N103" s="76"/>
      <c r="O103" s="76"/>
      <c r="P103" s="76"/>
      <c r="Q103" s="76"/>
      <c r="R103" s="76"/>
      <c r="S103" s="104"/>
      <c r="T103" s="104"/>
      <c r="U103" s="106"/>
      <c r="V103" s="98" t="str">
        <f>IF(OR(G103="Sold",H103="Died"),IF(G103="Sold",VLOOKUP(B103,SALE!$B$5:$J$1000,6,0),IF(H103="Died",VLOOKUP(B103,MORTALITY!$B$5:$K$1000,5,0),"")),"")</f>
        <v/>
      </c>
      <c r="W103" s="76"/>
    </row>
    <row r="104" spans="1:23">
      <c r="A104" s="93">
        <f t="shared" si="7"/>
        <v>100</v>
      </c>
      <c r="B104" s="94"/>
      <c r="C104" s="76"/>
      <c r="D104" s="76"/>
      <c r="E104" s="76"/>
      <c r="F104" s="94" t="str">
        <f t="shared" ca="1" si="4"/>
        <v/>
      </c>
      <c r="G104" s="96" t="str">
        <f>IFERROR((IF((VLOOKUP(B104,SALE!$B$5:$B$1000,1,0))&gt;0,"Sold","")),"")</f>
        <v/>
      </c>
      <c r="H104" s="96" t="str">
        <f>IFERROR((IF((VLOOKUP(B104,MORTALITY!$B$5:$B$1000,1,0))&gt;0,"Died","")),"")</f>
        <v/>
      </c>
      <c r="I104" s="96" t="str">
        <f ca="1">IFERROR(
   IF(LOOKUP(2,1/((ILLNESS!$B$6:$B$1000=B104)*(ILLNESS!$L$6:$L$1000&lt;&gt;"")),
            ILLNESS!$L$6:$L$1000)="No",
      "Sick",""),
"")</f>
        <v/>
      </c>
      <c r="J104" s="104"/>
      <c r="K104" s="97" t="str">
        <f t="shared" ca="1" si="5"/>
        <v/>
      </c>
      <c r="L104" s="97" t="str">
        <f t="shared" ca="1" si="6"/>
        <v/>
      </c>
      <c r="M104" s="76"/>
      <c r="N104" s="76"/>
      <c r="O104" s="76"/>
      <c r="P104" s="76"/>
      <c r="Q104" s="76"/>
      <c r="R104" s="76"/>
      <c r="S104" s="104"/>
      <c r="T104" s="104"/>
      <c r="U104" s="106"/>
      <c r="V104" s="98" t="str">
        <f>IF(OR(G104="Sold",H104="Died"),IF(G104="Sold",VLOOKUP(B104,SALE!$B$5:$J$1000,6,0),IF(H104="Died",VLOOKUP(B104,MORTALITY!$B$5:$K$1000,5,0),"")),"")</f>
        <v/>
      </c>
      <c r="W104" s="76"/>
    </row>
    <row r="105" spans="1:23">
      <c r="A105" s="93">
        <f t="shared" si="7"/>
        <v>101</v>
      </c>
      <c r="B105" s="94"/>
      <c r="C105" s="76"/>
      <c r="D105" s="76"/>
      <c r="E105" s="76"/>
      <c r="F105" s="94" t="str">
        <f t="shared" ca="1" si="4"/>
        <v/>
      </c>
      <c r="G105" s="96" t="str">
        <f>IFERROR((IF((VLOOKUP(B105,SALE!$B$5:$B$1000,1,0))&gt;0,"Sold","")),"")</f>
        <v/>
      </c>
      <c r="H105" s="96" t="str">
        <f>IFERROR((IF((VLOOKUP(B105,MORTALITY!$B$5:$B$1000,1,0))&gt;0,"Died","")),"")</f>
        <v/>
      </c>
      <c r="I105" s="96" t="str">
        <f ca="1">IFERROR(
   IF(LOOKUP(2,1/((ILLNESS!$B$6:$B$1000=B105)*(ILLNESS!$L$6:$L$1000&lt;&gt;"")),
            ILLNESS!$L$6:$L$1000)="No",
      "Sick",""),
"")</f>
        <v/>
      </c>
      <c r="J105" s="104"/>
      <c r="K105" s="97" t="str">
        <f t="shared" ca="1" si="5"/>
        <v/>
      </c>
      <c r="L105" s="97" t="str">
        <f t="shared" ca="1" si="6"/>
        <v/>
      </c>
      <c r="M105" s="76"/>
      <c r="N105" s="76"/>
      <c r="O105" s="76"/>
      <c r="P105" s="76"/>
      <c r="Q105" s="76"/>
      <c r="R105" s="76"/>
      <c r="S105" s="104"/>
      <c r="T105" s="104"/>
      <c r="U105" s="106"/>
      <c r="V105" s="98" t="str">
        <f>IF(OR(G105="Sold",H105="Died"),IF(G105="Sold",VLOOKUP(B105,SALE!$B$5:$J$1000,6,0),IF(H105="Died",VLOOKUP(B105,MORTALITY!$B$5:$K$1000,5,0),"")),"")</f>
        <v/>
      </c>
      <c r="W105" s="76"/>
    </row>
    <row r="106" spans="1:23">
      <c r="A106" s="93">
        <f t="shared" si="7"/>
        <v>102</v>
      </c>
      <c r="B106" s="94"/>
      <c r="C106" s="76"/>
      <c r="D106" s="76"/>
      <c r="E106" s="76"/>
      <c r="F106" s="94" t="str">
        <f t="shared" ca="1" si="4"/>
        <v/>
      </c>
      <c r="G106" s="96" t="str">
        <f>IFERROR((IF((VLOOKUP(B106,SALE!$B$5:$B$1000,1,0))&gt;0,"Sold","")),"")</f>
        <v/>
      </c>
      <c r="H106" s="96" t="str">
        <f>IFERROR((IF((VLOOKUP(B106,MORTALITY!$B$5:$B$1000,1,0))&gt;0,"Died","")),"")</f>
        <v/>
      </c>
      <c r="I106" s="96" t="str">
        <f ca="1">IFERROR(
   IF(LOOKUP(2,1/((ILLNESS!$B$6:$B$1000=B106)*(ILLNESS!$L$6:$L$1000&lt;&gt;"")),
            ILLNESS!$L$6:$L$1000)="No",
      "Sick",""),
"")</f>
        <v/>
      </c>
      <c r="J106" s="104"/>
      <c r="K106" s="97" t="str">
        <f t="shared" ca="1" si="5"/>
        <v/>
      </c>
      <c r="L106" s="97" t="str">
        <f t="shared" ca="1" si="6"/>
        <v/>
      </c>
      <c r="M106" s="76"/>
      <c r="N106" s="76"/>
      <c r="O106" s="76"/>
      <c r="P106" s="76"/>
      <c r="Q106" s="76"/>
      <c r="R106" s="76"/>
      <c r="S106" s="104"/>
      <c r="T106" s="104"/>
      <c r="U106" s="106"/>
      <c r="V106" s="98" t="str">
        <f>IF(OR(G106="Sold",H106="Died"),IF(G106="Sold",VLOOKUP(B106,SALE!$B$5:$J$1000,6,0),IF(H106="Died",VLOOKUP(B106,MORTALITY!$B$5:$K$1000,5,0),"")),"")</f>
        <v/>
      </c>
      <c r="W106" s="76"/>
    </row>
    <row r="107" spans="1:23">
      <c r="A107" s="93">
        <f t="shared" si="7"/>
        <v>103</v>
      </c>
      <c r="B107" s="94"/>
      <c r="C107" s="76"/>
      <c r="D107" s="76"/>
      <c r="E107" s="76"/>
      <c r="F107" s="94" t="str">
        <f t="shared" ca="1" si="4"/>
        <v/>
      </c>
      <c r="G107" s="96" t="str">
        <f>IFERROR((IF((VLOOKUP(B107,SALE!$B$5:$B$1000,1,0))&gt;0,"Sold","")),"")</f>
        <v/>
      </c>
      <c r="H107" s="96" t="str">
        <f>IFERROR((IF((VLOOKUP(B107,MORTALITY!$B$5:$B$1000,1,0))&gt;0,"Died","")),"")</f>
        <v/>
      </c>
      <c r="I107" s="96" t="str">
        <f ca="1">IFERROR(
   IF(LOOKUP(2,1/((ILLNESS!$B$6:$B$1000=B107)*(ILLNESS!$L$6:$L$1000&lt;&gt;"")),
            ILLNESS!$L$6:$L$1000)="No",
      "Sick",""),
"")</f>
        <v/>
      </c>
      <c r="J107" s="104"/>
      <c r="K107" s="97" t="str">
        <f t="shared" ca="1" si="5"/>
        <v/>
      </c>
      <c r="L107" s="97" t="str">
        <f t="shared" ca="1" si="6"/>
        <v/>
      </c>
      <c r="M107" s="76"/>
      <c r="N107" s="76"/>
      <c r="O107" s="76"/>
      <c r="P107" s="76"/>
      <c r="Q107" s="76"/>
      <c r="R107" s="76"/>
      <c r="S107" s="104"/>
      <c r="T107" s="104"/>
      <c r="U107" s="106"/>
      <c r="V107" s="98" t="str">
        <f>IF(OR(G107="Sold",H107="Died"),IF(G107="Sold",VLOOKUP(B107,SALE!$B$5:$J$1000,6,0),IF(H107="Died",VLOOKUP(B107,MORTALITY!$B$5:$K$1000,5,0),"")),"")</f>
        <v/>
      </c>
      <c r="W107" s="76"/>
    </row>
    <row r="108" spans="1:23">
      <c r="A108" s="93">
        <f t="shared" si="7"/>
        <v>104</v>
      </c>
      <c r="B108" s="94"/>
      <c r="C108" s="76"/>
      <c r="D108" s="76"/>
      <c r="E108" s="76"/>
      <c r="F108" s="94" t="str">
        <f t="shared" ca="1" si="4"/>
        <v/>
      </c>
      <c r="G108" s="96" t="str">
        <f>IFERROR((IF((VLOOKUP(B108,SALE!$B$5:$B$1000,1,0))&gt;0,"Sold","")),"")</f>
        <v/>
      </c>
      <c r="H108" s="96" t="str">
        <f>IFERROR((IF((VLOOKUP(B108,MORTALITY!$B$5:$B$1000,1,0))&gt;0,"Died","")),"")</f>
        <v/>
      </c>
      <c r="I108" s="96" t="str">
        <f ca="1">IFERROR(
   IF(LOOKUP(2,1/((ILLNESS!$B$6:$B$1000=B108)*(ILLNESS!$L$6:$L$1000&lt;&gt;"")),
            ILLNESS!$L$6:$L$1000)="No",
      "Sick",""),
"")</f>
        <v/>
      </c>
      <c r="J108" s="104"/>
      <c r="K108" s="97" t="str">
        <f t="shared" ca="1" si="5"/>
        <v/>
      </c>
      <c r="L108" s="97" t="str">
        <f t="shared" ca="1" si="6"/>
        <v/>
      </c>
      <c r="M108" s="76"/>
      <c r="N108" s="76"/>
      <c r="O108" s="76"/>
      <c r="P108" s="76"/>
      <c r="Q108" s="76"/>
      <c r="R108" s="76"/>
      <c r="S108" s="104"/>
      <c r="T108" s="104"/>
      <c r="U108" s="106"/>
      <c r="V108" s="98" t="str">
        <f>IF(OR(G108="Sold",H108="Died"),IF(G108="Sold",VLOOKUP(B108,SALE!$B$5:$J$1000,6,0),IF(H108="Died",VLOOKUP(B108,MORTALITY!$B$5:$K$1000,5,0),"")),"")</f>
        <v/>
      </c>
      <c r="W108" s="76"/>
    </row>
    <row r="109" spans="1:23">
      <c r="A109" s="93">
        <f t="shared" si="7"/>
        <v>105</v>
      </c>
      <c r="B109" s="94"/>
      <c r="C109" s="76"/>
      <c r="D109" s="76"/>
      <c r="E109" s="76"/>
      <c r="F109" s="94" t="str">
        <f t="shared" ca="1" si="4"/>
        <v/>
      </c>
      <c r="G109" s="96" t="str">
        <f>IFERROR((IF((VLOOKUP(B109,SALE!$B$5:$B$1000,1,0))&gt;0,"Sold","")),"")</f>
        <v/>
      </c>
      <c r="H109" s="96" t="str">
        <f>IFERROR((IF((VLOOKUP(B109,MORTALITY!$B$5:$B$1000,1,0))&gt;0,"Died","")),"")</f>
        <v/>
      </c>
      <c r="I109" s="96" t="str">
        <f ca="1">IFERROR(
   IF(LOOKUP(2,1/((ILLNESS!$B$6:$B$1000=B109)*(ILLNESS!$L$6:$L$1000&lt;&gt;"")),
            ILLNESS!$L$6:$L$1000)="No",
      "Sick",""),
"")</f>
        <v/>
      </c>
      <c r="J109" s="104"/>
      <c r="K109" s="97" t="str">
        <f t="shared" ca="1" si="5"/>
        <v/>
      </c>
      <c r="L109" s="97" t="str">
        <f t="shared" ca="1" si="6"/>
        <v/>
      </c>
      <c r="M109" s="76"/>
      <c r="N109" s="76"/>
      <c r="O109" s="76"/>
      <c r="P109" s="76"/>
      <c r="Q109" s="76"/>
      <c r="R109" s="76"/>
      <c r="S109" s="104"/>
      <c r="T109" s="104"/>
      <c r="U109" s="106"/>
      <c r="V109" s="98" t="str">
        <f>IF(OR(G109="Sold",H109="Died"),IF(G109="Sold",VLOOKUP(B109,SALE!$B$5:$J$1000,6,0),IF(H109="Died",VLOOKUP(B109,MORTALITY!$B$5:$K$1000,5,0),"")),"")</f>
        <v/>
      </c>
      <c r="W109" s="76"/>
    </row>
    <row r="110" spans="1:23">
      <c r="A110" s="93">
        <f t="shared" si="7"/>
        <v>106</v>
      </c>
      <c r="B110" s="94"/>
      <c r="C110" s="76"/>
      <c r="D110" s="76"/>
      <c r="E110" s="76"/>
      <c r="F110" s="94" t="str">
        <f t="shared" ca="1" si="4"/>
        <v/>
      </c>
      <c r="G110" s="96" t="str">
        <f>IFERROR((IF((VLOOKUP(B110,SALE!$B$5:$B$1000,1,0))&gt;0,"Sold","")),"")</f>
        <v/>
      </c>
      <c r="H110" s="96" t="str">
        <f>IFERROR((IF((VLOOKUP(B110,MORTALITY!$B$5:$B$1000,1,0))&gt;0,"Died","")),"")</f>
        <v/>
      </c>
      <c r="I110" s="96" t="str">
        <f ca="1">IFERROR(
   IF(LOOKUP(2,1/((ILLNESS!$B$6:$B$1000=B110)*(ILLNESS!$L$6:$L$1000&lt;&gt;"")),
            ILLNESS!$L$6:$L$1000)="No",
      "Sick",""),
"")</f>
        <v/>
      </c>
      <c r="J110" s="104"/>
      <c r="K110" s="97" t="str">
        <f t="shared" ca="1" si="5"/>
        <v/>
      </c>
      <c r="L110" s="97" t="str">
        <f t="shared" ca="1" si="6"/>
        <v/>
      </c>
      <c r="M110" s="76"/>
      <c r="N110" s="76"/>
      <c r="O110" s="76"/>
      <c r="P110" s="76"/>
      <c r="Q110" s="76"/>
      <c r="R110" s="76"/>
      <c r="S110" s="104"/>
      <c r="T110" s="104"/>
      <c r="U110" s="106"/>
      <c r="V110" s="98" t="str">
        <f>IF(OR(G110="Sold",H110="Died"),IF(G110="Sold",VLOOKUP(B110,SALE!$B$5:$J$1000,6,0),IF(H110="Died",VLOOKUP(B110,MORTALITY!$B$5:$K$1000,5,0),"")),"")</f>
        <v/>
      </c>
      <c r="W110" s="76"/>
    </row>
    <row r="111" spans="1:23">
      <c r="A111" s="93">
        <f t="shared" si="7"/>
        <v>107</v>
      </c>
      <c r="B111" s="94"/>
      <c r="C111" s="76"/>
      <c r="D111" s="76"/>
      <c r="E111" s="76"/>
      <c r="F111" s="94" t="str">
        <f t="shared" ca="1" si="4"/>
        <v/>
      </c>
      <c r="G111" s="96" t="str">
        <f>IFERROR((IF((VLOOKUP(B111,SALE!$B$5:$B$1000,1,0))&gt;0,"Sold","")),"")</f>
        <v/>
      </c>
      <c r="H111" s="96" t="str">
        <f>IFERROR((IF((VLOOKUP(B111,MORTALITY!$B$5:$B$1000,1,0))&gt;0,"Died","")),"")</f>
        <v/>
      </c>
      <c r="I111" s="96" t="str">
        <f ca="1">IFERROR(
   IF(LOOKUP(2,1/((ILLNESS!$B$6:$B$1000=B111)*(ILLNESS!$L$6:$L$1000&lt;&gt;"")),
            ILLNESS!$L$6:$L$1000)="No",
      "Sick",""),
"")</f>
        <v/>
      </c>
      <c r="J111" s="104"/>
      <c r="K111" s="97" t="str">
        <f t="shared" ca="1" si="5"/>
        <v/>
      </c>
      <c r="L111" s="97" t="str">
        <f t="shared" ca="1" si="6"/>
        <v/>
      </c>
      <c r="M111" s="76"/>
      <c r="N111" s="76"/>
      <c r="O111" s="76"/>
      <c r="P111" s="76"/>
      <c r="Q111" s="76"/>
      <c r="R111" s="76"/>
      <c r="S111" s="104"/>
      <c r="T111" s="104"/>
      <c r="U111" s="106"/>
      <c r="V111" s="98" t="str">
        <f>IF(OR(G111="Sold",H111="Died"),IF(G111="Sold",VLOOKUP(B111,SALE!$B$5:$J$1000,6,0),IF(H111="Died",VLOOKUP(B111,MORTALITY!$B$5:$K$1000,5,0),"")),"")</f>
        <v/>
      </c>
      <c r="W111" s="76"/>
    </row>
    <row r="112" spans="1:23">
      <c r="A112" s="93">
        <f t="shared" si="7"/>
        <v>108</v>
      </c>
      <c r="B112" s="94"/>
      <c r="C112" s="76"/>
      <c r="D112" s="76"/>
      <c r="E112" s="76"/>
      <c r="F112" s="94" t="str">
        <f t="shared" ca="1" si="4"/>
        <v/>
      </c>
      <c r="G112" s="96" t="str">
        <f>IFERROR((IF((VLOOKUP(B112,SALE!$B$5:$B$1000,1,0))&gt;0,"Sold","")),"")</f>
        <v/>
      </c>
      <c r="H112" s="96" t="str">
        <f>IFERROR((IF((VLOOKUP(B112,MORTALITY!$B$5:$B$1000,1,0))&gt;0,"Died","")),"")</f>
        <v/>
      </c>
      <c r="I112" s="96" t="str">
        <f ca="1">IFERROR(
   IF(LOOKUP(2,1/((ILLNESS!$B$6:$B$1000=B112)*(ILLNESS!$L$6:$L$1000&lt;&gt;"")),
            ILLNESS!$L$6:$L$1000)="No",
      "Sick",""),
"")</f>
        <v/>
      </c>
      <c r="J112" s="104"/>
      <c r="K112" s="97" t="str">
        <f t="shared" ca="1" si="5"/>
        <v/>
      </c>
      <c r="L112" s="97" t="str">
        <f t="shared" ca="1" si="6"/>
        <v/>
      </c>
      <c r="M112" s="76"/>
      <c r="N112" s="76"/>
      <c r="O112" s="76"/>
      <c r="P112" s="76"/>
      <c r="Q112" s="76"/>
      <c r="R112" s="76"/>
      <c r="S112" s="104"/>
      <c r="T112" s="104"/>
      <c r="U112" s="106"/>
      <c r="V112" s="98" t="str">
        <f>IF(OR(G112="Sold",H112="Died"),IF(G112="Sold",VLOOKUP(B112,SALE!$B$5:$J$1000,6,0),IF(H112="Died",VLOOKUP(B112,MORTALITY!$B$5:$K$1000,5,0),"")),"")</f>
        <v/>
      </c>
      <c r="W112" s="76"/>
    </row>
    <row r="113" spans="1:23">
      <c r="A113" s="93">
        <f t="shared" si="7"/>
        <v>109</v>
      </c>
      <c r="B113" s="94"/>
      <c r="C113" s="76"/>
      <c r="D113" s="76"/>
      <c r="E113" s="76"/>
      <c r="F113" s="94" t="str">
        <f t="shared" ca="1" si="4"/>
        <v/>
      </c>
      <c r="G113" s="96" t="str">
        <f>IFERROR((IF((VLOOKUP(B113,SALE!$B$5:$B$1000,1,0))&gt;0,"Sold","")),"")</f>
        <v/>
      </c>
      <c r="H113" s="96" t="str">
        <f>IFERROR((IF((VLOOKUP(B113,MORTALITY!$B$5:$B$1000,1,0))&gt;0,"Died","")),"")</f>
        <v/>
      </c>
      <c r="I113" s="96" t="str">
        <f ca="1">IFERROR(
   IF(LOOKUP(2,1/((ILLNESS!$B$6:$B$1000=B113)*(ILLNESS!$L$6:$L$1000&lt;&gt;"")),
            ILLNESS!$L$6:$L$1000)="No",
      "Sick",""),
"")</f>
        <v/>
      </c>
      <c r="J113" s="104"/>
      <c r="K113" s="97" t="str">
        <f t="shared" ca="1" si="5"/>
        <v/>
      </c>
      <c r="L113" s="97" t="str">
        <f t="shared" ca="1" si="6"/>
        <v/>
      </c>
      <c r="M113" s="76"/>
      <c r="N113" s="76"/>
      <c r="O113" s="76"/>
      <c r="P113" s="76"/>
      <c r="Q113" s="76"/>
      <c r="R113" s="76"/>
      <c r="S113" s="104"/>
      <c r="T113" s="104"/>
      <c r="U113" s="106"/>
      <c r="V113" s="98" t="str">
        <f>IF(OR(G113="Sold",H113="Died"),IF(G113="Sold",VLOOKUP(B113,SALE!$B$5:$J$1000,6,0),IF(H113="Died",VLOOKUP(B113,MORTALITY!$B$5:$K$1000,5,0),"")),"")</f>
        <v/>
      </c>
      <c r="W113" s="76"/>
    </row>
    <row r="114" spans="1:23">
      <c r="A114" s="93">
        <f t="shared" si="7"/>
        <v>110</v>
      </c>
      <c r="B114" s="94"/>
      <c r="C114" s="76"/>
      <c r="D114" s="76"/>
      <c r="E114" s="76"/>
      <c r="F114" s="94" t="str">
        <f t="shared" ca="1" si="4"/>
        <v/>
      </c>
      <c r="G114" s="96" t="str">
        <f>IFERROR((IF((VLOOKUP(B114,SALE!$B$5:$B$1000,1,0))&gt;0,"Sold","")),"")</f>
        <v/>
      </c>
      <c r="H114" s="96" t="str">
        <f>IFERROR((IF((VLOOKUP(B114,MORTALITY!$B$5:$B$1000,1,0))&gt;0,"Died","")),"")</f>
        <v/>
      </c>
      <c r="I114" s="96" t="str">
        <f ca="1">IFERROR(
   IF(LOOKUP(2,1/((ILLNESS!$B$6:$B$1000=B114)*(ILLNESS!$L$6:$L$1000&lt;&gt;"")),
            ILLNESS!$L$6:$L$1000)="No",
      "Sick",""),
"")</f>
        <v/>
      </c>
      <c r="J114" s="104"/>
      <c r="K114" s="97" t="str">
        <f t="shared" ca="1" si="5"/>
        <v/>
      </c>
      <c r="L114" s="97" t="str">
        <f t="shared" ca="1" si="6"/>
        <v/>
      </c>
      <c r="M114" s="76"/>
      <c r="N114" s="76"/>
      <c r="O114" s="76"/>
      <c r="P114" s="76"/>
      <c r="Q114" s="76"/>
      <c r="R114" s="76"/>
      <c r="S114" s="104"/>
      <c r="T114" s="104"/>
      <c r="U114" s="106"/>
      <c r="V114" s="98" t="str">
        <f>IF(OR(G114="Sold",H114="Died"),IF(G114="Sold",VLOOKUP(B114,SALE!$B$5:$J$1000,6,0),IF(H114="Died",VLOOKUP(B114,MORTALITY!$B$5:$K$1000,5,0),"")),"")</f>
        <v/>
      </c>
      <c r="W114" s="76"/>
    </row>
    <row r="115" spans="1:23">
      <c r="A115" s="93">
        <f t="shared" si="7"/>
        <v>111</v>
      </c>
      <c r="B115" s="94"/>
      <c r="C115" s="76"/>
      <c r="D115" s="76"/>
      <c r="E115" s="76"/>
      <c r="F115" s="94" t="str">
        <f t="shared" ca="1" si="4"/>
        <v/>
      </c>
      <c r="G115" s="96" t="str">
        <f>IFERROR((IF((VLOOKUP(B115,SALE!$B$5:$B$1000,1,0))&gt;0,"Sold","")),"")</f>
        <v/>
      </c>
      <c r="H115" s="96" t="str">
        <f>IFERROR((IF((VLOOKUP(B115,MORTALITY!$B$5:$B$1000,1,0))&gt;0,"Died","")),"")</f>
        <v/>
      </c>
      <c r="I115" s="96" t="str">
        <f ca="1">IFERROR(
   IF(LOOKUP(2,1/((ILLNESS!$B$6:$B$1000=B115)*(ILLNESS!$L$6:$L$1000&lt;&gt;"")),
            ILLNESS!$L$6:$L$1000)="No",
      "Sick",""),
"")</f>
        <v/>
      </c>
      <c r="J115" s="104"/>
      <c r="K115" s="97" t="str">
        <f t="shared" ca="1" si="5"/>
        <v/>
      </c>
      <c r="L115" s="97" t="str">
        <f t="shared" ca="1" si="6"/>
        <v/>
      </c>
      <c r="M115" s="76"/>
      <c r="N115" s="76"/>
      <c r="O115" s="76"/>
      <c r="P115" s="76"/>
      <c r="Q115" s="76"/>
      <c r="R115" s="76"/>
      <c r="S115" s="104"/>
      <c r="T115" s="104"/>
      <c r="U115" s="106"/>
      <c r="V115" s="98" t="str">
        <f>IF(OR(G115="Sold",H115="Died"),IF(G115="Sold",VLOOKUP(B115,SALE!$B$5:$J$1000,6,0),IF(H115="Died",VLOOKUP(B115,MORTALITY!$B$5:$K$1000,5,0),"")),"")</f>
        <v/>
      </c>
      <c r="W115" s="76"/>
    </row>
    <row r="116" spans="1:23">
      <c r="A116" s="93">
        <f t="shared" si="7"/>
        <v>112</v>
      </c>
      <c r="B116" s="94"/>
      <c r="C116" s="76"/>
      <c r="D116" s="76"/>
      <c r="E116" s="76"/>
      <c r="F116" s="94" t="str">
        <f t="shared" ca="1" si="4"/>
        <v/>
      </c>
      <c r="G116" s="96" t="str">
        <f>IFERROR((IF((VLOOKUP(B116,SALE!$B$5:$B$1000,1,0))&gt;0,"Sold","")),"")</f>
        <v/>
      </c>
      <c r="H116" s="96" t="str">
        <f>IFERROR((IF((VLOOKUP(B116,MORTALITY!$B$5:$B$1000,1,0))&gt;0,"Died","")),"")</f>
        <v/>
      </c>
      <c r="I116" s="96" t="str">
        <f ca="1">IFERROR(
   IF(LOOKUP(2,1/((ILLNESS!$B$6:$B$1000=B116)*(ILLNESS!$L$6:$L$1000&lt;&gt;"")),
            ILLNESS!$L$6:$L$1000)="No",
      "Sick",""),
"")</f>
        <v/>
      </c>
      <c r="J116" s="104"/>
      <c r="K116" s="97" t="str">
        <f t="shared" ca="1" si="5"/>
        <v/>
      </c>
      <c r="L116" s="97" t="str">
        <f t="shared" ca="1" si="6"/>
        <v/>
      </c>
      <c r="M116" s="76"/>
      <c r="N116" s="76"/>
      <c r="O116" s="76"/>
      <c r="P116" s="76"/>
      <c r="Q116" s="76"/>
      <c r="R116" s="76"/>
      <c r="S116" s="104"/>
      <c r="T116" s="104"/>
      <c r="U116" s="106"/>
      <c r="V116" s="98" t="str">
        <f>IF(OR(G116="Sold",H116="Died"),IF(G116="Sold",VLOOKUP(B116,SALE!$B$5:$J$1000,6,0),IF(H116="Died",VLOOKUP(B116,MORTALITY!$B$5:$K$1000,5,0),"")),"")</f>
        <v/>
      </c>
      <c r="W116" s="76"/>
    </row>
    <row r="117" spans="1:23">
      <c r="A117" s="93">
        <f t="shared" si="7"/>
        <v>113</v>
      </c>
      <c r="B117" s="94"/>
      <c r="C117" s="76"/>
      <c r="D117" s="76"/>
      <c r="E117" s="76"/>
      <c r="F117" s="94" t="str">
        <f t="shared" ca="1" si="4"/>
        <v/>
      </c>
      <c r="G117" s="96" t="str">
        <f>IFERROR((IF((VLOOKUP(B117,SALE!$B$5:$B$1000,1,0))&gt;0,"Sold","")),"")</f>
        <v/>
      </c>
      <c r="H117" s="96" t="str">
        <f>IFERROR((IF((VLOOKUP(B117,MORTALITY!$B$5:$B$1000,1,0))&gt;0,"Died","")),"")</f>
        <v/>
      </c>
      <c r="I117" s="96" t="str">
        <f ca="1">IFERROR(
   IF(LOOKUP(2,1/((ILLNESS!$B$6:$B$1000=B117)*(ILLNESS!$L$6:$L$1000&lt;&gt;"")),
            ILLNESS!$L$6:$L$1000)="No",
      "Sick",""),
"")</f>
        <v/>
      </c>
      <c r="J117" s="104"/>
      <c r="K117" s="97" t="str">
        <f t="shared" ca="1" si="5"/>
        <v/>
      </c>
      <c r="L117" s="97" t="str">
        <f t="shared" ca="1" si="6"/>
        <v/>
      </c>
      <c r="M117" s="76"/>
      <c r="N117" s="76"/>
      <c r="O117" s="76"/>
      <c r="P117" s="76"/>
      <c r="Q117" s="76"/>
      <c r="R117" s="76"/>
      <c r="S117" s="104"/>
      <c r="T117" s="104"/>
      <c r="U117" s="106"/>
      <c r="V117" s="98" t="str">
        <f>IF(OR(G117="Sold",H117="Died"),IF(G117="Sold",VLOOKUP(B117,SALE!$B$5:$J$1000,6,0),IF(H117="Died",VLOOKUP(B117,MORTALITY!$B$5:$K$1000,5,0),"")),"")</f>
        <v/>
      </c>
      <c r="W117" s="76"/>
    </row>
    <row r="118" spans="1:23">
      <c r="A118" s="93">
        <f t="shared" si="7"/>
        <v>114</v>
      </c>
      <c r="B118" s="94"/>
      <c r="C118" s="76"/>
      <c r="D118" s="76"/>
      <c r="E118" s="76"/>
      <c r="F118" s="94" t="str">
        <f t="shared" ca="1" si="4"/>
        <v/>
      </c>
      <c r="G118" s="96" t="str">
        <f>IFERROR((IF((VLOOKUP(B118,SALE!$B$5:$B$1000,1,0))&gt;0,"Sold","")),"")</f>
        <v/>
      </c>
      <c r="H118" s="96" t="str">
        <f>IFERROR((IF((VLOOKUP(B118,MORTALITY!$B$5:$B$1000,1,0))&gt;0,"Died","")),"")</f>
        <v/>
      </c>
      <c r="I118" s="96" t="str">
        <f ca="1">IFERROR(
   IF(LOOKUP(2,1/((ILLNESS!$B$6:$B$1000=B118)*(ILLNESS!$L$6:$L$1000&lt;&gt;"")),
            ILLNESS!$L$6:$L$1000)="No",
      "Sick",""),
"")</f>
        <v/>
      </c>
      <c r="J118" s="104"/>
      <c r="K118" s="97" t="str">
        <f t="shared" ca="1" si="5"/>
        <v/>
      </c>
      <c r="L118" s="97" t="str">
        <f t="shared" ca="1" si="6"/>
        <v/>
      </c>
      <c r="M118" s="76"/>
      <c r="N118" s="76"/>
      <c r="O118" s="76"/>
      <c r="P118" s="76"/>
      <c r="Q118" s="76"/>
      <c r="R118" s="76"/>
      <c r="S118" s="104"/>
      <c r="T118" s="104"/>
      <c r="U118" s="106"/>
      <c r="V118" s="98" t="str">
        <f>IF(OR(G118="Sold",H118="Died"),IF(G118="Sold",VLOOKUP(B118,SALE!$B$5:$J$1000,6,0),IF(H118="Died",VLOOKUP(B118,MORTALITY!$B$5:$K$1000,5,0),"")),"")</f>
        <v/>
      </c>
      <c r="W118" s="76"/>
    </row>
    <row r="119" spans="1:23">
      <c r="A119" s="93">
        <f t="shared" si="7"/>
        <v>115</v>
      </c>
      <c r="B119" s="94"/>
      <c r="C119" s="76"/>
      <c r="D119" s="76"/>
      <c r="E119" s="76"/>
      <c r="F119" s="94" t="str">
        <f t="shared" ca="1" si="4"/>
        <v/>
      </c>
      <c r="G119" s="96" t="str">
        <f>IFERROR((IF((VLOOKUP(B119,SALE!$B$5:$B$1000,1,0))&gt;0,"Sold","")),"")</f>
        <v/>
      </c>
      <c r="H119" s="96" t="str">
        <f>IFERROR((IF((VLOOKUP(B119,MORTALITY!$B$5:$B$1000,1,0))&gt;0,"Died","")),"")</f>
        <v/>
      </c>
      <c r="I119" s="96" t="str">
        <f ca="1">IFERROR(
   IF(LOOKUP(2,1/((ILLNESS!$B$6:$B$1000=B119)*(ILLNESS!$L$6:$L$1000&lt;&gt;"")),
            ILLNESS!$L$6:$L$1000)="No",
      "Sick",""),
"")</f>
        <v/>
      </c>
      <c r="J119" s="104"/>
      <c r="K119" s="97" t="str">
        <f t="shared" ca="1" si="5"/>
        <v/>
      </c>
      <c r="L119" s="97" t="str">
        <f t="shared" ca="1" si="6"/>
        <v/>
      </c>
      <c r="M119" s="76"/>
      <c r="N119" s="76"/>
      <c r="O119" s="76"/>
      <c r="P119" s="76"/>
      <c r="Q119" s="76"/>
      <c r="R119" s="76"/>
      <c r="S119" s="104"/>
      <c r="T119" s="104"/>
      <c r="U119" s="106"/>
      <c r="V119" s="98" t="str">
        <f>IF(OR(G119="Sold",H119="Died"),IF(G119="Sold",VLOOKUP(B119,SALE!$B$5:$J$1000,6,0),IF(H119="Died",VLOOKUP(B119,MORTALITY!$B$5:$K$1000,5,0),"")),"")</f>
        <v/>
      </c>
      <c r="W119" s="76"/>
    </row>
    <row r="120" spans="1:23">
      <c r="A120" s="93">
        <f t="shared" si="7"/>
        <v>116</v>
      </c>
      <c r="B120" s="94"/>
      <c r="C120" s="76"/>
      <c r="D120" s="76"/>
      <c r="E120" s="76"/>
      <c r="F120" s="94" t="str">
        <f t="shared" ca="1" si="4"/>
        <v/>
      </c>
      <c r="G120" s="96" t="str">
        <f>IFERROR((IF((VLOOKUP(B120,SALE!$B$5:$B$1000,1,0))&gt;0,"Sold","")),"")</f>
        <v/>
      </c>
      <c r="H120" s="96" t="str">
        <f>IFERROR((IF((VLOOKUP(B120,MORTALITY!$B$5:$B$1000,1,0))&gt;0,"Died","")),"")</f>
        <v/>
      </c>
      <c r="I120" s="96" t="str">
        <f ca="1">IFERROR(
   IF(LOOKUP(2,1/((ILLNESS!$B$6:$B$1000=B120)*(ILLNESS!$L$6:$L$1000&lt;&gt;"")),
            ILLNESS!$L$6:$L$1000)="No",
      "Sick",""),
"")</f>
        <v/>
      </c>
      <c r="J120" s="104"/>
      <c r="K120" s="97" t="str">
        <f t="shared" ca="1" si="5"/>
        <v/>
      </c>
      <c r="L120" s="97" t="str">
        <f t="shared" ca="1" si="6"/>
        <v/>
      </c>
      <c r="M120" s="76"/>
      <c r="N120" s="76"/>
      <c r="O120" s="76"/>
      <c r="P120" s="76"/>
      <c r="Q120" s="76"/>
      <c r="R120" s="76"/>
      <c r="S120" s="104"/>
      <c r="T120" s="104"/>
      <c r="U120" s="106"/>
      <c r="V120" s="98" t="str">
        <f>IF(OR(G120="Sold",H120="Died"),IF(G120="Sold",VLOOKUP(B120,SALE!$B$5:$J$1000,6,0),IF(H120="Died",VLOOKUP(B120,MORTALITY!$B$5:$K$1000,5,0),"")),"")</f>
        <v/>
      </c>
      <c r="W120" s="76"/>
    </row>
    <row r="121" spans="1:23">
      <c r="A121" s="93">
        <f t="shared" si="7"/>
        <v>117</v>
      </c>
      <c r="B121" s="94"/>
      <c r="C121" s="76"/>
      <c r="D121" s="76"/>
      <c r="E121" s="76"/>
      <c r="F121" s="94" t="str">
        <f t="shared" ca="1" si="4"/>
        <v/>
      </c>
      <c r="G121" s="96" t="str">
        <f>IFERROR((IF((VLOOKUP(B121,SALE!$B$5:$B$1000,1,0))&gt;0,"Sold","")),"")</f>
        <v/>
      </c>
      <c r="H121" s="96" t="str">
        <f>IFERROR((IF((VLOOKUP(B121,MORTALITY!$B$5:$B$1000,1,0))&gt;0,"Died","")),"")</f>
        <v/>
      </c>
      <c r="I121" s="96" t="str">
        <f ca="1">IFERROR(
   IF(LOOKUP(2,1/((ILLNESS!$B$6:$B$1000=B121)*(ILLNESS!$L$6:$L$1000&lt;&gt;"")),
            ILLNESS!$L$6:$L$1000)="No",
      "Sick",""),
"")</f>
        <v/>
      </c>
      <c r="J121" s="104"/>
      <c r="K121" s="97" t="str">
        <f t="shared" ca="1" si="5"/>
        <v/>
      </c>
      <c r="L121" s="97" t="str">
        <f t="shared" ca="1" si="6"/>
        <v/>
      </c>
      <c r="M121" s="76"/>
      <c r="N121" s="76"/>
      <c r="O121" s="76"/>
      <c r="P121" s="76"/>
      <c r="Q121" s="76"/>
      <c r="R121" s="76"/>
      <c r="S121" s="104"/>
      <c r="T121" s="104"/>
      <c r="U121" s="106"/>
      <c r="V121" s="98" t="str">
        <f>IF(OR(G121="Sold",H121="Died"),IF(G121="Sold",VLOOKUP(B121,SALE!$B$5:$J$1000,6,0),IF(H121="Died",VLOOKUP(B121,MORTALITY!$B$5:$K$1000,5,0),"")),"")</f>
        <v/>
      </c>
      <c r="W121" s="76"/>
    </row>
    <row r="122" spans="1:23">
      <c r="A122" s="93">
        <f t="shared" si="7"/>
        <v>118</v>
      </c>
      <c r="B122" s="94"/>
      <c r="C122" s="76"/>
      <c r="D122" s="76"/>
      <c r="E122" s="76"/>
      <c r="F122" s="94" t="str">
        <f t="shared" ca="1" si="4"/>
        <v/>
      </c>
      <c r="G122" s="96" t="str">
        <f>IFERROR((IF((VLOOKUP(B122,SALE!$B$5:$B$1000,1,0))&gt;0,"Sold","")),"")</f>
        <v/>
      </c>
      <c r="H122" s="96" t="str">
        <f>IFERROR((IF((VLOOKUP(B122,MORTALITY!$B$5:$B$1000,1,0))&gt;0,"Died","")),"")</f>
        <v/>
      </c>
      <c r="I122" s="96" t="str">
        <f ca="1">IFERROR(
   IF(LOOKUP(2,1/((ILLNESS!$B$6:$B$1000=B122)*(ILLNESS!$L$6:$L$1000&lt;&gt;"")),
            ILLNESS!$L$6:$L$1000)="No",
      "Sick",""),
"")</f>
        <v/>
      </c>
      <c r="J122" s="104"/>
      <c r="K122" s="97" t="str">
        <f t="shared" ca="1" si="5"/>
        <v/>
      </c>
      <c r="L122" s="97" t="str">
        <f t="shared" ca="1" si="6"/>
        <v/>
      </c>
      <c r="M122" s="76"/>
      <c r="N122" s="76"/>
      <c r="O122" s="76"/>
      <c r="P122" s="76"/>
      <c r="Q122" s="76"/>
      <c r="R122" s="76"/>
      <c r="S122" s="104"/>
      <c r="T122" s="104"/>
      <c r="U122" s="106"/>
      <c r="V122" s="98" t="str">
        <f>IF(OR(G122="Sold",H122="Died"),IF(G122="Sold",VLOOKUP(B122,SALE!$B$5:$J$1000,6,0),IF(H122="Died",VLOOKUP(B122,MORTALITY!$B$5:$K$1000,5,0),"")),"")</f>
        <v/>
      </c>
      <c r="W122" s="76"/>
    </row>
    <row r="123" spans="1:23">
      <c r="A123" s="93">
        <f t="shared" si="7"/>
        <v>119</v>
      </c>
      <c r="B123" s="94"/>
      <c r="C123" s="76"/>
      <c r="D123" s="76"/>
      <c r="E123" s="76"/>
      <c r="F123" s="94" t="str">
        <f t="shared" ca="1" si="4"/>
        <v/>
      </c>
      <c r="G123" s="96" t="str">
        <f>IFERROR((IF((VLOOKUP(B123,SALE!$B$5:$B$1000,1,0))&gt;0,"Sold","")),"")</f>
        <v/>
      </c>
      <c r="H123" s="96" t="str">
        <f>IFERROR((IF((VLOOKUP(B123,MORTALITY!$B$5:$B$1000,1,0))&gt;0,"Died","")),"")</f>
        <v/>
      </c>
      <c r="I123" s="96" t="str">
        <f ca="1">IFERROR(
   IF(LOOKUP(2,1/((ILLNESS!$B$6:$B$1000=B123)*(ILLNESS!$L$6:$L$1000&lt;&gt;"")),
            ILLNESS!$L$6:$L$1000)="No",
      "Sick",""),
"")</f>
        <v/>
      </c>
      <c r="J123" s="104"/>
      <c r="K123" s="97" t="str">
        <f t="shared" ca="1" si="5"/>
        <v/>
      </c>
      <c r="L123" s="97" t="str">
        <f t="shared" ca="1" si="6"/>
        <v/>
      </c>
      <c r="M123" s="76"/>
      <c r="N123" s="76"/>
      <c r="O123" s="76"/>
      <c r="P123" s="76"/>
      <c r="Q123" s="76"/>
      <c r="R123" s="76"/>
      <c r="S123" s="104"/>
      <c r="T123" s="104"/>
      <c r="U123" s="106"/>
      <c r="V123" s="98" t="str">
        <f>IF(OR(G123="Sold",H123="Died"),IF(G123="Sold",VLOOKUP(B123,SALE!$B$5:$J$1000,6,0),IF(H123="Died",VLOOKUP(B123,MORTALITY!$B$5:$K$1000,5,0),"")),"")</f>
        <v/>
      </c>
      <c r="W123" s="76"/>
    </row>
    <row r="124" spans="1:23">
      <c r="A124" s="93">
        <f t="shared" si="7"/>
        <v>120</v>
      </c>
      <c r="B124" s="94"/>
      <c r="C124" s="76"/>
      <c r="D124" s="76"/>
      <c r="E124" s="76"/>
      <c r="F124" s="94" t="str">
        <f t="shared" ca="1" si="4"/>
        <v/>
      </c>
      <c r="G124" s="96" t="str">
        <f>IFERROR((IF((VLOOKUP(B124,SALE!$B$5:$B$1000,1,0))&gt;0,"Sold","")),"")</f>
        <v/>
      </c>
      <c r="H124" s="96" t="str">
        <f>IFERROR((IF((VLOOKUP(B124,MORTALITY!$B$5:$B$1000,1,0))&gt;0,"Died","")),"")</f>
        <v/>
      </c>
      <c r="I124" s="96" t="str">
        <f ca="1">IFERROR(
   IF(LOOKUP(2,1/((ILLNESS!$B$6:$B$1000=B124)*(ILLNESS!$L$6:$L$1000&lt;&gt;"")),
            ILLNESS!$L$6:$L$1000)="No",
      "Sick",""),
"")</f>
        <v/>
      </c>
      <c r="J124" s="104"/>
      <c r="K124" s="97" t="str">
        <f t="shared" ca="1" si="5"/>
        <v/>
      </c>
      <c r="L124" s="97" t="str">
        <f t="shared" ca="1" si="6"/>
        <v/>
      </c>
      <c r="M124" s="76"/>
      <c r="N124" s="76"/>
      <c r="O124" s="76"/>
      <c r="P124" s="76"/>
      <c r="Q124" s="76"/>
      <c r="R124" s="76"/>
      <c r="S124" s="104"/>
      <c r="T124" s="104"/>
      <c r="U124" s="106"/>
      <c r="V124" s="98" t="str">
        <f>IF(OR(G124="Sold",H124="Died"),IF(G124="Sold",VLOOKUP(B124,SALE!$B$5:$J$1000,6,0),IF(H124="Died",VLOOKUP(B124,MORTALITY!$B$5:$K$1000,5,0),"")),"")</f>
        <v/>
      </c>
      <c r="W124" s="76"/>
    </row>
    <row r="125" spans="1:23">
      <c r="A125" s="93">
        <f t="shared" si="7"/>
        <v>121</v>
      </c>
      <c r="B125" s="94"/>
      <c r="C125" s="76"/>
      <c r="D125" s="76"/>
      <c r="E125" s="76"/>
      <c r="F125" s="94" t="str">
        <f t="shared" ca="1" si="4"/>
        <v/>
      </c>
      <c r="G125" s="96" t="str">
        <f>IFERROR((IF((VLOOKUP(B125,SALE!$B$5:$B$1000,1,0))&gt;0,"Sold","")),"")</f>
        <v/>
      </c>
      <c r="H125" s="96" t="str">
        <f>IFERROR((IF((VLOOKUP(B125,MORTALITY!$B$5:$B$1000,1,0))&gt;0,"Died","")),"")</f>
        <v/>
      </c>
      <c r="I125" s="96" t="str">
        <f ca="1">IFERROR(
   IF(LOOKUP(2,1/((ILLNESS!$B$6:$B$1000=B125)*(ILLNESS!$L$6:$L$1000&lt;&gt;"")),
            ILLNESS!$L$6:$L$1000)="No",
      "Sick",""),
"")</f>
        <v/>
      </c>
      <c r="J125" s="104"/>
      <c r="K125" s="97" t="str">
        <f t="shared" ca="1" si="5"/>
        <v/>
      </c>
      <c r="L125" s="97" t="str">
        <f t="shared" ca="1" si="6"/>
        <v/>
      </c>
      <c r="M125" s="76"/>
      <c r="N125" s="76"/>
      <c r="O125" s="76"/>
      <c r="P125" s="76"/>
      <c r="Q125" s="76"/>
      <c r="R125" s="76"/>
      <c r="S125" s="104"/>
      <c r="T125" s="104"/>
      <c r="U125" s="106"/>
      <c r="V125" s="98" t="str">
        <f>IF(OR(G125="Sold",H125="Died"),IF(G125="Sold",VLOOKUP(B125,SALE!$B$5:$J$1000,6,0),IF(H125="Died",VLOOKUP(B125,MORTALITY!$B$5:$K$1000,5,0),"")),"")</f>
        <v/>
      </c>
      <c r="W125" s="76"/>
    </row>
    <row r="126" spans="1:23">
      <c r="A126" s="93">
        <f t="shared" si="7"/>
        <v>122</v>
      </c>
      <c r="B126" s="94"/>
      <c r="C126" s="76"/>
      <c r="D126" s="76"/>
      <c r="E126" s="76"/>
      <c r="F126" s="94" t="str">
        <f t="shared" ca="1" si="4"/>
        <v/>
      </c>
      <c r="G126" s="96" t="str">
        <f>IFERROR((IF((VLOOKUP(B126,SALE!$B$5:$B$1000,1,0))&gt;0,"Sold","")),"")</f>
        <v/>
      </c>
      <c r="H126" s="96" t="str">
        <f>IFERROR((IF((VLOOKUP(B126,MORTALITY!$B$5:$B$1000,1,0))&gt;0,"Died","")),"")</f>
        <v/>
      </c>
      <c r="I126" s="96" t="str">
        <f ca="1">IFERROR(
   IF(LOOKUP(2,1/((ILLNESS!$B$6:$B$1000=B126)*(ILLNESS!$L$6:$L$1000&lt;&gt;"")),
            ILLNESS!$L$6:$L$1000)="No",
      "Sick",""),
"")</f>
        <v/>
      </c>
      <c r="J126" s="104"/>
      <c r="K126" s="97" t="str">
        <f t="shared" ca="1" si="5"/>
        <v/>
      </c>
      <c r="L126" s="97" t="str">
        <f t="shared" ca="1" si="6"/>
        <v/>
      </c>
      <c r="M126" s="76"/>
      <c r="N126" s="76"/>
      <c r="O126" s="76"/>
      <c r="P126" s="76"/>
      <c r="Q126" s="76"/>
      <c r="R126" s="76"/>
      <c r="S126" s="104"/>
      <c r="T126" s="104"/>
      <c r="U126" s="106"/>
      <c r="V126" s="98" t="str">
        <f>IF(OR(G126="Sold",H126="Died"),IF(G126="Sold",VLOOKUP(B126,SALE!$B$5:$J$1000,6,0),IF(H126="Died",VLOOKUP(B126,MORTALITY!$B$5:$K$1000,5,0),"")),"")</f>
        <v/>
      </c>
      <c r="W126" s="76"/>
    </row>
    <row r="127" spans="1:23">
      <c r="A127" s="93">
        <f t="shared" si="7"/>
        <v>123</v>
      </c>
      <c r="B127" s="94"/>
      <c r="C127" s="76"/>
      <c r="D127" s="76"/>
      <c r="E127" s="76"/>
      <c r="F127" s="94" t="str">
        <f t="shared" ca="1" si="4"/>
        <v/>
      </c>
      <c r="G127" s="96" t="str">
        <f>IFERROR((IF((VLOOKUP(B127,SALE!$B$5:$B$1000,1,0))&gt;0,"Sold","")),"")</f>
        <v/>
      </c>
      <c r="H127" s="96" t="str">
        <f>IFERROR((IF((VLOOKUP(B127,MORTALITY!$B$5:$B$1000,1,0))&gt;0,"Died","")),"")</f>
        <v/>
      </c>
      <c r="I127" s="96" t="str">
        <f ca="1">IFERROR(
   IF(LOOKUP(2,1/((ILLNESS!$B$6:$B$1000=B127)*(ILLNESS!$L$6:$L$1000&lt;&gt;"")),
            ILLNESS!$L$6:$L$1000)="No",
      "Sick",""),
"")</f>
        <v/>
      </c>
      <c r="J127" s="104"/>
      <c r="K127" s="97" t="str">
        <f t="shared" ca="1" si="5"/>
        <v/>
      </c>
      <c r="L127" s="97" t="str">
        <f t="shared" ca="1" si="6"/>
        <v/>
      </c>
      <c r="M127" s="76"/>
      <c r="N127" s="76"/>
      <c r="O127" s="76"/>
      <c r="P127" s="76"/>
      <c r="Q127" s="76"/>
      <c r="R127" s="76"/>
      <c r="S127" s="104"/>
      <c r="T127" s="104"/>
      <c r="U127" s="106"/>
      <c r="V127" s="98" t="str">
        <f>IF(OR(G127="Sold",H127="Died"),IF(G127="Sold",VLOOKUP(B127,SALE!$B$5:$J$1000,6,0),IF(H127="Died",VLOOKUP(B127,MORTALITY!$B$5:$K$1000,5,0),"")),"")</f>
        <v/>
      </c>
      <c r="W127" s="76"/>
    </row>
    <row r="128" spans="1:23">
      <c r="A128" s="93">
        <f t="shared" si="7"/>
        <v>124</v>
      </c>
      <c r="B128" s="94"/>
      <c r="C128" s="76"/>
      <c r="D128" s="76"/>
      <c r="E128" s="76"/>
      <c r="F128" s="94" t="str">
        <f t="shared" ca="1" si="4"/>
        <v/>
      </c>
      <c r="G128" s="96" t="str">
        <f>IFERROR((IF((VLOOKUP(B128,SALE!$B$5:$B$1000,1,0))&gt;0,"Sold","")),"")</f>
        <v/>
      </c>
      <c r="H128" s="96" t="str">
        <f>IFERROR((IF((VLOOKUP(B128,MORTALITY!$B$5:$B$1000,1,0))&gt;0,"Died","")),"")</f>
        <v/>
      </c>
      <c r="I128" s="96" t="str">
        <f ca="1">IFERROR(
   IF(LOOKUP(2,1/((ILLNESS!$B$6:$B$1000=B128)*(ILLNESS!$L$6:$L$1000&lt;&gt;"")),
            ILLNESS!$L$6:$L$1000)="No",
      "Sick",""),
"")</f>
        <v/>
      </c>
      <c r="J128" s="104"/>
      <c r="K128" s="97" t="str">
        <f t="shared" ca="1" si="5"/>
        <v/>
      </c>
      <c r="L128" s="97" t="str">
        <f t="shared" ca="1" si="6"/>
        <v/>
      </c>
      <c r="M128" s="76"/>
      <c r="N128" s="76"/>
      <c r="O128" s="76"/>
      <c r="P128" s="76"/>
      <c r="Q128" s="76"/>
      <c r="R128" s="76"/>
      <c r="S128" s="104"/>
      <c r="T128" s="104"/>
      <c r="U128" s="106"/>
      <c r="V128" s="98" t="str">
        <f>IF(OR(G128="Sold",H128="Died"),IF(G128="Sold",VLOOKUP(B128,SALE!$B$5:$J$1000,6,0),IF(H128="Died",VLOOKUP(B128,MORTALITY!$B$5:$K$1000,5,0),"")),"")</f>
        <v/>
      </c>
      <c r="W128" s="76"/>
    </row>
    <row r="129" spans="1:23">
      <c r="A129" s="93">
        <f t="shared" si="7"/>
        <v>125</v>
      </c>
      <c r="B129" s="94"/>
      <c r="C129" s="76"/>
      <c r="D129" s="76"/>
      <c r="E129" s="76"/>
      <c r="F129" s="94" t="str">
        <f t="shared" ca="1" si="4"/>
        <v/>
      </c>
      <c r="G129" s="96" t="str">
        <f>IFERROR((IF((VLOOKUP(B129,SALE!$B$5:$B$1000,1,0))&gt;0,"Sold","")),"")</f>
        <v/>
      </c>
      <c r="H129" s="96" t="str">
        <f>IFERROR((IF((VLOOKUP(B129,MORTALITY!$B$5:$B$1000,1,0))&gt;0,"Died","")),"")</f>
        <v/>
      </c>
      <c r="I129" s="96" t="str">
        <f ca="1">IFERROR(
   IF(LOOKUP(2,1/((ILLNESS!$B$6:$B$1000=B129)*(ILLNESS!$L$6:$L$1000&lt;&gt;"")),
            ILLNESS!$L$6:$L$1000)="No",
      "Sick",""),
"")</f>
        <v/>
      </c>
      <c r="J129" s="104"/>
      <c r="K129" s="97" t="str">
        <f t="shared" ca="1" si="5"/>
        <v/>
      </c>
      <c r="L129" s="97" t="str">
        <f t="shared" ca="1" si="6"/>
        <v/>
      </c>
      <c r="M129" s="76"/>
      <c r="N129" s="76"/>
      <c r="O129" s="76"/>
      <c r="P129" s="76"/>
      <c r="Q129" s="76"/>
      <c r="R129" s="76"/>
      <c r="S129" s="104"/>
      <c r="T129" s="104"/>
      <c r="U129" s="106"/>
      <c r="V129" s="98" t="str">
        <f>IF(OR(G129="Sold",H129="Died"),IF(G129="Sold",VLOOKUP(B129,SALE!$B$5:$J$1000,6,0),IF(H129="Died",VLOOKUP(B129,MORTALITY!$B$5:$K$1000,5,0),"")),"")</f>
        <v/>
      </c>
      <c r="W129" s="76"/>
    </row>
    <row r="130" spans="1:23">
      <c r="A130" s="93">
        <f t="shared" si="7"/>
        <v>126</v>
      </c>
      <c r="B130" s="94"/>
      <c r="C130" s="76"/>
      <c r="D130" s="76"/>
      <c r="E130" s="76"/>
      <c r="F130" s="94" t="str">
        <f t="shared" ca="1" si="4"/>
        <v/>
      </c>
      <c r="G130" s="96" t="str">
        <f>IFERROR((IF((VLOOKUP(B130,SALE!$B$5:$B$1000,1,0))&gt;0,"Sold","")),"")</f>
        <v/>
      </c>
      <c r="H130" s="96" t="str">
        <f>IFERROR((IF((VLOOKUP(B130,MORTALITY!$B$5:$B$1000,1,0))&gt;0,"Died","")),"")</f>
        <v/>
      </c>
      <c r="I130" s="96" t="str">
        <f ca="1">IFERROR(
   IF(LOOKUP(2,1/((ILLNESS!$B$6:$B$1000=B130)*(ILLNESS!$L$6:$L$1000&lt;&gt;"")),
            ILLNESS!$L$6:$L$1000)="No",
      "Sick",""),
"")</f>
        <v/>
      </c>
      <c r="J130" s="104"/>
      <c r="K130" s="97" t="str">
        <f t="shared" ca="1" si="5"/>
        <v/>
      </c>
      <c r="L130" s="97" t="str">
        <f t="shared" ca="1" si="6"/>
        <v/>
      </c>
      <c r="M130" s="76"/>
      <c r="N130" s="76"/>
      <c r="O130" s="76"/>
      <c r="P130" s="76"/>
      <c r="Q130" s="76"/>
      <c r="R130" s="76"/>
      <c r="S130" s="104"/>
      <c r="T130" s="104"/>
      <c r="U130" s="106"/>
      <c r="V130" s="98" t="str">
        <f>IF(OR(G130="Sold",H130="Died"),IF(G130="Sold",VLOOKUP(B130,SALE!$B$5:$J$1000,6,0),IF(H130="Died",VLOOKUP(B130,MORTALITY!$B$5:$K$1000,5,0),"")),"")</f>
        <v/>
      </c>
      <c r="W130" s="76"/>
    </row>
    <row r="131" spans="1:23">
      <c r="A131" s="93">
        <f t="shared" si="7"/>
        <v>127</v>
      </c>
      <c r="B131" s="94"/>
      <c r="C131" s="76"/>
      <c r="D131" s="76"/>
      <c r="E131" s="76"/>
      <c r="F131" s="94" t="str">
        <f t="shared" ca="1" si="4"/>
        <v/>
      </c>
      <c r="G131" s="96" t="str">
        <f>IFERROR((IF((VLOOKUP(B131,SALE!$B$5:$B$1000,1,0))&gt;0,"Sold","")),"")</f>
        <v/>
      </c>
      <c r="H131" s="96" t="str">
        <f>IFERROR((IF((VLOOKUP(B131,MORTALITY!$B$5:$B$1000,1,0))&gt;0,"Died","")),"")</f>
        <v/>
      </c>
      <c r="I131" s="96" t="str">
        <f ca="1">IFERROR(
   IF(LOOKUP(2,1/((ILLNESS!$B$6:$B$1000=B131)*(ILLNESS!$L$6:$L$1000&lt;&gt;"")),
            ILLNESS!$L$6:$L$1000)="No",
      "Sick",""),
"")</f>
        <v/>
      </c>
      <c r="J131" s="104"/>
      <c r="K131" s="97" t="str">
        <f t="shared" ca="1" si="5"/>
        <v/>
      </c>
      <c r="L131" s="97" t="str">
        <f t="shared" ca="1" si="6"/>
        <v/>
      </c>
      <c r="M131" s="76"/>
      <c r="N131" s="76"/>
      <c r="O131" s="76"/>
      <c r="P131" s="76"/>
      <c r="Q131" s="76"/>
      <c r="R131" s="76"/>
      <c r="S131" s="104"/>
      <c r="T131" s="104"/>
      <c r="U131" s="106"/>
      <c r="V131" s="98" t="str">
        <f>IF(OR(G131="Sold",H131="Died"),IF(G131="Sold",VLOOKUP(B131,SALE!$B$5:$J$1000,6,0),IF(H131="Died",VLOOKUP(B131,MORTALITY!$B$5:$K$1000,5,0),"")),"")</f>
        <v/>
      </c>
      <c r="W131" s="76"/>
    </row>
    <row r="132" spans="1:23">
      <c r="A132" s="93">
        <f t="shared" si="7"/>
        <v>128</v>
      </c>
      <c r="B132" s="94"/>
      <c r="C132" s="76"/>
      <c r="D132" s="76"/>
      <c r="E132" s="76"/>
      <c r="F132" s="94" t="str">
        <f t="shared" ca="1" si="4"/>
        <v/>
      </c>
      <c r="G132" s="96" t="str">
        <f>IFERROR((IF((VLOOKUP(B132,SALE!$B$5:$B$1000,1,0))&gt;0,"Sold","")),"")</f>
        <v/>
      </c>
      <c r="H132" s="96" t="str">
        <f>IFERROR((IF((VLOOKUP(B132,MORTALITY!$B$5:$B$1000,1,0))&gt;0,"Died","")),"")</f>
        <v/>
      </c>
      <c r="I132" s="96" t="str">
        <f ca="1">IFERROR(
   IF(LOOKUP(2,1/((ILLNESS!$B$6:$B$1000=B132)*(ILLNESS!$L$6:$L$1000&lt;&gt;"")),
            ILLNESS!$L$6:$L$1000)="No",
      "Sick",""),
"")</f>
        <v/>
      </c>
      <c r="J132" s="104"/>
      <c r="K132" s="97" t="str">
        <f t="shared" ca="1" si="5"/>
        <v/>
      </c>
      <c r="L132" s="97" t="str">
        <f t="shared" ca="1" si="6"/>
        <v/>
      </c>
      <c r="M132" s="76"/>
      <c r="N132" s="76"/>
      <c r="O132" s="76"/>
      <c r="P132" s="76"/>
      <c r="Q132" s="76"/>
      <c r="R132" s="76"/>
      <c r="S132" s="104"/>
      <c r="T132" s="104"/>
      <c r="U132" s="106"/>
      <c r="V132" s="98" t="str">
        <f>IF(OR(G132="Sold",H132="Died"),IF(G132="Sold",VLOOKUP(B132,SALE!$B$5:$J$1000,6,0),IF(H132="Died",VLOOKUP(B132,MORTALITY!$B$5:$K$1000,5,0),"")),"")</f>
        <v/>
      </c>
      <c r="W132" s="76"/>
    </row>
    <row r="133" spans="1:23">
      <c r="A133" s="93">
        <f t="shared" si="7"/>
        <v>129</v>
      </c>
      <c r="B133" s="94"/>
      <c r="C133" s="76"/>
      <c r="D133" s="76"/>
      <c r="E133" s="76"/>
      <c r="F133" s="94" t="str">
        <f t="shared" ca="1" si="4"/>
        <v/>
      </c>
      <c r="G133" s="96" t="str">
        <f>IFERROR((IF((VLOOKUP(B133,SALE!$B$5:$B$1000,1,0))&gt;0,"Sold","")),"")</f>
        <v/>
      </c>
      <c r="H133" s="96" t="str">
        <f>IFERROR((IF((VLOOKUP(B133,MORTALITY!$B$5:$B$1000,1,0))&gt;0,"Died","")),"")</f>
        <v/>
      </c>
      <c r="I133" s="96" t="str">
        <f ca="1">IFERROR(
   IF(LOOKUP(2,1/((ILLNESS!$B$6:$B$1000=B133)*(ILLNESS!$L$6:$L$1000&lt;&gt;"")),
            ILLNESS!$L$6:$L$1000)="No",
      "Sick",""),
"")</f>
        <v/>
      </c>
      <c r="J133" s="104"/>
      <c r="K133" s="97" t="str">
        <f t="shared" ca="1" si="5"/>
        <v/>
      </c>
      <c r="L133" s="97" t="str">
        <f t="shared" ca="1" si="6"/>
        <v/>
      </c>
      <c r="M133" s="76"/>
      <c r="N133" s="76"/>
      <c r="O133" s="76"/>
      <c r="P133" s="76"/>
      <c r="Q133" s="76"/>
      <c r="R133" s="76"/>
      <c r="S133" s="104"/>
      <c r="T133" s="104"/>
      <c r="U133" s="106"/>
      <c r="V133" s="98" t="str">
        <f>IF(OR(G133="Sold",H133="Died"),IF(G133="Sold",VLOOKUP(B133,SALE!$B$5:$J$1000,6,0),IF(H133="Died",VLOOKUP(B133,MORTALITY!$B$5:$K$1000,5,0),"")),"")</f>
        <v/>
      </c>
      <c r="W133" s="76"/>
    </row>
    <row r="134" spans="1:23">
      <c r="A134" s="93">
        <f t="shared" si="7"/>
        <v>130</v>
      </c>
      <c r="B134" s="94"/>
      <c r="C134" s="76"/>
      <c r="D134" s="76"/>
      <c r="E134" s="76"/>
      <c r="F134" s="94" t="str">
        <f t="shared" ca="1" si="4"/>
        <v/>
      </c>
      <c r="G134" s="96" t="str">
        <f>IFERROR((IF((VLOOKUP(B134,SALE!$B$5:$B$1000,1,0))&gt;0,"Sold","")),"")</f>
        <v/>
      </c>
      <c r="H134" s="96" t="str">
        <f>IFERROR((IF((VLOOKUP(B134,MORTALITY!$B$5:$B$1000,1,0))&gt;0,"Died","")),"")</f>
        <v/>
      </c>
      <c r="I134" s="96" t="str">
        <f ca="1">IFERROR(
   IF(LOOKUP(2,1/((ILLNESS!$B$6:$B$1000=B134)*(ILLNESS!$L$6:$L$1000&lt;&gt;"")),
            ILLNESS!$L$6:$L$1000)="No",
      "Sick",""),
"")</f>
        <v/>
      </c>
      <c r="J134" s="104"/>
      <c r="K134" s="97" t="str">
        <f t="shared" ca="1" si="5"/>
        <v/>
      </c>
      <c r="L134" s="97" t="str">
        <f t="shared" ca="1" si="6"/>
        <v/>
      </c>
      <c r="M134" s="76"/>
      <c r="N134" s="76"/>
      <c r="O134" s="76"/>
      <c r="P134" s="76"/>
      <c r="Q134" s="76"/>
      <c r="R134" s="76"/>
      <c r="S134" s="104"/>
      <c r="T134" s="104"/>
      <c r="U134" s="106"/>
      <c r="V134" s="98" t="str">
        <f>IF(OR(G134="Sold",H134="Died"),IF(G134="Sold",VLOOKUP(B134,SALE!$B$5:$J$1000,6,0),IF(H134="Died",VLOOKUP(B134,MORTALITY!$B$5:$K$1000,5,0),"")),"")</f>
        <v/>
      </c>
      <c r="W134" s="76"/>
    </row>
    <row r="135" spans="1:23">
      <c r="A135" s="93">
        <f t="shared" si="7"/>
        <v>131</v>
      </c>
      <c r="B135" s="94"/>
      <c r="C135" s="76"/>
      <c r="D135" s="76"/>
      <c r="E135" s="76"/>
      <c r="F135" s="94" t="str">
        <f t="shared" ref="F135:F198" ca="1" si="8">IF(OR(G135="Sold",H135="Died",I135="Sick"),"Inactive",IF(OR(C135="MALE",C135="FEMALE"),"Active",""))</f>
        <v/>
      </c>
      <c r="G135" s="96" t="str">
        <f>IFERROR((IF((VLOOKUP(B135,SALE!$B$5:$B$1000,1,0))&gt;0,"Sold","")),"")</f>
        <v/>
      </c>
      <c r="H135" s="96" t="str">
        <f>IFERROR((IF((VLOOKUP(B135,MORTALITY!$B$5:$B$1000,1,0))&gt;0,"Died","")),"")</f>
        <v/>
      </c>
      <c r="I135" s="96" t="str">
        <f ca="1">IFERROR(
   IF(LOOKUP(2,1/((ILLNESS!$B$6:$B$1000=B135)*(ILLNESS!$L$6:$L$1000&lt;&gt;"")),
            ILLNESS!$L$6:$L$1000)="No",
      "Sick",""),
"")</f>
        <v/>
      </c>
      <c r="J135" s="104"/>
      <c r="K135" s="97" t="str">
        <f t="shared" ref="K135:K198" ca="1" si="9">IF(J135="","",DATEDIF($J135,TODAY(),"Y"))</f>
        <v/>
      </c>
      <c r="L135" s="97" t="str">
        <f t="shared" ref="L135:L198" ca="1" si="10">IFERROR(DATEDIF($J135,TODAY(),"M")-($K135*12),"")</f>
        <v/>
      </c>
      <c r="M135" s="76"/>
      <c r="N135" s="76"/>
      <c r="O135" s="76"/>
      <c r="P135" s="76"/>
      <c r="Q135" s="76"/>
      <c r="R135" s="76"/>
      <c r="S135" s="104"/>
      <c r="T135" s="104"/>
      <c r="U135" s="106"/>
      <c r="V135" s="98" t="str">
        <f>IF(OR(G135="Sold",H135="Died"),IF(G135="Sold",VLOOKUP(B135,SALE!$B$5:$J$1000,6,0),IF(H135="Died",VLOOKUP(B135,MORTALITY!$B$5:$K$1000,5,0),"")),"")</f>
        <v/>
      </c>
      <c r="W135" s="76"/>
    </row>
    <row r="136" spans="1:23">
      <c r="A136" s="93">
        <f t="shared" si="7"/>
        <v>132</v>
      </c>
      <c r="B136" s="94"/>
      <c r="C136" s="76"/>
      <c r="D136" s="76"/>
      <c r="E136" s="76"/>
      <c r="F136" s="94" t="str">
        <f t="shared" ca="1" si="8"/>
        <v/>
      </c>
      <c r="G136" s="96" t="str">
        <f>IFERROR((IF((VLOOKUP(B136,SALE!$B$5:$B$1000,1,0))&gt;0,"Sold","")),"")</f>
        <v/>
      </c>
      <c r="H136" s="96" t="str">
        <f>IFERROR((IF((VLOOKUP(B136,MORTALITY!$B$5:$B$1000,1,0))&gt;0,"Died","")),"")</f>
        <v/>
      </c>
      <c r="I136" s="96" t="str">
        <f ca="1">IFERROR(
   IF(LOOKUP(2,1/((ILLNESS!$B$6:$B$1000=B136)*(ILLNESS!$L$6:$L$1000&lt;&gt;"")),
            ILLNESS!$L$6:$L$1000)="No",
      "Sick",""),
"")</f>
        <v/>
      </c>
      <c r="J136" s="104"/>
      <c r="K136" s="97" t="str">
        <f t="shared" ca="1" si="9"/>
        <v/>
      </c>
      <c r="L136" s="97" t="str">
        <f t="shared" ca="1" si="10"/>
        <v/>
      </c>
      <c r="M136" s="76"/>
      <c r="N136" s="76"/>
      <c r="O136" s="76"/>
      <c r="P136" s="76"/>
      <c r="Q136" s="76"/>
      <c r="R136" s="76"/>
      <c r="S136" s="104"/>
      <c r="T136" s="104"/>
      <c r="U136" s="106"/>
      <c r="V136" s="98" t="str">
        <f>IF(OR(G136="Sold",H136="Died"),IF(G136="Sold",VLOOKUP(B136,SALE!$B$5:$J$1000,6,0),IF(H136="Died",VLOOKUP(B136,MORTALITY!$B$5:$K$1000,5,0),"")),"")</f>
        <v/>
      </c>
      <c r="W136" s="76"/>
    </row>
    <row r="137" spans="1:23">
      <c r="A137" s="93">
        <f t="shared" ref="A137:A200" si="11">ROW(A133)</f>
        <v>133</v>
      </c>
      <c r="B137" s="94"/>
      <c r="C137" s="76"/>
      <c r="D137" s="76"/>
      <c r="E137" s="76"/>
      <c r="F137" s="94" t="str">
        <f t="shared" ca="1" si="8"/>
        <v/>
      </c>
      <c r="G137" s="96" t="str">
        <f>IFERROR((IF((VLOOKUP(B137,SALE!$B$5:$B$1000,1,0))&gt;0,"Sold","")),"")</f>
        <v/>
      </c>
      <c r="H137" s="96" t="str">
        <f>IFERROR((IF((VLOOKUP(B137,MORTALITY!$B$5:$B$1000,1,0))&gt;0,"Died","")),"")</f>
        <v/>
      </c>
      <c r="I137" s="96" t="str">
        <f ca="1">IFERROR(
   IF(LOOKUP(2,1/((ILLNESS!$B$6:$B$1000=B137)*(ILLNESS!$L$6:$L$1000&lt;&gt;"")),
            ILLNESS!$L$6:$L$1000)="No",
      "Sick",""),
"")</f>
        <v/>
      </c>
      <c r="J137" s="104"/>
      <c r="K137" s="97" t="str">
        <f t="shared" ca="1" si="9"/>
        <v/>
      </c>
      <c r="L137" s="97" t="str">
        <f t="shared" ca="1" si="10"/>
        <v/>
      </c>
      <c r="M137" s="76"/>
      <c r="N137" s="76"/>
      <c r="O137" s="76"/>
      <c r="P137" s="76"/>
      <c r="Q137" s="76"/>
      <c r="R137" s="76"/>
      <c r="S137" s="104"/>
      <c r="T137" s="104"/>
      <c r="U137" s="106"/>
      <c r="V137" s="98" t="str">
        <f>IF(OR(G137="Sold",H137="Died"),IF(G137="Sold",VLOOKUP(B137,SALE!$B$5:$J$1000,6,0),IF(H137="Died",VLOOKUP(B137,MORTALITY!$B$5:$K$1000,5,0),"")),"")</f>
        <v/>
      </c>
      <c r="W137" s="76"/>
    </row>
    <row r="138" spans="1:23">
      <c r="A138" s="93">
        <f t="shared" si="11"/>
        <v>134</v>
      </c>
      <c r="B138" s="94"/>
      <c r="C138" s="76"/>
      <c r="D138" s="76"/>
      <c r="E138" s="76"/>
      <c r="F138" s="94" t="str">
        <f t="shared" ca="1" si="8"/>
        <v/>
      </c>
      <c r="G138" s="96" t="str">
        <f>IFERROR((IF((VLOOKUP(B138,SALE!$B$5:$B$1000,1,0))&gt;0,"Sold","")),"")</f>
        <v/>
      </c>
      <c r="H138" s="96" t="str">
        <f>IFERROR((IF((VLOOKUP(B138,MORTALITY!$B$5:$B$1000,1,0))&gt;0,"Died","")),"")</f>
        <v/>
      </c>
      <c r="I138" s="96" t="str">
        <f ca="1">IFERROR(
   IF(LOOKUP(2,1/((ILLNESS!$B$6:$B$1000=B138)*(ILLNESS!$L$6:$L$1000&lt;&gt;"")),
            ILLNESS!$L$6:$L$1000)="No",
      "Sick",""),
"")</f>
        <v/>
      </c>
      <c r="J138" s="104"/>
      <c r="K138" s="97" t="str">
        <f t="shared" ca="1" si="9"/>
        <v/>
      </c>
      <c r="L138" s="97" t="str">
        <f t="shared" ca="1" si="10"/>
        <v/>
      </c>
      <c r="M138" s="76"/>
      <c r="N138" s="76"/>
      <c r="O138" s="76"/>
      <c r="P138" s="76"/>
      <c r="Q138" s="76"/>
      <c r="R138" s="76"/>
      <c r="S138" s="104"/>
      <c r="T138" s="104"/>
      <c r="U138" s="106"/>
      <c r="V138" s="98" t="str">
        <f>IF(OR(G138="Sold",H138="Died"),IF(G138="Sold",VLOOKUP(B138,SALE!$B$5:$J$1000,6,0),IF(H138="Died",VLOOKUP(B138,MORTALITY!$B$5:$K$1000,5,0),"")),"")</f>
        <v/>
      </c>
      <c r="W138" s="76"/>
    </row>
    <row r="139" spans="1:23">
      <c r="A139" s="93">
        <f t="shared" si="11"/>
        <v>135</v>
      </c>
      <c r="B139" s="94"/>
      <c r="C139" s="76"/>
      <c r="D139" s="76"/>
      <c r="E139" s="76"/>
      <c r="F139" s="94" t="str">
        <f t="shared" ca="1" si="8"/>
        <v/>
      </c>
      <c r="G139" s="96" t="str">
        <f>IFERROR((IF((VLOOKUP(B139,SALE!$B$5:$B$1000,1,0))&gt;0,"Sold","")),"")</f>
        <v/>
      </c>
      <c r="H139" s="96" t="str">
        <f>IFERROR((IF((VLOOKUP(B139,MORTALITY!$B$5:$B$1000,1,0))&gt;0,"Died","")),"")</f>
        <v/>
      </c>
      <c r="I139" s="96" t="str">
        <f ca="1">IFERROR(
   IF(LOOKUP(2,1/((ILLNESS!$B$6:$B$1000=B139)*(ILLNESS!$L$6:$L$1000&lt;&gt;"")),
            ILLNESS!$L$6:$L$1000)="No",
      "Sick",""),
"")</f>
        <v/>
      </c>
      <c r="J139" s="104"/>
      <c r="K139" s="97" t="str">
        <f t="shared" ca="1" si="9"/>
        <v/>
      </c>
      <c r="L139" s="97" t="str">
        <f t="shared" ca="1" si="10"/>
        <v/>
      </c>
      <c r="M139" s="76"/>
      <c r="N139" s="76"/>
      <c r="O139" s="76"/>
      <c r="P139" s="76"/>
      <c r="Q139" s="76"/>
      <c r="R139" s="76"/>
      <c r="S139" s="104"/>
      <c r="T139" s="104"/>
      <c r="U139" s="106"/>
      <c r="V139" s="98" t="str">
        <f>IF(OR(G139="Sold",H139="Died"),IF(G139="Sold",VLOOKUP(B139,SALE!$B$5:$J$1000,6,0),IF(H139="Died",VLOOKUP(B139,MORTALITY!$B$5:$K$1000,5,0),"")),"")</f>
        <v/>
      </c>
      <c r="W139" s="76"/>
    </row>
    <row r="140" spans="1:23">
      <c r="A140" s="93">
        <f t="shared" si="11"/>
        <v>136</v>
      </c>
      <c r="B140" s="94"/>
      <c r="C140" s="76"/>
      <c r="D140" s="76"/>
      <c r="E140" s="76"/>
      <c r="F140" s="94" t="str">
        <f t="shared" ca="1" si="8"/>
        <v/>
      </c>
      <c r="G140" s="96" t="str">
        <f>IFERROR((IF((VLOOKUP(B140,SALE!$B$5:$B$1000,1,0))&gt;0,"Sold","")),"")</f>
        <v/>
      </c>
      <c r="H140" s="96" t="str">
        <f>IFERROR((IF((VLOOKUP(B140,MORTALITY!$B$5:$B$1000,1,0))&gt;0,"Died","")),"")</f>
        <v/>
      </c>
      <c r="I140" s="96" t="str">
        <f ca="1">IFERROR(
   IF(LOOKUP(2,1/((ILLNESS!$B$6:$B$1000=B140)*(ILLNESS!$L$6:$L$1000&lt;&gt;"")),
            ILLNESS!$L$6:$L$1000)="No",
      "Sick",""),
"")</f>
        <v/>
      </c>
      <c r="J140" s="104"/>
      <c r="K140" s="97" t="str">
        <f t="shared" ca="1" si="9"/>
        <v/>
      </c>
      <c r="L140" s="97" t="str">
        <f t="shared" ca="1" si="10"/>
        <v/>
      </c>
      <c r="M140" s="76"/>
      <c r="N140" s="76"/>
      <c r="O140" s="76"/>
      <c r="P140" s="76"/>
      <c r="Q140" s="76"/>
      <c r="R140" s="76"/>
      <c r="S140" s="104"/>
      <c r="T140" s="104"/>
      <c r="U140" s="106"/>
      <c r="V140" s="98" t="str">
        <f>IF(OR(G140="Sold",H140="Died"),IF(G140="Sold",VLOOKUP(B140,SALE!$B$5:$J$1000,6,0),IF(H140="Died",VLOOKUP(B140,MORTALITY!$B$5:$K$1000,5,0),"")),"")</f>
        <v/>
      </c>
      <c r="W140" s="76"/>
    </row>
    <row r="141" spans="1:23">
      <c r="A141" s="93">
        <f t="shared" si="11"/>
        <v>137</v>
      </c>
      <c r="B141" s="94"/>
      <c r="C141" s="76"/>
      <c r="D141" s="76"/>
      <c r="E141" s="76"/>
      <c r="F141" s="94" t="str">
        <f t="shared" ca="1" si="8"/>
        <v/>
      </c>
      <c r="G141" s="96" t="str">
        <f>IFERROR((IF((VLOOKUP(B141,SALE!$B$5:$B$1000,1,0))&gt;0,"Sold","")),"")</f>
        <v/>
      </c>
      <c r="H141" s="96" t="str">
        <f>IFERROR((IF((VLOOKUP(B141,MORTALITY!$B$5:$B$1000,1,0))&gt;0,"Died","")),"")</f>
        <v/>
      </c>
      <c r="I141" s="96" t="str">
        <f ca="1">IFERROR(
   IF(LOOKUP(2,1/((ILLNESS!$B$6:$B$1000=B141)*(ILLNESS!$L$6:$L$1000&lt;&gt;"")),
            ILLNESS!$L$6:$L$1000)="No",
      "Sick",""),
"")</f>
        <v/>
      </c>
      <c r="J141" s="104"/>
      <c r="K141" s="97" t="str">
        <f t="shared" ca="1" si="9"/>
        <v/>
      </c>
      <c r="L141" s="97" t="str">
        <f t="shared" ca="1" si="10"/>
        <v/>
      </c>
      <c r="M141" s="76"/>
      <c r="N141" s="76"/>
      <c r="O141" s="76"/>
      <c r="P141" s="76"/>
      <c r="Q141" s="76"/>
      <c r="R141" s="76"/>
      <c r="S141" s="104"/>
      <c r="T141" s="104"/>
      <c r="U141" s="106"/>
      <c r="V141" s="98" t="str">
        <f>IF(OR(G141="Sold",H141="Died"),IF(G141="Sold",VLOOKUP(B141,SALE!$B$5:$J$1000,6,0),IF(H141="Died",VLOOKUP(B141,MORTALITY!$B$5:$K$1000,5,0),"")),"")</f>
        <v/>
      </c>
      <c r="W141" s="76"/>
    </row>
    <row r="142" spans="1:23">
      <c r="A142" s="93">
        <f t="shared" si="11"/>
        <v>138</v>
      </c>
      <c r="B142" s="94"/>
      <c r="C142" s="76"/>
      <c r="D142" s="76"/>
      <c r="E142" s="76"/>
      <c r="F142" s="94" t="str">
        <f t="shared" ca="1" si="8"/>
        <v/>
      </c>
      <c r="G142" s="96" t="str">
        <f>IFERROR((IF((VLOOKUP(B142,SALE!$B$5:$B$1000,1,0))&gt;0,"Sold","")),"")</f>
        <v/>
      </c>
      <c r="H142" s="96" t="str">
        <f>IFERROR((IF((VLOOKUP(B142,MORTALITY!$B$5:$B$1000,1,0))&gt;0,"Died","")),"")</f>
        <v/>
      </c>
      <c r="I142" s="96" t="str">
        <f ca="1">IFERROR(
   IF(LOOKUP(2,1/((ILLNESS!$B$6:$B$1000=B142)*(ILLNESS!$L$6:$L$1000&lt;&gt;"")),
            ILLNESS!$L$6:$L$1000)="No",
      "Sick",""),
"")</f>
        <v/>
      </c>
      <c r="J142" s="104"/>
      <c r="K142" s="97" t="str">
        <f t="shared" ca="1" si="9"/>
        <v/>
      </c>
      <c r="L142" s="97" t="str">
        <f t="shared" ca="1" si="10"/>
        <v/>
      </c>
      <c r="M142" s="76"/>
      <c r="N142" s="76"/>
      <c r="O142" s="76"/>
      <c r="P142" s="76"/>
      <c r="Q142" s="76"/>
      <c r="R142" s="76"/>
      <c r="S142" s="104"/>
      <c r="T142" s="104"/>
      <c r="U142" s="106"/>
      <c r="V142" s="98" t="str">
        <f>IF(OR(G142="Sold",H142="Died"),IF(G142="Sold",VLOOKUP(B142,SALE!$B$5:$J$1000,6,0),IF(H142="Died",VLOOKUP(B142,MORTALITY!$B$5:$K$1000,5,0),"")),"")</f>
        <v/>
      </c>
      <c r="W142" s="76"/>
    </row>
    <row r="143" spans="1:23">
      <c r="A143" s="93">
        <f t="shared" si="11"/>
        <v>139</v>
      </c>
      <c r="B143" s="94"/>
      <c r="C143" s="76"/>
      <c r="D143" s="76"/>
      <c r="E143" s="76"/>
      <c r="F143" s="94" t="str">
        <f t="shared" ca="1" si="8"/>
        <v/>
      </c>
      <c r="G143" s="96" t="str">
        <f>IFERROR((IF((VLOOKUP(B143,SALE!$B$5:$B$1000,1,0))&gt;0,"Sold","")),"")</f>
        <v/>
      </c>
      <c r="H143" s="96" t="str">
        <f>IFERROR((IF((VLOOKUP(B143,MORTALITY!$B$5:$B$1000,1,0))&gt;0,"Died","")),"")</f>
        <v/>
      </c>
      <c r="I143" s="96" t="str">
        <f ca="1">IFERROR(
   IF(LOOKUP(2,1/((ILLNESS!$B$6:$B$1000=B143)*(ILLNESS!$L$6:$L$1000&lt;&gt;"")),
            ILLNESS!$L$6:$L$1000)="No",
      "Sick",""),
"")</f>
        <v/>
      </c>
      <c r="J143" s="104"/>
      <c r="K143" s="97" t="str">
        <f t="shared" ca="1" si="9"/>
        <v/>
      </c>
      <c r="L143" s="97" t="str">
        <f t="shared" ca="1" si="10"/>
        <v/>
      </c>
      <c r="M143" s="76"/>
      <c r="N143" s="76"/>
      <c r="O143" s="76"/>
      <c r="P143" s="76"/>
      <c r="Q143" s="76"/>
      <c r="R143" s="76"/>
      <c r="S143" s="104"/>
      <c r="T143" s="104"/>
      <c r="U143" s="106"/>
      <c r="V143" s="98" t="str">
        <f>IF(OR(G143="Sold",H143="Died"),IF(G143="Sold",VLOOKUP(B143,SALE!$B$5:$J$1000,6,0),IF(H143="Died",VLOOKUP(B143,MORTALITY!$B$5:$K$1000,5,0),"")),"")</f>
        <v/>
      </c>
      <c r="W143" s="76"/>
    </row>
    <row r="144" spans="1:23">
      <c r="A144" s="93">
        <f t="shared" si="11"/>
        <v>140</v>
      </c>
      <c r="B144" s="94"/>
      <c r="C144" s="76"/>
      <c r="D144" s="76"/>
      <c r="E144" s="76"/>
      <c r="F144" s="94" t="str">
        <f t="shared" ca="1" si="8"/>
        <v/>
      </c>
      <c r="G144" s="96" t="str">
        <f>IFERROR((IF((VLOOKUP(B144,SALE!$B$5:$B$1000,1,0))&gt;0,"Sold","")),"")</f>
        <v/>
      </c>
      <c r="H144" s="96" t="str">
        <f>IFERROR((IF((VLOOKUP(B144,MORTALITY!$B$5:$B$1000,1,0))&gt;0,"Died","")),"")</f>
        <v/>
      </c>
      <c r="I144" s="96" t="str">
        <f ca="1">IFERROR(
   IF(LOOKUP(2,1/((ILLNESS!$B$6:$B$1000=B144)*(ILLNESS!$L$6:$L$1000&lt;&gt;"")),
            ILLNESS!$L$6:$L$1000)="No",
      "Sick",""),
"")</f>
        <v/>
      </c>
      <c r="J144" s="104"/>
      <c r="K144" s="97" t="str">
        <f t="shared" ca="1" si="9"/>
        <v/>
      </c>
      <c r="L144" s="97" t="str">
        <f t="shared" ca="1" si="10"/>
        <v/>
      </c>
      <c r="M144" s="76"/>
      <c r="N144" s="76"/>
      <c r="O144" s="76"/>
      <c r="P144" s="76"/>
      <c r="Q144" s="76"/>
      <c r="R144" s="76"/>
      <c r="S144" s="104"/>
      <c r="T144" s="104"/>
      <c r="U144" s="106"/>
      <c r="V144" s="98" t="str">
        <f>IF(OR(G144="Sold",H144="Died"),IF(G144="Sold",VLOOKUP(B144,SALE!$B$5:$J$1000,6,0),IF(H144="Died",VLOOKUP(B144,MORTALITY!$B$5:$K$1000,5,0),"")),"")</f>
        <v/>
      </c>
      <c r="W144" s="76"/>
    </row>
    <row r="145" spans="1:23">
      <c r="A145" s="93">
        <f t="shared" si="11"/>
        <v>141</v>
      </c>
      <c r="B145" s="94"/>
      <c r="C145" s="76"/>
      <c r="D145" s="76"/>
      <c r="E145" s="76"/>
      <c r="F145" s="94" t="str">
        <f t="shared" ca="1" si="8"/>
        <v/>
      </c>
      <c r="G145" s="96" t="str">
        <f>IFERROR((IF((VLOOKUP(B145,SALE!$B$5:$B$1000,1,0))&gt;0,"Sold","")),"")</f>
        <v/>
      </c>
      <c r="H145" s="96" t="str">
        <f>IFERROR((IF((VLOOKUP(B145,MORTALITY!$B$5:$B$1000,1,0))&gt;0,"Died","")),"")</f>
        <v/>
      </c>
      <c r="I145" s="96" t="str">
        <f ca="1">IFERROR(
   IF(LOOKUP(2,1/((ILLNESS!$B$6:$B$1000=B145)*(ILLNESS!$L$6:$L$1000&lt;&gt;"")),
            ILLNESS!$L$6:$L$1000)="No",
      "Sick",""),
"")</f>
        <v/>
      </c>
      <c r="J145" s="104"/>
      <c r="K145" s="97" t="str">
        <f t="shared" ca="1" si="9"/>
        <v/>
      </c>
      <c r="L145" s="97" t="str">
        <f t="shared" ca="1" si="10"/>
        <v/>
      </c>
      <c r="M145" s="76"/>
      <c r="N145" s="76"/>
      <c r="O145" s="76"/>
      <c r="P145" s="76"/>
      <c r="Q145" s="76"/>
      <c r="R145" s="76"/>
      <c r="S145" s="104"/>
      <c r="T145" s="104"/>
      <c r="U145" s="106"/>
      <c r="V145" s="98" t="str">
        <f>IF(OR(G145="Sold",H145="Died"),IF(G145="Sold",VLOOKUP(B145,SALE!$B$5:$J$1000,6,0),IF(H145="Died",VLOOKUP(B145,MORTALITY!$B$5:$K$1000,5,0),"")),"")</f>
        <v/>
      </c>
      <c r="W145" s="76"/>
    </row>
    <row r="146" spans="1:23">
      <c r="A146" s="93">
        <f t="shared" si="11"/>
        <v>142</v>
      </c>
      <c r="B146" s="94"/>
      <c r="C146" s="76"/>
      <c r="D146" s="76"/>
      <c r="E146" s="76"/>
      <c r="F146" s="94" t="str">
        <f t="shared" ca="1" si="8"/>
        <v/>
      </c>
      <c r="G146" s="96" t="str">
        <f>IFERROR((IF((VLOOKUP(B146,SALE!$B$5:$B$1000,1,0))&gt;0,"Sold","")),"")</f>
        <v/>
      </c>
      <c r="H146" s="96" t="str">
        <f>IFERROR((IF((VLOOKUP(B146,MORTALITY!$B$5:$B$1000,1,0))&gt;0,"Died","")),"")</f>
        <v/>
      </c>
      <c r="I146" s="96" t="str">
        <f ca="1">IFERROR(
   IF(LOOKUP(2,1/((ILLNESS!$B$6:$B$1000=B146)*(ILLNESS!$L$6:$L$1000&lt;&gt;"")),
            ILLNESS!$L$6:$L$1000)="No",
      "Sick",""),
"")</f>
        <v/>
      </c>
      <c r="J146" s="104"/>
      <c r="K146" s="97" t="str">
        <f t="shared" ca="1" si="9"/>
        <v/>
      </c>
      <c r="L146" s="97" t="str">
        <f t="shared" ca="1" si="10"/>
        <v/>
      </c>
      <c r="M146" s="76"/>
      <c r="N146" s="76"/>
      <c r="O146" s="76"/>
      <c r="P146" s="76"/>
      <c r="Q146" s="76"/>
      <c r="R146" s="76"/>
      <c r="S146" s="104"/>
      <c r="T146" s="104"/>
      <c r="U146" s="106"/>
      <c r="V146" s="98" t="str">
        <f>IF(OR(G146="Sold",H146="Died"),IF(G146="Sold",VLOOKUP(B146,SALE!$B$5:$J$1000,6,0),IF(H146="Died",VLOOKUP(B146,MORTALITY!$B$5:$K$1000,5,0),"")),"")</f>
        <v/>
      </c>
      <c r="W146" s="76"/>
    </row>
    <row r="147" spans="1:23">
      <c r="A147" s="93">
        <f t="shared" si="11"/>
        <v>143</v>
      </c>
      <c r="B147" s="94"/>
      <c r="C147" s="76"/>
      <c r="D147" s="76"/>
      <c r="E147" s="76"/>
      <c r="F147" s="94" t="str">
        <f t="shared" ca="1" si="8"/>
        <v/>
      </c>
      <c r="G147" s="96" t="str">
        <f>IFERROR((IF((VLOOKUP(B147,SALE!$B$5:$B$1000,1,0))&gt;0,"Sold","")),"")</f>
        <v/>
      </c>
      <c r="H147" s="96" t="str">
        <f>IFERROR((IF((VLOOKUP(B147,MORTALITY!$B$5:$B$1000,1,0))&gt;0,"Died","")),"")</f>
        <v/>
      </c>
      <c r="I147" s="96" t="str">
        <f ca="1">IFERROR(
   IF(LOOKUP(2,1/((ILLNESS!$B$6:$B$1000=B147)*(ILLNESS!$L$6:$L$1000&lt;&gt;"")),
            ILLNESS!$L$6:$L$1000)="No",
      "Sick",""),
"")</f>
        <v/>
      </c>
      <c r="J147" s="104"/>
      <c r="K147" s="97" t="str">
        <f t="shared" ca="1" si="9"/>
        <v/>
      </c>
      <c r="L147" s="97" t="str">
        <f t="shared" ca="1" si="10"/>
        <v/>
      </c>
      <c r="M147" s="76"/>
      <c r="N147" s="76"/>
      <c r="O147" s="76"/>
      <c r="P147" s="76"/>
      <c r="Q147" s="76"/>
      <c r="R147" s="76"/>
      <c r="S147" s="104"/>
      <c r="T147" s="104"/>
      <c r="U147" s="106"/>
      <c r="V147" s="98" t="str">
        <f>IF(OR(G147="Sold",H147="Died"),IF(G147="Sold",VLOOKUP(B147,SALE!$B$5:$J$1000,6,0),IF(H147="Died",VLOOKUP(B147,MORTALITY!$B$5:$K$1000,5,0),"")),"")</f>
        <v/>
      </c>
      <c r="W147" s="76"/>
    </row>
    <row r="148" spans="1:23">
      <c r="A148" s="93">
        <f t="shared" si="11"/>
        <v>144</v>
      </c>
      <c r="B148" s="94"/>
      <c r="C148" s="76"/>
      <c r="D148" s="76"/>
      <c r="E148" s="76"/>
      <c r="F148" s="94" t="str">
        <f t="shared" ca="1" si="8"/>
        <v/>
      </c>
      <c r="G148" s="96" t="str">
        <f>IFERROR((IF((VLOOKUP(B148,SALE!$B$5:$B$1000,1,0))&gt;0,"Sold","")),"")</f>
        <v/>
      </c>
      <c r="H148" s="96" t="str">
        <f>IFERROR((IF((VLOOKUP(B148,MORTALITY!$B$5:$B$1000,1,0))&gt;0,"Died","")),"")</f>
        <v/>
      </c>
      <c r="I148" s="96" t="str">
        <f ca="1">IFERROR(
   IF(LOOKUP(2,1/((ILLNESS!$B$6:$B$1000=B148)*(ILLNESS!$L$6:$L$1000&lt;&gt;"")),
            ILLNESS!$L$6:$L$1000)="No",
      "Sick",""),
"")</f>
        <v/>
      </c>
      <c r="J148" s="104"/>
      <c r="K148" s="97" t="str">
        <f t="shared" ca="1" si="9"/>
        <v/>
      </c>
      <c r="L148" s="97" t="str">
        <f t="shared" ca="1" si="10"/>
        <v/>
      </c>
      <c r="M148" s="76"/>
      <c r="N148" s="76"/>
      <c r="O148" s="76"/>
      <c r="P148" s="76"/>
      <c r="Q148" s="76"/>
      <c r="R148" s="76"/>
      <c r="S148" s="104"/>
      <c r="T148" s="104"/>
      <c r="U148" s="106"/>
      <c r="V148" s="98" t="str">
        <f>IF(OR(G148="Sold",H148="Died"),IF(G148="Sold",VLOOKUP(B148,SALE!$B$5:$J$1000,6,0),IF(H148="Died",VLOOKUP(B148,MORTALITY!$B$5:$K$1000,5,0),"")),"")</f>
        <v/>
      </c>
      <c r="W148" s="76"/>
    </row>
    <row r="149" spans="1:23">
      <c r="A149" s="93">
        <f t="shared" si="11"/>
        <v>145</v>
      </c>
      <c r="B149" s="94"/>
      <c r="C149" s="76"/>
      <c r="D149" s="76"/>
      <c r="E149" s="76"/>
      <c r="F149" s="94" t="str">
        <f t="shared" ca="1" si="8"/>
        <v/>
      </c>
      <c r="G149" s="96" t="str">
        <f>IFERROR((IF((VLOOKUP(B149,SALE!$B$5:$B$1000,1,0))&gt;0,"Sold","")),"")</f>
        <v/>
      </c>
      <c r="H149" s="96" t="str">
        <f>IFERROR((IF((VLOOKUP(B149,MORTALITY!$B$5:$B$1000,1,0))&gt;0,"Died","")),"")</f>
        <v/>
      </c>
      <c r="I149" s="96" t="str">
        <f ca="1">IFERROR(
   IF(LOOKUP(2,1/((ILLNESS!$B$6:$B$1000=B149)*(ILLNESS!$L$6:$L$1000&lt;&gt;"")),
            ILLNESS!$L$6:$L$1000)="No",
      "Sick",""),
"")</f>
        <v/>
      </c>
      <c r="J149" s="104"/>
      <c r="K149" s="97" t="str">
        <f t="shared" ca="1" si="9"/>
        <v/>
      </c>
      <c r="L149" s="97" t="str">
        <f t="shared" ca="1" si="10"/>
        <v/>
      </c>
      <c r="M149" s="76"/>
      <c r="N149" s="76"/>
      <c r="O149" s="76"/>
      <c r="P149" s="76"/>
      <c r="Q149" s="76"/>
      <c r="R149" s="76"/>
      <c r="S149" s="104"/>
      <c r="T149" s="104"/>
      <c r="U149" s="106"/>
      <c r="V149" s="98" t="str">
        <f>IF(OR(G149="Sold",H149="Died"),IF(G149="Sold",VLOOKUP(B149,SALE!$B$5:$J$1000,6,0),IF(H149="Died",VLOOKUP(B149,MORTALITY!$B$5:$K$1000,5,0),"")),"")</f>
        <v/>
      </c>
      <c r="W149" s="76"/>
    </row>
    <row r="150" spans="1:23">
      <c r="A150" s="93">
        <f t="shared" si="11"/>
        <v>146</v>
      </c>
      <c r="B150" s="94"/>
      <c r="C150" s="76"/>
      <c r="D150" s="76"/>
      <c r="E150" s="76"/>
      <c r="F150" s="94" t="str">
        <f t="shared" ca="1" si="8"/>
        <v/>
      </c>
      <c r="G150" s="96" t="str">
        <f>IFERROR((IF((VLOOKUP(B150,SALE!$B$5:$B$1000,1,0))&gt;0,"Sold","")),"")</f>
        <v/>
      </c>
      <c r="H150" s="96" t="str">
        <f>IFERROR((IF((VLOOKUP(B150,MORTALITY!$B$5:$B$1000,1,0))&gt;0,"Died","")),"")</f>
        <v/>
      </c>
      <c r="I150" s="96" t="str">
        <f ca="1">IFERROR(
   IF(LOOKUP(2,1/((ILLNESS!$B$6:$B$1000=B150)*(ILLNESS!$L$6:$L$1000&lt;&gt;"")),
            ILLNESS!$L$6:$L$1000)="No",
      "Sick",""),
"")</f>
        <v/>
      </c>
      <c r="J150" s="104"/>
      <c r="K150" s="97" t="str">
        <f t="shared" ca="1" si="9"/>
        <v/>
      </c>
      <c r="L150" s="97" t="str">
        <f t="shared" ca="1" si="10"/>
        <v/>
      </c>
      <c r="M150" s="76"/>
      <c r="N150" s="76"/>
      <c r="O150" s="76"/>
      <c r="P150" s="76"/>
      <c r="Q150" s="76"/>
      <c r="R150" s="76"/>
      <c r="S150" s="104"/>
      <c r="T150" s="104"/>
      <c r="U150" s="106"/>
      <c r="V150" s="98" t="str">
        <f>IF(OR(G150="Sold",H150="Died"),IF(G150="Sold",VLOOKUP(B150,SALE!$B$5:$J$1000,6,0),IF(H150="Died",VLOOKUP(B150,MORTALITY!$B$5:$K$1000,5,0),"")),"")</f>
        <v/>
      </c>
      <c r="W150" s="76"/>
    </row>
    <row r="151" spans="1:23">
      <c r="A151" s="93">
        <f t="shared" si="11"/>
        <v>147</v>
      </c>
      <c r="B151" s="94"/>
      <c r="C151" s="76"/>
      <c r="D151" s="76"/>
      <c r="E151" s="76"/>
      <c r="F151" s="94" t="str">
        <f t="shared" ca="1" si="8"/>
        <v/>
      </c>
      <c r="G151" s="96" t="str">
        <f>IFERROR((IF((VLOOKUP(B151,SALE!$B$5:$B$1000,1,0))&gt;0,"Sold","")),"")</f>
        <v/>
      </c>
      <c r="H151" s="96" t="str">
        <f>IFERROR((IF((VLOOKUP(B151,MORTALITY!$B$5:$B$1000,1,0))&gt;0,"Died","")),"")</f>
        <v/>
      </c>
      <c r="I151" s="96" t="str">
        <f ca="1">IFERROR(
   IF(LOOKUP(2,1/((ILLNESS!$B$6:$B$1000=B151)*(ILLNESS!$L$6:$L$1000&lt;&gt;"")),
            ILLNESS!$L$6:$L$1000)="No",
      "Sick",""),
"")</f>
        <v/>
      </c>
      <c r="J151" s="104"/>
      <c r="K151" s="97" t="str">
        <f t="shared" ca="1" si="9"/>
        <v/>
      </c>
      <c r="L151" s="97" t="str">
        <f t="shared" ca="1" si="10"/>
        <v/>
      </c>
      <c r="M151" s="76"/>
      <c r="N151" s="76"/>
      <c r="O151" s="76"/>
      <c r="P151" s="76"/>
      <c r="Q151" s="76"/>
      <c r="R151" s="76"/>
      <c r="S151" s="104"/>
      <c r="T151" s="104"/>
      <c r="U151" s="106"/>
      <c r="V151" s="98" t="str">
        <f>IF(OR(G151="Sold",H151="Died"),IF(G151="Sold",VLOOKUP(B151,SALE!$B$5:$J$1000,6,0),IF(H151="Died",VLOOKUP(B151,MORTALITY!$B$5:$K$1000,5,0),"")),"")</f>
        <v/>
      </c>
      <c r="W151" s="76"/>
    </row>
    <row r="152" spans="1:23">
      <c r="A152" s="93">
        <f t="shared" si="11"/>
        <v>148</v>
      </c>
      <c r="B152" s="94"/>
      <c r="C152" s="76"/>
      <c r="D152" s="76"/>
      <c r="E152" s="76"/>
      <c r="F152" s="94" t="str">
        <f t="shared" ca="1" si="8"/>
        <v/>
      </c>
      <c r="G152" s="96" t="str">
        <f>IFERROR((IF((VLOOKUP(B152,SALE!$B$5:$B$1000,1,0))&gt;0,"Sold","")),"")</f>
        <v/>
      </c>
      <c r="H152" s="96" t="str">
        <f>IFERROR((IF((VLOOKUP(B152,MORTALITY!$B$5:$B$1000,1,0))&gt;0,"Died","")),"")</f>
        <v/>
      </c>
      <c r="I152" s="96" t="str">
        <f ca="1">IFERROR(
   IF(LOOKUP(2,1/((ILLNESS!$B$6:$B$1000=B152)*(ILLNESS!$L$6:$L$1000&lt;&gt;"")),
            ILLNESS!$L$6:$L$1000)="No",
      "Sick",""),
"")</f>
        <v/>
      </c>
      <c r="J152" s="104"/>
      <c r="K152" s="97" t="str">
        <f t="shared" ca="1" si="9"/>
        <v/>
      </c>
      <c r="L152" s="97" t="str">
        <f t="shared" ca="1" si="10"/>
        <v/>
      </c>
      <c r="M152" s="76"/>
      <c r="N152" s="76"/>
      <c r="O152" s="76"/>
      <c r="P152" s="76"/>
      <c r="Q152" s="76"/>
      <c r="R152" s="76"/>
      <c r="S152" s="104"/>
      <c r="T152" s="104"/>
      <c r="U152" s="106"/>
      <c r="V152" s="98" t="str">
        <f>IF(OR(G152="Sold",H152="Died"),IF(G152="Sold",VLOOKUP(B152,SALE!$B$5:$J$1000,6,0),IF(H152="Died",VLOOKUP(B152,MORTALITY!$B$5:$K$1000,5,0),"")),"")</f>
        <v/>
      </c>
      <c r="W152" s="76"/>
    </row>
    <row r="153" spans="1:23">
      <c r="A153" s="93">
        <f t="shared" si="11"/>
        <v>149</v>
      </c>
      <c r="B153" s="94"/>
      <c r="C153" s="76"/>
      <c r="D153" s="76"/>
      <c r="E153" s="76"/>
      <c r="F153" s="94" t="str">
        <f t="shared" ca="1" si="8"/>
        <v/>
      </c>
      <c r="G153" s="96" t="str">
        <f>IFERROR((IF((VLOOKUP(B153,SALE!$B$5:$B$1000,1,0))&gt;0,"Sold","")),"")</f>
        <v/>
      </c>
      <c r="H153" s="96" t="str">
        <f>IFERROR((IF((VLOOKUP(B153,MORTALITY!$B$5:$B$1000,1,0))&gt;0,"Died","")),"")</f>
        <v/>
      </c>
      <c r="I153" s="96" t="str">
        <f ca="1">IFERROR(
   IF(LOOKUP(2,1/((ILLNESS!$B$6:$B$1000=B153)*(ILLNESS!$L$6:$L$1000&lt;&gt;"")),
            ILLNESS!$L$6:$L$1000)="No",
      "Sick",""),
"")</f>
        <v/>
      </c>
      <c r="J153" s="104"/>
      <c r="K153" s="97" t="str">
        <f t="shared" ca="1" si="9"/>
        <v/>
      </c>
      <c r="L153" s="97" t="str">
        <f t="shared" ca="1" si="10"/>
        <v/>
      </c>
      <c r="M153" s="76"/>
      <c r="N153" s="76"/>
      <c r="O153" s="76"/>
      <c r="P153" s="76"/>
      <c r="Q153" s="76"/>
      <c r="R153" s="76"/>
      <c r="S153" s="104"/>
      <c r="T153" s="104"/>
      <c r="U153" s="106"/>
      <c r="V153" s="98" t="str">
        <f>IF(OR(G153="Sold",H153="Died"),IF(G153="Sold",VLOOKUP(B153,SALE!$B$5:$J$1000,6,0),IF(H153="Died",VLOOKUP(B153,MORTALITY!$B$5:$K$1000,5,0),"")),"")</f>
        <v/>
      </c>
      <c r="W153" s="76"/>
    </row>
    <row r="154" spans="1:23">
      <c r="A154" s="93">
        <f t="shared" si="11"/>
        <v>150</v>
      </c>
      <c r="B154" s="94"/>
      <c r="C154" s="76"/>
      <c r="D154" s="76"/>
      <c r="E154" s="76"/>
      <c r="F154" s="94" t="str">
        <f t="shared" ca="1" si="8"/>
        <v/>
      </c>
      <c r="G154" s="96" t="str">
        <f>IFERROR((IF((VLOOKUP(B154,SALE!$B$5:$B$1000,1,0))&gt;0,"Sold","")),"")</f>
        <v/>
      </c>
      <c r="H154" s="96" t="str">
        <f>IFERROR((IF((VLOOKUP(B154,MORTALITY!$B$5:$B$1000,1,0))&gt;0,"Died","")),"")</f>
        <v/>
      </c>
      <c r="I154" s="96" t="str">
        <f ca="1">IFERROR(
   IF(LOOKUP(2,1/((ILLNESS!$B$6:$B$1000=B154)*(ILLNESS!$L$6:$L$1000&lt;&gt;"")),
            ILLNESS!$L$6:$L$1000)="No",
      "Sick",""),
"")</f>
        <v/>
      </c>
      <c r="J154" s="104"/>
      <c r="K154" s="97" t="str">
        <f t="shared" ca="1" si="9"/>
        <v/>
      </c>
      <c r="L154" s="97" t="str">
        <f t="shared" ca="1" si="10"/>
        <v/>
      </c>
      <c r="M154" s="76"/>
      <c r="N154" s="76"/>
      <c r="O154" s="76"/>
      <c r="P154" s="76"/>
      <c r="Q154" s="76"/>
      <c r="R154" s="76"/>
      <c r="S154" s="104"/>
      <c r="T154" s="104"/>
      <c r="U154" s="106"/>
      <c r="V154" s="98" t="str">
        <f>IF(OR(G154="Sold",H154="Died"),IF(G154="Sold",VLOOKUP(B154,SALE!$B$5:$J$1000,6,0),IF(H154="Died",VLOOKUP(B154,MORTALITY!$B$5:$K$1000,5,0),"")),"")</f>
        <v/>
      </c>
      <c r="W154" s="76"/>
    </row>
    <row r="155" spans="1:23">
      <c r="A155" s="93">
        <f t="shared" si="11"/>
        <v>151</v>
      </c>
      <c r="B155" s="94"/>
      <c r="C155" s="76"/>
      <c r="D155" s="76"/>
      <c r="E155" s="76"/>
      <c r="F155" s="94" t="str">
        <f t="shared" ca="1" si="8"/>
        <v/>
      </c>
      <c r="G155" s="96" t="str">
        <f>IFERROR((IF((VLOOKUP(B155,SALE!$B$5:$B$1000,1,0))&gt;0,"Sold","")),"")</f>
        <v/>
      </c>
      <c r="H155" s="96" t="str">
        <f>IFERROR((IF((VLOOKUP(B155,MORTALITY!$B$5:$B$1000,1,0))&gt;0,"Died","")),"")</f>
        <v/>
      </c>
      <c r="I155" s="96" t="str">
        <f ca="1">IFERROR(
   IF(LOOKUP(2,1/((ILLNESS!$B$6:$B$1000=B155)*(ILLNESS!$L$6:$L$1000&lt;&gt;"")),
            ILLNESS!$L$6:$L$1000)="No",
      "Sick",""),
"")</f>
        <v/>
      </c>
      <c r="J155" s="104"/>
      <c r="K155" s="97" t="str">
        <f t="shared" ca="1" si="9"/>
        <v/>
      </c>
      <c r="L155" s="97" t="str">
        <f t="shared" ca="1" si="10"/>
        <v/>
      </c>
      <c r="M155" s="76"/>
      <c r="N155" s="76"/>
      <c r="O155" s="76"/>
      <c r="P155" s="76"/>
      <c r="Q155" s="76"/>
      <c r="R155" s="76"/>
      <c r="S155" s="104"/>
      <c r="T155" s="104"/>
      <c r="U155" s="106"/>
      <c r="V155" s="98" t="str">
        <f>IF(OR(G155="Sold",H155="Died"),IF(G155="Sold",VLOOKUP(B155,SALE!$B$5:$J$1000,6,0),IF(H155="Died",VLOOKUP(B155,MORTALITY!$B$5:$K$1000,5,0),"")),"")</f>
        <v/>
      </c>
      <c r="W155" s="76"/>
    </row>
    <row r="156" spans="1:23">
      <c r="A156" s="93">
        <f t="shared" si="11"/>
        <v>152</v>
      </c>
      <c r="B156" s="94"/>
      <c r="C156" s="76"/>
      <c r="D156" s="76"/>
      <c r="E156" s="76"/>
      <c r="F156" s="94" t="str">
        <f t="shared" ca="1" si="8"/>
        <v/>
      </c>
      <c r="G156" s="96" t="str">
        <f>IFERROR((IF((VLOOKUP(B156,SALE!$B$5:$B$1000,1,0))&gt;0,"Sold","")),"")</f>
        <v/>
      </c>
      <c r="H156" s="96" t="str">
        <f>IFERROR((IF((VLOOKUP(B156,MORTALITY!$B$5:$B$1000,1,0))&gt;0,"Died","")),"")</f>
        <v/>
      </c>
      <c r="I156" s="96" t="str">
        <f ca="1">IFERROR(
   IF(LOOKUP(2,1/((ILLNESS!$B$6:$B$1000=B156)*(ILLNESS!$L$6:$L$1000&lt;&gt;"")),
            ILLNESS!$L$6:$L$1000)="No",
      "Sick",""),
"")</f>
        <v/>
      </c>
      <c r="J156" s="104"/>
      <c r="K156" s="97" t="str">
        <f t="shared" ca="1" si="9"/>
        <v/>
      </c>
      <c r="L156" s="97" t="str">
        <f t="shared" ca="1" si="10"/>
        <v/>
      </c>
      <c r="M156" s="76"/>
      <c r="N156" s="76"/>
      <c r="O156" s="76"/>
      <c r="P156" s="76"/>
      <c r="Q156" s="76"/>
      <c r="R156" s="76"/>
      <c r="S156" s="104"/>
      <c r="T156" s="104"/>
      <c r="U156" s="106"/>
      <c r="V156" s="98" t="str">
        <f>IF(OR(G156="Sold",H156="Died"),IF(G156="Sold",VLOOKUP(B156,SALE!$B$5:$J$1000,6,0),IF(H156="Died",VLOOKUP(B156,MORTALITY!$B$5:$K$1000,5,0),"")),"")</f>
        <v/>
      </c>
      <c r="W156" s="76"/>
    </row>
    <row r="157" spans="1:23">
      <c r="A157" s="93">
        <f t="shared" si="11"/>
        <v>153</v>
      </c>
      <c r="B157" s="94"/>
      <c r="C157" s="76"/>
      <c r="D157" s="76"/>
      <c r="E157" s="76"/>
      <c r="F157" s="94" t="str">
        <f t="shared" ca="1" si="8"/>
        <v/>
      </c>
      <c r="G157" s="96" t="str">
        <f>IFERROR((IF((VLOOKUP(B157,SALE!$B$5:$B$1000,1,0))&gt;0,"Sold","")),"")</f>
        <v/>
      </c>
      <c r="H157" s="96" t="str">
        <f>IFERROR((IF((VLOOKUP(B157,MORTALITY!$B$5:$B$1000,1,0))&gt;0,"Died","")),"")</f>
        <v/>
      </c>
      <c r="I157" s="96" t="str">
        <f ca="1">IFERROR(
   IF(LOOKUP(2,1/((ILLNESS!$B$6:$B$1000=B157)*(ILLNESS!$L$6:$L$1000&lt;&gt;"")),
            ILLNESS!$L$6:$L$1000)="No",
      "Sick",""),
"")</f>
        <v/>
      </c>
      <c r="J157" s="104"/>
      <c r="K157" s="97" t="str">
        <f t="shared" ca="1" si="9"/>
        <v/>
      </c>
      <c r="L157" s="97" t="str">
        <f t="shared" ca="1" si="10"/>
        <v/>
      </c>
      <c r="M157" s="76"/>
      <c r="N157" s="76"/>
      <c r="O157" s="76"/>
      <c r="P157" s="76"/>
      <c r="Q157" s="76"/>
      <c r="R157" s="76"/>
      <c r="S157" s="104"/>
      <c r="T157" s="104"/>
      <c r="U157" s="106"/>
      <c r="V157" s="98" t="str">
        <f>IF(OR(G157="Sold",H157="Died"),IF(G157="Sold",VLOOKUP(B157,SALE!$B$5:$J$1000,6,0),IF(H157="Died",VLOOKUP(B157,MORTALITY!$B$5:$K$1000,5,0),"")),"")</f>
        <v/>
      </c>
      <c r="W157" s="76"/>
    </row>
    <row r="158" spans="1:23">
      <c r="A158" s="93">
        <f t="shared" si="11"/>
        <v>154</v>
      </c>
      <c r="B158" s="94"/>
      <c r="C158" s="76"/>
      <c r="D158" s="76"/>
      <c r="E158" s="76"/>
      <c r="F158" s="94" t="str">
        <f t="shared" ca="1" si="8"/>
        <v/>
      </c>
      <c r="G158" s="96" t="str">
        <f>IFERROR((IF((VLOOKUP(B158,SALE!$B$5:$B$1000,1,0))&gt;0,"Sold","")),"")</f>
        <v/>
      </c>
      <c r="H158" s="96" t="str">
        <f>IFERROR((IF((VLOOKUP(B158,MORTALITY!$B$5:$B$1000,1,0))&gt;0,"Died","")),"")</f>
        <v/>
      </c>
      <c r="I158" s="96" t="str">
        <f ca="1">IFERROR(
   IF(LOOKUP(2,1/((ILLNESS!$B$6:$B$1000=B158)*(ILLNESS!$L$6:$L$1000&lt;&gt;"")),
            ILLNESS!$L$6:$L$1000)="No",
      "Sick",""),
"")</f>
        <v/>
      </c>
      <c r="J158" s="104"/>
      <c r="K158" s="97" t="str">
        <f t="shared" ca="1" si="9"/>
        <v/>
      </c>
      <c r="L158" s="97" t="str">
        <f t="shared" ca="1" si="10"/>
        <v/>
      </c>
      <c r="M158" s="76"/>
      <c r="N158" s="76"/>
      <c r="O158" s="76"/>
      <c r="P158" s="76"/>
      <c r="Q158" s="76"/>
      <c r="R158" s="76"/>
      <c r="S158" s="104"/>
      <c r="T158" s="104"/>
      <c r="U158" s="106"/>
      <c r="V158" s="98" t="str">
        <f>IF(OR(G158="Sold",H158="Died"),IF(G158="Sold",VLOOKUP(B158,SALE!$B$5:$J$1000,6,0),IF(H158="Died",VLOOKUP(B158,MORTALITY!$B$5:$K$1000,5,0),"")),"")</f>
        <v/>
      </c>
      <c r="W158" s="76"/>
    </row>
    <row r="159" spans="1:23">
      <c r="A159" s="93">
        <f t="shared" si="11"/>
        <v>155</v>
      </c>
      <c r="B159" s="94"/>
      <c r="C159" s="76"/>
      <c r="D159" s="76"/>
      <c r="E159" s="76"/>
      <c r="F159" s="94" t="str">
        <f t="shared" ca="1" si="8"/>
        <v/>
      </c>
      <c r="G159" s="96" t="str">
        <f>IFERROR((IF((VLOOKUP(B159,SALE!$B$5:$B$1000,1,0))&gt;0,"Sold","")),"")</f>
        <v/>
      </c>
      <c r="H159" s="96" t="str">
        <f>IFERROR((IF((VLOOKUP(B159,MORTALITY!$B$5:$B$1000,1,0))&gt;0,"Died","")),"")</f>
        <v/>
      </c>
      <c r="I159" s="96" t="str">
        <f ca="1">IFERROR(
   IF(LOOKUP(2,1/((ILLNESS!$B$6:$B$1000=B159)*(ILLNESS!$L$6:$L$1000&lt;&gt;"")),
            ILLNESS!$L$6:$L$1000)="No",
      "Sick",""),
"")</f>
        <v/>
      </c>
      <c r="J159" s="104"/>
      <c r="K159" s="97" t="str">
        <f t="shared" ca="1" si="9"/>
        <v/>
      </c>
      <c r="L159" s="97" t="str">
        <f t="shared" ca="1" si="10"/>
        <v/>
      </c>
      <c r="M159" s="76"/>
      <c r="N159" s="76"/>
      <c r="O159" s="76"/>
      <c r="P159" s="76"/>
      <c r="Q159" s="76"/>
      <c r="R159" s="76"/>
      <c r="S159" s="104"/>
      <c r="T159" s="104"/>
      <c r="U159" s="106"/>
      <c r="V159" s="98" t="str">
        <f>IF(OR(G159="Sold",H159="Died"),IF(G159="Sold",VLOOKUP(B159,SALE!$B$5:$J$1000,6,0),IF(H159="Died",VLOOKUP(B159,MORTALITY!$B$5:$K$1000,5,0),"")),"")</f>
        <v/>
      </c>
      <c r="W159" s="76"/>
    </row>
    <row r="160" spans="1:23">
      <c r="A160" s="93">
        <f t="shared" si="11"/>
        <v>156</v>
      </c>
      <c r="B160" s="94"/>
      <c r="C160" s="76"/>
      <c r="D160" s="76"/>
      <c r="E160" s="76"/>
      <c r="F160" s="94" t="str">
        <f t="shared" ca="1" si="8"/>
        <v/>
      </c>
      <c r="G160" s="96" t="str">
        <f>IFERROR((IF((VLOOKUP(B160,SALE!$B$5:$B$1000,1,0))&gt;0,"Sold","")),"")</f>
        <v/>
      </c>
      <c r="H160" s="96" t="str">
        <f>IFERROR((IF((VLOOKUP(B160,MORTALITY!$B$5:$B$1000,1,0))&gt;0,"Died","")),"")</f>
        <v/>
      </c>
      <c r="I160" s="96" t="str">
        <f ca="1">IFERROR(
   IF(LOOKUP(2,1/((ILLNESS!$B$6:$B$1000=B160)*(ILLNESS!$L$6:$L$1000&lt;&gt;"")),
            ILLNESS!$L$6:$L$1000)="No",
      "Sick",""),
"")</f>
        <v/>
      </c>
      <c r="J160" s="104"/>
      <c r="K160" s="97" t="str">
        <f t="shared" ca="1" si="9"/>
        <v/>
      </c>
      <c r="L160" s="97" t="str">
        <f t="shared" ca="1" si="10"/>
        <v/>
      </c>
      <c r="M160" s="76"/>
      <c r="N160" s="76"/>
      <c r="O160" s="76"/>
      <c r="P160" s="76"/>
      <c r="Q160" s="76"/>
      <c r="R160" s="76"/>
      <c r="S160" s="104"/>
      <c r="T160" s="104"/>
      <c r="U160" s="106"/>
      <c r="V160" s="98" t="str">
        <f>IF(OR(G160="Sold",H160="Died"),IF(G160="Sold",VLOOKUP(B160,SALE!$B$5:$J$1000,6,0),IF(H160="Died",VLOOKUP(B160,MORTALITY!$B$5:$K$1000,5,0),"")),"")</f>
        <v/>
      </c>
      <c r="W160" s="76"/>
    </row>
    <row r="161" spans="1:23">
      <c r="A161" s="93">
        <f t="shared" si="11"/>
        <v>157</v>
      </c>
      <c r="B161" s="94"/>
      <c r="C161" s="76"/>
      <c r="D161" s="76"/>
      <c r="E161" s="76"/>
      <c r="F161" s="94" t="str">
        <f t="shared" ca="1" si="8"/>
        <v/>
      </c>
      <c r="G161" s="96" t="str">
        <f>IFERROR((IF((VLOOKUP(B161,SALE!$B$5:$B$1000,1,0))&gt;0,"Sold","")),"")</f>
        <v/>
      </c>
      <c r="H161" s="96" t="str">
        <f>IFERROR((IF((VLOOKUP(B161,MORTALITY!$B$5:$B$1000,1,0))&gt;0,"Died","")),"")</f>
        <v/>
      </c>
      <c r="I161" s="96" t="str">
        <f ca="1">IFERROR(
   IF(LOOKUP(2,1/((ILLNESS!$B$6:$B$1000=B161)*(ILLNESS!$L$6:$L$1000&lt;&gt;"")),
            ILLNESS!$L$6:$L$1000)="No",
      "Sick",""),
"")</f>
        <v/>
      </c>
      <c r="J161" s="104"/>
      <c r="K161" s="97" t="str">
        <f t="shared" ca="1" si="9"/>
        <v/>
      </c>
      <c r="L161" s="97" t="str">
        <f t="shared" ca="1" si="10"/>
        <v/>
      </c>
      <c r="M161" s="76"/>
      <c r="N161" s="76"/>
      <c r="O161" s="76"/>
      <c r="P161" s="76"/>
      <c r="Q161" s="76"/>
      <c r="R161" s="76"/>
      <c r="S161" s="104"/>
      <c r="T161" s="104"/>
      <c r="U161" s="106"/>
      <c r="V161" s="98" t="str">
        <f>IF(OR(G161="Sold",H161="Died"),IF(G161="Sold",VLOOKUP(B161,SALE!$B$5:$J$1000,6,0),IF(H161="Died",VLOOKUP(B161,MORTALITY!$B$5:$K$1000,5,0),"")),"")</f>
        <v/>
      </c>
      <c r="W161" s="76"/>
    </row>
    <row r="162" spans="1:23">
      <c r="A162" s="93">
        <f t="shared" si="11"/>
        <v>158</v>
      </c>
      <c r="B162" s="94"/>
      <c r="C162" s="76"/>
      <c r="D162" s="76"/>
      <c r="E162" s="76"/>
      <c r="F162" s="94" t="str">
        <f t="shared" ca="1" si="8"/>
        <v/>
      </c>
      <c r="G162" s="96" t="str">
        <f>IFERROR((IF((VLOOKUP(B162,SALE!$B$5:$B$1000,1,0))&gt;0,"Sold","")),"")</f>
        <v/>
      </c>
      <c r="H162" s="96" t="str">
        <f>IFERROR((IF((VLOOKUP(B162,MORTALITY!$B$5:$B$1000,1,0))&gt;0,"Died","")),"")</f>
        <v/>
      </c>
      <c r="I162" s="96" t="str">
        <f ca="1">IFERROR(
   IF(LOOKUP(2,1/((ILLNESS!$B$6:$B$1000=B162)*(ILLNESS!$L$6:$L$1000&lt;&gt;"")),
            ILLNESS!$L$6:$L$1000)="No",
      "Sick",""),
"")</f>
        <v/>
      </c>
      <c r="J162" s="104"/>
      <c r="K162" s="97" t="str">
        <f t="shared" ca="1" si="9"/>
        <v/>
      </c>
      <c r="L162" s="97" t="str">
        <f t="shared" ca="1" si="10"/>
        <v/>
      </c>
      <c r="M162" s="76"/>
      <c r="N162" s="76"/>
      <c r="O162" s="76"/>
      <c r="P162" s="76"/>
      <c r="Q162" s="76"/>
      <c r="R162" s="76"/>
      <c r="S162" s="104"/>
      <c r="T162" s="104"/>
      <c r="U162" s="106"/>
      <c r="V162" s="98" t="str">
        <f>IF(OR(G162="Sold",H162="Died"),IF(G162="Sold",VLOOKUP(B162,SALE!$B$5:$J$1000,6,0),IF(H162="Died",VLOOKUP(B162,MORTALITY!$B$5:$K$1000,5,0),"")),"")</f>
        <v/>
      </c>
      <c r="W162" s="76"/>
    </row>
    <row r="163" spans="1:23">
      <c r="A163" s="93">
        <f t="shared" si="11"/>
        <v>159</v>
      </c>
      <c r="B163" s="94"/>
      <c r="C163" s="76"/>
      <c r="D163" s="76"/>
      <c r="E163" s="76"/>
      <c r="F163" s="94" t="str">
        <f t="shared" ca="1" si="8"/>
        <v/>
      </c>
      <c r="G163" s="96" t="str">
        <f>IFERROR((IF((VLOOKUP(B163,SALE!$B$5:$B$1000,1,0))&gt;0,"Sold","")),"")</f>
        <v/>
      </c>
      <c r="H163" s="96" t="str">
        <f>IFERROR((IF((VLOOKUP(B163,MORTALITY!$B$5:$B$1000,1,0))&gt;0,"Died","")),"")</f>
        <v/>
      </c>
      <c r="I163" s="96" t="str">
        <f ca="1">IFERROR(
   IF(LOOKUP(2,1/((ILLNESS!$B$6:$B$1000=B163)*(ILLNESS!$L$6:$L$1000&lt;&gt;"")),
            ILLNESS!$L$6:$L$1000)="No",
      "Sick",""),
"")</f>
        <v/>
      </c>
      <c r="J163" s="104"/>
      <c r="K163" s="97" t="str">
        <f t="shared" ca="1" si="9"/>
        <v/>
      </c>
      <c r="L163" s="97" t="str">
        <f t="shared" ca="1" si="10"/>
        <v/>
      </c>
      <c r="M163" s="76"/>
      <c r="N163" s="76"/>
      <c r="O163" s="76"/>
      <c r="P163" s="76"/>
      <c r="Q163" s="76"/>
      <c r="R163" s="76"/>
      <c r="S163" s="104"/>
      <c r="T163" s="104"/>
      <c r="U163" s="106"/>
      <c r="V163" s="98" t="str">
        <f>IF(OR(G163="Sold",H163="Died"),IF(G163="Sold",VLOOKUP(B163,SALE!$B$5:$J$1000,6,0),IF(H163="Died",VLOOKUP(B163,MORTALITY!$B$5:$K$1000,5,0),"")),"")</f>
        <v/>
      </c>
      <c r="W163" s="76"/>
    </row>
    <row r="164" spans="1:23">
      <c r="A164" s="93">
        <f t="shared" si="11"/>
        <v>160</v>
      </c>
      <c r="B164" s="94"/>
      <c r="C164" s="76"/>
      <c r="D164" s="76"/>
      <c r="E164" s="76"/>
      <c r="F164" s="94" t="str">
        <f t="shared" ca="1" si="8"/>
        <v/>
      </c>
      <c r="G164" s="96" t="str">
        <f>IFERROR((IF((VLOOKUP(B164,SALE!$B$5:$B$1000,1,0))&gt;0,"Sold","")),"")</f>
        <v/>
      </c>
      <c r="H164" s="96" t="str">
        <f>IFERROR((IF((VLOOKUP(B164,MORTALITY!$B$5:$B$1000,1,0))&gt;0,"Died","")),"")</f>
        <v/>
      </c>
      <c r="I164" s="96" t="str">
        <f ca="1">IFERROR(
   IF(LOOKUP(2,1/((ILLNESS!$B$6:$B$1000=B164)*(ILLNESS!$L$6:$L$1000&lt;&gt;"")),
            ILLNESS!$L$6:$L$1000)="No",
      "Sick",""),
"")</f>
        <v/>
      </c>
      <c r="J164" s="104"/>
      <c r="K164" s="97" t="str">
        <f t="shared" ca="1" si="9"/>
        <v/>
      </c>
      <c r="L164" s="97" t="str">
        <f t="shared" ca="1" si="10"/>
        <v/>
      </c>
      <c r="M164" s="76"/>
      <c r="N164" s="76"/>
      <c r="O164" s="76"/>
      <c r="P164" s="76"/>
      <c r="Q164" s="76"/>
      <c r="R164" s="76"/>
      <c r="S164" s="104"/>
      <c r="T164" s="104"/>
      <c r="U164" s="106"/>
      <c r="V164" s="98" t="str">
        <f>IF(OR(G164="Sold",H164="Died"),IF(G164="Sold",VLOOKUP(B164,SALE!$B$5:$J$1000,6,0),IF(H164="Died",VLOOKUP(B164,MORTALITY!$B$5:$K$1000,5,0),"")),"")</f>
        <v/>
      </c>
      <c r="W164" s="76"/>
    </row>
    <row r="165" spans="1:23">
      <c r="A165" s="93">
        <f t="shared" si="11"/>
        <v>161</v>
      </c>
      <c r="B165" s="94"/>
      <c r="C165" s="76"/>
      <c r="D165" s="76"/>
      <c r="E165" s="76"/>
      <c r="F165" s="94" t="str">
        <f t="shared" ca="1" si="8"/>
        <v/>
      </c>
      <c r="G165" s="96" t="str">
        <f>IFERROR((IF((VLOOKUP(B165,SALE!$B$5:$B$1000,1,0))&gt;0,"Sold","")),"")</f>
        <v/>
      </c>
      <c r="H165" s="96" t="str">
        <f>IFERROR((IF((VLOOKUP(B165,MORTALITY!$B$5:$B$1000,1,0))&gt;0,"Died","")),"")</f>
        <v/>
      </c>
      <c r="I165" s="96" t="str">
        <f ca="1">IFERROR(
   IF(LOOKUP(2,1/((ILLNESS!$B$6:$B$1000=B165)*(ILLNESS!$L$6:$L$1000&lt;&gt;"")),
            ILLNESS!$L$6:$L$1000)="No",
      "Sick",""),
"")</f>
        <v/>
      </c>
      <c r="J165" s="104"/>
      <c r="K165" s="97" t="str">
        <f t="shared" ca="1" si="9"/>
        <v/>
      </c>
      <c r="L165" s="97" t="str">
        <f t="shared" ca="1" si="10"/>
        <v/>
      </c>
      <c r="M165" s="76"/>
      <c r="N165" s="76"/>
      <c r="O165" s="76"/>
      <c r="P165" s="76"/>
      <c r="Q165" s="76"/>
      <c r="R165" s="76"/>
      <c r="S165" s="104"/>
      <c r="T165" s="104"/>
      <c r="U165" s="106"/>
      <c r="V165" s="98" t="str">
        <f>IF(OR(G165="Sold",H165="Died"),IF(G165="Sold",VLOOKUP(B165,SALE!$B$5:$J$1000,6,0),IF(H165="Died",VLOOKUP(B165,MORTALITY!$B$5:$K$1000,5,0),"")),"")</f>
        <v/>
      </c>
      <c r="W165" s="76"/>
    </row>
    <row r="166" spans="1:23">
      <c r="A166" s="93">
        <f t="shared" si="11"/>
        <v>162</v>
      </c>
      <c r="B166" s="94"/>
      <c r="C166" s="76"/>
      <c r="D166" s="76"/>
      <c r="E166" s="76"/>
      <c r="F166" s="94" t="str">
        <f t="shared" ca="1" si="8"/>
        <v/>
      </c>
      <c r="G166" s="96" t="str">
        <f>IFERROR((IF((VLOOKUP(B166,SALE!$B$5:$B$1000,1,0))&gt;0,"Sold","")),"")</f>
        <v/>
      </c>
      <c r="H166" s="96" t="str">
        <f>IFERROR((IF((VLOOKUP(B166,MORTALITY!$B$5:$B$1000,1,0))&gt;0,"Died","")),"")</f>
        <v/>
      </c>
      <c r="I166" s="96" t="str">
        <f ca="1">IFERROR(
   IF(LOOKUP(2,1/((ILLNESS!$B$6:$B$1000=B166)*(ILLNESS!$L$6:$L$1000&lt;&gt;"")),
            ILLNESS!$L$6:$L$1000)="No",
      "Sick",""),
"")</f>
        <v/>
      </c>
      <c r="J166" s="104"/>
      <c r="K166" s="97" t="str">
        <f t="shared" ca="1" si="9"/>
        <v/>
      </c>
      <c r="L166" s="97" t="str">
        <f t="shared" ca="1" si="10"/>
        <v/>
      </c>
      <c r="M166" s="76"/>
      <c r="N166" s="76"/>
      <c r="O166" s="76"/>
      <c r="P166" s="76"/>
      <c r="Q166" s="76"/>
      <c r="R166" s="76"/>
      <c r="S166" s="104"/>
      <c r="T166" s="104"/>
      <c r="U166" s="106"/>
      <c r="V166" s="98" t="str">
        <f>IF(OR(G166="Sold",H166="Died"),IF(G166="Sold",VLOOKUP(B166,SALE!$B$5:$J$1000,6,0),IF(H166="Died",VLOOKUP(B166,MORTALITY!$B$5:$K$1000,5,0),"")),"")</f>
        <v/>
      </c>
      <c r="W166" s="76"/>
    </row>
    <row r="167" spans="1:23">
      <c r="A167" s="93">
        <f t="shared" si="11"/>
        <v>163</v>
      </c>
      <c r="B167" s="94"/>
      <c r="C167" s="76"/>
      <c r="D167" s="76"/>
      <c r="E167" s="76"/>
      <c r="F167" s="94" t="str">
        <f t="shared" ca="1" si="8"/>
        <v/>
      </c>
      <c r="G167" s="96" t="str">
        <f>IFERROR((IF((VLOOKUP(B167,SALE!$B$5:$B$1000,1,0))&gt;0,"Sold","")),"")</f>
        <v/>
      </c>
      <c r="H167" s="96" t="str">
        <f>IFERROR((IF((VLOOKUP(B167,MORTALITY!$B$5:$B$1000,1,0))&gt;0,"Died","")),"")</f>
        <v/>
      </c>
      <c r="I167" s="96" t="str">
        <f ca="1">IFERROR(
   IF(LOOKUP(2,1/((ILLNESS!$B$6:$B$1000=B167)*(ILLNESS!$L$6:$L$1000&lt;&gt;"")),
            ILLNESS!$L$6:$L$1000)="No",
      "Sick",""),
"")</f>
        <v/>
      </c>
      <c r="J167" s="104"/>
      <c r="K167" s="97" t="str">
        <f t="shared" ca="1" si="9"/>
        <v/>
      </c>
      <c r="L167" s="97" t="str">
        <f t="shared" ca="1" si="10"/>
        <v/>
      </c>
      <c r="M167" s="76"/>
      <c r="N167" s="76"/>
      <c r="O167" s="76"/>
      <c r="P167" s="76"/>
      <c r="Q167" s="76"/>
      <c r="R167" s="76"/>
      <c r="S167" s="104"/>
      <c r="T167" s="104"/>
      <c r="U167" s="106"/>
      <c r="V167" s="98" t="str">
        <f>IF(OR(G167="Sold",H167="Died"),IF(G167="Sold",VLOOKUP(B167,SALE!$B$5:$J$1000,6,0),IF(H167="Died",VLOOKUP(B167,MORTALITY!$B$5:$K$1000,5,0),"")),"")</f>
        <v/>
      </c>
      <c r="W167" s="76"/>
    </row>
    <row r="168" spans="1:23">
      <c r="A168" s="93">
        <f t="shared" si="11"/>
        <v>164</v>
      </c>
      <c r="B168" s="94"/>
      <c r="C168" s="76"/>
      <c r="D168" s="76"/>
      <c r="E168" s="76"/>
      <c r="F168" s="94" t="str">
        <f t="shared" ca="1" si="8"/>
        <v/>
      </c>
      <c r="G168" s="96" t="str">
        <f>IFERROR((IF((VLOOKUP(B168,SALE!$B$5:$B$1000,1,0))&gt;0,"Sold","")),"")</f>
        <v/>
      </c>
      <c r="H168" s="96" t="str">
        <f>IFERROR((IF((VLOOKUP(B168,MORTALITY!$B$5:$B$1000,1,0))&gt;0,"Died","")),"")</f>
        <v/>
      </c>
      <c r="I168" s="96" t="str">
        <f ca="1">IFERROR(
   IF(LOOKUP(2,1/((ILLNESS!$B$6:$B$1000=B168)*(ILLNESS!$L$6:$L$1000&lt;&gt;"")),
            ILLNESS!$L$6:$L$1000)="No",
      "Sick",""),
"")</f>
        <v/>
      </c>
      <c r="J168" s="104"/>
      <c r="K168" s="97" t="str">
        <f t="shared" ca="1" si="9"/>
        <v/>
      </c>
      <c r="L168" s="97" t="str">
        <f t="shared" ca="1" si="10"/>
        <v/>
      </c>
      <c r="M168" s="76"/>
      <c r="N168" s="76"/>
      <c r="O168" s="76"/>
      <c r="P168" s="76"/>
      <c r="Q168" s="76"/>
      <c r="R168" s="76"/>
      <c r="S168" s="104"/>
      <c r="T168" s="104"/>
      <c r="U168" s="106"/>
      <c r="V168" s="98" t="str">
        <f>IF(OR(G168="Sold",H168="Died"),IF(G168="Sold",VLOOKUP(B168,SALE!$B$5:$J$1000,6,0),IF(H168="Died",VLOOKUP(B168,MORTALITY!$B$5:$K$1000,5,0),"")),"")</f>
        <v/>
      </c>
      <c r="W168" s="76"/>
    </row>
    <row r="169" spans="1:23">
      <c r="A169" s="93">
        <f t="shared" si="11"/>
        <v>165</v>
      </c>
      <c r="B169" s="94"/>
      <c r="C169" s="76"/>
      <c r="D169" s="76"/>
      <c r="E169" s="76"/>
      <c r="F169" s="94" t="str">
        <f t="shared" ca="1" si="8"/>
        <v/>
      </c>
      <c r="G169" s="96" t="str">
        <f>IFERROR((IF((VLOOKUP(B169,SALE!$B$5:$B$1000,1,0))&gt;0,"Sold","")),"")</f>
        <v/>
      </c>
      <c r="H169" s="96" t="str">
        <f>IFERROR((IF((VLOOKUP(B169,MORTALITY!$B$5:$B$1000,1,0))&gt;0,"Died","")),"")</f>
        <v/>
      </c>
      <c r="I169" s="96" t="str">
        <f ca="1">IFERROR(
   IF(LOOKUP(2,1/((ILLNESS!$B$6:$B$1000=B169)*(ILLNESS!$L$6:$L$1000&lt;&gt;"")),
            ILLNESS!$L$6:$L$1000)="No",
      "Sick",""),
"")</f>
        <v/>
      </c>
      <c r="J169" s="104"/>
      <c r="K169" s="97" t="str">
        <f t="shared" ca="1" si="9"/>
        <v/>
      </c>
      <c r="L169" s="97" t="str">
        <f t="shared" ca="1" si="10"/>
        <v/>
      </c>
      <c r="M169" s="76"/>
      <c r="N169" s="76"/>
      <c r="O169" s="76"/>
      <c r="P169" s="76"/>
      <c r="Q169" s="76"/>
      <c r="R169" s="76"/>
      <c r="S169" s="104"/>
      <c r="T169" s="104"/>
      <c r="U169" s="106"/>
      <c r="V169" s="98" t="str">
        <f>IF(OR(G169="Sold",H169="Died"),IF(G169="Sold",VLOOKUP(B169,SALE!$B$5:$J$1000,6,0),IF(H169="Died",VLOOKUP(B169,MORTALITY!$B$5:$K$1000,5,0),"")),"")</f>
        <v/>
      </c>
      <c r="W169" s="76"/>
    </row>
    <row r="170" spans="1:23">
      <c r="A170" s="93">
        <f t="shared" si="11"/>
        <v>166</v>
      </c>
      <c r="B170" s="94"/>
      <c r="C170" s="76"/>
      <c r="D170" s="76"/>
      <c r="E170" s="76"/>
      <c r="F170" s="94" t="str">
        <f t="shared" ca="1" si="8"/>
        <v/>
      </c>
      <c r="G170" s="96" t="str">
        <f>IFERROR((IF((VLOOKUP(B170,SALE!$B$5:$B$1000,1,0))&gt;0,"Sold","")),"")</f>
        <v/>
      </c>
      <c r="H170" s="96" t="str">
        <f>IFERROR((IF((VLOOKUP(B170,MORTALITY!$B$5:$B$1000,1,0))&gt;0,"Died","")),"")</f>
        <v/>
      </c>
      <c r="I170" s="96" t="str">
        <f ca="1">IFERROR(
   IF(LOOKUP(2,1/((ILLNESS!$B$6:$B$1000=B170)*(ILLNESS!$L$6:$L$1000&lt;&gt;"")),
            ILLNESS!$L$6:$L$1000)="No",
      "Sick",""),
"")</f>
        <v/>
      </c>
      <c r="J170" s="104"/>
      <c r="K170" s="97" t="str">
        <f t="shared" ca="1" si="9"/>
        <v/>
      </c>
      <c r="L170" s="97" t="str">
        <f t="shared" ca="1" si="10"/>
        <v/>
      </c>
      <c r="M170" s="76"/>
      <c r="N170" s="76"/>
      <c r="O170" s="76"/>
      <c r="P170" s="76"/>
      <c r="Q170" s="76"/>
      <c r="R170" s="76"/>
      <c r="S170" s="104"/>
      <c r="T170" s="104"/>
      <c r="U170" s="106"/>
      <c r="V170" s="98" t="str">
        <f>IF(OR(G170="Sold",H170="Died"),IF(G170="Sold",VLOOKUP(B170,SALE!$B$5:$J$1000,6,0),IF(H170="Died",VLOOKUP(B170,MORTALITY!$B$5:$K$1000,5,0),"")),"")</f>
        <v/>
      </c>
      <c r="W170" s="76"/>
    </row>
    <row r="171" spans="1:23">
      <c r="A171" s="93">
        <f t="shared" si="11"/>
        <v>167</v>
      </c>
      <c r="B171" s="94"/>
      <c r="C171" s="76"/>
      <c r="D171" s="76"/>
      <c r="E171" s="76"/>
      <c r="F171" s="94" t="str">
        <f t="shared" ca="1" si="8"/>
        <v/>
      </c>
      <c r="G171" s="96" t="str">
        <f>IFERROR((IF((VLOOKUP(B171,SALE!$B$5:$B$1000,1,0))&gt;0,"Sold","")),"")</f>
        <v/>
      </c>
      <c r="H171" s="96" t="str">
        <f>IFERROR((IF((VLOOKUP(B171,MORTALITY!$B$5:$B$1000,1,0))&gt;0,"Died","")),"")</f>
        <v/>
      </c>
      <c r="I171" s="96" t="str">
        <f ca="1">IFERROR(
   IF(LOOKUP(2,1/((ILLNESS!$B$6:$B$1000=B171)*(ILLNESS!$L$6:$L$1000&lt;&gt;"")),
            ILLNESS!$L$6:$L$1000)="No",
      "Sick",""),
"")</f>
        <v/>
      </c>
      <c r="J171" s="104"/>
      <c r="K171" s="97" t="str">
        <f t="shared" ca="1" si="9"/>
        <v/>
      </c>
      <c r="L171" s="97" t="str">
        <f t="shared" ca="1" si="10"/>
        <v/>
      </c>
      <c r="M171" s="76"/>
      <c r="N171" s="76"/>
      <c r="O171" s="76"/>
      <c r="P171" s="76"/>
      <c r="Q171" s="76"/>
      <c r="R171" s="76"/>
      <c r="S171" s="104"/>
      <c r="T171" s="104"/>
      <c r="U171" s="106"/>
      <c r="V171" s="98" t="str">
        <f>IF(OR(G171="Sold",H171="Died"),IF(G171="Sold",VLOOKUP(B171,SALE!$B$5:$J$1000,6,0),IF(H171="Died",VLOOKUP(B171,MORTALITY!$B$5:$K$1000,5,0),"")),"")</f>
        <v/>
      </c>
      <c r="W171" s="76"/>
    </row>
    <row r="172" spans="1:23">
      <c r="A172" s="93">
        <f t="shared" si="11"/>
        <v>168</v>
      </c>
      <c r="B172" s="94"/>
      <c r="C172" s="76"/>
      <c r="D172" s="76"/>
      <c r="E172" s="76"/>
      <c r="F172" s="94" t="str">
        <f t="shared" ca="1" si="8"/>
        <v/>
      </c>
      <c r="G172" s="96" t="str">
        <f>IFERROR((IF((VLOOKUP(B172,SALE!$B$5:$B$1000,1,0))&gt;0,"Sold","")),"")</f>
        <v/>
      </c>
      <c r="H172" s="96" t="str">
        <f>IFERROR((IF((VLOOKUP(B172,MORTALITY!$B$5:$B$1000,1,0))&gt;0,"Died","")),"")</f>
        <v/>
      </c>
      <c r="I172" s="96" t="str">
        <f ca="1">IFERROR(
   IF(LOOKUP(2,1/((ILLNESS!$B$6:$B$1000=B172)*(ILLNESS!$L$6:$L$1000&lt;&gt;"")),
            ILLNESS!$L$6:$L$1000)="No",
      "Sick",""),
"")</f>
        <v/>
      </c>
      <c r="J172" s="104"/>
      <c r="K172" s="97" t="str">
        <f t="shared" ca="1" si="9"/>
        <v/>
      </c>
      <c r="L172" s="97" t="str">
        <f t="shared" ca="1" si="10"/>
        <v/>
      </c>
      <c r="M172" s="76"/>
      <c r="N172" s="76"/>
      <c r="O172" s="76"/>
      <c r="P172" s="76"/>
      <c r="Q172" s="76"/>
      <c r="R172" s="76"/>
      <c r="S172" s="104"/>
      <c r="T172" s="104"/>
      <c r="U172" s="106"/>
      <c r="V172" s="98" t="str">
        <f>IF(OR(G172="Sold",H172="Died"),IF(G172="Sold",VLOOKUP(B172,SALE!$B$5:$J$1000,6,0),IF(H172="Died",VLOOKUP(B172,MORTALITY!$B$5:$K$1000,5,0),"")),"")</f>
        <v/>
      </c>
      <c r="W172" s="76"/>
    </row>
    <row r="173" spans="1:23">
      <c r="A173" s="93">
        <f t="shared" si="11"/>
        <v>169</v>
      </c>
      <c r="B173" s="94"/>
      <c r="C173" s="76"/>
      <c r="D173" s="76"/>
      <c r="E173" s="76"/>
      <c r="F173" s="94" t="str">
        <f t="shared" ca="1" si="8"/>
        <v/>
      </c>
      <c r="G173" s="96" t="str">
        <f>IFERROR((IF((VLOOKUP(B173,SALE!$B$5:$B$1000,1,0))&gt;0,"Sold","")),"")</f>
        <v/>
      </c>
      <c r="H173" s="96" t="str">
        <f>IFERROR((IF((VLOOKUP(B173,MORTALITY!$B$5:$B$1000,1,0))&gt;0,"Died","")),"")</f>
        <v/>
      </c>
      <c r="I173" s="96" t="str">
        <f ca="1">IFERROR(
   IF(LOOKUP(2,1/((ILLNESS!$B$6:$B$1000=B173)*(ILLNESS!$L$6:$L$1000&lt;&gt;"")),
            ILLNESS!$L$6:$L$1000)="No",
      "Sick",""),
"")</f>
        <v/>
      </c>
      <c r="J173" s="104"/>
      <c r="K173" s="97" t="str">
        <f t="shared" ca="1" si="9"/>
        <v/>
      </c>
      <c r="L173" s="97" t="str">
        <f t="shared" ca="1" si="10"/>
        <v/>
      </c>
      <c r="M173" s="76"/>
      <c r="N173" s="76"/>
      <c r="O173" s="76"/>
      <c r="P173" s="76"/>
      <c r="Q173" s="76"/>
      <c r="R173" s="76"/>
      <c r="S173" s="104"/>
      <c r="T173" s="104"/>
      <c r="U173" s="106"/>
      <c r="V173" s="98" t="str">
        <f>IF(OR(G173="Sold",H173="Died"),IF(G173="Sold",VLOOKUP(B173,SALE!$B$5:$J$1000,6,0),IF(H173="Died",VLOOKUP(B173,MORTALITY!$B$5:$K$1000,5,0),"")),"")</f>
        <v/>
      </c>
      <c r="W173" s="76"/>
    </row>
    <row r="174" spans="1:23">
      <c r="A174" s="93">
        <f t="shared" si="11"/>
        <v>170</v>
      </c>
      <c r="B174" s="94"/>
      <c r="C174" s="76"/>
      <c r="D174" s="76"/>
      <c r="E174" s="76"/>
      <c r="F174" s="94" t="str">
        <f t="shared" ca="1" si="8"/>
        <v/>
      </c>
      <c r="G174" s="96" t="str">
        <f>IFERROR((IF((VLOOKUP(B174,SALE!$B$5:$B$1000,1,0))&gt;0,"Sold","")),"")</f>
        <v/>
      </c>
      <c r="H174" s="96" t="str">
        <f>IFERROR((IF((VLOOKUP(B174,MORTALITY!$B$5:$B$1000,1,0))&gt;0,"Died","")),"")</f>
        <v/>
      </c>
      <c r="I174" s="96" t="str">
        <f ca="1">IFERROR(
   IF(LOOKUP(2,1/((ILLNESS!$B$6:$B$1000=B174)*(ILLNESS!$L$6:$L$1000&lt;&gt;"")),
            ILLNESS!$L$6:$L$1000)="No",
      "Sick",""),
"")</f>
        <v/>
      </c>
      <c r="J174" s="104"/>
      <c r="K174" s="97" t="str">
        <f t="shared" ca="1" si="9"/>
        <v/>
      </c>
      <c r="L174" s="97" t="str">
        <f t="shared" ca="1" si="10"/>
        <v/>
      </c>
      <c r="M174" s="76"/>
      <c r="N174" s="76"/>
      <c r="O174" s="76"/>
      <c r="P174" s="76"/>
      <c r="Q174" s="76"/>
      <c r="R174" s="76"/>
      <c r="S174" s="104"/>
      <c r="T174" s="104"/>
      <c r="U174" s="106"/>
      <c r="V174" s="98" t="str">
        <f>IF(OR(G174="Sold",H174="Died"),IF(G174="Sold",VLOOKUP(B174,SALE!$B$5:$J$1000,6,0),IF(H174="Died",VLOOKUP(B174,MORTALITY!$B$5:$K$1000,5,0),"")),"")</f>
        <v/>
      </c>
      <c r="W174" s="76"/>
    </row>
    <row r="175" spans="1:23">
      <c r="A175" s="93">
        <f t="shared" si="11"/>
        <v>171</v>
      </c>
      <c r="B175" s="94"/>
      <c r="C175" s="76"/>
      <c r="D175" s="76"/>
      <c r="E175" s="76"/>
      <c r="F175" s="94" t="str">
        <f t="shared" ca="1" si="8"/>
        <v/>
      </c>
      <c r="G175" s="96" t="str">
        <f>IFERROR((IF((VLOOKUP(B175,SALE!$B$5:$B$1000,1,0))&gt;0,"Sold","")),"")</f>
        <v/>
      </c>
      <c r="H175" s="96" t="str">
        <f>IFERROR((IF((VLOOKUP(B175,MORTALITY!$B$5:$B$1000,1,0))&gt;0,"Died","")),"")</f>
        <v/>
      </c>
      <c r="I175" s="96" t="str">
        <f ca="1">IFERROR(
   IF(LOOKUP(2,1/((ILLNESS!$B$6:$B$1000=B175)*(ILLNESS!$L$6:$L$1000&lt;&gt;"")),
            ILLNESS!$L$6:$L$1000)="No",
      "Sick",""),
"")</f>
        <v/>
      </c>
      <c r="J175" s="104"/>
      <c r="K175" s="97" t="str">
        <f t="shared" ca="1" si="9"/>
        <v/>
      </c>
      <c r="L175" s="97" t="str">
        <f t="shared" ca="1" si="10"/>
        <v/>
      </c>
      <c r="M175" s="76"/>
      <c r="N175" s="76"/>
      <c r="O175" s="76"/>
      <c r="P175" s="76"/>
      <c r="Q175" s="76"/>
      <c r="R175" s="76"/>
      <c r="S175" s="104"/>
      <c r="T175" s="104"/>
      <c r="U175" s="106"/>
      <c r="V175" s="98" t="str">
        <f>IF(OR(G175="Sold",H175="Died"),IF(G175="Sold",VLOOKUP(B175,SALE!$B$5:$J$1000,6,0),IF(H175="Died",VLOOKUP(B175,MORTALITY!$B$5:$K$1000,5,0),"")),"")</f>
        <v/>
      </c>
      <c r="W175" s="76"/>
    </row>
    <row r="176" spans="1:23">
      <c r="A176" s="93">
        <f t="shared" si="11"/>
        <v>172</v>
      </c>
      <c r="B176" s="94"/>
      <c r="C176" s="76"/>
      <c r="D176" s="76"/>
      <c r="E176" s="76"/>
      <c r="F176" s="94" t="str">
        <f t="shared" ca="1" si="8"/>
        <v/>
      </c>
      <c r="G176" s="96" t="str">
        <f>IFERROR((IF((VLOOKUP(B176,SALE!$B$5:$B$1000,1,0))&gt;0,"Sold","")),"")</f>
        <v/>
      </c>
      <c r="H176" s="96" t="str">
        <f>IFERROR((IF((VLOOKUP(B176,MORTALITY!$B$5:$B$1000,1,0))&gt;0,"Died","")),"")</f>
        <v/>
      </c>
      <c r="I176" s="96" t="str">
        <f ca="1">IFERROR(
   IF(LOOKUP(2,1/((ILLNESS!$B$6:$B$1000=B176)*(ILLNESS!$L$6:$L$1000&lt;&gt;"")),
            ILLNESS!$L$6:$L$1000)="No",
      "Sick",""),
"")</f>
        <v/>
      </c>
      <c r="J176" s="104"/>
      <c r="K176" s="97" t="str">
        <f t="shared" ca="1" si="9"/>
        <v/>
      </c>
      <c r="L176" s="97" t="str">
        <f t="shared" ca="1" si="10"/>
        <v/>
      </c>
      <c r="M176" s="76"/>
      <c r="N176" s="76"/>
      <c r="O176" s="76"/>
      <c r="P176" s="76"/>
      <c r="Q176" s="76"/>
      <c r="R176" s="76"/>
      <c r="S176" s="104"/>
      <c r="T176" s="104"/>
      <c r="U176" s="106"/>
      <c r="V176" s="98" t="str">
        <f>IF(OR(G176="Sold",H176="Died"),IF(G176="Sold",VLOOKUP(B176,SALE!$B$5:$J$1000,6,0),IF(H176="Died",VLOOKUP(B176,MORTALITY!$B$5:$K$1000,5,0),"")),"")</f>
        <v/>
      </c>
      <c r="W176" s="76"/>
    </row>
    <row r="177" spans="1:23">
      <c r="A177" s="93">
        <f t="shared" si="11"/>
        <v>173</v>
      </c>
      <c r="B177" s="94"/>
      <c r="C177" s="76"/>
      <c r="D177" s="76"/>
      <c r="E177" s="76"/>
      <c r="F177" s="94" t="str">
        <f t="shared" ca="1" si="8"/>
        <v/>
      </c>
      <c r="G177" s="96" t="str">
        <f>IFERROR((IF((VLOOKUP(B177,SALE!$B$5:$B$1000,1,0))&gt;0,"Sold","")),"")</f>
        <v/>
      </c>
      <c r="H177" s="96" t="str">
        <f>IFERROR((IF((VLOOKUP(B177,MORTALITY!$B$5:$B$1000,1,0))&gt;0,"Died","")),"")</f>
        <v/>
      </c>
      <c r="I177" s="96" t="str">
        <f ca="1">IFERROR(
   IF(LOOKUP(2,1/((ILLNESS!$B$6:$B$1000=B177)*(ILLNESS!$L$6:$L$1000&lt;&gt;"")),
            ILLNESS!$L$6:$L$1000)="No",
      "Sick",""),
"")</f>
        <v/>
      </c>
      <c r="J177" s="104"/>
      <c r="K177" s="97" t="str">
        <f t="shared" ca="1" si="9"/>
        <v/>
      </c>
      <c r="L177" s="97" t="str">
        <f t="shared" ca="1" si="10"/>
        <v/>
      </c>
      <c r="M177" s="76"/>
      <c r="N177" s="76"/>
      <c r="O177" s="76"/>
      <c r="P177" s="76"/>
      <c r="Q177" s="76"/>
      <c r="R177" s="76"/>
      <c r="S177" s="104"/>
      <c r="T177" s="104"/>
      <c r="U177" s="106"/>
      <c r="V177" s="98" t="str">
        <f>IF(OR(G177="Sold",H177="Died"),IF(G177="Sold",VLOOKUP(B177,SALE!$B$5:$J$1000,6,0),IF(H177="Died",VLOOKUP(B177,MORTALITY!$B$5:$K$1000,5,0),"")),"")</f>
        <v/>
      </c>
      <c r="W177" s="76"/>
    </row>
    <row r="178" spans="1:23">
      <c r="A178" s="93">
        <f t="shared" si="11"/>
        <v>174</v>
      </c>
      <c r="B178" s="94"/>
      <c r="C178" s="76"/>
      <c r="D178" s="76"/>
      <c r="E178" s="76"/>
      <c r="F178" s="94" t="str">
        <f t="shared" ca="1" si="8"/>
        <v/>
      </c>
      <c r="G178" s="96" t="str">
        <f>IFERROR((IF((VLOOKUP(B178,SALE!$B$5:$B$1000,1,0))&gt;0,"Sold","")),"")</f>
        <v/>
      </c>
      <c r="H178" s="96" t="str">
        <f>IFERROR((IF((VLOOKUP(B178,MORTALITY!$B$5:$B$1000,1,0))&gt;0,"Died","")),"")</f>
        <v/>
      </c>
      <c r="I178" s="96" t="str">
        <f ca="1">IFERROR(
   IF(LOOKUP(2,1/((ILLNESS!$B$6:$B$1000=B178)*(ILLNESS!$L$6:$L$1000&lt;&gt;"")),
            ILLNESS!$L$6:$L$1000)="No",
      "Sick",""),
"")</f>
        <v/>
      </c>
      <c r="J178" s="104"/>
      <c r="K178" s="97" t="str">
        <f t="shared" ca="1" si="9"/>
        <v/>
      </c>
      <c r="L178" s="97" t="str">
        <f t="shared" ca="1" si="10"/>
        <v/>
      </c>
      <c r="M178" s="76"/>
      <c r="N178" s="76"/>
      <c r="O178" s="76"/>
      <c r="P178" s="76"/>
      <c r="Q178" s="76"/>
      <c r="R178" s="76"/>
      <c r="S178" s="104"/>
      <c r="T178" s="104"/>
      <c r="U178" s="106"/>
      <c r="V178" s="98" t="str">
        <f>IF(OR(G178="Sold",H178="Died"),IF(G178="Sold",VLOOKUP(B178,SALE!$B$5:$J$1000,6,0),IF(H178="Died",VLOOKUP(B178,MORTALITY!$B$5:$K$1000,5,0),"")),"")</f>
        <v/>
      </c>
      <c r="W178" s="76"/>
    </row>
    <row r="179" spans="1:23">
      <c r="A179" s="93">
        <f t="shared" si="11"/>
        <v>175</v>
      </c>
      <c r="B179" s="94"/>
      <c r="C179" s="76"/>
      <c r="D179" s="76"/>
      <c r="E179" s="76"/>
      <c r="F179" s="94" t="str">
        <f t="shared" ca="1" si="8"/>
        <v/>
      </c>
      <c r="G179" s="96" t="str">
        <f>IFERROR((IF((VLOOKUP(B179,SALE!$B$5:$B$1000,1,0))&gt;0,"Sold","")),"")</f>
        <v/>
      </c>
      <c r="H179" s="96" t="str">
        <f>IFERROR((IF((VLOOKUP(B179,MORTALITY!$B$5:$B$1000,1,0))&gt;0,"Died","")),"")</f>
        <v/>
      </c>
      <c r="I179" s="96" t="str">
        <f ca="1">IFERROR(
   IF(LOOKUP(2,1/((ILLNESS!$B$6:$B$1000=B179)*(ILLNESS!$L$6:$L$1000&lt;&gt;"")),
            ILLNESS!$L$6:$L$1000)="No",
      "Sick",""),
"")</f>
        <v/>
      </c>
      <c r="J179" s="104"/>
      <c r="K179" s="97" t="str">
        <f t="shared" ca="1" si="9"/>
        <v/>
      </c>
      <c r="L179" s="97" t="str">
        <f t="shared" ca="1" si="10"/>
        <v/>
      </c>
      <c r="M179" s="76"/>
      <c r="N179" s="76"/>
      <c r="O179" s="76"/>
      <c r="P179" s="76"/>
      <c r="Q179" s="76"/>
      <c r="R179" s="76"/>
      <c r="S179" s="104"/>
      <c r="T179" s="104"/>
      <c r="U179" s="106"/>
      <c r="V179" s="98" t="str">
        <f>IF(OR(G179="Sold",H179="Died"),IF(G179="Sold",VLOOKUP(B179,SALE!$B$5:$J$1000,6,0),IF(H179="Died",VLOOKUP(B179,MORTALITY!$B$5:$K$1000,5,0),"")),"")</f>
        <v/>
      </c>
      <c r="W179" s="76"/>
    </row>
    <row r="180" spans="1:23">
      <c r="A180" s="93">
        <f t="shared" si="11"/>
        <v>176</v>
      </c>
      <c r="B180" s="94"/>
      <c r="C180" s="76"/>
      <c r="D180" s="76"/>
      <c r="E180" s="76"/>
      <c r="F180" s="94" t="str">
        <f t="shared" ca="1" si="8"/>
        <v/>
      </c>
      <c r="G180" s="96" t="str">
        <f>IFERROR((IF((VLOOKUP(B180,SALE!$B$5:$B$1000,1,0))&gt;0,"Sold","")),"")</f>
        <v/>
      </c>
      <c r="H180" s="96" t="str">
        <f>IFERROR((IF((VLOOKUP(B180,MORTALITY!$B$5:$B$1000,1,0))&gt;0,"Died","")),"")</f>
        <v/>
      </c>
      <c r="I180" s="96" t="str">
        <f ca="1">IFERROR(
   IF(LOOKUP(2,1/((ILLNESS!$B$6:$B$1000=B180)*(ILLNESS!$L$6:$L$1000&lt;&gt;"")),
            ILLNESS!$L$6:$L$1000)="No",
      "Sick",""),
"")</f>
        <v/>
      </c>
      <c r="J180" s="104"/>
      <c r="K180" s="97" t="str">
        <f t="shared" ca="1" si="9"/>
        <v/>
      </c>
      <c r="L180" s="97" t="str">
        <f t="shared" ca="1" si="10"/>
        <v/>
      </c>
      <c r="M180" s="76"/>
      <c r="N180" s="76"/>
      <c r="O180" s="76"/>
      <c r="P180" s="76"/>
      <c r="Q180" s="76"/>
      <c r="R180" s="76"/>
      <c r="S180" s="104"/>
      <c r="T180" s="104"/>
      <c r="U180" s="106"/>
      <c r="V180" s="98" t="str">
        <f>IF(OR(G180="Sold",H180="Died"),IF(G180="Sold",VLOOKUP(B180,SALE!$B$5:$J$1000,6,0),IF(H180="Died",VLOOKUP(B180,MORTALITY!$B$5:$K$1000,5,0),"")),"")</f>
        <v/>
      </c>
      <c r="W180" s="76"/>
    </row>
    <row r="181" spans="1:23">
      <c r="A181" s="93">
        <f t="shared" si="11"/>
        <v>177</v>
      </c>
      <c r="B181" s="94"/>
      <c r="C181" s="76"/>
      <c r="D181" s="76"/>
      <c r="E181" s="76"/>
      <c r="F181" s="94" t="str">
        <f t="shared" ca="1" si="8"/>
        <v/>
      </c>
      <c r="G181" s="96" t="str">
        <f>IFERROR((IF((VLOOKUP(B181,SALE!$B$5:$B$1000,1,0))&gt;0,"Sold","")),"")</f>
        <v/>
      </c>
      <c r="H181" s="96" t="str">
        <f>IFERROR((IF((VLOOKUP(B181,MORTALITY!$B$5:$B$1000,1,0))&gt;0,"Died","")),"")</f>
        <v/>
      </c>
      <c r="I181" s="96" t="str">
        <f ca="1">IFERROR(
   IF(LOOKUP(2,1/((ILLNESS!$B$6:$B$1000=B181)*(ILLNESS!$L$6:$L$1000&lt;&gt;"")),
            ILLNESS!$L$6:$L$1000)="No",
      "Sick",""),
"")</f>
        <v/>
      </c>
      <c r="J181" s="104"/>
      <c r="K181" s="97" t="str">
        <f t="shared" ca="1" si="9"/>
        <v/>
      </c>
      <c r="L181" s="97" t="str">
        <f t="shared" ca="1" si="10"/>
        <v/>
      </c>
      <c r="M181" s="76"/>
      <c r="N181" s="76"/>
      <c r="O181" s="76"/>
      <c r="P181" s="76"/>
      <c r="Q181" s="76"/>
      <c r="R181" s="76"/>
      <c r="S181" s="104"/>
      <c r="T181" s="104"/>
      <c r="U181" s="106"/>
      <c r="V181" s="98" t="str">
        <f>IF(OR(G181="Sold",H181="Died"),IF(G181="Sold",VLOOKUP(B181,SALE!$B$5:$J$1000,6,0),IF(H181="Died",VLOOKUP(B181,MORTALITY!$B$5:$K$1000,5,0),"")),"")</f>
        <v/>
      </c>
      <c r="W181" s="76"/>
    </row>
    <row r="182" spans="1:23">
      <c r="A182" s="93">
        <f t="shared" si="11"/>
        <v>178</v>
      </c>
      <c r="B182" s="94"/>
      <c r="C182" s="76"/>
      <c r="D182" s="76"/>
      <c r="E182" s="76"/>
      <c r="F182" s="94" t="str">
        <f t="shared" ca="1" si="8"/>
        <v/>
      </c>
      <c r="G182" s="96" t="str">
        <f>IFERROR((IF((VLOOKUP(B182,SALE!$B$5:$B$1000,1,0))&gt;0,"Sold","")),"")</f>
        <v/>
      </c>
      <c r="H182" s="96" t="str">
        <f>IFERROR((IF((VLOOKUP(B182,MORTALITY!$B$5:$B$1000,1,0))&gt;0,"Died","")),"")</f>
        <v/>
      </c>
      <c r="I182" s="96" t="str">
        <f ca="1">IFERROR(
   IF(LOOKUP(2,1/((ILLNESS!$B$6:$B$1000=B182)*(ILLNESS!$L$6:$L$1000&lt;&gt;"")),
            ILLNESS!$L$6:$L$1000)="No",
      "Sick",""),
"")</f>
        <v/>
      </c>
      <c r="J182" s="104"/>
      <c r="K182" s="97" t="str">
        <f t="shared" ca="1" si="9"/>
        <v/>
      </c>
      <c r="L182" s="97" t="str">
        <f t="shared" ca="1" si="10"/>
        <v/>
      </c>
      <c r="M182" s="76"/>
      <c r="N182" s="76"/>
      <c r="O182" s="76"/>
      <c r="P182" s="76"/>
      <c r="Q182" s="76"/>
      <c r="R182" s="76"/>
      <c r="S182" s="104"/>
      <c r="T182" s="104"/>
      <c r="U182" s="106"/>
      <c r="V182" s="98" t="str">
        <f>IF(OR(G182="Sold",H182="Died"),IF(G182="Sold",VLOOKUP(B182,SALE!$B$5:$J$1000,6,0),IF(H182="Died",VLOOKUP(B182,MORTALITY!$B$5:$K$1000,5,0),"")),"")</f>
        <v/>
      </c>
      <c r="W182" s="76"/>
    </row>
    <row r="183" spans="1:23">
      <c r="A183" s="93">
        <f t="shared" si="11"/>
        <v>179</v>
      </c>
      <c r="B183" s="94"/>
      <c r="C183" s="76"/>
      <c r="D183" s="76"/>
      <c r="E183" s="76"/>
      <c r="F183" s="94" t="str">
        <f t="shared" ca="1" si="8"/>
        <v/>
      </c>
      <c r="G183" s="96" t="str">
        <f>IFERROR((IF((VLOOKUP(B183,SALE!$B$5:$B$1000,1,0))&gt;0,"Sold","")),"")</f>
        <v/>
      </c>
      <c r="H183" s="96" t="str">
        <f>IFERROR((IF((VLOOKUP(B183,MORTALITY!$B$5:$B$1000,1,0))&gt;0,"Died","")),"")</f>
        <v/>
      </c>
      <c r="I183" s="96" t="str">
        <f ca="1">IFERROR(
   IF(LOOKUP(2,1/((ILLNESS!$B$6:$B$1000=B183)*(ILLNESS!$L$6:$L$1000&lt;&gt;"")),
            ILLNESS!$L$6:$L$1000)="No",
      "Sick",""),
"")</f>
        <v/>
      </c>
      <c r="J183" s="104"/>
      <c r="K183" s="97" t="str">
        <f t="shared" ca="1" si="9"/>
        <v/>
      </c>
      <c r="L183" s="97" t="str">
        <f t="shared" ca="1" si="10"/>
        <v/>
      </c>
      <c r="M183" s="76"/>
      <c r="N183" s="76"/>
      <c r="O183" s="76"/>
      <c r="P183" s="76"/>
      <c r="Q183" s="76"/>
      <c r="R183" s="76"/>
      <c r="S183" s="104"/>
      <c r="T183" s="104"/>
      <c r="U183" s="106"/>
      <c r="V183" s="98" t="str">
        <f>IF(OR(G183="Sold",H183="Died"),IF(G183="Sold",VLOOKUP(B183,SALE!$B$5:$J$1000,6,0),IF(H183="Died",VLOOKUP(B183,MORTALITY!$B$5:$K$1000,5,0),"")),"")</f>
        <v/>
      </c>
      <c r="W183" s="76"/>
    </row>
    <row r="184" spans="1:23">
      <c r="A184" s="93">
        <f t="shared" si="11"/>
        <v>180</v>
      </c>
      <c r="B184" s="94"/>
      <c r="C184" s="76"/>
      <c r="D184" s="76"/>
      <c r="E184" s="76"/>
      <c r="F184" s="94" t="str">
        <f t="shared" ca="1" si="8"/>
        <v/>
      </c>
      <c r="G184" s="96" t="str">
        <f>IFERROR((IF((VLOOKUP(B184,SALE!$B$5:$B$1000,1,0))&gt;0,"Sold","")),"")</f>
        <v/>
      </c>
      <c r="H184" s="96" t="str">
        <f>IFERROR((IF((VLOOKUP(B184,MORTALITY!$B$5:$B$1000,1,0))&gt;0,"Died","")),"")</f>
        <v/>
      </c>
      <c r="I184" s="96" t="str">
        <f ca="1">IFERROR(
   IF(LOOKUP(2,1/((ILLNESS!$B$6:$B$1000=B184)*(ILLNESS!$L$6:$L$1000&lt;&gt;"")),
            ILLNESS!$L$6:$L$1000)="No",
      "Sick",""),
"")</f>
        <v/>
      </c>
      <c r="J184" s="104"/>
      <c r="K184" s="97" t="str">
        <f t="shared" ca="1" si="9"/>
        <v/>
      </c>
      <c r="L184" s="97" t="str">
        <f t="shared" ca="1" si="10"/>
        <v/>
      </c>
      <c r="M184" s="76"/>
      <c r="N184" s="76"/>
      <c r="O184" s="76"/>
      <c r="P184" s="76"/>
      <c r="Q184" s="76"/>
      <c r="R184" s="76"/>
      <c r="S184" s="104"/>
      <c r="T184" s="104"/>
      <c r="U184" s="106"/>
      <c r="V184" s="98" t="str">
        <f>IF(OR(G184="Sold",H184="Died"),IF(G184="Sold",VLOOKUP(B184,SALE!$B$5:$J$1000,6,0),IF(H184="Died",VLOOKUP(B184,MORTALITY!$B$5:$K$1000,5,0),"")),"")</f>
        <v/>
      </c>
      <c r="W184" s="76"/>
    </row>
    <row r="185" spans="1:23">
      <c r="A185" s="93">
        <f t="shared" si="11"/>
        <v>181</v>
      </c>
      <c r="B185" s="94"/>
      <c r="C185" s="76"/>
      <c r="D185" s="76"/>
      <c r="E185" s="76"/>
      <c r="F185" s="94" t="str">
        <f t="shared" ca="1" si="8"/>
        <v/>
      </c>
      <c r="G185" s="96" t="str">
        <f>IFERROR((IF((VLOOKUP(B185,SALE!$B$5:$B$1000,1,0))&gt;0,"Sold","")),"")</f>
        <v/>
      </c>
      <c r="H185" s="96" t="str">
        <f>IFERROR((IF((VLOOKUP(B185,MORTALITY!$B$5:$B$1000,1,0))&gt;0,"Died","")),"")</f>
        <v/>
      </c>
      <c r="I185" s="96" t="str">
        <f ca="1">IFERROR(
   IF(LOOKUP(2,1/((ILLNESS!$B$6:$B$1000=B185)*(ILLNESS!$L$6:$L$1000&lt;&gt;"")),
            ILLNESS!$L$6:$L$1000)="No",
      "Sick",""),
"")</f>
        <v/>
      </c>
      <c r="J185" s="104"/>
      <c r="K185" s="97" t="str">
        <f t="shared" ca="1" si="9"/>
        <v/>
      </c>
      <c r="L185" s="97" t="str">
        <f t="shared" ca="1" si="10"/>
        <v/>
      </c>
      <c r="M185" s="76"/>
      <c r="N185" s="76"/>
      <c r="O185" s="76"/>
      <c r="P185" s="76"/>
      <c r="Q185" s="76"/>
      <c r="R185" s="76"/>
      <c r="S185" s="104"/>
      <c r="T185" s="104"/>
      <c r="U185" s="106"/>
      <c r="V185" s="98" t="str">
        <f>IF(OR(G185="Sold",H185="Died"),IF(G185="Sold",VLOOKUP(B185,SALE!$B$5:$J$1000,6,0),IF(H185="Died",VLOOKUP(B185,MORTALITY!$B$5:$K$1000,5,0),"")),"")</f>
        <v/>
      </c>
      <c r="W185" s="76"/>
    </row>
    <row r="186" spans="1:23">
      <c r="A186" s="93">
        <f t="shared" si="11"/>
        <v>182</v>
      </c>
      <c r="B186" s="94"/>
      <c r="C186" s="76"/>
      <c r="D186" s="76"/>
      <c r="E186" s="76"/>
      <c r="F186" s="94" t="str">
        <f t="shared" ca="1" si="8"/>
        <v/>
      </c>
      <c r="G186" s="96" t="str">
        <f>IFERROR((IF((VLOOKUP(B186,SALE!$B$5:$B$1000,1,0))&gt;0,"Sold","")),"")</f>
        <v/>
      </c>
      <c r="H186" s="96" t="str">
        <f>IFERROR((IF((VLOOKUP(B186,MORTALITY!$B$5:$B$1000,1,0))&gt;0,"Died","")),"")</f>
        <v/>
      </c>
      <c r="I186" s="96" t="str">
        <f ca="1">IFERROR(
   IF(LOOKUP(2,1/((ILLNESS!$B$6:$B$1000=B186)*(ILLNESS!$L$6:$L$1000&lt;&gt;"")),
            ILLNESS!$L$6:$L$1000)="No",
      "Sick",""),
"")</f>
        <v/>
      </c>
      <c r="J186" s="104"/>
      <c r="K186" s="97" t="str">
        <f t="shared" ca="1" si="9"/>
        <v/>
      </c>
      <c r="L186" s="97" t="str">
        <f t="shared" ca="1" si="10"/>
        <v/>
      </c>
      <c r="M186" s="76"/>
      <c r="N186" s="76"/>
      <c r="O186" s="76"/>
      <c r="P186" s="76"/>
      <c r="Q186" s="76"/>
      <c r="R186" s="76"/>
      <c r="S186" s="104"/>
      <c r="T186" s="104"/>
      <c r="U186" s="106"/>
      <c r="V186" s="98" t="str">
        <f>IF(OR(G186="Sold",H186="Died"),IF(G186="Sold",VLOOKUP(B186,SALE!$B$5:$J$1000,6,0),IF(H186="Died",VLOOKUP(B186,MORTALITY!$B$5:$K$1000,5,0),"")),"")</f>
        <v/>
      </c>
      <c r="W186" s="76"/>
    </row>
    <row r="187" spans="1:23">
      <c r="A187" s="93">
        <f t="shared" si="11"/>
        <v>183</v>
      </c>
      <c r="B187" s="94"/>
      <c r="C187" s="76"/>
      <c r="D187" s="76"/>
      <c r="E187" s="76"/>
      <c r="F187" s="94" t="str">
        <f t="shared" ca="1" si="8"/>
        <v/>
      </c>
      <c r="G187" s="96" t="str">
        <f>IFERROR((IF((VLOOKUP(B187,SALE!$B$5:$B$1000,1,0))&gt;0,"Sold","")),"")</f>
        <v/>
      </c>
      <c r="H187" s="96" t="str">
        <f>IFERROR((IF((VLOOKUP(B187,MORTALITY!$B$5:$B$1000,1,0))&gt;0,"Died","")),"")</f>
        <v/>
      </c>
      <c r="I187" s="96" t="str">
        <f ca="1">IFERROR(
   IF(LOOKUP(2,1/((ILLNESS!$B$6:$B$1000=B187)*(ILLNESS!$L$6:$L$1000&lt;&gt;"")),
            ILLNESS!$L$6:$L$1000)="No",
      "Sick",""),
"")</f>
        <v/>
      </c>
      <c r="J187" s="104"/>
      <c r="K187" s="97" t="str">
        <f t="shared" ca="1" si="9"/>
        <v/>
      </c>
      <c r="L187" s="97" t="str">
        <f t="shared" ca="1" si="10"/>
        <v/>
      </c>
      <c r="M187" s="76"/>
      <c r="N187" s="76"/>
      <c r="O187" s="76"/>
      <c r="P187" s="76"/>
      <c r="Q187" s="76"/>
      <c r="R187" s="76"/>
      <c r="S187" s="104"/>
      <c r="T187" s="104"/>
      <c r="U187" s="106"/>
      <c r="V187" s="98" t="str">
        <f>IF(OR(G187="Sold",H187="Died"),IF(G187="Sold",VLOOKUP(B187,SALE!$B$5:$J$1000,6,0),IF(H187="Died",VLOOKUP(B187,MORTALITY!$B$5:$K$1000,5,0),"")),"")</f>
        <v/>
      </c>
      <c r="W187" s="76"/>
    </row>
    <row r="188" spans="1:23">
      <c r="A188" s="93">
        <f t="shared" si="11"/>
        <v>184</v>
      </c>
      <c r="B188" s="94"/>
      <c r="C188" s="76"/>
      <c r="D188" s="76"/>
      <c r="E188" s="76"/>
      <c r="F188" s="94" t="str">
        <f t="shared" ca="1" si="8"/>
        <v/>
      </c>
      <c r="G188" s="96" t="str">
        <f>IFERROR((IF((VLOOKUP(B188,SALE!$B$5:$B$1000,1,0))&gt;0,"Sold","")),"")</f>
        <v/>
      </c>
      <c r="H188" s="96" t="str">
        <f>IFERROR((IF((VLOOKUP(B188,MORTALITY!$B$5:$B$1000,1,0))&gt;0,"Died","")),"")</f>
        <v/>
      </c>
      <c r="I188" s="96" t="str">
        <f ca="1">IFERROR(
   IF(LOOKUP(2,1/((ILLNESS!$B$6:$B$1000=B188)*(ILLNESS!$L$6:$L$1000&lt;&gt;"")),
            ILLNESS!$L$6:$L$1000)="No",
      "Sick",""),
"")</f>
        <v/>
      </c>
      <c r="J188" s="104"/>
      <c r="K188" s="97" t="str">
        <f t="shared" ca="1" si="9"/>
        <v/>
      </c>
      <c r="L188" s="97" t="str">
        <f t="shared" ca="1" si="10"/>
        <v/>
      </c>
      <c r="M188" s="76"/>
      <c r="N188" s="76"/>
      <c r="O188" s="76"/>
      <c r="P188" s="76"/>
      <c r="Q188" s="76"/>
      <c r="R188" s="76"/>
      <c r="S188" s="104"/>
      <c r="T188" s="104"/>
      <c r="U188" s="106"/>
      <c r="V188" s="98" t="str">
        <f>IF(OR(G188="Sold",H188="Died"),IF(G188="Sold",VLOOKUP(B188,SALE!$B$5:$J$1000,6,0),IF(H188="Died",VLOOKUP(B188,MORTALITY!$B$5:$K$1000,5,0),"")),"")</f>
        <v/>
      </c>
      <c r="W188" s="76"/>
    </row>
    <row r="189" spans="1:23">
      <c r="A189" s="93">
        <f t="shared" si="11"/>
        <v>185</v>
      </c>
      <c r="B189" s="94"/>
      <c r="C189" s="76"/>
      <c r="D189" s="76"/>
      <c r="E189" s="76"/>
      <c r="F189" s="94" t="str">
        <f t="shared" ca="1" si="8"/>
        <v/>
      </c>
      <c r="G189" s="96" t="str">
        <f>IFERROR((IF((VLOOKUP(B189,SALE!$B$5:$B$1000,1,0))&gt;0,"Sold","")),"")</f>
        <v/>
      </c>
      <c r="H189" s="96" t="str">
        <f>IFERROR((IF((VLOOKUP(B189,MORTALITY!$B$5:$B$1000,1,0))&gt;0,"Died","")),"")</f>
        <v/>
      </c>
      <c r="I189" s="96" t="str">
        <f ca="1">IFERROR(
   IF(LOOKUP(2,1/((ILLNESS!$B$6:$B$1000=B189)*(ILLNESS!$L$6:$L$1000&lt;&gt;"")),
            ILLNESS!$L$6:$L$1000)="No",
      "Sick",""),
"")</f>
        <v/>
      </c>
      <c r="J189" s="104"/>
      <c r="K189" s="97" t="str">
        <f t="shared" ca="1" si="9"/>
        <v/>
      </c>
      <c r="L189" s="97" t="str">
        <f t="shared" ca="1" si="10"/>
        <v/>
      </c>
      <c r="M189" s="76"/>
      <c r="N189" s="76"/>
      <c r="O189" s="76"/>
      <c r="P189" s="76"/>
      <c r="Q189" s="76"/>
      <c r="R189" s="76"/>
      <c r="S189" s="104"/>
      <c r="T189" s="104"/>
      <c r="U189" s="106"/>
      <c r="V189" s="98" t="str">
        <f>IF(OR(G189="Sold",H189="Died"),IF(G189="Sold",VLOOKUP(B189,SALE!$B$5:$J$1000,6,0),IF(H189="Died",VLOOKUP(B189,MORTALITY!$B$5:$K$1000,5,0),"")),"")</f>
        <v/>
      </c>
      <c r="W189" s="76"/>
    </row>
    <row r="190" spans="1:23">
      <c r="A190" s="93">
        <f t="shared" si="11"/>
        <v>186</v>
      </c>
      <c r="B190" s="94"/>
      <c r="C190" s="76"/>
      <c r="D190" s="76"/>
      <c r="E190" s="76"/>
      <c r="F190" s="94" t="str">
        <f t="shared" ca="1" si="8"/>
        <v/>
      </c>
      <c r="G190" s="96" t="str">
        <f>IFERROR((IF((VLOOKUP(B190,SALE!$B$5:$B$1000,1,0))&gt;0,"Sold","")),"")</f>
        <v/>
      </c>
      <c r="H190" s="96" t="str">
        <f>IFERROR((IF((VLOOKUP(B190,MORTALITY!$B$5:$B$1000,1,0))&gt;0,"Died","")),"")</f>
        <v/>
      </c>
      <c r="I190" s="96" t="str">
        <f ca="1">IFERROR(
   IF(LOOKUP(2,1/((ILLNESS!$B$6:$B$1000=B190)*(ILLNESS!$L$6:$L$1000&lt;&gt;"")),
            ILLNESS!$L$6:$L$1000)="No",
      "Sick",""),
"")</f>
        <v/>
      </c>
      <c r="J190" s="104"/>
      <c r="K190" s="97" t="str">
        <f t="shared" ca="1" si="9"/>
        <v/>
      </c>
      <c r="L190" s="97" t="str">
        <f t="shared" ca="1" si="10"/>
        <v/>
      </c>
      <c r="M190" s="76"/>
      <c r="N190" s="76"/>
      <c r="O190" s="76"/>
      <c r="P190" s="76"/>
      <c r="Q190" s="76"/>
      <c r="R190" s="76"/>
      <c r="S190" s="104"/>
      <c r="T190" s="104"/>
      <c r="U190" s="106"/>
      <c r="V190" s="98" t="str">
        <f>IF(OR(G190="Sold",H190="Died"),IF(G190="Sold",VLOOKUP(B190,SALE!$B$5:$J$1000,6,0),IF(H190="Died",VLOOKUP(B190,MORTALITY!$B$5:$K$1000,5,0),"")),"")</f>
        <v/>
      </c>
      <c r="W190" s="76"/>
    </row>
    <row r="191" spans="1:23">
      <c r="A191" s="93">
        <f t="shared" si="11"/>
        <v>187</v>
      </c>
      <c r="B191" s="94"/>
      <c r="C191" s="76"/>
      <c r="D191" s="76"/>
      <c r="E191" s="76"/>
      <c r="F191" s="94" t="str">
        <f t="shared" ca="1" si="8"/>
        <v/>
      </c>
      <c r="G191" s="96" t="str">
        <f>IFERROR((IF((VLOOKUP(B191,SALE!$B$5:$B$1000,1,0))&gt;0,"Sold","")),"")</f>
        <v/>
      </c>
      <c r="H191" s="96" t="str">
        <f>IFERROR((IF((VLOOKUP(B191,MORTALITY!$B$5:$B$1000,1,0))&gt;0,"Died","")),"")</f>
        <v/>
      </c>
      <c r="I191" s="96" t="str">
        <f ca="1">IFERROR(
   IF(LOOKUP(2,1/((ILLNESS!$B$6:$B$1000=B191)*(ILLNESS!$L$6:$L$1000&lt;&gt;"")),
            ILLNESS!$L$6:$L$1000)="No",
      "Sick",""),
"")</f>
        <v/>
      </c>
      <c r="J191" s="104"/>
      <c r="K191" s="97" t="str">
        <f t="shared" ca="1" si="9"/>
        <v/>
      </c>
      <c r="L191" s="97" t="str">
        <f t="shared" ca="1" si="10"/>
        <v/>
      </c>
      <c r="M191" s="76"/>
      <c r="N191" s="76"/>
      <c r="O191" s="76"/>
      <c r="P191" s="76"/>
      <c r="Q191" s="76"/>
      <c r="R191" s="76"/>
      <c r="S191" s="104"/>
      <c r="T191" s="104"/>
      <c r="U191" s="106"/>
      <c r="V191" s="98" t="str">
        <f>IF(OR(G191="Sold",H191="Died"),IF(G191="Sold",VLOOKUP(B191,SALE!$B$5:$J$1000,6,0),IF(H191="Died",VLOOKUP(B191,MORTALITY!$B$5:$K$1000,5,0),"")),"")</f>
        <v/>
      </c>
      <c r="W191" s="76"/>
    </row>
    <row r="192" spans="1:23">
      <c r="A192" s="93">
        <f t="shared" si="11"/>
        <v>188</v>
      </c>
      <c r="B192" s="94"/>
      <c r="C192" s="76"/>
      <c r="D192" s="76"/>
      <c r="E192" s="76"/>
      <c r="F192" s="94" t="str">
        <f t="shared" ca="1" si="8"/>
        <v/>
      </c>
      <c r="G192" s="96" t="str">
        <f>IFERROR((IF((VLOOKUP(B192,SALE!$B$5:$B$1000,1,0))&gt;0,"Sold","")),"")</f>
        <v/>
      </c>
      <c r="H192" s="96" t="str">
        <f>IFERROR((IF((VLOOKUP(B192,MORTALITY!$B$5:$B$1000,1,0))&gt;0,"Died","")),"")</f>
        <v/>
      </c>
      <c r="I192" s="96" t="str">
        <f ca="1">IFERROR(
   IF(LOOKUP(2,1/((ILLNESS!$B$6:$B$1000=B192)*(ILLNESS!$L$6:$L$1000&lt;&gt;"")),
            ILLNESS!$L$6:$L$1000)="No",
      "Sick",""),
"")</f>
        <v/>
      </c>
      <c r="J192" s="104"/>
      <c r="K192" s="97" t="str">
        <f t="shared" ca="1" si="9"/>
        <v/>
      </c>
      <c r="L192" s="97" t="str">
        <f t="shared" ca="1" si="10"/>
        <v/>
      </c>
      <c r="M192" s="76"/>
      <c r="N192" s="76"/>
      <c r="O192" s="76"/>
      <c r="P192" s="76"/>
      <c r="Q192" s="76"/>
      <c r="R192" s="76"/>
      <c r="S192" s="104"/>
      <c r="T192" s="104"/>
      <c r="U192" s="106"/>
      <c r="V192" s="98" t="str">
        <f>IF(OR(G192="Sold",H192="Died"),IF(G192="Sold",VLOOKUP(B192,SALE!$B$5:$J$1000,6,0),IF(H192="Died",VLOOKUP(B192,MORTALITY!$B$5:$K$1000,5,0),"")),"")</f>
        <v/>
      </c>
      <c r="W192" s="76"/>
    </row>
    <row r="193" spans="1:23">
      <c r="A193" s="93">
        <f t="shared" si="11"/>
        <v>189</v>
      </c>
      <c r="B193" s="94"/>
      <c r="C193" s="76"/>
      <c r="D193" s="76"/>
      <c r="E193" s="76"/>
      <c r="F193" s="94" t="str">
        <f t="shared" ca="1" si="8"/>
        <v/>
      </c>
      <c r="G193" s="96" t="str">
        <f>IFERROR((IF((VLOOKUP(B193,SALE!$B$5:$B$1000,1,0))&gt;0,"Sold","")),"")</f>
        <v/>
      </c>
      <c r="H193" s="96" t="str">
        <f>IFERROR((IF((VLOOKUP(B193,MORTALITY!$B$5:$B$1000,1,0))&gt;0,"Died","")),"")</f>
        <v/>
      </c>
      <c r="I193" s="96" t="str">
        <f ca="1">IFERROR(
   IF(LOOKUP(2,1/((ILLNESS!$B$6:$B$1000=B193)*(ILLNESS!$L$6:$L$1000&lt;&gt;"")),
            ILLNESS!$L$6:$L$1000)="No",
      "Sick",""),
"")</f>
        <v/>
      </c>
      <c r="J193" s="104"/>
      <c r="K193" s="97" t="str">
        <f t="shared" ca="1" si="9"/>
        <v/>
      </c>
      <c r="L193" s="97" t="str">
        <f t="shared" ca="1" si="10"/>
        <v/>
      </c>
      <c r="M193" s="76"/>
      <c r="N193" s="76"/>
      <c r="O193" s="76"/>
      <c r="P193" s="76"/>
      <c r="Q193" s="76"/>
      <c r="R193" s="76"/>
      <c r="S193" s="104"/>
      <c r="T193" s="104"/>
      <c r="U193" s="106"/>
      <c r="V193" s="98" t="str">
        <f>IF(OR(G193="Sold",H193="Died"),IF(G193="Sold",VLOOKUP(B193,SALE!$B$5:$J$1000,6,0),IF(H193="Died",VLOOKUP(B193,MORTALITY!$B$5:$K$1000,5,0),"")),"")</f>
        <v/>
      </c>
      <c r="W193" s="76"/>
    </row>
    <row r="194" spans="1:23">
      <c r="A194" s="93">
        <f t="shared" si="11"/>
        <v>190</v>
      </c>
      <c r="B194" s="94"/>
      <c r="C194" s="76"/>
      <c r="D194" s="76"/>
      <c r="E194" s="76"/>
      <c r="F194" s="94" t="str">
        <f t="shared" ca="1" si="8"/>
        <v/>
      </c>
      <c r="G194" s="96" t="str">
        <f>IFERROR((IF((VLOOKUP(B194,SALE!$B$5:$B$1000,1,0))&gt;0,"Sold","")),"")</f>
        <v/>
      </c>
      <c r="H194" s="96" t="str">
        <f>IFERROR((IF((VLOOKUP(B194,MORTALITY!$B$5:$B$1000,1,0))&gt;0,"Died","")),"")</f>
        <v/>
      </c>
      <c r="I194" s="96" t="str">
        <f ca="1">IFERROR(
   IF(LOOKUP(2,1/((ILLNESS!$B$6:$B$1000=B194)*(ILLNESS!$L$6:$L$1000&lt;&gt;"")),
            ILLNESS!$L$6:$L$1000)="No",
      "Sick",""),
"")</f>
        <v/>
      </c>
      <c r="J194" s="104"/>
      <c r="K194" s="97" t="str">
        <f t="shared" ca="1" si="9"/>
        <v/>
      </c>
      <c r="L194" s="97" t="str">
        <f t="shared" ca="1" si="10"/>
        <v/>
      </c>
      <c r="M194" s="76"/>
      <c r="N194" s="76"/>
      <c r="O194" s="76"/>
      <c r="P194" s="76"/>
      <c r="Q194" s="76"/>
      <c r="R194" s="76"/>
      <c r="S194" s="104"/>
      <c r="T194" s="104"/>
      <c r="U194" s="106"/>
      <c r="V194" s="98" t="str">
        <f>IF(OR(G194="Sold",H194="Died"),IF(G194="Sold",VLOOKUP(B194,SALE!$B$5:$J$1000,6,0),IF(H194="Died",VLOOKUP(B194,MORTALITY!$B$5:$K$1000,5,0),"")),"")</f>
        <v/>
      </c>
      <c r="W194" s="76"/>
    </row>
    <row r="195" spans="1:23">
      <c r="A195" s="93">
        <f t="shared" si="11"/>
        <v>191</v>
      </c>
      <c r="B195" s="94"/>
      <c r="C195" s="76"/>
      <c r="D195" s="76"/>
      <c r="E195" s="76"/>
      <c r="F195" s="94" t="str">
        <f t="shared" ca="1" si="8"/>
        <v/>
      </c>
      <c r="G195" s="96" t="str">
        <f>IFERROR((IF((VLOOKUP(B195,SALE!$B$5:$B$1000,1,0))&gt;0,"Sold","")),"")</f>
        <v/>
      </c>
      <c r="H195" s="96" t="str">
        <f>IFERROR((IF((VLOOKUP(B195,MORTALITY!$B$5:$B$1000,1,0))&gt;0,"Died","")),"")</f>
        <v/>
      </c>
      <c r="I195" s="96" t="str">
        <f ca="1">IFERROR(
   IF(LOOKUP(2,1/((ILLNESS!$B$6:$B$1000=B195)*(ILLNESS!$L$6:$L$1000&lt;&gt;"")),
            ILLNESS!$L$6:$L$1000)="No",
      "Sick",""),
"")</f>
        <v/>
      </c>
      <c r="J195" s="104"/>
      <c r="K195" s="97" t="str">
        <f t="shared" ca="1" si="9"/>
        <v/>
      </c>
      <c r="L195" s="97" t="str">
        <f t="shared" ca="1" si="10"/>
        <v/>
      </c>
      <c r="M195" s="76"/>
      <c r="N195" s="76"/>
      <c r="O195" s="76"/>
      <c r="P195" s="76"/>
      <c r="Q195" s="76"/>
      <c r="R195" s="76"/>
      <c r="S195" s="104"/>
      <c r="T195" s="104"/>
      <c r="U195" s="106"/>
      <c r="V195" s="98" t="str">
        <f>IF(OR(G195="Sold",H195="Died"),IF(G195="Sold",VLOOKUP(B195,SALE!$B$5:$J$1000,6,0),IF(H195="Died",VLOOKUP(B195,MORTALITY!$B$5:$K$1000,5,0),"")),"")</f>
        <v/>
      </c>
      <c r="W195" s="76"/>
    </row>
    <row r="196" spans="1:23">
      <c r="A196" s="93">
        <f t="shared" si="11"/>
        <v>192</v>
      </c>
      <c r="B196" s="94"/>
      <c r="C196" s="76"/>
      <c r="D196" s="76"/>
      <c r="E196" s="76"/>
      <c r="F196" s="94" t="str">
        <f t="shared" ca="1" si="8"/>
        <v/>
      </c>
      <c r="G196" s="96" t="str">
        <f>IFERROR((IF((VLOOKUP(B196,SALE!$B$5:$B$1000,1,0))&gt;0,"Sold","")),"")</f>
        <v/>
      </c>
      <c r="H196" s="96" t="str">
        <f>IFERROR((IF((VLOOKUP(B196,MORTALITY!$B$5:$B$1000,1,0))&gt;0,"Died","")),"")</f>
        <v/>
      </c>
      <c r="I196" s="96" t="str">
        <f ca="1">IFERROR(
   IF(LOOKUP(2,1/((ILLNESS!$B$6:$B$1000=B196)*(ILLNESS!$L$6:$L$1000&lt;&gt;"")),
            ILLNESS!$L$6:$L$1000)="No",
      "Sick",""),
"")</f>
        <v/>
      </c>
      <c r="J196" s="104"/>
      <c r="K196" s="97" t="str">
        <f t="shared" ca="1" si="9"/>
        <v/>
      </c>
      <c r="L196" s="97" t="str">
        <f t="shared" ca="1" si="10"/>
        <v/>
      </c>
      <c r="M196" s="76"/>
      <c r="N196" s="76"/>
      <c r="O196" s="76"/>
      <c r="P196" s="76"/>
      <c r="Q196" s="76"/>
      <c r="R196" s="76"/>
      <c r="S196" s="104"/>
      <c r="T196" s="104"/>
      <c r="U196" s="106"/>
      <c r="V196" s="98" t="str">
        <f>IF(OR(G196="Sold",H196="Died"),IF(G196="Sold",VLOOKUP(B196,SALE!$B$5:$J$1000,6,0),IF(H196="Died",VLOOKUP(B196,MORTALITY!$B$5:$K$1000,5,0),"")),"")</f>
        <v/>
      </c>
      <c r="W196" s="76"/>
    </row>
    <row r="197" spans="1:23">
      <c r="A197" s="93">
        <f t="shared" si="11"/>
        <v>193</v>
      </c>
      <c r="B197" s="94"/>
      <c r="C197" s="76"/>
      <c r="D197" s="76"/>
      <c r="E197" s="76"/>
      <c r="F197" s="94" t="str">
        <f t="shared" ca="1" si="8"/>
        <v/>
      </c>
      <c r="G197" s="96" t="str">
        <f>IFERROR((IF((VLOOKUP(B197,SALE!$B$5:$B$1000,1,0))&gt;0,"Sold","")),"")</f>
        <v/>
      </c>
      <c r="H197" s="96" t="str">
        <f>IFERROR((IF((VLOOKUP(B197,MORTALITY!$B$5:$B$1000,1,0))&gt;0,"Died","")),"")</f>
        <v/>
      </c>
      <c r="I197" s="96" t="str">
        <f ca="1">IFERROR(
   IF(LOOKUP(2,1/((ILLNESS!$B$6:$B$1000=B197)*(ILLNESS!$L$6:$L$1000&lt;&gt;"")),
            ILLNESS!$L$6:$L$1000)="No",
      "Sick",""),
"")</f>
        <v/>
      </c>
      <c r="J197" s="104"/>
      <c r="K197" s="97" t="str">
        <f t="shared" ca="1" si="9"/>
        <v/>
      </c>
      <c r="L197" s="97" t="str">
        <f t="shared" ca="1" si="10"/>
        <v/>
      </c>
      <c r="M197" s="76"/>
      <c r="N197" s="76"/>
      <c r="O197" s="76"/>
      <c r="P197" s="76"/>
      <c r="Q197" s="76"/>
      <c r="R197" s="76"/>
      <c r="S197" s="104"/>
      <c r="T197" s="104"/>
      <c r="U197" s="106"/>
      <c r="V197" s="98" t="str">
        <f>IF(OR(G197="Sold",H197="Died"),IF(G197="Sold",VLOOKUP(B197,SALE!$B$5:$J$1000,6,0),IF(H197="Died",VLOOKUP(B197,MORTALITY!$B$5:$K$1000,5,0),"")),"")</f>
        <v/>
      </c>
      <c r="W197" s="76"/>
    </row>
    <row r="198" spans="1:23">
      <c r="A198" s="93">
        <f t="shared" si="11"/>
        <v>194</v>
      </c>
      <c r="B198" s="94"/>
      <c r="C198" s="76"/>
      <c r="D198" s="76"/>
      <c r="E198" s="76"/>
      <c r="F198" s="94" t="str">
        <f t="shared" ca="1" si="8"/>
        <v/>
      </c>
      <c r="G198" s="96" t="str">
        <f>IFERROR((IF((VLOOKUP(B198,SALE!$B$5:$B$1000,1,0))&gt;0,"Sold","")),"")</f>
        <v/>
      </c>
      <c r="H198" s="96" t="str">
        <f>IFERROR((IF((VLOOKUP(B198,MORTALITY!$B$5:$B$1000,1,0))&gt;0,"Died","")),"")</f>
        <v/>
      </c>
      <c r="I198" s="96" t="str">
        <f ca="1">IFERROR(
   IF(LOOKUP(2,1/((ILLNESS!$B$6:$B$1000=B198)*(ILLNESS!$L$6:$L$1000&lt;&gt;"")),
            ILLNESS!$L$6:$L$1000)="No",
      "Sick",""),
"")</f>
        <v/>
      </c>
      <c r="J198" s="104"/>
      <c r="K198" s="97" t="str">
        <f t="shared" ca="1" si="9"/>
        <v/>
      </c>
      <c r="L198" s="97" t="str">
        <f t="shared" ca="1" si="10"/>
        <v/>
      </c>
      <c r="M198" s="76"/>
      <c r="N198" s="76"/>
      <c r="O198" s="76"/>
      <c r="P198" s="76"/>
      <c r="Q198" s="76"/>
      <c r="R198" s="76"/>
      <c r="S198" s="104"/>
      <c r="T198" s="104"/>
      <c r="U198" s="106"/>
      <c r="V198" s="98" t="str">
        <f>IF(OR(G198="Sold",H198="Died"),IF(G198="Sold",VLOOKUP(B198,SALE!$B$5:$J$1000,6,0),IF(H198="Died",VLOOKUP(B198,MORTALITY!$B$5:$K$1000,5,0),"")),"")</f>
        <v/>
      </c>
      <c r="W198" s="76"/>
    </row>
    <row r="199" spans="1:23">
      <c r="A199" s="93">
        <f t="shared" si="11"/>
        <v>195</v>
      </c>
      <c r="B199" s="94"/>
      <c r="C199" s="76"/>
      <c r="D199" s="76"/>
      <c r="E199" s="76"/>
      <c r="F199" s="94" t="str">
        <f t="shared" ref="F199:F262" ca="1" si="12">IF(OR(G199="Sold",H199="Died",I199="Sick"),"Inactive",IF(OR(C199="MALE",C199="FEMALE"),"Active",""))</f>
        <v/>
      </c>
      <c r="G199" s="96" t="str">
        <f>IFERROR((IF((VLOOKUP(B199,SALE!$B$5:$B$1000,1,0))&gt;0,"Sold","")),"")</f>
        <v/>
      </c>
      <c r="H199" s="96" t="str">
        <f>IFERROR((IF((VLOOKUP(B199,MORTALITY!$B$5:$B$1000,1,0))&gt;0,"Died","")),"")</f>
        <v/>
      </c>
      <c r="I199" s="96" t="str">
        <f ca="1">IFERROR(
   IF(LOOKUP(2,1/((ILLNESS!$B$6:$B$1000=B199)*(ILLNESS!$L$6:$L$1000&lt;&gt;"")),
            ILLNESS!$L$6:$L$1000)="No",
      "Sick",""),
"")</f>
        <v/>
      </c>
      <c r="J199" s="104"/>
      <c r="K199" s="97" t="str">
        <f t="shared" ref="K199:K262" ca="1" si="13">IF(J199="","",DATEDIF($J199,TODAY(),"Y"))</f>
        <v/>
      </c>
      <c r="L199" s="97" t="str">
        <f t="shared" ref="L199:L262" ca="1" si="14">IFERROR(DATEDIF($J199,TODAY(),"M")-($K199*12),"")</f>
        <v/>
      </c>
      <c r="M199" s="76"/>
      <c r="N199" s="76"/>
      <c r="O199" s="76"/>
      <c r="P199" s="76"/>
      <c r="Q199" s="76"/>
      <c r="R199" s="76"/>
      <c r="S199" s="104"/>
      <c r="T199" s="104"/>
      <c r="U199" s="106"/>
      <c r="V199" s="98" t="str">
        <f>IF(OR(G199="Sold",H199="Died"),IF(G199="Sold",VLOOKUP(B199,SALE!$B$5:$J$1000,6,0),IF(H199="Died",VLOOKUP(B199,MORTALITY!$B$5:$K$1000,5,0),"")),"")</f>
        <v/>
      </c>
      <c r="W199" s="76"/>
    </row>
    <row r="200" spans="1:23">
      <c r="A200" s="93">
        <f t="shared" si="11"/>
        <v>196</v>
      </c>
      <c r="B200" s="94"/>
      <c r="C200" s="76"/>
      <c r="D200" s="76"/>
      <c r="E200" s="76"/>
      <c r="F200" s="94" t="str">
        <f t="shared" ca="1" si="12"/>
        <v/>
      </c>
      <c r="G200" s="96" t="str">
        <f>IFERROR((IF((VLOOKUP(B200,SALE!$B$5:$B$1000,1,0))&gt;0,"Sold","")),"")</f>
        <v/>
      </c>
      <c r="H200" s="96" t="str">
        <f>IFERROR((IF((VLOOKUP(B200,MORTALITY!$B$5:$B$1000,1,0))&gt;0,"Died","")),"")</f>
        <v/>
      </c>
      <c r="I200" s="96" t="str">
        <f ca="1">IFERROR(
   IF(LOOKUP(2,1/((ILLNESS!$B$6:$B$1000=B200)*(ILLNESS!$L$6:$L$1000&lt;&gt;"")),
            ILLNESS!$L$6:$L$1000)="No",
      "Sick",""),
"")</f>
        <v/>
      </c>
      <c r="J200" s="104"/>
      <c r="K200" s="97" t="str">
        <f t="shared" ca="1" si="13"/>
        <v/>
      </c>
      <c r="L200" s="97" t="str">
        <f t="shared" ca="1" si="14"/>
        <v/>
      </c>
      <c r="M200" s="76"/>
      <c r="N200" s="76"/>
      <c r="O200" s="76"/>
      <c r="P200" s="76"/>
      <c r="Q200" s="76"/>
      <c r="R200" s="76"/>
      <c r="S200" s="104"/>
      <c r="T200" s="104"/>
      <c r="U200" s="106"/>
      <c r="V200" s="98" t="str">
        <f>IF(OR(G200="Sold",H200="Died"),IF(G200="Sold",VLOOKUP(B200,SALE!$B$5:$J$1000,6,0),IF(H200="Died",VLOOKUP(B200,MORTALITY!$B$5:$K$1000,5,0),"")),"")</f>
        <v/>
      </c>
      <c r="W200" s="76"/>
    </row>
    <row r="201" spans="1:23">
      <c r="A201" s="93">
        <f t="shared" ref="A201:A264" si="15">ROW(A197)</f>
        <v>197</v>
      </c>
      <c r="B201" s="94"/>
      <c r="C201" s="76"/>
      <c r="D201" s="76"/>
      <c r="E201" s="76"/>
      <c r="F201" s="94" t="str">
        <f t="shared" ca="1" si="12"/>
        <v/>
      </c>
      <c r="G201" s="96" t="str">
        <f>IFERROR((IF((VLOOKUP(B201,SALE!$B$5:$B$1000,1,0))&gt;0,"Sold","")),"")</f>
        <v/>
      </c>
      <c r="H201" s="96" t="str">
        <f>IFERROR((IF((VLOOKUP(B201,MORTALITY!$B$5:$B$1000,1,0))&gt;0,"Died","")),"")</f>
        <v/>
      </c>
      <c r="I201" s="96" t="str">
        <f ca="1">IFERROR(
   IF(LOOKUP(2,1/((ILLNESS!$B$6:$B$1000=B201)*(ILLNESS!$L$6:$L$1000&lt;&gt;"")),
            ILLNESS!$L$6:$L$1000)="No",
      "Sick",""),
"")</f>
        <v/>
      </c>
      <c r="J201" s="104"/>
      <c r="K201" s="97" t="str">
        <f t="shared" ca="1" si="13"/>
        <v/>
      </c>
      <c r="L201" s="97" t="str">
        <f t="shared" ca="1" si="14"/>
        <v/>
      </c>
      <c r="M201" s="76"/>
      <c r="N201" s="76"/>
      <c r="O201" s="76"/>
      <c r="P201" s="76"/>
      <c r="Q201" s="76"/>
      <c r="R201" s="76"/>
      <c r="S201" s="104"/>
      <c r="T201" s="104"/>
      <c r="U201" s="106"/>
      <c r="V201" s="98" t="str">
        <f>IF(OR(G201="Sold",H201="Died"),IF(G201="Sold",VLOOKUP(B201,SALE!$B$5:$J$1000,6,0),IF(H201="Died",VLOOKUP(B201,MORTALITY!$B$5:$K$1000,5,0),"")),"")</f>
        <v/>
      </c>
      <c r="W201" s="76"/>
    </row>
    <row r="202" spans="1:23">
      <c r="A202" s="93">
        <f t="shared" si="15"/>
        <v>198</v>
      </c>
      <c r="B202" s="94"/>
      <c r="C202" s="76"/>
      <c r="D202" s="76"/>
      <c r="E202" s="76"/>
      <c r="F202" s="94" t="str">
        <f t="shared" ca="1" si="12"/>
        <v/>
      </c>
      <c r="G202" s="96" t="str">
        <f>IFERROR((IF((VLOOKUP(B202,SALE!$B$5:$B$1000,1,0))&gt;0,"Sold","")),"")</f>
        <v/>
      </c>
      <c r="H202" s="96" t="str">
        <f>IFERROR((IF((VLOOKUP(B202,MORTALITY!$B$5:$B$1000,1,0))&gt;0,"Died","")),"")</f>
        <v/>
      </c>
      <c r="I202" s="96" t="str">
        <f ca="1">IFERROR(
   IF(LOOKUP(2,1/((ILLNESS!$B$6:$B$1000=B202)*(ILLNESS!$L$6:$L$1000&lt;&gt;"")),
            ILLNESS!$L$6:$L$1000)="No",
      "Sick",""),
"")</f>
        <v/>
      </c>
      <c r="J202" s="104"/>
      <c r="K202" s="97" t="str">
        <f t="shared" ca="1" si="13"/>
        <v/>
      </c>
      <c r="L202" s="97" t="str">
        <f t="shared" ca="1" si="14"/>
        <v/>
      </c>
      <c r="M202" s="76"/>
      <c r="N202" s="76"/>
      <c r="O202" s="76"/>
      <c r="P202" s="76"/>
      <c r="Q202" s="76"/>
      <c r="R202" s="76"/>
      <c r="S202" s="104"/>
      <c r="T202" s="104"/>
      <c r="U202" s="106"/>
      <c r="V202" s="98" t="str">
        <f>IF(OR(G202="Sold",H202="Died"),IF(G202="Sold",VLOOKUP(B202,SALE!$B$5:$J$1000,6,0),IF(H202="Died",VLOOKUP(B202,MORTALITY!$B$5:$K$1000,5,0),"")),"")</f>
        <v/>
      </c>
      <c r="W202" s="76"/>
    </row>
    <row r="203" spans="1:23">
      <c r="A203" s="93">
        <f t="shared" si="15"/>
        <v>199</v>
      </c>
      <c r="B203" s="94"/>
      <c r="C203" s="76"/>
      <c r="D203" s="76"/>
      <c r="E203" s="76"/>
      <c r="F203" s="94" t="str">
        <f t="shared" ca="1" si="12"/>
        <v/>
      </c>
      <c r="G203" s="96" t="str">
        <f>IFERROR((IF((VLOOKUP(B203,SALE!$B$5:$B$1000,1,0))&gt;0,"Sold","")),"")</f>
        <v/>
      </c>
      <c r="H203" s="96" t="str">
        <f>IFERROR((IF((VLOOKUP(B203,MORTALITY!$B$5:$B$1000,1,0))&gt;0,"Died","")),"")</f>
        <v/>
      </c>
      <c r="I203" s="96" t="str">
        <f ca="1">IFERROR(
   IF(LOOKUP(2,1/((ILLNESS!$B$6:$B$1000=B203)*(ILLNESS!$L$6:$L$1000&lt;&gt;"")),
            ILLNESS!$L$6:$L$1000)="No",
      "Sick",""),
"")</f>
        <v/>
      </c>
      <c r="J203" s="104"/>
      <c r="K203" s="97" t="str">
        <f t="shared" ca="1" si="13"/>
        <v/>
      </c>
      <c r="L203" s="97" t="str">
        <f t="shared" ca="1" si="14"/>
        <v/>
      </c>
      <c r="M203" s="76"/>
      <c r="N203" s="76"/>
      <c r="O203" s="76"/>
      <c r="P203" s="76"/>
      <c r="Q203" s="76"/>
      <c r="R203" s="76"/>
      <c r="S203" s="104"/>
      <c r="T203" s="104"/>
      <c r="U203" s="106"/>
      <c r="V203" s="98" t="str">
        <f>IF(OR(G203="Sold",H203="Died"),IF(G203="Sold",VLOOKUP(B203,SALE!$B$5:$J$1000,6,0),IF(H203="Died",VLOOKUP(B203,MORTALITY!$B$5:$K$1000,5,0),"")),"")</f>
        <v/>
      </c>
      <c r="W203" s="76"/>
    </row>
    <row r="204" spans="1:23">
      <c r="A204" s="93">
        <f t="shared" si="15"/>
        <v>200</v>
      </c>
      <c r="B204" s="94"/>
      <c r="C204" s="76"/>
      <c r="D204" s="76"/>
      <c r="E204" s="76"/>
      <c r="F204" s="94" t="str">
        <f t="shared" ca="1" si="12"/>
        <v/>
      </c>
      <c r="G204" s="96" t="str">
        <f>IFERROR((IF((VLOOKUP(B204,SALE!$B$5:$B$1000,1,0))&gt;0,"Sold","")),"")</f>
        <v/>
      </c>
      <c r="H204" s="96" t="str">
        <f>IFERROR((IF((VLOOKUP(B204,MORTALITY!$B$5:$B$1000,1,0))&gt;0,"Died","")),"")</f>
        <v/>
      </c>
      <c r="I204" s="96" t="str">
        <f ca="1">IFERROR(
   IF(LOOKUP(2,1/((ILLNESS!$B$6:$B$1000=B204)*(ILLNESS!$L$6:$L$1000&lt;&gt;"")),
            ILLNESS!$L$6:$L$1000)="No",
      "Sick",""),
"")</f>
        <v/>
      </c>
      <c r="J204" s="104"/>
      <c r="K204" s="97" t="str">
        <f t="shared" ca="1" si="13"/>
        <v/>
      </c>
      <c r="L204" s="97" t="str">
        <f t="shared" ca="1" si="14"/>
        <v/>
      </c>
      <c r="M204" s="76"/>
      <c r="N204" s="76"/>
      <c r="O204" s="76"/>
      <c r="P204" s="76"/>
      <c r="Q204" s="76"/>
      <c r="R204" s="76"/>
      <c r="S204" s="104"/>
      <c r="T204" s="104"/>
      <c r="U204" s="106"/>
      <c r="V204" s="98" t="str">
        <f>IF(OR(G204="Sold",H204="Died"),IF(G204="Sold",VLOOKUP(B204,SALE!$B$5:$J$1000,6,0),IF(H204="Died",VLOOKUP(B204,MORTALITY!$B$5:$K$1000,5,0),"")),"")</f>
        <v/>
      </c>
      <c r="W204" s="76"/>
    </row>
    <row r="205" spans="1:23">
      <c r="A205" s="93">
        <f t="shared" si="15"/>
        <v>201</v>
      </c>
      <c r="B205" s="94"/>
      <c r="C205" s="76"/>
      <c r="D205" s="76"/>
      <c r="E205" s="76"/>
      <c r="F205" s="94" t="str">
        <f t="shared" ca="1" si="12"/>
        <v/>
      </c>
      <c r="G205" s="96" t="str">
        <f>IFERROR((IF((VLOOKUP(B205,SALE!$B$5:$B$1000,1,0))&gt;0,"Sold","")),"")</f>
        <v/>
      </c>
      <c r="H205" s="96" t="str">
        <f>IFERROR((IF((VLOOKUP(B205,MORTALITY!$B$5:$B$1000,1,0))&gt;0,"Died","")),"")</f>
        <v/>
      </c>
      <c r="I205" s="96" t="str">
        <f ca="1">IFERROR(
   IF(LOOKUP(2,1/((ILLNESS!$B$6:$B$1000=B205)*(ILLNESS!$L$6:$L$1000&lt;&gt;"")),
            ILLNESS!$L$6:$L$1000)="No",
      "Sick",""),
"")</f>
        <v/>
      </c>
      <c r="J205" s="104"/>
      <c r="K205" s="97" t="str">
        <f t="shared" ca="1" si="13"/>
        <v/>
      </c>
      <c r="L205" s="97" t="str">
        <f t="shared" ca="1" si="14"/>
        <v/>
      </c>
      <c r="M205" s="76"/>
      <c r="N205" s="76"/>
      <c r="O205" s="76"/>
      <c r="P205" s="76"/>
      <c r="Q205" s="76"/>
      <c r="R205" s="76"/>
      <c r="S205" s="104"/>
      <c r="T205" s="104"/>
      <c r="U205" s="106"/>
      <c r="V205" s="98" t="str">
        <f>IF(OR(G205="Sold",H205="Died"),IF(G205="Sold",VLOOKUP(B205,SALE!$B$5:$J$1000,6,0),IF(H205="Died",VLOOKUP(B205,MORTALITY!$B$5:$K$1000,5,0),"")),"")</f>
        <v/>
      </c>
      <c r="W205" s="76"/>
    </row>
    <row r="206" spans="1:23">
      <c r="A206" s="93">
        <f t="shared" si="15"/>
        <v>202</v>
      </c>
      <c r="B206" s="94"/>
      <c r="C206" s="76"/>
      <c r="D206" s="76"/>
      <c r="E206" s="76"/>
      <c r="F206" s="94" t="str">
        <f t="shared" ca="1" si="12"/>
        <v/>
      </c>
      <c r="G206" s="96" t="str">
        <f>IFERROR((IF((VLOOKUP(B206,SALE!$B$5:$B$1000,1,0))&gt;0,"Sold","")),"")</f>
        <v/>
      </c>
      <c r="H206" s="96" t="str">
        <f>IFERROR((IF((VLOOKUP(B206,MORTALITY!$B$5:$B$1000,1,0))&gt;0,"Died","")),"")</f>
        <v/>
      </c>
      <c r="I206" s="96" t="str">
        <f ca="1">IFERROR(
   IF(LOOKUP(2,1/((ILLNESS!$B$6:$B$1000=B206)*(ILLNESS!$L$6:$L$1000&lt;&gt;"")),
            ILLNESS!$L$6:$L$1000)="No",
      "Sick",""),
"")</f>
        <v/>
      </c>
      <c r="J206" s="104"/>
      <c r="K206" s="97" t="str">
        <f t="shared" ca="1" si="13"/>
        <v/>
      </c>
      <c r="L206" s="97" t="str">
        <f t="shared" ca="1" si="14"/>
        <v/>
      </c>
      <c r="M206" s="76"/>
      <c r="N206" s="76"/>
      <c r="O206" s="76"/>
      <c r="P206" s="76"/>
      <c r="Q206" s="76"/>
      <c r="R206" s="76"/>
      <c r="S206" s="104"/>
      <c r="T206" s="104"/>
      <c r="U206" s="106"/>
      <c r="V206" s="98" t="str">
        <f>IF(OR(G206="Sold",H206="Died"),IF(G206="Sold",VLOOKUP(B206,SALE!$B$5:$J$1000,6,0),IF(H206="Died",VLOOKUP(B206,MORTALITY!$B$5:$K$1000,5,0),"")),"")</f>
        <v/>
      </c>
      <c r="W206" s="76"/>
    </row>
    <row r="207" spans="1:23">
      <c r="A207" s="93">
        <f t="shared" si="15"/>
        <v>203</v>
      </c>
      <c r="B207" s="94"/>
      <c r="C207" s="76"/>
      <c r="D207" s="76"/>
      <c r="E207" s="76"/>
      <c r="F207" s="94" t="str">
        <f t="shared" ca="1" si="12"/>
        <v/>
      </c>
      <c r="G207" s="96" t="str">
        <f>IFERROR((IF((VLOOKUP(B207,SALE!$B$5:$B$1000,1,0))&gt;0,"Sold","")),"")</f>
        <v/>
      </c>
      <c r="H207" s="96" t="str">
        <f>IFERROR((IF((VLOOKUP(B207,MORTALITY!$B$5:$B$1000,1,0))&gt;0,"Died","")),"")</f>
        <v/>
      </c>
      <c r="I207" s="96" t="str">
        <f ca="1">IFERROR(
   IF(LOOKUP(2,1/((ILLNESS!$B$6:$B$1000=B207)*(ILLNESS!$L$6:$L$1000&lt;&gt;"")),
            ILLNESS!$L$6:$L$1000)="No",
      "Sick",""),
"")</f>
        <v/>
      </c>
      <c r="J207" s="104"/>
      <c r="K207" s="97" t="str">
        <f t="shared" ca="1" si="13"/>
        <v/>
      </c>
      <c r="L207" s="97" t="str">
        <f t="shared" ca="1" si="14"/>
        <v/>
      </c>
      <c r="M207" s="76"/>
      <c r="N207" s="76"/>
      <c r="O207" s="76"/>
      <c r="P207" s="76"/>
      <c r="Q207" s="76"/>
      <c r="R207" s="76"/>
      <c r="S207" s="104"/>
      <c r="T207" s="104"/>
      <c r="U207" s="106"/>
      <c r="V207" s="98" t="str">
        <f>IF(OR(G207="Sold",H207="Died"),IF(G207="Sold",VLOOKUP(B207,SALE!$B$5:$J$1000,6,0),IF(H207="Died",VLOOKUP(B207,MORTALITY!$B$5:$K$1000,5,0),"")),"")</f>
        <v/>
      </c>
      <c r="W207" s="76"/>
    </row>
    <row r="208" spans="1:23">
      <c r="A208" s="93">
        <f t="shared" si="15"/>
        <v>204</v>
      </c>
      <c r="B208" s="94"/>
      <c r="C208" s="76"/>
      <c r="D208" s="76"/>
      <c r="E208" s="76"/>
      <c r="F208" s="94" t="str">
        <f t="shared" ca="1" si="12"/>
        <v/>
      </c>
      <c r="G208" s="96" t="str">
        <f>IFERROR((IF((VLOOKUP(B208,SALE!$B$5:$B$1000,1,0))&gt;0,"Sold","")),"")</f>
        <v/>
      </c>
      <c r="H208" s="96" t="str">
        <f>IFERROR((IF((VLOOKUP(B208,MORTALITY!$B$5:$B$1000,1,0))&gt;0,"Died","")),"")</f>
        <v/>
      </c>
      <c r="I208" s="96" t="str">
        <f ca="1">IFERROR(
   IF(LOOKUP(2,1/((ILLNESS!$B$6:$B$1000=B208)*(ILLNESS!$L$6:$L$1000&lt;&gt;"")),
            ILLNESS!$L$6:$L$1000)="No",
      "Sick",""),
"")</f>
        <v/>
      </c>
      <c r="J208" s="104"/>
      <c r="K208" s="97" t="str">
        <f t="shared" ca="1" si="13"/>
        <v/>
      </c>
      <c r="L208" s="97" t="str">
        <f t="shared" ca="1" si="14"/>
        <v/>
      </c>
      <c r="M208" s="76"/>
      <c r="N208" s="76"/>
      <c r="O208" s="76"/>
      <c r="P208" s="76"/>
      <c r="Q208" s="76"/>
      <c r="R208" s="76"/>
      <c r="S208" s="104"/>
      <c r="T208" s="104"/>
      <c r="U208" s="106"/>
      <c r="V208" s="98" t="str">
        <f>IF(OR(G208="Sold",H208="Died"),IF(G208="Sold",VLOOKUP(B208,SALE!$B$5:$J$1000,6,0),IF(H208="Died",VLOOKUP(B208,MORTALITY!$B$5:$K$1000,5,0),"")),"")</f>
        <v/>
      </c>
      <c r="W208" s="76"/>
    </row>
    <row r="209" spans="1:23">
      <c r="A209" s="93">
        <f t="shared" si="15"/>
        <v>205</v>
      </c>
      <c r="B209" s="94"/>
      <c r="C209" s="76"/>
      <c r="D209" s="76"/>
      <c r="E209" s="76"/>
      <c r="F209" s="94" t="str">
        <f t="shared" ca="1" si="12"/>
        <v/>
      </c>
      <c r="G209" s="96" t="str">
        <f>IFERROR((IF((VLOOKUP(B209,SALE!$B$5:$B$1000,1,0))&gt;0,"Sold","")),"")</f>
        <v/>
      </c>
      <c r="H209" s="96" t="str">
        <f>IFERROR((IF((VLOOKUP(B209,MORTALITY!$B$5:$B$1000,1,0))&gt;0,"Died","")),"")</f>
        <v/>
      </c>
      <c r="I209" s="96" t="str">
        <f ca="1">IFERROR(
   IF(LOOKUP(2,1/((ILLNESS!$B$6:$B$1000=B209)*(ILLNESS!$L$6:$L$1000&lt;&gt;"")),
            ILLNESS!$L$6:$L$1000)="No",
      "Sick",""),
"")</f>
        <v/>
      </c>
      <c r="J209" s="104"/>
      <c r="K209" s="97" t="str">
        <f t="shared" ca="1" si="13"/>
        <v/>
      </c>
      <c r="L209" s="97" t="str">
        <f t="shared" ca="1" si="14"/>
        <v/>
      </c>
      <c r="M209" s="76"/>
      <c r="N209" s="76"/>
      <c r="O209" s="76"/>
      <c r="P209" s="76"/>
      <c r="Q209" s="76"/>
      <c r="R209" s="76"/>
      <c r="S209" s="104"/>
      <c r="T209" s="104"/>
      <c r="U209" s="106"/>
      <c r="V209" s="98" t="str">
        <f>IF(OR(G209="Sold",H209="Died"),IF(G209="Sold",VLOOKUP(B209,SALE!$B$5:$J$1000,6,0),IF(H209="Died",VLOOKUP(B209,MORTALITY!$B$5:$K$1000,5,0),"")),"")</f>
        <v/>
      </c>
      <c r="W209" s="76"/>
    </row>
    <row r="210" spans="1:23">
      <c r="A210" s="93">
        <f t="shared" si="15"/>
        <v>206</v>
      </c>
      <c r="B210" s="94"/>
      <c r="C210" s="76"/>
      <c r="D210" s="76"/>
      <c r="E210" s="76"/>
      <c r="F210" s="94" t="str">
        <f t="shared" ca="1" si="12"/>
        <v/>
      </c>
      <c r="G210" s="96" t="str">
        <f>IFERROR((IF((VLOOKUP(B210,SALE!$B$5:$B$1000,1,0))&gt;0,"Sold","")),"")</f>
        <v/>
      </c>
      <c r="H210" s="96" t="str">
        <f>IFERROR((IF((VLOOKUP(B210,MORTALITY!$B$5:$B$1000,1,0))&gt;0,"Died","")),"")</f>
        <v/>
      </c>
      <c r="I210" s="96" t="str">
        <f ca="1">IFERROR(
   IF(LOOKUP(2,1/((ILLNESS!$B$6:$B$1000=B210)*(ILLNESS!$L$6:$L$1000&lt;&gt;"")),
            ILLNESS!$L$6:$L$1000)="No",
      "Sick",""),
"")</f>
        <v/>
      </c>
      <c r="J210" s="104"/>
      <c r="K210" s="97" t="str">
        <f t="shared" ca="1" si="13"/>
        <v/>
      </c>
      <c r="L210" s="97" t="str">
        <f t="shared" ca="1" si="14"/>
        <v/>
      </c>
      <c r="M210" s="76"/>
      <c r="N210" s="76"/>
      <c r="O210" s="76"/>
      <c r="P210" s="76"/>
      <c r="Q210" s="76"/>
      <c r="R210" s="76"/>
      <c r="S210" s="104"/>
      <c r="T210" s="104"/>
      <c r="U210" s="106"/>
      <c r="V210" s="98" t="str">
        <f>IF(OR(G210="Sold",H210="Died"),IF(G210="Sold",VLOOKUP(B210,SALE!$B$5:$J$1000,6,0),IF(H210="Died",VLOOKUP(B210,MORTALITY!$B$5:$K$1000,5,0),"")),"")</f>
        <v/>
      </c>
      <c r="W210" s="76"/>
    </row>
    <row r="211" spans="1:23">
      <c r="A211" s="93">
        <f t="shared" si="15"/>
        <v>207</v>
      </c>
      <c r="B211" s="94"/>
      <c r="C211" s="76"/>
      <c r="D211" s="76"/>
      <c r="E211" s="76"/>
      <c r="F211" s="94" t="str">
        <f t="shared" ca="1" si="12"/>
        <v/>
      </c>
      <c r="G211" s="96" t="str">
        <f>IFERROR((IF((VLOOKUP(B211,SALE!$B$5:$B$1000,1,0))&gt;0,"Sold","")),"")</f>
        <v/>
      </c>
      <c r="H211" s="96" t="str">
        <f>IFERROR((IF((VLOOKUP(B211,MORTALITY!$B$5:$B$1000,1,0))&gt;0,"Died","")),"")</f>
        <v/>
      </c>
      <c r="I211" s="96" t="str">
        <f ca="1">IFERROR(
   IF(LOOKUP(2,1/((ILLNESS!$B$6:$B$1000=B211)*(ILLNESS!$L$6:$L$1000&lt;&gt;"")),
            ILLNESS!$L$6:$L$1000)="No",
      "Sick",""),
"")</f>
        <v/>
      </c>
      <c r="J211" s="104"/>
      <c r="K211" s="97" t="str">
        <f t="shared" ca="1" si="13"/>
        <v/>
      </c>
      <c r="L211" s="97" t="str">
        <f t="shared" ca="1" si="14"/>
        <v/>
      </c>
      <c r="M211" s="76"/>
      <c r="N211" s="76"/>
      <c r="O211" s="76"/>
      <c r="P211" s="76"/>
      <c r="Q211" s="76"/>
      <c r="R211" s="76"/>
      <c r="S211" s="104"/>
      <c r="T211" s="104"/>
      <c r="U211" s="106"/>
      <c r="V211" s="98" t="str">
        <f>IF(OR(G211="Sold",H211="Died"),IF(G211="Sold",VLOOKUP(B211,SALE!$B$5:$J$1000,6,0),IF(H211="Died",VLOOKUP(B211,MORTALITY!$B$5:$K$1000,5,0),"")),"")</f>
        <v/>
      </c>
      <c r="W211" s="76"/>
    </row>
    <row r="212" spans="1:23">
      <c r="A212" s="93">
        <f t="shared" si="15"/>
        <v>208</v>
      </c>
      <c r="B212" s="94"/>
      <c r="C212" s="76"/>
      <c r="D212" s="76"/>
      <c r="E212" s="76"/>
      <c r="F212" s="94" t="str">
        <f t="shared" ca="1" si="12"/>
        <v/>
      </c>
      <c r="G212" s="96" t="str">
        <f>IFERROR((IF((VLOOKUP(B212,SALE!$B$5:$B$1000,1,0))&gt;0,"Sold","")),"")</f>
        <v/>
      </c>
      <c r="H212" s="96" t="str">
        <f>IFERROR((IF((VLOOKUP(B212,MORTALITY!$B$5:$B$1000,1,0))&gt;0,"Died","")),"")</f>
        <v/>
      </c>
      <c r="I212" s="96" t="str">
        <f ca="1">IFERROR(
   IF(LOOKUP(2,1/((ILLNESS!$B$6:$B$1000=B212)*(ILLNESS!$L$6:$L$1000&lt;&gt;"")),
            ILLNESS!$L$6:$L$1000)="No",
      "Sick",""),
"")</f>
        <v/>
      </c>
      <c r="J212" s="104"/>
      <c r="K212" s="97" t="str">
        <f t="shared" ca="1" si="13"/>
        <v/>
      </c>
      <c r="L212" s="97" t="str">
        <f t="shared" ca="1" si="14"/>
        <v/>
      </c>
      <c r="M212" s="76"/>
      <c r="N212" s="76"/>
      <c r="O212" s="76"/>
      <c r="P212" s="76"/>
      <c r="Q212" s="76"/>
      <c r="R212" s="76"/>
      <c r="S212" s="104"/>
      <c r="T212" s="104"/>
      <c r="U212" s="106"/>
      <c r="V212" s="98" t="str">
        <f>IF(OR(G212="Sold",H212="Died"),IF(G212="Sold",VLOOKUP(B212,SALE!$B$5:$J$1000,6,0),IF(H212="Died",VLOOKUP(B212,MORTALITY!$B$5:$K$1000,5,0),"")),"")</f>
        <v/>
      </c>
      <c r="W212" s="76"/>
    </row>
    <row r="213" spans="1:23">
      <c r="A213" s="93">
        <f t="shared" si="15"/>
        <v>209</v>
      </c>
      <c r="B213" s="94"/>
      <c r="C213" s="76"/>
      <c r="D213" s="76"/>
      <c r="E213" s="76"/>
      <c r="F213" s="94" t="str">
        <f t="shared" ca="1" si="12"/>
        <v/>
      </c>
      <c r="G213" s="96" t="str">
        <f>IFERROR((IF((VLOOKUP(B213,SALE!$B$5:$B$1000,1,0))&gt;0,"Sold","")),"")</f>
        <v/>
      </c>
      <c r="H213" s="96" t="str">
        <f>IFERROR((IF((VLOOKUP(B213,MORTALITY!$B$5:$B$1000,1,0))&gt;0,"Died","")),"")</f>
        <v/>
      </c>
      <c r="I213" s="96" t="str">
        <f ca="1">IFERROR(
   IF(LOOKUP(2,1/((ILLNESS!$B$6:$B$1000=B213)*(ILLNESS!$L$6:$L$1000&lt;&gt;"")),
            ILLNESS!$L$6:$L$1000)="No",
      "Sick",""),
"")</f>
        <v/>
      </c>
      <c r="J213" s="104"/>
      <c r="K213" s="97" t="str">
        <f t="shared" ca="1" si="13"/>
        <v/>
      </c>
      <c r="L213" s="97" t="str">
        <f t="shared" ca="1" si="14"/>
        <v/>
      </c>
      <c r="M213" s="76"/>
      <c r="N213" s="76"/>
      <c r="O213" s="76"/>
      <c r="P213" s="76"/>
      <c r="Q213" s="76"/>
      <c r="R213" s="76"/>
      <c r="S213" s="104"/>
      <c r="T213" s="104"/>
      <c r="U213" s="106"/>
      <c r="V213" s="98" t="str">
        <f>IF(OR(G213="Sold",H213="Died"),IF(G213="Sold",VLOOKUP(B213,SALE!$B$5:$J$1000,6,0),IF(H213="Died",VLOOKUP(B213,MORTALITY!$B$5:$K$1000,5,0),"")),"")</f>
        <v/>
      </c>
      <c r="W213" s="76"/>
    </row>
    <row r="214" spans="1:23">
      <c r="A214" s="93">
        <f t="shared" si="15"/>
        <v>210</v>
      </c>
      <c r="B214" s="94"/>
      <c r="C214" s="76"/>
      <c r="D214" s="76"/>
      <c r="E214" s="76"/>
      <c r="F214" s="94" t="str">
        <f t="shared" ca="1" si="12"/>
        <v/>
      </c>
      <c r="G214" s="96" t="str">
        <f>IFERROR((IF((VLOOKUP(B214,SALE!$B$5:$B$1000,1,0))&gt;0,"Sold","")),"")</f>
        <v/>
      </c>
      <c r="H214" s="96" t="str">
        <f>IFERROR((IF((VLOOKUP(B214,MORTALITY!$B$5:$B$1000,1,0))&gt;0,"Died","")),"")</f>
        <v/>
      </c>
      <c r="I214" s="96" t="str">
        <f ca="1">IFERROR(
   IF(LOOKUP(2,1/((ILLNESS!$B$6:$B$1000=B214)*(ILLNESS!$L$6:$L$1000&lt;&gt;"")),
            ILLNESS!$L$6:$L$1000)="No",
      "Sick",""),
"")</f>
        <v/>
      </c>
      <c r="J214" s="104"/>
      <c r="K214" s="97" t="str">
        <f t="shared" ca="1" si="13"/>
        <v/>
      </c>
      <c r="L214" s="97" t="str">
        <f t="shared" ca="1" si="14"/>
        <v/>
      </c>
      <c r="M214" s="76"/>
      <c r="N214" s="76"/>
      <c r="O214" s="76"/>
      <c r="P214" s="76"/>
      <c r="Q214" s="76"/>
      <c r="R214" s="76"/>
      <c r="S214" s="104"/>
      <c r="T214" s="104"/>
      <c r="U214" s="106"/>
      <c r="V214" s="98" t="str">
        <f>IF(OR(G214="Sold",H214="Died"),IF(G214="Sold",VLOOKUP(B214,SALE!$B$5:$J$1000,6,0),IF(H214="Died",VLOOKUP(B214,MORTALITY!$B$5:$K$1000,5,0),"")),"")</f>
        <v/>
      </c>
      <c r="W214" s="76"/>
    </row>
    <row r="215" spans="1:23">
      <c r="A215" s="93">
        <f t="shared" si="15"/>
        <v>211</v>
      </c>
      <c r="B215" s="94"/>
      <c r="C215" s="76"/>
      <c r="D215" s="76"/>
      <c r="E215" s="76"/>
      <c r="F215" s="94" t="str">
        <f t="shared" ca="1" si="12"/>
        <v/>
      </c>
      <c r="G215" s="96" t="str">
        <f>IFERROR((IF((VLOOKUP(B215,SALE!$B$5:$B$1000,1,0))&gt;0,"Sold","")),"")</f>
        <v/>
      </c>
      <c r="H215" s="96" t="str">
        <f>IFERROR((IF((VLOOKUP(B215,MORTALITY!$B$5:$B$1000,1,0))&gt;0,"Died","")),"")</f>
        <v/>
      </c>
      <c r="I215" s="96" t="str">
        <f ca="1">IFERROR(
   IF(LOOKUP(2,1/((ILLNESS!$B$6:$B$1000=B215)*(ILLNESS!$L$6:$L$1000&lt;&gt;"")),
            ILLNESS!$L$6:$L$1000)="No",
      "Sick",""),
"")</f>
        <v/>
      </c>
      <c r="J215" s="104"/>
      <c r="K215" s="97" t="str">
        <f t="shared" ca="1" si="13"/>
        <v/>
      </c>
      <c r="L215" s="97" t="str">
        <f t="shared" ca="1" si="14"/>
        <v/>
      </c>
      <c r="M215" s="76"/>
      <c r="N215" s="76"/>
      <c r="O215" s="76"/>
      <c r="P215" s="76"/>
      <c r="Q215" s="76"/>
      <c r="R215" s="76"/>
      <c r="S215" s="104"/>
      <c r="T215" s="104"/>
      <c r="U215" s="106"/>
      <c r="V215" s="98" t="str">
        <f>IF(OR(G215="Sold",H215="Died"),IF(G215="Sold",VLOOKUP(B215,SALE!$B$5:$J$1000,6,0),IF(H215="Died",VLOOKUP(B215,MORTALITY!$B$5:$K$1000,5,0),"")),"")</f>
        <v/>
      </c>
      <c r="W215" s="76"/>
    </row>
    <row r="216" spans="1:23">
      <c r="A216" s="93">
        <f t="shared" si="15"/>
        <v>212</v>
      </c>
      <c r="B216" s="94"/>
      <c r="C216" s="76"/>
      <c r="D216" s="76"/>
      <c r="E216" s="76"/>
      <c r="F216" s="94" t="str">
        <f t="shared" ca="1" si="12"/>
        <v/>
      </c>
      <c r="G216" s="96" t="str">
        <f>IFERROR((IF((VLOOKUP(B216,SALE!$B$5:$B$1000,1,0))&gt;0,"Sold","")),"")</f>
        <v/>
      </c>
      <c r="H216" s="96" t="str">
        <f>IFERROR((IF((VLOOKUP(B216,MORTALITY!$B$5:$B$1000,1,0))&gt;0,"Died","")),"")</f>
        <v/>
      </c>
      <c r="I216" s="96" t="str">
        <f ca="1">IFERROR(
   IF(LOOKUP(2,1/((ILLNESS!$B$6:$B$1000=B216)*(ILLNESS!$L$6:$L$1000&lt;&gt;"")),
            ILLNESS!$L$6:$L$1000)="No",
      "Sick",""),
"")</f>
        <v/>
      </c>
      <c r="J216" s="104"/>
      <c r="K216" s="97" t="str">
        <f t="shared" ca="1" si="13"/>
        <v/>
      </c>
      <c r="L216" s="97" t="str">
        <f t="shared" ca="1" si="14"/>
        <v/>
      </c>
      <c r="M216" s="76"/>
      <c r="N216" s="76"/>
      <c r="O216" s="76"/>
      <c r="P216" s="76"/>
      <c r="Q216" s="76"/>
      <c r="R216" s="76"/>
      <c r="S216" s="104"/>
      <c r="T216" s="104"/>
      <c r="U216" s="106"/>
      <c r="V216" s="98" t="str">
        <f>IF(OR(G216="Sold",H216="Died"),IF(G216="Sold",VLOOKUP(B216,SALE!$B$5:$J$1000,6,0),IF(H216="Died",VLOOKUP(B216,MORTALITY!$B$5:$K$1000,5,0),"")),"")</f>
        <v/>
      </c>
      <c r="W216" s="76"/>
    </row>
    <row r="217" spans="1:23">
      <c r="A217" s="93">
        <f t="shared" si="15"/>
        <v>213</v>
      </c>
      <c r="B217" s="94"/>
      <c r="C217" s="76"/>
      <c r="D217" s="76"/>
      <c r="E217" s="76"/>
      <c r="F217" s="94" t="str">
        <f t="shared" ca="1" si="12"/>
        <v/>
      </c>
      <c r="G217" s="96" t="str">
        <f>IFERROR((IF((VLOOKUP(B217,SALE!$B$5:$B$1000,1,0))&gt;0,"Sold","")),"")</f>
        <v/>
      </c>
      <c r="H217" s="96" t="str">
        <f>IFERROR((IF((VLOOKUP(B217,MORTALITY!$B$5:$B$1000,1,0))&gt;0,"Died","")),"")</f>
        <v/>
      </c>
      <c r="I217" s="96" t="str">
        <f ca="1">IFERROR(
   IF(LOOKUP(2,1/((ILLNESS!$B$6:$B$1000=B217)*(ILLNESS!$L$6:$L$1000&lt;&gt;"")),
            ILLNESS!$L$6:$L$1000)="No",
      "Sick",""),
"")</f>
        <v/>
      </c>
      <c r="J217" s="104"/>
      <c r="K217" s="97" t="str">
        <f t="shared" ca="1" si="13"/>
        <v/>
      </c>
      <c r="L217" s="97" t="str">
        <f t="shared" ca="1" si="14"/>
        <v/>
      </c>
      <c r="M217" s="76"/>
      <c r="N217" s="76"/>
      <c r="O217" s="76"/>
      <c r="P217" s="76"/>
      <c r="Q217" s="76"/>
      <c r="R217" s="76"/>
      <c r="S217" s="104"/>
      <c r="T217" s="104"/>
      <c r="U217" s="106"/>
      <c r="V217" s="98" t="str">
        <f>IF(OR(G217="Sold",H217="Died"),IF(G217="Sold",VLOOKUP(B217,SALE!$B$5:$J$1000,6,0),IF(H217="Died",VLOOKUP(B217,MORTALITY!$B$5:$K$1000,5,0),"")),"")</f>
        <v/>
      </c>
      <c r="W217" s="76"/>
    </row>
    <row r="218" spans="1:23">
      <c r="A218" s="93">
        <f t="shared" si="15"/>
        <v>214</v>
      </c>
      <c r="B218" s="94"/>
      <c r="C218" s="76"/>
      <c r="D218" s="76"/>
      <c r="E218" s="76"/>
      <c r="F218" s="94" t="str">
        <f t="shared" ca="1" si="12"/>
        <v/>
      </c>
      <c r="G218" s="96" t="str">
        <f>IFERROR((IF((VLOOKUP(B218,SALE!$B$5:$B$1000,1,0))&gt;0,"Sold","")),"")</f>
        <v/>
      </c>
      <c r="H218" s="96" t="str">
        <f>IFERROR((IF((VLOOKUP(B218,MORTALITY!$B$5:$B$1000,1,0))&gt;0,"Died","")),"")</f>
        <v/>
      </c>
      <c r="I218" s="96" t="str">
        <f ca="1">IFERROR(
   IF(LOOKUP(2,1/((ILLNESS!$B$6:$B$1000=B218)*(ILLNESS!$L$6:$L$1000&lt;&gt;"")),
            ILLNESS!$L$6:$L$1000)="No",
      "Sick",""),
"")</f>
        <v/>
      </c>
      <c r="J218" s="104"/>
      <c r="K218" s="97" t="str">
        <f t="shared" ca="1" si="13"/>
        <v/>
      </c>
      <c r="L218" s="97" t="str">
        <f t="shared" ca="1" si="14"/>
        <v/>
      </c>
      <c r="M218" s="76"/>
      <c r="N218" s="76"/>
      <c r="O218" s="76"/>
      <c r="P218" s="76"/>
      <c r="Q218" s="76"/>
      <c r="R218" s="76"/>
      <c r="S218" s="104"/>
      <c r="T218" s="104"/>
      <c r="U218" s="106"/>
      <c r="V218" s="98" t="str">
        <f>IF(OR(G218="Sold",H218="Died"),IF(G218="Sold",VLOOKUP(B218,SALE!$B$5:$J$1000,6,0),IF(H218="Died",VLOOKUP(B218,MORTALITY!$B$5:$K$1000,5,0),"")),"")</f>
        <v/>
      </c>
      <c r="W218" s="76"/>
    </row>
    <row r="219" spans="1:23">
      <c r="A219" s="93">
        <f t="shared" si="15"/>
        <v>215</v>
      </c>
      <c r="B219" s="94"/>
      <c r="C219" s="76"/>
      <c r="D219" s="76"/>
      <c r="E219" s="76"/>
      <c r="F219" s="94" t="str">
        <f t="shared" ca="1" si="12"/>
        <v/>
      </c>
      <c r="G219" s="96" t="str">
        <f>IFERROR((IF((VLOOKUP(B219,SALE!$B$5:$B$1000,1,0))&gt;0,"Sold","")),"")</f>
        <v/>
      </c>
      <c r="H219" s="96" t="str">
        <f>IFERROR((IF((VLOOKUP(B219,MORTALITY!$B$5:$B$1000,1,0))&gt;0,"Died","")),"")</f>
        <v/>
      </c>
      <c r="I219" s="96" t="str">
        <f ca="1">IFERROR(
   IF(LOOKUP(2,1/((ILLNESS!$B$6:$B$1000=B219)*(ILLNESS!$L$6:$L$1000&lt;&gt;"")),
            ILLNESS!$L$6:$L$1000)="No",
      "Sick",""),
"")</f>
        <v/>
      </c>
      <c r="J219" s="104"/>
      <c r="K219" s="97" t="str">
        <f t="shared" ca="1" si="13"/>
        <v/>
      </c>
      <c r="L219" s="97" t="str">
        <f t="shared" ca="1" si="14"/>
        <v/>
      </c>
      <c r="M219" s="76"/>
      <c r="N219" s="76"/>
      <c r="O219" s="76"/>
      <c r="P219" s="76"/>
      <c r="Q219" s="76"/>
      <c r="R219" s="76"/>
      <c r="S219" s="104"/>
      <c r="T219" s="104"/>
      <c r="U219" s="106"/>
      <c r="V219" s="98" t="str">
        <f>IF(OR(G219="Sold",H219="Died"),IF(G219="Sold",VLOOKUP(B219,SALE!$B$5:$J$1000,6,0),IF(H219="Died",VLOOKUP(B219,MORTALITY!$B$5:$K$1000,5,0),"")),"")</f>
        <v/>
      </c>
      <c r="W219" s="76"/>
    </row>
    <row r="220" spans="1:23">
      <c r="A220" s="93">
        <f t="shared" si="15"/>
        <v>216</v>
      </c>
      <c r="B220" s="94"/>
      <c r="C220" s="76"/>
      <c r="D220" s="76"/>
      <c r="E220" s="76"/>
      <c r="F220" s="94" t="str">
        <f t="shared" ca="1" si="12"/>
        <v/>
      </c>
      <c r="G220" s="96" t="str">
        <f>IFERROR((IF((VLOOKUP(B220,SALE!$B$5:$B$1000,1,0))&gt;0,"Sold","")),"")</f>
        <v/>
      </c>
      <c r="H220" s="96" t="str">
        <f>IFERROR((IF((VLOOKUP(B220,MORTALITY!$B$5:$B$1000,1,0))&gt;0,"Died","")),"")</f>
        <v/>
      </c>
      <c r="I220" s="96" t="str">
        <f ca="1">IFERROR(
   IF(LOOKUP(2,1/((ILLNESS!$B$6:$B$1000=B220)*(ILLNESS!$L$6:$L$1000&lt;&gt;"")),
            ILLNESS!$L$6:$L$1000)="No",
      "Sick",""),
"")</f>
        <v/>
      </c>
      <c r="J220" s="104"/>
      <c r="K220" s="97" t="str">
        <f t="shared" ca="1" si="13"/>
        <v/>
      </c>
      <c r="L220" s="97" t="str">
        <f t="shared" ca="1" si="14"/>
        <v/>
      </c>
      <c r="M220" s="76"/>
      <c r="N220" s="76"/>
      <c r="O220" s="76"/>
      <c r="P220" s="76"/>
      <c r="Q220" s="76"/>
      <c r="R220" s="76"/>
      <c r="S220" s="104"/>
      <c r="T220" s="104"/>
      <c r="U220" s="106"/>
      <c r="V220" s="98" t="str">
        <f>IF(OR(G220="Sold",H220="Died"),IF(G220="Sold",VLOOKUP(B220,SALE!$B$5:$J$1000,6,0),IF(H220="Died",VLOOKUP(B220,MORTALITY!$B$5:$K$1000,5,0),"")),"")</f>
        <v/>
      </c>
      <c r="W220" s="76"/>
    </row>
    <row r="221" spans="1:23">
      <c r="A221" s="93">
        <f t="shared" si="15"/>
        <v>217</v>
      </c>
      <c r="B221" s="94"/>
      <c r="C221" s="76"/>
      <c r="D221" s="76"/>
      <c r="E221" s="76"/>
      <c r="F221" s="94" t="str">
        <f t="shared" ca="1" si="12"/>
        <v/>
      </c>
      <c r="G221" s="96" t="str">
        <f>IFERROR((IF((VLOOKUP(B221,SALE!$B$5:$B$1000,1,0))&gt;0,"Sold","")),"")</f>
        <v/>
      </c>
      <c r="H221" s="96" t="str">
        <f>IFERROR((IF((VLOOKUP(B221,MORTALITY!$B$5:$B$1000,1,0))&gt;0,"Died","")),"")</f>
        <v/>
      </c>
      <c r="I221" s="96" t="str">
        <f ca="1">IFERROR(
   IF(LOOKUP(2,1/((ILLNESS!$B$6:$B$1000=B221)*(ILLNESS!$L$6:$L$1000&lt;&gt;"")),
            ILLNESS!$L$6:$L$1000)="No",
      "Sick",""),
"")</f>
        <v/>
      </c>
      <c r="J221" s="104"/>
      <c r="K221" s="97" t="str">
        <f t="shared" ca="1" si="13"/>
        <v/>
      </c>
      <c r="L221" s="97" t="str">
        <f t="shared" ca="1" si="14"/>
        <v/>
      </c>
      <c r="M221" s="76"/>
      <c r="N221" s="76"/>
      <c r="O221" s="76"/>
      <c r="P221" s="76"/>
      <c r="Q221" s="76"/>
      <c r="R221" s="76"/>
      <c r="S221" s="104"/>
      <c r="T221" s="104"/>
      <c r="U221" s="106"/>
      <c r="V221" s="98" t="str">
        <f>IF(OR(G221="Sold",H221="Died"),IF(G221="Sold",VLOOKUP(B221,SALE!$B$5:$J$1000,6,0),IF(H221="Died",VLOOKUP(B221,MORTALITY!$B$5:$K$1000,5,0),"")),"")</f>
        <v/>
      </c>
      <c r="W221" s="76"/>
    </row>
    <row r="222" spans="1:23">
      <c r="A222" s="93">
        <f t="shared" si="15"/>
        <v>218</v>
      </c>
      <c r="B222" s="94"/>
      <c r="C222" s="76"/>
      <c r="D222" s="76"/>
      <c r="E222" s="76"/>
      <c r="F222" s="94" t="str">
        <f t="shared" ca="1" si="12"/>
        <v/>
      </c>
      <c r="G222" s="96" t="str">
        <f>IFERROR((IF((VLOOKUP(B222,SALE!$B$5:$B$1000,1,0))&gt;0,"Sold","")),"")</f>
        <v/>
      </c>
      <c r="H222" s="96" t="str">
        <f>IFERROR((IF((VLOOKUP(B222,MORTALITY!$B$5:$B$1000,1,0))&gt;0,"Died","")),"")</f>
        <v/>
      </c>
      <c r="I222" s="96" t="str">
        <f ca="1">IFERROR(
   IF(LOOKUP(2,1/((ILLNESS!$B$6:$B$1000=B222)*(ILLNESS!$L$6:$L$1000&lt;&gt;"")),
            ILLNESS!$L$6:$L$1000)="No",
      "Sick",""),
"")</f>
        <v/>
      </c>
      <c r="J222" s="104"/>
      <c r="K222" s="97" t="str">
        <f t="shared" ca="1" si="13"/>
        <v/>
      </c>
      <c r="L222" s="97" t="str">
        <f t="shared" ca="1" si="14"/>
        <v/>
      </c>
      <c r="M222" s="76"/>
      <c r="N222" s="76"/>
      <c r="O222" s="76"/>
      <c r="P222" s="76"/>
      <c r="Q222" s="76"/>
      <c r="R222" s="76"/>
      <c r="S222" s="104"/>
      <c r="T222" s="104"/>
      <c r="U222" s="106"/>
      <c r="V222" s="98" t="str">
        <f>IF(OR(G222="Sold",H222="Died"),IF(G222="Sold",VLOOKUP(B222,SALE!$B$5:$J$1000,6,0),IF(H222="Died",VLOOKUP(B222,MORTALITY!$B$5:$K$1000,5,0),"")),"")</f>
        <v/>
      </c>
      <c r="W222" s="76"/>
    </row>
    <row r="223" spans="1:23">
      <c r="A223" s="93">
        <f t="shared" si="15"/>
        <v>219</v>
      </c>
      <c r="B223" s="94"/>
      <c r="C223" s="76"/>
      <c r="D223" s="76"/>
      <c r="E223" s="76"/>
      <c r="F223" s="94" t="str">
        <f t="shared" ca="1" si="12"/>
        <v/>
      </c>
      <c r="G223" s="96" t="str">
        <f>IFERROR((IF((VLOOKUP(B223,SALE!$B$5:$B$1000,1,0))&gt;0,"Sold","")),"")</f>
        <v/>
      </c>
      <c r="H223" s="96" t="str">
        <f>IFERROR((IF((VLOOKUP(B223,MORTALITY!$B$5:$B$1000,1,0))&gt;0,"Died","")),"")</f>
        <v/>
      </c>
      <c r="I223" s="96" t="str">
        <f ca="1">IFERROR(
   IF(LOOKUP(2,1/((ILLNESS!$B$6:$B$1000=B223)*(ILLNESS!$L$6:$L$1000&lt;&gt;"")),
            ILLNESS!$L$6:$L$1000)="No",
      "Sick",""),
"")</f>
        <v/>
      </c>
      <c r="J223" s="104"/>
      <c r="K223" s="97" t="str">
        <f t="shared" ca="1" si="13"/>
        <v/>
      </c>
      <c r="L223" s="97" t="str">
        <f t="shared" ca="1" si="14"/>
        <v/>
      </c>
      <c r="M223" s="76"/>
      <c r="N223" s="76"/>
      <c r="O223" s="76"/>
      <c r="P223" s="76"/>
      <c r="Q223" s="76"/>
      <c r="R223" s="76"/>
      <c r="S223" s="104"/>
      <c r="T223" s="104"/>
      <c r="U223" s="106"/>
      <c r="V223" s="98" t="str">
        <f>IF(OR(G223="Sold",H223="Died"),IF(G223="Sold",VLOOKUP(B223,SALE!$B$5:$J$1000,6,0),IF(H223="Died",VLOOKUP(B223,MORTALITY!$B$5:$K$1000,5,0),"")),"")</f>
        <v/>
      </c>
      <c r="W223" s="76"/>
    </row>
    <row r="224" spans="1:23">
      <c r="A224" s="93">
        <f t="shared" si="15"/>
        <v>220</v>
      </c>
      <c r="B224" s="94"/>
      <c r="C224" s="76"/>
      <c r="D224" s="76"/>
      <c r="E224" s="76"/>
      <c r="F224" s="94" t="str">
        <f t="shared" ca="1" si="12"/>
        <v/>
      </c>
      <c r="G224" s="96" t="str">
        <f>IFERROR((IF((VLOOKUP(B224,SALE!$B$5:$B$1000,1,0))&gt;0,"Sold","")),"")</f>
        <v/>
      </c>
      <c r="H224" s="96" t="str">
        <f>IFERROR((IF((VLOOKUP(B224,MORTALITY!$B$5:$B$1000,1,0))&gt;0,"Died","")),"")</f>
        <v/>
      </c>
      <c r="I224" s="96" t="str">
        <f ca="1">IFERROR(
   IF(LOOKUP(2,1/((ILLNESS!$B$6:$B$1000=B224)*(ILLNESS!$L$6:$L$1000&lt;&gt;"")),
            ILLNESS!$L$6:$L$1000)="No",
      "Sick",""),
"")</f>
        <v/>
      </c>
      <c r="J224" s="104"/>
      <c r="K224" s="97" t="str">
        <f t="shared" ca="1" si="13"/>
        <v/>
      </c>
      <c r="L224" s="97" t="str">
        <f t="shared" ca="1" si="14"/>
        <v/>
      </c>
      <c r="M224" s="76"/>
      <c r="N224" s="76"/>
      <c r="O224" s="76"/>
      <c r="P224" s="76"/>
      <c r="Q224" s="76"/>
      <c r="R224" s="76"/>
      <c r="S224" s="104"/>
      <c r="T224" s="104"/>
      <c r="U224" s="106"/>
      <c r="V224" s="98" t="str">
        <f>IF(OR(G224="Sold",H224="Died"),IF(G224="Sold",VLOOKUP(B224,SALE!$B$5:$J$1000,6,0),IF(H224="Died",VLOOKUP(B224,MORTALITY!$B$5:$K$1000,5,0),"")),"")</f>
        <v/>
      </c>
      <c r="W224" s="76"/>
    </row>
    <row r="225" spans="1:23">
      <c r="A225" s="93">
        <f t="shared" si="15"/>
        <v>221</v>
      </c>
      <c r="B225" s="94"/>
      <c r="C225" s="76"/>
      <c r="D225" s="76"/>
      <c r="E225" s="76"/>
      <c r="F225" s="94" t="str">
        <f t="shared" ca="1" si="12"/>
        <v/>
      </c>
      <c r="G225" s="96" t="str">
        <f>IFERROR((IF((VLOOKUP(B225,SALE!$B$5:$B$1000,1,0))&gt;0,"Sold","")),"")</f>
        <v/>
      </c>
      <c r="H225" s="96" t="str">
        <f>IFERROR((IF((VLOOKUP(B225,MORTALITY!$B$5:$B$1000,1,0))&gt;0,"Died","")),"")</f>
        <v/>
      </c>
      <c r="I225" s="96" t="str">
        <f ca="1">IFERROR(
   IF(LOOKUP(2,1/((ILLNESS!$B$6:$B$1000=B225)*(ILLNESS!$L$6:$L$1000&lt;&gt;"")),
            ILLNESS!$L$6:$L$1000)="No",
      "Sick",""),
"")</f>
        <v/>
      </c>
      <c r="J225" s="104"/>
      <c r="K225" s="97" t="str">
        <f t="shared" ca="1" si="13"/>
        <v/>
      </c>
      <c r="L225" s="97" t="str">
        <f t="shared" ca="1" si="14"/>
        <v/>
      </c>
      <c r="M225" s="76"/>
      <c r="N225" s="76"/>
      <c r="O225" s="76"/>
      <c r="P225" s="76"/>
      <c r="Q225" s="76"/>
      <c r="R225" s="76"/>
      <c r="S225" s="104"/>
      <c r="T225" s="104"/>
      <c r="U225" s="106"/>
      <c r="V225" s="98" t="str">
        <f>IF(OR(G225="Sold",H225="Died"),IF(G225="Sold",VLOOKUP(B225,SALE!$B$5:$J$1000,6,0),IF(H225="Died",VLOOKUP(B225,MORTALITY!$B$5:$K$1000,5,0),"")),"")</f>
        <v/>
      </c>
      <c r="W225" s="76"/>
    </row>
    <row r="226" spans="1:23">
      <c r="A226" s="93">
        <f t="shared" si="15"/>
        <v>222</v>
      </c>
      <c r="B226" s="94"/>
      <c r="C226" s="76"/>
      <c r="D226" s="76"/>
      <c r="E226" s="76"/>
      <c r="F226" s="94" t="str">
        <f t="shared" ca="1" si="12"/>
        <v/>
      </c>
      <c r="G226" s="96" t="str">
        <f>IFERROR((IF((VLOOKUP(B226,SALE!$B$5:$B$1000,1,0))&gt;0,"Sold","")),"")</f>
        <v/>
      </c>
      <c r="H226" s="96" t="str">
        <f>IFERROR((IF((VLOOKUP(B226,MORTALITY!$B$5:$B$1000,1,0))&gt;0,"Died","")),"")</f>
        <v/>
      </c>
      <c r="I226" s="96" t="str">
        <f ca="1">IFERROR(
   IF(LOOKUP(2,1/((ILLNESS!$B$6:$B$1000=B226)*(ILLNESS!$L$6:$L$1000&lt;&gt;"")),
            ILLNESS!$L$6:$L$1000)="No",
      "Sick",""),
"")</f>
        <v/>
      </c>
      <c r="J226" s="104"/>
      <c r="K226" s="97" t="str">
        <f t="shared" ca="1" si="13"/>
        <v/>
      </c>
      <c r="L226" s="97" t="str">
        <f t="shared" ca="1" si="14"/>
        <v/>
      </c>
      <c r="M226" s="76"/>
      <c r="N226" s="76"/>
      <c r="O226" s="76"/>
      <c r="P226" s="76"/>
      <c r="Q226" s="76"/>
      <c r="R226" s="76"/>
      <c r="S226" s="104"/>
      <c r="T226" s="104"/>
      <c r="U226" s="106"/>
      <c r="V226" s="98" t="str">
        <f>IF(OR(G226="Sold",H226="Died"),IF(G226="Sold",VLOOKUP(B226,SALE!$B$5:$J$1000,6,0),IF(H226="Died",VLOOKUP(B226,MORTALITY!$B$5:$K$1000,5,0),"")),"")</f>
        <v/>
      </c>
      <c r="W226" s="76"/>
    </row>
    <row r="227" spans="1:23">
      <c r="A227" s="93">
        <f t="shared" si="15"/>
        <v>223</v>
      </c>
      <c r="B227" s="94"/>
      <c r="C227" s="76"/>
      <c r="D227" s="76"/>
      <c r="E227" s="76"/>
      <c r="F227" s="94" t="str">
        <f t="shared" ca="1" si="12"/>
        <v/>
      </c>
      <c r="G227" s="96" t="str">
        <f>IFERROR((IF((VLOOKUP(B227,SALE!$B$5:$B$1000,1,0))&gt;0,"Sold","")),"")</f>
        <v/>
      </c>
      <c r="H227" s="96" t="str">
        <f>IFERROR((IF((VLOOKUP(B227,MORTALITY!$B$5:$B$1000,1,0))&gt;0,"Died","")),"")</f>
        <v/>
      </c>
      <c r="I227" s="96" t="str">
        <f ca="1">IFERROR(
   IF(LOOKUP(2,1/((ILLNESS!$B$6:$B$1000=B227)*(ILLNESS!$L$6:$L$1000&lt;&gt;"")),
            ILLNESS!$L$6:$L$1000)="No",
      "Sick",""),
"")</f>
        <v/>
      </c>
      <c r="J227" s="104"/>
      <c r="K227" s="97" t="str">
        <f t="shared" ca="1" si="13"/>
        <v/>
      </c>
      <c r="L227" s="97" t="str">
        <f t="shared" ca="1" si="14"/>
        <v/>
      </c>
      <c r="M227" s="76"/>
      <c r="N227" s="76"/>
      <c r="O227" s="76"/>
      <c r="P227" s="76"/>
      <c r="Q227" s="76"/>
      <c r="R227" s="76"/>
      <c r="S227" s="104"/>
      <c r="T227" s="104"/>
      <c r="U227" s="106"/>
      <c r="V227" s="98" t="str">
        <f>IF(OR(G227="Sold",H227="Died"),IF(G227="Sold",VLOOKUP(B227,SALE!$B$5:$J$1000,6,0),IF(H227="Died",VLOOKUP(B227,MORTALITY!$B$5:$K$1000,5,0),"")),"")</f>
        <v/>
      </c>
      <c r="W227" s="76"/>
    </row>
    <row r="228" spans="1:23">
      <c r="A228" s="93">
        <f t="shared" si="15"/>
        <v>224</v>
      </c>
      <c r="B228" s="94"/>
      <c r="C228" s="76"/>
      <c r="D228" s="76"/>
      <c r="E228" s="76"/>
      <c r="F228" s="94" t="str">
        <f t="shared" ca="1" si="12"/>
        <v/>
      </c>
      <c r="G228" s="96" t="str">
        <f>IFERROR((IF((VLOOKUP(B228,SALE!$B$5:$B$1000,1,0))&gt;0,"Sold","")),"")</f>
        <v/>
      </c>
      <c r="H228" s="96" t="str">
        <f>IFERROR((IF((VLOOKUP(B228,MORTALITY!$B$5:$B$1000,1,0))&gt;0,"Died","")),"")</f>
        <v/>
      </c>
      <c r="I228" s="96" t="str">
        <f ca="1">IFERROR(
   IF(LOOKUP(2,1/((ILLNESS!$B$6:$B$1000=B228)*(ILLNESS!$L$6:$L$1000&lt;&gt;"")),
            ILLNESS!$L$6:$L$1000)="No",
      "Sick",""),
"")</f>
        <v/>
      </c>
      <c r="J228" s="104"/>
      <c r="K228" s="97" t="str">
        <f t="shared" ca="1" si="13"/>
        <v/>
      </c>
      <c r="L228" s="97" t="str">
        <f t="shared" ca="1" si="14"/>
        <v/>
      </c>
      <c r="M228" s="76"/>
      <c r="N228" s="76"/>
      <c r="O228" s="76"/>
      <c r="P228" s="76"/>
      <c r="Q228" s="76"/>
      <c r="R228" s="76"/>
      <c r="S228" s="104"/>
      <c r="T228" s="104"/>
      <c r="U228" s="106"/>
      <c r="V228" s="98" t="str">
        <f>IF(OR(G228="Sold",H228="Died"),IF(G228="Sold",VLOOKUP(B228,SALE!$B$5:$J$1000,6,0),IF(H228="Died",VLOOKUP(B228,MORTALITY!$B$5:$K$1000,5,0),"")),"")</f>
        <v/>
      </c>
      <c r="W228" s="76"/>
    </row>
    <row r="229" spans="1:23">
      <c r="A229" s="93">
        <f t="shared" si="15"/>
        <v>225</v>
      </c>
      <c r="B229" s="94"/>
      <c r="C229" s="76"/>
      <c r="D229" s="76"/>
      <c r="E229" s="76"/>
      <c r="F229" s="94" t="str">
        <f t="shared" ca="1" si="12"/>
        <v/>
      </c>
      <c r="G229" s="96" t="str">
        <f>IFERROR((IF((VLOOKUP(B229,SALE!$B$5:$B$1000,1,0))&gt;0,"Sold","")),"")</f>
        <v/>
      </c>
      <c r="H229" s="96" t="str">
        <f>IFERROR((IF((VLOOKUP(B229,MORTALITY!$B$5:$B$1000,1,0))&gt;0,"Died","")),"")</f>
        <v/>
      </c>
      <c r="I229" s="96" t="str">
        <f ca="1">IFERROR(
   IF(LOOKUP(2,1/((ILLNESS!$B$6:$B$1000=B229)*(ILLNESS!$L$6:$L$1000&lt;&gt;"")),
            ILLNESS!$L$6:$L$1000)="No",
      "Sick",""),
"")</f>
        <v/>
      </c>
      <c r="J229" s="104"/>
      <c r="K229" s="97" t="str">
        <f t="shared" ca="1" si="13"/>
        <v/>
      </c>
      <c r="L229" s="97" t="str">
        <f t="shared" ca="1" si="14"/>
        <v/>
      </c>
      <c r="M229" s="76"/>
      <c r="N229" s="76"/>
      <c r="O229" s="76"/>
      <c r="P229" s="76"/>
      <c r="Q229" s="76"/>
      <c r="R229" s="76"/>
      <c r="S229" s="104"/>
      <c r="T229" s="104"/>
      <c r="U229" s="106"/>
      <c r="V229" s="98" t="str">
        <f>IF(OR(G229="Sold",H229="Died"),IF(G229="Sold",VLOOKUP(B229,SALE!$B$5:$J$1000,6,0),IF(H229="Died",VLOOKUP(B229,MORTALITY!$B$5:$K$1000,5,0),"")),"")</f>
        <v/>
      </c>
      <c r="W229" s="76"/>
    </row>
    <row r="230" spans="1:23">
      <c r="A230" s="93">
        <f t="shared" si="15"/>
        <v>226</v>
      </c>
      <c r="B230" s="94"/>
      <c r="C230" s="76"/>
      <c r="D230" s="76"/>
      <c r="E230" s="76"/>
      <c r="F230" s="94" t="str">
        <f t="shared" ca="1" si="12"/>
        <v/>
      </c>
      <c r="G230" s="96" t="str">
        <f>IFERROR((IF((VLOOKUP(B230,SALE!$B$5:$B$1000,1,0))&gt;0,"Sold","")),"")</f>
        <v/>
      </c>
      <c r="H230" s="96" t="str">
        <f>IFERROR((IF((VLOOKUP(B230,MORTALITY!$B$5:$B$1000,1,0))&gt;0,"Died","")),"")</f>
        <v/>
      </c>
      <c r="I230" s="96" t="str">
        <f ca="1">IFERROR(
   IF(LOOKUP(2,1/((ILLNESS!$B$6:$B$1000=B230)*(ILLNESS!$L$6:$L$1000&lt;&gt;"")),
            ILLNESS!$L$6:$L$1000)="No",
      "Sick",""),
"")</f>
        <v/>
      </c>
      <c r="J230" s="104"/>
      <c r="K230" s="97" t="str">
        <f t="shared" ca="1" si="13"/>
        <v/>
      </c>
      <c r="L230" s="97" t="str">
        <f t="shared" ca="1" si="14"/>
        <v/>
      </c>
      <c r="M230" s="76"/>
      <c r="N230" s="76"/>
      <c r="O230" s="76"/>
      <c r="P230" s="76"/>
      <c r="Q230" s="76"/>
      <c r="R230" s="76"/>
      <c r="S230" s="104"/>
      <c r="T230" s="104"/>
      <c r="U230" s="106"/>
      <c r="V230" s="98" t="str">
        <f>IF(OR(G230="Sold",H230="Died"),IF(G230="Sold",VLOOKUP(B230,SALE!$B$5:$J$1000,6,0),IF(H230="Died",VLOOKUP(B230,MORTALITY!$B$5:$K$1000,5,0),"")),"")</f>
        <v/>
      </c>
      <c r="W230" s="76"/>
    </row>
    <row r="231" spans="1:23">
      <c r="A231" s="93">
        <f t="shared" si="15"/>
        <v>227</v>
      </c>
      <c r="B231" s="94"/>
      <c r="C231" s="76"/>
      <c r="D231" s="76"/>
      <c r="E231" s="76"/>
      <c r="F231" s="94" t="str">
        <f t="shared" ca="1" si="12"/>
        <v/>
      </c>
      <c r="G231" s="96" t="str">
        <f>IFERROR((IF((VLOOKUP(B231,SALE!$B$5:$B$1000,1,0))&gt;0,"Sold","")),"")</f>
        <v/>
      </c>
      <c r="H231" s="96" t="str">
        <f>IFERROR((IF((VLOOKUP(B231,MORTALITY!$B$5:$B$1000,1,0))&gt;0,"Died","")),"")</f>
        <v/>
      </c>
      <c r="I231" s="96" t="str">
        <f ca="1">IFERROR(
   IF(LOOKUP(2,1/((ILLNESS!$B$6:$B$1000=B231)*(ILLNESS!$L$6:$L$1000&lt;&gt;"")),
            ILLNESS!$L$6:$L$1000)="No",
      "Sick",""),
"")</f>
        <v/>
      </c>
      <c r="J231" s="104"/>
      <c r="K231" s="97" t="str">
        <f t="shared" ca="1" si="13"/>
        <v/>
      </c>
      <c r="L231" s="97" t="str">
        <f t="shared" ca="1" si="14"/>
        <v/>
      </c>
      <c r="M231" s="76"/>
      <c r="N231" s="76"/>
      <c r="O231" s="76"/>
      <c r="P231" s="76"/>
      <c r="Q231" s="76"/>
      <c r="R231" s="76"/>
      <c r="S231" s="104"/>
      <c r="T231" s="104"/>
      <c r="U231" s="106"/>
      <c r="V231" s="98" t="str">
        <f>IF(OR(G231="Sold",H231="Died"),IF(G231="Sold",VLOOKUP(B231,SALE!$B$5:$J$1000,6,0),IF(H231="Died",VLOOKUP(B231,MORTALITY!$B$5:$K$1000,5,0),"")),"")</f>
        <v/>
      </c>
      <c r="W231" s="76"/>
    </row>
    <row r="232" spans="1:23">
      <c r="A232" s="93">
        <f t="shared" si="15"/>
        <v>228</v>
      </c>
      <c r="B232" s="94"/>
      <c r="C232" s="76"/>
      <c r="D232" s="76"/>
      <c r="E232" s="76"/>
      <c r="F232" s="94" t="str">
        <f t="shared" ca="1" si="12"/>
        <v/>
      </c>
      <c r="G232" s="96" t="str">
        <f>IFERROR((IF((VLOOKUP(B232,SALE!$B$5:$B$1000,1,0))&gt;0,"Sold","")),"")</f>
        <v/>
      </c>
      <c r="H232" s="96" t="str">
        <f>IFERROR((IF((VLOOKUP(B232,MORTALITY!$B$5:$B$1000,1,0))&gt;0,"Died","")),"")</f>
        <v/>
      </c>
      <c r="I232" s="96" t="str">
        <f ca="1">IFERROR(
   IF(LOOKUP(2,1/((ILLNESS!$B$6:$B$1000=B232)*(ILLNESS!$L$6:$L$1000&lt;&gt;"")),
            ILLNESS!$L$6:$L$1000)="No",
      "Sick",""),
"")</f>
        <v/>
      </c>
      <c r="J232" s="104"/>
      <c r="K232" s="97" t="str">
        <f t="shared" ca="1" si="13"/>
        <v/>
      </c>
      <c r="L232" s="97" t="str">
        <f t="shared" ca="1" si="14"/>
        <v/>
      </c>
      <c r="M232" s="76"/>
      <c r="N232" s="76"/>
      <c r="O232" s="76"/>
      <c r="P232" s="76"/>
      <c r="Q232" s="76"/>
      <c r="R232" s="76"/>
      <c r="S232" s="104"/>
      <c r="T232" s="104"/>
      <c r="U232" s="106"/>
      <c r="V232" s="98" t="str">
        <f>IF(OR(G232="Sold",H232="Died"),IF(G232="Sold",VLOOKUP(B232,SALE!$B$5:$J$1000,6,0),IF(H232="Died",VLOOKUP(B232,MORTALITY!$B$5:$K$1000,5,0),"")),"")</f>
        <v/>
      </c>
      <c r="W232" s="76"/>
    </row>
    <row r="233" spans="1:23">
      <c r="A233" s="93">
        <f t="shared" si="15"/>
        <v>229</v>
      </c>
      <c r="B233" s="94"/>
      <c r="C233" s="76"/>
      <c r="D233" s="76"/>
      <c r="E233" s="76"/>
      <c r="F233" s="94" t="str">
        <f t="shared" ca="1" si="12"/>
        <v/>
      </c>
      <c r="G233" s="96" t="str">
        <f>IFERROR((IF((VLOOKUP(B233,SALE!$B$5:$B$1000,1,0))&gt;0,"Sold","")),"")</f>
        <v/>
      </c>
      <c r="H233" s="96" t="str">
        <f>IFERROR((IF((VLOOKUP(B233,MORTALITY!$B$5:$B$1000,1,0))&gt;0,"Died","")),"")</f>
        <v/>
      </c>
      <c r="I233" s="96" t="str">
        <f ca="1">IFERROR(
   IF(LOOKUP(2,1/((ILLNESS!$B$6:$B$1000=B233)*(ILLNESS!$L$6:$L$1000&lt;&gt;"")),
            ILLNESS!$L$6:$L$1000)="No",
      "Sick",""),
"")</f>
        <v/>
      </c>
      <c r="J233" s="104"/>
      <c r="K233" s="97" t="str">
        <f t="shared" ca="1" si="13"/>
        <v/>
      </c>
      <c r="L233" s="97" t="str">
        <f t="shared" ca="1" si="14"/>
        <v/>
      </c>
      <c r="M233" s="76"/>
      <c r="N233" s="76"/>
      <c r="O233" s="76"/>
      <c r="P233" s="76"/>
      <c r="Q233" s="76"/>
      <c r="R233" s="76"/>
      <c r="S233" s="104"/>
      <c r="T233" s="104"/>
      <c r="U233" s="106"/>
      <c r="V233" s="98" t="str">
        <f>IF(OR(G233="Sold",H233="Died"),IF(G233="Sold",VLOOKUP(B233,SALE!$B$5:$J$1000,6,0),IF(H233="Died",VLOOKUP(B233,MORTALITY!$B$5:$K$1000,5,0),"")),"")</f>
        <v/>
      </c>
      <c r="W233" s="76"/>
    </row>
    <row r="234" spans="1:23">
      <c r="A234" s="93">
        <f t="shared" si="15"/>
        <v>230</v>
      </c>
      <c r="B234" s="94"/>
      <c r="C234" s="76"/>
      <c r="D234" s="76"/>
      <c r="E234" s="76"/>
      <c r="F234" s="94" t="str">
        <f t="shared" ca="1" si="12"/>
        <v/>
      </c>
      <c r="G234" s="96" t="str">
        <f>IFERROR((IF((VLOOKUP(B234,SALE!$B$5:$B$1000,1,0))&gt;0,"Sold","")),"")</f>
        <v/>
      </c>
      <c r="H234" s="96" t="str">
        <f>IFERROR((IF((VLOOKUP(B234,MORTALITY!$B$5:$B$1000,1,0))&gt;0,"Died","")),"")</f>
        <v/>
      </c>
      <c r="I234" s="96" t="str">
        <f ca="1">IFERROR(
   IF(LOOKUP(2,1/((ILLNESS!$B$6:$B$1000=B234)*(ILLNESS!$L$6:$L$1000&lt;&gt;"")),
            ILLNESS!$L$6:$L$1000)="No",
      "Sick",""),
"")</f>
        <v/>
      </c>
      <c r="J234" s="104"/>
      <c r="K234" s="97" t="str">
        <f t="shared" ca="1" si="13"/>
        <v/>
      </c>
      <c r="L234" s="97" t="str">
        <f t="shared" ca="1" si="14"/>
        <v/>
      </c>
      <c r="M234" s="76"/>
      <c r="N234" s="76"/>
      <c r="O234" s="76"/>
      <c r="P234" s="76"/>
      <c r="Q234" s="76"/>
      <c r="R234" s="76"/>
      <c r="S234" s="104"/>
      <c r="T234" s="104"/>
      <c r="U234" s="106"/>
      <c r="V234" s="98" t="str">
        <f>IF(OR(G234="Sold",H234="Died"),IF(G234="Sold",VLOOKUP(B234,SALE!$B$5:$J$1000,6,0),IF(H234="Died",VLOOKUP(B234,MORTALITY!$B$5:$K$1000,5,0),"")),"")</f>
        <v/>
      </c>
      <c r="W234" s="76"/>
    </row>
    <row r="235" spans="1:23">
      <c r="A235" s="93">
        <f t="shared" si="15"/>
        <v>231</v>
      </c>
      <c r="B235" s="94"/>
      <c r="C235" s="76"/>
      <c r="D235" s="76"/>
      <c r="E235" s="76"/>
      <c r="F235" s="94" t="str">
        <f t="shared" ca="1" si="12"/>
        <v/>
      </c>
      <c r="G235" s="96" t="str">
        <f>IFERROR((IF((VLOOKUP(B235,SALE!$B$5:$B$1000,1,0))&gt;0,"Sold","")),"")</f>
        <v/>
      </c>
      <c r="H235" s="96" t="str">
        <f>IFERROR((IF((VLOOKUP(B235,MORTALITY!$B$5:$B$1000,1,0))&gt;0,"Died","")),"")</f>
        <v/>
      </c>
      <c r="I235" s="96" t="str">
        <f ca="1">IFERROR(
   IF(LOOKUP(2,1/((ILLNESS!$B$6:$B$1000=B235)*(ILLNESS!$L$6:$L$1000&lt;&gt;"")),
            ILLNESS!$L$6:$L$1000)="No",
      "Sick",""),
"")</f>
        <v/>
      </c>
      <c r="J235" s="104"/>
      <c r="K235" s="97" t="str">
        <f t="shared" ca="1" si="13"/>
        <v/>
      </c>
      <c r="L235" s="97" t="str">
        <f t="shared" ca="1" si="14"/>
        <v/>
      </c>
      <c r="M235" s="76"/>
      <c r="N235" s="76"/>
      <c r="O235" s="76"/>
      <c r="P235" s="76"/>
      <c r="Q235" s="76"/>
      <c r="R235" s="76"/>
      <c r="S235" s="104"/>
      <c r="T235" s="104"/>
      <c r="U235" s="106"/>
      <c r="V235" s="98" t="str">
        <f>IF(OR(G235="Sold",H235="Died"),IF(G235="Sold",VLOOKUP(B235,SALE!$B$5:$J$1000,6,0),IF(H235="Died",VLOOKUP(B235,MORTALITY!$B$5:$K$1000,5,0),"")),"")</f>
        <v/>
      </c>
      <c r="W235" s="76"/>
    </row>
    <row r="236" spans="1:23">
      <c r="A236" s="93">
        <f t="shared" si="15"/>
        <v>232</v>
      </c>
      <c r="B236" s="94"/>
      <c r="C236" s="76"/>
      <c r="D236" s="76"/>
      <c r="E236" s="76"/>
      <c r="F236" s="94" t="str">
        <f t="shared" ca="1" si="12"/>
        <v/>
      </c>
      <c r="G236" s="96" t="str">
        <f>IFERROR((IF((VLOOKUP(B236,SALE!$B$5:$B$1000,1,0))&gt;0,"Sold","")),"")</f>
        <v/>
      </c>
      <c r="H236" s="96" t="str">
        <f>IFERROR((IF((VLOOKUP(B236,MORTALITY!$B$5:$B$1000,1,0))&gt;0,"Died","")),"")</f>
        <v/>
      </c>
      <c r="I236" s="96" t="str">
        <f ca="1">IFERROR(
   IF(LOOKUP(2,1/((ILLNESS!$B$6:$B$1000=B236)*(ILLNESS!$L$6:$L$1000&lt;&gt;"")),
            ILLNESS!$L$6:$L$1000)="No",
      "Sick",""),
"")</f>
        <v/>
      </c>
      <c r="J236" s="104"/>
      <c r="K236" s="97" t="str">
        <f t="shared" ca="1" si="13"/>
        <v/>
      </c>
      <c r="L236" s="97" t="str">
        <f t="shared" ca="1" si="14"/>
        <v/>
      </c>
      <c r="M236" s="76"/>
      <c r="N236" s="76"/>
      <c r="O236" s="76"/>
      <c r="P236" s="76"/>
      <c r="Q236" s="76"/>
      <c r="R236" s="76"/>
      <c r="S236" s="104"/>
      <c r="T236" s="104"/>
      <c r="U236" s="106"/>
      <c r="V236" s="98" t="str">
        <f>IF(OR(G236="Sold",H236="Died"),IF(G236="Sold",VLOOKUP(B236,SALE!$B$5:$J$1000,6,0),IF(H236="Died",VLOOKUP(B236,MORTALITY!$B$5:$K$1000,5,0),"")),"")</f>
        <v/>
      </c>
      <c r="W236" s="76"/>
    </row>
    <row r="237" spans="1:23">
      <c r="A237" s="93">
        <f t="shared" si="15"/>
        <v>233</v>
      </c>
      <c r="B237" s="94"/>
      <c r="C237" s="76"/>
      <c r="D237" s="76"/>
      <c r="E237" s="76"/>
      <c r="F237" s="94" t="str">
        <f t="shared" ca="1" si="12"/>
        <v/>
      </c>
      <c r="G237" s="96" t="str">
        <f>IFERROR((IF((VLOOKUP(B237,SALE!$B$5:$B$1000,1,0))&gt;0,"Sold","")),"")</f>
        <v/>
      </c>
      <c r="H237" s="96" t="str">
        <f>IFERROR((IF((VLOOKUP(B237,MORTALITY!$B$5:$B$1000,1,0))&gt;0,"Died","")),"")</f>
        <v/>
      </c>
      <c r="I237" s="96" t="str">
        <f ca="1">IFERROR(
   IF(LOOKUP(2,1/((ILLNESS!$B$6:$B$1000=B237)*(ILLNESS!$L$6:$L$1000&lt;&gt;"")),
            ILLNESS!$L$6:$L$1000)="No",
      "Sick",""),
"")</f>
        <v/>
      </c>
      <c r="J237" s="104"/>
      <c r="K237" s="97" t="str">
        <f t="shared" ca="1" si="13"/>
        <v/>
      </c>
      <c r="L237" s="97" t="str">
        <f t="shared" ca="1" si="14"/>
        <v/>
      </c>
      <c r="M237" s="76"/>
      <c r="N237" s="76"/>
      <c r="O237" s="76"/>
      <c r="P237" s="76"/>
      <c r="Q237" s="76"/>
      <c r="R237" s="76"/>
      <c r="S237" s="104"/>
      <c r="T237" s="104"/>
      <c r="U237" s="106"/>
      <c r="V237" s="98" t="str">
        <f>IF(OR(G237="Sold",H237="Died"),IF(G237="Sold",VLOOKUP(B237,SALE!$B$5:$J$1000,6,0),IF(H237="Died",VLOOKUP(B237,MORTALITY!$B$5:$K$1000,5,0),"")),"")</f>
        <v/>
      </c>
      <c r="W237" s="76"/>
    </row>
    <row r="238" spans="1:23">
      <c r="A238" s="93">
        <f t="shared" si="15"/>
        <v>234</v>
      </c>
      <c r="B238" s="94"/>
      <c r="C238" s="76"/>
      <c r="D238" s="76"/>
      <c r="E238" s="76"/>
      <c r="F238" s="94" t="str">
        <f t="shared" ca="1" si="12"/>
        <v/>
      </c>
      <c r="G238" s="96" t="str">
        <f>IFERROR((IF((VLOOKUP(B238,SALE!$B$5:$B$1000,1,0))&gt;0,"Sold","")),"")</f>
        <v/>
      </c>
      <c r="H238" s="96" t="str">
        <f>IFERROR((IF((VLOOKUP(B238,MORTALITY!$B$5:$B$1000,1,0))&gt;0,"Died","")),"")</f>
        <v/>
      </c>
      <c r="I238" s="96" t="str">
        <f ca="1">IFERROR(
   IF(LOOKUP(2,1/((ILLNESS!$B$6:$B$1000=B238)*(ILLNESS!$L$6:$L$1000&lt;&gt;"")),
            ILLNESS!$L$6:$L$1000)="No",
      "Sick",""),
"")</f>
        <v/>
      </c>
      <c r="J238" s="104"/>
      <c r="K238" s="97" t="str">
        <f t="shared" ca="1" si="13"/>
        <v/>
      </c>
      <c r="L238" s="97" t="str">
        <f t="shared" ca="1" si="14"/>
        <v/>
      </c>
      <c r="M238" s="76"/>
      <c r="N238" s="76"/>
      <c r="O238" s="76"/>
      <c r="P238" s="76"/>
      <c r="Q238" s="76"/>
      <c r="R238" s="76"/>
      <c r="S238" s="104"/>
      <c r="T238" s="104"/>
      <c r="U238" s="106"/>
      <c r="V238" s="98" t="str">
        <f>IF(OR(G238="Sold",H238="Died"),IF(G238="Sold",VLOOKUP(B238,SALE!$B$5:$J$1000,6,0),IF(H238="Died",VLOOKUP(B238,MORTALITY!$B$5:$K$1000,5,0),"")),"")</f>
        <v/>
      </c>
      <c r="W238" s="76"/>
    </row>
    <row r="239" spans="1:23">
      <c r="A239" s="93">
        <f t="shared" si="15"/>
        <v>235</v>
      </c>
      <c r="B239" s="94"/>
      <c r="C239" s="76"/>
      <c r="D239" s="76"/>
      <c r="E239" s="76"/>
      <c r="F239" s="94" t="str">
        <f t="shared" ca="1" si="12"/>
        <v/>
      </c>
      <c r="G239" s="96" t="str">
        <f>IFERROR((IF((VLOOKUP(B239,SALE!$B$5:$B$1000,1,0))&gt;0,"Sold","")),"")</f>
        <v/>
      </c>
      <c r="H239" s="96" t="str">
        <f>IFERROR((IF((VLOOKUP(B239,MORTALITY!$B$5:$B$1000,1,0))&gt;0,"Died","")),"")</f>
        <v/>
      </c>
      <c r="I239" s="96" t="str">
        <f ca="1">IFERROR(
   IF(LOOKUP(2,1/((ILLNESS!$B$6:$B$1000=B239)*(ILLNESS!$L$6:$L$1000&lt;&gt;"")),
            ILLNESS!$L$6:$L$1000)="No",
      "Sick",""),
"")</f>
        <v/>
      </c>
      <c r="J239" s="104"/>
      <c r="K239" s="97" t="str">
        <f t="shared" ca="1" si="13"/>
        <v/>
      </c>
      <c r="L239" s="97" t="str">
        <f t="shared" ca="1" si="14"/>
        <v/>
      </c>
      <c r="M239" s="76"/>
      <c r="N239" s="76"/>
      <c r="O239" s="76"/>
      <c r="P239" s="76"/>
      <c r="Q239" s="76"/>
      <c r="R239" s="76"/>
      <c r="S239" s="104"/>
      <c r="T239" s="104"/>
      <c r="U239" s="106"/>
      <c r="V239" s="98" t="str">
        <f>IF(OR(G239="Sold",H239="Died"),IF(G239="Sold",VLOOKUP(B239,SALE!$B$5:$J$1000,6,0),IF(H239="Died",VLOOKUP(B239,MORTALITY!$B$5:$K$1000,5,0),"")),"")</f>
        <v/>
      </c>
      <c r="W239" s="76"/>
    </row>
    <row r="240" spans="1:23">
      <c r="A240" s="93">
        <f t="shared" si="15"/>
        <v>236</v>
      </c>
      <c r="B240" s="94"/>
      <c r="C240" s="76"/>
      <c r="D240" s="76"/>
      <c r="E240" s="76"/>
      <c r="F240" s="94" t="str">
        <f t="shared" ca="1" si="12"/>
        <v/>
      </c>
      <c r="G240" s="96" t="str">
        <f>IFERROR((IF((VLOOKUP(B240,SALE!$B$5:$B$1000,1,0))&gt;0,"Sold","")),"")</f>
        <v/>
      </c>
      <c r="H240" s="96" t="str">
        <f>IFERROR((IF((VLOOKUP(B240,MORTALITY!$B$5:$B$1000,1,0))&gt;0,"Died","")),"")</f>
        <v/>
      </c>
      <c r="I240" s="96" t="str">
        <f ca="1">IFERROR(
   IF(LOOKUP(2,1/((ILLNESS!$B$6:$B$1000=B240)*(ILLNESS!$L$6:$L$1000&lt;&gt;"")),
            ILLNESS!$L$6:$L$1000)="No",
      "Sick",""),
"")</f>
        <v/>
      </c>
      <c r="J240" s="104"/>
      <c r="K240" s="97" t="str">
        <f t="shared" ca="1" si="13"/>
        <v/>
      </c>
      <c r="L240" s="97" t="str">
        <f t="shared" ca="1" si="14"/>
        <v/>
      </c>
      <c r="M240" s="76"/>
      <c r="N240" s="76"/>
      <c r="O240" s="76"/>
      <c r="P240" s="76"/>
      <c r="Q240" s="76"/>
      <c r="R240" s="76"/>
      <c r="S240" s="104"/>
      <c r="T240" s="104"/>
      <c r="U240" s="106"/>
      <c r="V240" s="98" t="str">
        <f>IF(OR(G240="Sold",H240="Died"),IF(G240="Sold",VLOOKUP(B240,SALE!$B$5:$J$1000,6,0),IF(H240="Died",VLOOKUP(B240,MORTALITY!$B$5:$K$1000,5,0),"")),"")</f>
        <v/>
      </c>
      <c r="W240" s="76"/>
    </row>
    <row r="241" spans="1:23">
      <c r="A241" s="93">
        <f t="shared" si="15"/>
        <v>237</v>
      </c>
      <c r="B241" s="94"/>
      <c r="C241" s="76"/>
      <c r="D241" s="76"/>
      <c r="E241" s="76"/>
      <c r="F241" s="94" t="str">
        <f t="shared" ca="1" si="12"/>
        <v/>
      </c>
      <c r="G241" s="96" t="str">
        <f>IFERROR((IF((VLOOKUP(B241,SALE!$B$5:$B$1000,1,0))&gt;0,"Sold","")),"")</f>
        <v/>
      </c>
      <c r="H241" s="96" t="str">
        <f>IFERROR((IF((VLOOKUP(B241,MORTALITY!$B$5:$B$1000,1,0))&gt;0,"Died","")),"")</f>
        <v/>
      </c>
      <c r="I241" s="96" t="str">
        <f ca="1">IFERROR(
   IF(LOOKUP(2,1/((ILLNESS!$B$6:$B$1000=B241)*(ILLNESS!$L$6:$L$1000&lt;&gt;"")),
            ILLNESS!$L$6:$L$1000)="No",
      "Sick",""),
"")</f>
        <v/>
      </c>
      <c r="J241" s="104"/>
      <c r="K241" s="97" t="str">
        <f t="shared" ca="1" si="13"/>
        <v/>
      </c>
      <c r="L241" s="97" t="str">
        <f t="shared" ca="1" si="14"/>
        <v/>
      </c>
      <c r="M241" s="76"/>
      <c r="N241" s="76"/>
      <c r="O241" s="76"/>
      <c r="P241" s="76"/>
      <c r="Q241" s="76"/>
      <c r="R241" s="76"/>
      <c r="S241" s="104"/>
      <c r="T241" s="104"/>
      <c r="U241" s="106"/>
      <c r="V241" s="98" t="str">
        <f>IF(OR(G241="Sold",H241="Died"),IF(G241="Sold",VLOOKUP(B241,SALE!$B$5:$J$1000,6,0),IF(H241="Died",VLOOKUP(B241,MORTALITY!$B$5:$K$1000,5,0),"")),"")</f>
        <v/>
      </c>
      <c r="W241" s="76"/>
    </row>
    <row r="242" spans="1:23">
      <c r="A242" s="93">
        <f t="shared" si="15"/>
        <v>238</v>
      </c>
      <c r="B242" s="94"/>
      <c r="C242" s="76"/>
      <c r="D242" s="76"/>
      <c r="E242" s="76"/>
      <c r="F242" s="94" t="str">
        <f t="shared" ca="1" si="12"/>
        <v/>
      </c>
      <c r="G242" s="96" t="str">
        <f>IFERROR((IF((VLOOKUP(B242,SALE!$B$5:$B$1000,1,0))&gt;0,"Sold","")),"")</f>
        <v/>
      </c>
      <c r="H242" s="96" t="str">
        <f>IFERROR((IF((VLOOKUP(B242,MORTALITY!$B$5:$B$1000,1,0))&gt;0,"Died","")),"")</f>
        <v/>
      </c>
      <c r="I242" s="96" t="str">
        <f ca="1">IFERROR(
   IF(LOOKUP(2,1/((ILLNESS!$B$6:$B$1000=B242)*(ILLNESS!$L$6:$L$1000&lt;&gt;"")),
            ILLNESS!$L$6:$L$1000)="No",
      "Sick",""),
"")</f>
        <v/>
      </c>
      <c r="J242" s="104"/>
      <c r="K242" s="97" t="str">
        <f t="shared" ca="1" si="13"/>
        <v/>
      </c>
      <c r="L242" s="97" t="str">
        <f t="shared" ca="1" si="14"/>
        <v/>
      </c>
      <c r="M242" s="76"/>
      <c r="N242" s="76"/>
      <c r="O242" s="76"/>
      <c r="P242" s="76"/>
      <c r="Q242" s="76"/>
      <c r="R242" s="76"/>
      <c r="S242" s="104"/>
      <c r="T242" s="104"/>
      <c r="U242" s="106"/>
      <c r="V242" s="98" t="str">
        <f>IF(OR(G242="Sold",H242="Died"),IF(G242="Sold",VLOOKUP(B242,SALE!$B$5:$J$1000,6,0),IF(H242="Died",VLOOKUP(B242,MORTALITY!$B$5:$K$1000,5,0),"")),"")</f>
        <v/>
      </c>
      <c r="W242" s="76"/>
    </row>
    <row r="243" spans="1:23">
      <c r="A243" s="93">
        <f t="shared" si="15"/>
        <v>239</v>
      </c>
      <c r="B243" s="94"/>
      <c r="C243" s="76"/>
      <c r="D243" s="76"/>
      <c r="E243" s="76"/>
      <c r="F243" s="94" t="str">
        <f t="shared" ca="1" si="12"/>
        <v/>
      </c>
      <c r="G243" s="96" t="str">
        <f>IFERROR((IF((VLOOKUP(B243,SALE!$B$5:$B$1000,1,0))&gt;0,"Sold","")),"")</f>
        <v/>
      </c>
      <c r="H243" s="96" t="str">
        <f>IFERROR((IF((VLOOKUP(B243,MORTALITY!$B$5:$B$1000,1,0))&gt;0,"Died","")),"")</f>
        <v/>
      </c>
      <c r="I243" s="96" t="str">
        <f ca="1">IFERROR(
   IF(LOOKUP(2,1/((ILLNESS!$B$6:$B$1000=B243)*(ILLNESS!$L$6:$L$1000&lt;&gt;"")),
            ILLNESS!$L$6:$L$1000)="No",
      "Sick",""),
"")</f>
        <v/>
      </c>
      <c r="J243" s="104"/>
      <c r="K243" s="97" t="str">
        <f t="shared" ca="1" si="13"/>
        <v/>
      </c>
      <c r="L243" s="97" t="str">
        <f t="shared" ca="1" si="14"/>
        <v/>
      </c>
      <c r="M243" s="76"/>
      <c r="N243" s="76"/>
      <c r="O243" s="76"/>
      <c r="P243" s="76"/>
      <c r="Q243" s="76"/>
      <c r="R243" s="76"/>
      <c r="S243" s="104"/>
      <c r="T243" s="104"/>
      <c r="U243" s="106"/>
      <c r="V243" s="98" t="str">
        <f>IF(OR(G243="Sold",H243="Died"),IF(G243="Sold",VLOOKUP(B243,SALE!$B$5:$J$1000,6,0),IF(H243="Died",VLOOKUP(B243,MORTALITY!$B$5:$K$1000,5,0),"")),"")</f>
        <v/>
      </c>
      <c r="W243" s="76"/>
    </row>
    <row r="244" spans="1:23">
      <c r="A244" s="93">
        <f t="shared" si="15"/>
        <v>240</v>
      </c>
      <c r="B244" s="94"/>
      <c r="C244" s="76"/>
      <c r="D244" s="76"/>
      <c r="E244" s="76"/>
      <c r="F244" s="94" t="str">
        <f t="shared" ca="1" si="12"/>
        <v/>
      </c>
      <c r="G244" s="96" t="str">
        <f>IFERROR((IF((VLOOKUP(B244,SALE!$B$5:$B$1000,1,0))&gt;0,"Sold","")),"")</f>
        <v/>
      </c>
      <c r="H244" s="96" t="str">
        <f>IFERROR((IF((VLOOKUP(B244,MORTALITY!$B$5:$B$1000,1,0))&gt;0,"Died","")),"")</f>
        <v/>
      </c>
      <c r="I244" s="96" t="str">
        <f ca="1">IFERROR(
   IF(LOOKUP(2,1/((ILLNESS!$B$6:$B$1000=B244)*(ILLNESS!$L$6:$L$1000&lt;&gt;"")),
            ILLNESS!$L$6:$L$1000)="No",
      "Sick",""),
"")</f>
        <v/>
      </c>
      <c r="J244" s="104"/>
      <c r="K244" s="97" t="str">
        <f t="shared" ca="1" si="13"/>
        <v/>
      </c>
      <c r="L244" s="97" t="str">
        <f t="shared" ca="1" si="14"/>
        <v/>
      </c>
      <c r="M244" s="76"/>
      <c r="N244" s="76"/>
      <c r="O244" s="76"/>
      <c r="P244" s="76"/>
      <c r="Q244" s="76"/>
      <c r="R244" s="76"/>
      <c r="S244" s="104"/>
      <c r="T244" s="104"/>
      <c r="U244" s="106"/>
      <c r="V244" s="98" t="str">
        <f>IF(OR(G244="Sold",H244="Died"),IF(G244="Sold",VLOOKUP(B244,SALE!$B$5:$J$1000,6,0),IF(H244="Died",VLOOKUP(B244,MORTALITY!$B$5:$K$1000,5,0),"")),"")</f>
        <v/>
      </c>
      <c r="W244" s="76"/>
    </row>
    <row r="245" spans="1:23">
      <c r="A245" s="93">
        <f t="shared" si="15"/>
        <v>241</v>
      </c>
      <c r="B245" s="94"/>
      <c r="C245" s="76"/>
      <c r="D245" s="76"/>
      <c r="E245" s="76"/>
      <c r="F245" s="94" t="str">
        <f t="shared" ca="1" si="12"/>
        <v/>
      </c>
      <c r="G245" s="96" t="str">
        <f>IFERROR((IF((VLOOKUP(B245,SALE!$B$5:$B$1000,1,0))&gt;0,"Sold","")),"")</f>
        <v/>
      </c>
      <c r="H245" s="96" t="str">
        <f>IFERROR((IF((VLOOKUP(B245,MORTALITY!$B$5:$B$1000,1,0))&gt;0,"Died","")),"")</f>
        <v/>
      </c>
      <c r="I245" s="96" t="str">
        <f ca="1">IFERROR(
   IF(LOOKUP(2,1/((ILLNESS!$B$6:$B$1000=B245)*(ILLNESS!$L$6:$L$1000&lt;&gt;"")),
            ILLNESS!$L$6:$L$1000)="No",
      "Sick",""),
"")</f>
        <v/>
      </c>
      <c r="J245" s="104"/>
      <c r="K245" s="97" t="str">
        <f t="shared" ca="1" si="13"/>
        <v/>
      </c>
      <c r="L245" s="97" t="str">
        <f t="shared" ca="1" si="14"/>
        <v/>
      </c>
      <c r="M245" s="76"/>
      <c r="N245" s="76"/>
      <c r="O245" s="76"/>
      <c r="P245" s="76"/>
      <c r="Q245" s="76"/>
      <c r="R245" s="76"/>
      <c r="S245" s="104"/>
      <c r="T245" s="104"/>
      <c r="U245" s="106"/>
      <c r="V245" s="98" t="str">
        <f>IF(OR(G245="Sold",H245="Died"),IF(G245="Sold",VLOOKUP(B245,SALE!$B$5:$J$1000,6,0),IF(H245="Died",VLOOKUP(B245,MORTALITY!$B$5:$K$1000,5,0),"")),"")</f>
        <v/>
      </c>
      <c r="W245" s="76"/>
    </row>
    <row r="246" spans="1:23">
      <c r="A246" s="93">
        <f t="shared" si="15"/>
        <v>242</v>
      </c>
      <c r="B246" s="94"/>
      <c r="C246" s="76"/>
      <c r="D246" s="76"/>
      <c r="E246" s="76"/>
      <c r="F246" s="94" t="str">
        <f t="shared" ca="1" si="12"/>
        <v/>
      </c>
      <c r="G246" s="96" t="str">
        <f>IFERROR((IF((VLOOKUP(B246,SALE!$B$5:$B$1000,1,0))&gt;0,"Sold","")),"")</f>
        <v/>
      </c>
      <c r="H246" s="96" t="str">
        <f>IFERROR((IF((VLOOKUP(B246,MORTALITY!$B$5:$B$1000,1,0))&gt;0,"Died","")),"")</f>
        <v/>
      </c>
      <c r="I246" s="96" t="str">
        <f ca="1">IFERROR(
   IF(LOOKUP(2,1/((ILLNESS!$B$6:$B$1000=B246)*(ILLNESS!$L$6:$L$1000&lt;&gt;"")),
            ILLNESS!$L$6:$L$1000)="No",
      "Sick",""),
"")</f>
        <v/>
      </c>
      <c r="J246" s="104"/>
      <c r="K246" s="97" t="str">
        <f t="shared" ca="1" si="13"/>
        <v/>
      </c>
      <c r="L246" s="97" t="str">
        <f t="shared" ca="1" si="14"/>
        <v/>
      </c>
      <c r="M246" s="76"/>
      <c r="N246" s="76"/>
      <c r="O246" s="76"/>
      <c r="P246" s="76"/>
      <c r="Q246" s="76"/>
      <c r="R246" s="76"/>
      <c r="S246" s="104"/>
      <c r="T246" s="104"/>
      <c r="U246" s="106"/>
      <c r="V246" s="98" t="str">
        <f>IF(OR(G246="Sold",H246="Died"),IF(G246="Sold",VLOOKUP(B246,SALE!$B$5:$J$1000,6,0),IF(H246="Died",VLOOKUP(B246,MORTALITY!$B$5:$K$1000,5,0),"")),"")</f>
        <v/>
      </c>
      <c r="W246" s="76"/>
    </row>
    <row r="247" spans="1:23">
      <c r="A247" s="93">
        <f t="shared" si="15"/>
        <v>243</v>
      </c>
      <c r="B247" s="94"/>
      <c r="C247" s="76"/>
      <c r="D247" s="76"/>
      <c r="E247" s="76"/>
      <c r="F247" s="94" t="str">
        <f t="shared" ca="1" si="12"/>
        <v/>
      </c>
      <c r="G247" s="96" t="str">
        <f>IFERROR((IF((VLOOKUP(B247,SALE!$B$5:$B$1000,1,0))&gt;0,"Sold","")),"")</f>
        <v/>
      </c>
      <c r="H247" s="96" t="str">
        <f>IFERROR((IF((VLOOKUP(B247,MORTALITY!$B$5:$B$1000,1,0))&gt;0,"Died","")),"")</f>
        <v/>
      </c>
      <c r="I247" s="96" t="str">
        <f ca="1">IFERROR(
   IF(LOOKUP(2,1/((ILLNESS!$B$6:$B$1000=B247)*(ILLNESS!$L$6:$L$1000&lt;&gt;"")),
            ILLNESS!$L$6:$L$1000)="No",
      "Sick",""),
"")</f>
        <v/>
      </c>
      <c r="J247" s="104"/>
      <c r="K247" s="97" t="str">
        <f t="shared" ca="1" si="13"/>
        <v/>
      </c>
      <c r="L247" s="97" t="str">
        <f t="shared" ca="1" si="14"/>
        <v/>
      </c>
      <c r="M247" s="76"/>
      <c r="N247" s="76"/>
      <c r="O247" s="76"/>
      <c r="P247" s="76"/>
      <c r="Q247" s="76"/>
      <c r="R247" s="76"/>
      <c r="S247" s="104"/>
      <c r="T247" s="104"/>
      <c r="U247" s="106"/>
      <c r="V247" s="98" t="str">
        <f>IF(OR(G247="Sold",H247="Died"),IF(G247="Sold",VLOOKUP(B247,SALE!$B$5:$J$1000,6,0),IF(H247="Died",VLOOKUP(B247,MORTALITY!$B$5:$K$1000,5,0),"")),"")</f>
        <v/>
      </c>
      <c r="W247" s="76"/>
    </row>
    <row r="248" spans="1:23">
      <c r="A248" s="93">
        <f t="shared" si="15"/>
        <v>244</v>
      </c>
      <c r="B248" s="94"/>
      <c r="C248" s="76"/>
      <c r="D248" s="76"/>
      <c r="E248" s="76"/>
      <c r="F248" s="94" t="str">
        <f t="shared" ca="1" si="12"/>
        <v/>
      </c>
      <c r="G248" s="96" t="str">
        <f>IFERROR((IF((VLOOKUP(B248,SALE!$B$5:$B$1000,1,0))&gt;0,"Sold","")),"")</f>
        <v/>
      </c>
      <c r="H248" s="96" t="str">
        <f>IFERROR((IF((VLOOKUP(B248,MORTALITY!$B$5:$B$1000,1,0))&gt;0,"Died","")),"")</f>
        <v/>
      </c>
      <c r="I248" s="96" t="str">
        <f ca="1">IFERROR(
   IF(LOOKUP(2,1/((ILLNESS!$B$6:$B$1000=B248)*(ILLNESS!$L$6:$L$1000&lt;&gt;"")),
            ILLNESS!$L$6:$L$1000)="No",
      "Sick",""),
"")</f>
        <v/>
      </c>
      <c r="J248" s="104"/>
      <c r="K248" s="97" t="str">
        <f t="shared" ca="1" si="13"/>
        <v/>
      </c>
      <c r="L248" s="97" t="str">
        <f t="shared" ca="1" si="14"/>
        <v/>
      </c>
      <c r="M248" s="76"/>
      <c r="N248" s="76"/>
      <c r="O248" s="76"/>
      <c r="P248" s="76"/>
      <c r="Q248" s="76"/>
      <c r="R248" s="76"/>
      <c r="S248" s="104"/>
      <c r="T248" s="104"/>
      <c r="U248" s="106"/>
      <c r="V248" s="98" t="str">
        <f>IF(OR(G248="Sold",H248="Died"),IF(G248="Sold",VLOOKUP(B248,SALE!$B$5:$J$1000,6,0),IF(H248="Died",VLOOKUP(B248,MORTALITY!$B$5:$K$1000,5,0),"")),"")</f>
        <v/>
      </c>
      <c r="W248" s="76"/>
    </row>
    <row r="249" spans="1:23">
      <c r="A249" s="93">
        <f t="shared" si="15"/>
        <v>245</v>
      </c>
      <c r="B249" s="94"/>
      <c r="C249" s="76"/>
      <c r="D249" s="76"/>
      <c r="E249" s="76"/>
      <c r="F249" s="94" t="str">
        <f t="shared" ca="1" si="12"/>
        <v/>
      </c>
      <c r="G249" s="96" t="str">
        <f>IFERROR((IF((VLOOKUP(B249,SALE!$B$5:$B$1000,1,0))&gt;0,"Sold","")),"")</f>
        <v/>
      </c>
      <c r="H249" s="96" t="str">
        <f>IFERROR((IF((VLOOKUP(B249,MORTALITY!$B$5:$B$1000,1,0))&gt;0,"Died","")),"")</f>
        <v/>
      </c>
      <c r="I249" s="96" t="str">
        <f ca="1">IFERROR(
   IF(LOOKUP(2,1/((ILLNESS!$B$6:$B$1000=B249)*(ILLNESS!$L$6:$L$1000&lt;&gt;"")),
            ILLNESS!$L$6:$L$1000)="No",
      "Sick",""),
"")</f>
        <v/>
      </c>
      <c r="J249" s="104"/>
      <c r="K249" s="97" t="str">
        <f t="shared" ca="1" si="13"/>
        <v/>
      </c>
      <c r="L249" s="97" t="str">
        <f t="shared" ca="1" si="14"/>
        <v/>
      </c>
      <c r="M249" s="76"/>
      <c r="N249" s="76"/>
      <c r="O249" s="76"/>
      <c r="P249" s="76"/>
      <c r="Q249" s="76"/>
      <c r="R249" s="76"/>
      <c r="S249" s="104"/>
      <c r="T249" s="104"/>
      <c r="U249" s="106"/>
      <c r="V249" s="98" t="str">
        <f>IF(OR(G249="Sold",H249="Died"),IF(G249="Sold",VLOOKUP(B249,SALE!$B$5:$J$1000,6,0),IF(H249="Died",VLOOKUP(B249,MORTALITY!$B$5:$K$1000,5,0),"")),"")</f>
        <v/>
      </c>
      <c r="W249" s="76"/>
    </row>
    <row r="250" spans="1:23">
      <c r="A250" s="93">
        <f t="shared" si="15"/>
        <v>246</v>
      </c>
      <c r="B250" s="94"/>
      <c r="C250" s="76"/>
      <c r="D250" s="76"/>
      <c r="E250" s="76"/>
      <c r="F250" s="94" t="str">
        <f t="shared" ca="1" si="12"/>
        <v/>
      </c>
      <c r="G250" s="96" t="str">
        <f>IFERROR((IF((VLOOKUP(B250,SALE!$B$5:$B$1000,1,0))&gt;0,"Sold","")),"")</f>
        <v/>
      </c>
      <c r="H250" s="96" t="str">
        <f>IFERROR((IF((VLOOKUP(B250,MORTALITY!$B$5:$B$1000,1,0))&gt;0,"Died","")),"")</f>
        <v/>
      </c>
      <c r="I250" s="96" t="str">
        <f ca="1">IFERROR(
   IF(LOOKUP(2,1/((ILLNESS!$B$6:$B$1000=B250)*(ILLNESS!$L$6:$L$1000&lt;&gt;"")),
            ILLNESS!$L$6:$L$1000)="No",
      "Sick",""),
"")</f>
        <v/>
      </c>
      <c r="J250" s="104"/>
      <c r="K250" s="97" t="str">
        <f t="shared" ca="1" si="13"/>
        <v/>
      </c>
      <c r="L250" s="97" t="str">
        <f t="shared" ca="1" si="14"/>
        <v/>
      </c>
      <c r="M250" s="76"/>
      <c r="N250" s="76"/>
      <c r="O250" s="76"/>
      <c r="P250" s="76"/>
      <c r="Q250" s="76"/>
      <c r="R250" s="76"/>
      <c r="S250" s="104"/>
      <c r="T250" s="104"/>
      <c r="U250" s="106"/>
      <c r="V250" s="98" t="str">
        <f>IF(OR(G250="Sold",H250="Died"),IF(G250="Sold",VLOOKUP(B250,SALE!$B$5:$J$1000,6,0),IF(H250="Died",VLOOKUP(B250,MORTALITY!$B$5:$K$1000,5,0),"")),"")</f>
        <v/>
      </c>
      <c r="W250" s="76"/>
    </row>
    <row r="251" spans="1:23">
      <c r="A251" s="93">
        <f t="shared" si="15"/>
        <v>247</v>
      </c>
      <c r="B251" s="94"/>
      <c r="C251" s="76"/>
      <c r="D251" s="76"/>
      <c r="E251" s="76"/>
      <c r="F251" s="94" t="str">
        <f t="shared" ca="1" si="12"/>
        <v/>
      </c>
      <c r="G251" s="96" t="str">
        <f>IFERROR((IF((VLOOKUP(B251,SALE!$B$5:$B$1000,1,0))&gt;0,"Sold","")),"")</f>
        <v/>
      </c>
      <c r="H251" s="96" t="str">
        <f>IFERROR((IF((VLOOKUP(B251,MORTALITY!$B$5:$B$1000,1,0))&gt;0,"Died","")),"")</f>
        <v/>
      </c>
      <c r="I251" s="96" t="str">
        <f ca="1">IFERROR(
   IF(LOOKUP(2,1/((ILLNESS!$B$6:$B$1000=B251)*(ILLNESS!$L$6:$L$1000&lt;&gt;"")),
            ILLNESS!$L$6:$L$1000)="No",
      "Sick",""),
"")</f>
        <v/>
      </c>
      <c r="J251" s="104"/>
      <c r="K251" s="97" t="str">
        <f t="shared" ca="1" si="13"/>
        <v/>
      </c>
      <c r="L251" s="97" t="str">
        <f t="shared" ca="1" si="14"/>
        <v/>
      </c>
      <c r="M251" s="76"/>
      <c r="N251" s="76"/>
      <c r="O251" s="76"/>
      <c r="P251" s="76"/>
      <c r="Q251" s="76"/>
      <c r="R251" s="76"/>
      <c r="S251" s="104"/>
      <c r="T251" s="104"/>
      <c r="U251" s="106"/>
      <c r="V251" s="98" t="str">
        <f>IF(OR(G251="Sold",H251="Died"),IF(G251="Sold",VLOOKUP(B251,SALE!$B$5:$J$1000,6,0),IF(H251="Died",VLOOKUP(B251,MORTALITY!$B$5:$K$1000,5,0),"")),"")</f>
        <v/>
      </c>
      <c r="W251" s="76"/>
    </row>
    <row r="252" spans="1:23">
      <c r="A252" s="93">
        <f t="shared" si="15"/>
        <v>248</v>
      </c>
      <c r="B252" s="94"/>
      <c r="C252" s="76"/>
      <c r="D252" s="76"/>
      <c r="E252" s="76"/>
      <c r="F252" s="94" t="str">
        <f t="shared" ca="1" si="12"/>
        <v/>
      </c>
      <c r="G252" s="96" t="str">
        <f>IFERROR((IF((VLOOKUP(B252,SALE!$B$5:$B$1000,1,0))&gt;0,"Sold","")),"")</f>
        <v/>
      </c>
      <c r="H252" s="96" t="str">
        <f>IFERROR((IF((VLOOKUP(B252,MORTALITY!$B$5:$B$1000,1,0))&gt;0,"Died","")),"")</f>
        <v/>
      </c>
      <c r="I252" s="96" t="str">
        <f ca="1">IFERROR(
   IF(LOOKUP(2,1/((ILLNESS!$B$6:$B$1000=B252)*(ILLNESS!$L$6:$L$1000&lt;&gt;"")),
            ILLNESS!$L$6:$L$1000)="No",
      "Sick",""),
"")</f>
        <v/>
      </c>
      <c r="J252" s="104"/>
      <c r="K252" s="97" t="str">
        <f t="shared" ca="1" si="13"/>
        <v/>
      </c>
      <c r="L252" s="97" t="str">
        <f t="shared" ca="1" si="14"/>
        <v/>
      </c>
      <c r="M252" s="76"/>
      <c r="N252" s="76"/>
      <c r="O252" s="76"/>
      <c r="P252" s="76"/>
      <c r="Q252" s="76"/>
      <c r="R252" s="76"/>
      <c r="S252" s="104"/>
      <c r="T252" s="104"/>
      <c r="U252" s="106"/>
      <c r="V252" s="98" t="str">
        <f>IF(OR(G252="Sold",H252="Died"),IF(G252="Sold",VLOOKUP(B252,SALE!$B$5:$J$1000,6,0),IF(H252="Died",VLOOKUP(B252,MORTALITY!$B$5:$K$1000,5,0),"")),"")</f>
        <v/>
      </c>
      <c r="W252" s="76"/>
    </row>
    <row r="253" spans="1:23">
      <c r="A253" s="93">
        <f t="shared" si="15"/>
        <v>249</v>
      </c>
      <c r="B253" s="94"/>
      <c r="C253" s="76"/>
      <c r="D253" s="76"/>
      <c r="E253" s="76"/>
      <c r="F253" s="94" t="str">
        <f t="shared" ca="1" si="12"/>
        <v/>
      </c>
      <c r="G253" s="96" t="str">
        <f>IFERROR((IF((VLOOKUP(B253,SALE!$B$5:$B$1000,1,0))&gt;0,"Sold","")),"")</f>
        <v/>
      </c>
      <c r="H253" s="96" t="str">
        <f>IFERROR((IF((VLOOKUP(B253,MORTALITY!$B$5:$B$1000,1,0))&gt;0,"Died","")),"")</f>
        <v/>
      </c>
      <c r="I253" s="96" t="str">
        <f ca="1">IFERROR(
   IF(LOOKUP(2,1/((ILLNESS!$B$6:$B$1000=B253)*(ILLNESS!$L$6:$L$1000&lt;&gt;"")),
            ILLNESS!$L$6:$L$1000)="No",
      "Sick",""),
"")</f>
        <v/>
      </c>
      <c r="J253" s="104"/>
      <c r="K253" s="97" t="str">
        <f t="shared" ca="1" si="13"/>
        <v/>
      </c>
      <c r="L253" s="97" t="str">
        <f t="shared" ca="1" si="14"/>
        <v/>
      </c>
      <c r="M253" s="76"/>
      <c r="N253" s="76"/>
      <c r="O253" s="76"/>
      <c r="P253" s="76"/>
      <c r="Q253" s="76"/>
      <c r="R253" s="76"/>
      <c r="S253" s="104"/>
      <c r="T253" s="104"/>
      <c r="U253" s="106"/>
      <c r="V253" s="98" t="str">
        <f>IF(OR(G253="Sold",H253="Died"),IF(G253="Sold",VLOOKUP(B253,SALE!$B$5:$J$1000,6,0),IF(H253="Died",VLOOKUP(B253,MORTALITY!$B$5:$K$1000,5,0),"")),"")</f>
        <v/>
      </c>
      <c r="W253" s="76"/>
    </row>
    <row r="254" spans="1:23">
      <c r="A254" s="93">
        <f t="shared" si="15"/>
        <v>250</v>
      </c>
      <c r="B254" s="94"/>
      <c r="C254" s="76"/>
      <c r="D254" s="76"/>
      <c r="E254" s="76"/>
      <c r="F254" s="94" t="str">
        <f t="shared" ca="1" si="12"/>
        <v/>
      </c>
      <c r="G254" s="96" t="str">
        <f>IFERROR((IF((VLOOKUP(B254,SALE!$B$5:$B$1000,1,0))&gt;0,"Sold","")),"")</f>
        <v/>
      </c>
      <c r="H254" s="96" t="str">
        <f>IFERROR((IF((VLOOKUP(B254,MORTALITY!$B$5:$B$1000,1,0))&gt;0,"Died","")),"")</f>
        <v/>
      </c>
      <c r="I254" s="96" t="str">
        <f ca="1">IFERROR(
   IF(LOOKUP(2,1/((ILLNESS!$B$6:$B$1000=B254)*(ILLNESS!$L$6:$L$1000&lt;&gt;"")),
            ILLNESS!$L$6:$L$1000)="No",
      "Sick",""),
"")</f>
        <v/>
      </c>
      <c r="J254" s="104"/>
      <c r="K254" s="97" t="str">
        <f t="shared" ca="1" si="13"/>
        <v/>
      </c>
      <c r="L254" s="97" t="str">
        <f t="shared" ca="1" si="14"/>
        <v/>
      </c>
      <c r="M254" s="76"/>
      <c r="N254" s="76"/>
      <c r="O254" s="76"/>
      <c r="P254" s="76"/>
      <c r="Q254" s="76"/>
      <c r="R254" s="76"/>
      <c r="S254" s="104"/>
      <c r="T254" s="104"/>
      <c r="U254" s="106"/>
      <c r="V254" s="98" t="str">
        <f>IF(OR(G254="Sold",H254="Died"),IF(G254="Sold",VLOOKUP(B254,SALE!$B$5:$J$1000,6,0),IF(H254="Died",VLOOKUP(B254,MORTALITY!$B$5:$K$1000,5,0),"")),"")</f>
        <v/>
      </c>
      <c r="W254" s="76"/>
    </row>
    <row r="255" spans="1:23">
      <c r="A255" s="93">
        <f t="shared" si="15"/>
        <v>251</v>
      </c>
      <c r="B255" s="94"/>
      <c r="C255" s="76"/>
      <c r="D255" s="76"/>
      <c r="E255" s="76"/>
      <c r="F255" s="94" t="str">
        <f t="shared" ca="1" si="12"/>
        <v/>
      </c>
      <c r="G255" s="96" t="str">
        <f>IFERROR((IF((VLOOKUP(B255,SALE!$B$5:$B$1000,1,0))&gt;0,"Sold","")),"")</f>
        <v/>
      </c>
      <c r="H255" s="96" t="str">
        <f>IFERROR((IF((VLOOKUP(B255,MORTALITY!$B$5:$B$1000,1,0))&gt;0,"Died","")),"")</f>
        <v/>
      </c>
      <c r="I255" s="96" t="str">
        <f ca="1">IFERROR(
   IF(LOOKUP(2,1/((ILLNESS!$B$6:$B$1000=B255)*(ILLNESS!$L$6:$L$1000&lt;&gt;"")),
            ILLNESS!$L$6:$L$1000)="No",
      "Sick",""),
"")</f>
        <v/>
      </c>
      <c r="J255" s="104"/>
      <c r="K255" s="97" t="str">
        <f t="shared" ca="1" si="13"/>
        <v/>
      </c>
      <c r="L255" s="97" t="str">
        <f t="shared" ca="1" si="14"/>
        <v/>
      </c>
      <c r="M255" s="76"/>
      <c r="N255" s="76"/>
      <c r="O255" s="76"/>
      <c r="P255" s="76"/>
      <c r="Q255" s="76"/>
      <c r="R255" s="76"/>
      <c r="S255" s="104"/>
      <c r="T255" s="104"/>
      <c r="U255" s="106"/>
      <c r="V255" s="98" t="str">
        <f>IF(OR(G255="Sold",H255="Died"),IF(G255="Sold",VLOOKUP(B255,SALE!$B$5:$J$1000,6,0),IF(H255="Died",VLOOKUP(B255,MORTALITY!$B$5:$K$1000,5,0),"")),"")</f>
        <v/>
      </c>
      <c r="W255" s="76"/>
    </row>
    <row r="256" spans="1:23">
      <c r="A256" s="93">
        <f t="shared" si="15"/>
        <v>252</v>
      </c>
      <c r="B256" s="94"/>
      <c r="C256" s="76"/>
      <c r="D256" s="76"/>
      <c r="E256" s="76"/>
      <c r="F256" s="94" t="str">
        <f t="shared" ca="1" si="12"/>
        <v/>
      </c>
      <c r="G256" s="96" t="str">
        <f>IFERROR((IF((VLOOKUP(B256,SALE!$B$5:$B$1000,1,0))&gt;0,"Sold","")),"")</f>
        <v/>
      </c>
      <c r="H256" s="96" t="str">
        <f>IFERROR((IF((VLOOKUP(B256,MORTALITY!$B$5:$B$1000,1,0))&gt;0,"Died","")),"")</f>
        <v/>
      </c>
      <c r="I256" s="96" t="str">
        <f ca="1">IFERROR(
   IF(LOOKUP(2,1/((ILLNESS!$B$6:$B$1000=B256)*(ILLNESS!$L$6:$L$1000&lt;&gt;"")),
            ILLNESS!$L$6:$L$1000)="No",
      "Sick",""),
"")</f>
        <v/>
      </c>
      <c r="J256" s="104"/>
      <c r="K256" s="97" t="str">
        <f t="shared" ca="1" si="13"/>
        <v/>
      </c>
      <c r="L256" s="97" t="str">
        <f t="shared" ca="1" si="14"/>
        <v/>
      </c>
      <c r="M256" s="76"/>
      <c r="N256" s="76"/>
      <c r="O256" s="76"/>
      <c r="P256" s="76"/>
      <c r="Q256" s="76"/>
      <c r="R256" s="76"/>
      <c r="S256" s="104"/>
      <c r="T256" s="104"/>
      <c r="U256" s="106"/>
      <c r="V256" s="98" t="str">
        <f>IF(OR(G256="Sold",H256="Died"),IF(G256="Sold",VLOOKUP(B256,SALE!$B$5:$J$1000,6,0),IF(H256="Died",VLOOKUP(B256,MORTALITY!$B$5:$K$1000,5,0),"")),"")</f>
        <v/>
      </c>
      <c r="W256" s="76"/>
    </row>
    <row r="257" spans="1:23">
      <c r="A257" s="93">
        <f t="shared" si="15"/>
        <v>253</v>
      </c>
      <c r="B257" s="94"/>
      <c r="C257" s="76"/>
      <c r="D257" s="76"/>
      <c r="E257" s="76"/>
      <c r="F257" s="94" t="str">
        <f t="shared" ca="1" si="12"/>
        <v/>
      </c>
      <c r="G257" s="96" t="str">
        <f>IFERROR((IF((VLOOKUP(B257,SALE!$B$5:$B$1000,1,0))&gt;0,"Sold","")),"")</f>
        <v/>
      </c>
      <c r="H257" s="96" t="str">
        <f>IFERROR((IF((VLOOKUP(B257,MORTALITY!$B$5:$B$1000,1,0))&gt;0,"Died","")),"")</f>
        <v/>
      </c>
      <c r="I257" s="96" t="str">
        <f ca="1">IFERROR(
   IF(LOOKUP(2,1/((ILLNESS!$B$6:$B$1000=B257)*(ILLNESS!$L$6:$L$1000&lt;&gt;"")),
            ILLNESS!$L$6:$L$1000)="No",
      "Sick",""),
"")</f>
        <v/>
      </c>
      <c r="J257" s="104"/>
      <c r="K257" s="97" t="str">
        <f t="shared" ca="1" si="13"/>
        <v/>
      </c>
      <c r="L257" s="97" t="str">
        <f t="shared" ca="1" si="14"/>
        <v/>
      </c>
      <c r="M257" s="76"/>
      <c r="N257" s="76"/>
      <c r="O257" s="76"/>
      <c r="P257" s="76"/>
      <c r="Q257" s="76"/>
      <c r="R257" s="76"/>
      <c r="S257" s="104"/>
      <c r="T257" s="104"/>
      <c r="U257" s="106"/>
      <c r="V257" s="98" t="str">
        <f>IF(OR(G257="Sold",H257="Died"),IF(G257="Sold",VLOOKUP(B257,SALE!$B$5:$J$1000,6,0),IF(H257="Died",VLOOKUP(B257,MORTALITY!$B$5:$K$1000,5,0),"")),"")</f>
        <v/>
      </c>
      <c r="W257" s="76"/>
    </row>
    <row r="258" spans="1:23">
      <c r="A258" s="93">
        <f t="shared" si="15"/>
        <v>254</v>
      </c>
      <c r="B258" s="94"/>
      <c r="C258" s="76"/>
      <c r="D258" s="76"/>
      <c r="E258" s="76"/>
      <c r="F258" s="94" t="str">
        <f t="shared" ca="1" si="12"/>
        <v/>
      </c>
      <c r="G258" s="96" t="str">
        <f>IFERROR((IF((VLOOKUP(B258,SALE!$B$5:$B$1000,1,0))&gt;0,"Sold","")),"")</f>
        <v/>
      </c>
      <c r="H258" s="96" t="str">
        <f>IFERROR((IF((VLOOKUP(B258,MORTALITY!$B$5:$B$1000,1,0))&gt;0,"Died","")),"")</f>
        <v/>
      </c>
      <c r="I258" s="96" t="str">
        <f ca="1">IFERROR(
   IF(LOOKUP(2,1/((ILLNESS!$B$6:$B$1000=B258)*(ILLNESS!$L$6:$L$1000&lt;&gt;"")),
            ILLNESS!$L$6:$L$1000)="No",
      "Sick",""),
"")</f>
        <v/>
      </c>
      <c r="J258" s="104"/>
      <c r="K258" s="97" t="str">
        <f t="shared" ca="1" si="13"/>
        <v/>
      </c>
      <c r="L258" s="97" t="str">
        <f t="shared" ca="1" si="14"/>
        <v/>
      </c>
      <c r="M258" s="76"/>
      <c r="N258" s="76"/>
      <c r="O258" s="76"/>
      <c r="P258" s="76"/>
      <c r="Q258" s="76"/>
      <c r="R258" s="76"/>
      <c r="S258" s="104"/>
      <c r="T258" s="104"/>
      <c r="U258" s="106"/>
      <c r="V258" s="98" t="str">
        <f>IF(OR(G258="Sold",H258="Died"),IF(G258="Sold",VLOOKUP(B258,SALE!$B$5:$J$1000,6,0),IF(H258="Died",VLOOKUP(B258,MORTALITY!$B$5:$K$1000,5,0),"")),"")</f>
        <v/>
      </c>
      <c r="W258" s="76"/>
    </row>
    <row r="259" spans="1:23">
      <c r="A259" s="93">
        <f t="shared" si="15"/>
        <v>255</v>
      </c>
      <c r="B259" s="94"/>
      <c r="C259" s="76"/>
      <c r="D259" s="76"/>
      <c r="E259" s="76"/>
      <c r="F259" s="94" t="str">
        <f t="shared" ca="1" si="12"/>
        <v/>
      </c>
      <c r="G259" s="96" t="str">
        <f>IFERROR((IF((VLOOKUP(B259,SALE!$B$5:$B$1000,1,0))&gt;0,"Sold","")),"")</f>
        <v/>
      </c>
      <c r="H259" s="96" t="str">
        <f>IFERROR((IF((VLOOKUP(B259,MORTALITY!$B$5:$B$1000,1,0))&gt;0,"Died","")),"")</f>
        <v/>
      </c>
      <c r="I259" s="96" t="str">
        <f ca="1">IFERROR(
   IF(LOOKUP(2,1/((ILLNESS!$B$6:$B$1000=B259)*(ILLNESS!$L$6:$L$1000&lt;&gt;"")),
            ILLNESS!$L$6:$L$1000)="No",
      "Sick",""),
"")</f>
        <v/>
      </c>
      <c r="J259" s="104"/>
      <c r="K259" s="97" t="str">
        <f t="shared" ca="1" si="13"/>
        <v/>
      </c>
      <c r="L259" s="97" t="str">
        <f t="shared" ca="1" si="14"/>
        <v/>
      </c>
      <c r="M259" s="76"/>
      <c r="N259" s="76"/>
      <c r="O259" s="76"/>
      <c r="P259" s="76"/>
      <c r="Q259" s="76"/>
      <c r="R259" s="76"/>
      <c r="S259" s="104"/>
      <c r="T259" s="104"/>
      <c r="U259" s="106"/>
      <c r="V259" s="98" t="str">
        <f>IF(OR(G259="Sold",H259="Died"),IF(G259="Sold",VLOOKUP(B259,SALE!$B$5:$J$1000,6,0),IF(H259="Died",VLOOKUP(B259,MORTALITY!$B$5:$K$1000,5,0),"")),"")</f>
        <v/>
      </c>
      <c r="W259" s="76"/>
    </row>
    <row r="260" spans="1:23">
      <c r="A260" s="93">
        <f t="shared" si="15"/>
        <v>256</v>
      </c>
      <c r="B260" s="94"/>
      <c r="C260" s="76"/>
      <c r="D260" s="76"/>
      <c r="E260" s="76"/>
      <c r="F260" s="94" t="str">
        <f t="shared" ca="1" si="12"/>
        <v/>
      </c>
      <c r="G260" s="96" t="str">
        <f>IFERROR((IF((VLOOKUP(B260,SALE!$B$5:$B$1000,1,0))&gt;0,"Sold","")),"")</f>
        <v/>
      </c>
      <c r="H260" s="96" t="str">
        <f>IFERROR((IF((VLOOKUP(B260,MORTALITY!$B$5:$B$1000,1,0))&gt;0,"Died","")),"")</f>
        <v/>
      </c>
      <c r="I260" s="96" t="str">
        <f ca="1">IFERROR(
   IF(LOOKUP(2,1/((ILLNESS!$B$6:$B$1000=B260)*(ILLNESS!$L$6:$L$1000&lt;&gt;"")),
            ILLNESS!$L$6:$L$1000)="No",
      "Sick",""),
"")</f>
        <v/>
      </c>
      <c r="J260" s="104"/>
      <c r="K260" s="97" t="str">
        <f t="shared" ca="1" si="13"/>
        <v/>
      </c>
      <c r="L260" s="97" t="str">
        <f t="shared" ca="1" si="14"/>
        <v/>
      </c>
      <c r="M260" s="76"/>
      <c r="N260" s="76"/>
      <c r="O260" s="76"/>
      <c r="P260" s="76"/>
      <c r="Q260" s="76"/>
      <c r="R260" s="76"/>
      <c r="S260" s="104"/>
      <c r="T260" s="104"/>
      <c r="U260" s="106"/>
      <c r="V260" s="98" t="str">
        <f>IF(OR(G260="Sold",H260="Died"),IF(G260="Sold",VLOOKUP(B260,SALE!$B$5:$J$1000,6,0),IF(H260="Died",VLOOKUP(B260,MORTALITY!$B$5:$K$1000,5,0),"")),"")</f>
        <v/>
      </c>
      <c r="W260" s="76"/>
    </row>
    <row r="261" spans="1:23">
      <c r="A261" s="93">
        <f t="shared" si="15"/>
        <v>257</v>
      </c>
      <c r="B261" s="94"/>
      <c r="C261" s="76"/>
      <c r="D261" s="76"/>
      <c r="E261" s="76"/>
      <c r="F261" s="94" t="str">
        <f t="shared" ca="1" si="12"/>
        <v/>
      </c>
      <c r="G261" s="96" t="str">
        <f>IFERROR((IF((VLOOKUP(B261,SALE!$B$5:$B$1000,1,0))&gt;0,"Sold","")),"")</f>
        <v/>
      </c>
      <c r="H261" s="96" t="str">
        <f>IFERROR((IF((VLOOKUP(B261,MORTALITY!$B$5:$B$1000,1,0))&gt;0,"Died","")),"")</f>
        <v/>
      </c>
      <c r="I261" s="96" t="str">
        <f ca="1">IFERROR(
   IF(LOOKUP(2,1/((ILLNESS!$B$6:$B$1000=B261)*(ILLNESS!$L$6:$L$1000&lt;&gt;"")),
            ILLNESS!$L$6:$L$1000)="No",
      "Sick",""),
"")</f>
        <v/>
      </c>
      <c r="J261" s="104"/>
      <c r="K261" s="97" t="str">
        <f t="shared" ca="1" si="13"/>
        <v/>
      </c>
      <c r="L261" s="97" t="str">
        <f t="shared" ca="1" si="14"/>
        <v/>
      </c>
      <c r="M261" s="76"/>
      <c r="N261" s="76"/>
      <c r="O261" s="76"/>
      <c r="P261" s="76"/>
      <c r="Q261" s="76"/>
      <c r="R261" s="76"/>
      <c r="S261" s="104"/>
      <c r="T261" s="104"/>
      <c r="U261" s="106"/>
      <c r="V261" s="98" t="str">
        <f>IF(OR(G261="Sold",H261="Died"),IF(G261="Sold",VLOOKUP(B261,SALE!$B$5:$J$1000,6,0),IF(H261="Died",VLOOKUP(B261,MORTALITY!$B$5:$K$1000,5,0),"")),"")</f>
        <v/>
      </c>
      <c r="W261" s="76"/>
    </row>
    <row r="262" spans="1:23">
      <c r="A262" s="93">
        <f t="shared" si="15"/>
        <v>258</v>
      </c>
      <c r="B262" s="94"/>
      <c r="C262" s="76"/>
      <c r="D262" s="76"/>
      <c r="E262" s="76"/>
      <c r="F262" s="94" t="str">
        <f t="shared" ca="1" si="12"/>
        <v/>
      </c>
      <c r="G262" s="96" t="str">
        <f>IFERROR((IF((VLOOKUP(B262,SALE!$B$5:$B$1000,1,0))&gt;0,"Sold","")),"")</f>
        <v/>
      </c>
      <c r="H262" s="96" t="str">
        <f>IFERROR((IF((VLOOKUP(B262,MORTALITY!$B$5:$B$1000,1,0))&gt;0,"Died","")),"")</f>
        <v/>
      </c>
      <c r="I262" s="96" t="str">
        <f ca="1">IFERROR(
   IF(LOOKUP(2,1/((ILLNESS!$B$6:$B$1000=B262)*(ILLNESS!$L$6:$L$1000&lt;&gt;"")),
            ILLNESS!$L$6:$L$1000)="No",
      "Sick",""),
"")</f>
        <v/>
      </c>
      <c r="J262" s="104"/>
      <c r="K262" s="97" t="str">
        <f t="shared" ca="1" si="13"/>
        <v/>
      </c>
      <c r="L262" s="97" t="str">
        <f t="shared" ca="1" si="14"/>
        <v/>
      </c>
      <c r="M262" s="76"/>
      <c r="N262" s="76"/>
      <c r="O262" s="76"/>
      <c r="P262" s="76"/>
      <c r="Q262" s="76"/>
      <c r="R262" s="76"/>
      <c r="S262" s="104"/>
      <c r="T262" s="104"/>
      <c r="U262" s="106"/>
      <c r="V262" s="98" t="str">
        <f>IF(OR(G262="Sold",H262="Died"),IF(G262="Sold",VLOOKUP(B262,SALE!$B$5:$J$1000,6,0),IF(H262="Died",VLOOKUP(B262,MORTALITY!$B$5:$K$1000,5,0),"")),"")</f>
        <v/>
      </c>
      <c r="W262" s="76"/>
    </row>
    <row r="263" spans="1:23">
      <c r="A263" s="93">
        <f t="shared" si="15"/>
        <v>259</v>
      </c>
      <c r="B263" s="94"/>
      <c r="C263" s="76"/>
      <c r="D263" s="76"/>
      <c r="E263" s="76"/>
      <c r="F263" s="94" t="str">
        <f t="shared" ref="F263:F326" ca="1" si="16">IF(OR(G263="Sold",H263="Died",I263="Sick"),"Inactive",IF(OR(C263="MALE",C263="FEMALE"),"Active",""))</f>
        <v/>
      </c>
      <c r="G263" s="96" t="str">
        <f>IFERROR((IF((VLOOKUP(B263,SALE!$B$5:$B$1000,1,0))&gt;0,"Sold","")),"")</f>
        <v/>
      </c>
      <c r="H263" s="96" t="str">
        <f>IFERROR((IF((VLOOKUP(B263,MORTALITY!$B$5:$B$1000,1,0))&gt;0,"Died","")),"")</f>
        <v/>
      </c>
      <c r="I263" s="96" t="str">
        <f ca="1">IFERROR(
   IF(LOOKUP(2,1/((ILLNESS!$B$6:$B$1000=B263)*(ILLNESS!$L$6:$L$1000&lt;&gt;"")),
            ILLNESS!$L$6:$L$1000)="No",
      "Sick",""),
"")</f>
        <v/>
      </c>
      <c r="J263" s="104"/>
      <c r="K263" s="97" t="str">
        <f t="shared" ref="K263:K326" ca="1" si="17">IF(J263="","",DATEDIF($J263,TODAY(),"Y"))</f>
        <v/>
      </c>
      <c r="L263" s="97" t="str">
        <f t="shared" ref="L263:L326" ca="1" si="18">IFERROR(DATEDIF($J263,TODAY(),"M")-($K263*12),"")</f>
        <v/>
      </c>
      <c r="M263" s="76"/>
      <c r="N263" s="76"/>
      <c r="O263" s="76"/>
      <c r="P263" s="76"/>
      <c r="Q263" s="76"/>
      <c r="R263" s="76"/>
      <c r="S263" s="104"/>
      <c r="T263" s="104"/>
      <c r="U263" s="106"/>
      <c r="V263" s="98" t="str">
        <f>IF(OR(G263="Sold",H263="Died"),IF(G263="Sold",VLOOKUP(B263,SALE!$B$5:$J$1000,6,0),IF(H263="Died",VLOOKUP(B263,MORTALITY!$B$5:$K$1000,5,0),"")),"")</f>
        <v/>
      </c>
      <c r="W263" s="76"/>
    </row>
    <row r="264" spans="1:23">
      <c r="A264" s="93">
        <f t="shared" si="15"/>
        <v>260</v>
      </c>
      <c r="B264" s="94"/>
      <c r="C264" s="76"/>
      <c r="D264" s="76"/>
      <c r="E264" s="76"/>
      <c r="F264" s="94" t="str">
        <f t="shared" ca="1" si="16"/>
        <v/>
      </c>
      <c r="G264" s="96" t="str">
        <f>IFERROR((IF((VLOOKUP(B264,SALE!$B$5:$B$1000,1,0))&gt;0,"Sold","")),"")</f>
        <v/>
      </c>
      <c r="H264" s="96" t="str">
        <f>IFERROR((IF((VLOOKUP(B264,MORTALITY!$B$5:$B$1000,1,0))&gt;0,"Died","")),"")</f>
        <v/>
      </c>
      <c r="I264" s="96" t="str">
        <f ca="1">IFERROR(
   IF(LOOKUP(2,1/((ILLNESS!$B$6:$B$1000=B264)*(ILLNESS!$L$6:$L$1000&lt;&gt;"")),
            ILLNESS!$L$6:$L$1000)="No",
      "Sick",""),
"")</f>
        <v/>
      </c>
      <c r="J264" s="104"/>
      <c r="K264" s="97" t="str">
        <f t="shared" ca="1" si="17"/>
        <v/>
      </c>
      <c r="L264" s="97" t="str">
        <f t="shared" ca="1" si="18"/>
        <v/>
      </c>
      <c r="M264" s="76"/>
      <c r="N264" s="76"/>
      <c r="O264" s="76"/>
      <c r="P264" s="76"/>
      <c r="Q264" s="76"/>
      <c r="R264" s="76"/>
      <c r="S264" s="104"/>
      <c r="T264" s="104"/>
      <c r="U264" s="106"/>
      <c r="V264" s="98" t="str">
        <f>IF(OR(G264="Sold",H264="Died"),IF(G264="Sold",VLOOKUP(B264,SALE!$B$5:$J$1000,6,0),IF(H264="Died",VLOOKUP(B264,MORTALITY!$B$5:$K$1000,5,0),"")),"")</f>
        <v/>
      </c>
      <c r="W264" s="76"/>
    </row>
    <row r="265" spans="1:23">
      <c r="A265" s="93">
        <f t="shared" ref="A265:A328" si="19">ROW(A261)</f>
        <v>261</v>
      </c>
      <c r="B265" s="94"/>
      <c r="C265" s="76"/>
      <c r="D265" s="76"/>
      <c r="E265" s="76"/>
      <c r="F265" s="94" t="str">
        <f t="shared" ca="1" si="16"/>
        <v/>
      </c>
      <c r="G265" s="96" t="str">
        <f>IFERROR((IF((VLOOKUP(B265,SALE!$B$5:$B$1000,1,0))&gt;0,"Sold","")),"")</f>
        <v/>
      </c>
      <c r="H265" s="96" t="str">
        <f>IFERROR((IF((VLOOKUP(B265,MORTALITY!$B$5:$B$1000,1,0))&gt;0,"Died","")),"")</f>
        <v/>
      </c>
      <c r="I265" s="96" t="str">
        <f ca="1">IFERROR(
   IF(LOOKUP(2,1/((ILLNESS!$B$6:$B$1000=B265)*(ILLNESS!$L$6:$L$1000&lt;&gt;"")),
            ILLNESS!$L$6:$L$1000)="No",
      "Sick",""),
"")</f>
        <v/>
      </c>
      <c r="J265" s="104"/>
      <c r="K265" s="97" t="str">
        <f t="shared" ca="1" si="17"/>
        <v/>
      </c>
      <c r="L265" s="97" t="str">
        <f t="shared" ca="1" si="18"/>
        <v/>
      </c>
      <c r="M265" s="76"/>
      <c r="N265" s="76"/>
      <c r="O265" s="76"/>
      <c r="P265" s="76"/>
      <c r="Q265" s="76"/>
      <c r="R265" s="76"/>
      <c r="S265" s="104"/>
      <c r="T265" s="104"/>
      <c r="U265" s="106"/>
      <c r="V265" s="98" t="str">
        <f>IF(OR(G265="Sold",H265="Died"),IF(G265="Sold",VLOOKUP(B265,SALE!$B$5:$J$1000,6,0),IF(H265="Died",VLOOKUP(B265,MORTALITY!$B$5:$K$1000,5,0),"")),"")</f>
        <v/>
      </c>
      <c r="W265" s="76"/>
    </row>
    <row r="266" spans="1:23">
      <c r="A266" s="93">
        <f t="shared" si="19"/>
        <v>262</v>
      </c>
      <c r="B266" s="94"/>
      <c r="C266" s="76"/>
      <c r="D266" s="76"/>
      <c r="E266" s="76"/>
      <c r="F266" s="94" t="str">
        <f t="shared" ca="1" si="16"/>
        <v/>
      </c>
      <c r="G266" s="96" t="str">
        <f>IFERROR((IF((VLOOKUP(B266,SALE!$B$5:$B$1000,1,0))&gt;0,"Sold","")),"")</f>
        <v/>
      </c>
      <c r="H266" s="96" t="str">
        <f>IFERROR((IF((VLOOKUP(B266,MORTALITY!$B$5:$B$1000,1,0))&gt;0,"Died","")),"")</f>
        <v/>
      </c>
      <c r="I266" s="96" t="str">
        <f ca="1">IFERROR(
   IF(LOOKUP(2,1/((ILLNESS!$B$6:$B$1000=B266)*(ILLNESS!$L$6:$L$1000&lt;&gt;"")),
            ILLNESS!$L$6:$L$1000)="No",
      "Sick",""),
"")</f>
        <v/>
      </c>
      <c r="J266" s="104"/>
      <c r="K266" s="97" t="str">
        <f t="shared" ca="1" si="17"/>
        <v/>
      </c>
      <c r="L266" s="97" t="str">
        <f t="shared" ca="1" si="18"/>
        <v/>
      </c>
      <c r="M266" s="76"/>
      <c r="N266" s="76"/>
      <c r="O266" s="76"/>
      <c r="P266" s="76"/>
      <c r="Q266" s="76"/>
      <c r="R266" s="76"/>
      <c r="S266" s="104"/>
      <c r="T266" s="104"/>
      <c r="U266" s="106"/>
      <c r="V266" s="98" t="str">
        <f>IF(OR(G266="Sold",H266="Died"),IF(G266="Sold",VLOOKUP(B266,SALE!$B$5:$J$1000,6,0),IF(H266="Died",VLOOKUP(B266,MORTALITY!$B$5:$K$1000,5,0),"")),"")</f>
        <v/>
      </c>
      <c r="W266" s="76"/>
    </row>
    <row r="267" spans="1:23">
      <c r="A267" s="93">
        <f t="shared" si="19"/>
        <v>263</v>
      </c>
      <c r="B267" s="94"/>
      <c r="C267" s="76"/>
      <c r="D267" s="76"/>
      <c r="E267" s="76"/>
      <c r="F267" s="94" t="str">
        <f t="shared" ca="1" si="16"/>
        <v/>
      </c>
      <c r="G267" s="96" t="str">
        <f>IFERROR((IF((VLOOKUP(B267,SALE!$B$5:$B$1000,1,0))&gt;0,"Sold","")),"")</f>
        <v/>
      </c>
      <c r="H267" s="96" t="str">
        <f>IFERROR((IF((VLOOKUP(B267,MORTALITY!$B$5:$B$1000,1,0))&gt;0,"Died","")),"")</f>
        <v/>
      </c>
      <c r="I267" s="96" t="str">
        <f ca="1">IFERROR(
   IF(LOOKUP(2,1/((ILLNESS!$B$6:$B$1000=B267)*(ILLNESS!$L$6:$L$1000&lt;&gt;"")),
            ILLNESS!$L$6:$L$1000)="No",
      "Sick",""),
"")</f>
        <v/>
      </c>
      <c r="J267" s="104"/>
      <c r="K267" s="97" t="str">
        <f t="shared" ca="1" si="17"/>
        <v/>
      </c>
      <c r="L267" s="97" t="str">
        <f t="shared" ca="1" si="18"/>
        <v/>
      </c>
      <c r="M267" s="76"/>
      <c r="N267" s="76"/>
      <c r="O267" s="76"/>
      <c r="P267" s="76"/>
      <c r="Q267" s="76"/>
      <c r="R267" s="76"/>
      <c r="S267" s="104"/>
      <c r="T267" s="104"/>
      <c r="U267" s="106"/>
      <c r="V267" s="98" t="str">
        <f>IF(OR(G267="Sold",H267="Died"),IF(G267="Sold",VLOOKUP(B267,SALE!$B$5:$J$1000,6,0),IF(H267="Died",VLOOKUP(B267,MORTALITY!$B$5:$K$1000,5,0),"")),"")</f>
        <v/>
      </c>
      <c r="W267" s="76"/>
    </row>
    <row r="268" spans="1:23">
      <c r="A268" s="93">
        <f t="shared" si="19"/>
        <v>264</v>
      </c>
      <c r="B268" s="94"/>
      <c r="C268" s="76"/>
      <c r="D268" s="76"/>
      <c r="E268" s="76"/>
      <c r="F268" s="94" t="str">
        <f t="shared" ca="1" si="16"/>
        <v/>
      </c>
      <c r="G268" s="96" t="str">
        <f>IFERROR((IF((VLOOKUP(B268,SALE!$B$5:$B$1000,1,0))&gt;0,"Sold","")),"")</f>
        <v/>
      </c>
      <c r="H268" s="96" t="str">
        <f>IFERROR((IF((VLOOKUP(B268,MORTALITY!$B$5:$B$1000,1,0))&gt;0,"Died","")),"")</f>
        <v/>
      </c>
      <c r="I268" s="96" t="str">
        <f ca="1">IFERROR(
   IF(LOOKUP(2,1/((ILLNESS!$B$6:$B$1000=B268)*(ILLNESS!$L$6:$L$1000&lt;&gt;"")),
            ILLNESS!$L$6:$L$1000)="No",
      "Sick",""),
"")</f>
        <v/>
      </c>
      <c r="J268" s="104"/>
      <c r="K268" s="97" t="str">
        <f t="shared" ca="1" si="17"/>
        <v/>
      </c>
      <c r="L268" s="97" t="str">
        <f t="shared" ca="1" si="18"/>
        <v/>
      </c>
      <c r="M268" s="76"/>
      <c r="N268" s="76"/>
      <c r="O268" s="76"/>
      <c r="P268" s="76"/>
      <c r="Q268" s="76"/>
      <c r="R268" s="76"/>
      <c r="S268" s="104"/>
      <c r="T268" s="104"/>
      <c r="U268" s="106"/>
      <c r="V268" s="98" t="str">
        <f>IF(OR(G268="Sold",H268="Died"),IF(G268="Sold",VLOOKUP(B268,SALE!$B$5:$J$1000,6,0),IF(H268="Died",VLOOKUP(B268,MORTALITY!$B$5:$K$1000,5,0),"")),"")</f>
        <v/>
      </c>
      <c r="W268" s="76"/>
    </row>
    <row r="269" spans="1:23">
      <c r="A269" s="93">
        <f t="shared" si="19"/>
        <v>265</v>
      </c>
      <c r="B269" s="94"/>
      <c r="C269" s="76"/>
      <c r="D269" s="76"/>
      <c r="E269" s="76"/>
      <c r="F269" s="94" t="str">
        <f t="shared" ca="1" si="16"/>
        <v/>
      </c>
      <c r="G269" s="96" t="str">
        <f>IFERROR((IF((VLOOKUP(B269,SALE!$B$5:$B$1000,1,0))&gt;0,"Sold","")),"")</f>
        <v/>
      </c>
      <c r="H269" s="96" t="str">
        <f>IFERROR((IF((VLOOKUP(B269,MORTALITY!$B$5:$B$1000,1,0))&gt;0,"Died","")),"")</f>
        <v/>
      </c>
      <c r="I269" s="96" t="str">
        <f ca="1">IFERROR(
   IF(LOOKUP(2,1/((ILLNESS!$B$6:$B$1000=B269)*(ILLNESS!$L$6:$L$1000&lt;&gt;"")),
            ILLNESS!$L$6:$L$1000)="No",
      "Sick",""),
"")</f>
        <v/>
      </c>
      <c r="J269" s="104"/>
      <c r="K269" s="97" t="str">
        <f t="shared" ca="1" si="17"/>
        <v/>
      </c>
      <c r="L269" s="97" t="str">
        <f t="shared" ca="1" si="18"/>
        <v/>
      </c>
      <c r="M269" s="76"/>
      <c r="N269" s="76"/>
      <c r="O269" s="76"/>
      <c r="P269" s="76"/>
      <c r="Q269" s="76"/>
      <c r="R269" s="76"/>
      <c r="S269" s="104"/>
      <c r="T269" s="104"/>
      <c r="U269" s="106"/>
      <c r="V269" s="98" t="str">
        <f>IF(OR(G269="Sold",H269="Died"),IF(G269="Sold",VLOOKUP(B269,SALE!$B$5:$J$1000,6,0),IF(H269="Died",VLOOKUP(B269,MORTALITY!$B$5:$K$1000,5,0),"")),"")</f>
        <v/>
      </c>
      <c r="W269" s="76"/>
    </row>
    <row r="270" spans="1:23">
      <c r="A270" s="93">
        <f t="shared" si="19"/>
        <v>266</v>
      </c>
      <c r="B270" s="94"/>
      <c r="C270" s="76"/>
      <c r="D270" s="76"/>
      <c r="E270" s="76"/>
      <c r="F270" s="94" t="str">
        <f t="shared" ca="1" si="16"/>
        <v/>
      </c>
      <c r="G270" s="96" t="str">
        <f>IFERROR((IF((VLOOKUP(B270,SALE!$B$5:$B$1000,1,0))&gt;0,"Sold","")),"")</f>
        <v/>
      </c>
      <c r="H270" s="96" t="str">
        <f>IFERROR((IF((VLOOKUP(B270,MORTALITY!$B$5:$B$1000,1,0))&gt;0,"Died","")),"")</f>
        <v/>
      </c>
      <c r="I270" s="96" t="str">
        <f ca="1">IFERROR(
   IF(LOOKUP(2,1/((ILLNESS!$B$6:$B$1000=B270)*(ILLNESS!$L$6:$L$1000&lt;&gt;"")),
            ILLNESS!$L$6:$L$1000)="No",
      "Sick",""),
"")</f>
        <v/>
      </c>
      <c r="J270" s="104"/>
      <c r="K270" s="97" t="str">
        <f t="shared" ca="1" si="17"/>
        <v/>
      </c>
      <c r="L270" s="97" t="str">
        <f t="shared" ca="1" si="18"/>
        <v/>
      </c>
      <c r="M270" s="76"/>
      <c r="N270" s="76"/>
      <c r="O270" s="76"/>
      <c r="P270" s="76"/>
      <c r="Q270" s="76"/>
      <c r="R270" s="76"/>
      <c r="S270" s="104"/>
      <c r="T270" s="104"/>
      <c r="U270" s="106"/>
      <c r="V270" s="98" t="str">
        <f>IF(OR(G270="Sold",H270="Died"),IF(G270="Sold",VLOOKUP(B270,SALE!$B$5:$J$1000,6,0),IF(H270="Died",VLOOKUP(B270,MORTALITY!$B$5:$K$1000,5,0),"")),"")</f>
        <v/>
      </c>
      <c r="W270" s="76"/>
    </row>
    <row r="271" spans="1:23">
      <c r="A271" s="93">
        <f t="shared" si="19"/>
        <v>267</v>
      </c>
      <c r="B271" s="94"/>
      <c r="C271" s="76"/>
      <c r="D271" s="76"/>
      <c r="E271" s="76"/>
      <c r="F271" s="94" t="str">
        <f t="shared" ca="1" si="16"/>
        <v/>
      </c>
      <c r="G271" s="96" t="str">
        <f>IFERROR((IF((VLOOKUP(B271,SALE!$B$5:$B$1000,1,0))&gt;0,"Sold","")),"")</f>
        <v/>
      </c>
      <c r="H271" s="96" t="str">
        <f>IFERROR((IF((VLOOKUP(B271,MORTALITY!$B$5:$B$1000,1,0))&gt;0,"Died","")),"")</f>
        <v/>
      </c>
      <c r="I271" s="96" t="str">
        <f ca="1">IFERROR(
   IF(LOOKUP(2,1/((ILLNESS!$B$6:$B$1000=B271)*(ILLNESS!$L$6:$L$1000&lt;&gt;"")),
            ILLNESS!$L$6:$L$1000)="No",
      "Sick",""),
"")</f>
        <v/>
      </c>
      <c r="J271" s="104"/>
      <c r="K271" s="97" t="str">
        <f t="shared" ca="1" si="17"/>
        <v/>
      </c>
      <c r="L271" s="97" t="str">
        <f t="shared" ca="1" si="18"/>
        <v/>
      </c>
      <c r="M271" s="76"/>
      <c r="N271" s="76"/>
      <c r="O271" s="76"/>
      <c r="P271" s="76"/>
      <c r="Q271" s="76"/>
      <c r="R271" s="76"/>
      <c r="S271" s="104"/>
      <c r="T271" s="104"/>
      <c r="U271" s="106"/>
      <c r="V271" s="98" t="str">
        <f>IF(OR(G271="Sold",H271="Died"),IF(G271="Sold",VLOOKUP(B271,SALE!$B$5:$J$1000,6,0),IF(H271="Died",VLOOKUP(B271,MORTALITY!$B$5:$K$1000,5,0),"")),"")</f>
        <v/>
      </c>
      <c r="W271" s="76"/>
    </row>
    <row r="272" spans="1:23">
      <c r="A272" s="93">
        <f t="shared" si="19"/>
        <v>268</v>
      </c>
      <c r="B272" s="94"/>
      <c r="C272" s="76"/>
      <c r="D272" s="76"/>
      <c r="E272" s="76"/>
      <c r="F272" s="94" t="str">
        <f t="shared" ca="1" si="16"/>
        <v/>
      </c>
      <c r="G272" s="96" t="str">
        <f>IFERROR((IF((VLOOKUP(B272,SALE!$B$5:$B$1000,1,0))&gt;0,"Sold","")),"")</f>
        <v/>
      </c>
      <c r="H272" s="96" t="str">
        <f>IFERROR((IF((VLOOKUP(B272,MORTALITY!$B$5:$B$1000,1,0))&gt;0,"Died","")),"")</f>
        <v/>
      </c>
      <c r="I272" s="96" t="str">
        <f ca="1">IFERROR(
   IF(LOOKUP(2,1/((ILLNESS!$B$6:$B$1000=B272)*(ILLNESS!$L$6:$L$1000&lt;&gt;"")),
            ILLNESS!$L$6:$L$1000)="No",
      "Sick",""),
"")</f>
        <v/>
      </c>
      <c r="J272" s="104"/>
      <c r="K272" s="97" t="str">
        <f t="shared" ca="1" si="17"/>
        <v/>
      </c>
      <c r="L272" s="97" t="str">
        <f t="shared" ca="1" si="18"/>
        <v/>
      </c>
      <c r="M272" s="76"/>
      <c r="N272" s="76"/>
      <c r="O272" s="76"/>
      <c r="P272" s="76"/>
      <c r="Q272" s="76"/>
      <c r="R272" s="76"/>
      <c r="S272" s="104"/>
      <c r="T272" s="104"/>
      <c r="U272" s="106"/>
      <c r="V272" s="98" t="str">
        <f>IF(OR(G272="Sold",H272="Died"),IF(G272="Sold",VLOOKUP(B272,SALE!$B$5:$J$1000,6,0),IF(H272="Died",VLOOKUP(B272,MORTALITY!$B$5:$K$1000,5,0),"")),"")</f>
        <v/>
      </c>
      <c r="W272" s="76"/>
    </row>
    <row r="273" spans="1:23">
      <c r="A273" s="93">
        <f t="shared" si="19"/>
        <v>269</v>
      </c>
      <c r="B273" s="94"/>
      <c r="C273" s="76"/>
      <c r="D273" s="76"/>
      <c r="E273" s="76"/>
      <c r="F273" s="94" t="str">
        <f t="shared" ca="1" si="16"/>
        <v/>
      </c>
      <c r="G273" s="96" t="str">
        <f>IFERROR((IF((VLOOKUP(B273,SALE!$B$5:$B$1000,1,0))&gt;0,"Sold","")),"")</f>
        <v/>
      </c>
      <c r="H273" s="96" t="str">
        <f>IFERROR((IF((VLOOKUP(B273,MORTALITY!$B$5:$B$1000,1,0))&gt;0,"Died","")),"")</f>
        <v/>
      </c>
      <c r="I273" s="96" t="str">
        <f ca="1">IFERROR(
   IF(LOOKUP(2,1/((ILLNESS!$B$6:$B$1000=B273)*(ILLNESS!$L$6:$L$1000&lt;&gt;"")),
            ILLNESS!$L$6:$L$1000)="No",
      "Sick",""),
"")</f>
        <v/>
      </c>
      <c r="J273" s="104"/>
      <c r="K273" s="97" t="str">
        <f t="shared" ca="1" si="17"/>
        <v/>
      </c>
      <c r="L273" s="97" t="str">
        <f t="shared" ca="1" si="18"/>
        <v/>
      </c>
      <c r="M273" s="76"/>
      <c r="N273" s="76"/>
      <c r="O273" s="76"/>
      <c r="P273" s="76"/>
      <c r="Q273" s="76"/>
      <c r="R273" s="76"/>
      <c r="S273" s="104"/>
      <c r="T273" s="104"/>
      <c r="U273" s="106"/>
      <c r="V273" s="98" t="str">
        <f>IF(OR(G273="Sold",H273="Died"),IF(G273="Sold",VLOOKUP(B273,SALE!$B$5:$J$1000,6,0),IF(H273="Died",VLOOKUP(B273,MORTALITY!$B$5:$K$1000,5,0),"")),"")</f>
        <v/>
      </c>
      <c r="W273" s="76"/>
    </row>
    <row r="274" spans="1:23">
      <c r="A274" s="93">
        <f t="shared" si="19"/>
        <v>270</v>
      </c>
      <c r="B274" s="94"/>
      <c r="C274" s="76"/>
      <c r="D274" s="76"/>
      <c r="E274" s="76"/>
      <c r="F274" s="94" t="str">
        <f t="shared" ca="1" si="16"/>
        <v/>
      </c>
      <c r="G274" s="96" t="str">
        <f>IFERROR((IF((VLOOKUP(B274,SALE!$B$5:$B$1000,1,0))&gt;0,"Sold","")),"")</f>
        <v/>
      </c>
      <c r="H274" s="96" t="str">
        <f>IFERROR((IF((VLOOKUP(B274,MORTALITY!$B$5:$B$1000,1,0))&gt;0,"Died","")),"")</f>
        <v/>
      </c>
      <c r="I274" s="96" t="str">
        <f ca="1">IFERROR(
   IF(LOOKUP(2,1/((ILLNESS!$B$6:$B$1000=B274)*(ILLNESS!$L$6:$L$1000&lt;&gt;"")),
            ILLNESS!$L$6:$L$1000)="No",
      "Sick",""),
"")</f>
        <v/>
      </c>
      <c r="J274" s="104"/>
      <c r="K274" s="97" t="str">
        <f t="shared" ca="1" si="17"/>
        <v/>
      </c>
      <c r="L274" s="97" t="str">
        <f t="shared" ca="1" si="18"/>
        <v/>
      </c>
      <c r="M274" s="76"/>
      <c r="N274" s="76"/>
      <c r="O274" s="76"/>
      <c r="P274" s="76"/>
      <c r="Q274" s="76"/>
      <c r="R274" s="76"/>
      <c r="S274" s="104"/>
      <c r="T274" s="104"/>
      <c r="U274" s="106"/>
      <c r="V274" s="98" t="str">
        <f>IF(OR(G274="Sold",H274="Died"),IF(G274="Sold",VLOOKUP(B274,SALE!$B$5:$J$1000,6,0),IF(H274="Died",VLOOKUP(B274,MORTALITY!$B$5:$K$1000,5,0),"")),"")</f>
        <v/>
      </c>
      <c r="W274" s="76"/>
    </row>
    <row r="275" spans="1:23">
      <c r="A275" s="93">
        <f t="shared" si="19"/>
        <v>271</v>
      </c>
      <c r="B275" s="94"/>
      <c r="C275" s="76"/>
      <c r="D275" s="76"/>
      <c r="E275" s="76"/>
      <c r="F275" s="94" t="str">
        <f t="shared" ca="1" si="16"/>
        <v/>
      </c>
      <c r="G275" s="96" t="str">
        <f>IFERROR((IF((VLOOKUP(B275,SALE!$B$5:$B$1000,1,0))&gt;0,"Sold","")),"")</f>
        <v/>
      </c>
      <c r="H275" s="96" t="str">
        <f>IFERROR((IF((VLOOKUP(B275,MORTALITY!$B$5:$B$1000,1,0))&gt;0,"Died","")),"")</f>
        <v/>
      </c>
      <c r="I275" s="96" t="str">
        <f ca="1">IFERROR(
   IF(LOOKUP(2,1/((ILLNESS!$B$6:$B$1000=B275)*(ILLNESS!$L$6:$L$1000&lt;&gt;"")),
            ILLNESS!$L$6:$L$1000)="No",
      "Sick",""),
"")</f>
        <v/>
      </c>
      <c r="J275" s="104"/>
      <c r="K275" s="97" t="str">
        <f t="shared" ca="1" si="17"/>
        <v/>
      </c>
      <c r="L275" s="97" t="str">
        <f t="shared" ca="1" si="18"/>
        <v/>
      </c>
      <c r="M275" s="76"/>
      <c r="N275" s="76"/>
      <c r="O275" s="76"/>
      <c r="P275" s="76"/>
      <c r="Q275" s="76"/>
      <c r="R275" s="76"/>
      <c r="S275" s="104"/>
      <c r="T275" s="104"/>
      <c r="U275" s="106"/>
      <c r="V275" s="98" t="str">
        <f>IF(OR(G275="Sold",H275="Died"),IF(G275="Sold",VLOOKUP(B275,SALE!$B$5:$J$1000,6,0),IF(H275="Died",VLOOKUP(B275,MORTALITY!$B$5:$K$1000,5,0),"")),"")</f>
        <v/>
      </c>
      <c r="W275" s="76"/>
    </row>
    <row r="276" spans="1:23">
      <c r="A276" s="93">
        <f t="shared" si="19"/>
        <v>272</v>
      </c>
      <c r="B276" s="94"/>
      <c r="C276" s="76"/>
      <c r="D276" s="76"/>
      <c r="E276" s="76"/>
      <c r="F276" s="94" t="str">
        <f t="shared" ca="1" si="16"/>
        <v/>
      </c>
      <c r="G276" s="96" t="str">
        <f>IFERROR((IF((VLOOKUP(B276,SALE!$B$5:$B$1000,1,0))&gt;0,"Sold","")),"")</f>
        <v/>
      </c>
      <c r="H276" s="96" t="str">
        <f>IFERROR((IF((VLOOKUP(B276,MORTALITY!$B$5:$B$1000,1,0))&gt;0,"Died","")),"")</f>
        <v/>
      </c>
      <c r="I276" s="96" t="str">
        <f ca="1">IFERROR(
   IF(LOOKUP(2,1/((ILLNESS!$B$6:$B$1000=B276)*(ILLNESS!$L$6:$L$1000&lt;&gt;"")),
            ILLNESS!$L$6:$L$1000)="No",
      "Sick",""),
"")</f>
        <v/>
      </c>
      <c r="J276" s="104"/>
      <c r="K276" s="97" t="str">
        <f t="shared" ca="1" si="17"/>
        <v/>
      </c>
      <c r="L276" s="97" t="str">
        <f t="shared" ca="1" si="18"/>
        <v/>
      </c>
      <c r="M276" s="76"/>
      <c r="N276" s="76"/>
      <c r="O276" s="76"/>
      <c r="P276" s="76"/>
      <c r="Q276" s="76"/>
      <c r="R276" s="76"/>
      <c r="S276" s="104"/>
      <c r="T276" s="104"/>
      <c r="U276" s="106"/>
      <c r="V276" s="98" t="str">
        <f>IF(OR(G276="Sold",H276="Died"),IF(G276="Sold",VLOOKUP(B276,SALE!$B$5:$J$1000,6,0),IF(H276="Died",VLOOKUP(B276,MORTALITY!$B$5:$K$1000,5,0),"")),"")</f>
        <v/>
      </c>
      <c r="W276" s="76"/>
    </row>
    <row r="277" spans="1:23">
      <c r="A277" s="93">
        <f t="shared" si="19"/>
        <v>273</v>
      </c>
      <c r="B277" s="94"/>
      <c r="C277" s="76"/>
      <c r="D277" s="76"/>
      <c r="E277" s="76"/>
      <c r="F277" s="94" t="str">
        <f t="shared" ca="1" si="16"/>
        <v/>
      </c>
      <c r="G277" s="96" t="str">
        <f>IFERROR((IF((VLOOKUP(B277,SALE!$B$5:$B$1000,1,0))&gt;0,"Sold","")),"")</f>
        <v/>
      </c>
      <c r="H277" s="96" t="str">
        <f>IFERROR((IF((VLOOKUP(B277,MORTALITY!$B$5:$B$1000,1,0))&gt;0,"Died","")),"")</f>
        <v/>
      </c>
      <c r="I277" s="96" t="str">
        <f ca="1">IFERROR(
   IF(LOOKUP(2,1/((ILLNESS!$B$6:$B$1000=B277)*(ILLNESS!$L$6:$L$1000&lt;&gt;"")),
            ILLNESS!$L$6:$L$1000)="No",
      "Sick",""),
"")</f>
        <v/>
      </c>
      <c r="J277" s="104"/>
      <c r="K277" s="97" t="str">
        <f t="shared" ca="1" si="17"/>
        <v/>
      </c>
      <c r="L277" s="97" t="str">
        <f t="shared" ca="1" si="18"/>
        <v/>
      </c>
      <c r="M277" s="76"/>
      <c r="N277" s="76"/>
      <c r="O277" s="76"/>
      <c r="P277" s="76"/>
      <c r="Q277" s="76"/>
      <c r="R277" s="76"/>
      <c r="S277" s="104"/>
      <c r="T277" s="104"/>
      <c r="U277" s="106"/>
      <c r="V277" s="98" t="str">
        <f>IF(OR(G277="Sold",H277="Died"),IF(G277="Sold",VLOOKUP(B277,SALE!$B$5:$J$1000,6,0),IF(H277="Died",VLOOKUP(B277,MORTALITY!$B$5:$K$1000,5,0),"")),"")</f>
        <v/>
      </c>
      <c r="W277" s="76"/>
    </row>
    <row r="278" spans="1:23">
      <c r="A278" s="93">
        <f t="shared" si="19"/>
        <v>274</v>
      </c>
      <c r="B278" s="94"/>
      <c r="C278" s="76"/>
      <c r="D278" s="76"/>
      <c r="E278" s="76"/>
      <c r="F278" s="94" t="str">
        <f t="shared" ca="1" si="16"/>
        <v/>
      </c>
      <c r="G278" s="96" t="str">
        <f>IFERROR((IF((VLOOKUP(B278,SALE!$B$5:$B$1000,1,0))&gt;0,"Sold","")),"")</f>
        <v/>
      </c>
      <c r="H278" s="96" t="str">
        <f>IFERROR((IF((VLOOKUP(B278,MORTALITY!$B$5:$B$1000,1,0))&gt;0,"Died","")),"")</f>
        <v/>
      </c>
      <c r="I278" s="96" t="str">
        <f ca="1">IFERROR(
   IF(LOOKUP(2,1/((ILLNESS!$B$6:$B$1000=B278)*(ILLNESS!$L$6:$L$1000&lt;&gt;"")),
            ILLNESS!$L$6:$L$1000)="No",
      "Sick",""),
"")</f>
        <v/>
      </c>
      <c r="J278" s="104"/>
      <c r="K278" s="97" t="str">
        <f t="shared" ca="1" si="17"/>
        <v/>
      </c>
      <c r="L278" s="97" t="str">
        <f t="shared" ca="1" si="18"/>
        <v/>
      </c>
      <c r="M278" s="76"/>
      <c r="N278" s="76"/>
      <c r="O278" s="76"/>
      <c r="P278" s="76"/>
      <c r="Q278" s="76"/>
      <c r="R278" s="76"/>
      <c r="S278" s="104"/>
      <c r="T278" s="104"/>
      <c r="U278" s="106"/>
      <c r="V278" s="98" t="str">
        <f>IF(OR(G278="Sold",H278="Died"),IF(G278="Sold",VLOOKUP(B278,SALE!$B$5:$J$1000,6,0),IF(H278="Died",VLOOKUP(B278,MORTALITY!$B$5:$K$1000,5,0),"")),"")</f>
        <v/>
      </c>
      <c r="W278" s="76"/>
    </row>
    <row r="279" spans="1:23">
      <c r="A279" s="93">
        <f t="shared" si="19"/>
        <v>275</v>
      </c>
      <c r="B279" s="94"/>
      <c r="C279" s="76"/>
      <c r="D279" s="76"/>
      <c r="E279" s="76"/>
      <c r="F279" s="94" t="str">
        <f t="shared" ca="1" si="16"/>
        <v/>
      </c>
      <c r="G279" s="96" t="str">
        <f>IFERROR((IF((VLOOKUP(B279,SALE!$B$5:$B$1000,1,0))&gt;0,"Sold","")),"")</f>
        <v/>
      </c>
      <c r="H279" s="96" t="str">
        <f>IFERROR((IF((VLOOKUP(B279,MORTALITY!$B$5:$B$1000,1,0))&gt;0,"Died","")),"")</f>
        <v/>
      </c>
      <c r="I279" s="96" t="str">
        <f ca="1">IFERROR(
   IF(LOOKUP(2,1/((ILLNESS!$B$6:$B$1000=B279)*(ILLNESS!$L$6:$L$1000&lt;&gt;"")),
            ILLNESS!$L$6:$L$1000)="No",
      "Sick",""),
"")</f>
        <v/>
      </c>
      <c r="J279" s="104"/>
      <c r="K279" s="97" t="str">
        <f t="shared" ca="1" si="17"/>
        <v/>
      </c>
      <c r="L279" s="97" t="str">
        <f t="shared" ca="1" si="18"/>
        <v/>
      </c>
      <c r="M279" s="76"/>
      <c r="N279" s="76"/>
      <c r="O279" s="76"/>
      <c r="P279" s="76"/>
      <c r="Q279" s="76"/>
      <c r="R279" s="76"/>
      <c r="S279" s="104"/>
      <c r="T279" s="104"/>
      <c r="U279" s="106"/>
      <c r="V279" s="98" t="str">
        <f>IF(OR(G279="Sold",H279="Died"),IF(G279="Sold",VLOOKUP(B279,SALE!$B$5:$J$1000,6,0),IF(H279="Died",VLOOKUP(B279,MORTALITY!$B$5:$K$1000,5,0),"")),"")</f>
        <v/>
      </c>
      <c r="W279" s="76"/>
    </row>
    <row r="280" spans="1:23">
      <c r="A280" s="93">
        <f t="shared" si="19"/>
        <v>276</v>
      </c>
      <c r="B280" s="94"/>
      <c r="C280" s="76"/>
      <c r="D280" s="76"/>
      <c r="E280" s="76"/>
      <c r="F280" s="94" t="str">
        <f t="shared" ca="1" si="16"/>
        <v/>
      </c>
      <c r="G280" s="96" t="str">
        <f>IFERROR((IF((VLOOKUP(B280,SALE!$B$5:$B$1000,1,0))&gt;0,"Sold","")),"")</f>
        <v/>
      </c>
      <c r="H280" s="96" t="str">
        <f>IFERROR((IF((VLOOKUP(B280,MORTALITY!$B$5:$B$1000,1,0))&gt;0,"Died","")),"")</f>
        <v/>
      </c>
      <c r="I280" s="96" t="str">
        <f ca="1">IFERROR(
   IF(LOOKUP(2,1/((ILLNESS!$B$6:$B$1000=B280)*(ILLNESS!$L$6:$L$1000&lt;&gt;"")),
            ILLNESS!$L$6:$L$1000)="No",
      "Sick",""),
"")</f>
        <v/>
      </c>
      <c r="J280" s="104"/>
      <c r="K280" s="97" t="str">
        <f t="shared" ca="1" si="17"/>
        <v/>
      </c>
      <c r="L280" s="97" t="str">
        <f t="shared" ca="1" si="18"/>
        <v/>
      </c>
      <c r="M280" s="76"/>
      <c r="N280" s="76"/>
      <c r="O280" s="76"/>
      <c r="P280" s="76"/>
      <c r="Q280" s="76"/>
      <c r="R280" s="76"/>
      <c r="S280" s="104"/>
      <c r="T280" s="104"/>
      <c r="U280" s="106"/>
      <c r="V280" s="98" t="str">
        <f>IF(OR(G280="Sold",H280="Died"),IF(G280="Sold",VLOOKUP(B280,SALE!$B$5:$J$1000,6,0),IF(H280="Died",VLOOKUP(B280,MORTALITY!$B$5:$K$1000,5,0),"")),"")</f>
        <v/>
      </c>
      <c r="W280" s="76"/>
    </row>
    <row r="281" spans="1:23">
      <c r="A281" s="93">
        <f t="shared" si="19"/>
        <v>277</v>
      </c>
      <c r="B281" s="94"/>
      <c r="C281" s="76"/>
      <c r="D281" s="76"/>
      <c r="E281" s="76"/>
      <c r="F281" s="94" t="str">
        <f t="shared" ca="1" si="16"/>
        <v/>
      </c>
      <c r="G281" s="96" t="str">
        <f>IFERROR((IF((VLOOKUP(B281,SALE!$B$5:$B$1000,1,0))&gt;0,"Sold","")),"")</f>
        <v/>
      </c>
      <c r="H281" s="96" t="str">
        <f>IFERROR((IF((VLOOKUP(B281,MORTALITY!$B$5:$B$1000,1,0))&gt;0,"Died","")),"")</f>
        <v/>
      </c>
      <c r="I281" s="96" t="str">
        <f ca="1">IFERROR(
   IF(LOOKUP(2,1/((ILLNESS!$B$6:$B$1000=B281)*(ILLNESS!$L$6:$L$1000&lt;&gt;"")),
            ILLNESS!$L$6:$L$1000)="No",
      "Sick",""),
"")</f>
        <v/>
      </c>
      <c r="J281" s="104"/>
      <c r="K281" s="97" t="str">
        <f t="shared" ca="1" si="17"/>
        <v/>
      </c>
      <c r="L281" s="97" t="str">
        <f t="shared" ca="1" si="18"/>
        <v/>
      </c>
      <c r="M281" s="76"/>
      <c r="N281" s="76"/>
      <c r="O281" s="76"/>
      <c r="P281" s="76"/>
      <c r="Q281" s="76"/>
      <c r="R281" s="76"/>
      <c r="S281" s="104"/>
      <c r="T281" s="104"/>
      <c r="U281" s="106"/>
      <c r="V281" s="98" t="str">
        <f>IF(OR(G281="Sold",H281="Died"),IF(G281="Sold",VLOOKUP(B281,SALE!$B$5:$J$1000,6,0),IF(H281="Died",VLOOKUP(B281,MORTALITY!$B$5:$K$1000,5,0),"")),"")</f>
        <v/>
      </c>
      <c r="W281" s="76"/>
    </row>
    <row r="282" spans="1:23">
      <c r="A282" s="93">
        <f t="shared" si="19"/>
        <v>278</v>
      </c>
      <c r="B282" s="94"/>
      <c r="C282" s="76"/>
      <c r="D282" s="76"/>
      <c r="E282" s="76"/>
      <c r="F282" s="94" t="str">
        <f t="shared" ca="1" si="16"/>
        <v/>
      </c>
      <c r="G282" s="96" t="str">
        <f>IFERROR((IF((VLOOKUP(B282,SALE!$B$5:$B$1000,1,0))&gt;0,"Sold","")),"")</f>
        <v/>
      </c>
      <c r="H282" s="96" t="str">
        <f>IFERROR((IF((VLOOKUP(B282,MORTALITY!$B$5:$B$1000,1,0))&gt;0,"Died","")),"")</f>
        <v/>
      </c>
      <c r="I282" s="96" t="str">
        <f ca="1">IFERROR(
   IF(LOOKUP(2,1/((ILLNESS!$B$6:$B$1000=B282)*(ILLNESS!$L$6:$L$1000&lt;&gt;"")),
            ILLNESS!$L$6:$L$1000)="No",
      "Sick",""),
"")</f>
        <v/>
      </c>
      <c r="J282" s="104"/>
      <c r="K282" s="97" t="str">
        <f t="shared" ca="1" si="17"/>
        <v/>
      </c>
      <c r="L282" s="97" t="str">
        <f t="shared" ca="1" si="18"/>
        <v/>
      </c>
      <c r="M282" s="76"/>
      <c r="N282" s="76"/>
      <c r="O282" s="76"/>
      <c r="P282" s="76"/>
      <c r="Q282" s="76"/>
      <c r="R282" s="76"/>
      <c r="S282" s="104"/>
      <c r="T282" s="104"/>
      <c r="U282" s="106"/>
      <c r="V282" s="98" t="str">
        <f>IF(OR(G282="Sold",H282="Died"),IF(G282="Sold",VLOOKUP(B282,SALE!$B$5:$J$1000,6,0),IF(H282="Died",VLOOKUP(B282,MORTALITY!$B$5:$K$1000,5,0),"")),"")</f>
        <v/>
      </c>
      <c r="W282" s="76"/>
    </row>
    <row r="283" spans="1:23">
      <c r="A283" s="93">
        <f t="shared" si="19"/>
        <v>279</v>
      </c>
      <c r="B283" s="94"/>
      <c r="C283" s="76"/>
      <c r="D283" s="76"/>
      <c r="E283" s="76"/>
      <c r="F283" s="94" t="str">
        <f t="shared" ca="1" si="16"/>
        <v/>
      </c>
      <c r="G283" s="96" t="str">
        <f>IFERROR((IF((VLOOKUP(B283,SALE!$B$5:$B$1000,1,0))&gt;0,"Sold","")),"")</f>
        <v/>
      </c>
      <c r="H283" s="96" t="str">
        <f>IFERROR((IF((VLOOKUP(B283,MORTALITY!$B$5:$B$1000,1,0))&gt;0,"Died","")),"")</f>
        <v/>
      </c>
      <c r="I283" s="96" t="str">
        <f ca="1">IFERROR(
   IF(LOOKUP(2,1/((ILLNESS!$B$6:$B$1000=B283)*(ILLNESS!$L$6:$L$1000&lt;&gt;"")),
            ILLNESS!$L$6:$L$1000)="No",
      "Sick",""),
"")</f>
        <v/>
      </c>
      <c r="J283" s="104"/>
      <c r="K283" s="97" t="str">
        <f t="shared" ca="1" si="17"/>
        <v/>
      </c>
      <c r="L283" s="97" t="str">
        <f t="shared" ca="1" si="18"/>
        <v/>
      </c>
      <c r="M283" s="76"/>
      <c r="N283" s="76"/>
      <c r="O283" s="76"/>
      <c r="P283" s="76"/>
      <c r="Q283" s="76"/>
      <c r="R283" s="76"/>
      <c r="S283" s="104"/>
      <c r="T283" s="104"/>
      <c r="U283" s="106"/>
      <c r="V283" s="98" t="str">
        <f>IF(OR(G283="Sold",H283="Died"),IF(G283="Sold",VLOOKUP(B283,SALE!$B$5:$J$1000,6,0),IF(H283="Died",VLOOKUP(B283,MORTALITY!$B$5:$K$1000,5,0),"")),"")</f>
        <v/>
      </c>
      <c r="W283" s="76"/>
    </row>
    <row r="284" spans="1:23">
      <c r="A284" s="93">
        <f t="shared" si="19"/>
        <v>280</v>
      </c>
      <c r="B284" s="94"/>
      <c r="C284" s="76"/>
      <c r="D284" s="76"/>
      <c r="E284" s="76"/>
      <c r="F284" s="94" t="str">
        <f t="shared" ca="1" si="16"/>
        <v/>
      </c>
      <c r="G284" s="96" t="str">
        <f>IFERROR((IF((VLOOKUP(B284,SALE!$B$5:$B$1000,1,0))&gt;0,"Sold","")),"")</f>
        <v/>
      </c>
      <c r="H284" s="96" t="str">
        <f>IFERROR((IF((VLOOKUP(B284,MORTALITY!$B$5:$B$1000,1,0))&gt;0,"Died","")),"")</f>
        <v/>
      </c>
      <c r="I284" s="96" t="str">
        <f ca="1">IFERROR(
   IF(LOOKUP(2,1/((ILLNESS!$B$6:$B$1000=B284)*(ILLNESS!$L$6:$L$1000&lt;&gt;"")),
            ILLNESS!$L$6:$L$1000)="No",
      "Sick",""),
"")</f>
        <v/>
      </c>
      <c r="J284" s="104"/>
      <c r="K284" s="97" t="str">
        <f t="shared" ca="1" si="17"/>
        <v/>
      </c>
      <c r="L284" s="97" t="str">
        <f t="shared" ca="1" si="18"/>
        <v/>
      </c>
      <c r="M284" s="76"/>
      <c r="N284" s="76"/>
      <c r="O284" s="76"/>
      <c r="P284" s="76"/>
      <c r="Q284" s="76"/>
      <c r="R284" s="76"/>
      <c r="S284" s="104"/>
      <c r="T284" s="104"/>
      <c r="U284" s="106"/>
      <c r="V284" s="98" t="str">
        <f>IF(OR(G284="Sold",H284="Died"),IF(G284="Sold",VLOOKUP(B284,SALE!$B$5:$J$1000,6,0),IF(H284="Died",VLOOKUP(B284,MORTALITY!$B$5:$K$1000,5,0),"")),"")</f>
        <v/>
      </c>
      <c r="W284" s="76"/>
    </row>
    <row r="285" spans="1:23">
      <c r="A285" s="93">
        <f t="shared" si="19"/>
        <v>281</v>
      </c>
      <c r="B285" s="94"/>
      <c r="C285" s="76"/>
      <c r="D285" s="76"/>
      <c r="E285" s="76"/>
      <c r="F285" s="94" t="str">
        <f t="shared" ca="1" si="16"/>
        <v/>
      </c>
      <c r="G285" s="96" t="str">
        <f>IFERROR((IF((VLOOKUP(B285,SALE!$B$5:$B$1000,1,0))&gt;0,"Sold","")),"")</f>
        <v/>
      </c>
      <c r="H285" s="96" t="str">
        <f>IFERROR((IF((VLOOKUP(B285,MORTALITY!$B$5:$B$1000,1,0))&gt;0,"Died","")),"")</f>
        <v/>
      </c>
      <c r="I285" s="96" t="str">
        <f ca="1">IFERROR(
   IF(LOOKUP(2,1/((ILLNESS!$B$6:$B$1000=B285)*(ILLNESS!$L$6:$L$1000&lt;&gt;"")),
            ILLNESS!$L$6:$L$1000)="No",
      "Sick",""),
"")</f>
        <v/>
      </c>
      <c r="J285" s="104"/>
      <c r="K285" s="97" t="str">
        <f t="shared" ca="1" si="17"/>
        <v/>
      </c>
      <c r="L285" s="97" t="str">
        <f t="shared" ca="1" si="18"/>
        <v/>
      </c>
      <c r="M285" s="76"/>
      <c r="N285" s="76"/>
      <c r="O285" s="76"/>
      <c r="P285" s="76"/>
      <c r="Q285" s="76"/>
      <c r="R285" s="76"/>
      <c r="S285" s="104"/>
      <c r="T285" s="104"/>
      <c r="U285" s="106"/>
      <c r="V285" s="98" t="str">
        <f>IF(OR(G285="Sold",H285="Died"),IF(G285="Sold",VLOOKUP(B285,SALE!$B$5:$J$1000,6,0),IF(H285="Died",VLOOKUP(B285,MORTALITY!$B$5:$K$1000,5,0),"")),"")</f>
        <v/>
      </c>
      <c r="W285" s="76"/>
    </row>
    <row r="286" spans="1:23">
      <c r="A286" s="93">
        <f t="shared" si="19"/>
        <v>282</v>
      </c>
      <c r="B286" s="94"/>
      <c r="C286" s="76"/>
      <c r="D286" s="76"/>
      <c r="E286" s="76"/>
      <c r="F286" s="94" t="str">
        <f t="shared" ca="1" si="16"/>
        <v/>
      </c>
      <c r="G286" s="96" t="str">
        <f>IFERROR((IF((VLOOKUP(B286,SALE!$B$5:$B$1000,1,0))&gt;0,"Sold","")),"")</f>
        <v/>
      </c>
      <c r="H286" s="96" t="str">
        <f>IFERROR((IF((VLOOKUP(B286,MORTALITY!$B$5:$B$1000,1,0))&gt;0,"Died","")),"")</f>
        <v/>
      </c>
      <c r="I286" s="96" t="str">
        <f ca="1">IFERROR(
   IF(LOOKUP(2,1/((ILLNESS!$B$6:$B$1000=B286)*(ILLNESS!$L$6:$L$1000&lt;&gt;"")),
            ILLNESS!$L$6:$L$1000)="No",
      "Sick",""),
"")</f>
        <v/>
      </c>
      <c r="J286" s="104"/>
      <c r="K286" s="97" t="str">
        <f t="shared" ca="1" si="17"/>
        <v/>
      </c>
      <c r="L286" s="97" t="str">
        <f t="shared" ca="1" si="18"/>
        <v/>
      </c>
      <c r="M286" s="76"/>
      <c r="N286" s="76"/>
      <c r="O286" s="76"/>
      <c r="P286" s="76"/>
      <c r="Q286" s="76"/>
      <c r="R286" s="76"/>
      <c r="S286" s="104"/>
      <c r="T286" s="104"/>
      <c r="U286" s="106"/>
      <c r="V286" s="98" t="str">
        <f>IF(OR(G286="Sold",H286="Died"),IF(G286="Sold",VLOOKUP(B286,SALE!$B$5:$J$1000,6,0),IF(H286="Died",VLOOKUP(B286,MORTALITY!$B$5:$K$1000,5,0),"")),"")</f>
        <v/>
      </c>
      <c r="W286" s="76"/>
    </row>
    <row r="287" spans="1:23">
      <c r="A287" s="93">
        <f t="shared" si="19"/>
        <v>283</v>
      </c>
      <c r="B287" s="94"/>
      <c r="C287" s="76"/>
      <c r="D287" s="76"/>
      <c r="E287" s="76"/>
      <c r="F287" s="94" t="str">
        <f t="shared" ca="1" si="16"/>
        <v/>
      </c>
      <c r="G287" s="96" t="str">
        <f>IFERROR((IF((VLOOKUP(B287,SALE!$B$5:$B$1000,1,0))&gt;0,"Sold","")),"")</f>
        <v/>
      </c>
      <c r="H287" s="96" t="str">
        <f>IFERROR((IF((VLOOKUP(B287,MORTALITY!$B$5:$B$1000,1,0))&gt;0,"Died","")),"")</f>
        <v/>
      </c>
      <c r="I287" s="96" t="str">
        <f ca="1">IFERROR(
   IF(LOOKUP(2,1/((ILLNESS!$B$6:$B$1000=B287)*(ILLNESS!$L$6:$L$1000&lt;&gt;"")),
            ILLNESS!$L$6:$L$1000)="No",
      "Sick",""),
"")</f>
        <v/>
      </c>
      <c r="J287" s="104"/>
      <c r="K287" s="97" t="str">
        <f t="shared" ca="1" si="17"/>
        <v/>
      </c>
      <c r="L287" s="97" t="str">
        <f t="shared" ca="1" si="18"/>
        <v/>
      </c>
      <c r="M287" s="76"/>
      <c r="N287" s="76"/>
      <c r="O287" s="76"/>
      <c r="P287" s="76"/>
      <c r="Q287" s="76"/>
      <c r="R287" s="76"/>
      <c r="S287" s="104"/>
      <c r="T287" s="104"/>
      <c r="U287" s="106"/>
      <c r="V287" s="98" t="str">
        <f>IF(OR(G287="Sold",H287="Died"),IF(G287="Sold",VLOOKUP(B287,SALE!$B$5:$J$1000,6,0),IF(H287="Died",VLOOKUP(B287,MORTALITY!$B$5:$K$1000,5,0),"")),"")</f>
        <v/>
      </c>
      <c r="W287" s="76"/>
    </row>
    <row r="288" spans="1:23">
      <c r="A288" s="93">
        <f t="shared" si="19"/>
        <v>284</v>
      </c>
      <c r="B288" s="94"/>
      <c r="C288" s="76"/>
      <c r="D288" s="76"/>
      <c r="E288" s="76"/>
      <c r="F288" s="94" t="str">
        <f t="shared" ca="1" si="16"/>
        <v/>
      </c>
      <c r="G288" s="96" t="str">
        <f>IFERROR((IF((VLOOKUP(B288,SALE!$B$5:$B$1000,1,0))&gt;0,"Sold","")),"")</f>
        <v/>
      </c>
      <c r="H288" s="96" t="str">
        <f>IFERROR((IF((VLOOKUP(B288,MORTALITY!$B$5:$B$1000,1,0))&gt;0,"Died","")),"")</f>
        <v/>
      </c>
      <c r="I288" s="96" t="str">
        <f ca="1">IFERROR(
   IF(LOOKUP(2,1/((ILLNESS!$B$6:$B$1000=B288)*(ILLNESS!$L$6:$L$1000&lt;&gt;"")),
            ILLNESS!$L$6:$L$1000)="No",
      "Sick",""),
"")</f>
        <v/>
      </c>
      <c r="J288" s="104"/>
      <c r="K288" s="97" t="str">
        <f t="shared" ca="1" si="17"/>
        <v/>
      </c>
      <c r="L288" s="97" t="str">
        <f t="shared" ca="1" si="18"/>
        <v/>
      </c>
      <c r="M288" s="76"/>
      <c r="N288" s="76"/>
      <c r="O288" s="76"/>
      <c r="P288" s="76"/>
      <c r="Q288" s="76"/>
      <c r="R288" s="76"/>
      <c r="S288" s="104"/>
      <c r="T288" s="104"/>
      <c r="U288" s="106"/>
      <c r="V288" s="98" t="str">
        <f>IF(OR(G288="Sold",H288="Died"),IF(G288="Sold",VLOOKUP(B288,SALE!$B$5:$J$1000,6,0),IF(H288="Died",VLOOKUP(B288,MORTALITY!$B$5:$K$1000,5,0),"")),"")</f>
        <v/>
      </c>
      <c r="W288" s="76"/>
    </row>
    <row r="289" spans="1:23">
      <c r="A289" s="93">
        <f t="shared" si="19"/>
        <v>285</v>
      </c>
      <c r="B289" s="94"/>
      <c r="C289" s="76"/>
      <c r="D289" s="76"/>
      <c r="E289" s="76"/>
      <c r="F289" s="94" t="str">
        <f t="shared" ca="1" si="16"/>
        <v/>
      </c>
      <c r="G289" s="96" t="str">
        <f>IFERROR((IF((VLOOKUP(B289,SALE!$B$5:$B$1000,1,0))&gt;0,"Sold","")),"")</f>
        <v/>
      </c>
      <c r="H289" s="96" t="str">
        <f>IFERROR((IF((VLOOKUP(B289,MORTALITY!$B$5:$B$1000,1,0))&gt;0,"Died","")),"")</f>
        <v/>
      </c>
      <c r="I289" s="96" t="str">
        <f ca="1">IFERROR(
   IF(LOOKUP(2,1/((ILLNESS!$B$6:$B$1000=B289)*(ILLNESS!$L$6:$L$1000&lt;&gt;"")),
            ILLNESS!$L$6:$L$1000)="No",
      "Sick",""),
"")</f>
        <v/>
      </c>
      <c r="J289" s="104"/>
      <c r="K289" s="97" t="str">
        <f t="shared" ca="1" si="17"/>
        <v/>
      </c>
      <c r="L289" s="97" t="str">
        <f t="shared" ca="1" si="18"/>
        <v/>
      </c>
      <c r="M289" s="76"/>
      <c r="N289" s="76"/>
      <c r="O289" s="76"/>
      <c r="P289" s="76"/>
      <c r="Q289" s="76"/>
      <c r="R289" s="76"/>
      <c r="S289" s="104"/>
      <c r="T289" s="104"/>
      <c r="U289" s="106"/>
      <c r="V289" s="98" t="str">
        <f>IF(OR(G289="Sold",H289="Died"),IF(G289="Sold",VLOOKUP(B289,SALE!$B$5:$J$1000,6,0),IF(H289="Died",VLOOKUP(B289,MORTALITY!$B$5:$K$1000,5,0),"")),"")</f>
        <v/>
      </c>
      <c r="W289" s="76"/>
    </row>
    <row r="290" spans="1:23">
      <c r="A290" s="93">
        <f t="shared" si="19"/>
        <v>286</v>
      </c>
      <c r="B290" s="94"/>
      <c r="C290" s="76"/>
      <c r="D290" s="76"/>
      <c r="E290" s="76"/>
      <c r="F290" s="94" t="str">
        <f t="shared" ca="1" si="16"/>
        <v/>
      </c>
      <c r="G290" s="96" t="str">
        <f>IFERROR((IF((VLOOKUP(B290,SALE!$B$5:$B$1000,1,0))&gt;0,"Sold","")),"")</f>
        <v/>
      </c>
      <c r="H290" s="96" t="str">
        <f>IFERROR((IF((VLOOKUP(B290,MORTALITY!$B$5:$B$1000,1,0))&gt;0,"Died","")),"")</f>
        <v/>
      </c>
      <c r="I290" s="96" t="str">
        <f ca="1">IFERROR(
   IF(LOOKUP(2,1/((ILLNESS!$B$6:$B$1000=B290)*(ILLNESS!$L$6:$L$1000&lt;&gt;"")),
            ILLNESS!$L$6:$L$1000)="No",
      "Sick",""),
"")</f>
        <v/>
      </c>
      <c r="J290" s="104"/>
      <c r="K290" s="97" t="str">
        <f t="shared" ca="1" si="17"/>
        <v/>
      </c>
      <c r="L290" s="97" t="str">
        <f t="shared" ca="1" si="18"/>
        <v/>
      </c>
      <c r="M290" s="76"/>
      <c r="N290" s="76"/>
      <c r="O290" s="76"/>
      <c r="P290" s="76"/>
      <c r="Q290" s="76"/>
      <c r="R290" s="76"/>
      <c r="S290" s="104"/>
      <c r="T290" s="104"/>
      <c r="U290" s="106"/>
      <c r="V290" s="98" t="str">
        <f>IF(OR(G290="Sold",H290="Died"),IF(G290="Sold",VLOOKUP(B290,SALE!$B$5:$J$1000,6,0),IF(H290="Died",VLOOKUP(B290,MORTALITY!$B$5:$K$1000,5,0),"")),"")</f>
        <v/>
      </c>
      <c r="W290" s="76"/>
    </row>
    <row r="291" spans="1:23">
      <c r="A291" s="93">
        <f t="shared" si="19"/>
        <v>287</v>
      </c>
      <c r="B291" s="94"/>
      <c r="C291" s="76"/>
      <c r="D291" s="76"/>
      <c r="E291" s="76"/>
      <c r="F291" s="94" t="str">
        <f t="shared" ca="1" si="16"/>
        <v/>
      </c>
      <c r="G291" s="96" t="str">
        <f>IFERROR((IF((VLOOKUP(B291,SALE!$B$5:$B$1000,1,0))&gt;0,"Sold","")),"")</f>
        <v/>
      </c>
      <c r="H291" s="96" t="str">
        <f>IFERROR((IF((VLOOKUP(B291,MORTALITY!$B$5:$B$1000,1,0))&gt;0,"Died","")),"")</f>
        <v/>
      </c>
      <c r="I291" s="96" t="str">
        <f ca="1">IFERROR(
   IF(LOOKUP(2,1/((ILLNESS!$B$6:$B$1000=B291)*(ILLNESS!$L$6:$L$1000&lt;&gt;"")),
            ILLNESS!$L$6:$L$1000)="No",
      "Sick",""),
"")</f>
        <v/>
      </c>
      <c r="J291" s="104"/>
      <c r="K291" s="97" t="str">
        <f t="shared" ca="1" si="17"/>
        <v/>
      </c>
      <c r="L291" s="97" t="str">
        <f t="shared" ca="1" si="18"/>
        <v/>
      </c>
      <c r="M291" s="76"/>
      <c r="N291" s="76"/>
      <c r="O291" s="76"/>
      <c r="P291" s="76"/>
      <c r="Q291" s="76"/>
      <c r="R291" s="76"/>
      <c r="S291" s="104"/>
      <c r="T291" s="104"/>
      <c r="U291" s="106"/>
      <c r="V291" s="98" t="str">
        <f>IF(OR(G291="Sold",H291="Died"),IF(G291="Sold",VLOOKUP(B291,SALE!$B$5:$J$1000,6,0),IF(H291="Died",VLOOKUP(B291,MORTALITY!$B$5:$K$1000,5,0),"")),"")</f>
        <v/>
      </c>
      <c r="W291" s="76"/>
    </row>
    <row r="292" spans="1:23">
      <c r="A292" s="93">
        <f t="shared" si="19"/>
        <v>288</v>
      </c>
      <c r="B292" s="94"/>
      <c r="C292" s="76"/>
      <c r="D292" s="76"/>
      <c r="E292" s="76"/>
      <c r="F292" s="94" t="str">
        <f t="shared" ca="1" si="16"/>
        <v/>
      </c>
      <c r="G292" s="96" t="str">
        <f>IFERROR((IF((VLOOKUP(B292,SALE!$B$5:$B$1000,1,0))&gt;0,"Sold","")),"")</f>
        <v/>
      </c>
      <c r="H292" s="96" t="str">
        <f>IFERROR((IF((VLOOKUP(B292,MORTALITY!$B$5:$B$1000,1,0))&gt;0,"Died","")),"")</f>
        <v/>
      </c>
      <c r="I292" s="96" t="str">
        <f ca="1">IFERROR(
   IF(LOOKUP(2,1/((ILLNESS!$B$6:$B$1000=B292)*(ILLNESS!$L$6:$L$1000&lt;&gt;"")),
            ILLNESS!$L$6:$L$1000)="No",
      "Sick",""),
"")</f>
        <v/>
      </c>
      <c r="J292" s="104"/>
      <c r="K292" s="97" t="str">
        <f t="shared" ca="1" si="17"/>
        <v/>
      </c>
      <c r="L292" s="97" t="str">
        <f t="shared" ca="1" si="18"/>
        <v/>
      </c>
      <c r="M292" s="76"/>
      <c r="N292" s="76"/>
      <c r="O292" s="76"/>
      <c r="P292" s="76"/>
      <c r="Q292" s="76"/>
      <c r="R292" s="76"/>
      <c r="S292" s="104"/>
      <c r="T292" s="104"/>
      <c r="U292" s="106"/>
      <c r="V292" s="98" t="str">
        <f>IF(OR(G292="Sold",H292="Died"),IF(G292="Sold",VLOOKUP(B292,SALE!$B$5:$J$1000,6,0),IF(H292="Died",VLOOKUP(B292,MORTALITY!$B$5:$K$1000,5,0),"")),"")</f>
        <v/>
      </c>
      <c r="W292" s="76"/>
    </row>
    <row r="293" spans="1:23">
      <c r="A293" s="93">
        <f t="shared" si="19"/>
        <v>289</v>
      </c>
      <c r="B293" s="94"/>
      <c r="C293" s="76"/>
      <c r="D293" s="76"/>
      <c r="E293" s="76"/>
      <c r="F293" s="94" t="str">
        <f t="shared" ca="1" si="16"/>
        <v/>
      </c>
      <c r="G293" s="96" t="str">
        <f>IFERROR((IF((VLOOKUP(B293,SALE!$B$5:$B$1000,1,0))&gt;0,"Sold","")),"")</f>
        <v/>
      </c>
      <c r="H293" s="96" t="str">
        <f>IFERROR((IF((VLOOKUP(B293,MORTALITY!$B$5:$B$1000,1,0))&gt;0,"Died","")),"")</f>
        <v/>
      </c>
      <c r="I293" s="96" t="str">
        <f ca="1">IFERROR(
   IF(LOOKUP(2,1/((ILLNESS!$B$6:$B$1000=B293)*(ILLNESS!$L$6:$L$1000&lt;&gt;"")),
            ILLNESS!$L$6:$L$1000)="No",
      "Sick",""),
"")</f>
        <v/>
      </c>
      <c r="J293" s="104"/>
      <c r="K293" s="97" t="str">
        <f t="shared" ca="1" si="17"/>
        <v/>
      </c>
      <c r="L293" s="97" t="str">
        <f t="shared" ca="1" si="18"/>
        <v/>
      </c>
      <c r="M293" s="76"/>
      <c r="N293" s="76"/>
      <c r="O293" s="76"/>
      <c r="P293" s="76"/>
      <c r="Q293" s="76"/>
      <c r="R293" s="76"/>
      <c r="S293" s="104"/>
      <c r="T293" s="104"/>
      <c r="U293" s="106"/>
      <c r="V293" s="98" t="str">
        <f>IF(OR(G293="Sold",H293="Died"),IF(G293="Sold",VLOOKUP(B293,SALE!$B$5:$J$1000,6,0),IF(H293="Died",VLOOKUP(B293,MORTALITY!$B$5:$K$1000,5,0),"")),"")</f>
        <v/>
      </c>
      <c r="W293" s="76"/>
    </row>
    <row r="294" spans="1:23">
      <c r="A294" s="93">
        <f t="shared" si="19"/>
        <v>290</v>
      </c>
      <c r="B294" s="94"/>
      <c r="C294" s="76"/>
      <c r="D294" s="76"/>
      <c r="E294" s="76"/>
      <c r="F294" s="94" t="str">
        <f t="shared" ca="1" si="16"/>
        <v/>
      </c>
      <c r="G294" s="96" t="str">
        <f>IFERROR((IF((VLOOKUP(B294,SALE!$B$5:$B$1000,1,0))&gt;0,"Sold","")),"")</f>
        <v/>
      </c>
      <c r="H294" s="96" t="str">
        <f>IFERROR((IF((VLOOKUP(B294,MORTALITY!$B$5:$B$1000,1,0))&gt;0,"Died","")),"")</f>
        <v/>
      </c>
      <c r="I294" s="96" t="str">
        <f ca="1">IFERROR(
   IF(LOOKUP(2,1/((ILLNESS!$B$6:$B$1000=B294)*(ILLNESS!$L$6:$L$1000&lt;&gt;"")),
            ILLNESS!$L$6:$L$1000)="No",
      "Sick",""),
"")</f>
        <v/>
      </c>
      <c r="J294" s="104"/>
      <c r="K294" s="97" t="str">
        <f t="shared" ca="1" si="17"/>
        <v/>
      </c>
      <c r="L294" s="97" t="str">
        <f t="shared" ca="1" si="18"/>
        <v/>
      </c>
      <c r="M294" s="76"/>
      <c r="N294" s="76"/>
      <c r="O294" s="76"/>
      <c r="P294" s="76"/>
      <c r="Q294" s="76"/>
      <c r="R294" s="76"/>
      <c r="S294" s="104"/>
      <c r="T294" s="104"/>
      <c r="U294" s="106"/>
      <c r="V294" s="98" t="str">
        <f>IF(OR(G294="Sold",H294="Died"),IF(G294="Sold",VLOOKUP(B294,SALE!$B$5:$J$1000,6,0),IF(H294="Died",VLOOKUP(B294,MORTALITY!$B$5:$K$1000,5,0),"")),"")</f>
        <v/>
      </c>
      <c r="W294" s="76"/>
    </row>
    <row r="295" spans="1:23">
      <c r="A295" s="93">
        <f t="shared" si="19"/>
        <v>291</v>
      </c>
      <c r="B295" s="94"/>
      <c r="C295" s="76"/>
      <c r="D295" s="76"/>
      <c r="E295" s="76"/>
      <c r="F295" s="94" t="str">
        <f t="shared" ca="1" si="16"/>
        <v/>
      </c>
      <c r="G295" s="96" t="str">
        <f>IFERROR((IF((VLOOKUP(B295,SALE!$B$5:$B$1000,1,0))&gt;0,"Sold","")),"")</f>
        <v/>
      </c>
      <c r="H295" s="96" t="str">
        <f>IFERROR((IF((VLOOKUP(B295,MORTALITY!$B$5:$B$1000,1,0))&gt;0,"Died","")),"")</f>
        <v/>
      </c>
      <c r="I295" s="96" t="str">
        <f ca="1">IFERROR(
   IF(LOOKUP(2,1/((ILLNESS!$B$6:$B$1000=B295)*(ILLNESS!$L$6:$L$1000&lt;&gt;"")),
            ILLNESS!$L$6:$L$1000)="No",
      "Sick",""),
"")</f>
        <v/>
      </c>
      <c r="J295" s="104"/>
      <c r="K295" s="97" t="str">
        <f t="shared" ca="1" si="17"/>
        <v/>
      </c>
      <c r="L295" s="97" t="str">
        <f t="shared" ca="1" si="18"/>
        <v/>
      </c>
      <c r="M295" s="76"/>
      <c r="N295" s="76"/>
      <c r="O295" s="76"/>
      <c r="P295" s="76"/>
      <c r="Q295" s="76"/>
      <c r="R295" s="76"/>
      <c r="S295" s="104"/>
      <c r="T295" s="104"/>
      <c r="U295" s="106"/>
      <c r="V295" s="98" t="str">
        <f>IF(OR(G295="Sold",H295="Died"),IF(G295="Sold",VLOOKUP(B295,SALE!$B$5:$J$1000,6,0),IF(H295="Died",VLOOKUP(B295,MORTALITY!$B$5:$K$1000,5,0),"")),"")</f>
        <v/>
      </c>
      <c r="W295" s="76"/>
    </row>
    <row r="296" spans="1:23">
      <c r="A296" s="93">
        <f t="shared" si="19"/>
        <v>292</v>
      </c>
      <c r="B296" s="94"/>
      <c r="C296" s="76"/>
      <c r="D296" s="76"/>
      <c r="E296" s="76"/>
      <c r="F296" s="94" t="str">
        <f t="shared" ca="1" si="16"/>
        <v/>
      </c>
      <c r="G296" s="96" t="str">
        <f>IFERROR((IF((VLOOKUP(B296,SALE!$B$5:$B$1000,1,0))&gt;0,"Sold","")),"")</f>
        <v/>
      </c>
      <c r="H296" s="96" t="str">
        <f>IFERROR((IF((VLOOKUP(B296,MORTALITY!$B$5:$B$1000,1,0))&gt;0,"Died","")),"")</f>
        <v/>
      </c>
      <c r="I296" s="96" t="str">
        <f ca="1">IFERROR(
   IF(LOOKUP(2,1/((ILLNESS!$B$6:$B$1000=B296)*(ILLNESS!$L$6:$L$1000&lt;&gt;"")),
            ILLNESS!$L$6:$L$1000)="No",
      "Sick",""),
"")</f>
        <v/>
      </c>
      <c r="J296" s="104"/>
      <c r="K296" s="97" t="str">
        <f t="shared" ca="1" si="17"/>
        <v/>
      </c>
      <c r="L296" s="97" t="str">
        <f t="shared" ca="1" si="18"/>
        <v/>
      </c>
      <c r="M296" s="76"/>
      <c r="N296" s="76"/>
      <c r="O296" s="76"/>
      <c r="P296" s="76"/>
      <c r="Q296" s="76"/>
      <c r="R296" s="76"/>
      <c r="S296" s="104"/>
      <c r="T296" s="104"/>
      <c r="U296" s="106"/>
      <c r="V296" s="98" t="str">
        <f>IF(OR(G296="Sold",H296="Died"),IF(G296="Sold",VLOOKUP(B296,SALE!$B$5:$J$1000,6,0),IF(H296="Died",VLOOKUP(B296,MORTALITY!$B$5:$K$1000,5,0),"")),"")</f>
        <v/>
      </c>
      <c r="W296" s="76"/>
    </row>
    <row r="297" spans="1:23">
      <c r="A297" s="93">
        <f t="shared" si="19"/>
        <v>293</v>
      </c>
      <c r="B297" s="94"/>
      <c r="C297" s="76"/>
      <c r="D297" s="76"/>
      <c r="E297" s="76"/>
      <c r="F297" s="94" t="str">
        <f t="shared" ca="1" si="16"/>
        <v/>
      </c>
      <c r="G297" s="96" t="str">
        <f>IFERROR((IF((VLOOKUP(B297,SALE!$B$5:$B$1000,1,0))&gt;0,"Sold","")),"")</f>
        <v/>
      </c>
      <c r="H297" s="96" t="str">
        <f>IFERROR((IF((VLOOKUP(B297,MORTALITY!$B$5:$B$1000,1,0))&gt;0,"Died","")),"")</f>
        <v/>
      </c>
      <c r="I297" s="96" t="str">
        <f ca="1">IFERROR(
   IF(LOOKUP(2,1/((ILLNESS!$B$6:$B$1000=B297)*(ILLNESS!$L$6:$L$1000&lt;&gt;"")),
            ILLNESS!$L$6:$L$1000)="No",
      "Sick",""),
"")</f>
        <v/>
      </c>
      <c r="J297" s="104"/>
      <c r="K297" s="97" t="str">
        <f t="shared" ca="1" si="17"/>
        <v/>
      </c>
      <c r="L297" s="97" t="str">
        <f t="shared" ca="1" si="18"/>
        <v/>
      </c>
      <c r="M297" s="76"/>
      <c r="N297" s="76"/>
      <c r="O297" s="76"/>
      <c r="P297" s="76"/>
      <c r="Q297" s="76"/>
      <c r="R297" s="76"/>
      <c r="S297" s="104"/>
      <c r="T297" s="104"/>
      <c r="U297" s="106"/>
      <c r="V297" s="98" t="str">
        <f>IF(OR(G297="Sold",H297="Died"),IF(G297="Sold",VLOOKUP(B297,SALE!$B$5:$J$1000,6,0),IF(H297="Died",VLOOKUP(B297,MORTALITY!$B$5:$K$1000,5,0),"")),"")</f>
        <v/>
      </c>
      <c r="W297" s="76"/>
    </row>
    <row r="298" spans="1:23">
      <c r="A298" s="93">
        <f t="shared" si="19"/>
        <v>294</v>
      </c>
      <c r="B298" s="94"/>
      <c r="C298" s="76"/>
      <c r="D298" s="76"/>
      <c r="E298" s="76"/>
      <c r="F298" s="94" t="str">
        <f t="shared" ca="1" si="16"/>
        <v/>
      </c>
      <c r="G298" s="96" t="str">
        <f>IFERROR((IF((VLOOKUP(B298,SALE!$B$5:$B$1000,1,0))&gt;0,"Sold","")),"")</f>
        <v/>
      </c>
      <c r="H298" s="96" t="str">
        <f>IFERROR((IF((VLOOKUP(B298,MORTALITY!$B$5:$B$1000,1,0))&gt;0,"Died","")),"")</f>
        <v/>
      </c>
      <c r="I298" s="96" t="str">
        <f ca="1">IFERROR(
   IF(LOOKUP(2,1/((ILLNESS!$B$6:$B$1000=B298)*(ILLNESS!$L$6:$L$1000&lt;&gt;"")),
            ILLNESS!$L$6:$L$1000)="No",
      "Sick",""),
"")</f>
        <v/>
      </c>
      <c r="J298" s="104"/>
      <c r="K298" s="97" t="str">
        <f t="shared" ca="1" si="17"/>
        <v/>
      </c>
      <c r="L298" s="97" t="str">
        <f t="shared" ca="1" si="18"/>
        <v/>
      </c>
      <c r="M298" s="76"/>
      <c r="N298" s="76"/>
      <c r="O298" s="76"/>
      <c r="P298" s="76"/>
      <c r="Q298" s="76"/>
      <c r="R298" s="76"/>
      <c r="S298" s="104"/>
      <c r="T298" s="104"/>
      <c r="U298" s="106"/>
      <c r="V298" s="98" t="str">
        <f>IF(OR(G298="Sold",H298="Died"),IF(G298="Sold",VLOOKUP(B298,SALE!$B$5:$J$1000,6,0),IF(H298="Died",VLOOKUP(B298,MORTALITY!$B$5:$K$1000,5,0),"")),"")</f>
        <v/>
      </c>
      <c r="W298" s="76"/>
    </row>
    <row r="299" spans="1:23">
      <c r="A299" s="93">
        <f t="shared" si="19"/>
        <v>295</v>
      </c>
      <c r="B299" s="94"/>
      <c r="C299" s="76"/>
      <c r="D299" s="76"/>
      <c r="E299" s="76"/>
      <c r="F299" s="94" t="str">
        <f t="shared" ca="1" si="16"/>
        <v/>
      </c>
      <c r="G299" s="96" t="str">
        <f>IFERROR((IF((VLOOKUP(B299,SALE!$B$5:$B$1000,1,0))&gt;0,"Sold","")),"")</f>
        <v/>
      </c>
      <c r="H299" s="96" t="str">
        <f>IFERROR((IF((VLOOKUP(B299,MORTALITY!$B$5:$B$1000,1,0))&gt;0,"Died","")),"")</f>
        <v/>
      </c>
      <c r="I299" s="96" t="str">
        <f ca="1">IFERROR(
   IF(LOOKUP(2,1/((ILLNESS!$B$6:$B$1000=B299)*(ILLNESS!$L$6:$L$1000&lt;&gt;"")),
            ILLNESS!$L$6:$L$1000)="No",
      "Sick",""),
"")</f>
        <v/>
      </c>
      <c r="J299" s="104"/>
      <c r="K299" s="97" t="str">
        <f t="shared" ca="1" si="17"/>
        <v/>
      </c>
      <c r="L299" s="97" t="str">
        <f t="shared" ca="1" si="18"/>
        <v/>
      </c>
      <c r="M299" s="76"/>
      <c r="N299" s="76"/>
      <c r="O299" s="76"/>
      <c r="P299" s="76"/>
      <c r="Q299" s="76"/>
      <c r="R299" s="76"/>
      <c r="S299" s="104"/>
      <c r="T299" s="104"/>
      <c r="U299" s="106"/>
      <c r="V299" s="98" t="str">
        <f>IF(OR(G299="Sold",H299="Died"),IF(G299="Sold",VLOOKUP(B299,SALE!$B$5:$J$1000,6,0),IF(H299="Died",VLOOKUP(B299,MORTALITY!$B$5:$K$1000,5,0),"")),"")</f>
        <v/>
      </c>
      <c r="W299" s="76"/>
    </row>
    <row r="300" spans="1:23">
      <c r="A300" s="93">
        <f t="shared" si="19"/>
        <v>296</v>
      </c>
      <c r="B300" s="94"/>
      <c r="C300" s="76"/>
      <c r="D300" s="76"/>
      <c r="E300" s="76"/>
      <c r="F300" s="94" t="str">
        <f t="shared" ca="1" si="16"/>
        <v/>
      </c>
      <c r="G300" s="96" t="str">
        <f>IFERROR((IF((VLOOKUP(B300,SALE!$B$5:$B$1000,1,0))&gt;0,"Sold","")),"")</f>
        <v/>
      </c>
      <c r="H300" s="96" t="str">
        <f>IFERROR((IF((VLOOKUP(B300,MORTALITY!$B$5:$B$1000,1,0))&gt;0,"Died","")),"")</f>
        <v/>
      </c>
      <c r="I300" s="96" t="str">
        <f ca="1">IFERROR(
   IF(LOOKUP(2,1/((ILLNESS!$B$6:$B$1000=B300)*(ILLNESS!$L$6:$L$1000&lt;&gt;"")),
            ILLNESS!$L$6:$L$1000)="No",
      "Sick",""),
"")</f>
        <v/>
      </c>
      <c r="J300" s="104"/>
      <c r="K300" s="97" t="str">
        <f t="shared" ca="1" si="17"/>
        <v/>
      </c>
      <c r="L300" s="97" t="str">
        <f t="shared" ca="1" si="18"/>
        <v/>
      </c>
      <c r="M300" s="76"/>
      <c r="N300" s="76"/>
      <c r="O300" s="76"/>
      <c r="P300" s="76"/>
      <c r="Q300" s="76"/>
      <c r="R300" s="76"/>
      <c r="S300" s="104"/>
      <c r="T300" s="104"/>
      <c r="U300" s="106"/>
      <c r="V300" s="98" t="str">
        <f>IF(OR(G300="Sold",H300="Died"),IF(G300="Sold",VLOOKUP(B300,SALE!$B$5:$J$1000,6,0),IF(H300="Died",VLOOKUP(B300,MORTALITY!$B$5:$K$1000,5,0),"")),"")</f>
        <v/>
      </c>
      <c r="W300" s="76"/>
    </row>
    <row r="301" spans="1:23">
      <c r="A301" s="93">
        <f t="shared" si="19"/>
        <v>297</v>
      </c>
      <c r="B301" s="94"/>
      <c r="C301" s="76"/>
      <c r="D301" s="76"/>
      <c r="E301" s="76"/>
      <c r="F301" s="94" t="str">
        <f t="shared" ca="1" si="16"/>
        <v/>
      </c>
      <c r="G301" s="96" t="str">
        <f>IFERROR((IF((VLOOKUP(B301,SALE!$B$5:$B$1000,1,0))&gt;0,"Sold","")),"")</f>
        <v/>
      </c>
      <c r="H301" s="96" t="str">
        <f>IFERROR((IF((VLOOKUP(B301,MORTALITY!$B$5:$B$1000,1,0))&gt;0,"Died","")),"")</f>
        <v/>
      </c>
      <c r="I301" s="96" t="str">
        <f ca="1">IFERROR(
   IF(LOOKUP(2,1/((ILLNESS!$B$6:$B$1000=B301)*(ILLNESS!$L$6:$L$1000&lt;&gt;"")),
            ILLNESS!$L$6:$L$1000)="No",
      "Sick",""),
"")</f>
        <v/>
      </c>
      <c r="J301" s="104"/>
      <c r="K301" s="97" t="str">
        <f t="shared" ca="1" si="17"/>
        <v/>
      </c>
      <c r="L301" s="97" t="str">
        <f t="shared" ca="1" si="18"/>
        <v/>
      </c>
      <c r="M301" s="76"/>
      <c r="N301" s="76"/>
      <c r="O301" s="76"/>
      <c r="P301" s="76"/>
      <c r="Q301" s="76"/>
      <c r="R301" s="76"/>
      <c r="S301" s="104"/>
      <c r="T301" s="104"/>
      <c r="U301" s="106"/>
      <c r="V301" s="98" t="str">
        <f>IF(OR(G301="Sold",H301="Died"),IF(G301="Sold",VLOOKUP(B301,SALE!$B$5:$J$1000,6,0),IF(H301="Died",VLOOKUP(B301,MORTALITY!$B$5:$K$1000,5,0),"")),"")</f>
        <v/>
      </c>
      <c r="W301" s="76"/>
    </row>
    <row r="302" spans="1:23">
      <c r="A302" s="93">
        <f t="shared" si="19"/>
        <v>298</v>
      </c>
      <c r="B302" s="94"/>
      <c r="C302" s="76"/>
      <c r="D302" s="76"/>
      <c r="E302" s="76"/>
      <c r="F302" s="94" t="str">
        <f t="shared" ca="1" si="16"/>
        <v/>
      </c>
      <c r="G302" s="96" t="str">
        <f>IFERROR((IF((VLOOKUP(B302,SALE!$B$5:$B$1000,1,0))&gt;0,"Sold","")),"")</f>
        <v/>
      </c>
      <c r="H302" s="96" t="str">
        <f>IFERROR((IF((VLOOKUP(B302,MORTALITY!$B$5:$B$1000,1,0))&gt;0,"Died","")),"")</f>
        <v/>
      </c>
      <c r="I302" s="96" t="str">
        <f ca="1">IFERROR(
   IF(LOOKUP(2,1/((ILLNESS!$B$6:$B$1000=B302)*(ILLNESS!$L$6:$L$1000&lt;&gt;"")),
            ILLNESS!$L$6:$L$1000)="No",
      "Sick",""),
"")</f>
        <v/>
      </c>
      <c r="J302" s="104"/>
      <c r="K302" s="97" t="str">
        <f t="shared" ca="1" si="17"/>
        <v/>
      </c>
      <c r="L302" s="97" t="str">
        <f t="shared" ca="1" si="18"/>
        <v/>
      </c>
      <c r="M302" s="76"/>
      <c r="N302" s="76"/>
      <c r="O302" s="76"/>
      <c r="P302" s="76"/>
      <c r="Q302" s="76"/>
      <c r="R302" s="76"/>
      <c r="S302" s="104"/>
      <c r="T302" s="104"/>
      <c r="U302" s="106"/>
      <c r="V302" s="98" t="str">
        <f>IF(OR(G302="Sold",H302="Died"),IF(G302="Sold",VLOOKUP(B302,SALE!$B$5:$J$1000,6,0),IF(H302="Died",VLOOKUP(B302,MORTALITY!$B$5:$K$1000,5,0),"")),"")</f>
        <v/>
      </c>
      <c r="W302" s="76"/>
    </row>
    <row r="303" spans="1:23">
      <c r="A303" s="93">
        <f t="shared" si="19"/>
        <v>299</v>
      </c>
      <c r="B303" s="94"/>
      <c r="C303" s="76"/>
      <c r="D303" s="76"/>
      <c r="E303" s="76"/>
      <c r="F303" s="94" t="str">
        <f t="shared" ca="1" si="16"/>
        <v/>
      </c>
      <c r="G303" s="96" t="str">
        <f>IFERROR((IF((VLOOKUP(B303,SALE!$B$5:$B$1000,1,0))&gt;0,"Sold","")),"")</f>
        <v/>
      </c>
      <c r="H303" s="96" t="str">
        <f>IFERROR((IF((VLOOKUP(B303,MORTALITY!$B$5:$B$1000,1,0))&gt;0,"Died","")),"")</f>
        <v/>
      </c>
      <c r="I303" s="96" t="str">
        <f ca="1">IFERROR(
   IF(LOOKUP(2,1/((ILLNESS!$B$6:$B$1000=B303)*(ILLNESS!$L$6:$L$1000&lt;&gt;"")),
            ILLNESS!$L$6:$L$1000)="No",
      "Sick",""),
"")</f>
        <v/>
      </c>
      <c r="J303" s="104"/>
      <c r="K303" s="97" t="str">
        <f t="shared" ca="1" si="17"/>
        <v/>
      </c>
      <c r="L303" s="97" t="str">
        <f t="shared" ca="1" si="18"/>
        <v/>
      </c>
      <c r="M303" s="76"/>
      <c r="N303" s="76"/>
      <c r="O303" s="76"/>
      <c r="P303" s="76"/>
      <c r="Q303" s="76"/>
      <c r="R303" s="76"/>
      <c r="S303" s="104"/>
      <c r="T303" s="104"/>
      <c r="U303" s="106"/>
      <c r="V303" s="98" t="str">
        <f>IF(OR(G303="Sold",H303="Died"),IF(G303="Sold",VLOOKUP(B303,SALE!$B$5:$J$1000,6,0),IF(H303="Died",VLOOKUP(B303,MORTALITY!$B$5:$K$1000,5,0),"")),"")</f>
        <v/>
      </c>
      <c r="W303" s="76"/>
    </row>
    <row r="304" spans="1:23">
      <c r="A304" s="93">
        <f t="shared" si="19"/>
        <v>300</v>
      </c>
      <c r="B304" s="94"/>
      <c r="C304" s="76"/>
      <c r="D304" s="76"/>
      <c r="E304" s="76"/>
      <c r="F304" s="94" t="str">
        <f t="shared" ca="1" si="16"/>
        <v/>
      </c>
      <c r="G304" s="96" t="str">
        <f>IFERROR((IF((VLOOKUP(B304,SALE!$B$5:$B$1000,1,0))&gt;0,"Sold","")),"")</f>
        <v/>
      </c>
      <c r="H304" s="96" t="str">
        <f>IFERROR((IF((VLOOKUP(B304,MORTALITY!$B$5:$B$1000,1,0))&gt;0,"Died","")),"")</f>
        <v/>
      </c>
      <c r="I304" s="96" t="str">
        <f ca="1">IFERROR(
   IF(LOOKUP(2,1/((ILLNESS!$B$6:$B$1000=B304)*(ILLNESS!$L$6:$L$1000&lt;&gt;"")),
            ILLNESS!$L$6:$L$1000)="No",
      "Sick",""),
"")</f>
        <v/>
      </c>
      <c r="J304" s="104"/>
      <c r="K304" s="97" t="str">
        <f t="shared" ca="1" si="17"/>
        <v/>
      </c>
      <c r="L304" s="97" t="str">
        <f t="shared" ca="1" si="18"/>
        <v/>
      </c>
      <c r="M304" s="76"/>
      <c r="N304" s="76"/>
      <c r="O304" s="76"/>
      <c r="P304" s="76"/>
      <c r="Q304" s="76"/>
      <c r="R304" s="76"/>
      <c r="S304" s="104"/>
      <c r="T304" s="104"/>
      <c r="U304" s="106"/>
      <c r="V304" s="98" t="str">
        <f>IF(OR(G304="Sold",H304="Died"),IF(G304="Sold",VLOOKUP(B304,SALE!$B$5:$J$1000,6,0),IF(H304="Died",VLOOKUP(B304,MORTALITY!$B$5:$K$1000,5,0),"")),"")</f>
        <v/>
      </c>
      <c r="W304" s="76"/>
    </row>
    <row r="305" spans="1:23">
      <c r="A305" s="93">
        <f t="shared" si="19"/>
        <v>301</v>
      </c>
      <c r="B305" s="94"/>
      <c r="C305" s="76"/>
      <c r="D305" s="76"/>
      <c r="E305" s="76"/>
      <c r="F305" s="94" t="str">
        <f t="shared" ca="1" si="16"/>
        <v/>
      </c>
      <c r="G305" s="96" t="str">
        <f>IFERROR((IF((VLOOKUP(B305,SALE!$B$5:$B$1000,1,0))&gt;0,"Sold","")),"")</f>
        <v/>
      </c>
      <c r="H305" s="96" t="str">
        <f>IFERROR((IF((VLOOKUP(B305,MORTALITY!$B$5:$B$1000,1,0))&gt;0,"Died","")),"")</f>
        <v/>
      </c>
      <c r="I305" s="96" t="str">
        <f ca="1">IFERROR(
   IF(LOOKUP(2,1/((ILLNESS!$B$6:$B$1000=B305)*(ILLNESS!$L$6:$L$1000&lt;&gt;"")),
            ILLNESS!$L$6:$L$1000)="No",
      "Sick",""),
"")</f>
        <v/>
      </c>
      <c r="J305" s="104"/>
      <c r="K305" s="97" t="str">
        <f t="shared" ca="1" si="17"/>
        <v/>
      </c>
      <c r="L305" s="97" t="str">
        <f t="shared" ca="1" si="18"/>
        <v/>
      </c>
      <c r="M305" s="76"/>
      <c r="N305" s="76"/>
      <c r="O305" s="76"/>
      <c r="P305" s="76"/>
      <c r="Q305" s="76"/>
      <c r="R305" s="76"/>
      <c r="S305" s="104"/>
      <c r="T305" s="104"/>
      <c r="U305" s="106"/>
      <c r="V305" s="98" t="str">
        <f>IF(OR(G305="Sold",H305="Died"),IF(G305="Sold",VLOOKUP(B305,SALE!$B$5:$J$1000,6,0),IF(H305="Died",VLOOKUP(B305,MORTALITY!$B$5:$K$1000,5,0),"")),"")</f>
        <v/>
      </c>
      <c r="W305" s="76"/>
    </row>
    <row r="306" spans="1:23">
      <c r="A306" s="93">
        <f t="shared" si="19"/>
        <v>302</v>
      </c>
      <c r="B306" s="94"/>
      <c r="C306" s="76"/>
      <c r="D306" s="76"/>
      <c r="E306" s="76"/>
      <c r="F306" s="94" t="str">
        <f t="shared" ca="1" si="16"/>
        <v/>
      </c>
      <c r="G306" s="96" t="str">
        <f>IFERROR((IF((VLOOKUP(B306,SALE!$B$5:$B$1000,1,0))&gt;0,"Sold","")),"")</f>
        <v/>
      </c>
      <c r="H306" s="96" t="str">
        <f>IFERROR((IF((VLOOKUP(B306,MORTALITY!$B$5:$B$1000,1,0))&gt;0,"Died","")),"")</f>
        <v/>
      </c>
      <c r="I306" s="96" t="str">
        <f ca="1">IFERROR(
   IF(LOOKUP(2,1/((ILLNESS!$B$6:$B$1000=B306)*(ILLNESS!$L$6:$L$1000&lt;&gt;"")),
            ILLNESS!$L$6:$L$1000)="No",
      "Sick",""),
"")</f>
        <v/>
      </c>
      <c r="J306" s="104"/>
      <c r="K306" s="97" t="str">
        <f t="shared" ca="1" si="17"/>
        <v/>
      </c>
      <c r="L306" s="97" t="str">
        <f t="shared" ca="1" si="18"/>
        <v/>
      </c>
      <c r="M306" s="76"/>
      <c r="N306" s="76"/>
      <c r="O306" s="76"/>
      <c r="P306" s="76"/>
      <c r="Q306" s="76"/>
      <c r="R306" s="76"/>
      <c r="S306" s="104"/>
      <c r="T306" s="104"/>
      <c r="U306" s="106"/>
      <c r="V306" s="98" t="str">
        <f>IF(OR(G306="Sold",H306="Died"),IF(G306="Sold",VLOOKUP(B306,SALE!$B$5:$J$1000,6,0),IF(H306="Died",VLOOKUP(B306,MORTALITY!$B$5:$K$1000,5,0),"")),"")</f>
        <v/>
      </c>
      <c r="W306" s="76"/>
    </row>
    <row r="307" spans="1:23">
      <c r="A307" s="93">
        <f t="shared" si="19"/>
        <v>303</v>
      </c>
      <c r="B307" s="94"/>
      <c r="C307" s="76"/>
      <c r="D307" s="76"/>
      <c r="E307" s="76"/>
      <c r="F307" s="94" t="str">
        <f t="shared" ca="1" si="16"/>
        <v/>
      </c>
      <c r="G307" s="96" t="str">
        <f>IFERROR((IF((VLOOKUP(B307,SALE!$B$5:$B$1000,1,0))&gt;0,"Sold","")),"")</f>
        <v/>
      </c>
      <c r="H307" s="96" t="str">
        <f>IFERROR((IF((VLOOKUP(B307,MORTALITY!$B$5:$B$1000,1,0))&gt;0,"Died","")),"")</f>
        <v/>
      </c>
      <c r="I307" s="96" t="str">
        <f ca="1">IFERROR(
   IF(LOOKUP(2,1/((ILLNESS!$B$6:$B$1000=B307)*(ILLNESS!$L$6:$L$1000&lt;&gt;"")),
            ILLNESS!$L$6:$L$1000)="No",
      "Sick",""),
"")</f>
        <v/>
      </c>
      <c r="J307" s="104"/>
      <c r="K307" s="97" t="str">
        <f t="shared" ca="1" si="17"/>
        <v/>
      </c>
      <c r="L307" s="97" t="str">
        <f t="shared" ca="1" si="18"/>
        <v/>
      </c>
      <c r="M307" s="76"/>
      <c r="N307" s="76"/>
      <c r="O307" s="76"/>
      <c r="P307" s="76"/>
      <c r="Q307" s="76"/>
      <c r="R307" s="76"/>
      <c r="S307" s="104"/>
      <c r="T307" s="104"/>
      <c r="U307" s="106"/>
      <c r="V307" s="98" t="str">
        <f>IF(OR(G307="Sold",H307="Died"),IF(G307="Sold",VLOOKUP(B307,SALE!$B$5:$J$1000,6,0),IF(H307="Died",VLOOKUP(B307,MORTALITY!$B$5:$K$1000,5,0),"")),"")</f>
        <v/>
      </c>
      <c r="W307" s="76"/>
    </row>
    <row r="308" spans="1:23">
      <c r="A308" s="93">
        <f t="shared" si="19"/>
        <v>304</v>
      </c>
      <c r="B308" s="94"/>
      <c r="C308" s="76"/>
      <c r="D308" s="76"/>
      <c r="E308" s="76"/>
      <c r="F308" s="94" t="str">
        <f t="shared" ca="1" si="16"/>
        <v/>
      </c>
      <c r="G308" s="96" t="str">
        <f>IFERROR((IF((VLOOKUP(B308,SALE!$B$5:$B$1000,1,0))&gt;0,"Sold","")),"")</f>
        <v/>
      </c>
      <c r="H308" s="96" t="str">
        <f>IFERROR((IF((VLOOKUP(B308,MORTALITY!$B$5:$B$1000,1,0))&gt;0,"Died","")),"")</f>
        <v/>
      </c>
      <c r="I308" s="96" t="str">
        <f ca="1">IFERROR(
   IF(LOOKUP(2,1/((ILLNESS!$B$6:$B$1000=B308)*(ILLNESS!$L$6:$L$1000&lt;&gt;"")),
            ILLNESS!$L$6:$L$1000)="No",
      "Sick",""),
"")</f>
        <v/>
      </c>
      <c r="J308" s="104"/>
      <c r="K308" s="97" t="str">
        <f t="shared" ca="1" si="17"/>
        <v/>
      </c>
      <c r="L308" s="97" t="str">
        <f t="shared" ca="1" si="18"/>
        <v/>
      </c>
      <c r="M308" s="76"/>
      <c r="N308" s="76"/>
      <c r="O308" s="76"/>
      <c r="P308" s="76"/>
      <c r="Q308" s="76"/>
      <c r="R308" s="76"/>
      <c r="S308" s="104"/>
      <c r="T308" s="104"/>
      <c r="U308" s="106"/>
      <c r="V308" s="98" t="str">
        <f>IF(OR(G308="Sold",H308="Died"),IF(G308="Sold",VLOOKUP(B308,SALE!$B$5:$J$1000,6,0),IF(H308="Died",VLOOKUP(B308,MORTALITY!$B$5:$K$1000,5,0),"")),"")</f>
        <v/>
      </c>
      <c r="W308" s="76"/>
    </row>
    <row r="309" spans="1:23">
      <c r="A309" s="93">
        <f t="shared" si="19"/>
        <v>305</v>
      </c>
      <c r="B309" s="94"/>
      <c r="C309" s="76"/>
      <c r="D309" s="76"/>
      <c r="E309" s="76"/>
      <c r="F309" s="94" t="str">
        <f t="shared" ca="1" si="16"/>
        <v/>
      </c>
      <c r="G309" s="96" t="str">
        <f>IFERROR((IF((VLOOKUP(B309,SALE!$B$5:$B$1000,1,0))&gt;0,"Sold","")),"")</f>
        <v/>
      </c>
      <c r="H309" s="96" t="str">
        <f>IFERROR((IF((VLOOKUP(B309,MORTALITY!$B$5:$B$1000,1,0))&gt;0,"Died","")),"")</f>
        <v/>
      </c>
      <c r="I309" s="96" t="str">
        <f ca="1">IFERROR(
   IF(LOOKUP(2,1/((ILLNESS!$B$6:$B$1000=B309)*(ILLNESS!$L$6:$L$1000&lt;&gt;"")),
            ILLNESS!$L$6:$L$1000)="No",
      "Sick",""),
"")</f>
        <v/>
      </c>
      <c r="J309" s="104"/>
      <c r="K309" s="97" t="str">
        <f t="shared" ca="1" si="17"/>
        <v/>
      </c>
      <c r="L309" s="97" t="str">
        <f t="shared" ca="1" si="18"/>
        <v/>
      </c>
      <c r="M309" s="76"/>
      <c r="N309" s="76"/>
      <c r="O309" s="76"/>
      <c r="P309" s="76"/>
      <c r="Q309" s="76"/>
      <c r="R309" s="76"/>
      <c r="S309" s="104"/>
      <c r="T309" s="104"/>
      <c r="U309" s="106"/>
      <c r="V309" s="98" t="str">
        <f>IF(OR(G309="Sold",H309="Died"),IF(G309="Sold",VLOOKUP(B309,SALE!$B$5:$J$1000,6,0),IF(H309="Died",VLOOKUP(B309,MORTALITY!$B$5:$K$1000,5,0),"")),"")</f>
        <v/>
      </c>
      <c r="W309" s="76"/>
    </row>
    <row r="310" spans="1:23">
      <c r="A310" s="93">
        <f t="shared" si="19"/>
        <v>306</v>
      </c>
      <c r="B310" s="94"/>
      <c r="C310" s="76"/>
      <c r="D310" s="76"/>
      <c r="E310" s="76"/>
      <c r="F310" s="94" t="str">
        <f t="shared" ca="1" si="16"/>
        <v/>
      </c>
      <c r="G310" s="96" t="str">
        <f>IFERROR((IF((VLOOKUP(B310,SALE!$B$5:$B$1000,1,0))&gt;0,"Sold","")),"")</f>
        <v/>
      </c>
      <c r="H310" s="96" t="str">
        <f>IFERROR((IF((VLOOKUP(B310,MORTALITY!$B$5:$B$1000,1,0))&gt;0,"Died","")),"")</f>
        <v/>
      </c>
      <c r="I310" s="96" t="str">
        <f ca="1">IFERROR(
   IF(LOOKUP(2,1/((ILLNESS!$B$6:$B$1000=B310)*(ILLNESS!$L$6:$L$1000&lt;&gt;"")),
            ILLNESS!$L$6:$L$1000)="No",
      "Sick",""),
"")</f>
        <v/>
      </c>
      <c r="J310" s="104"/>
      <c r="K310" s="97" t="str">
        <f t="shared" ca="1" si="17"/>
        <v/>
      </c>
      <c r="L310" s="97" t="str">
        <f t="shared" ca="1" si="18"/>
        <v/>
      </c>
      <c r="M310" s="76"/>
      <c r="N310" s="76"/>
      <c r="O310" s="76"/>
      <c r="P310" s="76"/>
      <c r="Q310" s="76"/>
      <c r="R310" s="76"/>
      <c r="S310" s="104"/>
      <c r="T310" s="104"/>
      <c r="U310" s="106"/>
      <c r="V310" s="98" t="str">
        <f>IF(OR(G310="Sold",H310="Died"),IF(G310="Sold",VLOOKUP(B310,SALE!$B$5:$J$1000,6,0),IF(H310="Died",VLOOKUP(B310,MORTALITY!$B$5:$K$1000,5,0),"")),"")</f>
        <v/>
      </c>
      <c r="W310" s="76"/>
    </row>
    <row r="311" spans="1:23">
      <c r="A311" s="93">
        <f t="shared" si="19"/>
        <v>307</v>
      </c>
      <c r="B311" s="94"/>
      <c r="C311" s="76"/>
      <c r="D311" s="76"/>
      <c r="E311" s="76"/>
      <c r="F311" s="94" t="str">
        <f t="shared" ca="1" si="16"/>
        <v/>
      </c>
      <c r="G311" s="96" t="str">
        <f>IFERROR((IF((VLOOKUP(B311,SALE!$B$5:$B$1000,1,0))&gt;0,"Sold","")),"")</f>
        <v/>
      </c>
      <c r="H311" s="96" t="str">
        <f>IFERROR((IF((VLOOKUP(B311,MORTALITY!$B$5:$B$1000,1,0))&gt;0,"Died","")),"")</f>
        <v/>
      </c>
      <c r="I311" s="96" t="str">
        <f ca="1">IFERROR(
   IF(LOOKUP(2,1/((ILLNESS!$B$6:$B$1000=B311)*(ILLNESS!$L$6:$L$1000&lt;&gt;"")),
            ILLNESS!$L$6:$L$1000)="No",
      "Sick",""),
"")</f>
        <v/>
      </c>
      <c r="J311" s="104"/>
      <c r="K311" s="97" t="str">
        <f t="shared" ca="1" si="17"/>
        <v/>
      </c>
      <c r="L311" s="97" t="str">
        <f t="shared" ca="1" si="18"/>
        <v/>
      </c>
      <c r="M311" s="76"/>
      <c r="N311" s="76"/>
      <c r="O311" s="76"/>
      <c r="P311" s="76"/>
      <c r="Q311" s="76"/>
      <c r="R311" s="76"/>
      <c r="S311" s="104"/>
      <c r="T311" s="104"/>
      <c r="U311" s="106"/>
      <c r="V311" s="98" t="str">
        <f>IF(OR(G311="Sold",H311="Died"),IF(G311="Sold",VLOOKUP(B311,SALE!$B$5:$J$1000,6,0),IF(H311="Died",VLOOKUP(B311,MORTALITY!$B$5:$K$1000,5,0),"")),"")</f>
        <v/>
      </c>
      <c r="W311" s="76"/>
    </row>
    <row r="312" spans="1:23">
      <c r="A312" s="93">
        <f t="shared" si="19"/>
        <v>308</v>
      </c>
      <c r="B312" s="94"/>
      <c r="C312" s="76"/>
      <c r="D312" s="76"/>
      <c r="E312" s="76"/>
      <c r="F312" s="94" t="str">
        <f t="shared" ca="1" si="16"/>
        <v/>
      </c>
      <c r="G312" s="96" t="str">
        <f>IFERROR((IF((VLOOKUP(B312,SALE!$B$5:$B$1000,1,0))&gt;0,"Sold","")),"")</f>
        <v/>
      </c>
      <c r="H312" s="96" t="str">
        <f>IFERROR((IF((VLOOKUP(B312,MORTALITY!$B$5:$B$1000,1,0))&gt;0,"Died","")),"")</f>
        <v/>
      </c>
      <c r="I312" s="96" t="str">
        <f ca="1">IFERROR(
   IF(LOOKUP(2,1/((ILLNESS!$B$6:$B$1000=B312)*(ILLNESS!$L$6:$L$1000&lt;&gt;"")),
            ILLNESS!$L$6:$L$1000)="No",
      "Sick",""),
"")</f>
        <v/>
      </c>
      <c r="J312" s="104"/>
      <c r="K312" s="97" t="str">
        <f t="shared" ca="1" si="17"/>
        <v/>
      </c>
      <c r="L312" s="97" t="str">
        <f t="shared" ca="1" si="18"/>
        <v/>
      </c>
      <c r="M312" s="76"/>
      <c r="N312" s="76"/>
      <c r="O312" s="76"/>
      <c r="P312" s="76"/>
      <c r="Q312" s="76"/>
      <c r="R312" s="76"/>
      <c r="S312" s="104"/>
      <c r="T312" s="104"/>
      <c r="U312" s="106"/>
      <c r="V312" s="98" t="str">
        <f>IF(OR(G312="Sold",H312="Died"),IF(G312="Sold",VLOOKUP(B312,SALE!$B$5:$J$1000,6,0),IF(H312="Died",VLOOKUP(B312,MORTALITY!$B$5:$K$1000,5,0),"")),"")</f>
        <v/>
      </c>
      <c r="W312" s="76"/>
    </row>
    <row r="313" spans="1:23">
      <c r="A313" s="93">
        <f t="shared" si="19"/>
        <v>309</v>
      </c>
      <c r="B313" s="94"/>
      <c r="C313" s="76"/>
      <c r="D313" s="76"/>
      <c r="E313" s="76"/>
      <c r="F313" s="94" t="str">
        <f t="shared" ca="1" si="16"/>
        <v/>
      </c>
      <c r="G313" s="96" t="str">
        <f>IFERROR((IF((VLOOKUP(B313,SALE!$B$5:$B$1000,1,0))&gt;0,"Sold","")),"")</f>
        <v/>
      </c>
      <c r="H313" s="96" t="str">
        <f>IFERROR((IF((VLOOKUP(B313,MORTALITY!$B$5:$B$1000,1,0))&gt;0,"Died","")),"")</f>
        <v/>
      </c>
      <c r="I313" s="96" t="str">
        <f ca="1">IFERROR(
   IF(LOOKUP(2,1/((ILLNESS!$B$6:$B$1000=B313)*(ILLNESS!$L$6:$L$1000&lt;&gt;"")),
            ILLNESS!$L$6:$L$1000)="No",
      "Sick",""),
"")</f>
        <v/>
      </c>
      <c r="J313" s="104"/>
      <c r="K313" s="97" t="str">
        <f t="shared" ca="1" si="17"/>
        <v/>
      </c>
      <c r="L313" s="97" t="str">
        <f t="shared" ca="1" si="18"/>
        <v/>
      </c>
      <c r="M313" s="76"/>
      <c r="N313" s="76"/>
      <c r="O313" s="76"/>
      <c r="P313" s="76"/>
      <c r="Q313" s="76"/>
      <c r="R313" s="76"/>
      <c r="S313" s="104"/>
      <c r="T313" s="104"/>
      <c r="U313" s="106"/>
      <c r="V313" s="98" t="str">
        <f>IF(OR(G313="Sold",H313="Died"),IF(G313="Sold",VLOOKUP(B313,SALE!$B$5:$J$1000,6,0),IF(H313="Died",VLOOKUP(B313,MORTALITY!$B$5:$K$1000,5,0),"")),"")</f>
        <v/>
      </c>
      <c r="W313" s="76"/>
    </row>
    <row r="314" spans="1:23">
      <c r="A314" s="93">
        <f t="shared" si="19"/>
        <v>310</v>
      </c>
      <c r="B314" s="94"/>
      <c r="C314" s="76"/>
      <c r="D314" s="76"/>
      <c r="E314" s="76"/>
      <c r="F314" s="94" t="str">
        <f t="shared" ca="1" si="16"/>
        <v/>
      </c>
      <c r="G314" s="96" t="str">
        <f>IFERROR((IF((VLOOKUP(B314,SALE!$B$5:$B$1000,1,0))&gt;0,"Sold","")),"")</f>
        <v/>
      </c>
      <c r="H314" s="96" t="str">
        <f>IFERROR((IF((VLOOKUP(B314,MORTALITY!$B$5:$B$1000,1,0))&gt;0,"Died","")),"")</f>
        <v/>
      </c>
      <c r="I314" s="96" t="str">
        <f ca="1">IFERROR(
   IF(LOOKUP(2,1/((ILLNESS!$B$6:$B$1000=B314)*(ILLNESS!$L$6:$L$1000&lt;&gt;"")),
            ILLNESS!$L$6:$L$1000)="No",
      "Sick",""),
"")</f>
        <v/>
      </c>
      <c r="J314" s="104"/>
      <c r="K314" s="97" t="str">
        <f t="shared" ca="1" si="17"/>
        <v/>
      </c>
      <c r="L314" s="97" t="str">
        <f t="shared" ca="1" si="18"/>
        <v/>
      </c>
      <c r="M314" s="76"/>
      <c r="N314" s="76"/>
      <c r="O314" s="76"/>
      <c r="P314" s="76"/>
      <c r="Q314" s="76"/>
      <c r="R314" s="76"/>
      <c r="S314" s="104"/>
      <c r="T314" s="104"/>
      <c r="U314" s="106"/>
      <c r="V314" s="98" t="str">
        <f>IF(OR(G314="Sold",H314="Died"),IF(G314="Sold",VLOOKUP(B314,SALE!$B$5:$J$1000,6,0),IF(H314="Died",VLOOKUP(B314,MORTALITY!$B$5:$K$1000,5,0),"")),"")</f>
        <v/>
      </c>
      <c r="W314" s="76"/>
    </row>
    <row r="315" spans="1:23">
      <c r="A315" s="93">
        <f t="shared" si="19"/>
        <v>311</v>
      </c>
      <c r="B315" s="94"/>
      <c r="C315" s="76"/>
      <c r="D315" s="76"/>
      <c r="E315" s="76"/>
      <c r="F315" s="94" t="str">
        <f t="shared" ca="1" si="16"/>
        <v/>
      </c>
      <c r="G315" s="96" t="str">
        <f>IFERROR((IF((VLOOKUP(B315,SALE!$B$5:$B$1000,1,0))&gt;0,"Sold","")),"")</f>
        <v/>
      </c>
      <c r="H315" s="96" t="str">
        <f>IFERROR((IF((VLOOKUP(B315,MORTALITY!$B$5:$B$1000,1,0))&gt;0,"Died","")),"")</f>
        <v/>
      </c>
      <c r="I315" s="96" t="str">
        <f ca="1">IFERROR(
   IF(LOOKUP(2,1/((ILLNESS!$B$6:$B$1000=B315)*(ILLNESS!$L$6:$L$1000&lt;&gt;"")),
            ILLNESS!$L$6:$L$1000)="No",
      "Sick",""),
"")</f>
        <v/>
      </c>
      <c r="J315" s="104"/>
      <c r="K315" s="97" t="str">
        <f t="shared" ca="1" si="17"/>
        <v/>
      </c>
      <c r="L315" s="97" t="str">
        <f t="shared" ca="1" si="18"/>
        <v/>
      </c>
      <c r="M315" s="76"/>
      <c r="N315" s="76"/>
      <c r="O315" s="76"/>
      <c r="P315" s="76"/>
      <c r="Q315" s="76"/>
      <c r="R315" s="76"/>
      <c r="S315" s="104"/>
      <c r="T315" s="104"/>
      <c r="U315" s="106"/>
      <c r="V315" s="98" t="str">
        <f>IF(OR(G315="Sold",H315="Died"),IF(G315="Sold",VLOOKUP(B315,SALE!$B$5:$J$1000,6,0),IF(H315="Died",VLOOKUP(B315,MORTALITY!$B$5:$K$1000,5,0),"")),"")</f>
        <v/>
      </c>
      <c r="W315" s="76"/>
    </row>
    <row r="316" spans="1:23">
      <c r="A316" s="93">
        <f t="shared" si="19"/>
        <v>312</v>
      </c>
      <c r="B316" s="94"/>
      <c r="C316" s="76"/>
      <c r="D316" s="76"/>
      <c r="E316" s="76"/>
      <c r="F316" s="94" t="str">
        <f t="shared" ca="1" si="16"/>
        <v/>
      </c>
      <c r="G316" s="96" t="str">
        <f>IFERROR((IF((VLOOKUP(B316,SALE!$B$5:$B$1000,1,0))&gt;0,"Sold","")),"")</f>
        <v/>
      </c>
      <c r="H316" s="96" t="str">
        <f>IFERROR((IF((VLOOKUP(B316,MORTALITY!$B$5:$B$1000,1,0))&gt;0,"Died","")),"")</f>
        <v/>
      </c>
      <c r="I316" s="96" t="str">
        <f ca="1">IFERROR(
   IF(LOOKUP(2,1/((ILLNESS!$B$6:$B$1000=B316)*(ILLNESS!$L$6:$L$1000&lt;&gt;"")),
            ILLNESS!$L$6:$L$1000)="No",
      "Sick",""),
"")</f>
        <v/>
      </c>
      <c r="J316" s="104"/>
      <c r="K316" s="97" t="str">
        <f t="shared" ca="1" si="17"/>
        <v/>
      </c>
      <c r="L316" s="97" t="str">
        <f t="shared" ca="1" si="18"/>
        <v/>
      </c>
      <c r="M316" s="76"/>
      <c r="N316" s="76"/>
      <c r="O316" s="76"/>
      <c r="P316" s="76"/>
      <c r="Q316" s="76"/>
      <c r="R316" s="76"/>
      <c r="S316" s="104"/>
      <c r="T316" s="104"/>
      <c r="U316" s="106"/>
      <c r="V316" s="98" t="str">
        <f>IF(OR(G316="Sold",H316="Died"),IF(G316="Sold",VLOOKUP(B316,SALE!$B$5:$J$1000,6,0),IF(H316="Died",VLOOKUP(B316,MORTALITY!$B$5:$K$1000,5,0),"")),"")</f>
        <v/>
      </c>
      <c r="W316" s="76"/>
    </row>
    <row r="317" spans="1:23">
      <c r="A317" s="93">
        <f t="shared" si="19"/>
        <v>313</v>
      </c>
      <c r="B317" s="94"/>
      <c r="C317" s="76"/>
      <c r="D317" s="76"/>
      <c r="E317" s="76"/>
      <c r="F317" s="94" t="str">
        <f t="shared" ca="1" si="16"/>
        <v/>
      </c>
      <c r="G317" s="96" t="str">
        <f>IFERROR((IF((VLOOKUP(B317,SALE!$B$5:$B$1000,1,0))&gt;0,"Sold","")),"")</f>
        <v/>
      </c>
      <c r="H317" s="96" t="str">
        <f>IFERROR((IF((VLOOKUP(B317,MORTALITY!$B$5:$B$1000,1,0))&gt;0,"Died","")),"")</f>
        <v/>
      </c>
      <c r="I317" s="96" t="str">
        <f ca="1">IFERROR(
   IF(LOOKUP(2,1/((ILLNESS!$B$6:$B$1000=B317)*(ILLNESS!$L$6:$L$1000&lt;&gt;"")),
            ILLNESS!$L$6:$L$1000)="No",
      "Sick",""),
"")</f>
        <v/>
      </c>
      <c r="J317" s="104"/>
      <c r="K317" s="97" t="str">
        <f t="shared" ca="1" si="17"/>
        <v/>
      </c>
      <c r="L317" s="97" t="str">
        <f t="shared" ca="1" si="18"/>
        <v/>
      </c>
      <c r="M317" s="76"/>
      <c r="N317" s="76"/>
      <c r="O317" s="76"/>
      <c r="P317" s="76"/>
      <c r="Q317" s="76"/>
      <c r="R317" s="76"/>
      <c r="S317" s="104"/>
      <c r="T317" s="104"/>
      <c r="U317" s="106"/>
      <c r="V317" s="98" t="str">
        <f>IF(OR(G317="Sold",H317="Died"),IF(G317="Sold",VLOOKUP(B317,SALE!$B$5:$J$1000,6,0),IF(H317="Died",VLOOKUP(B317,MORTALITY!$B$5:$K$1000,5,0),"")),"")</f>
        <v/>
      </c>
      <c r="W317" s="76"/>
    </row>
    <row r="318" spans="1:23">
      <c r="A318" s="93">
        <f t="shared" si="19"/>
        <v>314</v>
      </c>
      <c r="B318" s="94"/>
      <c r="C318" s="76"/>
      <c r="D318" s="76"/>
      <c r="E318" s="76"/>
      <c r="F318" s="94" t="str">
        <f t="shared" ca="1" si="16"/>
        <v/>
      </c>
      <c r="G318" s="96" t="str">
        <f>IFERROR((IF((VLOOKUP(B318,SALE!$B$5:$B$1000,1,0))&gt;0,"Sold","")),"")</f>
        <v/>
      </c>
      <c r="H318" s="96" t="str">
        <f>IFERROR((IF((VLOOKUP(B318,MORTALITY!$B$5:$B$1000,1,0))&gt;0,"Died","")),"")</f>
        <v/>
      </c>
      <c r="I318" s="96" t="str">
        <f ca="1">IFERROR(
   IF(LOOKUP(2,1/((ILLNESS!$B$6:$B$1000=B318)*(ILLNESS!$L$6:$L$1000&lt;&gt;"")),
            ILLNESS!$L$6:$L$1000)="No",
      "Sick",""),
"")</f>
        <v/>
      </c>
      <c r="J318" s="104"/>
      <c r="K318" s="97" t="str">
        <f t="shared" ca="1" si="17"/>
        <v/>
      </c>
      <c r="L318" s="97" t="str">
        <f t="shared" ca="1" si="18"/>
        <v/>
      </c>
      <c r="M318" s="76"/>
      <c r="N318" s="76"/>
      <c r="O318" s="76"/>
      <c r="P318" s="76"/>
      <c r="Q318" s="76"/>
      <c r="R318" s="76"/>
      <c r="S318" s="104"/>
      <c r="T318" s="104"/>
      <c r="U318" s="106"/>
      <c r="V318" s="98" t="str">
        <f>IF(OR(G318="Sold",H318="Died"),IF(G318="Sold",VLOOKUP(B318,SALE!$B$5:$J$1000,6,0),IF(H318="Died",VLOOKUP(B318,MORTALITY!$B$5:$K$1000,5,0),"")),"")</f>
        <v/>
      </c>
      <c r="W318" s="76"/>
    </row>
    <row r="319" spans="1:23">
      <c r="A319" s="93">
        <f t="shared" si="19"/>
        <v>315</v>
      </c>
      <c r="B319" s="94"/>
      <c r="C319" s="76"/>
      <c r="D319" s="76"/>
      <c r="E319" s="76"/>
      <c r="F319" s="94" t="str">
        <f t="shared" ca="1" si="16"/>
        <v/>
      </c>
      <c r="G319" s="96" t="str">
        <f>IFERROR((IF((VLOOKUP(B319,SALE!$B$5:$B$1000,1,0))&gt;0,"Sold","")),"")</f>
        <v/>
      </c>
      <c r="H319" s="96" t="str">
        <f>IFERROR((IF((VLOOKUP(B319,MORTALITY!$B$5:$B$1000,1,0))&gt;0,"Died","")),"")</f>
        <v/>
      </c>
      <c r="I319" s="96" t="str">
        <f ca="1">IFERROR(
   IF(LOOKUP(2,1/((ILLNESS!$B$6:$B$1000=B319)*(ILLNESS!$L$6:$L$1000&lt;&gt;"")),
            ILLNESS!$L$6:$L$1000)="No",
      "Sick",""),
"")</f>
        <v/>
      </c>
      <c r="J319" s="104"/>
      <c r="K319" s="97" t="str">
        <f t="shared" ca="1" si="17"/>
        <v/>
      </c>
      <c r="L319" s="97" t="str">
        <f t="shared" ca="1" si="18"/>
        <v/>
      </c>
      <c r="M319" s="76"/>
      <c r="N319" s="76"/>
      <c r="O319" s="76"/>
      <c r="P319" s="76"/>
      <c r="Q319" s="76"/>
      <c r="R319" s="76"/>
      <c r="S319" s="104"/>
      <c r="T319" s="104"/>
      <c r="U319" s="106"/>
      <c r="V319" s="98" t="str">
        <f>IF(OR(G319="Sold",H319="Died"),IF(G319="Sold",VLOOKUP(B319,SALE!$B$5:$J$1000,6,0),IF(H319="Died",VLOOKUP(B319,MORTALITY!$B$5:$K$1000,5,0),"")),"")</f>
        <v/>
      </c>
      <c r="W319" s="76"/>
    </row>
    <row r="320" spans="1:23">
      <c r="A320" s="93">
        <f t="shared" si="19"/>
        <v>316</v>
      </c>
      <c r="B320" s="94"/>
      <c r="C320" s="76"/>
      <c r="D320" s="76"/>
      <c r="E320" s="76"/>
      <c r="F320" s="94" t="str">
        <f t="shared" ca="1" si="16"/>
        <v/>
      </c>
      <c r="G320" s="96" t="str">
        <f>IFERROR((IF((VLOOKUP(B320,SALE!$B$5:$B$1000,1,0))&gt;0,"Sold","")),"")</f>
        <v/>
      </c>
      <c r="H320" s="96" t="str">
        <f>IFERROR((IF((VLOOKUP(B320,MORTALITY!$B$5:$B$1000,1,0))&gt;0,"Died","")),"")</f>
        <v/>
      </c>
      <c r="I320" s="96" t="str">
        <f ca="1">IFERROR(
   IF(LOOKUP(2,1/((ILLNESS!$B$6:$B$1000=B320)*(ILLNESS!$L$6:$L$1000&lt;&gt;"")),
            ILLNESS!$L$6:$L$1000)="No",
      "Sick",""),
"")</f>
        <v/>
      </c>
      <c r="J320" s="104"/>
      <c r="K320" s="97" t="str">
        <f t="shared" ca="1" si="17"/>
        <v/>
      </c>
      <c r="L320" s="97" t="str">
        <f t="shared" ca="1" si="18"/>
        <v/>
      </c>
      <c r="M320" s="76"/>
      <c r="N320" s="76"/>
      <c r="O320" s="76"/>
      <c r="P320" s="76"/>
      <c r="Q320" s="76"/>
      <c r="R320" s="76"/>
      <c r="S320" s="104"/>
      <c r="T320" s="104"/>
      <c r="U320" s="106"/>
      <c r="V320" s="98" t="str">
        <f>IF(OR(G320="Sold",H320="Died"),IF(G320="Sold",VLOOKUP(B320,SALE!$B$5:$J$1000,6,0),IF(H320="Died",VLOOKUP(B320,MORTALITY!$B$5:$K$1000,5,0),"")),"")</f>
        <v/>
      </c>
      <c r="W320" s="76"/>
    </row>
    <row r="321" spans="1:23">
      <c r="A321" s="93">
        <f t="shared" si="19"/>
        <v>317</v>
      </c>
      <c r="B321" s="94"/>
      <c r="C321" s="76"/>
      <c r="D321" s="76"/>
      <c r="E321" s="76"/>
      <c r="F321" s="94" t="str">
        <f t="shared" ca="1" si="16"/>
        <v/>
      </c>
      <c r="G321" s="96" t="str">
        <f>IFERROR((IF((VLOOKUP(B321,SALE!$B$5:$B$1000,1,0))&gt;0,"Sold","")),"")</f>
        <v/>
      </c>
      <c r="H321" s="96" t="str">
        <f>IFERROR((IF((VLOOKUP(B321,MORTALITY!$B$5:$B$1000,1,0))&gt;0,"Died","")),"")</f>
        <v/>
      </c>
      <c r="I321" s="96" t="str">
        <f ca="1">IFERROR(
   IF(LOOKUP(2,1/((ILLNESS!$B$6:$B$1000=B321)*(ILLNESS!$L$6:$L$1000&lt;&gt;"")),
            ILLNESS!$L$6:$L$1000)="No",
      "Sick",""),
"")</f>
        <v/>
      </c>
      <c r="J321" s="104"/>
      <c r="K321" s="97" t="str">
        <f t="shared" ca="1" si="17"/>
        <v/>
      </c>
      <c r="L321" s="97" t="str">
        <f t="shared" ca="1" si="18"/>
        <v/>
      </c>
      <c r="M321" s="76"/>
      <c r="N321" s="76"/>
      <c r="O321" s="76"/>
      <c r="P321" s="76"/>
      <c r="Q321" s="76"/>
      <c r="R321" s="76"/>
      <c r="S321" s="104"/>
      <c r="T321" s="104"/>
      <c r="U321" s="106"/>
      <c r="V321" s="98" t="str">
        <f>IF(OR(G321="Sold",H321="Died"),IF(G321="Sold",VLOOKUP(B321,SALE!$B$5:$J$1000,6,0),IF(H321="Died",VLOOKUP(B321,MORTALITY!$B$5:$K$1000,5,0),"")),"")</f>
        <v/>
      </c>
      <c r="W321" s="76"/>
    </row>
    <row r="322" spans="1:23">
      <c r="A322" s="93">
        <f t="shared" si="19"/>
        <v>318</v>
      </c>
      <c r="B322" s="94"/>
      <c r="C322" s="76"/>
      <c r="D322" s="76"/>
      <c r="E322" s="76"/>
      <c r="F322" s="94" t="str">
        <f t="shared" ca="1" si="16"/>
        <v/>
      </c>
      <c r="G322" s="96" t="str">
        <f>IFERROR((IF((VLOOKUP(B322,SALE!$B$5:$B$1000,1,0))&gt;0,"Sold","")),"")</f>
        <v/>
      </c>
      <c r="H322" s="96" t="str">
        <f>IFERROR((IF((VLOOKUP(B322,MORTALITY!$B$5:$B$1000,1,0))&gt;0,"Died","")),"")</f>
        <v/>
      </c>
      <c r="I322" s="96" t="str">
        <f ca="1">IFERROR(
   IF(LOOKUP(2,1/((ILLNESS!$B$6:$B$1000=B322)*(ILLNESS!$L$6:$L$1000&lt;&gt;"")),
            ILLNESS!$L$6:$L$1000)="No",
      "Sick",""),
"")</f>
        <v/>
      </c>
      <c r="J322" s="104"/>
      <c r="K322" s="97" t="str">
        <f t="shared" ca="1" si="17"/>
        <v/>
      </c>
      <c r="L322" s="97" t="str">
        <f t="shared" ca="1" si="18"/>
        <v/>
      </c>
      <c r="M322" s="76"/>
      <c r="N322" s="76"/>
      <c r="O322" s="76"/>
      <c r="P322" s="76"/>
      <c r="Q322" s="76"/>
      <c r="R322" s="76"/>
      <c r="S322" s="104"/>
      <c r="T322" s="104"/>
      <c r="U322" s="106"/>
      <c r="V322" s="98" t="str">
        <f>IF(OR(G322="Sold",H322="Died"),IF(G322="Sold",VLOOKUP(B322,SALE!$B$5:$J$1000,6,0),IF(H322="Died",VLOOKUP(B322,MORTALITY!$B$5:$K$1000,5,0),"")),"")</f>
        <v/>
      </c>
      <c r="W322" s="76"/>
    </row>
    <row r="323" spans="1:23">
      <c r="A323" s="93">
        <f t="shared" si="19"/>
        <v>319</v>
      </c>
      <c r="B323" s="94"/>
      <c r="C323" s="76"/>
      <c r="D323" s="76"/>
      <c r="E323" s="76"/>
      <c r="F323" s="94" t="str">
        <f t="shared" ca="1" si="16"/>
        <v/>
      </c>
      <c r="G323" s="96" t="str">
        <f>IFERROR((IF((VLOOKUP(B323,SALE!$B$5:$B$1000,1,0))&gt;0,"Sold","")),"")</f>
        <v/>
      </c>
      <c r="H323" s="96" t="str">
        <f>IFERROR((IF((VLOOKUP(B323,MORTALITY!$B$5:$B$1000,1,0))&gt;0,"Died","")),"")</f>
        <v/>
      </c>
      <c r="I323" s="96" t="str">
        <f ca="1">IFERROR(
   IF(LOOKUP(2,1/((ILLNESS!$B$6:$B$1000=B323)*(ILLNESS!$L$6:$L$1000&lt;&gt;"")),
            ILLNESS!$L$6:$L$1000)="No",
      "Sick",""),
"")</f>
        <v/>
      </c>
      <c r="J323" s="104"/>
      <c r="K323" s="97" t="str">
        <f t="shared" ca="1" si="17"/>
        <v/>
      </c>
      <c r="L323" s="97" t="str">
        <f t="shared" ca="1" si="18"/>
        <v/>
      </c>
      <c r="M323" s="76"/>
      <c r="N323" s="76"/>
      <c r="O323" s="76"/>
      <c r="P323" s="76"/>
      <c r="Q323" s="76"/>
      <c r="R323" s="76"/>
      <c r="S323" s="104"/>
      <c r="T323" s="104"/>
      <c r="U323" s="106"/>
      <c r="V323" s="98" t="str">
        <f>IF(OR(G323="Sold",H323="Died"),IF(G323="Sold",VLOOKUP(B323,SALE!$B$5:$J$1000,6,0),IF(H323="Died",VLOOKUP(B323,MORTALITY!$B$5:$K$1000,5,0),"")),"")</f>
        <v/>
      </c>
      <c r="W323" s="76"/>
    </row>
    <row r="324" spans="1:23">
      <c r="A324" s="93">
        <f t="shared" si="19"/>
        <v>320</v>
      </c>
      <c r="B324" s="94"/>
      <c r="C324" s="76"/>
      <c r="D324" s="76"/>
      <c r="E324" s="76"/>
      <c r="F324" s="94" t="str">
        <f t="shared" ca="1" si="16"/>
        <v/>
      </c>
      <c r="G324" s="96" t="str">
        <f>IFERROR((IF((VLOOKUP(B324,SALE!$B$5:$B$1000,1,0))&gt;0,"Sold","")),"")</f>
        <v/>
      </c>
      <c r="H324" s="96" t="str">
        <f>IFERROR((IF((VLOOKUP(B324,MORTALITY!$B$5:$B$1000,1,0))&gt;0,"Died","")),"")</f>
        <v/>
      </c>
      <c r="I324" s="96" t="str">
        <f ca="1">IFERROR(
   IF(LOOKUP(2,1/((ILLNESS!$B$6:$B$1000=B324)*(ILLNESS!$L$6:$L$1000&lt;&gt;"")),
            ILLNESS!$L$6:$L$1000)="No",
      "Sick",""),
"")</f>
        <v/>
      </c>
      <c r="J324" s="104"/>
      <c r="K324" s="97" t="str">
        <f t="shared" ca="1" si="17"/>
        <v/>
      </c>
      <c r="L324" s="97" t="str">
        <f t="shared" ca="1" si="18"/>
        <v/>
      </c>
      <c r="M324" s="76"/>
      <c r="N324" s="76"/>
      <c r="O324" s="76"/>
      <c r="P324" s="76"/>
      <c r="Q324" s="76"/>
      <c r="R324" s="76"/>
      <c r="S324" s="104"/>
      <c r="T324" s="104"/>
      <c r="U324" s="106"/>
      <c r="V324" s="98" t="str">
        <f>IF(OR(G324="Sold",H324="Died"),IF(G324="Sold",VLOOKUP(B324,SALE!$B$5:$J$1000,6,0),IF(H324="Died",VLOOKUP(B324,MORTALITY!$B$5:$K$1000,5,0),"")),"")</f>
        <v/>
      </c>
      <c r="W324" s="76"/>
    </row>
    <row r="325" spans="1:23">
      <c r="A325" s="93">
        <f t="shared" si="19"/>
        <v>321</v>
      </c>
      <c r="B325" s="94"/>
      <c r="C325" s="76"/>
      <c r="D325" s="76"/>
      <c r="E325" s="76"/>
      <c r="F325" s="94" t="str">
        <f t="shared" ca="1" si="16"/>
        <v/>
      </c>
      <c r="G325" s="96" t="str">
        <f>IFERROR((IF((VLOOKUP(B325,SALE!$B$5:$B$1000,1,0))&gt;0,"Sold","")),"")</f>
        <v/>
      </c>
      <c r="H325" s="96" t="str">
        <f>IFERROR((IF((VLOOKUP(B325,MORTALITY!$B$5:$B$1000,1,0))&gt;0,"Died","")),"")</f>
        <v/>
      </c>
      <c r="I325" s="96" t="str">
        <f ca="1">IFERROR(
   IF(LOOKUP(2,1/((ILLNESS!$B$6:$B$1000=B325)*(ILLNESS!$L$6:$L$1000&lt;&gt;"")),
            ILLNESS!$L$6:$L$1000)="No",
      "Sick",""),
"")</f>
        <v/>
      </c>
      <c r="J325" s="104"/>
      <c r="K325" s="97" t="str">
        <f t="shared" ca="1" si="17"/>
        <v/>
      </c>
      <c r="L325" s="97" t="str">
        <f t="shared" ca="1" si="18"/>
        <v/>
      </c>
      <c r="M325" s="76"/>
      <c r="N325" s="76"/>
      <c r="O325" s="76"/>
      <c r="P325" s="76"/>
      <c r="Q325" s="76"/>
      <c r="R325" s="76"/>
      <c r="S325" s="104"/>
      <c r="T325" s="104"/>
      <c r="U325" s="106"/>
      <c r="V325" s="98" t="str">
        <f>IF(OR(G325="Sold",H325="Died"),IF(G325="Sold",VLOOKUP(B325,SALE!$B$5:$J$1000,6,0),IF(H325="Died",VLOOKUP(B325,MORTALITY!$B$5:$K$1000,5,0),"")),"")</f>
        <v/>
      </c>
      <c r="W325" s="76"/>
    </row>
    <row r="326" spans="1:23">
      <c r="A326" s="93">
        <f t="shared" si="19"/>
        <v>322</v>
      </c>
      <c r="B326" s="94"/>
      <c r="C326" s="76"/>
      <c r="D326" s="76"/>
      <c r="E326" s="76"/>
      <c r="F326" s="94" t="str">
        <f t="shared" ca="1" si="16"/>
        <v/>
      </c>
      <c r="G326" s="96" t="str">
        <f>IFERROR((IF((VLOOKUP(B326,SALE!$B$5:$B$1000,1,0))&gt;0,"Sold","")),"")</f>
        <v/>
      </c>
      <c r="H326" s="96" t="str">
        <f>IFERROR((IF((VLOOKUP(B326,MORTALITY!$B$5:$B$1000,1,0))&gt;0,"Died","")),"")</f>
        <v/>
      </c>
      <c r="I326" s="96" t="str">
        <f ca="1">IFERROR(
   IF(LOOKUP(2,1/((ILLNESS!$B$6:$B$1000=B326)*(ILLNESS!$L$6:$L$1000&lt;&gt;"")),
            ILLNESS!$L$6:$L$1000)="No",
      "Sick",""),
"")</f>
        <v/>
      </c>
      <c r="J326" s="104"/>
      <c r="K326" s="97" t="str">
        <f t="shared" ca="1" si="17"/>
        <v/>
      </c>
      <c r="L326" s="97" t="str">
        <f t="shared" ca="1" si="18"/>
        <v/>
      </c>
      <c r="M326" s="76"/>
      <c r="N326" s="76"/>
      <c r="O326" s="76"/>
      <c r="P326" s="76"/>
      <c r="Q326" s="76"/>
      <c r="R326" s="76"/>
      <c r="S326" s="104"/>
      <c r="T326" s="104"/>
      <c r="U326" s="106"/>
      <c r="V326" s="98" t="str">
        <f>IF(OR(G326="Sold",H326="Died"),IF(G326="Sold",VLOOKUP(B326,SALE!$B$5:$J$1000,6,0),IF(H326="Died",VLOOKUP(B326,MORTALITY!$B$5:$K$1000,5,0),"")),"")</f>
        <v/>
      </c>
      <c r="W326" s="76"/>
    </row>
    <row r="327" spans="1:23">
      <c r="A327" s="93">
        <f t="shared" si="19"/>
        <v>323</v>
      </c>
      <c r="B327" s="94"/>
      <c r="C327" s="76"/>
      <c r="D327" s="76"/>
      <c r="E327" s="76"/>
      <c r="F327" s="94" t="str">
        <f t="shared" ref="F327:F390" ca="1" si="20">IF(OR(G327="Sold",H327="Died",I327="Sick"),"Inactive",IF(OR(C327="MALE",C327="FEMALE"),"Active",""))</f>
        <v/>
      </c>
      <c r="G327" s="96" t="str">
        <f>IFERROR((IF((VLOOKUP(B327,SALE!$B$5:$B$1000,1,0))&gt;0,"Sold","")),"")</f>
        <v/>
      </c>
      <c r="H327" s="96" t="str">
        <f>IFERROR((IF((VLOOKUP(B327,MORTALITY!$B$5:$B$1000,1,0))&gt;0,"Died","")),"")</f>
        <v/>
      </c>
      <c r="I327" s="96" t="str">
        <f ca="1">IFERROR(
   IF(LOOKUP(2,1/((ILLNESS!$B$6:$B$1000=B327)*(ILLNESS!$L$6:$L$1000&lt;&gt;"")),
            ILLNESS!$L$6:$L$1000)="No",
      "Sick",""),
"")</f>
        <v/>
      </c>
      <c r="J327" s="104"/>
      <c r="K327" s="97" t="str">
        <f t="shared" ref="K327:K390" ca="1" si="21">IF(J327="","",DATEDIF($J327,TODAY(),"Y"))</f>
        <v/>
      </c>
      <c r="L327" s="97" t="str">
        <f t="shared" ref="L327:L390" ca="1" si="22">IFERROR(DATEDIF($J327,TODAY(),"M")-($K327*12),"")</f>
        <v/>
      </c>
      <c r="M327" s="76"/>
      <c r="N327" s="76"/>
      <c r="O327" s="76"/>
      <c r="P327" s="76"/>
      <c r="Q327" s="76"/>
      <c r="R327" s="76"/>
      <c r="S327" s="104"/>
      <c r="T327" s="104"/>
      <c r="U327" s="106"/>
      <c r="V327" s="98" t="str">
        <f>IF(OR(G327="Sold",H327="Died"),IF(G327="Sold",VLOOKUP(B327,SALE!$B$5:$J$1000,6,0),IF(H327="Died",VLOOKUP(B327,MORTALITY!$B$5:$K$1000,5,0),"")),"")</f>
        <v/>
      </c>
      <c r="W327" s="76"/>
    </row>
    <row r="328" spans="1:23">
      <c r="A328" s="93">
        <f t="shared" si="19"/>
        <v>324</v>
      </c>
      <c r="B328" s="94"/>
      <c r="C328" s="76"/>
      <c r="D328" s="76"/>
      <c r="E328" s="76"/>
      <c r="F328" s="94" t="str">
        <f t="shared" ca="1" si="20"/>
        <v/>
      </c>
      <c r="G328" s="96" t="str">
        <f>IFERROR((IF((VLOOKUP(B328,SALE!$B$5:$B$1000,1,0))&gt;0,"Sold","")),"")</f>
        <v/>
      </c>
      <c r="H328" s="96" t="str">
        <f>IFERROR((IF((VLOOKUP(B328,MORTALITY!$B$5:$B$1000,1,0))&gt;0,"Died","")),"")</f>
        <v/>
      </c>
      <c r="I328" s="96" t="str">
        <f ca="1">IFERROR(
   IF(LOOKUP(2,1/((ILLNESS!$B$6:$B$1000=B328)*(ILLNESS!$L$6:$L$1000&lt;&gt;"")),
            ILLNESS!$L$6:$L$1000)="No",
      "Sick",""),
"")</f>
        <v/>
      </c>
      <c r="J328" s="104"/>
      <c r="K328" s="97" t="str">
        <f t="shared" ca="1" si="21"/>
        <v/>
      </c>
      <c r="L328" s="97" t="str">
        <f t="shared" ca="1" si="22"/>
        <v/>
      </c>
      <c r="M328" s="76"/>
      <c r="N328" s="76"/>
      <c r="O328" s="76"/>
      <c r="P328" s="76"/>
      <c r="Q328" s="76"/>
      <c r="R328" s="76"/>
      <c r="S328" s="104"/>
      <c r="T328" s="104"/>
      <c r="U328" s="106"/>
      <c r="V328" s="98" t="str">
        <f>IF(OR(G328="Sold",H328="Died"),IF(G328="Sold",VLOOKUP(B328,SALE!$B$5:$J$1000,6,0),IF(H328="Died",VLOOKUP(B328,MORTALITY!$B$5:$K$1000,5,0),"")),"")</f>
        <v/>
      </c>
      <c r="W328" s="76"/>
    </row>
    <row r="329" spans="1:23">
      <c r="A329" s="93">
        <f t="shared" ref="A329:A392" si="23">ROW(A325)</f>
        <v>325</v>
      </c>
      <c r="B329" s="94"/>
      <c r="C329" s="76"/>
      <c r="D329" s="76"/>
      <c r="E329" s="76"/>
      <c r="F329" s="94" t="str">
        <f t="shared" ca="1" si="20"/>
        <v/>
      </c>
      <c r="G329" s="96" t="str">
        <f>IFERROR((IF((VLOOKUP(B329,SALE!$B$5:$B$1000,1,0))&gt;0,"Sold","")),"")</f>
        <v/>
      </c>
      <c r="H329" s="96" t="str">
        <f>IFERROR((IF((VLOOKUP(B329,MORTALITY!$B$5:$B$1000,1,0))&gt;0,"Died","")),"")</f>
        <v/>
      </c>
      <c r="I329" s="96" t="str">
        <f ca="1">IFERROR(
   IF(LOOKUP(2,1/((ILLNESS!$B$6:$B$1000=B329)*(ILLNESS!$L$6:$L$1000&lt;&gt;"")),
            ILLNESS!$L$6:$L$1000)="No",
      "Sick",""),
"")</f>
        <v/>
      </c>
      <c r="J329" s="104"/>
      <c r="K329" s="97" t="str">
        <f t="shared" ca="1" si="21"/>
        <v/>
      </c>
      <c r="L329" s="97" t="str">
        <f t="shared" ca="1" si="22"/>
        <v/>
      </c>
      <c r="M329" s="76"/>
      <c r="N329" s="76"/>
      <c r="O329" s="76"/>
      <c r="P329" s="76"/>
      <c r="Q329" s="76"/>
      <c r="R329" s="76"/>
      <c r="S329" s="104"/>
      <c r="T329" s="104"/>
      <c r="U329" s="106"/>
      <c r="V329" s="98" t="str">
        <f>IF(OR(G329="Sold",H329="Died"),IF(G329="Sold",VLOOKUP(B329,SALE!$B$5:$J$1000,6,0),IF(H329="Died",VLOOKUP(B329,MORTALITY!$B$5:$K$1000,5,0),"")),"")</f>
        <v/>
      </c>
      <c r="W329" s="76"/>
    </row>
    <row r="330" spans="1:23">
      <c r="A330" s="93">
        <f t="shared" si="23"/>
        <v>326</v>
      </c>
      <c r="B330" s="94"/>
      <c r="C330" s="76"/>
      <c r="D330" s="76"/>
      <c r="E330" s="76"/>
      <c r="F330" s="94" t="str">
        <f t="shared" ca="1" si="20"/>
        <v/>
      </c>
      <c r="G330" s="96" t="str">
        <f>IFERROR((IF((VLOOKUP(B330,SALE!$B$5:$B$1000,1,0))&gt;0,"Sold","")),"")</f>
        <v/>
      </c>
      <c r="H330" s="96" t="str">
        <f>IFERROR((IF((VLOOKUP(B330,MORTALITY!$B$5:$B$1000,1,0))&gt;0,"Died","")),"")</f>
        <v/>
      </c>
      <c r="I330" s="96" t="str">
        <f ca="1">IFERROR(
   IF(LOOKUP(2,1/((ILLNESS!$B$6:$B$1000=B330)*(ILLNESS!$L$6:$L$1000&lt;&gt;"")),
            ILLNESS!$L$6:$L$1000)="No",
      "Sick",""),
"")</f>
        <v/>
      </c>
      <c r="J330" s="104"/>
      <c r="K330" s="97" t="str">
        <f t="shared" ca="1" si="21"/>
        <v/>
      </c>
      <c r="L330" s="97" t="str">
        <f t="shared" ca="1" si="22"/>
        <v/>
      </c>
      <c r="M330" s="76"/>
      <c r="N330" s="76"/>
      <c r="O330" s="76"/>
      <c r="P330" s="76"/>
      <c r="Q330" s="76"/>
      <c r="R330" s="76"/>
      <c r="S330" s="104"/>
      <c r="T330" s="104"/>
      <c r="U330" s="106"/>
      <c r="V330" s="98" t="str">
        <f>IF(OR(G330="Sold",H330="Died"),IF(G330="Sold",VLOOKUP(B330,SALE!$B$5:$J$1000,6,0),IF(H330="Died",VLOOKUP(B330,MORTALITY!$B$5:$K$1000,5,0),"")),"")</f>
        <v/>
      </c>
      <c r="W330" s="76"/>
    </row>
    <row r="331" spans="1:23">
      <c r="A331" s="93">
        <f t="shared" si="23"/>
        <v>327</v>
      </c>
      <c r="B331" s="94"/>
      <c r="C331" s="76"/>
      <c r="D331" s="76"/>
      <c r="E331" s="76"/>
      <c r="F331" s="94" t="str">
        <f t="shared" ca="1" si="20"/>
        <v/>
      </c>
      <c r="G331" s="96" t="str">
        <f>IFERROR((IF((VLOOKUP(B331,SALE!$B$5:$B$1000,1,0))&gt;0,"Sold","")),"")</f>
        <v/>
      </c>
      <c r="H331" s="96" t="str">
        <f>IFERROR((IF((VLOOKUP(B331,MORTALITY!$B$5:$B$1000,1,0))&gt;0,"Died","")),"")</f>
        <v/>
      </c>
      <c r="I331" s="96" t="str">
        <f ca="1">IFERROR(
   IF(LOOKUP(2,1/((ILLNESS!$B$6:$B$1000=B331)*(ILLNESS!$L$6:$L$1000&lt;&gt;"")),
            ILLNESS!$L$6:$L$1000)="No",
      "Sick",""),
"")</f>
        <v/>
      </c>
      <c r="J331" s="104"/>
      <c r="K331" s="97" t="str">
        <f t="shared" ca="1" si="21"/>
        <v/>
      </c>
      <c r="L331" s="97" t="str">
        <f t="shared" ca="1" si="22"/>
        <v/>
      </c>
      <c r="M331" s="76"/>
      <c r="N331" s="76"/>
      <c r="O331" s="76"/>
      <c r="P331" s="76"/>
      <c r="Q331" s="76"/>
      <c r="R331" s="76"/>
      <c r="S331" s="104"/>
      <c r="T331" s="104"/>
      <c r="U331" s="106"/>
      <c r="V331" s="98" t="str">
        <f>IF(OR(G331="Sold",H331="Died"),IF(G331="Sold",VLOOKUP(B331,SALE!$B$5:$J$1000,6,0),IF(H331="Died",VLOOKUP(B331,MORTALITY!$B$5:$K$1000,5,0),"")),"")</f>
        <v/>
      </c>
      <c r="W331" s="76"/>
    </row>
    <row r="332" spans="1:23">
      <c r="A332" s="93">
        <f t="shared" si="23"/>
        <v>328</v>
      </c>
      <c r="B332" s="94"/>
      <c r="C332" s="76"/>
      <c r="D332" s="76"/>
      <c r="E332" s="76"/>
      <c r="F332" s="94" t="str">
        <f t="shared" ca="1" si="20"/>
        <v/>
      </c>
      <c r="G332" s="96" t="str">
        <f>IFERROR((IF((VLOOKUP(B332,SALE!$B$5:$B$1000,1,0))&gt;0,"Sold","")),"")</f>
        <v/>
      </c>
      <c r="H332" s="96" t="str">
        <f>IFERROR((IF((VLOOKUP(B332,MORTALITY!$B$5:$B$1000,1,0))&gt;0,"Died","")),"")</f>
        <v/>
      </c>
      <c r="I332" s="96" t="str">
        <f ca="1">IFERROR(
   IF(LOOKUP(2,1/((ILLNESS!$B$6:$B$1000=B332)*(ILLNESS!$L$6:$L$1000&lt;&gt;"")),
            ILLNESS!$L$6:$L$1000)="No",
      "Sick",""),
"")</f>
        <v/>
      </c>
      <c r="J332" s="104"/>
      <c r="K332" s="97" t="str">
        <f t="shared" ca="1" si="21"/>
        <v/>
      </c>
      <c r="L332" s="97" t="str">
        <f t="shared" ca="1" si="22"/>
        <v/>
      </c>
      <c r="M332" s="76"/>
      <c r="N332" s="76"/>
      <c r="O332" s="76"/>
      <c r="P332" s="76"/>
      <c r="Q332" s="76"/>
      <c r="R332" s="76"/>
      <c r="S332" s="104"/>
      <c r="T332" s="104"/>
      <c r="U332" s="106"/>
      <c r="V332" s="98" t="str">
        <f>IF(OR(G332="Sold",H332="Died"),IF(G332="Sold",VLOOKUP(B332,SALE!$B$5:$J$1000,6,0),IF(H332="Died",VLOOKUP(B332,MORTALITY!$B$5:$K$1000,5,0),"")),"")</f>
        <v/>
      </c>
      <c r="W332" s="76"/>
    </row>
    <row r="333" spans="1:23">
      <c r="A333" s="93">
        <f t="shared" si="23"/>
        <v>329</v>
      </c>
      <c r="B333" s="94"/>
      <c r="C333" s="76"/>
      <c r="D333" s="76"/>
      <c r="E333" s="76"/>
      <c r="F333" s="94" t="str">
        <f t="shared" ca="1" si="20"/>
        <v/>
      </c>
      <c r="G333" s="96" t="str">
        <f>IFERROR((IF((VLOOKUP(B333,SALE!$B$5:$B$1000,1,0))&gt;0,"Sold","")),"")</f>
        <v/>
      </c>
      <c r="H333" s="96" t="str">
        <f>IFERROR((IF((VLOOKUP(B333,MORTALITY!$B$5:$B$1000,1,0))&gt;0,"Died","")),"")</f>
        <v/>
      </c>
      <c r="I333" s="96" t="str">
        <f ca="1">IFERROR(
   IF(LOOKUP(2,1/((ILLNESS!$B$6:$B$1000=B333)*(ILLNESS!$L$6:$L$1000&lt;&gt;"")),
            ILLNESS!$L$6:$L$1000)="No",
      "Sick",""),
"")</f>
        <v/>
      </c>
      <c r="J333" s="104"/>
      <c r="K333" s="97" t="str">
        <f t="shared" ca="1" si="21"/>
        <v/>
      </c>
      <c r="L333" s="97" t="str">
        <f t="shared" ca="1" si="22"/>
        <v/>
      </c>
      <c r="M333" s="76"/>
      <c r="N333" s="76"/>
      <c r="O333" s="76"/>
      <c r="P333" s="76"/>
      <c r="Q333" s="76"/>
      <c r="R333" s="76"/>
      <c r="S333" s="104"/>
      <c r="T333" s="104"/>
      <c r="U333" s="106"/>
      <c r="V333" s="98" t="str">
        <f>IF(OR(G333="Sold",H333="Died"),IF(G333="Sold",VLOOKUP(B333,SALE!$B$5:$J$1000,6,0),IF(H333="Died",VLOOKUP(B333,MORTALITY!$B$5:$K$1000,5,0),"")),"")</f>
        <v/>
      </c>
      <c r="W333" s="76"/>
    </row>
    <row r="334" spans="1:23">
      <c r="A334" s="93">
        <f t="shared" si="23"/>
        <v>330</v>
      </c>
      <c r="B334" s="94"/>
      <c r="C334" s="76"/>
      <c r="D334" s="76"/>
      <c r="E334" s="76"/>
      <c r="F334" s="94" t="str">
        <f t="shared" ca="1" si="20"/>
        <v/>
      </c>
      <c r="G334" s="96" t="str">
        <f>IFERROR((IF((VLOOKUP(B334,SALE!$B$5:$B$1000,1,0))&gt;0,"Sold","")),"")</f>
        <v/>
      </c>
      <c r="H334" s="96" t="str">
        <f>IFERROR((IF((VLOOKUP(B334,MORTALITY!$B$5:$B$1000,1,0))&gt;0,"Died","")),"")</f>
        <v/>
      </c>
      <c r="I334" s="96" t="str">
        <f ca="1">IFERROR(
   IF(LOOKUP(2,1/((ILLNESS!$B$6:$B$1000=B334)*(ILLNESS!$L$6:$L$1000&lt;&gt;"")),
            ILLNESS!$L$6:$L$1000)="No",
      "Sick",""),
"")</f>
        <v/>
      </c>
      <c r="J334" s="104"/>
      <c r="K334" s="97" t="str">
        <f t="shared" ca="1" si="21"/>
        <v/>
      </c>
      <c r="L334" s="97" t="str">
        <f t="shared" ca="1" si="22"/>
        <v/>
      </c>
      <c r="M334" s="76"/>
      <c r="N334" s="76"/>
      <c r="O334" s="76"/>
      <c r="P334" s="76"/>
      <c r="Q334" s="76"/>
      <c r="R334" s="76"/>
      <c r="S334" s="104"/>
      <c r="T334" s="104"/>
      <c r="U334" s="106"/>
      <c r="V334" s="98" t="str">
        <f>IF(OR(G334="Sold",H334="Died"),IF(G334="Sold",VLOOKUP(B334,SALE!$B$5:$J$1000,6,0),IF(H334="Died",VLOOKUP(B334,MORTALITY!$B$5:$K$1000,5,0),"")),"")</f>
        <v/>
      </c>
      <c r="W334" s="76"/>
    </row>
    <row r="335" spans="1:23">
      <c r="A335" s="93">
        <f t="shared" si="23"/>
        <v>331</v>
      </c>
      <c r="B335" s="94"/>
      <c r="C335" s="76"/>
      <c r="D335" s="76"/>
      <c r="E335" s="76"/>
      <c r="F335" s="94" t="str">
        <f t="shared" ca="1" si="20"/>
        <v/>
      </c>
      <c r="G335" s="96" t="str">
        <f>IFERROR((IF((VLOOKUP(B335,SALE!$B$5:$B$1000,1,0))&gt;0,"Sold","")),"")</f>
        <v/>
      </c>
      <c r="H335" s="96" t="str">
        <f>IFERROR((IF((VLOOKUP(B335,MORTALITY!$B$5:$B$1000,1,0))&gt;0,"Died","")),"")</f>
        <v/>
      </c>
      <c r="I335" s="96" t="str">
        <f ca="1">IFERROR(
   IF(LOOKUP(2,1/((ILLNESS!$B$6:$B$1000=B335)*(ILLNESS!$L$6:$L$1000&lt;&gt;"")),
            ILLNESS!$L$6:$L$1000)="No",
      "Sick",""),
"")</f>
        <v/>
      </c>
      <c r="J335" s="104"/>
      <c r="K335" s="97" t="str">
        <f t="shared" ca="1" si="21"/>
        <v/>
      </c>
      <c r="L335" s="97" t="str">
        <f t="shared" ca="1" si="22"/>
        <v/>
      </c>
      <c r="M335" s="76"/>
      <c r="N335" s="76"/>
      <c r="O335" s="76"/>
      <c r="P335" s="76"/>
      <c r="Q335" s="76"/>
      <c r="R335" s="76"/>
      <c r="S335" s="104"/>
      <c r="T335" s="104"/>
      <c r="U335" s="106"/>
      <c r="V335" s="98" t="str">
        <f>IF(OR(G335="Sold",H335="Died"),IF(G335="Sold",VLOOKUP(B335,SALE!$B$5:$J$1000,6,0),IF(H335="Died",VLOOKUP(B335,MORTALITY!$B$5:$K$1000,5,0),"")),"")</f>
        <v/>
      </c>
      <c r="W335" s="76"/>
    </row>
    <row r="336" spans="1:23">
      <c r="A336" s="93">
        <f t="shared" si="23"/>
        <v>332</v>
      </c>
      <c r="B336" s="94"/>
      <c r="C336" s="76"/>
      <c r="D336" s="76"/>
      <c r="E336" s="76"/>
      <c r="F336" s="94" t="str">
        <f t="shared" ca="1" si="20"/>
        <v/>
      </c>
      <c r="G336" s="96" t="str">
        <f>IFERROR((IF((VLOOKUP(B336,SALE!$B$5:$B$1000,1,0))&gt;0,"Sold","")),"")</f>
        <v/>
      </c>
      <c r="H336" s="96" t="str">
        <f>IFERROR((IF((VLOOKUP(B336,MORTALITY!$B$5:$B$1000,1,0))&gt;0,"Died","")),"")</f>
        <v/>
      </c>
      <c r="I336" s="96" t="str">
        <f ca="1">IFERROR(
   IF(LOOKUP(2,1/((ILLNESS!$B$6:$B$1000=B336)*(ILLNESS!$L$6:$L$1000&lt;&gt;"")),
            ILLNESS!$L$6:$L$1000)="No",
      "Sick",""),
"")</f>
        <v/>
      </c>
      <c r="J336" s="104"/>
      <c r="K336" s="97" t="str">
        <f t="shared" ca="1" si="21"/>
        <v/>
      </c>
      <c r="L336" s="97" t="str">
        <f t="shared" ca="1" si="22"/>
        <v/>
      </c>
      <c r="M336" s="76"/>
      <c r="N336" s="76"/>
      <c r="O336" s="76"/>
      <c r="P336" s="76"/>
      <c r="Q336" s="76"/>
      <c r="R336" s="76"/>
      <c r="S336" s="104"/>
      <c r="T336" s="104"/>
      <c r="U336" s="106"/>
      <c r="V336" s="98" t="str">
        <f>IF(OR(G336="Sold",H336="Died"),IF(G336="Sold",VLOOKUP(B336,SALE!$B$5:$J$1000,6,0),IF(H336="Died",VLOOKUP(B336,MORTALITY!$B$5:$K$1000,5,0),"")),"")</f>
        <v/>
      </c>
      <c r="W336" s="76"/>
    </row>
    <row r="337" spans="1:23">
      <c r="A337" s="93">
        <f t="shared" si="23"/>
        <v>333</v>
      </c>
      <c r="B337" s="94"/>
      <c r="C337" s="76"/>
      <c r="D337" s="76"/>
      <c r="E337" s="76"/>
      <c r="F337" s="94" t="str">
        <f t="shared" ca="1" si="20"/>
        <v/>
      </c>
      <c r="G337" s="96" t="str">
        <f>IFERROR((IF((VLOOKUP(B337,SALE!$B$5:$B$1000,1,0))&gt;0,"Sold","")),"")</f>
        <v/>
      </c>
      <c r="H337" s="96" t="str">
        <f>IFERROR((IF((VLOOKUP(B337,MORTALITY!$B$5:$B$1000,1,0))&gt;0,"Died","")),"")</f>
        <v/>
      </c>
      <c r="I337" s="96" t="str">
        <f ca="1">IFERROR(
   IF(LOOKUP(2,1/((ILLNESS!$B$6:$B$1000=B337)*(ILLNESS!$L$6:$L$1000&lt;&gt;"")),
            ILLNESS!$L$6:$L$1000)="No",
      "Sick",""),
"")</f>
        <v/>
      </c>
      <c r="J337" s="104"/>
      <c r="K337" s="97" t="str">
        <f t="shared" ca="1" si="21"/>
        <v/>
      </c>
      <c r="L337" s="97" t="str">
        <f t="shared" ca="1" si="22"/>
        <v/>
      </c>
      <c r="M337" s="76"/>
      <c r="N337" s="76"/>
      <c r="O337" s="76"/>
      <c r="P337" s="76"/>
      <c r="Q337" s="76"/>
      <c r="R337" s="76"/>
      <c r="S337" s="104"/>
      <c r="T337" s="104"/>
      <c r="U337" s="106"/>
      <c r="V337" s="98" t="str">
        <f>IF(OR(G337="Sold",H337="Died"),IF(G337="Sold",VLOOKUP(B337,SALE!$B$5:$J$1000,6,0),IF(H337="Died",VLOOKUP(B337,MORTALITY!$B$5:$K$1000,5,0),"")),"")</f>
        <v/>
      </c>
      <c r="W337" s="76"/>
    </row>
    <row r="338" spans="1:23">
      <c r="A338" s="93">
        <f t="shared" si="23"/>
        <v>334</v>
      </c>
      <c r="B338" s="94"/>
      <c r="C338" s="76"/>
      <c r="D338" s="76"/>
      <c r="E338" s="76"/>
      <c r="F338" s="94" t="str">
        <f t="shared" ca="1" si="20"/>
        <v/>
      </c>
      <c r="G338" s="96" t="str">
        <f>IFERROR((IF((VLOOKUP(B338,SALE!$B$5:$B$1000,1,0))&gt;0,"Sold","")),"")</f>
        <v/>
      </c>
      <c r="H338" s="96" t="str">
        <f>IFERROR((IF((VLOOKUP(B338,MORTALITY!$B$5:$B$1000,1,0))&gt;0,"Died","")),"")</f>
        <v/>
      </c>
      <c r="I338" s="96" t="str">
        <f ca="1">IFERROR(
   IF(LOOKUP(2,1/((ILLNESS!$B$6:$B$1000=B338)*(ILLNESS!$L$6:$L$1000&lt;&gt;"")),
            ILLNESS!$L$6:$L$1000)="No",
      "Sick",""),
"")</f>
        <v/>
      </c>
      <c r="J338" s="104"/>
      <c r="K338" s="97" t="str">
        <f t="shared" ca="1" si="21"/>
        <v/>
      </c>
      <c r="L338" s="97" t="str">
        <f t="shared" ca="1" si="22"/>
        <v/>
      </c>
      <c r="M338" s="76"/>
      <c r="N338" s="76"/>
      <c r="O338" s="76"/>
      <c r="P338" s="76"/>
      <c r="Q338" s="76"/>
      <c r="R338" s="76"/>
      <c r="S338" s="104"/>
      <c r="T338" s="104"/>
      <c r="U338" s="106"/>
      <c r="V338" s="98" t="str">
        <f>IF(OR(G338="Sold",H338="Died"),IF(G338="Sold",VLOOKUP(B338,SALE!$B$5:$J$1000,6,0),IF(H338="Died",VLOOKUP(B338,MORTALITY!$B$5:$K$1000,5,0),"")),"")</f>
        <v/>
      </c>
      <c r="W338" s="76"/>
    </row>
    <row r="339" spans="1:23">
      <c r="A339" s="93">
        <f t="shared" si="23"/>
        <v>335</v>
      </c>
      <c r="B339" s="94"/>
      <c r="C339" s="76"/>
      <c r="D339" s="76"/>
      <c r="E339" s="76"/>
      <c r="F339" s="94" t="str">
        <f t="shared" ca="1" si="20"/>
        <v/>
      </c>
      <c r="G339" s="96" t="str">
        <f>IFERROR((IF((VLOOKUP(B339,SALE!$B$5:$B$1000,1,0))&gt;0,"Sold","")),"")</f>
        <v/>
      </c>
      <c r="H339" s="96" t="str">
        <f>IFERROR((IF((VLOOKUP(B339,MORTALITY!$B$5:$B$1000,1,0))&gt;0,"Died","")),"")</f>
        <v/>
      </c>
      <c r="I339" s="96" t="str">
        <f ca="1">IFERROR(
   IF(LOOKUP(2,1/((ILLNESS!$B$6:$B$1000=B339)*(ILLNESS!$L$6:$L$1000&lt;&gt;"")),
            ILLNESS!$L$6:$L$1000)="No",
      "Sick",""),
"")</f>
        <v/>
      </c>
      <c r="J339" s="104"/>
      <c r="K339" s="97" t="str">
        <f t="shared" ca="1" si="21"/>
        <v/>
      </c>
      <c r="L339" s="97" t="str">
        <f t="shared" ca="1" si="22"/>
        <v/>
      </c>
      <c r="M339" s="76"/>
      <c r="N339" s="76"/>
      <c r="O339" s="76"/>
      <c r="P339" s="76"/>
      <c r="Q339" s="76"/>
      <c r="R339" s="76"/>
      <c r="S339" s="104"/>
      <c r="T339" s="104"/>
      <c r="U339" s="106"/>
      <c r="V339" s="98" t="str">
        <f>IF(OR(G339="Sold",H339="Died"),IF(G339="Sold",VLOOKUP(B339,SALE!$B$5:$J$1000,6,0),IF(H339="Died",VLOOKUP(B339,MORTALITY!$B$5:$K$1000,5,0),"")),"")</f>
        <v/>
      </c>
      <c r="W339" s="76"/>
    </row>
    <row r="340" spans="1:23">
      <c r="A340" s="93">
        <f t="shared" si="23"/>
        <v>336</v>
      </c>
      <c r="B340" s="94"/>
      <c r="C340" s="76"/>
      <c r="D340" s="76"/>
      <c r="E340" s="76"/>
      <c r="F340" s="94" t="str">
        <f t="shared" ca="1" si="20"/>
        <v/>
      </c>
      <c r="G340" s="96" t="str">
        <f>IFERROR((IF((VLOOKUP(B340,SALE!$B$5:$B$1000,1,0))&gt;0,"Sold","")),"")</f>
        <v/>
      </c>
      <c r="H340" s="96" t="str">
        <f>IFERROR((IF((VLOOKUP(B340,MORTALITY!$B$5:$B$1000,1,0))&gt;0,"Died","")),"")</f>
        <v/>
      </c>
      <c r="I340" s="96" t="str">
        <f ca="1">IFERROR(
   IF(LOOKUP(2,1/((ILLNESS!$B$6:$B$1000=B340)*(ILLNESS!$L$6:$L$1000&lt;&gt;"")),
            ILLNESS!$L$6:$L$1000)="No",
      "Sick",""),
"")</f>
        <v/>
      </c>
      <c r="J340" s="104"/>
      <c r="K340" s="97" t="str">
        <f t="shared" ca="1" si="21"/>
        <v/>
      </c>
      <c r="L340" s="97" t="str">
        <f t="shared" ca="1" si="22"/>
        <v/>
      </c>
      <c r="M340" s="76"/>
      <c r="N340" s="76"/>
      <c r="O340" s="76"/>
      <c r="P340" s="76"/>
      <c r="Q340" s="76"/>
      <c r="R340" s="76"/>
      <c r="S340" s="104"/>
      <c r="T340" s="104"/>
      <c r="U340" s="106"/>
      <c r="V340" s="98" t="str">
        <f>IF(OR(G340="Sold",H340="Died"),IF(G340="Sold",VLOOKUP(B340,SALE!$B$5:$J$1000,6,0),IF(H340="Died",VLOOKUP(B340,MORTALITY!$B$5:$K$1000,5,0),"")),"")</f>
        <v/>
      </c>
      <c r="W340" s="76"/>
    </row>
    <row r="341" spans="1:23">
      <c r="A341" s="93">
        <f t="shared" si="23"/>
        <v>337</v>
      </c>
      <c r="B341" s="94"/>
      <c r="C341" s="76"/>
      <c r="D341" s="76"/>
      <c r="E341" s="76"/>
      <c r="F341" s="94" t="str">
        <f t="shared" ca="1" si="20"/>
        <v/>
      </c>
      <c r="G341" s="96" t="str">
        <f>IFERROR((IF((VLOOKUP(B341,SALE!$B$5:$B$1000,1,0))&gt;0,"Sold","")),"")</f>
        <v/>
      </c>
      <c r="H341" s="96" t="str">
        <f>IFERROR((IF((VLOOKUP(B341,MORTALITY!$B$5:$B$1000,1,0))&gt;0,"Died","")),"")</f>
        <v/>
      </c>
      <c r="I341" s="96" t="str">
        <f ca="1">IFERROR(
   IF(LOOKUP(2,1/((ILLNESS!$B$6:$B$1000=B341)*(ILLNESS!$L$6:$L$1000&lt;&gt;"")),
            ILLNESS!$L$6:$L$1000)="No",
      "Sick",""),
"")</f>
        <v/>
      </c>
      <c r="J341" s="104"/>
      <c r="K341" s="97" t="str">
        <f t="shared" ca="1" si="21"/>
        <v/>
      </c>
      <c r="L341" s="97" t="str">
        <f t="shared" ca="1" si="22"/>
        <v/>
      </c>
      <c r="M341" s="76"/>
      <c r="N341" s="76"/>
      <c r="O341" s="76"/>
      <c r="P341" s="76"/>
      <c r="Q341" s="76"/>
      <c r="R341" s="76"/>
      <c r="S341" s="104"/>
      <c r="T341" s="104"/>
      <c r="U341" s="106"/>
      <c r="V341" s="98" t="str">
        <f>IF(OR(G341="Sold",H341="Died"),IF(G341="Sold",VLOOKUP(B341,SALE!$B$5:$J$1000,6,0),IF(H341="Died",VLOOKUP(B341,MORTALITY!$B$5:$K$1000,5,0),"")),"")</f>
        <v/>
      </c>
      <c r="W341" s="76"/>
    </row>
    <row r="342" spans="1:23">
      <c r="A342" s="93">
        <f t="shared" si="23"/>
        <v>338</v>
      </c>
      <c r="B342" s="94"/>
      <c r="C342" s="76"/>
      <c r="D342" s="76"/>
      <c r="E342" s="76"/>
      <c r="F342" s="94" t="str">
        <f t="shared" ca="1" si="20"/>
        <v/>
      </c>
      <c r="G342" s="96" t="str">
        <f>IFERROR((IF((VLOOKUP(B342,SALE!$B$5:$B$1000,1,0))&gt;0,"Sold","")),"")</f>
        <v/>
      </c>
      <c r="H342" s="96" t="str">
        <f>IFERROR((IF((VLOOKUP(B342,MORTALITY!$B$5:$B$1000,1,0))&gt;0,"Died","")),"")</f>
        <v/>
      </c>
      <c r="I342" s="96" t="str">
        <f ca="1">IFERROR(
   IF(LOOKUP(2,1/((ILLNESS!$B$6:$B$1000=B342)*(ILLNESS!$L$6:$L$1000&lt;&gt;"")),
            ILLNESS!$L$6:$L$1000)="No",
      "Sick",""),
"")</f>
        <v/>
      </c>
      <c r="J342" s="104"/>
      <c r="K342" s="97" t="str">
        <f t="shared" ca="1" si="21"/>
        <v/>
      </c>
      <c r="L342" s="97" t="str">
        <f t="shared" ca="1" si="22"/>
        <v/>
      </c>
      <c r="M342" s="76"/>
      <c r="N342" s="76"/>
      <c r="O342" s="76"/>
      <c r="P342" s="76"/>
      <c r="Q342" s="76"/>
      <c r="R342" s="76"/>
      <c r="S342" s="104"/>
      <c r="T342" s="104"/>
      <c r="U342" s="106"/>
      <c r="V342" s="98" t="str">
        <f>IF(OR(G342="Sold",H342="Died"),IF(G342="Sold",VLOOKUP(B342,SALE!$B$5:$J$1000,6,0),IF(H342="Died",VLOOKUP(B342,MORTALITY!$B$5:$K$1000,5,0),"")),"")</f>
        <v/>
      </c>
      <c r="W342" s="76"/>
    </row>
    <row r="343" spans="1:23">
      <c r="A343" s="93">
        <f t="shared" si="23"/>
        <v>339</v>
      </c>
      <c r="B343" s="94"/>
      <c r="C343" s="76"/>
      <c r="D343" s="76"/>
      <c r="E343" s="76"/>
      <c r="F343" s="94" t="str">
        <f t="shared" ca="1" si="20"/>
        <v/>
      </c>
      <c r="G343" s="96" t="str">
        <f>IFERROR((IF((VLOOKUP(B343,SALE!$B$5:$B$1000,1,0))&gt;0,"Sold","")),"")</f>
        <v/>
      </c>
      <c r="H343" s="96" t="str">
        <f>IFERROR((IF((VLOOKUP(B343,MORTALITY!$B$5:$B$1000,1,0))&gt;0,"Died","")),"")</f>
        <v/>
      </c>
      <c r="I343" s="96" t="str">
        <f ca="1">IFERROR(
   IF(LOOKUP(2,1/((ILLNESS!$B$6:$B$1000=B343)*(ILLNESS!$L$6:$L$1000&lt;&gt;"")),
            ILLNESS!$L$6:$L$1000)="No",
      "Sick",""),
"")</f>
        <v/>
      </c>
      <c r="J343" s="104"/>
      <c r="K343" s="97" t="str">
        <f t="shared" ca="1" si="21"/>
        <v/>
      </c>
      <c r="L343" s="97" t="str">
        <f t="shared" ca="1" si="22"/>
        <v/>
      </c>
      <c r="M343" s="76"/>
      <c r="N343" s="76"/>
      <c r="O343" s="76"/>
      <c r="P343" s="76"/>
      <c r="Q343" s="76"/>
      <c r="R343" s="76"/>
      <c r="S343" s="104"/>
      <c r="T343" s="104"/>
      <c r="U343" s="106"/>
      <c r="V343" s="98" t="str">
        <f>IF(OR(G343="Sold",H343="Died"),IF(G343="Sold",VLOOKUP(B343,SALE!$B$5:$J$1000,6,0),IF(H343="Died",VLOOKUP(B343,MORTALITY!$B$5:$K$1000,5,0),"")),"")</f>
        <v/>
      </c>
      <c r="W343" s="76"/>
    </row>
    <row r="344" spans="1:23">
      <c r="A344" s="93">
        <f t="shared" si="23"/>
        <v>340</v>
      </c>
      <c r="B344" s="94"/>
      <c r="C344" s="76"/>
      <c r="D344" s="76"/>
      <c r="E344" s="76"/>
      <c r="F344" s="94" t="str">
        <f t="shared" ca="1" si="20"/>
        <v/>
      </c>
      <c r="G344" s="96" t="str">
        <f>IFERROR((IF((VLOOKUP(B344,SALE!$B$5:$B$1000,1,0))&gt;0,"Sold","")),"")</f>
        <v/>
      </c>
      <c r="H344" s="96" t="str">
        <f>IFERROR((IF((VLOOKUP(B344,MORTALITY!$B$5:$B$1000,1,0))&gt;0,"Died","")),"")</f>
        <v/>
      </c>
      <c r="I344" s="96" t="str">
        <f ca="1">IFERROR(
   IF(LOOKUP(2,1/((ILLNESS!$B$6:$B$1000=B344)*(ILLNESS!$L$6:$L$1000&lt;&gt;"")),
            ILLNESS!$L$6:$L$1000)="No",
      "Sick",""),
"")</f>
        <v/>
      </c>
      <c r="J344" s="104"/>
      <c r="K344" s="97" t="str">
        <f t="shared" ca="1" si="21"/>
        <v/>
      </c>
      <c r="L344" s="97" t="str">
        <f t="shared" ca="1" si="22"/>
        <v/>
      </c>
      <c r="M344" s="76"/>
      <c r="N344" s="76"/>
      <c r="O344" s="76"/>
      <c r="P344" s="76"/>
      <c r="Q344" s="76"/>
      <c r="R344" s="76"/>
      <c r="S344" s="104"/>
      <c r="T344" s="104"/>
      <c r="U344" s="106"/>
      <c r="V344" s="98" t="str">
        <f>IF(OR(G344="Sold",H344="Died"),IF(G344="Sold",VLOOKUP(B344,SALE!$B$5:$J$1000,6,0),IF(H344="Died",VLOOKUP(B344,MORTALITY!$B$5:$K$1000,5,0),"")),"")</f>
        <v/>
      </c>
      <c r="W344" s="76"/>
    </row>
    <row r="345" spans="1:23">
      <c r="A345" s="93">
        <f t="shared" si="23"/>
        <v>341</v>
      </c>
      <c r="B345" s="94"/>
      <c r="C345" s="76"/>
      <c r="D345" s="76"/>
      <c r="E345" s="76"/>
      <c r="F345" s="94" t="str">
        <f t="shared" ca="1" si="20"/>
        <v/>
      </c>
      <c r="G345" s="96" t="str">
        <f>IFERROR((IF((VLOOKUP(B345,SALE!$B$5:$B$1000,1,0))&gt;0,"Sold","")),"")</f>
        <v/>
      </c>
      <c r="H345" s="96" t="str">
        <f>IFERROR((IF((VLOOKUP(B345,MORTALITY!$B$5:$B$1000,1,0))&gt;0,"Died","")),"")</f>
        <v/>
      </c>
      <c r="I345" s="96" t="str">
        <f ca="1">IFERROR(
   IF(LOOKUP(2,1/((ILLNESS!$B$6:$B$1000=B345)*(ILLNESS!$L$6:$L$1000&lt;&gt;"")),
            ILLNESS!$L$6:$L$1000)="No",
      "Sick",""),
"")</f>
        <v/>
      </c>
      <c r="J345" s="104"/>
      <c r="K345" s="97" t="str">
        <f t="shared" ca="1" si="21"/>
        <v/>
      </c>
      <c r="L345" s="97" t="str">
        <f t="shared" ca="1" si="22"/>
        <v/>
      </c>
      <c r="M345" s="76"/>
      <c r="N345" s="76"/>
      <c r="O345" s="76"/>
      <c r="P345" s="76"/>
      <c r="Q345" s="76"/>
      <c r="R345" s="76"/>
      <c r="S345" s="104"/>
      <c r="T345" s="104"/>
      <c r="U345" s="106"/>
      <c r="V345" s="98" t="str">
        <f>IF(OR(G345="Sold",H345="Died"),IF(G345="Sold",VLOOKUP(B345,SALE!$B$5:$J$1000,6,0),IF(H345="Died",VLOOKUP(B345,MORTALITY!$B$5:$K$1000,5,0),"")),"")</f>
        <v/>
      </c>
      <c r="W345" s="76"/>
    </row>
    <row r="346" spans="1:23">
      <c r="A346" s="93">
        <f t="shared" si="23"/>
        <v>342</v>
      </c>
      <c r="B346" s="94"/>
      <c r="C346" s="76"/>
      <c r="D346" s="76"/>
      <c r="E346" s="76"/>
      <c r="F346" s="94" t="str">
        <f t="shared" ca="1" si="20"/>
        <v/>
      </c>
      <c r="G346" s="96" t="str">
        <f>IFERROR((IF((VLOOKUP(B346,SALE!$B$5:$B$1000,1,0))&gt;0,"Sold","")),"")</f>
        <v/>
      </c>
      <c r="H346" s="96" t="str">
        <f>IFERROR((IF((VLOOKUP(B346,MORTALITY!$B$5:$B$1000,1,0))&gt;0,"Died","")),"")</f>
        <v/>
      </c>
      <c r="I346" s="96" t="str">
        <f ca="1">IFERROR(
   IF(LOOKUP(2,1/((ILLNESS!$B$6:$B$1000=B346)*(ILLNESS!$L$6:$L$1000&lt;&gt;"")),
            ILLNESS!$L$6:$L$1000)="No",
      "Sick",""),
"")</f>
        <v/>
      </c>
      <c r="J346" s="104"/>
      <c r="K346" s="97" t="str">
        <f t="shared" ca="1" si="21"/>
        <v/>
      </c>
      <c r="L346" s="97" t="str">
        <f t="shared" ca="1" si="22"/>
        <v/>
      </c>
      <c r="M346" s="76"/>
      <c r="N346" s="76"/>
      <c r="O346" s="76"/>
      <c r="P346" s="76"/>
      <c r="Q346" s="76"/>
      <c r="R346" s="76"/>
      <c r="S346" s="104"/>
      <c r="T346" s="104"/>
      <c r="U346" s="106"/>
      <c r="V346" s="98" t="str">
        <f>IF(OR(G346="Sold",H346="Died"),IF(G346="Sold",VLOOKUP(B346,SALE!$B$5:$J$1000,6,0),IF(H346="Died",VLOOKUP(B346,MORTALITY!$B$5:$K$1000,5,0),"")),"")</f>
        <v/>
      </c>
      <c r="W346" s="76"/>
    </row>
    <row r="347" spans="1:23">
      <c r="A347" s="93">
        <f t="shared" si="23"/>
        <v>343</v>
      </c>
      <c r="B347" s="94"/>
      <c r="C347" s="76"/>
      <c r="D347" s="76"/>
      <c r="E347" s="76"/>
      <c r="F347" s="94" t="str">
        <f t="shared" ca="1" si="20"/>
        <v/>
      </c>
      <c r="G347" s="96" t="str">
        <f>IFERROR((IF((VLOOKUP(B347,SALE!$B$5:$B$1000,1,0))&gt;0,"Sold","")),"")</f>
        <v/>
      </c>
      <c r="H347" s="96" t="str">
        <f>IFERROR((IF((VLOOKUP(B347,MORTALITY!$B$5:$B$1000,1,0))&gt;0,"Died","")),"")</f>
        <v/>
      </c>
      <c r="I347" s="96" t="str">
        <f ca="1">IFERROR(
   IF(LOOKUP(2,1/((ILLNESS!$B$6:$B$1000=B347)*(ILLNESS!$L$6:$L$1000&lt;&gt;"")),
            ILLNESS!$L$6:$L$1000)="No",
      "Sick",""),
"")</f>
        <v/>
      </c>
      <c r="J347" s="104"/>
      <c r="K347" s="97" t="str">
        <f t="shared" ca="1" si="21"/>
        <v/>
      </c>
      <c r="L347" s="97" t="str">
        <f t="shared" ca="1" si="22"/>
        <v/>
      </c>
      <c r="M347" s="76"/>
      <c r="N347" s="76"/>
      <c r="O347" s="76"/>
      <c r="P347" s="76"/>
      <c r="Q347" s="76"/>
      <c r="R347" s="76"/>
      <c r="S347" s="104"/>
      <c r="T347" s="104"/>
      <c r="U347" s="106"/>
      <c r="V347" s="98" t="str">
        <f>IF(OR(G347="Sold",H347="Died"),IF(G347="Sold",VLOOKUP(B347,SALE!$B$5:$J$1000,6,0),IF(H347="Died",VLOOKUP(B347,MORTALITY!$B$5:$K$1000,5,0),"")),"")</f>
        <v/>
      </c>
      <c r="W347" s="76"/>
    </row>
    <row r="348" spans="1:23">
      <c r="A348" s="93">
        <f t="shared" si="23"/>
        <v>344</v>
      </c>
      <c r="B348" s="94"/>
      <c r="C348" s="76"/>
      <c r="D348" s="76"/>
      <c r="E348" s="76"/>
      <c r="F348" s="94" t="str">
        <f t="shared" ca="1" si="20"/>
        <v/>
      </c>
      <c r="G348" s="96" t="str">
        <f>IFERROR((IF((VLOOKUP(B348,SALE!$B$5:$B$1000,1,0))&gt;0,"Sold","")),"")</f>
        <v/>
      </c>
      <c r="H348" s="96" t="str">
        <f>IFERROR((IF((VLOOKUP(B348,MORTALITY!$B$5:$B$1000,1,0))&gt;0,"Died","")),"")</f>
        <v/>
      </c>
      <c r="I348" s="96" t="str">
        <f ca="1">IFERROR(
   IF(LOOKUP(2,1/((ILLNESS!$B$6:$B$1000=B348)*(ILLNESS!$L$6:$L$1000&lt;&gt;"")),
            ILLNESS!$L$6:$L$1000)="No",
      "Sick",""),
"")</f>
        <v/>
      </c>
      <c r="J348" s="104"/>
      <c r="K348" s="97" t="str">
        <f t="shared" ca="1" si="21"/>
        <v/>
      </c>
      <c r="L348" s="97" t="str">
        <f t="shared" ca="1" si="22"/>
        <v/>
      </c>
      <c r="M348" s="76"/>
      <c r="N348" s="76"/>
      <c r="O348" s="76"/>
      <c r="P348" s="76"/>
      <c r="Q348" s="76"/>
      <c r="R348" s="76"/>
      <c r="S348" s="104"/>
      <c r="T348" s="104"/>
      <c r="U348" s="106"/>
      <c r="V348" s="98" t="str">
        <f>IF(OR(G348="Sold",H348="Died"),IF(G348="Sold",VLOOKUP(B348,SALE!$B$5:$J$1000,6,0),IF(H348="Died",VLOOKUP(B348,MORTALITY!$B$5:$K$1000,5,0),"")),"")</f>
        <v/>
      </c>
      <c r="W348" s="76"/>
    </row>
    <row r="349" spans="1:23">
      <c r="A349" s="93">
        <f t="shared" si="23"/>
        <v>345</v>
      </c>
      <c r="B349" s="94"/>
      <c r="C349" s="76"/>
      <c r="D349" s="76"/>
      <c r="E349" s="76"/>
      <c r="F349" s="94" t="str">
        <f t="shared" ca="1" si="20"/>
        <v/>
      </c>
      <c r="G349" s="96" t="str">
        <f>IFERROR((IF((VLOOKUP(B349,SALE!$B$5:$B$1000,1,0))&gt;0,"Sold","")),"")</f>
        <v/>
      </c>
      <c r="H349" s="96" t="str">
        <f>IFERROR((IF((VLOOKUP(B349,MORTALITY!$B$5:$B$1000,1,0))&gt;0,"Died","")),"")</f>
        <v/>
      </c>
      <c r="I349" s="96" t="str">
        <f ca="1">IFERROR(
   IF(LOOKUP(2,1/((ILLNESS!$B$6:$B$1000=B349)*(ILLNESS!$L$6:$L$1000&lt;&gt;"")),
            ILLNESS!$L$6:$L$1000)="No",
      "Sick",""),
"")</f>
        <v/>
      </c>
      <c r="J349" s="104"/>
      <c r="K349" s="97" t="str">
        <f t="shared" ca="1" si="21"/>
        <v/>
      </c>
      <c r="L349" s="97" t="str">
        <f t="shared" ca="1" si="22"/>
        <v/>
      </c>
      <c r="M349" s="76"/>
      <c r="N349" s="76"/>
      <c r="O349" s="76"/>
      <c r="P349" s="76"/>
      <c r="Q349" s="76"/>
      <c r="R349" s="76"/>
      <c r="S349" s="104"/>
      <c r="T349" s="104"/>
      <c r="U349" s="106"/>
      <c r="V349" s="98" t="str">
        <f>IF(OR(G349="Sold",H349="Died"),IF(G349="Sold",VLOOKUP(B349,SALE!$B$5:$J$1000,6,0),IF(H349="Died",VLOOKUP(B349,MORTALITY!$B$5:$K$1000,5,0),"")),"")</f>
        <v/>
      </c>
      <c r="W349" s="76"/>
    </row>
    <row r="350" spans="1:23">
      <c r="A350" s="93">
        <f t="shared" si="23"/>
        <v>346</v>
      </c>
      <c r="B350" s="94"/>
      <c r="C350" s="76"/>
      <c r="D350" s="76"/>
      <c r="E350" s="76"/>
      <c r="F350" s="94" t="str">
        <f t="shared" ca="1" si="20"/>
        <v/>
      </c>
      <c r="G350" s="96" t="str">
        <f>IFERROR((IF((VLOOKUP(B350,SALE!$B$5:$B$1000,1,0))&gt;0,"Sold","")),"")</f>
        <v/>
      </c>
      <c r="H350" s="96" t="str">
        <f>IFERROR((IF((VLOOKUP(B350,MORTALITY!$B$5:$B$1000,1,0))&gt;0,"Died","")),"")</f>
        <v/>
      </c>
      <c r="I350" s="96" t="str">
        <f ca="1">IFERROR(
   IF(LOOKUP(2,1/((ILLNESS!$B$6:$B$1000=B350)*(ILLNESS!$L$6:$L$1000&lt;&gt;"")),
            ILLNESS!$L$6:$L$1000)="No",
      "Sick",""),
"")</f>
        <v/>
      </c>
      <c r="J350" s="104"/>
      <c r="K350" s="97" t="str">
        <f t="shared" ca="1" si="21"/>
        <v/>
      </c>
      <c r="L350" s="97" t="str">
        <f t="shared" ca="1" si="22"/>
        <v/>
      </c>
      <c r="M350" s="76"/>
      <c r="N350" s="76"/>
      <c r="O350" s="76"/>
      <c r="P350" s="76"/>
      <c r="Q350" s="76"/>
      <c r="R350" s="76"/>
      <c r="S350" s="104"/>
      <c r="T350" s="104"/>
      <c r="U350" s="106"/>
      <c r="V350" s="98" t="str">
        <f>IF(OR(G350="Sold",H350="Died"),IF(G350="Sold",VLOOKUP(B350,SALE!$B$5:$J$1000,6,0),IF(H350="Died",VLOOKUP(B350,MORTALITY!$B$5:$K$1000,5,0),"")),"")</f>
        <v/>
      </c>
      <c r="W350" s="76"/>
    </row>
    <row r="351" spans="1:23">
      <c r="A351" s="93">
        <f t="shared" si="23"/>
        <v>347</v>
      </c>
      <c r="B351" s="94"/>
      <c r="C351" s="76"/>
      <c r="D351" s="76"/>
      <c r="E351" s="76"/>
      <c r="F351" s="94" t="str">
        <f t="shared" ca="1" si="20"/>
        <v/>
      </c>
      <c r="G351" s="96" t="str">
        <f>IFERROR((IF((VLOOKUP(B351,SALE!$B$5:$B$1000,1,0))&gt;0,"Sold","")),"")</f>
        <v/>
      </c>
      <c r="H351" s="96" t="str">
        <f>IFERROR((IF((VLOOKUP(B351,MORTALITY!$B$5:$B$1000,1,0))&gt;0,"Died","")),"")</f>
        <v/>
      </c>
      <c r="I351" s="96" t="str">
        <f ca="1">IFERROR(
   IF(LOOKUP(2,1/((ILLNESS!$B$6:$B$1000=B351)*(ILLNESS!$L$6:$L$1000&lt;&gt;"")),
            ILLNESS!$L$6:$L$1000)="No",
      "Sick",""),
"")</f>
        <v/>
      </c>
      <c r="J351" s="104"/>
      <c r="K351" s="97" t="str">
        <f t="shared" ca="1" si="21"/>
        <v/>
      </c>
      <c r="L351" s="97" t="str">
        <f t="shared" ca="1" si="22"/>
        <v/>
      </c>
      <c r="M351" s="76"/>
      <c r="N351" s="76"/>
      <c r="O351" s="76"/>
      <c r="P351" s="76"/>
      <c r="Q351" s="76"/>
      <c r="R351" s="76"/>
      <c r="S351" s="104"/>
      <c r="T351" s="104"/>
      <c r="U351" s="106"/>
      <c r="V351" s="98" t="str">
        <f>IF(OR(G351="Sold",H351="Died"),IF(G351="Sold",VLOOKUP(B351,SALE!$B$5:$J$1000,6,0),IF(H351="Died",VLOOKUP(B351,MORTALITY!$B$5:$K$1000,5,0),"")),"")</f>
        <v/>
      </c>
      <c r="W351" s="76"/>
    </row>
    <row r="352" spans="1:23">
      <c r="A352" s="93">
        <f t="shared" si="23"/>
        <v>348</v>
      </c>
      <c r="B352" s="94"/>
      <c r="C352" s="76"/>
      <c r="D352" s="76"/>
      <c r="E352" s="76"/>
      <c r="F352" s="94" t="str">
        <f t="shared" ca="1" si="20"/>
        <v/>
      </c>
      <c r="G352" s="96" t="str">
        <f>IFERROR((IF((VLOOKUP(B352,SALE!$B$5:$B$1000,1,0))&gt;0,"Sold","")),"")</f>
        <v/>
      </c>
      <c r="H352" s="96" t="str">
        <f>IFERROR((IF((VLOOKUP(B352,MORTALITY!$B$5:$B$1000,1,0))&gt;0,"Died","")),"")</f>
        <v/>
      </c>
      <c r="I352" s="96" t="str">
        <f ca="1">IFERROR(
   IF(LOOKUP(2,1/((ILLNESS!$B$6:$B$1000=B352)*(ILLNESS!$L$6:$L$1000&lt;&gt;"")),
            ILLNESS!$L$6:$L$1000)="No",
      "Sick",""),
"")</f>
        <v/>
      </c>
      <c r="J352" s="104"/>
      <c r="K352" s="97" t="str">
        <f t="shared" ca="1" si="21"/>
        <v/>
      </c>
      <c r="L352" s="97" t="str">
        <f t="shared" ca="1" si="22"/>
        <v/>
      </c>
      <c r="M352" s="76"/>
      <c r="N352" s="76"/>
      <c r="O352" s="76"/>
      <c r="P352" s="76"/>
      <c r="Q352" s="76"/>
      <c r="R352" s="76"/>
      <c r="S352" s="104"/>
      <c r="T352" s="104"/>
      <c r="U352" s="106"/>
      <c r="V352" s="98" t="str">
        <f>IF(OR(G352="Sold",H352="Died"),IF(G352="Sold",VLOOKUP(B352,SALE!$B$5:$J$1000,6,0),IF(H352="Died",VLOOKUP(B352,MORTALITY!$B$5:$K$1000,5,0),"")),"")</f>
        <v/>
      </c>
      <c r="W352" s="76"/>
    </row>
    <row r="353" spans="1:23">
      <c r="A353" s="93">
        <f t="shared" si="23"/>
        <v>349</v>
      </c>
      <c r="B353" s="94"/>
      <c r="C353" s="76"/>
      <c r="D353" s="76"/>
      <c r="E353" s="76"/>
      <c r="F353" s="94" t="str">
        <f t="shared" ca="1" si="20"/>
        <v/>
      </c>
      <c r="G353" s="96" t="str">
        <f>IFERROR((IF((VLOOKUP(B353,SALE!$B$5:$B$1000,1,0))&gt;0,"Sold","")),"")</f>
        <v/>
      </c>
      <c r="H353" s="96" t="str">
        <f>IFERROR((IF((VLOOKUP(B353,MORTALITY!$B$5:$B$1000,1,0))&gt;0,"Died","")),"")</f>
        <v/>
      </c>
      <c r="I353" s="96" t="str">
        <f ca="1">IFERROR(
   IF(LOOKUP(2,1/((ILLNESS!$B$6:$B$1000=B353)*(ILLNESS!$L$6:$L$1000&lt;&gt;"")),
            ILLNESS!$L$6:$L$1000)="No",
      "Sick",""),
"")</f>
        <v/>
      </c>
      <c r="J353" s="104"/>
      <c r="K353" s="97" t="str">
        <f t="shared" ca="1" si="21"/>
        <v/>
      </c>
      <c r="L353" s="97" t="str">
        <f t="shared" ca="1" si="22"/>
        <v/>
      </c>
      <c r="M353" s="76"/>
      <c r="N353" s="76"/>
      <c r="O353" s="76"/>
      <c r="P353" s="76"/>
      <c r="Q353" s="76"/>
      <c r="R353" s="76"/>
      <c r="S353" s="104"/>
      <c r="T353" s="104"/>
      <c r="U353" s="106"/>
      <c r="V353" s="98" t="str">
        <f>IF(OR(G353="Sold",H353="Died"),IF(G353="Sold",VLOOKUP(B353,SALE!$B$5:$J$1000,6,0),IF(H353="Died",VLOOKUP(B353,MORTALITY!$B$5:$K$1000,5,0),"")),"")</f>
        <v/>
      </c>
      <c r="W353" s="76"/>
    </row>
    <row r="354" spans="1:23">
      <c r="A354" s="93">
        <f t="shared" si="23"/>
        <v>350</v>
      </c>
      <c r="B354" s="94"/>
      <c r="C354" s="76"/>
      <c r="D354" s="76"/>
      <c r="E354" s="76"/>
      <c r="F354" s="94" t="str">
        <f t="shared" ca="1" si="20"/>
        <v/>
      </c>
      <c r="G354" s="96" t="str">
        <f>IFERROR((IF((VLOOKUP(B354,SALE!$B$5:$B$1000,1,0))&gt;0,"Sold","")),"")</f>
        <v/>
      </c>
      <c r="H354" s="96" t="str">
        <f>IFERROR((IF((VLOOKUP(B354,MORTALITY!$B$5:$B$1000,1,0))&gt;0,"Died","")),"")</f>
        <v/>
      </c>
      <c r="I354" s="96" t="str">
        <f ca="1">IFERROR(
   IF(LOOKUP(2,1/((ILLNESS!$B$6:$B$1000=B354)*(ILLNESS!$L$6:$L$1000&lt;&gt;"")),
            ILLNESS!$L$6:$L$1000)="No",
      "Sick",""),
"")</f>
        <v/>
      </c>
      <c r="J354" s="104"/>
      <c r="K354" s="97" t="str">
        <f t="shared" ca="1" si="21"/>
        <v/>
      </c>
      <c r="L354" s="97" t="str">
        <f t="shared" ca="1" si="22"/>
        <v/>
      </c>
      <c r="M354" s="76"/>
      <c r="N354" s="76"/>
      <c r="O354" s="76"/>
      <c r="P354" s="76"/>
      <c r="Q354" s="76"/>
      <c r="R354" s="76"/>
      <c r="S354" s="104"/>
      <c r="T354" s="104"/>
      <c r="U354" s="106"/>
      <c r="V354" s="98" t="str">
        <f>IF(OR(G354="Sold",H354="Died"),IF(G354="Sold",VLOOKUP(B354,SALE!$B$5:$J$1000,6,0),IF(H354="Died",VLOOKUP(B354,MORTALITY!$B$5:$K$1000,5,0),"")),"")</f>
        <v/>
      </c>
      <c r="W354" s="76"/>
    </row>
    <row r="355" spans="1:23">
      <c r="A355" s="93">
        <f t="shared" si="23"/>
        <v>351</v>
      </c>
      <c r="B355" s="94"/>
      <c r="C355" s="76"/>
      <c r="D355" s="76"/>
      <c r="E355" s="76"/>
      <c r="F355" s="94" t="str">
        <f t="shared" ca="1" si="20"/>
        <v/>
      </c>
      <c r="G355" s="96" t="str">
        <f>IFERROR((IF((VLOOKUP(B355,SALE!$B$5:$B$1000,1,0))&gt;0,"Sold","")),"")</f>
        <v/>
      </c>
      <c r="H355" s="96" t="str">
        <f>IFERROR((IF((VLOOKUP(B355,MORTALITY!$B$5:$B$1000,1,0))&gt;0,"Died","")),"")</f>
        <v/>
      </c>
      <c r="I355" s="96" t="str">
        <f ca="1">IFERROR(
   IF(LOOKUP(2,1/((ILLNESS!$B$6:$B$1000=B355)*(ILLNESS!$L$6:$L$1000&lt;&gt;"")),
            ILLNESS!$L$6:$L$1000)="No",
      "Sick",""),
"")</f>
        <v/>
      </c>
      <c r="J355" s="104"/>
      <c r="K355" s="97" t="str">
        <f t="shared" ca="1" si="21"/>
        <v/>
      </c>
      <c r="L355" s="97" t="str">
        <f t="shared" ca="1" si="22"/>
        <v/>
      </c>
      <c r="M355" s="76"/>
      <c r="N355" s="76"/>
      <c r="O355" s="76"/>
      <c r="P355" s="76"/>
      <c r="Q355" s="76"/>
      <c r="R355" s="76"/>
      <c r="S355" s="104"/>
      <c r="T355" s="104"/>
      <c r="U355" s="106"/>
      <c r="V355" s="98" t="str">
        <f>IF(OR(G355="Sold",H355="Died"),IF(G355="Sold",VLOOKUP(B355,SALE!$B$5:$J$1000,6,0),IF(H355="Died",VLOOKUP(B355,MORTALITY!$B$5:$K$1000,5,0),"")),"")</f>
        <v/>
      </c>
      <c r="W355" s="76"/>
    </row>
    <row r="356" spans="1:23">
      <c r="A356" s="93">
        <f t="shared" si="23"/>
        <v>352</v>
      </c>
      <c r="B356" s="94"/>
      <c r="C356" s="76"/>
      <c r="D356" s="76"/>
      <c r="E356" s="76"/>
      <c r="F356" s="94" t="str">
        <f t="shared" ca="1" si="20"/>
        <v/>
      </c>
      <c r="G356" s="96" t="str">
        <f>IFERROR((IF((VLOOKUP(B356,SALE!$B$5:$B$1000,1,0))&gt;0,"Sold","")),"")</f>
        <v/>
      </c>
      <c r="H356" s="96" t="str">
        <f>IFERROR((IF((VLOOKUP(B356,MORTALITY!$B$5:$B$1000,1,0))&gt;0,"Died","")),"")</f>
        <v/>
      </c>
      <c r="I356" s="96" t="str">
        <f ca="1">IFERROR(
   IF(LOOKUP(2,1/((ILLNESS!$B$6:$B$1000=B356)*(ILLNESS!$L$6:$L$1000&lt;&gt;"")),
            ILLNESS!$L$6:$L$1000)="No",
      "Sick",""),
"")</f>
        <v/>
      </c>
      <c r="J356" s="104"/>
      <c r="K356" s="97" t="str">
        <f t="shared" ca="1" si="21"/>
        <v/>
      </c>
      <c r="L356" s="97" t="str">
        <f t="shared" ca="1" si="22"/>
        <v/>
      </c>
      <c r="M356" s="76"/>
      <c r="N356" s="76"/>
      <c r="O356" s="76"/>
      <c r="P356" s="76"/>
      <c r="Q356" s="76"/>
      <c r="R356" s="76"/>
      <c r="S356" s="104"/>
      <c r="T356" s="104"/>
      <c r="U356" s="106"/>
      <c r="V356" s="98" t="str">
        <f>IF(OR(G356="Sold",H356="Died"),IF(G356="Sold",VLOOKUP(B356,SALE!$B$5:$J$1000,6,0),IF(H356="Died",VLOOKUP(B356,MORTALITY!$B$5:$K$1000,5,0),"")),"")</f>
        <v/>
      </c>
      <c r="W356" s="76"/>
    </row>
    <row r="357" spans="1:23">
      <c r="A357" s="93">
        <f t="shared" si="23"/>
        <v>353</v>
      </c>
      <c r="B357" s="94"/>
      <c r="C357" s="76"/>
      <c r="D357" s="76"/>
      <c r="E357" s="76"/>
      <c r="F357" s="94" t="str">
        <f t="shared" ca="1" si="20"/>
        <v/>
      </c>
      <c r="G357" s="96" t="str">
        <f>IFERROR((IF((VLOOKUP(B357,SALE!$B$5:$B$1000,1,0))&gt;0,"Sold","")),"")</f>
        <v/>
      </c>
      <c r="H357" s="96" t="str">
        <f>IFERROR((IF((VLOOKUP(B357,MORTALITY!$B$5:$B$1000,1,0))&gt;0,"Died","")),"")</f>
        <v/>
      </c>
      <c r="I357" s="96" t="str">
        <f ca="1">IFERROR(
   IF(LOOKUP(2,1/((ILLNESS!$B$6:$B$1000=B357)*(ILLNESS!$L$6:$L$1000&lt;&gt;"")),
            ILLNESS!$L$6:$L$1000)="No",
      "Sick",""),
"")</f>
        <v/>
      </c>
      <c r="J357" s="104"/>
      <c r="K357" s="97" t="str">
        <f t="shared" ca="1" si="21"/>
        <v/>
      </c>
      <c r="L357" s="97" t="str">
        <f t="shared" ca="1" si="22"/>
        <v/>
      </c>
      <c r="M357" s="76"/>
      <c r="N357" s="76"/>
      <c r="O357" s="76"/>
      <c r="P357" s="76"/>
      <c r="Q357" s="76"/>
      <c r="R357" s="76"/>
      <c r="S357" s="104"/>
      <c r="T357" s="104"/>
      <c r="U357" s="106"/>
      <c r="V357" s="98" t="str">
        <f>IF(OR(G357="Sold",H357="Died"),IF(G357="Sold",VLOOKUP(B357,SALE!$B$5:$J$1000,6,0),IF(H357="Died",VLOOKUP(B357,MORTALITY!$B$5:$K$1000,5,0),"")),"")</f>
        <v/>
      </c>
      <c r="W357" s="76"/>
    </row>
    <row r="358" spans="1:23">
      <c r="A358" s="93">
        <f t="shared" si="23"/>
        <v>354</v>
      </c>
      <c r="B358" s="94"/>
      <c r="C358" s="76"/>
      <c r="D358" s="76"/>
      <c r="E358" s="76"/>
      <c r="F358" s="94" t="str">
        <f t="shared" ca="1" si="20"/>
        <v/>
      </c>
      <c r="G358" s="96" t="str">
        <f>IFERROR((IF((VLOOKUP(B358,SALE!$B$5:$B$1000,1,0))&gt;0,"Sold","")),"")</f>
        <v/>
      </c>
      <c r="H358" s="96" t="str">
        <f>IFERROR((IF((VLOOKUP(B358,MORTALITY!$B$5:$B$1000,1,0))&gt;0,"Died","")),"")</f>
        <v/>
      </c>
      <c r="I358" s="96" t="str">
        <f ca="1">IFERROR(
   IF(LOOKUP(2,1/((ILLNESS!$B$6:$B$1000=B358)*(ILLNESS!$L$6:$L$1000&lt;&gt;"")),
            ILLNESS!$L$6:$L$1000)="No",
      "Sick",""),
"")</f>
        <v/>
      </c>
      <c r="J358" s="104"/>
      <c r="K358" s="97" t="str">
        <f t="shared" ca="1" si="21"/>
        <v/>
      </c>
      <c r="L358" s="97" t="str">
        <f t="shared" ca="1" si="22"/>
        <v/>
      </c>
      <c r="M358" s="76"/>
      <c r="N358" s="76"/>
      <c r="O358" s="76"/>
      <c r="P358" s="76"/>
      <c r="Q358" s="76"/>
      <c r="R358" s="76"/>
      <c r="S358" s="104"/>
      <c r="T358" s="104"/>
      <c r="U358" s="106"/>
      <c r="V358" s="98" t="str">
        <f>IF(OR(G358="Sold",H358="Died"),IF(G358="Sold",VLOOKUP(B358,SALE!$B$5:$J$1000,6,0),IF(H358="Died",VLOOKUP(B358,MORTALITY!$B$5:$K$1000,5,0),"")),"")</f>
        <v/>
      </c>
      <c r="W358" s="76"/>
    </row>
    <row r="359" spans="1:23">
      <c r="A359" s="93">
        <f t="shared" si="23"/>
        <v>355</v>
      </c>
      <c r="B359" s="94"/>
      <c r="C359" s="76"/>
      <c r="D359" s="76"/>
      <c r="E359" s="76"/>
      <c r="F359" s="94" t="str">
        <f t="shared" ca="1" si="20"/>
        <v/>
      </c>
      <c r="G359" s="96" t="str">
        <f>IFERROR((IF((VLOOKUP(B359,SALE!$B$5:$B$1000,1,0))&gt;0,"Sold","")),"")</f>
        <v/>
      </c>
      <c r="H359" s="96" t="str">
        <f>IFERROR((IF((VLOOKUP(B359,MORTALITY!$B$5:$B$1000,1,0))&gt;0,"Died","")),"")</f>
        <v/>
      </c>
      <c r="I359" s="96" t="str">
        <f ca="1">IFERROR(
   IF(LOOKUP(2,1/((ILLNESS!$B$6:$B$1000=B359)*(ILLNESS!$L$6:$L$1000&lt;&gt;"")),
            ILLNESS!$L$6:$L$1000)="No",
      "Sick",""),
"")</f>
        <v/>
      </c>
      <c r="J359" s="104"/>
      <c r="K359" s="97" t="str">
        <f t="shared" ca="1" si="21"/>
        <v/>
      </c>
      <c r="L359" s="97" t="str">
        <f t="shared" ca="1" si="22"/>
        <v/>
      </c>
      <c r="M359" s="76"/>
      <c r="N359" s="76"/>
      <c r="O359" s="76"/>
      <c r="P359" s="76"/>
      <c r="Q359" s="76"/>
      <c r="R359" s="76"/>
      <c r="S359" s="104"/>
      <c r="T359" s="104"/>
      <c r="U359" s="106"/>
      <c r="V359" s="98" t="str">
        <f>IF(OR(G359="Sold",H359="Died"),IF(G359="Sold",VLOOKUP(B359,SALE!$B$5:$J$1000,6,0),IF(H359="Died",VLOOKUP(B359,MORTALITY!$B$5:$K$1000,5,0),"")),"")</f>
        <v/>
      </c>
      <c r="W359" s="76"/>
    </row>
    <row r="360" spans="1:23">
      <c r="A360" s="93">
        <f t="shared" si="23"/>
        <v>356</v>
      </c>
      <c r="B360" s="94"/>
      <c r="C360" s="76"/>
      <c r="D360" s="76"/>
      <c r="E360" s="76"/>
      <c r="F360" s="94" t="str">
        <f t="shared" ca="1" si="20"/>
        <v/>
      </c>
      <c r="G360" s="96" t="str">
        <f>IFERROR((IF((VLOOKUP(B360,SALE!$B$5:$B$1000,1,0))&gt;0,"Sold","")),"")</f>
        <v/>
      </c>
      <c r="H360" s="96" t="str">
        <f>IFERROR((IF((VLOOKUP(B360,MORTALITY!$B$5:$B$1000,1,0))&gt;0,"Died","")),"")</f>
        <v/>
      </c>
      <c r="I360" s="96" t="str">
        <f ca="1">IFERROR(
   IF(LOOKUP(2,1/((ILLNESS!$B$6:$B$1000=B360)*(ILLNESS!$L$6:$L$1000&lt;&gt;"")),
            ILLNESS!$L$6:$L$1000)="No",
      "Sick",""),
"")</f>
        <v/>
      </c>
      <c r="J360" s="104"/>
      <c r="K360" s="97" t="str">
        <f t="shared" ca="1" si="21"/>
        <v/>
      </c>
      <c r="L360" s="97" t="str">
        <f t="shared" ca="1" si="22"/>
        <v/>
      </c>
      <c r="M360" s="76"/>
      <c r="N360" s="76"/>
      <c r="O360" s="76"/>
      <c r="P360" s="76"/>
      <c r="Q360" s="76"/>
      <c r="R360" s="76"/>
      <c r="S360" s="104"/>
      <c r="T360" s="104"/>
      <c r="U360" s="106"/>
      <c r="V360" s="98" t="str">
        <f>IF(OR(G360="Sold",H360="Died"),IF(G360="Sold",VLOOKUP(B360,SALE!$B$5:$J$1000,6,0),IF(H360="Died",VLOOKUP(B360,MORTALITY!$B$5:$K$1000,5,0),"")),"")</f>
        <v/>
      </c>
      <c r="W360" s="76"/>
    </row>
    <row r="361" spans="1:23">
      <c r="A361" s="93">
        <f t="shared" si="23"/>
        <v>357</v>
      </c>
      <c r="B361" s="94"/>
      <c r="C361" s="76"/>
      <c r="D361" s="76"/>
      <c r="E361" s="76"/>
      <c r="F361" s="94" t="str">
        <f t="shared" ca="1" si="20"/>
        <v/>
      </c>
      <c r="G361" s="96" t="str">
        <f>IFERROR((IF((VLOOKUP(B361,SALE!$B$5:$B$1000,1,0))&gt;0,"Sold","")),"")</f>
        <v/>
      </c>
      <c r="H361" s="96" t="str">
        <f>IFERROR((IF((VLOOKUP(B361,MORTALITY!$B$5:$B$1000,1,0))&gt;0,"Died","")),"")</f>
        <v/>
      </c>
      <c r="I361" s="96" t="str">
        <f ca="1">IFERROR(
   IF(LOOKUP(2,1/((ILLNESS!$B$6:$B$1000=B361)*(ILLNESS!$L$6:$L$1000&lt;&gt;"")),
            ILLNESS!$L$6:$L$1000)="No",
      "Sick",""),
"")</f>
        <v/>
      </c>
      <c r="J361" s="104"/>
      <c r="K361" s="97" t="str">
        <f t="shared" ca="1" si="21"/>
        <v/>
      </c>
      <c r="L361" s="97" t="str">
        <f t="shared" ca="1" si="22"/>
        <v/>
      </c>
      <c r="M361" s="76"/>
      <c r="N361" s="76"/>
      <c r="O361" s="76"/>
      <c r="P361" s="76"/>
      <c r="Q361" s="76"/>
      <c r="R361" s="76"/>
      <c r="S361" s="104"/>
      <c r="T361" s="104"/>
      <c r="U361" s="106"/>
      <c r="V361" s="98" t="str">
        <f>IF(OR(G361="Sold",H361="Died"),IF(G361="Sold",VLOOKUP(B361,SALE!$B$5:$J$1000,6,0),IF(H361="Died",VLOOKUP(B361,MORTALITY!$B$5:$K$1000,5,0),"")),"")</f>
        <v/>
      </c>
      <c r="W361" s="76"/>
    </row>
    <row r="362" spans="1:23">
      <c r="A362" s="93">
        <f t="shared" si="23"/>
        <v>358</v>
      </c>
      <c r="B362" s="94"/>
      <c r="C362" s="76"/>
      <c r="D362" s="76"/>
      <c r="E362" s="76"/>
      <c r="F362" s="94" t="str">
        <f t="shared" ca="1" si="20"/>
        <v/>
      </c>
      <c r="G362" s="96" t="str">
        <f>IFERROR((IF((VLOOKUP(B362,SALE!$B$5:$B$1000,1,0))&gt;0,"Sold","")),"")</f>
        <v/>
      </c>
      <c r="H362" s="96" t="str">
        <f>IFERROR((IF((VLOOKUP(B362,MORTALITY!$B$5:$B$1000,1,0))&gt;0,"Died","")),"")</f>
        <v/>
      </c>
      <c r="I362" s="96" t="str">
        <f ca="1">IFERROR(
   IF(LOOKUP(2,1/((ILLNESS!$B$6:$B$1000=B362)*(ILLNESS!$L$6:$L$1000&lt;&gt;"")),
            ILLNESS!$L$6:$L$1000)="No",
      "Sick",""),
"")</f>
        <v/>
      </c>
      <c r="J362" s="104"/>
      <c r="K362" s="97" t="str">
        <f t="shared" ca="1" si="21"/>
        <v/>
      </c>
      <c r="L362" s="97" t="str">
        <f t="shared" ca="1" si="22"/>
        <v/>
      </c>
      <c r="M362" s="76"/>
      <c r="N362" s="76"/>
      <c r="O362" s="76"/>
      <c r="P362" s="76"/>
      <c r="Q362" s="76"/>
      <c r="R362" s="76"/>
      <c r="S362" s="104"/>
      <c r="T362" s="104"/>
      <c r="U362" s="106"/>
      <c r="V362" s="98" t="str">
        <f>IF(OR(G362="Sold",H362="Died"),IF(G362="Sold",VLOOKUP(B362,SALE!$B$5:$J$1000,6,0),IF(H362="Died",VLOOKUP(B362,MORTALITY!$B$5:$K$1000,5,0),"")),"")</f>
        <v/>
      </c>
      <c r="W362" s="76"/>
    </row>
    <row r="363" spans="1:23">
      <c r="A363" s="93">
        <f t="shared" si="23"/>
        <v>359</v>
      </c>
      <c r="B363" s="94"/>
      <c r="C363" s="76"/>
      <c r="D363" s="76"/>
      <c r="E363" s="76"/>
      <c r="F363" s="94" t="str">
        <f t="shared" ca="1" si="20"/>
        <v/>
      </c>
      <c r="G363" s="96" t="str">
        <f>IFERROR((IF((VLOOKUP(B363,SALE!$B$5:$B$1000,1,0))&gt;0,"Sold","")),"")</f>
        <v/>
      </c>
      <c r="H363" s="96" t="str">
        <f>IFERROR((IF((VLOOKUP(B363,MORTALITY!$B$5:$B$1000,1,0))&gt;0,"Died","")),"")</f>
        <v/>
      </c>
      <c r="I363" s="96" t="str">
        <f ca="1">IFERROR(
   IF(LOOKUP(2,1/((ILLNESS!$B$6:$B$1000=B363)*(ILLNESS!$L$6:$L$1000&lt;&gt;"")),
            ILLNESS!$L$6:$L$1000)="No",
      "Sick",""),
"")</f>
        <v/>
      </c>
      <c r="J363" s="104"/>
      <c r="K363" s="97" t="str">
        <f t="shared" ca="1" si="21"/>
        <v/>
      </c>
      <c r="L363" s="97" t="str">
        <f t="shared" ca="1" si="22"/>
        <v/>
      </c>
      <c r="M363" s="76"/>
      <c r="N363" s="76"/>
      <c r="O363" s="76"/>
      <c r="P363" s="76"/>
      <c r="Q363" s="76"/>
      <c r="R363" s="76"/>
      <c r="S363" s="104"/>
      <c r="T363" s="104"/>
      <c r="U363" s="106"/>
      <c r="V363" s="98" t="str">
        <f>IF(OR(G363="Sold",H363="Died"),IF(G363="Sold",VLOOKUP(B363,SALE!$B$5:$J$1000,6,0),IF(H363="Died",VLOOKUP(B363,MORTALITY!$B$5:$K$1000,5,0),"")),"")</f>
        <v/>
      </c>
      <c r="W363" s="76"/>
    </row>
    <row r="364" spans="1:23">
      <c r="A364" s="93">
        <f t="shared" si="23"/>
        <v>360</v>
      </c>
      <c r="B364" s="94"/>
      <c r="C364" s="76"/>
      <c r="D364" s="76"/>
      <c r="E364" s="76"/>
      <c r="F364" s="94" t="str">
        <f t="shared" ca="1" si="20"/>
        <v/>
      </c>
      <c r="G364" s="96" t="str">
        <f>IFERROR((IF((VLOOKUP(B364,SALE!$B$5:$B$1000,1,0))&gt;0,"Sold","")),"")</f>
        <v/>
      </c>
      <c r="H364" s="96" t="str">
        <f>IFERROR((IF((VLOOKUP(B364,MORTALITY!$B$5:$B$1000,1,0))&gt;0,"Died","")),"")</f>
        <v/>
      </c>
      <c r="I364" s="96" t="str">
        <f ca="1">IFERROR(
   IF(LOOKUP(2,1/((ILLNESS!$B$6:$B$1000=B364)*(ILLNESS!$L$6:$L$1000&lt;&gt;"")),
            ILLNESS!$L$6:$L$1000)="No",
      "Sick",""),
"")</f>
        <v/>
      </c>
      <c r="J364" s="104"/>
      <c r="K364" s="97" t="str">
        <f t="shared" ca="1" si="21"/>
        <v/>
      </c>
      <c r="L364" s="97" t="str">
        <f t="shared" ca="1" si="22"/>
        <v/>
      </c>
      <c r="M364" s="76"/>
      <c r="N364" s="76"/>
      <c r="O364" s="76"/>
      <c r="P364" s="76"/>
      <c r="Q364" s="76"/>
      <c r="R364" s="76"/>
      <c r="S364" s="104"/>
      <c r="T364" s="104"/>
      <c r="U364" s="106"/>
      <c r="V364" s="98" t="str">
        <f>IF(OR(G364="Sold",H364="Died"),IF(G364="Sold",VLOOKUP(B364,SALE!$B$5:$J$1000,6,0),IF(H364="Died",VLOOKUP(B364,MORTALITY!$B$5:$K$1000,5,0),"")),"")</f>
        <v/>
      </c>
      <c r="W364" s="76"/>
    </row>
    <row r="365" spans="1:23">
      <c r="A365" s="93">
        <f t="shared" si="23"/>
        <v>361</v>
      </c>
      <c r="B365" s="94"/>
      <c r="C365" s="76"/>
      <c r="D365" s="76"/>
      <c r="E365" s="76"/>
      <c r="F365" s="94" t="str">
        <f t="shared" ca="1" si="20"/>
        <v/>
      </c>
      <c r="G365" s="96" t="str">
        <f>IFERROR((IF((VLOOKUP(B365,SALE!$B$5:$B$1000,1,0))&gt;0,"Sold","")),"")</f>
        <v/>
      </c>
      <c r="H365" s="96" t="str">
        <f>IFERROR((IF((VLOOKUP(B365,MORTALITY!$B$5:$B$1000,1,0))&gt;0,"Died","")),"")</f>
        <v/>
      </c>
      <c r="I365" s="96" t="str">
        <f ca="1">IFERROR(
   IF(LOOKUP(2,1/((ILLNESS!$B$6:$B$1000=B365)*(ILLNESS!$L$6:$L$1000&lt;&gt;"")),
            ILLNESS!$L$6:$L$1000)="No",
      "Sick",""),
"")</f>
        <v/>
      </c>
      <c r="J365" s="104"/>
      <c r="K365" s="97" t="str">
        <f t="shared" ca="1" si="21"/>
        <v/>
      </c>
      <c r="L365" s="97" t="str">
        <f t="shared" ca="1" si="22"/>
        <v/>
      </c>
      <c r="M365" s="76"/>
      <c r="N365" s="76"/>
      <c r="O365" s="76"/>
      <c r="P365" s="76"/>
      <c r="Q365" s="76"/>
      <c r="R365" s="76"/>
      <c r="S365" s="104"/>
      <c r="T365" s="104"/>
      <c r="U365" s="106"/>
      <c r="V365" s="98" t="str">
        <f>IF(OR(G365="Sold",H365="Died"),IF(G365="Sold",VLOOKUP(B365,SALE!$B$5:$J$1000,6,0),IF(H365="Died",VLOOKUP(B365,MORTALITY!$B$5:$K$1000,5,0),"")),"")</f>
        <v/>
      </c>
      <c r="W365" s="76"/>
    </row>
    <row r="366" spans="1:23">
      <c r="A366" s="93">
        <f t="shared" si="23"/>
        <v>362</v>
      </c>
      <c r="B366" s="94"/>
      <c r="C366" s="76"/>
      <c r="D366" s="76"/>
      <c r="E366" s="76"/>
      <c r="F366" s="94" t="str">
        <f t="shared" ca="1" si="20"/>
        <v/>
      </c>
      <c r="G366" s="96" t="str">
        <f>IFERROR((IF((VLOOKUP(B366,SALE!$B$5:$B$1000,1,0))&gt;0,"Sold","")),"")</f>
        <v/>
      </c>
      <c r="H366" s="96" t="str">
        <f>IFERROR((IF((VLOOKUP(B366,MORTALITY!$B$5:$B$1000,1,0))&gt;0,"Died","")),"")</f>
        <v/>
      </c>
      <c r="I366" s="96" t="str">
        <f ca="1">IFERROR(
   IF(LOOKUP(2,1/((ILLNESS!$B$6:$B$1000=B366)*(ILLNESS!$L$6:$L$1000&lt;&gt;"")),
            ILLNESS!$L$6:$L$1000)="No",
      "Sick",""),
"")</f>
        <v/>
      </c>
      <c r="J366" s="104"/>
      <c r="K366" s="97" t="str">
        <f t="shared" ca="1" si="21"/>
        <v/>
      </c>
      <c r="L366" s="97" t="str">
        <f t="shared" ca="1" si="22"/>
        <v/>
      </c>
      <c r="M366" s="76"/>
      <c r="N366" s="76"/>
      <c r="O366" s="76"/>
      <c r="P366" s="76"/>
      <c r="Q366" s="76"/>
      <c r="R366" s="76"/>
      <c r="S366" s="104"/>
      <c r="T366" s="104"/>
      <c r="U366" s="106"/>
      <c r="V366" s="98" t="str">
        <f>IF(OR(G366="Sold",H366="Died"),IF(G366="Sold",VLOOKUP(B366,SALE!$B$5:$J$1000,6,0),IF(H366="Died",VLOOKUP(B366,MORTALITY!$B$5:$K$1000,5,0),"")),"")</f>
        <v/>
      </c>
      <c r="W366" s="76"/>
    </row>
    <row r="367" spans="1:23">
      <c r="A367" s="93">
        <f t="shared" si="23"/>
        <v>363</v>
      </c>
      <c r="B367" s="94"/>
      <c r="C367" s="76"/>
      <c r="D367" s="76"/>
      <c r="E367" s="76"/>
      <c r="F367" s="94" t="str">
        <f t="shared" ca="1" si="20"/>
        <v/>
      </c>
      <c r="G367" s="96" t="str">
        <f>IFERROR((IF((VLOOKUP(B367,SALE!$B$5:$B$1000,1,0))&gt;0,"Sold","")),"")</f>
        <v/>
      </c>
      <c r="H367" s="96" t="str">
        <f>IFERROR((IF((VLOOKUP(B367,MORTALITY!$B$5:$B$1000,1,0))&gt;0,"Died","")),"")</f>
        <v/>
      </c>
      <c r="I367" s="96" t="str">
        <f ca="1">IFERROR(
   IF(LOOKUP(2,1/((ILLNESS!$B$6:$B$1000=B367)*(ILLNESS!$L$6:$L$1000&lt;&gt;"")),
            ILLNESS!$L$6:$L$1000)="No",
      "Sick",""),
"")</f>
        <v/>
      </c>
      <c r="J367" s="104"/>
      <c r="K367" s="97" t="str">
        <f t="shared" ca="1" si="21"/>
        <v/>
      </c>
      <c r="L367" s="97" t="str">
        <f t="shared" ca="1" si="22"/>
        <v/>
      </c>
      <c r="M367" s="76"/>
      <c r="N367" s="76"/>
      <c r="O367" s="76"/>
      <c r="P367" s="76"/>
      <c r="Q367" s="76"/>
      <c r="R367" s="76"/>
      <c r="S367" s="104"/>
      <c r="T367" s="104"/>
      <c r="U367" s="106"/>
      <c r="V367" s="98" t="str">
        <f>IF(OR(G367="Sold",H367="Died"),IF(G367="Sold",VLOOKUP(B367,SALE!$B$5:$J$1000,6,0),IF(H367="Died",VLOOKUP(B367,MORTALITY!$B$5:$K$1000,5,0),"")),"")</f>
        <v/>
      </c>
      <c r="W367" s="76"/>
    </row>
    <row r="368" spans="1:23">
      <c r="A368" s="93">
        <f t="shared" si="23"/>
        <v>364</v>
      </c>
      <c r="B368" s="94"/>
      <c r="C368" s="76"/>
      <c r="D368" s="76"/>
      <c r="E368" s="76"/>
      <c r="F368" s="94" t="str">
        <f t="shared" ca="1" si="20"/>
        <v/>
      </c>
      <c r="G368" s="96" t="str">
        <f>IFERROR((IF((VLOOKUP(B368,SALE!$B$5:$B$1000,1,0))&gt;0,"Sold","")),"")</f>
        <v/>
      </c>
      <c r="H368" s="96" t="str">
        <f>IFERROR((IF((VLOOKUP(B368,MORTALITY!$B$5:$B$1000,1,0))&gt;0,"Died","")),"")</f>
        <v/>
      </c>
      <c r="I368" s="96" t="str">
        <f ca="1">IFERROR(
   IF(LOOKUP(2,1/((ILLNESS!$B$6:$B$1000=B368)*(ILLNESS!$L$6:$L$1000&lt;&gt;"")),
            ILLNESS!$L$6:$L$1000)="No",
      "Sick",""),
"")</f>
        <v/>
      </c>
      <c r="J368" s="104"/>
      <c r="K368" s="97" t="str">
        <f t="shared" ca="1" si="21"/>
        <v/>
      </c>
      <c r="L368" s="97" t="str">
        <f t="shared" ca="1" si="22"/>
        <v/>
      </c>
      <c r="M368" s="76"/>
      <c r="N368" s="76"/>
      <c r="O368" s="76"/>
      <c r="P368" s="76"/>
      <c r="Q368" s="76"/>
      <c r="R368" s="76"/>
      <c r="S368" s="104"/>
      <c r="T368" s="104"/>
      <c r="U368" s="106"/>
      <c r="V368" s="98" t="str">
        <f>IF(OR(G368="Sold",H368="Died"),IF(G368="Sold",VLOOKUP(B368,SALE!$B$5:$J$1000,6,0),IF(H368="Died",VLOOKUP(B368,MORTALITY!$B$5:$K$1000,5,0),"")),"")</f>
        <v/>
      </c>
      <c r="W368" s="76"/>
    </row>
    <row r="369" spans="1:23">
      <c r="A369" s="93">
        <f t="shared" si="23"/>
        <v>365</v>
      </c>
      <c r="B369" s="94"/>
      <c r="C369" s="76"/>
      <c r="D369" s="76"/>
      <c r="E369" s="76"/>
      <c r="F369" s="94" t="str">
        <f t="shared" ca="1" si="20"/>
        <v/>
      </c>
      <c r="G369" s="96" t="str">
        <f>IFERROR((IF((VLOOKUP(B369,SALE!$B$5:$B$1000,1,0))&gt;0,"Sold","")),"")</f>
        <v/>
      </c>
      <c r="H369" s="96" t="str">
        <f>IFERROR((IF((VLOOKUP(B369,MORTALITY!$B$5:$B$1000,1,0))&gt;0,"Died","")),"")</f>
        <v/>
      </c>
      <c r="I369" s="96" t="str">
        <f ca="1">IFERROR(
   IF(LOOKUP(2,1/((ILLNESS!$B$6:$B$1000=B369)*(ILLNESS!$L$6:$L$1000&lt;&gt;"")),
            ILLNESS!$L$6:$L$1000)="No",
      "Sick",""),
"")</f>
        <v/>
      </c>
      <c r="J369" s="104"/>
      <c r="K369" s="97" t="str">
        <f t="shared" ca="1" si="21"/>
        <v/>
      </c>
      <c r="L369" s="97" t="str">
        <f t="shared" ca="1" si="22"/>
        <v/>
      </c>
      <c r="M369" s="76"/>
      <c r="N369" s="76"/>
      <c r="O369" s="76"/>
      <c r="P369" s="76"/>
      <c r="Q369" s="76"/>
      <c r="R369" s="76"/>
      <c r="S369" s="104"/>
      <c r="T369" s="104"/>
      <c r="U369" s="106"/>
      <c r="V369" s="98" t="str">
        <f>IF(OR(G369="Sold",H369="Died"),IF(G369="Sold",VLOOKUP(B369,SALE!$B$5:$J$1000,6,0),IF(H369="Died",VLOOKUP(B369,MORTALITY!$B$5:$K$1000,5,0),"")),"")</f>
        <v/>
      </c>
      <c r="W369" s="76"/>
    </row>
    <row r="370" spans="1:23">
      <c r="A370" s="93">
        <f t="shared" si="23"/>
        <v>366</v>
      </c>
      <c r="B370" s="94"/>
      <c r="C370" s="76"/>
      <c r="D370" s="76"/>
      <c r="E370" s="76"/>
      <c r="F370" s="94" t="str">
        <f t="shared" ca="1" si="20"/>
        <v/>
      </c>
      <c r="G370" s="96" t="str">
        <f>IFERROR((IF((VLOOKUP(B370,SALE!$B$5:$B$1000,1,0))&gt;0,"Sold","")),"")</f>
        <v/>
      </c>
      <c r="H370" s="96" t="str">
        <f>IFERROR((IF((VLOOKUP(B370,MORTALITY!$B$5:$B$1000,1,0))&gt;0,"Died","")),"")</f>
        <v/>
      </c>
      <c r="I370" s="96" t="str">
        <f ca="1">IFERROR(
   IF(LOOKUP(2,1/((ILLNESS!$B$6:$B$1000=B370)*(ILLNESS!$L$6:$L$1000&lt;&gt;"")),
            ILLNESS!$L$6:$L$1000)="No",
      "Sick",""),
"")</f>
        <v/>
      </c>
      <c r="J370" s="104"/>
      <c r="K370" s="97" t="str">
        <f t="shared" ca="1" si="21"/>
        <v/>
      </c>
      <c r="L370" s="97" t="str">
        <f t="shared" ca="1" si="22"/>
        <v/>
      </c>
      <c r="M370" s="76"/>
      <c r="N370" s="76"/>
      <c r="O370" s="76"/>
      <c r="P370" s="76"/>
      <c r="Q370" s="76"/>
      <c r="R370" s="76"/>
      <c r="S370" s="104"/>
      <c r="T370" s="104"/>
      <c r="U370" s="106"/>
      <c r="V370" s="98" t="str">
        <f>IF(OR(G370="Sold",H370="Died"),IF(G370="Sold",VLOOKUP(B370,SALE!$B$5:$J$1000,6,0),IF(H370="Died",VLOOKUP(B370,MORTALITY!$B$5:$K$1000,5,0),"")),"")</f>
        <v/>
      </c>
      <c r="W370" s="76"/>
    </row>
    <row r="371" spans="1:23">
      <c r="A371" s="93">
        <f t="shared" si="23"/>
        <v>367</v>
      </c>
      <c r="B371" s="94"/>
      <c r="C371" s="76"/>
      <c r="D371" s="76"/>
      <c r="E371" s="76"/>
      <c r="F371" s="94" t="str">
        <f t="shared" ca="1" si="20"/>
        <v/>
      </c>
      <c r="G371" s="96" t="str">
        <f>IFERROR((IF((VLOOKUP(B371,SALE!$B$5:$B$1000,1,0))&gt;0,"Sold","")),"")</f>
        <v/>
      </c>
      <c r="H371" s="96" t="str">
        <f>IFERROR((IF((VLOOKUP(B371,MORTALITY!$B$5:$B$1000,1,0))&gt;0,"Died","")),"")</f>
        <v/>
      </c>
      <c r="I371" s="96" t="str">
        <f ca="1">IFERROR(
   IF(LOOKUP(2,1/((ILLNESS!$B$6:$B$1000=B371)*(ILLNESS!$L$6:$L$1000&lt;&gt;"")),
            ILLNESS!$L$6:$L$1000)="No",
      "Sick",""),
"")</f>
        <v/>
      </c>
      <c r="J371" s="104"/>
      <c r="K371" s="97" t="str">
        <f t="shared" ca="1" si="21"/>
        <v/>
      </c>
      <c r="L371" s="97" t="str">
        <f t="shared" ca="1" si="22"/>
        <v/>
      </c>
      <c r="M371" s="76"/>
      <c r="N371" s="76"/>
      <c r="O371" s="76"/>
      <c r="P371" s="76"/>
      <c r="Q371" s="76"/>
      <c r="R371" s="76"/>
      <c r="S371" s="104"/>
      <c r="T371" s="104"/>
      <c r="U371" s="106"/>
      <c r="V371" s="98" t="str">
        <f>IF(OR(G371="Sold",H371="Died"),IF(G371="Sold",VLOOKUP(B371,SALE!$B$5:$J$1000,6,0),IF(H371="Died",VLOOKUP(B371,MORTALITY!$B$5:$K$1000,5,0),"")),"")</f>
        <v/>
      </c>
      <c r="W371" s="76"/>
    </row>
    <row r="372" spans="1:23">
      <c r="A372" s="93">
        <f t="shared" si="23"/>
        <v>368</v>
      </c>
      <c r="B372" s="94"/>
      <c r="C372" s="76"/>
      <c r="D372" s="76"/>
      <c r="E372" s="76"/>
      <c r="F372" s="94" t="str">
        <f t="shared" ca="1" si="20"/>
        <v/>
      </c>
      <c r="G372" s="96" t="str">
        <f>IFERROR((IF((VLOOKUP(B372,SALE!$B$5:$B$1000,1,0))&gt;0,"Sold","")),"")</f>
        <v/>
      </c>
      <c r="H372" s="96" t="str">
        <f>IFERROR((IF((VLOOKUP(B372,MORTALITY!$B$5:$B$1000,1,0))&gt;0,"Died","")),"")</f>
        <v/>
      </c>
      <c r="I372" s="96" t="str">
        <f ca="1">IFERROR(
   IF(LOOKUP(2,1/((ILLNESS!$B$6:$B$1000=B372)*(ILLNESS!$L$6:$L$1000&lt;&gt;"")),
            ILLNESS!$L$6:$L$1000)="No",
      "Sick",""),
"")</f>
        <v/>
      </c>
      <c r="J372" s="104"/>
      <c r="K372" s="97" t="str">
        <f t="shared" ca="1" si="21"/>
        <v/>
      </c>
      <c r="L372" s="97" t="str">
        <f t="shared" ca="1" si="22"/>
        <v/>
      </c>
      <c r="M372" s="76"/>
      <c r="N372" s="76"/>
      <c r="O372" s="76"/>
      <c r="P372" s="76"/>
      <c r="Q372" s="76"/>
      <c r="R372" s="76"/>
      <c r="S372" s="104"/>
      <c r="T372" s="104"/>
      <c r="U372" s="106"/>
      <c r="V372" s="98" t="str">
        <f>IF(OR(G372="Sold",H372="Died"),IF(G372="Sold",VLOOKUP(B372,SALE!$B$5:$J$1000,6,0),IF(H372="Died",VLOOKUP(B372,MORTALITY!$B$5:$K$1000,5,0),"")),"")</f>
        <v/>
      </c>
      <c r="W372" s="76"/>
    </row>
    <row r="373" spans="1:23">
      <c r="A373" s="93">
        <f t="shared" si="23"/>
        <v>369</v>
      </c>
      <c r="B373" s="94"/>
      <c r="C373" s="76"/>
      <c r="D373" s="76"/>
      <c r="E373" s="76"/>
      <c r="F373" s="94" t="str">
        <f t="shared" ca="1" si="20"/>
        <v/>
      </c>
      <c r="G373" s="96" t="str">
        <f>IFERROR((IF((VLOOKUP(B373,SALE!$B$5:$B$1000,1,0))&gt;0,"Sold","")),"")</f>
        <v/>
      </c>
      <c r="H373" s="96" t="str">
        <f>IFERROR((IF((VLOOKUP(B373,MORTALITY!$B$5:$B$1000,1,0))&gt;0,"Died","")),"")</f>
        <v/>
      </c>
      <c r="I373" s="96" t="str">
        <f ca="1">IFERROR(
   IF(LOOKUP(2,1/((ILLNESS!$B$6:$B$1000=B373)*(ILLNESS!$L$6:$L$1000&lt;&gt;"")),
            ILLNESS!$L$6:$L$1000)="No",
      "Sick",""),
"")</f>
        <v/>
      </c>
      <c r="J373" s="104"/>
      <c r="K373" s="97" t="str">
        <f t="shared" ca="1" si="21"/>
        <v/>
      </c>
      <c r="L373" s="97" t="str">
        <f t="shared" ca="1" si="22"/>
        <v/>
      </c>
      <c r="M373" s="76"/>
      <c r="N373" s="76"/>
      <c r="O373" s="76"/>
      <c r="P373" s="76"/>
      <c r="Q373" s="76"/>
      <c r="R373" s="76"/>
      <c r="S373" s="104"/>
      <c r="T373" s="104"/>
      <c r="U373" s="106"/>
      <c r="V373" s="98" t="str">
        <f>IF(OR(G373="Sold",H373="Died"),IF(G373="Sold",VLOOKUP(B373,SALE!$B$5:$J$1000,6,0),IF(H373="Died",VLOOKUP(B373,MORTALITY!$B$5:$K$1000,5,0),"")),"")</f>
        <v/>
      </c>
      <c r="W373" s="76"/>
    </row>
    <row r="374" spans="1:23">
      <c r="A374" s="93">
        <f t="shared" si="23"/>
        <v>370</v>
      </c>
      <c r="B374" s="94"/>
      <c r="C374" s="76"/>
      <c r="D374" s="76"/>
      <c r="E374" s="76"/>
      <c r="F374" s="94" t="str">
        <f t="shared" ca="1" si="20"/>
        <v/>
      </c>
      <c r="G374" s="96" t="str">
        <f>IFERROR((IF((VLOOKUP(B374,SALE!$B$5:$B$1000,1,0))&gt;0,"Sold","")),"")</f>
        <v/>
      </c>
      <c r="H374" s="96" t="str">
        <f>IFERROR((IF((VLOOKUP(B374,MORTALITY!$B$5:$B$1000,1,0))&gt;0,"Died","")),"")</f>
        <v/>
      </c>
      <c r="I374" s="96" t="str">
        <f ca="1">IFERROR(
   IF(LOOKUP(2,1/((ILLNESS!$B$6:$B$1000=B374)*(ILLNESS!$L$6:$L$1000&lt;&gt;"")),
            ILLNESS!$L$6:$L$1000)="No",
      "Sick",""),
"")</f>
        <v/>
      </c>
      <c r="J374" s="104"/>
      <c r="K374" s="97" t="str">
        <f t="shared" ca="1" si="21"/>
        <v/>
      </c>
      <c r="L374" s="97" t="str">
        <f t="shared" ca="1" si="22"/>
        <v/>
      </c>
      <c r="M374" s="76"/>
      <c r="N374" s="76"/>
      <c r="O374" s="76"/>
      <c r="P374" s="76"/>
      <c r="Q374" s="76"/>
      <c r="R374" s="76"/>
      <c r="S374" s="104"/>
      <c r="T374" s="104"/>
      <c r="U374" s="106"/>
      <c r="V374" s="98" t="str">
        <f>IF(OR(G374="Sold",H374="Died"),IF(G374="Sold",VLOOKUP(B374,SALE!$B$5:$J$1000,6,0),IF(H374="Died",VLOOKUP(B374,MORTALITY!$B$5:$K$1000,5,0),"")),"")</f>
        <v/>
      </c>
      <c r="W374" s="76"/>
    </row>
    <row r="375" spans="1:23">
      <c r="A375" s="93">
        <f t="shared" si="23"/>
        <v>371</v>
      </c>
      <c r="B375" s="94"/>
      <c r="C375" s="76"/>
      <c r="D375" s="76"/>
      <c r="E375" s="76"/>
      <c r="F375" s="94" t="str">
        <f t="shared" ca="1" si="20"/>
        <v/>
      </c>
      <c r="G375" s="96" t="str">
        <f>IFERROR((IF((VLOOKUP(B375,SALE!$B$5:$B$1000,1,0))&gt;0,"Sold","")),"")</f>
        <v/>
      </c>
      <c r="H375" s="96" t="str">
        <f>IFERROR((IF((VLOOKUP(B375,MORTALITY!$B$5:$B$1000,1,0))&gt;0,"Died","")),"")</f>
        <v/>
      </c>
      <c r="I375" s="96" t="str">
        <f ca="1">IFERROR(
   IF(LOOKUP(2,1/((ILLNESS!$B$6:$B$1000=B375)*(ILLNESS!$L$6:$L$1000&lt;&gt;"")),
            ILLNESS!$L$6:$L$1000)="No",
      "Sick",""),
"")</f>
        <v/>
      </c>
      <c r="J375" s="104"/>
      <c r="K375" s="97" t="str">
        <f t="shared" ca="1" si="21"/>
        <v/>
      </c>
      <c r="L375" s="97" t="str">
        <f t="shared" ca="1" si="22"/>
        <v/>
      </c>
      <c r="M375" s="76"/>
      <c r="N375" s="76"/>
      <c r="O375" s="76"/>
      <c r="P375" s="76"/>
      <c r="Q375" s="76"/>
      <c r="R375" s="76"/>
      <c r="S375" s="104"/>
      <c r="T375" s="104"/>
      <c r="U375" s="106"/>
      <c r="V375" s="98" t="str">
        <f>IF(OR(G375="Sold",H375="Died"),IF(G375="Sold",VLOOKUP(B375,SALE!$B$5:$J$1000,6,0),IF(H375="Died",VLOOKUP(B375,MORTALITY!$B$5:$K$1000,5,0),"")),"")</f>
        <v/>
      </c>
      <c r="W375" s="76"/>
    </row>
    <row r="376" spans="1:23">
      <c r="A376" s="93">
        <f t="shared" si="23"/>
        <v>372</v>
      </c>
      <c r="B376" s="94"/>
      <c r="C376" s="76"/>
      <c r="D376" s="76"/>
      <c r="E376" s="76"/>
      <c r="F376" s="94" t="str">
        <f t="shared" ca="1" si="20"/>
        <v/>
      </c>
      <c r="G376" s="96" t="str">
        <f>IFERROR((IF((VLOOKUP(B376,SALE!$B$5:$B$1000,1,0))&gt;0,"Sold","")),"")</f>
        <v/>
      </c>
      <c r="H376" s="96" t="str">
        <f>IFERROR((IF((VLOOKUP(B376,MORTALITY!$B$5:$B$1000,1,0))&gt;0,"Died","")),"")</f>
        <v/>
      </c>
      <c r="I376" s="96" t="str">
        <f ca="1">IFERROR(
   IF(LOOKUP(2,1/((ILLNESS!$B$6:$B$1000=B376)*(ILLNESS!$L$6:$L$1000&lt;&gt;"")),
            ILLNESS!$L$6:$L$1000)="No",
      "Sick",""),
"")</f>
        <v/>
      </c>
      <c r="J376" s="104"/>
      <c r="K376" s="97" t="str">
        <f t="shared" ca="1" si="21"/>
        <v/>
      </c>
      <c r="L376" s="97" t="str">
        <f t="shared" ca="1" si="22"/>
        <v/>
      </c>
      <c r="M376" s="76"/>
      <c r="N376" s="76"/>
      <c r="O376" s="76"/>
      <c r="P376" s="76"/>
      <c r="Q376" s="76"/>
      <c r="R376" s="76"/>
      <c r="S376" s="104"/>
      <c r="T376" s="104"/>
      <c r="U376" s="106"/>
      <c r="V376" s="98" t="str">
        <f>IF(OR(G376="Sold",H376="Died"),IF(G376="Sold",VLOOKUP(B376,SALE!$B$5:$J$1000,6,0),IF(H376="Died",VLOOKUP(B376,MORTALITY!$B$5:$K$1000,5,0),"")),"")</f>
        <v/>
      </c>
      <c r="W376" s="76"/>
    </row>
    <row r="377" spans="1:23">
      <c r="A377" s="93">
        <f t="shared" si="23"/>
        <v>373</v>
      </c>
      <c r="B377" s="94"/>
      <c r="C377" s="76"/>
      <c r="D377" s="76"/>
      <c r="E377" s="76"/>
      <c r="F377" s="94" t="str">
        <f t="shared" ca="1" si="20"/>
        <v/>
      </c>
      <c r="G377" s="96" t="str">
        <f>IFERROR((IF((VLOOKUP(B377,SALE!$B$5:$B$1000,1,0))&gt;0,"Sold","")),"")</f>
        <v/>
      </c>
      <c r="H377" s="96" t="str">
        <f>IFERROR((IF((VLOOKUP(B377,MORTALITY!$B$5:$B$1000,1,0))&gt;0,"Died","")),"")</f>
        <v/>
      </c>
      <c r="I377" s="96" t="str">
        <f ca="1">IFERROR(
   IF(LOOKUP(2,1/((ILLNESS!$B$6:$B$1000=B377)*(ILLNESS!$L$6:$L$1000&lt;&gt;"")),
            ILLNESS!$L$6:$L$1000)="No",
      "Sick",""),
"")</f>
        <v/>
      </c>
      <c r="J377" s="104"/>
      <c r="K377" s="97" t="str">
        <f t="shared" ca="1" si="21"/>
        <v/>
      </c>
      <c r="L377" s="97" t="str">
        <f t="shared" ca="1" si="22"/>
        <v/>
      </c>
      <c r="M377" s="76"/>
      <c r="N377" s="76"/>
      <c r="O377" s="76"/>
      <c r="P377" s="76"/>
      <c r="Q377" s="76"/>
      <c r="R377" s="76"/>
      <c r="S377" s="104"/>
      <c r="T377" s="104"/>
      <c r="U377" s="106"/>
      <c r="V377" s="98" t="str">
        <f>IF(OR(G377="Sold",H377="Died"),IF(G377="Sold",VLOOKUP(B377,SALE!$B$5:$J$1000,6,0),IF(H377="Died",VLOOKUP(B377,MORTALITY!$B$5:$K$1000,5,0),"")),"")</f>
        <v/>
      </c>
      <c r="W377" s="76"/>
    </row>
    <row r="378" spans="1:23">
      <c r="A378" s="93">
        <f t="shared" si="23"/>
        <v>374</v>
      </c>
      <c r="B378" s="94"/>
      <c r="C378" s="76"/>
      <c r="D378" s="76"/>
      <c r="E378" s="76"/>
      <c r="F378" s="94" t="str">
        <f t="shared" ca="1" si="20"/>
        <v/>
      </c>
      <c r="G378" s="96" t="str">
        <f>IFERROR((IF((VLOOKUP(B378,SALE!$B$5:$B$1000,1,0))&gt;0,"Sold","")),"")</f>
        <v/>
      </c>
      <c r="H378" s="96" t="str">
        <f>IFERROR((IF((VLOOKUP(B378,MORTALITY!$B$5:$B$1000,1,0))&gt;0,"Died","")),"")</f>
        <v/>
      </c>
      <c r="I378" s="96" t="str">
        <f ca="1">IFERROR(
   IF(LOOKUP(2,1/((ILLNESS!$B$6:$B$1000=B378)*(ILLNESS!$L$6:$L$1000&lt;&gt;"")),
            ILLNESS!$L$6:$L$1000)="No",
      "Sick",""),
"")</f>
        <v/>
      </c>
      <c r="J378" s="104"/>
      <c r="K378" s="97" t="str">
        <f t="shared" ca="1" si="21"/>
        <v/>
      </c>
      <c r="L378" s="97" t="str">
        <f t="shared" ca="1" si="22"/>
        <v/>
      </c>
      <c r="M378" s="76"/>
      <c r="N378" s="76"/>
      <c r="O378" s="76"/>
      <c r="P378" s="76"/>
      <c r="Q378" s="76"/>
      <c r="R378" s="76"/>
      <c r="S378" s="104"/>
      <c r="T378" s="104"/>
      <c r="U378" s="106"/>
      <c r="V378" s="98" t="str">
        <f>IF(OR(G378="Sold",H378="Died"),IF(G378="Sold",VLOOKUP(B378,SALE!$B$5:$J$1000,6,0),IF(H378="Died",VLOOKUP(B378,MORTALITY!$B$5:$K$1000,5,0),"")),"")</f>
        <v/>
      </c>
      <c r="W378" s="76"/>
    </row>
    <row r="379" spans="1:23">
      <c r="A379" s="93">
        <f t="shared" si="23"/>
        <v>375</v>
      </c>
      <c r="B379" s="94"/>
      <c r="C379" s="76"/>
      <c r="D379" s="76"/>
      <c r="E379" s="76"/>
      <c r="F379" s="94" t="str">
        <f t="shared" ca="1" si="20"/>
        <v/>
      </c>
      <c r="G379" s="96" t="str">
        <f>IFERROR((IF((VLOOKUP(B379,SALE!$B$5:$B$1000,1,0))&gt;0,"Sold","")),"")</f>
        <v/>
      </c>
      <c r="H379" s="96" t="str">
        <f>IFERROR((IF((VLOOKUP(B379,MORTALITY!$B$5:$B$1000,1,0))&gt;0,"Died","")),"")</f>
        <v/>
      </c>
      <c r="I379" s="96" t="str">
        <f ca="1">IFERROR(
   IF(LOOKUP(2,1/((ILLNESS!$B$6:$B$1000=B379)*(ILLNESS!$L$6:$L$1000&lt;&gt;"")),
            ILLNESS!$L$6:$L$1000)="No",
      "Sick",""),
"")</f>
        <v/>
      </c>
      <c r="J379" s="104"/>
      <c r="K379" s="97" t="str">
        <f t="shared" ca="1" si="21"/>
        <v/>
      </c>
      <c r="L379" s="97" t="str">
        <f t="shared" ca="1" si="22"/>
        <v/>
      </c>
      <c r="M379" s="76"/>
      <c r="N379" s="76"/>
      <c r="O379" s="76"/>
      <c r="P379" s="76"/>
      <c r="Q379" s="76"/>
      <c r="R379" s="76"/>
      <c r="S379" s="104"/>
      <c r="T379" s="104"/>
      <c r="U379" s="106"/>
      <c r="V379" s="98" t="str">
        <f>IF(OR(G379="Sold",H379="Died"),IF(G379="Sold",VLOOKUP(B379,SALE!$B$5:$J$1000,6,0),IF(H379="Died",VLOOKUP(B379,MORTALITY!$B$5:$K$1000,5,0),"")),"")</f>
        <v/>
      </c>
      <c r="W379" s="76"/>
    </row>
    <row r="380" spans="1:23">
      <c r="A380" s="93">
        <f t="shared" si="23"/>
        <v>376</v>
      </c>
      <c r="B380" s="94"/>
      <c r="C380" s="76"/>
      <c r="D380" s="76"/>
      <c r="E380" s="76"/>
      <c r="F380" s="94" t="str">
        <f t="shared" ca="1" si="20"/>
        <v/>
      </c>
      <c r="G380" s="96" t="str">
        <f>IFERROR((IF((VLOOKUP(B380,SALE!$B$5:$B$1000,1,0))&gt;0,"Sold","")),"")</f>
        <v/>
      </c>
      <c r="H380" s="96" t="str">
        <f>IFERROR((IF((VLOOKUP(B380,MORTALITY!$B$5:$B$1000,1,0))&gt;0,"Died","")),"")</f>
        <v/>
      </c>
      <c r="I380" s="96" t="str">
        <f ca="1">IFERROR(
   IF(LOOKUP(2,1/((ILLNESS!$B$6:$B$1000=B380)*(ILLNESS!$L$6:$L$1000&lt;&gt;"")),
            ILLNESS!$L$6:$L$1000)="No",
      "Sick",""),
"")</f>
        <v/>
      </c>
      <c r="J380" s="104"/>
      <c r="K380" s="97" t="str">
        <f t="shared" ca="1" si="21"/>
        <v/>
      </c>
      <c r="L380" s="97" t="str">
        <f t="shared" ca="1" si="22"/>
        <v/>
      </c>
      <c r="M380" s="76"/>
      <c r="N380" s="76"/>
      <c r="O380" s="76"/>
      <c r="P380" s="76"/>
      <c r="Q380" s="76"/>
      <c r="R380" s="76"/>
      <c r="S380" s="104"/>
      <c r="T380" s="104"/>
      <c r="U380" s="106"/>
      <c r="V380" s="98" t="str">
        <f>IF(OR(G380="Sold",H380="Died"),IF(G380="Sold",VLOOKUP(B380,SALE!$B$5:$J$1000,6,0),IF(H380="Died",VLOOKUP(B380,MORTALITY!$B$5:$K$1000,5,0),"")),"")</f>
        <v/>
      </c>
      <c r="W380" s="76"/>
    </row>
    <row r="381" spans="1:23">
      <c r="A381" s="93">
        <f t="shared" si="23"/>
        <v>377</v>
      </c>
      <c r="B381" s="94"/>
      <c r="C381" s="76"/>
      <c r="D381" s="76"/>
      <c r="E381" s="76"/>
      <c r="F381" s="94" t="str">
        <f t="shared" ca="1" si="20"/>
        <v/>
      </c>
      <c r="G381" s="96" t="str">
        <f>IFERROR((IF((VLOOKUP(B381,SALE!$B$5:$B$1000,1,0))&gt;0,"Sold","")),"")</f>
        <v/>
      </c>
      <c r="H381" s="96" t="str">
        <f>IFERROR((IF((VLOOKUP(B381,MORTALITY!$B$5:$B$1000,1,0))&gt;0,"Died","")),"")</f>
        <v/>
      </c>
      <c r="I381" s="96" t="str">
        <f ca="1">IFERROR(
   IF(LOOKUP(2,1/((ILLNESS!$B$6:$B$1000=B381)*(ILLNESS!$L$6:$L$1000&lt;&gt;"")),
            ILLNESS!$L$6:$L$1000)="No",
      "Sick",""),
"")</f>
        <v/>
      </c>
      <c r="J381" s="104"/>
      <c r="K381" s="97" t="str">
        <f t="shared" ca="1" si="21"/>
        <v/>
      </c>
      <c r="L381" s="97" t="str">
        <f t="shared" ca="1" si="22"/>
        <v/>
      </c>
      <c r="M381" s="76"/>
      <c r="N381" s="76"/>
      <c r="O381" s="76"/>
      <c r="P381" s="76"/>
      <c r="Q381" s="76"/>
      <c r="R381" s="76"/>
      <c r="S381" s="104"/>
      <c r="T381" s="104"/>
      <c r="U381" s="106"/>
      <c r="V381" s="98" t="str">
        <f>IF(OR(G381="Sold",H381="Died"),IF(G381="Sold",VLOOKUP(B381,SALE!$B$5:$J$1000,6,0),IF(H381="Died",VLOOKUP(B381,MORTALITY!$B$5:$K$1000,5,0),"")),"")</f>
        <v/>
      </c>
      <c r="W381" s="76"/>
    </row>
    <row r="382" spans="1:23">
      <c r="A382" s="93">
        <f t="shared" si="23"/>
        <v>378</v>
      </c>
      <c r="B382" s="94"/>
      <c r="C382" s="76"/>
      <c r="D382" s="76"/>
      <c r="E382" s="76"/>
      <c r="F382" s="94" t="str">
        <f t="shared" ca="1" si="20"/>
        <v/>
      </c>
      <c r="G382" s="96" t="str">
        <f>IFERROR((IF((VLOOKUP(B382,SALE!$B$5:$B$1000,1,0))&gt;0,"Sold","")),"")</f>
        <v/>
      </c>
      <c r="H382" s="96" t="str">
        <f>IFERROR((IF((VLOOKUP(B382,MORTALITY!$B$5:$B$1000,1,0))&gt;0,"Died","")),"")</f>
        <v/>
      </c>
      <c r="I382" s="96" t="str">
        <f ca="1">IFERROR(
   IF(LOOKUP(2,1/((ILLNESS!$B$6:$B$1000=B382)*(ILLNESS!$L$6:$L$1000&lt;&gt;"")),
            ILLNESS!$L$6:$L$1000)="No",
      "Sick",""),
"")</f>
        <v/>
      </c>
      <c r="J382" s="104"/>
      <c r="K382" s="97" t="str">
        <f t="shared" ca="1" si="21"/>
        <v/>
      </c>
      <c r="L382" s="97" t="str">
        <f t="shared" ca="1" si="22"/>
        <v/>
      </c>
      <c r="M382" s="76"/>
      <c r="N382" s="76"/>
      <c r="O382" s="76"/>
      <c r="P382" s="76"/>
      <c r="Q382" s="76"/>
      <c r="R382" s="76"/>
      <c r="S382" s="104"/>
      <c r="T382" s="104"/>
      <c r="U382" s="106"/>
      <c r="V382" s="98" t="str">
        <f>IF(OR(G382="Sold",H382="Died"),IF(G382="Sold",VLOOKUP(B382,SALE!$B$5:$J$1000,6,0),IF(H382="Died",VLOOKUP(B382,MORTALITY!$B$5:$K$1000,5,0),"")),"")</f>
        <v/>
      </c>
      <c r="W382" s="76"/>
    </row>
    <row r="383" spans="1:23">
      <c r="A383" s="93">
        <f t="shared" si="23"/>
        <v>379</v>
      </c>
      <c r="B383" s="94"/>
      <c r="C383" s="76"/>
      <c r="D383" s="76"/>
      <c r="E383" s="76"/>
      <c r="F383" s="94" t="str">
        <f t="shared" ca="1" si="20"/>
        <v/>
      </c>
      <c r="G383" s="96" t="str">
        <f>IFERROR((IF((VLOOKUP(B383,SALE!$B$5:$B$1000,1,0))&gt;0,"Sold","")),"")</f>
        <v/>
      </c>
      <c r="H383" s="96" t="str">
        <f>IFERROR((IF((VLOOKUP(B383,MORTALITY!$B$5:$B$1000,1,0))&gt;0,"Died","")),"")</f>
        <v/>
      </c>
      <c r="I383" s="96" t="str">
        <f ca="1">IFERROR(
   IF(LOOKUP(2,1/((ILLNESS!$B$6:$B$1000=B383)*(ILLNESS!$L$6:$L$1000&lt;&gt;"")),
            ILLNESS!$L$6:$L$1000)="No",
      "Sick",""),
"")</f>
        <v/>
      </c>
      <c r="J383" s="104"/>
      <c r="K383" s="97" t="str">
        <f t="shared" ca="1" si="21"/>
        <v/>
      </c>
      <c r="L383" s="97" t="str">
        <f t="shared" ca="1" si="22"/>
        <v/>
      </c>
      <c r="M383" s="76"/>
      <c r="N383" s="76"/>
      <c r="O383" s="76"/>
      <c r="P383" s="76"/>
      <c r="Q383" s="76"/>
      <c r="R383" s="76"/>
      <c r="S383" s="104"/>
      <c r="T383" s="104"/>
      <c r="U383" s="106"/>
      <c r="V383" s="98" t="str">
        <f>IF(OR(G383="Sold",H383="Died"),IF(G383="Sold",VLOOKUP(B383,SALE!$B$5:$J$1000,6,0),IF(H383="Died",VLOOKUP(B383,MORTALITY!$B$5:$K$1000,5,0),"")),"")</f>
        <v/>
      </c>
      <c r="W383" s="76"/>
    </row>
    <row r="384" spans="1:23">
      <c r="A384" s="93">
        <f t="shared" si="23"/>
        <v>380</v>
      </c>
      <c r="B384" s="94"/>
      <c r="C384" s="76"/>
      <c r="D384" s="76"/>
      <c r="E384" s="76"/>
      <c r="F384" s="94" t="str">
        <f t="shared" ca="1" si="20"/>
        <v/>
      </c>
      <c r="G384" s="96" t="str">
        <f>IFERROR((IF((VLOOKUP(B384,SALE!$B$5:$B$1000,1,0))&gt;0,"Sold","")),"")</f>
        <v/>
      </c>
      <c r="H384" s="96" t="str">
        <f>IFERROR((IF((VLOOKUP(B384,MORTALITY!$B$5:$B$1000,1,0))&gt;0,"Died","")),"")</f>
        <v/>
      </c>
      <c r="I384" s="96" t="str">
        <f ca="1">IFERROR(
   IF(LOOKUP(2,1/((ILLNESS!$B$6:$B$1000=B384)*(ILLNESS!$L$6:$L$1000&lt;&gt;"")),
            ILLNESS!$L$6:$L$1000)="No",
      "Sick",""),
"")</f>
        <v/>
      </c>
      <c r="J384" s="104"/>
      <c r="K384" s="97" t="str">
        <f t="shared" ca="1" si="21"/>
        <v/>
      </c>
      <c r="L384" s="97" t="str">
        <f t="shared" ca="1" si="22"/>
        <v/>
      </c>
      <c r="M384" s="76"/>
      <c r="N384" s="76"/>
      <c r="O384" s="76"/>
      <c r="P384" s="76"/>
      <c r="Q384" s="76"/>
      <c r="R384" s="76"/>
      <c r="S384" s="104"/>
      <c r="T384" s="104"/>
      <c r="U384" s="106"/>
      <c r="V384" s="98" t="str">
        <f>IF(OR(G384="Sold",H384="Died"),IF(G384="Sold",VLOOKUP(B384,SALE!$B$5:$J$1000,6,0),IF(H384="Died",VLOOKUP(B384,MORTALITY!$B$5:$K$1000,5,0),"")),"")</f>
        <v/>
      </c>
      <c r="W384" s="76"/>
    </row>
    <row r="385" spans="1:23">
      <c r="A385" s="93">
        <f t="shared" si="23"/>
        <v>381</v>
      </c>
      <c r="B385" s="94"/>
      <c r="C385" s="76"/>
      <c r="D385" s="76"/>
      <c r="E385" s="76"/>
      <c r="F385" s="94" t="str">
        <f t="shared" ca="1" si="20"/>
        <v/>
      </c>
      <c r="G385" s="96" t="str">
        <f>IFERROR((IF((VLOOKUP(B385,SALE!$B$5:$B$1000,1,0))&gt;0,"Sold","")),"")</f>
        <v/>
      </c>
      <c r="H385" s="96" t="str">
        <f>IFERROR((IF((VLOOKUP(B385,MORTALITY!$B$5:$B$1000,1,0))&gt;0,"Died","")),"")</f>
        <v/>
      </c>
      <c r="I385" s="96" t="str">
        <f ca="1">IFERROR(
   IF(LOOKUP(2,1/((ILLNESS!$B$6:$B$1000=B385)*(ILLNESS!$L$6:$L$1000&lt;&gt;"")),
            ILLNESS!$L$6:$L$1000)="No",
      "Sick",""),
"")</f>
        <v/>
      </c>
      <c r="J385" s="104"/>
      <c r="K385" s="97" t="str">
        <f t="shared" ca="1" si="21"/>
        <v/>
      </c>
      <c r="L385" s="97" t="str">
        <f t="shared" ca="1" si="22"/>
        <v/>
      </c>
      <c r="M385" s="76"/>
      <c r="N385" s="76"/>
      <c r="O385" s="76"/>
      <c r="P385" s="76"/>
      <c r="Q385" s="76"/>
      <c r="R385" s="76"/>
      <c r="S385" s="104"/>
      <c r="T385" s="104"/>
      <c r="U385" s="106"/>
      <c r="V385" s="98" t="str">
        <f>IF(OR(G385="Sold",H385="Died"),IF(G385="Sold",VLOOKUP(B385,SALE!$B$5:$J$1000,6,0),IF(H385="Died",VLOOKUP(B385,MORTALITY!$B$5:$K$1000,5,0),"")),"")</f>
        <v/>
      </c>
      <c r="W385" s="76"/>
    </row>
    <row r="386" spans="1:23">
      <c r="A386" s="93">
        <f t="shared" si="23"/>
        <v>382</v>
      </c>
      <c r="B386" s="94"/>
      <c r="C386" s="76"/>
      <c r="D386" s="76"/>
      <c r="E386" s="76"/>
      <c r="F386" s="94" t="str">
        <f t="shared" ca="1" si="20"/>
        <v/>
      </c>
      <c r="G386" s="96" t="str">
        <f>IFERROR((IF((VLOOKUP(B386,SALE!$B$5:$B$1000,1,0))&gt;0,"Sold","")),"")</f>
        <v/>
      </c>
      <c r="H386" s="96" t="str">
        <f>IFERROR((IF((VLOOKUP(B386,MORTALITY!$B$5:$B$1000,1,0))&gt;0,"Died","")),"")</f>
        <v/>
      </c>
      <c r="I386" s="96" t="str">
        <f ca="1">IFERROR(
   IF(LOOKUP(2,1/((ILLNESS!$B$6:$B$1000=B386)*(ILLNESS!$L$6:$L$1000&lt;&gt;"")),
            ILLNESS!$L$6:$L$1000)="No",
      "Sick",""),
"")</f>
        <v/>
      </c>
      <c r="J386" s="104"/>
      <c r="K386" s="97" t="str">
        <f t="shared" ca="1" si="21"/>
        <v/>
      </c>
      <c r="L386" s="97" t="str">
        <f t="shared" ca="1" si="22"/>
        <v/>
      </c>
      <c r="M386" s="76"/>
      <c r="N386" s="76"/>
      <c r="O386" s="76"/>
      <c r="P386" s="76"/>
      <c r="Q386" s="76"/>
      <c r="R386" s="76"/>
      <c r="S386" s="104"/>
      <c r="T386" s="104"/>
      <c r="U386" s="106"/>
      <c r="V386" s="98" t="str">
        <f>IF(OR(G386="Sold",H386="Died"),IF(G386="Sold",VLOOKUP(B386,SALE!$B$5:$J$1000,6,0),IF(H386="Died",VLOOKUP(B386,MORTALITY!$B$5:$K$1000,5,0),"")),"")</f>
        <v/>
      </c>
      <c r="W386" s="76"/>
    </row>
    <row r="387" spans="1:23">
      <c r="A387" s="93">
        <f t="shared" si="23"/>
        <v>383</v>
      </c>
      <c r="B387" s="94"/>
      <c r="C387" s="76"/>
      <c r="D387" s="76"/>
      <c r="E387" s="76"/>
      <c r="F387" s="94" t="str">
        <f t="shared" ca="1" si="20"/>
        <v/>
      </c>
      <c r="G387" s="96" t="str">
        <f>IFERROR((IF((VLOOKUP(B387,SALE!$B$5:$B$1000,1,0))&gt;0,"Sold","")),"")</f>
        <v/>
      </c>
      <c r="H387" s="96" t="str">
        <f>IFERROR((IF((VLOOKUP(B387,MORTALITY!$B$5:$B$1000,1,0))&gt;0,"Died","")),"")</f>
        <v/>
      </c>
      <c r="I387" s="96" t="str">
        <f ca="1">IFERROR(
   IF(LOOKUP(2,1/((ILLNESS!$B$6:$B$1000=B387)*(ILLNESS!$L$6:$L$1000&lt;&gt;"")),
            ILLNESS!$L$6:$L$1000)="No",
      "Sick",""),
"")</f>
        <v/>
      </c>
      <c r="J387" s="104"/>
      <c r="K387" s="97" t="str">
        <f t="shared" ca="1" si="21"/>
        <v/>
      </c>
      <c r="L387" s="97" t="str">
        <f t="shared" ca="1" si="22"/>
        <v/>
      </c>
      <c r="M387" s="76"/>
      <c r="N387" s="76"/>
      <c r="O387" s="76"/>
      <c r="P387" s="76"/>
      <c r="Q387" s="76"/>
      <c r="R387" s="76"/>
      <c r="S387" s="104"/>
      <c r="T387" s="104"/>
      <c r="U387" s="106"/>
      <c r="V387" s="98" t="str">
        <f>IF(OR(G387="Sold",H387="Died"),IF(G387="Sold",VLOOKUP(B387,SALE!$B$5:$J$1000,6,0),IF(H387="Died",VLOOKUP(B387,MORTALITY!$B$5:$K$1000,5,0),"")),"")</f>
        <v/>
      </c>
      <c r="W387" s="76"/>
    </row>
    <row r="388" spans="1:23">
      <c r="A388" s="93">
        <f t="shared" si="23"/>
        <v>384</v>
      </c>
      <c r="B388" s="94"/>
      <c r="C388" s="76"/>
      <c r="D388" s="76"/>
      <c r="E388" s="76"/>
      <c r="F388" s="94" t="str">
        <f t="shared" ca="1" si="20"/>
        <v/>
      </c>
      <c r="G388" s="96" t="str">
        <f>IFERROR((IF((VLOOKUP(B388,SALE!$B$5:$B$1000,1,0))&gt;0,"Sold","")),"")</f>
        <v/>
      </c>
      <c r="H388" s="96" t="str">
        <f>IFERROR((IF((VLOOKUP(B388,MORTALITY!$B$5:$B$1000,1,0))&gt;0,"Died","")),"")</f>
        <v/>
      </c>
      <c r="I388" s="96" t="str">
        <f ca="1">IFERROR(
   IF(LOOKUP(2,1/((ILLNESS!$B$6:$B$1000=B388)*(ILLNESS!$L$6:$L$1000&lt;&gt;"")),
            ILLNESS!$L$6:$L$1000)="No",
      "Sick",""),
"")</f>
        <v/>
      </c>
      <c r="J388" s="104"/>
      <c r="K388" s="97" t="str">
        <f t="shared" ca="1" si="21"/>
        <v/>
      </c>
      <c r="L388" s="97" t="str">
        <f t="shared" ca="1" si="22"/>
        <v/>
      </c>
      <c r="M388" s="76"/>
      <c r="N388" s="76"/>
      <c r="O388" s="76"/>
      <c r="P388" s="76"/>
      <c r="Q388" s="76"/>
      <c r="R388" s="76"/>
      <c r="S388" s="104"/>
      <c r="T388" s="104"/>
      <c r="U388" s="106"/>
      <c r="V388" s="98" t="str">
        <f>IF(OR(G388="Sold",H388="Died"),IF(G388="Sold",VLOOKUP(B388,SALE!$B$5:$J$1000,6,0),IF(H388="Died",VLOOKUP(B388,MORTALITY!$B$5:$K$1000,5,0),"")),"")</f>
        <v/>
      </c>
      <c r="W388" s="76"/>
    </row>
    <row r="389" spans="1:23">
      <c r="A389" s="93">
        <f t="shared" si="23"/>
        <v>385</v>
      </c>
      <c r="B389" s="94"/>
      <c r="C389" s="76"/>
      <c r="D389" s="76"/>
      <c r="E389" s="76"/>
      <c r="F389" s="94" t="str">
        <f t="shared" ca="1" si="20"/>
        <v/>
      </c>
      <c r="G389" s="96" t="str">
        <f>IFERROR((IF((VLOOKUP(B389,SALE!$B$5:$B$1000,1,0))&gt;0,"Sold","")),"")</f>
        <v/>
      </c>
      <c r="H389" s="96" t="str">
        <f>IFERROR((IF((VLOOKUP(B389,MORTALITY!$B$5:$B$1000,1,0))&gt;0,"Died","")),"")</f>
        <v/>
      </c>
      <c r="I389" s="96" t="str">
        <f ca="1">IFERROR(
   IF(LOOKUP(2,1/((ILLNESS!$B$6:$B$1000=B389)*(ILLNESS!$L$6:$L$1000&lt;&gt;"")),
            ILLNESS!$L$6:$L$1000)="No",
      "Sick",""),
"")</f>
        <v/>
      </c>
      <c r="J389" s="104"/>
      <c r="K389" s="97" t="str">
        <f t="shared" ca="1" si="21"/>
        <v/>
      </c>
      <c r="L389" s="97" t="str">
        <f t="shared" ca="1" si="22"/>
        <v/>
      </c>
      <c r="M389" s="76"/>
      <c r="N389" s="76"/>
      <c r="O389" s="76"/>
      <c r="P389" s="76"/>
      <c r="Q389" s="76"/>
      <c r="R389" s="76"/>
      <c r="S389" s="104"/>
      <c r="T389" s="104"/>
      <c r="U389" s="106"/>
      <c r="V389" s="98" t="str">
        <f>IF(OR(G389="Sold",H389="Died"),IF(G389="Sold",VLOOKUP(B389,SALE!$B$5:$J$1000,6,0),IF(H389="Died",VLOOKUP(B389,MORTALITY!$B$5:$K$1000,5,0),"")),"")</f>
        <v/>
      </c>
      <c r="W389" s="76"/>
    </row>
    <row r="390" spans="1:23">
      <c r="A390" s="93">
        <f t="shared" si="23"/>
        <v>386</v>
      </c>
      <c r="B390" s="94"/>
      <c r="C390" s="76"/>
      <c r="D390" s="76"/>
      <c r="E390" s="76"/>
      <c r="F390" s="94" t="str">
        <f t="shared" ca="1" si="20"/>
        <v/>
      </c>
      <c r="G390" s="96" t="str">
        <f>IFERROR((IF((VLOOKUP(B390,SALE!$B$5:$B$1000,1,0))&gt;0,"Sold","")),"")</f>
        <v/>
      </c>
      <c r="H390" s="96" t="str">
        <f>IFERROR((IF((VLOOKUP(B390,MORTALITY!$B$5:$B$1000,1,0))&gt;0,"Died","")),"")</f>
        <v/>
      </c>
      <c r="I390" s="96" t="str">
        <f ca="1">IFERROR(
   IF(LOOKUP(2,1/((ILLNESS!$B$6:$B$1000=B390)*(ILLNESS!$L$6:$L$1000&lt;&gt;"")),
            ILLNESS!$L$6:$L$1000)="No",
      "Sick",""),
"")</f>
        <v/>
      </c>
      <c r="J390" s="104"/>
      <c r="K390" s="97" t="str">
        <f t="shared" ca="1" si="21"/>
        <v/>
      </c>
      <c r="L390" s="97" t="str">
        <f t="shared" ca="1" si="22"/>
        <v/>
      </c>
      <c r="M390" s="76"/>
      <c r="N390" s="76"/>
      <c r="O390" s="76"/>
      <c r="P390" s="76"/>
      <c r="Q390" s="76"/>
      <c r="R390" s="76"/>
      <c r="S390" s="104"/>
      <c r="T390" s="104"/>
      <c r="U390" s="106"/>
      <c r="V390" s="98" t="str">
        <f>IF(OR(G390="Sold",H390="Died"),IF(G390="Sold",VLOOKUP(B390,SALE!$B$5:$J$1000,6,0),IF(H390="Died",VLOOKUP(B390,MORTALITY!$B$5:$K$1000,5,0),"")),"")</f>
        <v/>
      </c>
      <c r="W390" s="76"/>
    </row>
    <row r="391" spans="1:23">
      <c r="A391" s="93">
        <f t="shared" si="23"/>
        <v>387</v>
      </c>
      <c r="B391" s="94"/>
      <c r="C391" s="76"/>
      <c r="D391" s="76"/>
      <c r="E391" s="76"/>
      <c r="F391" s="94" t="str">
        <f t="shared" ref="F391:F454" ca="1" si="24">IF(OR(G391="Sold",H391="Died",I391="Sick"),"Inactive",IF(OR(C391="MALE",C391="FEMALE"),"Active",""))</f>
        <v/>
      </c>
      <c r="G391" s="96" t="str">
        <f>IFERROR((IF((VLOOKUP(B391,SALE!$B$5:$B$1000,1,0))&gt;0,"Sold","")),"")</f>
        <v/>
      </c>
      <c r="H391" s="96" t="str">
        <f>IFERROR((IF((VLOOKUP(B391,MORTALITY!$B$5:$B$1000,1,0))&gt;0,"Died","")),"")</f>
        <v/>
      </c>
      <c r="I391" s="96" t="str">
        <f ca="1">IFERROR(
   IF(LOOKUP(2,1/((ILLNESS!$B$6:$B$1000=B391)*(ILLNESS!$L$6:$L$1000&lt;&gt;"")),
            ILLNESS!$L$6:$L$1000)="No",
      "Sick",""),
"")</f>
        <v/>
      </c>
      <c r="J391" s="104"/>
      <c r="K391" s="97" t="str">
        <f t="shared" ref="K391:K454" ca="1" si="25">IF(J391="","",DATEDIF($J391,TODAY(),"Y"))</f>
        <v/>
      </c>
      <c r="L391" s="97" t="str">
        <f t="shared" ref="L391:L454" ca="1" si="26">IFERROR(DATEDIF($J391,TODAY(),"M")-($K391*12),"")</f>
        <v/>
      </c>
      <c r="M391" s="76"/>
      <c r="N391" s="76"/>
      <c r="O391" s="76"/>
      <c r="P391" s="76"/>
      <c r="Q391" s="76"/>
      <c r="R391" s="76"/>
      <c r="S391" s="104"/>
      <c r="T391" s="104"/>
      <c r="U391" s="106"/>
      <c r="V391" s="98" t="str">
        <f>IF(OR(G391="Sold",H391="Died"),IF(G391="Sold",VLOOKUP(B391,SALE!$B$5:$J$1000,6,0),IF(H391="Died",VLOOKUP(B391,MORTALITY!$B$5:$K$1000,5,0),"")),"")</f>
        <v/>
      </c>
      <c r="W391" s="76"/>
    </row>
    <row r="392" spans="1:23">
      <c r="A392" s="93">
        <f t="shared" si="23"/>
        <v>388</v>
      </c>
      <c r="B392" s="94"/>
      <c r="C392" s="76"/>
      <c r="D392" s="76"/>
      <c r="E392" s="76"/>
      <c r="F392" s="94" t="str">
        <f t="shared" ca="1" si="24"/>
        <v/>
      </c>
      <c r="G392" s="96" t="str">
        <f>IFERROR((IF((VLOOKUP(B392,SALE!$B$5:$B$1000,1,0))&gt;0,"Sold","")),"")</f>
        <v/>
      </c>
      <c r="H392" s="96" t="str">
        <f>IFERROR((IF((VLOOKUP(B392,MORTALITY!$B$5:$B$1000,1,0))&gt;0,"Died","")),"")</f>
        <v/>
      </c>
      <c r="I392" s="96" t="str">
        <f ca="1">IFERROR(
   IF(LOOKUP(2,1/((ILLNESS!$B$6:$B$1000=B392)*(ILLNESS!$L$6:$L$1000&lt;&gt;"")),
            ILLNESS!$L$6:$L$1000)="No",
      "Sick",""),
"")</f>
        <v/>
      </c>
      <c r="J392" s="104"/>
      <c r="K392" s="97" t="str">
        <f t="shared" ca="1" si="25"/>
        <v/>
      </c>
      <c r="L392" s="97" t="str">
        <f t="shared" ca="1" si="26"/>
        <v/>
      </c>
      <c r="M392" s="76"/>
      <c r="N392" s="76"/>
      <c r="O392" s="76"/>
      <c r="P392" s="76"/>
      <c r="Q392" s="76"/>
      <c r="R392" s="76"/>
      <c r="S392" s="104"/>
      <c r="T392" s="104"/>
      <c r="U392" s="106"/>
      <c r="V392" s="98" t="str">
        <f>IF(OR(G392="Sold",H392="Died"),IF(G392="Sold",VLOOKUP(B392,SALE!$B$5:$J$1000,6,0),IF(H392="Died",VLOOKUP(B392,MORTALITY!$B$5:$K$1000,5,0),"")),"")</f>
        <v/>
      </c>
      <c r="W392" s="76"/>
    </row>
    <row r="393" spans="1:23">
      <c r="A393" s="93">
        <f t="shared" ref="A393:A456" si="27">ROW(A389)</f>
        <v>389</v>
      </c>
      <c r="B393" s="94"/>
      <c r="C393" s="76"/>
      <c r="D393" s="76"/>
      <c r="E393" s="76"/>
      <c r="F393" s="94" t="str">
        <f t="shared" ca="1" si="24"/>
        <v/>
      </c>
      <c r="G393" s="96" t="str">
        <f>IFERROR((IF((VLOOKUP(B393,SALE!$B$5:$B$1000,1,0))&gt;0,"Sold","")),"")</f>
        <v/>
      </c>
      <c r="H393" s="96" t="str">
        <f>IFERROR((IF((VLOOKUP(B393,MORTALITY!$B$5:$B$1000,1,0))&gt;0,"Died","")),"")</f>
        <v/>
      </c>
      <c r="I393" s="96" t="str">
        <f ca="1">IFERROR(
   IF(LOOKUP(2,1/((ILLNESS!$B$6:$B$1000=B393)*(ILLNESS!$L$6:$L$1000&lt;&gt;"")),
            ILLNESS!$L$6:$L$1000)="No",
      "Sick",""),
"")</f>
        <v/>
      </c>
      <c r="J393" s="104"/>
      <c r="K393" s="97" t="str">
        <f t="shared" ca="1" si="25"/>
        <v/>
      </c>
      <c r="L393" s="97" t="str">
        <f t="shared" ca="1" si="26"/>
        <v/>
      </c>
      <c r="M393" s="76"/>
      <c r="N393" s="76"/>
      <c r="O393" s="76"/>
      <c r="P393" s="76"/>
      <c r="Q393" s="76"/>
      <c r="R393" s="76"/>
      <c r="S393" s="104"/>
      <c r="T393" s="104"/>
      <c r="U393" s="106"/>
      <c r="V393" s="98" t="str">
        <f>IF(OR(G393="Sold",H393="Died"),IF(G393="Sold",VLOOKUP(B393,SALE!$B$5:$J$1000,6,0),IF(H393="Died",VLOOKUP(B393,MORTALITY!$B$5:$K$1000,5,0),"")),"")</f>
        <v/>
      </c>
      <c r="W393" s="76"/>
    </row>
    <row r="394" spans="1:23">
      <c r="A394" s="93">
        <f t="shared" si="27"/>
        <v>390</v>
      </c>
      <c r="B394" s="94"/>
      <c r="C394" s="76"/>
      <c r="D394" s="76"/>
      <c r="E394" s="76"/>
      <c r="F394" s="94" t="str">
        <f t="shared" ca="1" si="24"/>
        <v/>
      </c>
      <c r="G394" s="96" t="str">
        <f>IFERROR((IF((VLOOKUP(B394,SALE!$B$5:$B$1000,1,0))&gt;0,"Sold","")),"")</f>
        <v/>
      </c>
      <c r="H394" s="96" t="str">
        <f>IFERROR((IF((VLOOKUP(B394,MORTALITY!$B$5:$B$1000,1,0))&gt;0,"Died","")),"")</f>
        <v/>
      </c>
      <c r="I394" s="96" t="str">
        <f ca="1">IFERROR(
   IF(LOOKUP(2,1/((ILLNESS!$B$6:$B$1000=B394)*(ILLNESS!$L$6:$L$1000&lt;&gt;"")),
            ILLNESS!$L$6:$L$1000)="No",
      "Sick",""),
"")</f>
        <v/>
      </c>
      <c r="J394" s="104"/>
      <c r="K394" s="97" t="str">
        <f t="shared" ca="1" si="25"/>
        <v/>
      </c>
      <c r="L394" s="97" t="str">
        <f t="shared" ca="1" si="26"/>
        <v/>
      </c>
      <c r="M394" s="76"/>
      <c r="N394" s="76"/>
      <c r="O394" s="76"/>
      <c r="P394" s="76"/>
      <c r="Q394" s="76"/>
      <c r="R394" s="76"/>
      <c r="S394" s="104"/>
      <c r="T394" s="104"/>
      <c r="U394" s="106"/>
      <c r="V394" s="98" t="str">
        <f>IF(OR(G394="Sold",H394="Died"),IF(G394="Sold",VLOOKUP(B394,SALE!$B$5:$J$1000,6,0),IF(H394="Died",VLOOKUP(B394,MORTALITY!$B$5:$K$1000,5,0),"")),"")</f>
        <v/>
      </c>
      <c r="W394" s="76"/>
    </row>
    <row r="395" spans="1:23">
      <c r="A395" s="93">
        <f t="shared" si="27"/>
        <v>391</v>
      </c>
      <c r="B395" s="94"/>
      <c r="C395" s="76"/>
      <c r="D395" s="76"/>
      <c r="E395" s="76"/>
      <c r="F395" s="94" t="str">
        <f t="shared" ca="1" si="24"/>
        <v/>
      </c>
      <c r="G395" s="96" t="str">
        <f>IFERROR((IF((VLOOKUP(B395,SALE!$B$5:$B$1000,1,0))&gt;0,"Sold","")),"")</f>
        <v/>
      </c>
      <c r="H395" s="96" t="str">
        <f>IFERROR((IF((VLOOKUP(B395,MORTALITY!$B$5:$B$1000,1,0))&gt;0,"Died","")),"")</f>
        <v/>
      </c>
      <c r="I395" s="96" t="str">
        <f ca="1">IFERROR(
   IF(LOOKUP(2,1/((ILLNESS!$B$6:$B$1000=B395)*(ILLNESS!$L$6:$L$1000&lt;&gt;"")),
            ILLNESS!$L$6:$L$1000)="No",
      "Sick",""),
"")</f>
        <v/>
      </c>
      <c r="J395" s="104"/>
      <c r="K395" s="97" t="str">
        <f t="shared" ca="1" si="25"/>
        <v/>
      </c>
      <c r="L395" s="97" t="str">
        <f t="shared" ca="1" si="26"/>
        <v/>
      </c>
      <c r="M395" s="76"/>
      <c r="N395" s="76"/>
      <c r="O395" s="76"/>
      <c r="P395" s="76"/>
      <c r="Q395" s="76"/>
      <c r="R395" s="76"/>
      <c r="S395" s="104"/>
      <c r="T395" s="104"/>
      <c r="U395" s="106"/>
      <c r="V395" s="98" t="str">
        <f>IF(OR(G395="Sold",H395="Died"),IF(G395="Sold",VLOOKUP(B395,SALE!$B$5:$J$1000,6,0),IF(H395="Died",VLOOKUP(B395,MORTALITY!$B$5:$K$1000,5,0),"")),"")</f>
        <v/>
      </c>
      <c r="W395" s="76"/>
    </row>
    <row r="396" spans="1:23">
      <c r="A396" s="93">
        <f t="shared" si="27"/>
        <v>392</v>
      </c>
      <c r="B396" s="94"/>
      <c r="C396" s="76"/>
      <c r="D396" s="76"/>
      <c r="E396" s="76"/>
      <c r="F396" s="94" t="str">
        <f t="shared" ca="1" si="24"/>
        <v/>
      </c>
      <c r="G396" s="96" t="str">
        <f>IFERROR((IF((VLOOKUP(B396,SALE!$B$5:$B$1000,1,0))&gt;0,"Sold","")),"")</f>
        <v/>
      </c>
      <c r="H396" s="96" t="str">
        <f>IFERROR((IF((VLOOKUP(B396,MORTALITY!$B$5:$B$1000,1,0))&gt;0,"Died","")),"")</f>
        <v/>
      </c>
      <c r="I396" s="96" t="str">
        <f ca="1">IFERROR(
   IF(LOOKUP(2,1/((ILLNESS!$B$6:$B$1000=B396)*(ILLNESS!$L$6:$L$1000&lt;&gt;"")),
            ILLNESS!$L$6:$L$1000)="No",
      "Sick",""),
"")</f>
        <v/>
      </c>
      <c r="J396" s="104"/>
      <c r="K396" s="97" t="str">
        <f t="shared" ca="1" si="25"/>
        <v/>
      </c>
      <c r="L396" s="97" t="str">
        <f t="shared" ca="1" si="26"/>
        <v/>
      </c>
      <c r="M396" s="76"/>
      <c r="N396" s="76"/>
      <c r="O396" s="76"/>
      <c r="P396" s="76"/>
      <c r="Q396" s="76"/>
      <c r="R396" s="76"/>
      <c r="S396" s="104"/>
      <c r="T396" s="104"/>
      <c r="U396" s="106"/>
      <c r="V396" s="98" t="str">
        <f>IF(OR(G396="Sold",H396="Died"),IF(G396="Sold",VLOOKUP(B396,SALE!$B$5:$J$1000,6,0),IF(H396="Died",VLOOKUP(B396,MORTALITY!$B$5:$K$1000,5,0),"")),"")</f>
        <v/>
      </c>
      <c r="W396" s="76"/>
    </row>
    <row r="397" spans="1:23">
      <c r="A397" s="93">
        <f t="shared" si="27"/>
        <v>393</v>
      </c>
      <c r="B397" s="94"/>
      <c r="C397" s="76"/>
      <c r="D397" s="76"/>
      <c r="E397" s="76"/>
      <c r="F397" s="94" t="str">
        <f t="shared" ca="1" si="24"/>
        <v/>
      </c>
      <c r="G397" s="96" t="str">
        <f>IFERROR((IF((VLOOKUP(B397,SALE!$B$5:$B$1000,1,0))&gt;0,"Sold","")),"")</f>
        <v/>
      </c>
      <c r="H397" s="96" t="str">
        <f>IFERROR((IF((VLOOKUP(B397,MORTALITY!$B$5:$B$1000,1,0))&gt;0,"Died","")),"")</f>
        <v/>
      </c>
      <c r="I397" s="96" t="str">
        <f ca="1">IFERROR(
   IF(LOOKUP(2,1/((ILLNESS!$B$6:$B$1000=B397)*(ILLNESS!$L$6:$L$1000&lt;&gt;"")),
            ILLNESS!$L$6:$L$1000)="No",
      "Sick",""),
"")</f>
        <v/>
      </c>
      <c r="J397" s="104"/>
      <c r="K397" s="97" t="str">
        <f t="shared" ca="1" si="25"/>
        <v/>
      </c>
      <c r="L397" s="97" t="str">
        <f t="shared" ca="1" si="26"/>
        <v/>
      </c>
      <c r="M397" s="76"/>
      <c r="N397" s="76"/>
      <c r="O397" s="76"/>
      <c r="P397" s="76"/>
      <c r="Q397" s="76"/>
      <c r="R397" s="76"/>
      <c r="S397" s="104"/>
      <c r="T397" s="104"/>
      <c r="U397" s="106"/>
      <c r="V397" s="98" t="str">
        <f>IF(OR(G397="Sold",H397="Died"),IF(G397="Sold",VLOOKUP(B397,SALE!$B$5:$J$1000,6,0),IF(H397="Died",VLOOKUP(B397,MORTALITY!$B$5:$K$1000,5,0),"")),"")</f>
        <v/>
      </c>
      <c r="W397" s="76"/>
    </row>
    <row r="398" spans="1:23">
      <c r="A398" s="93">
        <f t="shared" si="27"/>
        <v>394</v>
      </c>
      <c r="B398" s="94"/>
      <c r="C398" s="76"/>
      <c r="D398" s="76"/>
      <c r="E398" s="76"/>
      <c r="F398" s="94" t="str">
        <f t="shared" ca="1" si="24"/>
        <v/>
      </c>
      <c r="G398" s="96" t="str">
        <f>IFERROR((IF((VLOOKUP(B398,SALE!$B$5:$B$1000,1,0))&gt;0,"Sold","")),"")</f>
        <v/>
      </c>
      <c r="H398" s="96" t="str">
        <f>IFERROR((IF((VLOOKUP(B398,MORTALITY!$B$5:$B$1000,1,0))&gt;0,"Died","")),"")</f>
        <v/>
      </c>
      <c r="I398" s="96" t="str">
        <f ca="1">IFERROR(
   IF(LOOKUP(2,1/((ILLNESS!$B$6:$B$1000=B398)*(ILLNESS!$L$6:$L$1000&lt;&gt;"")),
            ILLNESS!$L$6:$L$1000)="No",
      "Sick",""),
"")</f>
        <v/>
      </c>
      <c r="J398" s="104"/>
      <c r="K398" s="97" t="str">
        <f t="shared" ca="1" si="25"/>
        <v/>
      </c>
      <c r="L398" s="97" t="str">
        <f t="shared" ca="1" si="26"/>
        <v/>
      </c>
      <c r="M398" s="76"/>
      <c r="N398" s="76"/>
      <c r="O398" s="76"/>
      <c r="P398" s="76"/>
      <c r="Q398" s="76"/>
      <c r="R398" s="76"/>
      <c r="S398" s="104"/>
      <c r="T398" s="104"/>
      <c r="U398" s="106"/>
      <c r="V398" s="98" t="str">
        <f>IF(OR(G398="Sold",H398="Died"),IF(G398="Sold",VLOOKUP(B398,SALE!$B$5:$J$1000,6,0),IF(H398="Died",VLOOKUP(B398,MORTALITY!$B$5:$K$1000,5,0),"")),"")</f>
        <v/>
      </c>
      <c r="W398" s="76"/>
    </row>
    <row r="399" spans="1:23">
      <c r="A399" s="93">
        <f t="shared" si="27"/>
        <v>395</v>
      </c>
      <c r="B399" s="94"/>
      <c r="C399" s="76"/>
      <c r="D399" s="76"/>
      <c r="E399" s="76"/>
      <c r="F399" s="94" t="str">
        <f t="shared" ca="1" si="24"/>
        <v/>
      </c>
      <c r="G399" s="96" t="str">
        <f>IFERROR((IF((VLOOKUP(B399,SALE!$B$5:$B$1000,1,0))&gt;0,"Sold","")),"")</f>
        <v/>
      </c>
      <c r="H399" s="96" t="str">
        <f>IFERROR((IF((VLOOKUP(B399,MORTALITY!$B$5:$B$1000,1,0))&gt;0,"Died","")),"")</f>
        <v/>
      </c>
      <c r="I399" s="96" t="str">
        <f ca="1">IFERROR(
   IF(LOOKUP(2,1/((ILLNESS!$B$6:$B$1000=B399)*(ILLNESS!$L$6:$L$1000&lt;&gt;"")),
            ILLNESS!$L$6:$L$1000)="No",
      "Sick",""),
"")</f>
        <v/>
      </c>
      <c r="J399" s="104"/>
      <c r="K399" s="97" t="str">
        <f t="shared" ca="1" si="25"/>
        <v/>
      </c>
      <c r="L399" s="97" t="str">
        <f t="shared" ca="1" si="26"/>
        <v/>
      </c>
      <c r="M399" s="76"/>
      <c r="N399" s="76"/>
      <c r="O399" s="76"/>
      <c r="P399" s="76"/>
      <c r="Q399" s="76"/>
      <c r="R399" s="76"/>
      <c r="S399" s="104"/>
      <c r="T399" s="104"/>
      <c r="U399" s="106"/>
      <c r="V399" s="98" t="str">
        <f>IF(OR(G399="Sold",H399="Died"),IF(G399="Sold",VLOOKUP(B399,SALE!$B$5:$J$1000,6,0),IF(H399="Died",VLOOKUP(B399,MORTALITY!$B$5:$K$1000,5,0),"")),"")</f>
        <v/>
      </c>
      <c r="W399" s="76"/>
    </row>
    <row r="400" spans="1:23">
      <c r="A400" s="93">
        <f t="shared" si="27"/>
        <v>396</v>
      </c>
      <c r="B400" s="94"/>
      <c r="C400" s="76"/>
      <c r="D400" s="76"/>
      <c r="E400" s="76"/>
      <c r="F400" s="94" t="str">
        <f t="shared" ca="1" si="24"/>
        <v/>
      </c>
      <c r="G400" s="96" t="str">
        <f>IFERROR((IF((VLOOKUP(B400,SALE!$B$5:$B$1000,1,0))&gt;0,"Sold","")),"")</f>
        <v/>
      </c>
      <c r="H400" s="96" t="str">
        <f>IFERROR((IF((VLOOKUP(B400,MORTALITY!$B$5:$B$1000,1,0))&gt;0,"Died","")),"")</f>
        <v/>
      </c>
      <c r="I400" s="96" t="str">
        <f ca="1">IFERROR(
   IF(LOOKUP(2,1/((ILLNESS!$B$6:$B$1000=B400)*(ILLNESS!$L$6:$L$1000&lt;&gt;"")),
            ILLNESS!$L$6:$L$1000)="No",
      "Sick",""),
"")</f>
        <v/>
      </c>
      <c r="J400" s="104"/>
      <c r="K400" s="97" t="str">
        <f t="shared" ca="1" si="25"/>
        <v/>
      </c>
      <c r="L400" s="97" t="str">
        <f t="shared" ca="1" si="26"/>
        <v/>
      </c>
      <c r="M400" s="76"/>
      <c r="N400" s="76"/>
      <c r="O400" s="76"/>
      <c r="P400" s="76"/>
      <c r="Q400" s="76"/>
      <c r="R400" s="76"/>
      <c r="S400" s="104"/>
      <c r="T400" s="104"/>
      <c r="U400" s="106"/>
      <c r="V400" s="98" t="str">
        <f>IF(OR(G400="Sold",H400="Died"),IF(G400="Sold",VLOOKUP(B400,SALE!$B$5:$J$1000,6,0),IF(H400="Died",VLOOKUP(B400,MORTALITY!$B$5:$K$1000,5,0),"")),"")</f>
        <v/>
      </c>
      <c r="W400" s="76"/>
    </row>
    <row r="401" spans="1:23">
      <c r="A401" s="93">
        <f t="shared" si="27"/>
        <v>397</v>
      </c>
      <c r="B401" s="94"/>
      <c r="C401" s="76"/>
      <c r="D401" s="76"/>
      <c r="E401" s="76"/>
      <c r="F401" s="94" t="str">
        <f t="shared" ca="1" si="24"/>
        <v/>
      </c>
      <c r="G401" s="96" t="str">
        <f>IFERROR((IF((VLOOKUP(B401,SALE!$B$5:$B$1000,1,0))&gt;0,"Sold","")),"")</f>
        <v/>
      </c>
      <c r="H401" s="96" t="str">
        <f>IFERROR((IF((VLOOKUP(B401,MORTALITY!$B$5:$B$1000,1,0))&gt;0,"Died","")),"")</f>
        <v/>
      </c>
      <c r="I401" s="96" t="str">
        <f ca="1">IFERROR(
   IF(LOOKUP(2,1/((ILLNESS!$B$6:$B$1000=B401)*(ILLNESS!$L$6:$L$1000&lt;&gt;"")),
            ILLNESS!$L$6:$L$1000)="No",
      "Sick",""),
"")</f>
        <v/>
      </c>
      <c r="J401" s="104"/>
      <c r="K401" s="97" t="str">
        <f t="shared" ca="1" si="25"/>
        <v/>
      </c>
      <c r="L401" s="97" t="str">
        <f t="shared" ca="1" si="26"/>
        <v/>
      </c>
      <c r="M401" s="76"/>
      <c r="N401" s="76"/>
      <c r="O401" s="76"/>
      <c r="P401" s="76"/>
      <c r="Q401" s="76"/>
      <c r="R401" s="76"/>
      <c r="S401" s="104"/>
      <c r="T401" s="104"/>
      <c r="U401" s="106"/>
      <c r="V401" s="98" t="str">
        <f>IF(OR(G401="Sold",H401="Died"),IF(G401="Sold",VLOOKUP(B401,SALE!$B$5:$J$1000,6,0),IF(H401="Died",VLOOKUP(B401,MORTALITY!$B$5:$K$1000,5,0),"")),"")</f>
        <v/>
      </c>
      <c r="W401" s="76"/>
    </row>
    <row r="402" spans="1:23">
      <c r="A402" s="93">
        <f t="shared" si="27"/>
        <v>398</v>
      </c>
      <c r="B402" s="94"/>
      <c r="C402" s="76"/>
      <c r="D402" s="76"/>
      <c r="E402" s="76"/>
      <c r="F402" s="94" t="str">
        <f t="shared" ca="1" si="24"/>
        <v/>
      </c>
      <c r="G402" s="96" t="str">
        <f>IFERROR((IF((VLOOKUP(B402,SALE!$B$5:$B$1000,1,0))&gt;0,"Sold","")),"")</f>
        <v/>
      </c>
      <c r="H402" s="96" t="str">
        <f>IFERROR((IF((VLOOKUP(B402,MORTALITY!$B$5:$B$1000,1,0))&gt;0,"Died","")),"")</f>
        <v/>
      </c>
      <c r="I402" s="96" t="str">
        <f ca="1">IFERROR(
   IF(LOOKUP(2,1/((ILLNESS!$B$6:$B$1000=B402)*(ILLNESS!$L$6:$L$1000&lt;&gt;"")),
            ILLNESS!$L$6:$L$1000)="No",
      "Sick",""),
"")</f>
        <v/>
      </c>
      <c r="J402" s="104"/>
      <c r="K402" s="97" t="str">
        <f t="shared" ca="1" si="25"/>
        <v/>
      </c>
      <c r="L402" s="97" t="str">
        <f t="shared" ca="1" si="26"/>
        <v/>
      </c>
      <c r="M402" s="76"/>
      <c r="N402" s="76"/>
      <c r="O402" s="76"/>
      <c r="P402" s="76"/>
      <c r="Q402" s="76"/>
      <c r="R402" s="76"/>
      <c r="S402" s="104"/>
      <c r="T402" s="104"/>
      <c r="U402" s="106"/>
      <c r="V402" s="98" t="str">
        <f>IF(OR(G402="Sold",H402="Died"),IF(G402="Sold",VLOOKUP(B402,SALE!$B$5:$J$1000,6,0),IF(H402="Died",VLOOKUP(B402,MORTALITY!$B$5:$K$1000,5,0),"")),"")</f>
        <v/>
      </c>
      <c r="W402" s="76"/>
    </row>
    <row r="403" spans="1:23">
      <c r="A403" s="93">
        <f t="shared" si="27"/>
        <v>399</v>
      </c>
      <c r="B403" s="94"/>
      <c r="C403" s="76"/>
      <c r="D403" s="76"/>
      <c r="E403" s="76"/>
      <c r="F403" s="94" t="str">
        <f t="shared" ca="1" si="24"/>
        <v/>
      </c>
      <c r="G403" s="96" t="str">
        <f>IFERROR((IF((VLOOKUP(B403,SALE!$B$5:$B$1000,1,0))&gt;0,"Sold","")),"")</f>
        <v/>
      </c>
      <c r="H403" s="96" t="str">
        <f>IFERROR((IF((VLOOKUP(B403,MORTALITY!$B$5:$B$1000,1,0))&gt;0,"Died","")),"")</f>
        <v/>
      </c>
      <c r="I403" s="96" t="str">
        <f ca="1">IFERROR(
   IF(LOOKUP(2,1/((ILLNESS!$B$6:$B$1000=B403)*(ILLNESS!$L$6:$L$1000&lt;&gt;"")),
            ILLNESS!$L$6:$L$1000)="No",
      "Sick",""),
"")</f>
        <v/>
      </c>
      <c r="J403" s="104"/>
      <c r="K403" s="97" t="str">
        <f t="shared" ca="1" si="25"/>
        <v/>
      </c>
      <c r="L403" s="97" t="str">
        <f t="shared" ca="1" si="26"/>
        <v/>
      </c>
      <c r="M403" s="76"/>
      <c r="N403" s="76"/>
      <c r="O403" s="76"/>
      <c r="P403" s="76"/>
      <c r="Q403" s="76"/>
      <c r="R403" s="76"/>
      <c r="S403" s="104"/>
      <c r="T403" s="104"/>
      <c r="U403" s="106"/>
      <c r="V403" s="98" t="str">
        <f>IF(OR(G403="Sold",H403="Died"),IF(G403="Sold",VLOOKUP(B403,SALE!$B$5:$J$1000,6,0),IF(H403="Died",VLOOKUP(B403,MORTALITY!$B$5:$K$1000,5,0),"")),"")</f>
        <v/>
      </c>
      <c r="W403" s="76"/>
    </row>
    <row r="404" spans="1:23">
      <c r="A404" s="93">
        <f t="shared" si="27"/>
        <v>400</v>
      </c>
      <c r="B404" s="94"/>
      <c r="C404" s="76"/>
      <c r="D404" s="76"/>
      <c r="E404" s="76"/>
      <c r="F404" s="94" t="str">
        <f t="shared" ca="1" si="24"/>
        <v/>
      </c>
      <c r="G404" s="96" t="str">
        <f>IFERROR((IF((VLOOKUP(B404,SALE!$B$5:$B$1000,1,0))&gt;0,"Sold","")),"")</f>
        <v/>
      </c>
      <c r="H404" s="96" t="str">
        <f>IFERROR((IF((VLOOKUP(B404,MORTALITY!$B$5:$B$1000,1,0))&gt;0,"Died","")),"")</f>
        <v/>
      </c>
      <c r="I404" s="96" t="str">
        <f ca="1">IFERROR(
   IF(LOOKUP(2,1/((ILLNESS!$B$6:$B$1000=B404)*(ILLNESS!$L$6:$L$1000&lt;&gt;"")),
            ILLNESS!$L$6:$L$1000)="No",
      "Sick",""),
"")</f>
        <v/>
      </c>
      <c r="J404" s="104"/>
      <c r="K404" s="97" t="str">
        <f t="shared" ca="1" si="25"/>
        <v/>
      </c>
      <c r="L404" s="97" t="str">
        <f t="shared" ca="1" si="26"/>
        <v/>
      </c>
      <c r="M404" s="76"/>
      <c r="N404" s="76"/>
      <c r="O404" s="76"/>
      <c r="P404" s="76"/>
      <c r="Q404" s="76"/>
      <c r="R404" s="76"/>
      <c r="S404" s="104"/>
      <c r="T404" s="104"/>
      <c r="U404" s="106"/>
      <c r="V404" s="98" t="str">
        <f>IF(OR(G404="Sold",H404="Died"),IF(G404="Sold",VLOOKUP(B404,SALE!$B$5:$J$1000,6,0),IF(H404="Died",VLOOKUP(B404,MORTALITY!$B$5:$K$1000,5,0),"")),"")</f>
        <v/>
      </c>
      <c r="W404" s="76"/>
    </row>
    <row r="405" spans="1:23">
      <c r="A405" s="93">
        <f t="shared" si="27"/>
        <v>401</v>
      </c>
      <c r="B405" s="94"/>
      <c r="C405" s="76"/>
      <c r="D405" s="76"/>
      <c r="E405" s="76"/>
      <c r="F405" s="94" t="str">
        <f t="shared" ca="1" si="24"/>
        <v/>
      </c>
      <c r="G405" s="96" t="str">
        <f>IFERROR((IF((VLOOKUP(B405,SALE!$B$5:$B$1000,1,0))&gt;0,"Sold","")),"")</f>
        <v/>
      </c>
      <c r="H405" s="96" t="str">
        <f>IFERROR((IF((VLOOKUP(B405,MORTALITY!$B$5:$B$1000,1,0))&gt;0,"Died","")),"")</f>
        <v/>
      </c>
      <c r="I405" s="96" t="str">
        <f ca="1">IFERROR(
   IF(LOOKUP(2,1/((ILLNESS!$B$6:$B$1000=B405)*(ILLNESS!$L$6:$L$1000&lt;&gt;"")),
            ILLNESS!$L$6:$L$1000)="No",
      "Sick",""),
"")</f>
        <v/>
      </c>
      <c r="J405" s="104"/>
      <c r="K405" s="97" t="str">
        <f t="shared" ca="1" si="25"/>
        <v/>
      </c>
      <c r="L405" s="97" t="str">
        <f t="shared" ca="1" si="26"/>
        <v/>
      </c>
      <c r="M405" s="76"/>
      <c r="N405" s="76"/>
      <c r="O405" s="76"/>
      <c r="P405" s="76"/>
      <c r="Q405" s="76"/>
      <c r="R405" s="76"/>
      <c r="S405" s="104"/>
      <c r="T405" s="104"/>
      <c r="U405" s="106"/>
      <c r="V405" s="98" t="str">
        <f>IF(OR(G405="Sold",H405="Died"),IF(G405="Sold",VLOOKUP(B405,SALE!$B$5:$J$1000,6,0),IF(H405="Died",VLOOKUP(B405,MORTALITY!$B$5:$K$1000,5,0),"")),"")</f>
        <v/>
      </c>
      <c r="W405" s="76"/>
    </row>
    <row r="406" spans="1:23">
      <c r="A406" s="93">
        <f t="shared" si="27"/>
        <v>402</v>
      </c>
      <c r="B406" s="94"/>
      <c r="C406" s="76"/>
      <c r="D406" s="76"/>
      <c r="E406" s="76"/>
      <c r="F406" s="94" t="str">
        <f t="shared" ca="1" si="24"/>
        <v/>
      </c>
      <c r="G406" s="96" t="str">
        <f>IFERROR((IF((VLOOKUP(B406,SALE!$B$5:$B$1000,1,0))&gt;0,"Sold","")),"")</f>
        <v/>
      </c>
      <c r="H406" s="96" t="str">
        <f>IFERROR((IF((VLOOKUP(B406,MORTALITY!$B$5:$B$1000,1,0))&gt;0,"Died","")),"")</f>
        <v/>
      </c>
      <c r="I406" s="96" t="str">
        <f ca="1">IFERROR(
   IF(LOOKUP(2,1/((ILLNESS!$B$6:$B$1000=B406)*(ILLNESS!$L$6:$L$1000&lt;&gt;"")),
            ILLNESS!$L$6:$L$1000)="No",
      "Sick",""),
"")</f>
        <v/>
      </c>
      <c r="J406" s="104"/>
      <c r="K406" s="97" t="str">
        <f t="shared" ca="1" si="25"/>
        <v/>
      </c>
      <c r="L406" s="97" t="str">
        <f t="shared" ca="1" si="26"/>
        <v/>
      </c>
      <c r="M406" s="76"/>
      <c r="N406" s="76"/>
      <c r="O406" s="76"/>
      <c r="P406" s="76"/>
      <c r="Q406" s="76"/>
      <c r="R406" s="76"/>
      <c r="S406" s="104"/>
      <c r="T406" s="104"/>
      <c r="U406" s="106"/>
      <c r="V406" s="98" t="str">
        <f>IF(OR(G406="Sold",H406="Died"),IF(G406="Sold",VLOOKUP(B406,SALE!$B$5:$J$1000,6,0),IF(H406="Died",VLOOKUP(B406,MORTALITY!$B$5:$K$1000,5,0),"")),"")</f>
        <v/>
      </c>
      <c r="W406" s="76"/>
    </row>
    <row r="407" spans="1:23">
      <c r="A407" s="93">
        <f t="shared" si="27"/>
        <v>403</v>
      </c>
      <c r="B407" s="94"/>
      <c r="C407" s="76"/>
      <c r="D407" s="76"/>
      <c r="E407" s="76"/>
      <c r="F407" s="94" t="str">
        <f t="shared" ca="1" si="24"/>
        <v/>
      </c>
      <c r="G407" s="96" t="str">
        <f>IFERROR((IF((VLOOKUP(B407,SALE!$B$5:$B$1000,1,0))&gt;0,"Sold","")),"")</f>
        <v/>
      </c>
      <c r="H407" s="96" t="str">
        <f>IFERROR((IF((VLOOKUP(B407,MORTALITY!$B$5:$B$1000,1,0))&gt;0,"Died","")),"")</f>
        <v/>
      </c>
      <c r="I407" s="96" t="str">
        <f ca="1">IFERROR(
   IF(LOOKUP(2,1/((ILLNESS!$B$6:$B$1000=B407)*(ILLNESS!$L$6:$L$1000&lt;&gt;"")),
            ILLNESS!$L$6:$L$1000)="No",
      "Sick",""),
"")</f>
        <v/>
      </c>
      <c r="J407" s="104"/>
      <c r="K407" s="97" t="str">
        <f t="shared" ca="1" si="25"/>
        <v/>
      </c>
      <c r="L407" s="97" t="str">
        <f t="shared" ca="1" si="26"/>
        <v/>
      </c>
      <c r="M407" s="76"/>
      <c r="N407" s="76"/>
      <c r="O407" s="76"/>
      <c r="P407" s="76"/>
      <c r="Q407" s="76"/>
      <c r="R407" s="76"/>
      <c r="S407" s="104"/>
      <c r="T407" s="104"/>
      <c r="U407" s="106"/>
      <c r="V407" s="98" t="str">
        <f>IF(OR(G407="Sold",H407="Died"),IF(G407="Sold",VLOOKUP(B407,SALE!$B$5:$J$1000,6,0),IF(H407="Died",VLOOKUP(B407,MORTALITY!$B$5:$K$1000,5,0),"")),"")</f>
        <v/>
      </c>
      <c r="W407" s="76"/>
    </row>
    <row r="408" spans="1:23">
      <c r="A408" s="93">
        <f t="shared" si="27"/>
        <v>404</v>
      </c>
      <c r="B408" s="94"/>
      <c r="C408" s="76"/>
      <c r="D408" s="76"/>
      <c r="E408" s="76"/>
      <c r="F408" s="94" t="str">
        <f t="shared" ca="1" si="24"/>
        <v/>
      </c>
      <c r="G408" s="96" t="str">
        <f>IFERROR((IF((VLOOKUP(B408,SALE!$B$5:$B$1000,1,0))&gt;0,"Sold","")),"")</f>
        <v/>
      </c>
      <c r="H408" s="96" t="str">
        <f>IFERROR((IF((VLOOKUP(B408,MORTALITY!$B$5:$B$1000,1,0))&gt;0,"Died","")),"")</f>
        <v/>
      </c>
      <c r="I408" s="96" t="str">
        <f ca="1">IFERROR(
   IF(LOOKUP(2,1/((ILLNESS!$B$6:$B$1000=B408)*(ILLNESS!$L$6:$L$1000&lt;&gt;"")),
            ILLNESS!$L$6:$L$1000)="No",
      "Sick",""),
"")</f>
        <v/>
      </c>
      <c r="J408" s="104"/>
      <c r="K408" s="97" t="str">
        <f t="shared" ca="1" si="25"/>
        <v/>
      </c>
      <c r="L408" s="97" t="str">
        <f t="shared" ca="1" si="26"/>
        <v/>
      </c>
      <c r="M408" s="76"/>
      <c r="N408" s="76"/>
      <c r="O408" s="76"/>
      <c r="P408" s="76"/>
      <c r="Q408" s="76"/>
      <c r="R408" s="76"/>
      <c r="S408" s="104"/>
      <c r="T408" s="104"/>
      <c r="U408" s="106"/>
      <c r="V408" s="98" t="str">
        <f>IF(OR(G408="Sold",H408="Died"),IF(G408="Sold",VLOOKUP(B408,SALE!$B$5:$J$1000,6,0),IF(H408="Died",VLOOKUP(B408,MORTALITY!$B$5:$K$1000,5,0),"")),"")</f>
        <v/>
      </c>
      <c r="W408" s="76"/>
    </row>
    <row r="409" spans="1:23">
      <c r="A409" s="93">
        <f t="shared" si="27"/>
        <v>405</v>
      </c>
      <c r="B409" s="94"/>
      <c r="C409" s="76"/>
      <c r="D409" s="76"/>
      <c r="E409" s="76"/>
      <c r="F409" s="94" t="str">
        <f t="shared" ca="1" si="24"/>
        <v/>
      </c>
      <c r="G409" s="96" t="str">
        <f>IFERROR((IF((VLOOKUP(B409,SALE!$B$5:$B$1000,1,0))&gt;0,"Sold","")),"")</f>
        <v/>
      </c>
      <c r="H409" s="96" t="str">
        <f>IFERROR((IF((VLOOKUP(B409,MORTALITY!$B$5:$B$1000,1,0))&gt;0,"Died","")),"")</f>
        <v/>
      </c>
      <c r="I409" s="96" t="str">
        <f ca="1">IFERROR(
   IF(LOOKUP(2,1/((ILLNESS!$B$6:$B$1000=B409)*(ILLNESS!$L$6:$L$1000&lt;&gt;"")),
            ILLNESS!$L$6:$L$1000)="No",
      "Sick",""),
"")</f>
        <v/>
      </c>
      <c r="J409" s="104"/>
      <c r="K409" s="97" t="str">
        <f t="shared" ca="1" si="25"/>
        <v/>
      </c>
      <c r="L409" s="97" t="str">
        <f t="shared" ca="1" si="26"/>
        <v/>
      </c>
      <c r="M409" s="76"/>
      <c r="N409" s="76"/>
      <c r="O409" s="76"/>
      <c r="P409" s="76"/>
      <c r="Q409" s="76"/>
      <c r="R409" s="76"/>
      <c r="S409" s="104"/>
      <c r="T409" s="104"/>
      <c r="U409" s="106"/>
      <c r="V409" s="98" t="str">
        <f>IF(OR(G409="Sold",H409="Died"),IF(G409="Sold",VLOOKUP(B409,SALE!$B$5:$J$1000,6,0),IF(H409="Died",VLOOKUP(B409,MORTALITY!$B$5:$K$1000,5,0),"")),"")</f>
        <v/>
      </c>
      <c r="W409" s="76"/>
    </row>
    <row r="410" spans="1:23">
      <c r="A410" s="93">
        <f t="shared" si="27"/>
        <v>406</v>
      </c>
      <c r="B410" s="94"/>
      <c r="C410" s="76"/>
      <c r="D410" s="76"/>
      <c r="E410" s="76"/>
      <c r="F410" s="94" t="str">
        <f t="shared" ca="1" si="24"/>
        <v/>
      </c>
      <c r="G410" s="96" t="str">
        <f>IFERROR((IF((VLOOKUP(B410,SALE!$B$5:$B$1000,1,0))&gt;0,"Sold","")),"")</f>
        <v/>
      </c>
      <c r="H410" s="96" t="str">
        <f>IFERROR((IF((VLOOKUP(B410,MORTALITY!$B$5:$B$1000,1,0))&gt;0,"Died","")),"")</f>
        <v/>
      </c>
      <c r="I410" s="96" t="str">
        <f ca="1">IFERROR(
   IF(LOOKUP(2,1/((ILLNESS!$B$6:$B$1000=B410)*(ILLNESS!$L$6:$L$1000&lt;&gt;"")),
            ILLNESS!$L$6:$L$1000)="No",
      "Sick",""),
"")</f>
        <v/>
      </c>
      <c r="J410" s="104"/>
      <c r="K410" s="97" t="str">
        <f t="shared" ca="1" si="25"/>
        <v/>
      </c>
      <c r="L410" s="97" t="str">
        <f t="shared" ca="1" si="26"/>
        <v/>
      </c>
      <c r="M410" s="76"/>
      <c r="N410" s="76"/>
      <c r="O410" s="76"/>
      <c r="P410" s="76"/>
      <c r="Q410" s="76"/>
      <c r="R410" s="76"/>
      <c r="S410" s="104"/>
      <c r="T410" s="104"/>
      <c r="U410" s="106"/>
      <c r="V410" s="98" t="str">
        <f>IF(OR(G410="Sold",H410="Died"),IF(G410="Sold",VLOOKUP(B410,SALE!$B$5:$J$1000,6,0),IF(H410="Died",VLOOKUP(B410,MORTALITY!$B$5:$K$1000,5,0),"")),"")</f>
        <v/>
      </c>
      <c r="W410" s="76"/>
    </row>
    <row r="411" spans="1:23">
      <c r="A411" s="93">
        <f t="shared" si="27"/>
        <v>407</v>
      </c>
      <c r="B411" s="94"/>
      <c r="C411" s="76"/>
      <c r="D411" s="76"/>
      <c r="E411" s="76"/>
      <c r="F411" s="94" t="str">
        <f t="shared" ca="1" si="24"/>
        <v/>
      </c>
      <c r="G411" s="96" t="str">
        <f>IFERROR((IF((VLOOKUP(B411,SALE!$B$5:$B$1000,1,0))&gt;0,"Sold","")),"")</f>
        <v/>
      </c>
      <c r="H411" s="96" t="str">
        <f>IFERROR((IF((VLOOKUP(B411,MORTALITY!$B$5:$B$1000,1,0))&gt;0,"Died","")),"")</f>
        <v/>
      </c>
      <c r="I411" s="96" t="str">
        <f ca="1">IFERROR(
   IF(LOOKUP(2,1/((ILLNESS!$B$6:$B$1000=B411)*(ILLNESS!$L$6:$L$1000&lt;&gt;"")),
            ILLNESS!$L$6:$L$1000)="No",
      "Sick",""),
"")</f>
        <v/>
      </c>
      <c r="J411" s="104"/>
      <c r="K411" s="97" t="str">
        <f t="shared" ca="1" si="25"/>
        <v/>
      </c>
      <c r="L411" s="97" t="str">
        <f t="shared" ca="1" si="26"/>
        <v/>
      </c>
      <c r="M411" s="76"/>
      <c r="N411" s="76"/>
      <c r="O411" s="76"/>
      <c r="P411" s="76"/>
      <c r="Q411" s="76"/>
      <c r="R411" s="76"/>
      <c r="S411" s="104"/>
      <c r="T411" s="104"/>
      <c r="U411" s="106"/>
      <c r="V411" s="98" t="str">
        <f>IF(OR(G411="Sold",H411="Died"),IF(G411="Sold",VLOOKUP(B411,SALE!$B$5:$J$1000,6,0),IF(H411="Died",VLOOKUP(B411,MORTALITY!$B$5:$K$1000,5,0),"")),"")</f>
        <v/>
      </c>
      <c r="W411" s="76"/>
    </row>
    <row r="412" spans="1:23">
      <c r="A412" s="93">
        <f t="shared" si="27"/>
        <v>408</v>
      </c>
      <c r="B412" s="94"/>
      <c r="C412" s="76"/>
      <c r="D412" s="76"/>
      <c r="E412" s="76"/>
      <c r="F412" s="94" t="str">
        <f t="shared" ca="1" si="24"/>
        <v/>
      </c>
      <c r="G412" s="96" t="str">
        <f>IFERROR((IF((VLOOKUP(B412,SALE!$B$5:$B$1000,1,0))&gt;0,"Sold","")),"")</f>
        <v/>
      </c>
      <c r="H412" s="96" t="str">
        <f>IFERROR((IF((VLOOKUP(B412,MORTALITY!$B$5:$B$1000,1,0))&gt;0,"Died","")),"")</f>
        <v/>
      </c>
      <c r="I412" s="96" t="str">
        <f ca="1">IFERROR(
   IF(LOOKUP(2,1/((ILLNESS!$B$6:$B$1000=B412)*(ILLNESS!$L$6:$L$1000&lt;&gt;"")),
            ILLNESS!$L$6:$L$1000)="No",
      "Sick",""),
"")</f>
        <v/>
      </c>
      <c r="J412" s="104"/>
      <c r="K412" s="97" t="str">
        <f t="shared" ca="1" si="25"/>
        <v/>
      </c>
      <c r="L412" s="97" t="str">
        <f t="shared" ca="1" si="26"/>
        <v/>
      </c>
      <c r="M412" s="76"/>
      <c r="N412" s="76"/>
      <c r="O412" s="76"/>
      <c r="P412" s="76"/>
      <c r="Q412" s="76"/>
      <c r="R412" s="76"/>
      <c r="S412" s="104"/>
      <c r="T412" s="104"/>
      <c r="U412" s="106"/>
      <c r="V412" s="98" t="str">
        <f>IF(OR(G412="Sold",H412="Died"),IF(G412="Sold",VLOOKUP(B412,SALE!$B$5:$J$1000,6,0),IF(H412="Died",VLOOKUP(B412,MORTALITY!$B$5:$K$1000,5,0),"")),"")</f>
        <v/>
      </c>
      <c r="W412" s="76"/>
    </row>
    <row r="413" spans="1:23">
      <c r="A413" s="93">
        <f t="shared" si="27"/>
        <v>409</v>
      </c>
      <c r="B413" s="94"/>
      <c r="C413" s="76"/>
      <c r="D413" s="76"/>
      <c r="E413" s="76"/>
      <c r="F413" s="94" t="str">
        <f t="shared" ca="1" si="24"/>
        <v/>
      </c>
      <c r="G413" s="96" t="str">
        <f>IFERROR((IF((VLOOKUP(B413,SALE!$B$5:$B$1000,1,0))&gt;0,"Sold","")),"")</f>
        <v/>
      </c>
      <c r="H413" s="96" t="str">
        <f>IFERROR((IF((VLOOKUP(B413,MORTALITY!$B$5:$B$1000,1,0))&gt;0,"Died","")),"")</f>
        <v/>
      </c>
      <c r="I413" s="96" t="str">
        <f ca="1">IFERROR(
   IF(LOOKUP(2,1/((ILLNESS!$B$6:$B$1000=B413)*(ILLNESS!$L$6:$L$1000&lt;&gt;"")),
            ILLNESS!$L$6:$L$1000)="No",
      "Sick",""),
"")</f>
        <v/>
      </c>
      <c r="J413" s="104"/>
      <c r="K413" s="97" t="str">
        <f t="shared" ca="1" si="25"/>
        <v/>
      </c>
      <c r="L413" s="97" t="str">
        <f t="shared" ca="1" si="26"/>
        <v/>
      </c>
      <c r="M413" s="76"/>
      <c r="N413" s="76"/>
      <c r="O413" s="76"/>
      <c r="P413" s="76"/>
      <c r="Q413" s="76"/>
      <c r="R413" s="76"/>
      <c r="S413" s="104"/>
      <c r="T413" s="104"/>
      <c r="U413" s="106"/>
      <c r="V413" s="98" t="str">
        <f>IF(OR(G413="Sold",H413="Died"),IF(G413="Sold",VLOOKUP(B413,SALE!$B$5:$J$1000,6,0),IF(H413="Died",VLOOKUP(B413,MORTALITY!$B$5:$K$1000,5,0),"")),"")</f>
        <v/>
      </c>
      <c r="W413" s="76"/>
    </row>
    <row r="414" spans="1:23">
      <c r="A414" s="93">
        <f t="shared" si="27"/>
        <v>410</v>
      </c>
      <c r="B414" s="94"/>
      <c r="C414" s="76"/>
      <c r="D414" s="76"/>
      <c r="E414" s="76"/>
      <c r="F414" s="94" t="str">
        <f t="shared" ca="1" si="24"/>
        <v/>
      </c>
      <c r="G414" s="96" t="str">
        <f>IFERROR((IF((VLOOKUP(B414,SALE!$B$5:$B$1000,1,0))&gt;0,"Sold","")),"")</f>
        <v/>
      </c>
      <c r="H414" s="96" t="str">
        <f>IFERROR((IF((VLOOKUP(B414,MORTALITY!$B$5:$B$1000,1,0))&gt;0,"Died","")),"")</f>
        <v/>
      </c>
      <c r="I414" s="96" t="str">
        <f ca="1">IFERROR(
   IF(LOOKUP(2,1/((ILLNESS!$B$6:$B$1000=B414)*(ILLNESS!$L$6:$L$1000&lt;&gt;"")),
            ILLNESS!$L$6:$L$1000)="No",
      "Sick",""),
"")</f>
        <v/>
      </c>
      <c r="J414" s="104"/>
      <c r="K414" s="97" t="str">
        <f t="shared" ca="1" si="25"/>
        <v/>
      </c>
      <c r="L414" s="97" t="str">
        <f t="shared" ca="1" si="26"/>
        <v/>
      </c>
      <c r="M414" s="76"/>
      <c r="N414" s="76"/>
      <c r="O414" s="76"/>
      <c r="P414" s="76"/>
      <c r="Q414" s="76"/>
      <c r="R414" s="76"/>
      <c r="S414" s="104"/>
      <c r="T414" s="104"/>
      <c r="U414" s="106"/>
      <c r="V414" s="98" t="str">
        <f>IF(OR(G414="Sold",H414="Died"),IF(G414="Sold",VLOOKUP(B414,SALE!$B$5:$J$1000,6,0),IF(H414="Died",VLOOKUP(B414,MORTALITY!$B$5:$K$1000,5,0),"")),"")</f>
        <v/>
      </c>
      <c r="W414" s="76"/>
    </row>
    <row r="415" spans="1:23">
      <c r="A415" s="93">
        <f t="shared" si="27"/>
        <v>411</v>
      </c>
      <c r="B415" s="94"/>
      <c r="C415" s="76"/>
      <c r="D415" s="76"/>
      <c r="E415" s="76"/>
      <c r="F415" s="94" t="str">
        <f t="shared" ca="1" si="24"/>
        <v/>
      </c>
      <c r="G415" s="96" t="str">
        <f>IFERROR((IF((VLOOKUP(B415,SALE!$B$5:$B$1000,1,0))&gt;0,"Sold","")),"")</f>
        <v/>
      </c>
      <c r="H415" s="96" t="str">
        <f>IFERROR((IF((VLOOKUP(B415,MORTALITY!$B$5:$B$1000,1,0))&gt;0,"Died","")),"")</f>
        <v/>
      </c>
      <c r="I415" s="96" t="str">
        <f ca="1">IFERROR(
   IF(LOOKUP(2,1/((ILLNESS!$B$6:$B$1000=B415)*(ILLNESS!$L$6:$L$1000&lt;&gt;"")),
            ILLNESS!$L$6:$L$1000)="No",
      "Sick",""),
"")</f>
        <v/>
      </c>
      <c r="J415" s="104"/>
      <c r="K415" s="97" t="str">
        <f t="shared" ca="1" si="25"/>
        <v/>
      </c>
      <c r="L415" s="97" t="str">
        <f t="shared" ca="1" si="26"/>
        <v/>
      </c>
      <c r="M415" s="76"/>
      <c r="N415" s="76"/>
      <c r="O415" s="76"/>
      <c r="P415" s="76"/>
      <c r="Q415" s="76"/>
      <c r="R415" s="76"/>
      <c r="S415" s="104"/>
      <c r="T415" s="104"/>
      <c r="U415" s="106"/>
      <c r="V415" s="98" t="str">
        <f>IF(OR(G415="Sold",H415="Died"),IF(G415="Sold",VLOOKUP(B415,SALE!$B$5:$J$1000,6,0),IF(H415="Died",VLOOKUP(B415,MORTALITY!$B$5:$K$1000,5,0),"")),"")</f>
        <v/>
      </c>
      <c r="W415" s="76"/>
    </row>
    <row r="416" spans="1:23">
      <c r="A416" s="93">
        <f t="shared" si="27"/>
        <v>412</v>
      </c>
      <c r="B416" s="94"/>
      <c r="C416" s="76"/>
      <c r="D416" s="76"/>
      <c r="E416" s="76"/>
      <c r="F416" s="94" t="str">
        <f t="shared" ca="1" si="24"/>
        <v/>
      </c>
      <c r="G416" s="96" t="str">
        <f>IFERROR((IF((VLOOKUP(B416,SALE!$B$5:$B$1000,1,0))&gt;0,"Sold","")),"")</f>
        <v/>
      </c>
      <c r="H416" s="96" t="str">
        <f>IFERROR((IF((VLOOKUP(B416,MORTALITY!$B$5:$B$1000,1,0))&gt;0,"Died","")),"")</f>
        <v/>
      </c>
      <c r="I416" s="96" t="str">
        <f ca="1">IFERROR(
   IF(LOOKUP(2,1/((ILLNESS!$B$6:$B$1000=B416)*(ILLNESS!$L$6:$L$1000&lt;&gt;"")),
            ILLNESS!$L$6:$L$1000)="No",
      "Sick",""),
"")</f>
        <v/>
      </c>
      <c r="J416" s="104"/>
      <c r="K416" s="97" t="str">
        <f t="shared" ca="1" si="25"/>
        <v/>
      </c>
      <c r="L416" s="97" t="str">
        <f t="shared" ca="1" si="26"/>
        <v/>
      </c>
      <c r="M416" s="76"/>
      <c r="N416" s="76"/>
      <c r="O416" s="76"/>
      <c r="P416" s="76"/>
      <c r="Q416" s="76"/>
      <c r="R416" s="76"/>
      <c r="S416" s="104"/>
      <c r="T416" s="104"/>
      <c r="U416" s="106"/>
      <c r="V416" s="98" t="str">
        <f>IF(OR(G416="Sold",H416="Died"),IF(G416="Sold",VLOOKUP(B416,SALE!$B$5:$J$1000,6,0),IF(H416="Died",VLOOKUP(B416,MORTALITY!$B$5:$K$1000,5,0),"")),"")</f>
        <v/>
      </c>
      <c r="W416" s="76"/>
    </row>
    <row r="417" spans="1:23">
      <c r="A417" s="93">
        <f t="shared" si="27"/>
        <v>413</v>
      </c>
      <c r="B417" s="94"/>
      <c r="C417" s="76"/>
      <c r="D417" s="76"/>
      <c r="E417" s="76"/>
      <c r="F417" s="94" t="str">
        <f t="shared" ca="1" si="24"/>
        <v/>
      </c>
      <c r="G417" s="96" t="str">
        <f>IFERROR((IF((VLOOKUP(B417,SALE!$B$5:$B$1000,1,0))&gt;0,"Sold","")),"")</f>
        <v/>
      </c>
      <c r="H417" s="96" t="str">
        <f>IFERROR((IF((VLOOKUP(B417,MORTALITY!$B$5:$B$1000,1,0))&gt;0,"Died","")),"")</f>
        <v/>
      </c>
      <c r="I417" s="96" t="str">
        <f ca="1">IFERROR(
   IF(LOOKUP(2,1/((ILLNESS!$B$6:$B$1000=B417)*(ILLNESS!$L$6:$L$1000&lt;&gt;"")),
            ILLNESS!$L$6:$L$1000)="No",
      "Sick",""),
"")</f>
        <v/>
      </c>
      <c r="J417" s="104"/>
      <c r="K417" s="97" t="str">
        <f t="shared" ca="1" si="25"/>
        <v/>
      </c>
      <c r="L417" s="97" t="str">
        <f t="shared" ca="1" si="26"/>
        <v/>
      </c>
      <c r="M417" s="76"/>
      <c r="N417" s="76"/>
      <c r="O417" s="76"/>
      <c r="P417" s="76"/>
      <c r="Q417" s="76"/>
      <c r="R417" s="76"/>
      <c r="S417" s="104"/>
      <c r="T417" s="104"/>
      <c r="U417" s="106"/>
      <c r="V417" s="98" t="str">
        <f>IF(OR(G417="Sold",H417="Died"),IF(G417="Sold",VLOOKUP(B417,SALE!$B$5:$J$1000,6,0),IF(H417="Died",VLOOKUP(B417,MORTALITY!$B$5:$K$1000,5,0),"")),"")</f>
        <v/>
      </c>
      <c r="W417" s="76"/>
    </row>
    <row r="418" spans="1:23">
      <c r="A418" s="93">
        <f t="shared" si="27"/>
        <v>414</v>
      </c>
      <c r="B418" s="94"/>
      <c r="C418" s="76"/>
      <c r="D418" s="76"/>
      <c r="E418" s="76"/>
      <c r="F418" s="94" t="str">
        <f t="shared" ca="1" si="24"/>
        <v/>
      </c>
      <c r="G418" s="96" t="str">
        <f>IFERROR((IF((VLOOKUP(B418,SALE!$B$5:$B$1000,1,0))&gt;0,"Sold","")),"")</f>
        <v/>
      </c>
      <c r="H418" s="96" t="str">
        <f>IFERROR((IF((VLOOKUP(B418,MORTALITY!$B$5:$B$1000,1,0))&gt;0,"Died","")),"")</f>
        <v/>
      </c>
      <c r="I418" s="96" t="str">
        <f ca="1">IFERROR(
   IF(LOOKUP(2,1/((ILLNESS!$B$6:$B$1000=B418)*(ILLNESS!$L$6:$L$1000&lt;&gt;"")),
            ILLNESS!$L$6:$L$1000)="No",
      "Sick",""),
"")</f>
        <v/>
      </c>
      <c r="J418" s="104"/>
      <c r="K418" s="97" t="str">
        <f t="shared" ca="1" si="25"/>
        <v/>
      </c>
      <c r="L418" s="97" t="str">
        <f t="shared" ca="1" si="26"/>
        <v/>
      </c>
      <c r="M418" s="76"/>
      <c r="N418" s="76"/>
      <c r="O418" s="76"/>
      <c r="P418" s="76"/>
      <c r="Q418" s="76"/>
      <c r="R418" s="76"/>
      <c r="S418" s="104"/>
      <c r="T418" s="104"/>
      <c r="U418" s="106"/>
      <c r="V418" s="98" t="str">
        <f>IF(OR(G418="Sold",H418="Died"),IF(G418="Sold",VLOOKUP(B418,SALE!$B$5:$J$1000,6,0),IF(H418="Died",VLOOKUP(B418,MORTALITY!$B$5:$K$1000,5,0),"")),"")</f>
        <v/>
      </c>
      <c r="W418" s="76"/>
    </row>
    <row r="419" spans="1:23">
      <c r="A419" s="93">
        <f t="shared" si="27"/>
        <v>415</v>
      </c>
      <c r="B419" s="94"/>
      <c r="C419" s="76"/>
      <c r="D419" s="76"/>
      <c r="E419" s="76"/>
      <c r="F419" s="94" t="str">
        <f t="shared" ca="1" si="24"/>
        <v/>
      </c>
      <c r="G419" s="96" t="str">
        <f>IFERROR((IF((VLOOKUP(B419,SALE!$B$5:$B$1000,1,0))&gt;0,"Sold","")),"")</f>
        <v/>
      </c>
      <c r="H419" s="96" t="str">
        <f>IFERROR((IF((VLOOKUP(B419,MORTALITY!$B$5:$B$1000,1,0))&gt;0,"Died","")),"")</f>
        <v/>
      </c>
      <c r="I419" s="96" t="str">
        <f ca="1">IFERROR(
   IF(LOOKUP(2,1/((ILLNESS!$B$6:$B$1000=B419)*(ILLNESS!$L$6:$L$1000&lt;&gt;"")),
            ILLNESS!$L$6:$L$1000)="No",
      "Sick",""),
"")</f>
        <v/>
      </c>
      <c r="J419" s="104"/>
      <c r="K419" s="97" t="str">
        <f t="shared" ca="1" si="25"/>
        <v/>
      </c>
      <c r="L419" s="97" t="str">
        <f t="shared" ca="1" si="26"/>
        <v/>
      </c>
      <c r="M419" s="76"/>
      <c r="N419" s="76"/>
      <c r="O419" s="76"/>
      <c r="P419" s="76"/>
      <c r="Q419" s="76"/>
      <c r="R419" s="76"/>
      <c r="S419" s="104"/>
      <c r="T419" s="104"/>
      <c r="U419" s="106"/>
      <c r="V419" s="98" t="str">
        <f>IF(OR(G419="Sold",H419="Died"),IF(G419="Sold",VLOOKUP(B419,SALE!$B$5:$J$1000,6,0),IF(H419="Died",VLOOKUP(B419,MORTALITY!$B$5:$K$1000,5,0),"")),"")</f>
        <v/>
      </c>
      <c r="W419" s="76"/>
    </row>
    <row r="420" spans="1:23">
      <c r="A420" s="93">
        <f t="shared" si="27"/>
        <v>416</v>
      </c>
      <c r="B420" s="94"/>
      <c r="C420" s="76"/>
      <c r="D420" s="76"/>
      <c r="E420" s="76"/>
      <c r="F420" s="94" t="str">
        <f t="shared" ca="1" si="24"/>
        <v/>
      </c>
      <c r="G420" s="96" t="str">
        <f>IFERROR((IF((VLOOKUP(B420,SALE!$B$5:$B$1000,1,0))&gt;0,"Sold","")),"")</f>
        <v/>
      </c>
      <c r="H420" s="96" t="str">
        <f>IFERROR((IF((VLOOKUP(B420,MORTALITY!$B$5:$B$1000,1,0))&gt;0,"Died","")),"")</f>
        <v/>
      </c>
      <c r="I420" s="96" t="str">
        <f ca="1">IFERROR(
   IF(LOOKUP(2,1/((ILLNESS!$B$6:$B$1000=B420)*(ILLNESS!$L$6:$L$1000&lt;&gt;"")),
            ILLNESS!$L$6:$L$1000)="No",
      "Sick",""),
"")</f>
        <v/>
      </c>
      <c r="J420" s="104"/>
      <c r="K420" s="97" t="str">
        <f t="shared" ca="1" si="25"/>
        <v/>
      </c>
      <c r="L420" s="97" t="str">
        <f t="shared" ca="1" si="26"/>
        <v/>
      </c>
      <c r="M420" s="76"/>
      <c r="N420" s="76"/>
      <c r="O420" s="76"/>
      <c r="P420" s="76"/>
      <c r="Q420" s="76"/>
      <c r="R420" s="76"/>
      <c r="S420" s="104"/>
      <c r="T420" s="104"/>
      <c r="U420" s="106"/>
      <c r="V420" s="98" t="str">
        <f>IF(OR(G420="Sold",H420="Died"),IF(G420="Sold",VLOOKUP(B420,SALE!$B$5:$J$1000,6,0),IF(H420="Died",VLOOKUP(B420,MORTALITY!$B$5:$K$1000,5,0),"")),"")</f>
        <v/>
      </c>
      <c r="W420" s="76"/>
    </row>
    <row r="421" spans="1:23">
      <c r="A421" s="93">
        <f t="shared" si="27"/>
        <v>417</v>
      </c>
      <c r="B421" s="94"/>
      <c r="C421" s="76"/>
      <c r="D421" s="76"/>
      <c r="E421" s="76"/>
      <c r="F421" s="94" t="str">
        <f t="shared" ca="1" si="24"/>
        <v/>
      </c>
      <c r="G421" s="96" t="str">
        <f>IFERROR((IF((VLOOKUP(B421,SALE!$B$5:$B$1000,1,0))&gt;0,"Sold","")),"")</f>
        <v/>
      </c>
      <c r="H421" s="96" t="str">
        <f>IFERROR((IF((VLOOKUP(B421,MORTALITY!$B$5:$B$1000,1,0))&gt;0,"Died","")),"")</f>
        <v/>
      </c>
      <c r="I421" s="96" t="str">
        <f ca="1">IFERROR(
   IF(LOOKUP(2,1/((ILLNESS!$B$6:$B$1000=B421)*(ILLNESS!$L$6:$L$1000&lt;&gt;"")),
            ILLNESS!$L$6:$L$1000)="No",
      "Sick",""),
"")</f>
        <v/>
      </c>
      <c r="J421" s="104"/>
      <c r="K421" s="97" t="str">
        <f t="shared" ca="1" si="25"/>
        <v/>
      </c>
      <c r="L421" s="97" t="str">
        <f t="shared" ca="1" si="26"/>
        <v/>
      </c>
      <c r="M421" s="76"/>
      <c r="N421" s="76"/>
      <c r="O421" s="76"/>
      <c r="P421" s="76"/>
      <c r="Q421" s="76"/>
      <c r="R421" s="76"/>
      <c r="S421" s="104"/>
      <c r="T421" s="104"/>
      <c r="U421" s="106"/>
      <c r="V421" s="98" t="str">
        <f>IF(OR(G421="Sold",H421="Died"),IF(G421="Sold",VLOOKUP(B421,SALE!$B$5:$J$1000,6,0),IF(H421="Died",VLOOKUP(B421,MORTALITY!$B$5:$K$1000,5,0),"")),"")</f>
        <v/>
      </c>
      <c r="W421" s="76"/>
    </row>
    <row r="422" spans="1:23">
      <c r="A422" s="93">
        <f t="shared" si="27"/>
        <v>418</v>
      </c>
      <c r="B422" s="94"/>
      <c r="C422" s="76"/>
      <c r="D422" s="76"/>
      <c r="E422" s="76"/>
      <c r="F422" s="94" t="str">
        <f t="shared" ca="1" si="24"/>
        <v/>
      </c>
      <c r="G422" s="96" t="str">
        <f>IFERROR((IF((VLOOKUP(B422,SALE!$B$5:$B$1000,1,0))&gt;0,"Sold","")),"")</f>
        <v/>
      </c>
      <c r="H422" s="96" t="str">
        <f>IFERROR((IF((VLOOKUP(B422,MORTALITY!$B$5:$B$1000,1,0))&gt;0,"Died","")),"")</f>
        <v/>
      </c>
      <c r="I422" s="96" t="str">
        <f ca="1">IFERROR(
   IF(LOOKUP(2,1/((ILLNESS!$B$6:$B$1000=B422)*(ILLNESS!$L$6:$L$1000&lt;&gt;"")),
            ILLNESS!$L$6:$L$1000)="No",
      "Sick",""),
"")</f>
        <v/>
      </c>
      <c r="J422" s="104"/>
      <c r="K422" s="97" t="str">
        <f t="shared" ca="1" si="25"/>
        <v/>
      </c>
      <c r="L422" s="97" t="str">
        <f t="shared" ca="1" si="26"/>
        <v/>
      </c>
      <c r="M422" s="76"/>
      <c r="N422" s="76"/>
      <c r="O422" s="76"/>
      <c r="P422" s="76"/>
      <c r="Q422" s="76"/>
      <c r="R422" s="76"/>
      <c r="S422" s="104"/>
      <c r="T422" s="104"/>
      <c r="U422" s="106"/>
      <c r="V422" s="98" t="str">
        <f>IF(OR(G422="Sold",H422="Died"),IF(G422="Sold",VLOOKUP(B422,SALE!$B$5:$J$1000,6,0),IF(H422="Died",VLOOKUP(B422,MORTALITY!$B$5:$K$1000,5,0),"")),"")</f>
        <v/>
      </c>
      <c r="W422" s="76"/>
    </row>
    <row r="423" spans="1:23">
      <c r="A423" s="93">
        <f t="shared" si="27"/>
        <v>419</v>
      </c>
      <c r="B423" s="94"/>
      <c r="C423" s="76"/>
      <c r="D423" s="76"/>
      <c r="E423" s="76"/>
      <c r="F423" s="94" t="str">
        <f t="shared" ca="1" si="24"/>
        <v/>
      </c>
      <c r="G423" s="96" t="str">
        <f>IFERROR((IF((VLOOKUP(B423,SALE!$B$5:$B$1000,1,0))&gt;0,"Sold","")),"")</f>
        <v/>
      </c>
      <c r="H423" s="96" t="str">
        <f>IFERROR((IF((VLOOKUP(B423,MORTALITY!$B$5:$B$1000,1,0))&gt;0,"Died","")),"")</f>
        <v/>
      </c>
      <c r="I423" s="96" t="str">
        <f ca="1">IFERROR(
   IF(LOOKUP(2,1/((ILLNESS!$B$6:$B$1000=B423)*(ILLNESS!$L$6:$L$1000&lt;&gt;"")),
            ILLNESS!$L$6:$L$1000)="No",
      "Sick",""),
"")</f>
        <v/>
      </c>
      <c r="J423" s="104"/>
      <c r="K423" s="97" t="str">
        <f t="shared" ca="1" si="25"/>
        <v/>
      </c>
      <c r="L423" s="97" t="str">
        <f t="shared" ca="1" si="26"/>
        <v/>
      </c>
      <c r="M423" s="76"/>
      <c r="N423" s="76"/>
      <c r="O423" s="76"/>
      <c r="P423" s="76"/>
      <c r="Q423" s="76"/>
      <c r="R423" s="76"/>
      <c r="S423" s="104"/>
      <c r="T423" s="104"/>
      <c r="U423" s="106"/>
      <c r="V423" s="98" t="str">
        <f>IF(OR(G423="Sold",H423="Died"),IF(G423="Sold",VLOOKUP(B423,SALE!$B$5:$J$1000,6,0),IF(H423="Died",VLOOKUP(B423,MORTALITY!$B$5:$K$1000,5,0),"")),"")</f>
        <v/>
      </c>
      <c r="W423" s="76"/>
    </row>
    <row r="424" spans="1:23">
      <c r="A424" s="93">
        <f t="shared" si="27"/>
        <v>420</v>
      </c>
      <c r="B424" s="94"/>
      <c r="C424" s="76"/>
      <c r="D424" s="76"/>
      <c r="E424" s="76"/>
      <c r="F424" s="94" t="str">
        <f t="shared" ca="1" si="24"/>
        <v/>
      </c>
      <c r="G424" s="96" t="str">
        <f>IFERROR((IF((VLOOKUP(B424,SALE!$B$5:$B$1000,1,0))&gt;0,"Sold","")),"")</f>
        <v/>
      </c>
      <c r="H424" s="96" t="str">
        <f>IFERROR((IF((VLOOKUP(B424,MORTALITY!$B$5:$B$1000,1,0))&gt;0,"Died","")),"")</f>
        <v/>
      </c>
      <c r="I424" s="96" t="str">
        <f ca="1">IFERROR(
   IF(LOOKUP(2,1/((ILLNESS!$B$6:$B$1000=B424)*(ILLNESS!$L$6:$L$1000&lt;&gt;"")),
            ILLNESS!$L$6:$L$1000)="No",
      "Sick",""),
"")</f>
        <v/>
      </c>
      <c r="J424" s="104"/>
      <c r="K424" s="97" t="str">
        <f t="shared" ca="1" si="25"/>
        <v/>
      </c>
      <c r="L424" s="97" t="str">
        <f t="shared" ca="1" si="26"/>
        <v/>
      </c>
      <c r="M424" s="76"/>
      <c r="N424" s="76"/>
      <c r="O424" s="76"/>
      <c r="P424" s="76"/>
      <c r="Q424" s="76"/>
      <c r="R424" s="76"/>
      <c r="S424" s="104"/>
      <c r="T424" s="104"/>
      <c r="U424" s="106"/>
      <c r="V424" s="98" t="str">
        <f>IF(OR(G424="Sold",H424="Died"),IF(G424="Sold",VLOOKUP(B424,SALE!$B$5:$J$1000,6,0),IF(H424="Died",VLOOKUP(B424,MORTALITY!$B$5:$K$1000,5,0),"")),"")</f>
        <v/>
      </c>
      <c r="W424" s="76"/>
    </row>
    <row r="425" spans="1:23">
      <c r="A425" s="93">
        <f t="shared" si="27"/>
        <v>421</v>
      </c>
      <c r="B425" s="94"/>
      <c r="C425" s="76"/>
      <c r="D425" s="76"/>
      <c r="E425" s="76"/>
      <c r="F425" s="94" t="str">
        <f t="shared" ca="1" si="24"/>
        <v/>
      </c>
      <c r="G425" s="96" t="str">
        <f>IFERROR((IF((VLOOKUP(B425,SALE!$B$5:$B$1000,1,0))&gt;0,"Sold","")),"")</f>
        <v/>
      </c>
      <c r="H425" s="96" t="str">
        <f>IFERROR((IF((VLOOKUP(B425,MORTALITY!$B$5:$B$1000,1,0))&gt;0,"Died","")),"")</f>
        <v/>
      </c>
      <c r="I425" s="96" t="str">
        <f ca="1">IFERROR(
   IF(LOOKUP(2,1/((ILLNESS!$B$6:$B$1000=B425)*(ILLNESS!$L$6:$L$1000&lt;&gt;"")),
            ILLNESS!$L$6:$L$1000)="No",
      "Sick",""),
"")</f>
        <v/>
      </c>
      <c r="J425" s="104"/>
      <c r="K425" s="97" t="str">
        <f t="shared" ca="1" si="25"/>
        <v/>
      </c>
      <c r="L425" s="97" t="str">
        <f t="shared" ca="1" si="26"/>
        <v/>
      </c>
      <c r="M425" s="76"/>
      <c r="N425" s="76"/>
      <c r="O425" s="76"/>
      <c r="P425" s="76"/>
      <c r="Q425" s="76"/>
      <c r="R425" s="76"/>
      <c r="S425" s="104"/>
      <c r="T425" s="104"/>
      <c r="U425" s="106"/>
      <c r="V425" s="98" t="str">
        <f>IF(OR(G425="Sold",H425="Died"),IF(G425="Sold",VLOOKUP(B425,SALE!$B$5:$J$1000,6,0),IF(H425="Died",VLOOKUP(B425,MORTALITY!$B$5:$K$1000,5,0),"")),"")</f>
        <v/>
      </c>
      <c r="W425" s="76"/>
    </row>
    <row r="426" spans="1:23">
      <c r="A426" s="93">
        <f t="shared" si="27"/>
        <v>422</v>
      </c>
      <c r="B426" s="94"/>
      <c r="C426" s="76"/>
      <c r="D426" s="76"/>
      <c r="E426" s="76"/>
      <c r="F426" s="94" t="str">
        <f t="shared" ca="1" si="24"/>
        <v/>
      </c>
      <c r="G426" s="96" t="str">
        <f>IFERROR((IF((VLOOKUP(B426,SALE!$B$5:$B$1000,1,0))&gt;0,"Sold","")),"")</f>
        <v/>
      </c>
      <c r="H426" s="96" t="str">
        <f>IFERROR((IF((VLOOKUP(B426,MORTALITY!$B$5:$B$1000,1,0))&gt;0,"Died","")),"")</f>
        <v/>
      </c>
      <c r="I426" s="96" t="str">
        <f ca="1">IFERROR(
   IF(LOOKUP(2,1/((ILLNESS!$B$6:$B$1000=B426)*(ILLNESS!$L$6:$L$1000&lt;&gt;"")),
            ILLNESS!$L$6:$L$1000)="No",
      "Sick",""),
"")</f>
        <v/>
      </c>
      <c r="J426" s="104"/>
      <c r="K426" s="97" t="str">
        <f t="shared" ca="1" si="25"/>
        <v/>
      </c>
      <c r="L426" s="97" t="str">
        <f t="shared" ca="1" si="26"/>
        <v/>
      </c>
      <c r="M426" s="76"/>
      <c r="N426" s="76"/>
      <c r="O426" s="76"/>
      <c r="P426" s="76"/>
      <c r="Q426" s="76"/>
      <c r="R426" s="76"/>
      <c r="S426" s="104"/>
      <c r="T426" s="104"/>
      <c r="U426" s="106"/>
      <c r="V426" s="98" t="str">
        <f>IF(OR(G426="Sold",H426="Died"),IF(G426="Sold",VLOOKUP(B426,SALE!$B$5:$J$1000,6,0),IF(H426="Died",VLOOKUP(B426,MORTALITY!$B$5:$K$1000,5,0),"")),"")</f>
        <v/>
      </c>
      <c r="W426" s="76"/>
    </row>
    <row r="427" spans="1:23">
      <c r="A427" s="93">
        <f t="shared" si="27"/>
        <v>423</v>
      </c>
      <c r="B427" s="94"/>
      <c r="C427" s="76"/>
      <c r="D427" s="76"/>
      <c r="E427" s="76"/>
      <c r="F427" s="94" t="str">
        <f t="shared" ca="1" si="24"/>
        <v/>
      </c>
      <c r="G427" s="96" t="str">
        <f>IFERROR((IF((VLOOKUP(B427,SALE!$B$5:$B$1000,1,0))&gt;0,"Sold","")),"")</f>
        <v/>
      </c>
      <c r="H427" s="96" t="str">
        <f>IFERROR((IF((VLOOKUP(B427,MORTALITY!$B$5:$B$1000,1,0))&gt;0,"Died","")),"")</f>
        <v/>
      </c>
      <c r="I427" s="96" t="str">
        <f ca="1">IFERROR(
   IF(LOOKUP(2,1/((ILLNESS!$B$6:$B$1000=B427)*(ILLNESS!$L$6:$L$1000&lt;&gt;"")),
            ILLNESS!$L$6:$L$1000)="No",
      "Sick",""),
"")</f>
        <v/>
      </c>
      <c r="J427" s="104"/>
      <c r="K427" s="97" t="str">
        <f t="shared" ca="1" si="25"/>
        <v/>
      </c>
      <c r="L427" s="97" t="str">
        <f t="shared" ca="1" si="26"/>
        <v/>
      </c>
      <c r="M427" s="76"/>
      <c r="N427" s="76"/>
      <c r="O427" s="76"/>
      <c r="P427" s="76"/>
      <c r="Q427" s="76"/>
      <c r="R427" s="76"/>
      <c r="S427" s="104"/>
      <c r="T427" s="104"/>
      <c r="U427" s="106"/>
      <c r="V427" s="98" t="str">
        <f>IF(OR(G427="Sold",H427="Died"),IF(G427="Sold",VLOOKUP(B427,SALE!$B$5:$J$1000,6,0),IF(H427="Died",VLOOKUP(B427,MORTALITY!$B$5:$K$1000,5,0),"")),"")</f>
        <v/>
      </c>
      <c r="W427" s="76"/>
    </row>
    <row r="428" spans="1:23">
      <c r="A428" s="93">
        <f t="shared" si="27"/>
        <v>424</v>
      </c>
      <c r="B428" s="94"/>
      <c r="C428" s="76"/>
      <c r="D428" s="76"/>
      <c r="E428" s="76"/>
      <c r="F428" s="94" t="str">
        <f t="shared" ca="1" si="24"/>
        <v/>
      </c>
      <c r="G428" s="96" t="str">
        <f>IFERROR((IF((VLOOKUP(B428,SALE!$B$5:$B$1000,1,0))&gt;0,"Sold","")),"")</f>
        <v/>
      </c>
      <c r="H428" s="96" t="str">
        <f>IFERROR((IF((VLOOKUP(B428,MORTALITY!$B$5:$B$1000,1,0))&gt;0,"Died","")),"")</f>
        <v/>
      </c>
      <c r="I428" s="96" t="str">
        <f ca="1">IFERROR(
   IF(LOOKUP(2,1/((ILLNESS!$B$6:$B$1000=B428)*(ILLNESS!$L$6:$L$1000&lt;&gt;"")),
            ILLNESS!$L$6:$L$1000)="No",
      "Sick",""),
"")</f>
        <v/>
      </c>
      <c r="J428" s="104"/>
      <c r="K428" s="97" t="str">
        <f t="shared" ca="1" si="25"/>
        <v/>
      </c>
      <c r="L428" s="97" t="str">
        <f t="shared" ca="1" si="26"/>
        <v/>
      </c>
      <c r="M428" s="76"/>
      <c r="N428" s="76"/>
      <c r="O428" s="76"/>
      <c r="P428" s="76"/>
      <c r="Q428" s="76"/>
      <c r="R428" s="76"/>
      <c r="S428" s="104"/>
      <c r="T428" s="104"/>
      <c r="U428" s="106"/>
      <c r="V428" s="98" t="str">
        <f>IF(OR(G428="Sold",H428="Died"),IF(G428="Sold",VLOOKUP(B428,SALE!$B$5:$J$1000,6,0),IF(H428="Died",VLOOKUP(B428,MORTALITY!$B$5:$K$1000,5,0),"")),"")</f>
        <v/>
      </c>
      <c r="W428" s="76"/>
    </row>
    <row r="429" spans="1:23">
      <c r="A429" s="93">
        <f t="shared" si="27"/>
        <v>425</v>
      </c>
      <c r="B429" s="94"/>
      <c r="C429" s="76"/>
      <c r="D429" s="76"/>
      <c r="E429" s="76"/>
      <c r="F429" s="94" t="str">
        <f t="shared" ca="1" si="24"/>
        <v/>
      </c>
      <c r="G429" s="96" t="str">
        <f>IFERROR((IF((VLOOKUP(B429,SALE!$B$5:$B$1000,1,0))&gt;0,"Sold","")),"")</f>
        <v/>
      </c>
      <c r="H429" s="96" t="str">
        <f>IFERROR((IF((VLOOKUP(B429,MORTALITY!$B$5:$B$1000,1,0))&gt;0,"Died","")),"")</f>
        <v/>
      </c>
      <c r="I429" s="96" t="str">
        <f ca="1">IFERROR(
   IF(LOOKUP(2,1/((ILLNESS!$B$6:$B$1000=B429)*(ILLNESS!$L$6:$L$1000&lt;&gt;"")),
            ILLNESS!$L$6:$L$1000)="No",
      "Sick",""),
"")</f>
        <v/>
      </c>
      <c r="J429" s="104"/>
      <c r="K429" s="97" t="str">
        <f t="shared" ca="1" si="25"/>
        <v/>
      </c>
      <c r="L429" s="97" t="str">
        <f t="shared" ca="1" si="26"/>
        <v/>
      </c>
      <c r="M429" s="76"/>
      <c r="N429" s="76"/>
      <c r="O429" s="76"/>
      <c r="P429" s="76"/>
      <c r="Q429" s="76"/>
      <c r="R429" s="76"/>
      <c r="S429" s="104"/>
      <c r="T429" s="104"/>
      <c r="U429" s="106"/>
      <c r="V429" s="98" t="str">
        <f>IF(OR(G429="Sold",H429="Died"),IF(G429="Sold",VLOOKUP(B429,SALE!$B$5:$J$1000,6,0),IF(H429="Died",VLOOKUP(B429,MORTALITY!$B$5:$K$1000,5,0),"")),"")</f>
        <v/>
      </c>
      <c r="W429" s="76"/>
    </row>
    <row r="430" spans="1:23">
      <c r="A430" s="93">
        <f t="shared" si="27"/>
        <v>426</v>
      </c>
      <c r="B430" s="94"/>
      <c r="C430" s="76"/>
      <c r="D430" s="76"/>
      <c r="E430" s="76"/>
      <c r="F430" s="94" t="str">
        <f t="shared" ca="1" si="24"/>
        <v/>
      </c>
      <c r="G430" s="96" t="str">
        <f>IFERROR((IF((VLOOKUP(B430,SALE!$B$5:$B$1000,1,0))&gt;0,"Sold","")),"")</f>
        <v/>
      </c>
      <c r="H430" s="96" t="str">
        <f>IFERROR((IF((VLOOKUP(B430,MORTALITY!$B$5:$B$1000,1,0))&gt;0,"Died","")),"")</f>
        <v/>
      </c>
      <c r="I430" s="96" t="str">
        <f ca="1">IFERROR(
   IF(LOOKUP(2,1/((ILLNESS!$B$6:$B$1000=B430)*(ILLNESS!$L$6:$L$1000&lt;&gt;"")),
            ILLNESS!$L$6:$L$1000)="No",
      "Sick",""),
"")</f>
        <v/>
      </c>
      <c r="J430" s="104"/>
      <c r="K430" s="97" t="str">
        <f t="shared" ca="1" si="25"/>
        <v/>
      </c>
      <c r="L430" s="97" t="str">
        <f t="shared" ca="1" si="26"/>
        <v/>
      </c>
      <c r="M430" s="76"/>
      <c r="N430" s="76"/>
      <c r="O430" s="76"/>
      <c r="P430" s="76"/>
      <c r="Q430" s="76"/>
      <c r="R430" s="76"/>
      <c r="S430" s="104"/>
      <c r="T430" s="104"/>
      <c r="U430" s="106"/>
      <c r="V430" s="98" t="str">
        <f>IF(OR(G430="Sold",H430="Died"),IF(G430="Sold",VLOOKUP(B430,SALE!$B$5:$J$1000,6,0),IF(H430="Died",VLOOKUP(B430,MORTALITY!$B$5:$K$1000,5,0),"")),"")</f>
        <v/>
      </c>
      <c r="W430" s="76"/>
    </row>
    <row r="431" spans="1:23">
      <c r="A431" s="93">
        <f t="shared" si="27"/>
        <v>427</v>
      </c>
      <c r="B431" s="94"/>
      <c r="C431" s="76"/>
      <c r="D431" s="76"/>
      <c r="E431" s="76"/>
      <c r="F431" s="94" t="str">
        <f t="shared" ca="1" si="24"/>
        <v/>
      </c>
      <c r="G431" s="96" t="str">
        <f>IFERROR((IF((VLOOKUP(B431,SALE!$B$5:$B$1000,1,0))&gt;0,"Sold","")),"")</f>
        <v/>
      </c>
      <c r="H431" s="96" t="str">
        <f>IFERROR((IF((VLOOKUP(B431,MORTALITY!$B$5:$B$1000,1,0))&gt;0,"Died","")),"")</f>
        <v/>
      </c>
      <c r="I431" s="96" t="str">
        <f ca="1">IFERROR(
   IF(LOOKUP(2,1/((ILLNESS!$B$6:$B$1000=B431)*(ILLNESS!$L$6:$L$1000&lt;&gt;"")),
            ILLNESS!$L$6:$L$1000)="No",
      "Sick",""),
"")</f>
        <v/>
      </c>
      <c r="J431" s="104"/>
      <c r="K431" s="97" t="str">
        <f t="shared" ca="1" si="25"/>
        <v/>
      </c>
      <c r="L431" s="97" t="str">
        <f t="shared" ca="1" si="26"/>
        <v/>
      </c>
      <c r="M431" s="76"/>
      <c r="N431" s="76"/>
      <c r="O431" s="76"/>
      <c r="P431" s="76"/>
      <c r="Q431" s="76"/>
      <c r="R431" s="76"/>
      <c r="S431" s="104"/>
      <c r="T431" s="104"/>
      <c r="U431" s="106"/>
      <c r="V431" s="98" t="str">
        <f>IF(OR(G431="Sold",H431="Died"),IF(G431="Sold",VLOOKUP(B431,SALE!$B$5:$J$1000,6,0),IF(H431="Died",VLOOKUP(B431,MORTALITY!$B$5:$K$1000,5,0),"")),"")</f>
        <v/>
      </c>
      <c r="W431" s="76"/>
    </row>
    <row r="432" spans="1:23">
      <c r="A432" s="93">
        <f t="shared" si="27"/>
        <v>428</v>
      </c>
      <c r="B432" s="94"/>
      <c r="C432" s="76"/>
      <c r="D432" s="76"/>
      <c r="E432" s="76"/>
      <c r="F432" s="94" t="str">
        <f t="shared" ca="1" si="24"/>
        <v/>
      </c>
      <c r="G432" s="96" t="str">
        <f>IFERROR((IF((VLOOKUP(B432,SALE!$B$5:$B$1000,1,0))&gt;0,"Sold","")),"")</f>
        <v/>
      </c>
      <c r="H432" s="96" t="str">
        <f>IFERROR((IF((VLOOKUP(B432,MORTALITY!$B$5:$B$1000,1,0))&gt;0,"Died","")),"")</f>
        <v/>
      </c>
      <c r="I432" s="96" t="str">
        <f ca="1">IFERROR(
   IF(LOOKUP(2,1/((ILLNESS!$B$6:$B$1000=B432)*(ILLNESS!$L$6:$L$1000&lt;&gt;"")),
            ILLNESS!$L$6:$L$1000)="No",
      "Sick",""),
"")</f>
        <v/>
      </c>
      <c r="J432" s="104"/>
      <c r="K432" s="97" t="str">
        <f t="shared" ca="1" si="25"/>
        <v/>
      </c>
      <c r="L432" s="97" t="str">
        <f t="shared" ca="1" si="26"/>
        <v/>
      </c>
      <c r="M432" s="76"/>
      <c r="N432" s="76"/>
      <c r="O432" s="76"/>
      <c r="P432" s="76"/>
      <c r="Q432" s="76"/>
      <c r="R432" s="76"/>
      <c r="S432" s="104"/>
      <c r="T432" s="104"/>
      <c r="U432" s="106"/>
      <c r="V432" s="98" t="str">
        <f>IF(OR(G432="Sold",H432="Died"),IF(G432="Sold",VLOOKUP(B432,SALE!$B$5:$J$1000,6,0),IF(H432="Died",VLOOKUP(B432,MORTALITY!$B$5:$K$1000,5,0),"")),"")</f>
        <v/>
      </c>
      <c r="W432" s="76"/>
    </row>
    <row r="433" spans="1:23">
      <c r="A433" s="93">
        <f t="shared" si="27"/>
        <v>429</v>
      </c>
      <c r="B433" s="94"/>
      <c r="C433" s="76"/>
      <c r="D433" s="76"/>
      <c r="E433" s="76"/>
      <c r="F433" s="94" t="str">
        <f t="shared" ca="1" si="24"/>
        <v/>
      </c>
      <c r="G433" s="96" t="str">
        <f>IFERROR((IF((VLOOKUP(B433,SALE!$B$5:$B$1000,1,0))&gt;0,"Sold","")),"")</f>
        <v/>
      </c>
      <c r="H433" s="96" t="str">
        <f>IFERROR((IF((VLOOKUP(B433,MORTALITY!$B$5:$B$1000,1,0))&gt;0,"Died","")),"")</f>
        <v/>
      </c>
      <c r="I433" s="96" t="str">
        <f ca="1">IFERROR(
   IF(LOOKUP(2,1/((ILLNESS!$B$6:$B$1000=B433)*(ILLNESS!$L$6:$L$1000&lt;&gt;"")),
            ILLNESS!$L$6:$L$1000)="No",
      "Sick",""),
"")</f>
        <v/>
      </c>
      <c r="J433" s="104"/>
      <c r="K433" s="97" t="str">
        <f t="shared" ca="1" si="25"/>
        <v/>
      </c>
      <c r="L433" s="97" t="str">
        <f t="shared" ca="1" si="26"/>
        <v/>
      </c>
      <c r="M433" s="76"/>
      <c r="N433" s="76"/>
      <c r="O433" s="76"/>
      <c r="P433" s="76"/>
      <c r="Q433" s="76"/>
      <c r="R433" s="76"/>
      <c r="S433" s="104"/>
      <c r="T433" s="104"/>
      <c r="U433" s="106"/>
      <c r="V433" s="98" t="str">
        <f>IF(OR(G433="Sold",H433="Died"),IF(G433="Sold",VLOOKUP(B433,SALE!$B$5:$J$1000,6,0),IF(H433="Died",VLOOKUP(B433,MORTALITY!$B$5:$K$1000,5,0),"")),"")</f>
        <v/>
      </c>
      <c r="W433" s="76"/>
    </row>
    <row r="434" spans="1:23">
      <c r="A434" s="93">
        <f t="shared" si="27"/>
        <v>430</v>
      </c>
      <c r="B434" s="94"/>
      <c r="C434" s="76"/>
      <c r="D434" s="76"/>
      <c r="E434" s="76"/>
      <c r="F434" s="94" t="str">
        <f t="shared" ca="1" si="24"/>
        <v/>
      </c>
      <c r="G434" s="96" t="str">
        <f>IFERROR((IF((VLOOKUP(B434,SALE!$B$5:$B$1000,1,0))&gt;0,"Sold","")),"")</f>
        <v/>
      </c>
      <c r="H434" s="96" t="str">
        <f>IFERROR((IF((VLOOKUP(B434,MORTALITY!$B$5:$B$1000,1,0))&gt;0,"Died","")),"")</f>
        <v/>
      </c>
      <c r="I434" s="96" t="str">
        <f ca="1">IFERROR(
   IF(LOOKUP(2,1/((ILLNESS!$B$6:$B$1000=B434)*(ILLNESS!$L$6:$L$1000&lt;&gt;"")),
            ILLNESS!$L$6:$L$1000)="No",
      "Sick",""),
"")</f>
        <v/>
      </c>
      <c r="J434" s="104"/>
      <c r="K434" s="97" t="str">
        <f t="shared" ca="1" si="25"/>
        <v/>
      </c>
      <c r="L434" s="97" t="str">
        <f t="shared" ca="1" si="26"/>
        <v/>
      </c>
      <c r="M434" s="76"/>
      <c r="N434" s="76"/>
      <c r="O434" s="76"/>
      <c r="P434" s="76"/>
      <c r="Q434" s="76"/>
      <c r="R434" s="76"/>
      <c r="S434" s="104"/>
      <c r="T434" s="104"/>
      <c r="U434" s="106"/>
      <c r="V434" s="98" t="str">
        <f>IF(OR(G434="Sold",H434="Died"),IF(G434="Sold",VLOOKUP(B434,SALE!$B$5:$J$1000,6,0),IF(H434="Died",VLOOKUP(B434,MORTALITY!$B$5:$K$1000,5,0),"")),"")</f>
        <v/>
      </c>
      <c r="W434" s="76"/>
    </row>
    <row r="435" spans="1:23">
      <c r="A435" s="93">
        <f t="shared" si="27"/>
        <v>431</v>
      </c>
      <c r="B435" s="94"/>
      <c r="C435" s="76"/>
      <c r="D435" s="76"/>
      <c r="E435" s="76"/>
      <c r="F435" s="94" t="str">
        <f t="shared" ca="1" si="24"/>
        <v/>
      </c>
      <c r="G435" s="96" t="str">
        <f>IFERROR((IF((VLOOKUP(B435,SALE!$B$5:$B$1000,1,0))&gt;0,"Sold","")),"")</f>
        <v/>
      </c>
      <c r="H435" s="96" t="str">
        <f>IFERROR((IF((VLOOKUP(B435,MORTALITY!$B$5:$B$1000,1,0))&gt;0,"Died","")),"")</f>
        <v/>
      </c>
      <c r="I435" s="96" t="str">
        <f ca="1">IFERROR(
   IF(LOOKUP(2,1/((ILLNESS!$B$6:$B$1000=B435)*(ILLNESS!$L$6:$L$1000&lt;&gt;"")),
            ILLNESS!$L$6:$L$1000)="No",
      "Sick",""),
"")</f>
        <v/>
      </c>
      <c r="J435" s="104"/>
      <c r="K435" s="97" t="str">
        <f t="shared" ca="1" si="25"/>
        <v/>
      </c>
      <c r="L435" s="97" t="str">
        <f t="shared" ca="1" si="26"/>
        <v/>
      </c>
      <c r="M435" s="76"/>
      <c r="N435" s="76"/>
      <c r="O435" s="76"/>
      <c r="P435" s="76"/>
      <c r="Q435" s="76"/>
      <c r="R435" s="76"/>
      <c r="S435" s="104"/>
      <c r="T435" s="104"/>
      <c r="U435" s="106"/>
      <c r="V435" s="98" t="str">
        <f>IF(OR(G435="Sold",H435="Died"),IF(G435="Sold",VLOOKUP(B435,SALE!$B$5:$J$1000,6,0),IF(H435="Died",VLOOKUP(B435,MORTALITY!$B$5:$K$1000,5,0),"")),"")</f>
        <v/>
      </c>
      <c r="W435" s="76"/>
    </row>
    <row r="436" spans="1:23">
      <c r="A436" s="93">
        <f t="shared" si="27"/>
        <v>432</v>
      </c>
      <c r="B436" s="94"/>
      <c r="C436" s="76"/>
      <c r="D436" s="76"/>
      <c r="E436" s="76"/>
      <c r="F436" s="94" t="str">
        <f t="shared" ca="1" si="24"/>
        <v/>
      </c>
      <c r="G436" s="96" t="str">
        <f>IFERROR((IF((VLOOKUP(B436,SALE!$B$5:$B$1000,1,0))&gt;0,"Sold","")),"")</f>
        <v/>
      </c>
      <c r="H436" s="96" t="str">
        <f>IFERROR((IF((VLOOKUP(B436,MORTALITY!$B$5:$B$1000,1,0))&gt;0,"Died","")),"")</f>
        <v/>
      </c>
      <c r="I436" s="96" t="str">
        <f ca="1">IFERROR(
   IF(LOOKUP(2,1/((ILLNESS!$B$6:$B$1000=B436)*(ILLNESS!$L$6:$L$1000&lt;&gt;"")),
            ILLNESS!$L$6:$L$1000)="No",
      "Sick",""),
"")</f>
        <v/>
      </c>
      <c r="J436" s="104"/>
      <c r="K436" s="97" t="str">
        <f t="shared" ca="1" si="25"/>
        <v/>
      </c>
      <c r="L436" s="97" t="str">
        <f t="shared" ca="1" si="26"/>
        <v/>
      </c>
      <c r="M436" s="76"/>
      <c r="N436" s="76"/>
      <c r="O436" s="76"/>
      <c r="P436" s="76"/>
      <c r="Q436" s="76"/>
      <c r="R436" s="76"/>
      <c r="S436" s="104"/>
      <c r="T436" s="104"/>
      <c r="U436" s="106"/>
      <c r="V436" s="98" t="str">
        <f>IF(OR(G436="Sold",H436="Died"),IF(G436="Sold",VLOOKUP(B436,SALE!$B$5:$J$1000,6,0),IF(H436="Died",VLOOKUP(B436,MORTALITY!$B$5:$K$1000,5,0),"")),"")</f>
        <v/>
      </c>
      <c r="W436" s="76"/>
    </row>
    <row r="437" spans="1:23">
      <c r="A437" s="93">
        <f t="shared" si="27"/>
        <v>433</v>
      </c>
      <c r="B437" s="94"/>
      <c r="C437" s="76"/>
      <c r="D437" s="76"/>
      <c r="E437" s="76"/>
      <c r="F437" s="94" t="str">
        <f t="shared" ca="1" si="24"/>
        <v/>
      </c>
      <c r="G437" s="96" t="str">
        <f>IFERROR((IF((VLOOKUP(B437,SALE!$B$5:$B$1000,1,0))&gt;0,"Sold","")),"")</f>
        <v/>
      </c>
      <c r="H437" s="96" t="str">
        <f>IFERROR((IF((VLOOKUP(B437,MORTALITY!$B$5:$B$1000,1,0))&gt;0,"Died","")),"")</f>
        <v/>
      </c>
      <c r="I437" s="96" t="str">
        <f ca="1">IFERROR(
   IF(LOOKUP(2,1/((ILLNESS!$B$6:$B$1000=B437)*(ILLNESS!$L$6:$L$1000&lt;&gt;"")),
            ILLNESS!$L$6:$L$1000)="No",
      "Sick",""),
"")</f>
        <v/>
      </c>
      <c r="J437" s="104"/>
      <c r="K437" s="97" t="str">
        <f t="shared" ca="1" si="25"/>
        <v/>
      </c>
      <c r="L437" s="97" t="str">
        <f t="shared" ca="1" si="26"/>
        <v/>
      </c>
      <c r="M437" s="76"/>
      <c r="N437" s="76"/>
      <c r="O437" s="76"/>
      <c r="P437" s="76"/>
      <c r="Q437" s="76"/>
      <c r="R437" s="76"/>
      <c r="S437" s="104"/>
      <c r="T437" s="104"/>
      <c r="U437" s="106"/>
      <c r="V437" s="98" t="str">
        <f>IF(OR(G437="Sold",H437="Died"),IF(G437="Sold",VLOOKUP(B437,SALE!$B$5:$J$1000,6,0),IF(H437="Died",VLOOKUP(B437,MORTALITY!$B$5:$K$1000,5,0),"")),"")</f>
        <v/>
      </c>
      <c r="W437" s="76"/>
    </row>
    <row r="438" spans="1:23">
      <c r="A438" s="93">
        <f t="shared" si="27"/>
        <v>434</v>
      </c>
      <c r="B438" s="94"/>
      <c r="C438" s="76"/>
      <c r="D438" s="76"/>
      <c r="E438" s="76"/>
      <c r="F438" s="94" t="str">
        <f t="shared" ca="1" si="24"/>
        <v/>
      </c>
      <c r="G438" s="96" t="str">
        <f>IFERROR((IF((VLOOKUP(B438,SALE!$B$5:$B$1000,1,0))&gt;0,"Sold","")),"")</f>
        <v/>
      </c>
      <c r="H438" s="96" t="str">
        <f>IFERROR((IF((VLOOKUP(B438,MORTALITY!$B$5:$B$1000,1,0))&gt;0,"Died","")),"")</f>
        <v/>
      </c>
      <c r="I438" s="96" t="str">
        <f ca="1">IFERROR(
   IF(LOOKUP(2,1/((ILLNESS!$B$6:$B$1000=B438)*(ILLNESS!$L$6:$L$1000&lt;&gt;"")),
            ILLNESS!$L$6:$L$1000)="No",
      "Sick",""),
"")</f>
        <v/>
      </c>
      <c r="J438" s="104"/>
      <c r="K438" s="97" t="str">
        <f t="shared" ca="1" si="25"/>
        <v/>
      </c>
      <c r="L438" s="97" t="str">
        <f t="shared" ca="1" si="26"/>
        <v/>
      </c>
      <c r="M438" s="76"/>
      <c r="N438" s="76"/>
      <c r="O438" s="76"/>
      <c r="P438" s="76"/>
      <c r="Q438" s="76"/>
      <c r="R438" s="76"/>
      <c r="S438" s="104"/>
      <c r="T438" s="104"/>
      <c r="U438" s="106"/>
      <c r="V438" s="98" t="str">
        <f>IF(OR(G438="Sold",H438="Died"),IF(G438="Sold",VLOOKUP(B438,SALE!$B$5:$J$1000,6,0),IF(H438="Died",VLOOKUP(B438,MORTALITY!$B$5:$K$1000,5,0),"")),"")</f>
        <v/>
      </c>
      <c r="W438" s="76"/>
    </row>
    <row r="439" spans="1:23">
      <c r="A439" s="93">
        <f t="shared" si="27"/>
        <v>435</v>
      </c>
      <c r="B439" s="94"/>
      <c r="C439" s="76"/>
      <c r="D439" s="76"/>
      <c r="E439" s="76"/>
      <c r="F439" s="94" t="str">
        <f t="shared" ca="1" si="24"/>
        <v/>
      </c>
      <c r="G439" s="96" t="str">
        <f>IFERROR((IF((VLOOKUP(B439,SALE!$B$5:$B$1000,1,0))&gt;0,"Sold","")),"")</f>
        <v/>
      </c>
      <c r="H439" s="96" t="str">
        <f>IFERROR((IF((VLOOKUP(B439,MORTALITY!$B$5:$B$1000,1,0))&gt;0,"Died","")),"")</f>
        <v/>
      </c>
      <c r="I439" s="96" t="str">
        <f ca="1">IFERROR(
   IF(LOOKUP(2,1/((ILLNESS!$B$6:$B$1000=B439)*(ILLNESS!$L$6:$L$1000&lt;&gt;"")),
            ILLNESS!$L$6:$L$1000)="No",
      "Sick",""),
"")</f>
        <v/>
      </c>
      <c r="J439" s="104"/>
      <c r="K439" s="97" t="str">
        <f t="shared" ca="1" si="25"/>
        <v/>
      </c>
      <c r="L439" s="97" t="str">
        <f t="shared" ca="1" si="26"/>
        <v/>
      </c>
      <c r="M439" s="76"/>
      <c r="N439" s="76"/>
      <c r="O439" s="76"/>
      <c r="P439" s="76"/>
      <c r="Q439" s="76"/>
      <c r="R439" s="76"/>
      <c r="S439" s="104"/>
      <c r="T439" s="104"/>
      <c r="U439" s="106"/>
      <c r="V439" s="98" t="str">
        <f>IF(OR(G439="Sold",H439="Died"),IF(G439="Sold",VLOOKUP(B439,SALE!$B$5:$J$1000,6,0),IF(H439="Died",VLOOKUP(B439,MORTALITY!$B$5:$K$1000,5,0),"")),"")</f>
        <v/>
      </c>
      <c r="W439" s="76"/>
    </row>
    <row r="440" spans="1:23">
      <c r="A440" s="93">
        <f t="shared" si="27"/>
        <v>436</v>
      </c>
      <c r="B440" s="94"/>
      <c r="C440" s="76"/>
      <c r="D440" s="76"/>
      <c r="E440" s="76"/>
      <c r="F440" s="94" t="str">
        <f t="shared" ca="1" si="24"/>
        <v/>
      </c>
      <c r="G440" s="96" t="str">
        <f>IFERROR((IF((VLOOKUP(B440,SALE!$B$5:$B$1000,1,0))&gt;0,"Sold","")),"")</f>
        <v/>
      </c>
      <c r="H440" s="96" t="str">
        <f>IFERROR((IF((VLOOKUP(B440,MORTALITY!$B$5:$B$1000,1,0))&gt;0,"Died","")),"")</f>
        <v/>
      </c>
      <c r="I440" s="96" t="str">
        <f ca="1">IFERROR(
   IF(LOOKUP(2,1/((ILLNESS!$B$6:$B$1000=B440)*(ILLNESS!$L$6:$L$1000&lt;&gt;"")),
            ILLNESS!$L$6:$L$1000)="No",
      "Sick",""),
"")</f>
        <v/>
      </c>
      <c r="J440" s="104"/>
      <c r="K440" s="97" t="str">
        <f t="shared" ca="1" si="25"/>
        <v/>
      </c>
      <c r="L440" s="97" t="str">
        <f t="shared" ca="1" si="26"/>
        <v/>
      </c>
      <c r="M440" s="76"/>
      <c r="N440" s="76"/>
      <c r="O440" s="76"/>
      <c r="P440" s="76"/>
      <c r="Q440" s="76"/>
      <c r="R440" s="76"/>
      <c r="S440" s="104"/>
      <c r="T440" s="104"/>
      <c r="U440" s="106"/>
      <c r="V440" s="98" t="str">
        <f>IF(OR(G440="Sold",H440="Died"),IF(G440="Sold",VLOOKUP(B440,SALE!$B$5:$J$1000,6,0),IF(H440="Died",VLOOKUP(B440,MORTALITY!$B$5:$K$1000,5,0),"")),"")</f>
        <v/>
      </c>
      <c r="W440" s="76"/>
    </row>
    <row r="441" spans="1:23">
      <c r="A441" s="93">
        <f t="shared" si="27"/>
        <v>437</v>
      </c>
      <c r="B441" s="94"/>
      <c r="C441" s="76"/>
      <c r="D441" s="76"/>
      <c r="E441" s="76"/>
      <c r="F441" s="94" t="str">
        <f t="shared" ca="1" si="24"/>
        <v/>
      </c>
      <c r="G441" s="96" t="str">
        <f>IFERROR((IF((VLOOKUP(B441,SALE!$B$5:$B$1000,1,0))&gt;0,"Sold","")),"")</f>
        <v/>
      </c>
      <c r="H441" s="96" t="str">
        <f>IFERROR((IF((VLOOKUP(B441,MORTALITY!$B$5:$B$1000,1,0))&gt;0,"Died","")),"")</f>
        <v/>
      </c>
      <c r="I441" s="96" t="str">
        <f ca="1">IFERROR(
   IF(LOOKUP(2,1/((ILLNESS!$B$6:$B$1000=B441)*(ILLNESS!$L$6:$L$1000&lt;&gt;"")),
            ILLNESS!$L$6:$L$1000)="No",
      "Sick",""),
"")</f>
        <v/>
      </c>
      <c r="J441" s="104"/>
      <c r="K441" s="97" t="str">
        <f t="shared" ca="1" si="25"/>
        <v/>
      </c>
      <c r="L441" s="97" t="str">
        <f t="shared" ca="1" si="26"/>
        <v/>
      </c>
      <c r="M441" s="76"/>
      <c r="N441" s="76"/>
      <c r="O441" s="76"/>
      <c r="P441" s="76"/>
      <c r="Q441" s="76"/>
      <c r="R441" s="76"/>
      <c r="S441" s="104"/>
      <c r="T441" s="104"/>
      <c r="U441" s="106"/>
      <c r="V441" s="98" t="str">
        <f>IF(OR(G441="Sold",H441="Died"),IF(G441="Sold",VLOOKUP(B441,SALE!$B$5:$J$1000,6,0),IF(H441="Died",VLOOKUP(B441,MORTALITY!$B$5:$K$1000,5,0),"")),"")</f>
        <v/>
      </c>
      <c r="W441" s="76"/>
    </row>
    <row r="442" spans="1:23">
      <c r="A442" s="93">
        <f t="shared" si="27"/>
        <v>438</v>
      </c>
      <c r="B442" s="94"/>
      <c r="C442" s="76"/>
      <c r="D442" s="76"/>
      <c r="E442" s="76"/>
      <c r="F442" s="94" t="str">
        <f t="shared" ca="1" si="24"/>
        <v/>
      </c>
      <c r="G442" s="96" t="str">
        <f>IFERROR((IF((VLOOKUP(B442,SALE!$B$5:$B$1000,1,0))&gt;0,"Sold","")),"")</f>
        <v/>
      </c>
      <c r="H442" s="96" t="str">
        <f>IFERROR((IF((VLOOKUP(B442,MORTALITY!$B$5:$B$1000,1,0))&gt;0,"Died","")),"")</f>
        <v/>
      </c>
      <c r="I442" s="96" t="str">
        <f ca="1">IFERROR(
   IF(LOOKUP(2,1/((ILLNESS!$B$6:$B$1000=B442)*(ILLNESS!$L$6:$L$1000&lt;&gt;"")),
            ILLNESS!$L$6:$L$1000)="No",
      "Sick",""),
"")</f>
        <v/>
      </c>
      <c r="J442" s="104"/>
      <c r="K442" s="97" t="str">
        <f t="shared" ca="1" si="25"/>
        <v/>
      </c>
      <c r="L442" s="97" t="str">
        <f t="shared" ca="1" si="26"/>
        <v/>
      </c>
      <c r="M442" s="76"/>
      <c r="N442" s="76"/>
      <c r="O442" s="76"/>
      <c r="P442" s="76"/>
      <c r="Q442" s="76"/>
      <c r="R442" s="76"/>
      <c r="S442" s="104"/>
      <c r="T442" s="104"/>
      <c r="U442" s="106"/>
      <c r="V442" s="98" t="str">
        <f>IF(OR(G442="Sold",H442="Died"),IF(G442="Sold",VLOOKUP(B442,SALE!$B$5:$J$1000,6,0),IF(H442="Died",VLOOKUP(B442,MORTALITY!$B$5:$K$1000,5,0),"")),"")</f>
        <v/>
      </c>
      <c r="W442" s="76"/>
    </row>
    <row r="443" spans="1:23">
      <c r="A443" s="93">
        <f t="shared" si="27"/>
        <v>439</v>
      </c>
      <c r="B443" s="94"/>
      <c r="C443" s="76"/>
      <c r="D443" s="76"/>
      <c r="E443" s="76"/>
      <c r="F443" s="94" t="str">
        <f t="shared" ca="1" si="24"/>
        <v/>
      </c>
      <c r="G443" s="96" t="str">
        <f>IFERROR((IF((VLOOKUP(B443,SALE!$B$5:$B$1000,1,0))&gt;0,"Sold","")),"")</f>
        <v/>
      </c>
      <c r="H443" s="96" t="str">
        <f>IFERROR((IF((VLOOKUP(B443,MORTALITY!$B$5:$B$1000,1,0))&gt;0,"Died","")),"")</f>
        <v/>
      </c>
      <c r="I443" s="96" t="str">
        <f ca="1">IFERROR(
   IF(LOOKUP(2,1/((ILLNESS!$B$6:$B$1000=B443)*(ILLNESS!$L$6:$L$1000&lt;&gt;"")),
            ILLNESS!$L$6:$L$1000)="No",
      "Sick",""),
"")</f>
        <v/>
      </c>
      <c r="J443" s="104"/>
      <c r="K443" s="97" t="str">
        <f t="shared" ca="1" si="25"/>
        <v/>
      </c>
      <c r="L443" s="97" t="str">
        <f t="shared" ca="1" si="26"/>
        <v/>
      </c>
      <c r="M443" s="76"/>
      <c r="N443" s="76"/>
      <c r="O443" s="76"/>
      <c r="P443" s="76"/>
      <c r="Q443" s="76"/>
      <c r="R443" s="76"/>
      <c r="S443" s="104"/>
      <c r="T443" s="104"/>
      <c r="U443" s="106"/>
      <c r="V443" s="98" t="str">
        <f>IF(OR(G443="Sold",H443="Died"),IF(G443="Sold",VLOOKUP(B443,SALE!$B$5:$J$1000,6,0),IF(H443="Died",VLOOKUP(B443,MORTALITY!$B$5:$K$1000,5,0),"")),"")</f>
        <v/>
      </c>
      <c r="W443" s="76"/>
    </row>
    <row r="444" spans="1:23">
      <c r="A444" s="93">
        <f t="shared" si="27"/>
        <v>440</v>
      </c>
      <c r="B444" s="94"/>
      <c r="C444" s="76"/>
      <c r="D444" s="76"/>
      <c r="E444" s="76"/>
      <c r="F444" s="94" t="str">
        <f t="shared" ca="1" si="24"/>
        <v/>
      </c>
      <c r="G444" s="96" t="str">
        <f>IFERROR((IF((VLOOKUP(B444,SALE!$B$5:$B$1000,1,0))&gt;0,"Sold","")),"")</f>
        <v/>
      </c>
      <c r="H444" s="96" t="str">
        <f>IFERROR((IF((VLOOKUP(B444,MORTALITY!$B$5:$B$1000,1,0))&gt;0,"Died","")),"")</f>
        <v/>
      </c>
      <c r="I444" s="96" t="str">
        <f ca="1">IFERROR(
   IF(LOOKUP(2,1/((ILLNESS!$B$6:$B$1000=B444)*(ILLNESS!$L$6:$L$1000&lt;&gt;"")),
            ILLNESS!$L$6:$L$1000)="No",
      "Sick",""),
"")</f>
        <v/>
      </c>
      <c r="J444" s="104"/>
      <c r="K444" s="97" t="str">
        <f t="shared" ca="1" si="25"/>
        <v/>
      </c>
      <c r="L444" s="97" t="str">
        <f t="shared" ca="1" si="26"/>
        <v/>
      </c>
      <c r="M444" s="76"/>
      <c r="N444" s="76"/>
      <c r="O444" s="76"/>
      <c r="P444" s="76"/>
      <c r="Q444" s="76"/>
      <c r="R444" s="76"/>
      <c r="S444" s="104"/>
      <c r="T444" s="104"/>
      <c r="U444" s="106"/>
      <c r="V444" s="98" t="str">
        <f>IF(OR(G444="Sold",H444="Died"),IF(G444="Sold",VLOOKUP(B444,SALE!$B$5:$J$1000,6,0),IF(H444="Died",VLOOKUP(B444,MORTALITY!$B$5:$K$1000,5,0),"")),"")</f>
        <v/>
      </c>
      <c r="W444" s="76"/>
    </row>
    <row r="445" spans="1:23">
      <c r="A445" s="93">
        <f t="shared" si="27"/>
        <v>441</v>
      </c>
      <c r="B445" s="94"/>
      <c r="C445" s="76"/>
      <c r="D445" s="76"/>
      <c r="E445" s="76"/>
      <c r="F445" s="94" t="str">
        <f t="shared" ca="1" si="24"/>
        <v/>
      </c>
      <c r="G445" s="96" t="str">
        <f>IFERROR((IF((VLOOKUP(B445,SALE!$B$5:$B$1000,1,0))&gt;0,"Sold","")),"")</f>
        <v/>
      </c>
      <c r="H445" s="96" t="str">
        <f>IFERROR((IF((VLOOKUP(B445,MORTALITY!$B$5:$B$1000,1,0))&gt;0,"Died","")),"")</f>
        <v/>
      </c>
      <c r="I445" s="96" t="str">
        <f ca="1">IFERROR(
   IF(LOOKUP(2,1/((ILLNESS!$B$6:$B$1000=B445)*(ILLNESS!$L$6:$L$1000&lt;&gt;"")),
            ILLNESS!$L$6:$L$1000)="No",
      "Sick",""),
"")</f>
        <v/>
      </c>
      <c r="J445" s="104"/>
      <c r="K445" s="97" t="str">
        <f t="shared" ca="1" si="25"/>
        <v/>
      </c>
      <c r="L445" s="97" t="str">
        <f t="shared" ca="1" si="26"/>
        <v/>
      </c>
      <c r="M445" s="76"/>
      <c r="N445" s="76"/>
      <c r="O445" s="76"/>
      <c r="P445" s="76"/>
      <c r="Q445" s="76"/>
      <c r="R445" s="76"/>
      <c r="S445" s="104"/>
      <c r="T445" s="104"/>
      <c r="U445" s="106"/>
      <c r="V445" s="98" t="str">
        <f>IF(OR(G445="Sold",H445="Died"),IF(G445="Sold",VLOOKUP(B445,SALE!$B$5:$J$1000,6,0),IF(H445="Died",VLOOKUP(B445,MORTALITY!$B$5:$K$1000,5,0),"")),"")</f>
        <v/>
      </c>
      <c r="W445" s="76"/>
    </row>
    <row r="446" spans="1:23">
      <c r="A446" s="93">
        <f t="shared" si="27"/>
        <v>442</v>
      </c>
      <c r="B446" s="94"/>
      <c r="C446" s="76"/>
      <c r="D446" s="76"/>
      <c r="E446" s="76"/>
      <c r="F446" s="94" t="str">
        <f t="shared" ca="1" si="24"/>
        <v/>
      </c>
      <c r="G446" s="96" t="str">
        <f>IFERROR((IF((VLOOKUP(B446,SALE!$B$5:$B$1000,1,0))&gt;0,"Sold","")),"")</f>
        <v/>
      </c>
      <c r="H446" s="96" t="str">
        <f>IFERROR((IF((VLOOKUP(B446,MORTALITY!$B$5:$B$1000,1,0))&gt;0,"Died","")),"")</f>
        <v/>
      </c>
      <c r="I446" s="96" t="str">
        <f ca="1">IFERROR(
   IF(LOOKUP(2,1/((ILLNESS!$B$6:$B$1000=B446)*(ILLNESS!$L$6:$L$1000&lt;&gt;"")),
            ILLNESS!$L$6:$L$1000)="No",
      "Sick",""),
"")</f>
        <v/>
      </c>
      <c r="J446" s="104"/>
      <c r="K446" s="97" t="str">
        <f t="shared" ca="1" si="25"/>
        <v/>
      </c>
      <c r="L446" s="97" t="str">
        <f t="shared" ca="1" si="26"/>
        <v/>
      </c>
      <c r="M446" s="76"/>
      <c r="N446" s="76"/>
      <c r="O446" s="76"/>
      <c r="P446" s="76"/>
      <c r="Q446" s="76"/>
      <c r="R446" s="76"/>
      <c r="S446" s="104"/>
      <c r="T446" s="104"/>
      <c r="U446" s="106"/>
      <c r="V446" s="98" t="str">
        <f>IF(OR(G446="Sold",H446="Died"),IF(G446="Sold",VLOOKUP(B446,SALE!$B$5:$J$1000,6,0),IF(H446="Died",VLOOKUP(B446,MORTALITY!$B$5:$K$1000,5,0),"")),"")</f>
        <v/>
      </c>
      <c r="W446" s="76"/>
    </row>
    <row r="447" spans="1:23">
      <c r="A447" s="93">
        <f t="shared" si="27"/>
        <v>443</v>
      </c>
      <c r="B447" s="94"/>
      <c r="C447" s="76"/>
      <c r="D447" s="76"/>
      <c r="E447" s="76"/>
      <c r="F447" s="94" t="str">
        <f t="shared" ca="1" si="24"/>
        <v/>
      </c>
      <c r="G447" s="96" t="str">
        <f>IFERROR((IF((VLOOKUP(B447,SALE!$B$5:$B$1000,1,0))&gt;0,"Sold","")),"")</f>
        <v/>
      </c>
      <c r="H447" s="96" t="str">
        <f>IFERROR((IF((VLOOKUP(B447,MORTALITY!$B$5:$B$1000,1,0))&gt;0,"Died","")),"")</f>
        <v/>
      </c>
      <c r="I447" s="96" t="str">
        <f ca="1">IFERROR(
   IF(LOOKUP(2,1/((ILLNESS!$B$6:$B$1000=B447)*(ILLNESS!$L$6:$L$1000&lt;&gt;"")),
            ILLNESS!$L$6:$L$1000)="No",
      "Sick",""),
"")</f>
        <v/>
      </c>
      <c r="J447" s="104"/>
      <c r="K447" s="97" t="str">
        <f t="shared" ca="1" si="25"/>
        <v/>
      </c>
      <c r="L447" s="97" t="str">
        <f t="shared" ca="1" si="26"/>
        <v/>
      </c>
      <c r="M447" s="76"/>
      <c r="N447" s="76"/>
      <c r="O447" s="76"/>
      <c r="P447" s="76"/>
      <c r="Q447" s="76"/>
      <c r="R447" s="76"/>
      <c r="S447" s="104"/>
      <c r="T447" s="104"/>
      <c r="U447" s="106"/>
      <c r="V447" s="98" t="str">
        <f>IF(OR(G447="Sold",H447="Died"),IF(G447="Sold",VLOOKUP(B447,SALE!$B$5:$J$1000,6,0),IF(H447="Died",VLOOKUP(B447,MORTALITY!$B$5:$K$1000,5,0),"")),"")</f>
        <v/>
      </c>
      <c r="W447" s="76"/>
    </row>
    <row r="448" spans="1:23">
      <c r="A448" s="93">
        <f t="shared" si="27"/>
        <v>444</v>
      </c>
      <c r="B448" s="94"/>
      <c r="C448" s="76"/>
      <c r="D448" s="76"/>
      <c r="E448" s="76"/>
      <c r="F448" s="94" t="str">
        <f t="shared" ca="1" si="24"/>
        <v/>
      </c>
      <c r="G448" s="96" t="str">
        <f>IFERROR((IF((VLOOKUP(B448,SALE!$B$5:$B$1000,1,0))&gt;0,"Sold","")),"")</f>
        <v/>
      </c>
      <c r="H448" s="96" t="str">
        <f>IFERROR((IF((VLOOKUP(B448,MORTALITY!$B$5:$B$1000,1,0))&gt;0,"Died","")),"")</f>
        <v/>
      </c>
      <c r="I448" s="96" t="str">
        <f ca="1">IFERROR(
   IF(LOOKUP(2,1/((ILLNESS!$B$6:$B$1000=B448)*(ILLNESS!$L$6:$L$1000&lt;&gt;"")),
            ILLNESS!$L$6:$L$1000)="No",
      "Sick",""),
"")</f>
        <v/>
      </c>
      <c r="J448" s="104"/>
      <c r="K448" s="97" t="str">
        <f t="shared" ca="1" si="25"/>
        <v/>
      </c>
      <c r="L448" s="97" t="str">
        <f t="shared" ca="1" si="26"/>
        <v/>
      </c>
      <c r="M448" s="76"/>
      <c r="N448" s="76"/>
      <c r="O448" s="76"/>
      <c r="P448" s="76"/>
      <c r="Q448" s="76"/>
      <c r="R448" s="76"/>
      <c r="S448" s="104"/>
      <c r="T448" s="104"/>
      <c r="U448" s="106"/>
      <c r="V448" s="98" t="str">
        <f>IF(OR(G448="Sold",H448="Died"),IF(G448="Sold",VLOOKUP(B448,SALE!$B$5:$J$1000,6,0),IF(H448="Died",VLOOKUP(B448,MORTALITY!$B$5:$K$1000,5,0),"")),"")</f>
        <v/>
      </c>
      <c r="W448" s="76"/>
    </row>
    <row r="449" spans="1:23">
      <c r="A449" s="93">
        <f t="shared" si="27"/>
        <v>445</v>
      </c>
      <c r="B449" s="94"/>
      <c r="C449" s="76"/>
      <c r="D449" s="76"/>
      <c r="E449" s="76"/>
      <c r="F449" s="94" t="str">
        <f t="shared" ca="1" si="24"/>
        <v/>
      </c>
      <c r="G449" s="96" t="str">
        <f>IFERROR((IF((VLOOKUP(B449,SALE!$B$5:$B$1000,1,0))&gt;0,"Sold","")),"")</f>
        <v/>
      </c>
      <c r="H449" s="96" t="str">
        <f>IFERROR((IF((VLOOKUP(B449,MORTALITY!$B$5:$B$1000,1,0))&gt;0,"Died","")),"")</f>
        <v/>
      </c>
      <c r="I449" s="96" t="str">
        <f ca="1">IFERROR(
   IF(LOOKUP(2,1/((ILLNESS!$B$6:$B$1000=B449)*(ILLNESS!$L$6:$L$1000&lt;&gt;"")),
            ILLNESS!$L$6:$L$1000)="No",
      "Sick",""),
"")</f>
        <v/>
      </c>
      <c r="J449" s="104"/>
      <c r="K449" s="97" t="str">
        <f t="shared" ca="1" si="25"/>
        <v/>
      </c>
      <c r="L449" s="97" t="str">
        <f t="shared" ca="1" si="26"/>
        <v/>
      </c>
      <c r="M449" s="76"/>
      <c r="N449" s="76"/>
      <c r="O449" s="76"/>
      <c r="P449" s="76"/>
      <c r="Q449" s="76"/>
      <c r="R449" s="76"/>
      <c r="S449" s="104"/>
      <c r="T449" s="104"/>
      <c r="U449" s="106"/>
      <c r="V449" s="98" t="str">
        <f>IF(OR(G449="Sold",H449="Died"),IF(G449="Sold",VLOOKUP(B449,SALE!$B$5:$J$1000,6,0),IF(H449="Died",VLOOKUP(B449,MORTALITY!$B$5:$K$1000,5,0),"")),"")</f>
        <v/>
      </c>
      <c r="W449" s="76"/>
    </row>
    <row r="450" spans="1:23">
      <c r="A450" s="93">
        <f t="shared" si="27"/>
        <v>446</v>
      </c>
      <c r="B450" s="94"/>
      <c r="C450" s="76"/>
      <c r="D450" s="76"/>
      <c r="E450" s="76"/>
      <c r="F450" s="94" t="str">
        <f t="shared" ca="1" si="24"/>
        <v/>
      </c>
      <c r="G450" s="96" t="str">
        <f>IFERROR((IF((VLOOKUP(B450,SALE!$B$5:$B$1000,1,0))&gt;0,"Sold","")),"")</f>
        <v/>
      </c>
      <c r="H450" s="96" t="str">
        <f>IFERROR((IF((VLOOKUP(B450,MORTALITY!$B$5:$B$1000,1,0))&gt;0,"Died","")),"")</f>
        <v/>
      </c>
      <c r="I450" s="96" t="str">
        <f ca="1">IFERROR(
   IF(LOOKUP(2,1/((ILLNESS!$B$6:$B$1000=B450)*(ILLNESS!$L$6:$L$1000&lt;&gt;"")),
            ILLNESS!$L$6:$L$1000)="No",
      "Sick",""),
"")</f>
        <v/>
      </c>
      <c r="J450" s="104"/>
      <c r="K450" s="97" t="str">
        <f t="shared" ca="1" si="25"/>
        <v/>
      </c>
      <c r="L450" s="97" t="str">
        <f t="shared" ca="1" si="26"/>
        <v/>
      </c>
      <c r="M450" s="76"/>
      <c r="N450" s="76"/>
      <c r="O450" s="76"/>
      <c r="P450" s="76"/>
      <c r="Q450" s="76"/>
      <c r="R450" s="76"/>
      <c r="S450" s="104"/>
      <c r="T450" s="104"/>
      <c r="U450" s="106"/>
      <c r="V450" s="98" t="str">
        <f>IF(OR(G450="Sold",H450="Died"),IF(G450="Sold",VLOOKUP(B450,SALE!$B$5:$J$1000,6,0),IF(H450="Died",VLOOKUP(B450,MORTALITY!$B$5:$K$1000,5,0),"")),"")</f>
        <v/>
      </c>
      <c r="W450" s="76"/>
    </row>
    <row r="451" spans="1:23">
      <c r="A451" s="93">
        <f t="shared" si="27"/>
        <v>447</v>
      </c>
      <c r="B451" s="94"/>
      <c r="C451" s="76"/>
      <c r="D451" s="76"/>
      <c r="E451" s="76"/>
      <c r="F451" s="94" t="str">
        <f t="shared" ca="1" si="24"/>
        <v/>
      </c>
      <c r="G451" s="96" t="str">
        <f>IFERROR((IF((VLOOKUP(B451,SALE!$B$5:$B$1000,1,0))&gt;0,"Sold","")),"")</f>
        <v/>
      </c>
      <c r="H451" s="96" t="str">
        <f>IFERROR((IF((VLOOKUP(B451,MORTALITY!$B$5:$B$1000,1,0))&gt;0,"Died","")),"")</f>
        <v/>
      </c>
      <c r="I451" s="96" t="str">
        <f ca="1">IFERROR(
   IF(LOOKUP(2,1/((ILLNESS!$B$6:$B$1000=B451)*(ILLNESS!$L$6:$L$1000&lt;&gt;"")),
            ILLNESS!$L$6:$L$1000)="No",
      "Sick",""),
"")</f>
        <v/>
      </c>
      <c r="J451" s="104"/>
      <c r="K451" s="97" t="str">
        <f t="shared" ca="1" si="25"/>
        <v/>
      </c>
      <c r="L451" s="97" t="str">
        <f t="shared" ca="1" si="26"/>
        <v/>
      </c>
      <c r="M451" s="76"/>
      <c r="N451" s="76"/>
      <c r="O451" s="76"/>
      <c r="P451" s="76"/>
      <c r="Q451" s="76"/>
      <c r="R451" s="76"/>
      <c r="S451" s="104"/>
      <c r="T451" s="104"/>
      <c r="U451" s="106"/>
      <c r="V451" s="98" t="str">
        <f>IF(OR(G451="Sold",H451="Died"),IF(G451="Sold",VLOOKUP(B451,SALE!$B$5:$J$1000,6,0),IF(H451="Died",VLOOKUP(B451,MORTALITY!$B$5:$K$1000,5,0),"")),"")</f>
        <v/>
      </c>
      <c r="W451" s="76"/>
    </row>
    <row r="452" spans="1:23">
      <c r="A452" s="93">
        <f t="shared" si="27"/>
        <v>448</v>
      </c>
      <c r="B452" s="94"/>
      <c r="C452" s="76"/>
      <c r="D452" s="76"/>
      <c r="E452" s="76"/>
      <c r="F452" s="94" t="str">
        <f t="shared" ca="1" si="24"/>
        <v/>
      </c>
      <c r="G452" s="96" t="str">
        <f>IFERROR((IF((VLOOKUP(B452,SALE!$B$5:$B$1000,1,0))&gt;0,"Sold","")),"")</f>
        <v/>
      </c>
      <c r="H452" s="96" t="str">
        <f>IFERROR((IF((VLOOKUP(B452,MORTALITY!$B$5:$B$1000,1,0))&gt;0,"Died","")),"")</f>
        <v/>
      </c>
      <c r="I452" s="96" t="str">
        <f ca="1">IFERROR(
   IF(LOOKUP(2,1/((ILLNESS!$B$6:$B$1000=B452)*(ILLNESS!$L$6:$L$1000&lt;&gt;"")),
            ILLNESS!$L$6:$L$1000)="No",
      "Sick",""),
"")</f>
        <v/>
      </c>
      <c r="J452" s="104"/>
      <c r="K452" s="97" t="str">
        <f t="shared" ca="1" si="25"/>
        <v/>
      </c>
      <c r="L452" s="97" t="str">
        <f t="shared" ca="1" si="26"/>
        <v/>
      </c>
      <c r="M452" s="76"/>
      <c r="N452" s="76"/>
      <c r="O452" s="76"/>
      <c r="P452" s="76"/>
      <c r="Q452" s="76"/>
      <c r="R452" s="76"/>
      <c r="S452" s="104"/>
      <c r="T452" s="104"/>
      <c r="U452" s="106"/>
      <c r="V452" s="98" t="str">
        <f>IF(OR(G452="Sold",H452="Died"),IF(G452="Sold",VLOOKUP(B452,SALE!$B$5:$J$1000,6,0),IF(H452="Died",VLOOKUP(B452,MORTALITY!$B$5:$K$1000,5,0),"")),"")</f>
        <v/>
      </c>
      <c r="W452" s="76"/>
    </row>
    <row r="453" spans="1:23">
      <c r="A453" s="93">
        <f t="shared" si="27"/>
        <v>449</v>
      </c>
      <c r="B453" s="94"/>
      <c r="C453" s="76"/>
      <c r="D453" s="76"/>
      <c r="E453" s="76"/>
      <c r="F453" s="94" t="str">
        <f t="shared" ca="1" si="24"/>
        <v/>
      </c>
      <c r="G453" s="96" t="str">
        <f>IFERROR((IF((VLOOKUP(B453,SALE!$B$5:$B$1000,1,0))&gt;0,"Sold","")),"")</f>
        <v/>
      </c>
      <c r="H453" s="96" t="str">
        <f>IFERROR((IF((VLOOKUP(B453,MORTALITY!$B$5:$B$1000,1,0))&gt;0,"Died","")),"")</f>
        <v/>
      </c>
      <c r="I453" s="96" t="str">
        <f ca="1">IFERROR(
   IF(LOOKUP(2,1/((ILLNESS!$B$6:$B$1000=B453)*(ILLNESS!$L$6:$L$1000&lt;&gt;"")),
            ILLNESS!$L$6:$L$1000)="No",
      "Sick",""),
"")</f>
        <v/>
      </c>
      <c r="J453" s="104"/>
      <c r="K453" s="97" t="str">
        <f t="shared" ca="1" si="25"/>
        <v/>
      </c>
      <c r="L453" s="97" t="str">
        <f t="shared" ca="1" si="26"/>
        <v/>
      </c>
      <c r="M453" s="76"/>
      <c r="N453" s="76"/>
      <c r="O453" s="76"/>
      <c r="P453" s="76"/>
      <c r="Q453" s="76"/>
      <c r="R453" s="76"/>
      <c r="S453" s="104"/>
      <c r="T453" s="104"/>
      <c r="U453" s="106"/>
      <c r="V453" s="98" t="str">
        <f>IF(OR(G453="Sold",H453="Died"),IF(G453="Sold",VLOOKUP(B453,SALE!$B$5:$J$1000,6,0),IF(H453="Died",VLOOKUP(B453,MORTALITY!$B$5:$K$1000,5,0),"")),"")</f>
        <v/>
      </c>
      <c r="W453" s="76"/>
    </row>
    <row r="454" spans="1:23">
      <c r="A454" s="93">
        <f t="shared" si="27"/>
        <v>450</v>
      </c>
      <c r="B454" s="94"/>
      <c r="C454" s="76"/>
      <c r="D454" s="76"/>
      <c r="E454" s="76"/>
      <c r="F454" s="94" t="str">
        <f t="shared" ca="1" si="24"/>
        <v/>
      </c>
      <c r="G454" s="96" t="str">
        <f>IFERROR((IF((VLOOKUP(B454,SALE!$B$5:$B$1000,1,0))&gt;0,"Sold","")),"")</f>
        <v/>
      </c>
      <c r="H454" s="96" t="str">
        <f>IFERROR((IF((VLOOKUP(B454,MORTALITY!$B$5:$B$1000,1,0))&gt;0,"Died","")),"")</f>
        <v/>
      </c>
      <c r="I454" s="96" t="str">
        <f ca="1">IFERROR(
   IF(LOOKUP(2,1/((ILLNESS!$B$6:$B$1000=B454)*(ILLNESS!$L$6:$L$1000&lt;&gt;"")),
            ILLNESS!$L$6:$L$1000)="No",
      "Sick",""),
"")</f>
        <v/>
      </c>
      <c r="J454" s="104"/>
      <c r="K454" s="97" t="str">
        <f t="shared" ca="1" si="25"/>
        <v/>
      </c>
      <c r="L454" s="97" t="str">
        <f t="shared" ca="1" si="26"/>
        <v/>
      </c>
      <c r="M454" s="76"/>
      <c r="N454" s="76"/>
      <c r="O454" s="76"/>
      <c r="P454" s="76"/>
      <c r="Q454" s="76"/>
      <c r="R454" s="76"/>
      <c r="S454" s="104"/>
      <c r="T454" s="104"/>
      <c r="U454" s="106"/>
      <c r="V454" s="98" t="str">
        <f>IF(OR(G454="Sold",H454="Died"),IF(G454="Sold",VLOOKUP(B454,SALE!$B$5:$J$1000,6,0),IF(H454="Died",VLOOKUP(B454,MORTALITY!$B$5:$K$1000,5,0),"")),"")</f>
        <v/>
      </c>
      <c r="W454" s="76"/>
    </row>
    <row r="455" spans="1:23">
      <c r="A455" s="93">
        <f t="shared" si="27"/>
        <v>451</v>
      </c>
      <c r="B455" s="94"/>
      <c r="C455" s="76"/>
      <c r="D455" s="76"/>
      <c r="E455" s="76"/>
      <c r="F455" s="94" t="str">
        <f t="shared" ref="F455:F504" ca="1" si="28">IF(OR(G455="Sold",H455="Died",I455="Sick"),"Inactive",IF(OR(C455="MALE",C455="FEMALE"),"Active",""))</f>
        <v/>
      </c>
      <c r="G455" s="96" t="str">
        <f>IFERROR((IF((VLOOKUP(B455,SALE!$B$5:$B$1000,1,0))&gt;0,"Sold","")),"")</f>
        <v/>
      </c>
      <c r="H455" s="96" t="str">
        <f>IFERROR((IF((VLOOKUP(B455,MORTALITY!$B$5:$B$1000,1,0))&gt;0,"Died","")),"")</f>
        <v/>
      </c>
      <c r="I455" s="96" t="str">
        <f ca="1">IFERROR(
   IF(LOOKUP(2,1/((ILLNESS!$B$6:$B$1000=B455)*(ILLNESS!$L$6:$L$1000&lt;&gt;"")),
            ILLNESS!$L$6:$L$1000)="No",
      "Sick",""),
"")</f>
        <v/>
      </c>
      <c r="J455" s="104"/>
      <c r="K455" s="97" t="str">
        <f t="shared" ref="K455:K504" ca="1" si="29">IF(J455="","",DATEDIF($J455,TODAY(),"Y"))</f>
        <v/>
      </c>
      <c r="L455" s="97" t="str">
        <f t="shared" ref="L455:L504" ca="1" si="30">IFERROR(DATEDIF($J455,TODAY(),"M")-($K455*12),"")</f>
        <v/>
      </c>
      <c r="M455" s="76"/>
      <c r="N455" s="76"/>
      <c r="O455" s="76"/>
      <c r="P455" s="76"/>
      <c r="Q455" s="76"/>
      <c r="R455" s="76"/>
      <c r="S455" s="104"/>
      <c r="T455" s="104"/>
      <c r="U455" s="106"/>
      <c r="V455" s="98" t="str">
        <f>IF(OR(G455="Sold",H455="Died"),IF(G455="Sold",VLOOKUP(B455,SALE!$B$5:$J$1000,6,0),IF(H455="Died",VLOOKUP(B455,MORTALITY!$B$5:$K$1000,5,0),"")),"")</f>
        <v/>
      </c>
      <c r="W455" s="76"/>
    </row>
    <row r="456" spans="1:23">
      <c r="A456" s="93">
        <f t="shared" si="27"/>
        <v>452</v>
      </c>
      <c r="B456" s="94"/>
      <c r="C456" s="76"/>
      <c r="D456" s="76"/>
      <c r="E456" s="76"/>
      <c r="F456" s="94" t="str">
        <f t="shared" ca="1" si="28"/>
        <v/>
      </c>
      <c r="G456" s="96" t="str">
        <f>IFERROR((IF((VLOOKUP(B456,SALE!$B$5:$B$1000,1,0))&gt;0,"Sold","")),"")</f>
        <v/>
      </c>
      <c r="H456" s="96" t="str">
        <f>IFERROR((IF((VLOOKUP(B456,MORTALITY!$B$5:$B$1000,1,0))&gt;0,"Died","")),"")</f>
        <v/>
      </c>
      <c r="I456" s="96" t="str">
        <f ca="1">IFERROR(
   IF(LOOKUP(2,1/((ILLNESS!$B$6:$B$1000=B456)*(ILLNESS!$L$6:$L$1000&lt;&gt;"")),
            ILLNESS!$L$6:$L$1000)="No",
      "Sick",""),
"")</f>
        <v/>
      </c>
      <c r="J456" s="104"/>
      <c r="K456" s="97" t="str">
        <f t="shared" ca="1" si="29"/>
        <v/>
      </c>
      <c r="L456" s="97" t="str">
        <f t="shared" ca="1" si="30"/>
        <v/>
      </c>
      <c r="M456" s="76"/>
      <c r="N456" s="76"/>
      <c r="O456" s="76"/>
      <c r="P456" s="76"/>
      <c r="Q456" s="76"/>
      <c r="R456" s="76"/>
      <c r="S456" s="104"/>
      <c r="T456" s="104"/>
      <c r="U456" s="106"/>
      <c r="V456" s="98" t="str">
        <f>IF(OR(G456="Sold",H456="Died"),IF(G456="Sold",VLOOKUP(B456,SALE!$B$5:$J$1000,6,0),IF(H456="Died",VLOOKUP(B456,MORTALITY!$B$5:$K$1000,5,0),"")),"")</f>
        <v/>
      </c>
      <c r="W456" s="76"/>
    </row>
    <row r="457" spans="1:23">
      <c r="A457" s="93">
        <f t="shared" ref="A457:A504" si="31">ROW(A453)</f>
        <v>453</v>
      </c>
      <c r="B457" s="94"/>
      <c r="C457" s="76"/>
      <c r="D457" s="76"/>
      <c r="E457" s="76"/>
      <c r="F457" s="94" t="str">
        <f t="shared" ca="1" si="28"/>
        <v/>
      </c>
      <c r="G457" s="96" t="str">
        <f>IFERROR((IF((VLOOKUP(B457,SALE!$B$5:$B$1000,1,0))&gt;0,"Sold","")),"")</f>
        <v/>
      </c>
      <c r="H457" s="96" t="str">
        <f>IFERROR((IF((VLOOKUP(B457,MORTALITY!$B$5:$B$1000,1,0))&gt;0,"Died","")),"")</f>
        <v/>
      </c>
      <c r="I457" s="96" t="str">
        <f ca="1">IFERROR(
   IF(LOOKUP(2,1/((ILLNESS!$B$6:$B$1000=B457)*(ILLNESS!$L$6:$L$1000&lt;&gt;"")),
            ILLNESS!$L$6:$L$1000)="No",
      "Sick",""),
"")</f>
        <v/>
      </c>
      <c r="J457" s="104"/>
      <c r="K457" s="97" t="str">
        <f t="shared" ca="1" si="29"/>
        <v/>
      </c>
      <c r="L457" s="97" t="str">
        <f t="shared" ca="1" si="30"/>
        <v/>
      </c>
      <c r="M457" s="76"/>
      <c r="N457" s="76"/>
      <c r="O457" s="76"/>
      <c r="P457" s="76"/>
      <c r="Q457" s="76"/>
      <c r="R457" s="76"/>
      <c r="S457" s="104"/>
      <c r="T457" s="104"/>
      <c r="U457" s="106"/>
      <c r="V457" s="98" t="str">
        <f>IF(OR(G457="Sold",H457="Died"),IF(G457="Sold",VLOOKUP(B457,SALE!$B$5:$J$1000,6,0),IF(H457="Died",VLOOKUP(B457,MORTALITY!$B$5:$K$1000,5,0),"")),"")</f>
        <v/>
      </c>
      <c r="W457" s="76"/>
    </row>
    <row r="458" spans="1:23">
      <c r="A458" s="93">
        <f t="shared" si="31"/>
        <v>454</v>
      </c>
      <c r="B458" s="94"/>
      <c r="C458" s="76"/>
      <c r="D458" s="76"/>
      <c r="E458" s="76"/>
      <c r="F458" s="94" t="str">
        <f t="shared" ca="1" si="28"/>
        <v/>
      </c>
      <c r="G458" s="96" t="str">
        <f>IFERROR((IF((VLOOKUP(B458,SALE!$B$5:$B$1000,1,0))&gt;0,"Sold","")),"")</f>
        <v/>
      </c>
      <c r="H458" s="96" t="str">
        <f>IFERROR((IF((VLOOKUP(B458,MORTALITY!$B$5:$B$1000,1,0))&gt;0,"Died","")),"")</f>
        <v/>
      </c>
      <c r="I458" s="96" t="str">
        <f ca="1">IFERROR(
   IF(LOOKUP(2,1/((ILLNESS!$B$6:$B$1000=B458)*(ILLNESS!$L$6:$L$1000&lt;&gt;"")),
            ILLNESS!$L$6:$L$1000)="No",
      "Sick",""),
"")</f>
        <v/>
      </c>
      <c r="J458" s="104"/>
      <c r="K458" s="97" t="str">
        <f t="shared" ca="1" si="29"/>
        <v/>
      </c>
      <c r="L458" s="97" t="str">
        <f t="shared" ca="1" si="30"/>
        <v/>
      </c>
      <c r="M458" s="76"/>
      <c r="N458" s="76"/>
      <c r="O458" s="76"/>
      <c r="P458" s="76"/>
      <c r="Q458" s="76"/>
      <c r="R458" s="76"/>
      <c r="S458" s="104"/>
      <c r="T458" s="104"/>
      <c r="U458" s="106"/>
      <c r="V458" s="98" t="str">
        <f>IF(OR(G458="Sold",H458="Died"),IF(G458="Sold",VLOOKUP(B458,SALE!$B$5:$J$1000,6,0),IF(H458="Died",VLOOKUP(B458,MORTALITY!$B$5:$K$1000,5,0),"")),"")</f>
        <v/>
      </c>
      <c r="W458" s="76"/>
    </row>
    <row r="459" spans="1:23">
      <c r="A459" s="93">
        <f t="shared" si="31"/>
        <v>455</v>
      </c>
      <c r="B459" s="94"/>
      <c r="C459" s="76"/>
      <c r="D459" s="76"/>
      <c r="E459" s="76"/>
      <c r="F459" s="94" t="str">
        <f t="shared" ca="1" si="28"/>
        <v/>
      </c>
      <c r="G459" s="96" t="str">
        <f>IFERROR((IF((VLOOKUP(B459,SALE!$B$5:$B$1000,1,0))&gt;0,"Sold","")),"")</f>
        <v/>
      </c>
      <c r="H459" s="96" t="str">
        <f>IFERROR((IF((VLOOKUP(B459,MORTALITY!$B$5:$B$1000,1,0))&gt;0,"Died","")),"")</f>
        <v/>
      </c>
      <c r="I459" s="96" t="str">
        <f ca="1">IFERROR(
   IF(LOOKUP(2,1/((ILLNESS!$B$6:$B$1000=B459)*(ILLNESS!$L$6:$L$1000&lt;&gt;"")),
            ILLNESS!$L$6:$L$1000)="No",
      "Sick",""),
"")</f>
        <v/>
      </c>
      <c r="J459" s="104"/>
      <c r="K459" s="97" t="str">
        <f t="shared" ca="1" si="29"/>
        <v/>
      </c>
      <c r="L459" s="97" t="str">
        <f t="shared" ca="1" si="30"/>
        <v/>
      </c>
      <c r="M459" s="76"/>
      <c r="N459" s="76"/>
      <c r="O459" s="76"/>
      <c r="P459" s="76"/>
      <c r="Q459" s="76"/>
      <c r="R459" s="76"/>
      <c r="S459" s="104"/>
      <c r="T459" s="104"/>
      <c r="U459" s="106"/>
      <c r="V459" s="98" t="str">
        <f>IF(OR(G459="Sold",H459="Died"),IF(G459="Sold",VLOOKUP(B459,SALE!$B$5:$J$1000,6,0),IF(H459="Died",VLOOKUP(B459,MORTALITY!$B$5:$K$1000,5,0),"")),"")</f>
        <v/>
      </c>
      <c r="W459" s="76"/>
    </row>
    <row r="460" spans="1:23">
      <c r="A460" s="93">
        <f t="shared" si="31"/>
        <v>456</v>
      </c>
      <c r="B460" s="94"/>
      <c r="C460" s="76"/>
      <c r="D460" s="76"/>
      <c r="E460" s="76"/>
      <c r="F460" s="94" t="str">
        <f t="shared" ca="1" si="28"/>
        <v/>
      </c>
      <c r="G460" s="96" t="str">
        <f>IFERROR((IF((VLOOKUP(B460,SALE!$B$5:$B$1000,1,0))&gt;0,"Sold","")),"")</f>
        <v/>
      </c>
      <c r="H460" s="96" t="str">
        <f>IFERROR((IF((VLOOKUP(B460,MORTALITY!$B$5:$B$1000,1,0))&gt;0,"Died","")),"")</f>
        <v/>
      </c>
      <c r="I460" s="96" t="str">
        <f ca="1">IFERROR(
   IF(LOOKUP(2,1/((ILLNESS!$B$6:$B$1000=B460)*(ILLNESS!$L$6:$L$1000&lt;&gt;"")),
            ILLNESS!$L$6:$L$1000)="No",
      "Sick",""),
"")</f>
        <v/>
      </c>
      <c r="J460" s="104"/>
      <c r="K460" s="97" t="str">
        <f t="shared" ca="1" si="29"/>
        <v/>
      </c>
      <c r="L460" s="97" t="str">
        <f t="shared" ca="1" si="30"/>
        <v/>
      </c>
      <c r="M460" s="76"/>
      <c r="N460" s="76"/>
      <c r="O460" s="76"/>
      <c r="P460" s="76"/>
      <c r="Q460" s="76"/>
      <c r="R460" s="76"/>
      <c r="S460" s="104"/>
      <c r="T460" s="104"/>
      <c r="U460" s="106"/>
      <c r="V460" s="98" t="str">
        <f>IF(OR(G460="Sold",H460="Died"),IF(G460="Sold",VLOOKUP(B460,SALE!$B$5:$J$1000,6,0),IF(H460="Died",VLOOKUP(B460,MORTALITY!$B$5:$K$1000,5,0),"")),"")</f>
        <v/>
      </c>
      <c r="W460" s="76"/>
    </row>
    <row r="461" spans="1:23">
      <c r="A461" s="93">
        <f t="shared" si="31"/>
        <v>457</v>
      </c>
      <c r="B461" s="94"/>
      <c r="C461" s="76"/>
      <c r="D461" s="76"/>
      <c r="E461" s="76"/>
      <c r="F461" s="94" t="str">
        <f t="shared" ca="1" si="28"/>
        <v/>
      </c>
      <c r="G461" s="96" t="str">
        <f>IFERROR((IF((VLOOKUP(B461,SALE!$B$5:$B$1000,1,0))&gt;0,"Sold","")),"")</f>
        <v/>
      </c>
      <c r="H461" s="96" t="str">
        <f>IFERROR((IF((VLOOKUP(B461,MORTALITY!$B$5:$B$1000,1,0))&gt;0,"Died","")),"")</f>
        <v/>
      </c>
      <c r="I461" s="96" t="str">
        <f ca="1">IFERROR(
   IF(LOOKUP(2,1/((ILLNESS!$B$6:$B$1000=B461)*(ILLNESS!$L$6:$L$1000&lt;&gt;"")),
            ILLNESS!$L$6:$L$1000)="No",
      "Sick",""),
"")</f>
        <v/>
      </c>
      <c r="J461" s="104"/>
      <c r="K461" s="97" t="str">
        <f t="shared" ca="1" si="29"/>
        <v/>
      </c>
      <c r="L461" s="97" t="str">
        <f t="shared" ca="1" si="30"/>
        <v/>
      </c>
      <c r="M461" s="76"/>
      <c r="N461" s="76"/>
      <c r="O461" s="76"/>
      <c r="P461" s="76"/>
      <c r="Q461" s="76"/>
      <c r="R461" s="76"/>
      <c r="S461" s="104"/>
      <c r="T461" s="104"/>
      <c r="U461" s="106"/>
      <c r="V461" s="98" t="str">
        <f>IF(OR(G461="Sold",H461="Died"),IF(G461="Sold",VLOOKUP(B461,SALE!$B$5:$J$1000,6,0),IF(H461="Died",VLOOKUP(B461,MORTALITY!$B$5:$K$1000,5,0),"")),"")</f>
        <v/>
      </c>
      <c r="W461" s="76"/>
    </row>
    <row r="462" spans="1:23">
      <c r="A462" s="93">
        <f t="shared" si="31"/>
        <v>458</v>
      </c>
      <c r="B462" s="94"/>
      <c r="C462" s="76"/>
      <c r="D462" s="76"/>
      <c r="E462" s="76"/>
      <c r="F462" s="94" t="str">
        <f t="shared" ca="1" si="28"/>
        <v/>
      </c>
      <c r="G462" s="96" t="str">
        <f>IFERROR((IF((VLOOKUP(B462,SALE!$B$5:$B$1000,1,0))&gt;0,"Sold","")),"")</f>
        <v/>
      </c>
      <c r="H462" s="96" t="str">
        <f>IFERROR((IF((VLOOKUP(B462,MORTALITY!$B$5:$B$1000,1,0))&gt;0,"Died","")),"")</f>
        <v/>
      </c>
      <c r="I462" s="96" t="str">
        <f ca="1">IFERROR(
   IF(LOOKUP(2,1/((ILLNESS!$B$6:$B$1000=B462)*(ILLNESS!$L$6:$L$1000&lt;&gt;"")),
            ILLNESS!$L$6:$L$1000)="No",
      "Sick",""),
"")</f>
        <v/>
      </c>
      <c r="J462" s="104"/>
      <c r="K462" s="97" t="str">
        <f t="shared" ca="1" si="29"/>
        <v/>
      </c>
      <c r="L462" s="97" t="str">
        <f t="shared" ca="1" si="30"/>
        <v/>
      </c>
      <c r="M462" s="76"/>
      <c r="N462" s="76"/>
      <c r="O462" s="76"/>
      <c r="P462" s="76"/>
      <c r="Q462" s="76"/>
      <c r="R462" s="76"/>
      <c r="S462" s="104"/>
      <c r="T462" s="104"/>
      <c r="U462" s="106"/>
      <c r="V462" s="98" t="str">
        <f>IF(OR(G462="Sold",H462="Died"),IF(G462="Sold",VLOOKUP(B462,SALE!$B$5:$J$1000,6,0),IF(H462="Died",VLOOKUP(B462,MORTALITY!$B$5:$K$1000,5,0),"")),"")</f>
        <v/>
      </c>
      <c r="W462" s="76"/>
    </row>
    <row r="463" spans="1:23">
      <c r="A463" s="93">
        <f t="shared" si="31"/>
        <v>459</v>
      </c>
      <c r="B463" s="94"/>
      <c r="C463" s="76"/>
      <c r="D463" s="76"/>
      <c r="E463" s="76"/>
      <c r="F463" s="94" t="str">
        <f t="shared" ca="1" si="28"/>
        <v/>
      </c>
      <c r="G463" s="96" t="str">
        <f>IFERROR((IF((VLOOKUP(B463,SALE!$B$5:$B$1000,1,0))&gt;0,"Sold","")),"")</f>
        <v/>
      </c>
      <c r="H463" s="96" t="str">
        <f>IFERROR((IF((VLOOKUP(B463,MORTALITY!$B$5:$B$1000,1,0))&gt;0,"Died","")),"")</f>
        <v/>
      </c>
      <c r="I463" s="96" t="str">
        <f ca="1">IFERROR(
   IF(LOOKUP(2,1/((ILLNESS!$B$6:$B$1000=B463)*(ILLNESS!$L$6:$L$1000&lt;&gt;"")),
            ILLNESS!$L$6:$L$1000)="No",
      "Sick",""),
"")</f>
        <v/>
      </c>
      <c r="J463" s="104"/>
      <c r="K463" s="97" t="str">
        <f t="shared" ca="1" si="29"/>
        <v/>
      </c>
      <c r="L463" s="97" t="str">
        <f t="shared" ca="1" si="30"/>
        <v/>
      </c>
      <c r="M463" s="76"/>
      <c r="N463" s="76"/>
      <c r="O463" s="76"/>
      <c r="P463" s="76"/>
      <c r="Q463" s="76"/>
      <c r="R463" s="76"/>
      <c r="S463" s="104"/>
      <c r="T463" s="104"/>
      <c r="U463" s="106"/>
      <c r="V463" s="98" t="str">
        <f>IF(OR(G463="Sold",H463="Died"),IF(G463="Sold",VLOOKUP(B463,SALE!$B$5:$J$1000,6,0),IF(H463="Died",VLOOKUP(B463,MORTALITY!$B$5:$K$1000,5,0),"")),"")</f>
        <v/>
      </c>
      <c r="W463" s="76"/>
    </row>
    <row r="464" spans="1:23">
      <c r="A464" s="93">
        <f t="shared" si="31"/>
        <v>460</v>
      </c>
      <c r="B464" s="94"/>
      <c r="C464" s="76"/>
      <c r="D464" s="76"/>
      <c r="E464" s="76"/>
      <c r="F464" s="94" t="str">
        <f t="shared" ca="1" si="28"/>
        <v/>
      </c>
      <c r="G464" s="96" t="str">
        <f>IFERROR((IF((VLOOKUP(B464,SALE!$B$5:$B$1000,1,0))&gt;0,"Sold","")),"")</f>
        <v/>
      </c>
      <c r="H464" s="96" t="str">
        <f>IFERROR((IF((VLOOKUP(B464,MORTALITY!$B$5:$B$1000,1,0))&gt;0,"Died","")),"")</f>
        <v/>
      </c>
      <c r="I464" s="96" t="str">
        <f ca="1">IFERROR(
   IF(LOOKUP(2,1/((ILLNESS!$B$6:$B$1000=B464)*(ILLNESS!$L$6:$L$1000&lt;&gt;"")),
            ILLNESS!$L$6:$L$1000)="No",
      "Sick",""),
"")</f>
        <v/>
      </c>
      <c r="J464" s="104"/>
      <c r="K464" s="97" t="str">
        <f t="shared" ca="1" si="29"/>
        <v/>
      </c>
      <c r="L464" s="97" t="str">
        <f t="shared" ca="1" si="30"/>
        <v/>
      </c>
      <c r="M464" s="76"/>
      <c r="N464" s="76"/>
      <c r="O464" s="76"/>
      <c r="P464" s="76"/>
      <c r="Q464" s="76"/>
      <c r="R464" s="76"/>
      <c r="S464" s="104"/>
      <c r="T464" s="104"/>
      <c r="U464" s="106"/>
      <c r="V464" s="98" t="str">
        <f>IF(OR(G464="Sold",H464="Died"),IF(G464="Sold",VLOOKUP(B464,SALE!$B$5:$J$1000,6,0),IF(H464="Died",VLOOKUP(B464,MORTALITY!$B$5:$K$1000,5,0),"")),"")</f>
        <v/>
      </c>
      <c r="W464" s="76"/>
    </row>
    <row r="465" spans="1:23">
      <c r="A465" s="93">
        <f t="shared" si="31"/>
        <v>461</v>
      </c>
      <c r="B465" s="94"/>
      <c r="C465" s="76"/>
      <c r="D465" s="76"/>
      <c r="E465" s="76"/>
      <c r="F465" s="94" t="str">
        <f t="shared" ca="1" si="28"/>
        <v/>
      </c>
      <c r="G465" s="96" t="str">
        <f>IFERROR((IF((VLOOKUP(B465,SALE!$B$5:$B$1000,1,0))&gt;0,"Sold","")),"")</f>
        <v/>
      </c>
      <c r="H465" s="96" t="str">
        <f>IFERROR((IF((VLOOKUP(B465,MORTALITY!$B$5:$B$1000,1,0))&gt;0,"Died","")),"")</f>
        <v/>
      </c>
      <c r="I465" s="96" t="str">
        <f ca="1">IFERROR(
   IF(LOOKUP(2,1/((ILLNESS!$B$6:$B$1000=B465)*(ILLNESS!$L$6:$L$1000&lt;&gt;"")),
            ILLNESS!$L$6:$L$1000)="No",
      "Sick",""),
"")</f>
        <v/>
      </c>
      <c r="J465" s="104"/>
      <c r="K465" s="97" t="str">
        <f t="shared" ca="1" si="29"/>
        <v/>
      </c>
      <c r="L465" s="97" t="str">
        <f t="shared" ca="1" si="30"/>
        <v/>
      </c>
      <c r="M465" s="76"/>
      <c r="N465" s="76"/>
      <c r="O465" s="76"/>
      <c r="P465" s="76"/>
      <c r="Q465" s="76"/>
      <c r="R465" s="76"/>
      <c r="S465" s="104"/>
      <c r="T465" s="104"/>
      <c r="U465" s="106"/>
      <c r="V465" s="98" t="str">
        <f>IF(OR(G465="Sold",H465="Died"),IF(G465="Sold",VLOOKUP(B465,SALE!$B$5:$J$1000,6,0),IF(H465="Died",VLOOKUP(B465,MORTALITY!$B$5:$K$1000,5,0),"")),"")</f>
        <v/>
      </c>
      <c r="W465" s="76"/>
    </row>
    <row r="466" spans="1:23">
      <c r="A466" s="93">
        <f t="shared" si="31"/>
        <v>462</v>
      </c>
      <c r="B466" s="94"/>
      <c r="C466" s="76"/>
      <c r="D466" s="76"/>
      <c r="E466" s="76"/>
      <c r="F466" s="94" t="str">
        <f t="shared" ca="1" si="28"/>
        <v/>
      </c>
      <c r="G466" s="96" t="str">
        <f>IFERROR((IF((VLOOKUP(B466,SALE!$B$5:$B$1000,1,0))&gt;0,"Sold","")),"")</f>
        <v/>
      </c>
      <c r="H466" s="96" t="str">
        <f>IFERROR((IF((VLOOKUP(B466,MORTALITY!$B$5:$B$1000,1,0))&gt;0,"Died","")),"")</f>
        <v/>
      </c>
      <c r="I466" s="96" t="str">
        <f ca="1">IFERROR(
   IF(LOOKUP(2,1/((ILLNESS!$B$6:$B$1000=B466)*(ILLNESS!$L$6:$L$1000&lt;&gt;"")),
            ILLNESS!$L$6:$L$1000)="No",
      "Sick",""),
"")</f>
        <v/>
      </c>
      <c r="J466" s="104"/>
      <c r="K466" s="97" t="str">
        <f t="shared" ca="1" si="29"/>
        <v/>
      </c>
      <c r="L466" s="97" t="str">
        <f t="shared" ca="1" si="30"/>
        <v/>
      </c>
      <c r="M466" s="76"/>
      <c r="N466" s="76"/>
      <c r="O466" s="76"/>
      <c r="P466" s="76"/>
      <c r="Q466" s="76"/>
      <c r="R466" s="76"/>
      <c r="S466" s="104"/>
      <c r="T466" s="104"/>
      <c r="U466" s="106"/>
      <c r="V466" s="98" t="str">
        <f>IF(OR(G466="Sold",H466="Died"),IF(G466="Sold",VLOOKUP(B466,SALE!$B$5:$J$1000,6,0),IF(H466="Died",VLOOKUP(B466,MORTALITY!$B$5:$K$1000,5,0),"")),"")</f>
        <v/>
      </c>
      <c r="W466" s="76"/>
    </row>
    <row r="467" spans="1:23">
      <c r="A467" s="93">
        <f t="shared" si="31"/>
        <v>463</v>
      </c>
      <c r="B467" s="94"/>
      <c r="C467" s="76"/>
      <c r="D467" s="76"/>
      <c r="E467" s="76"/>
      <c r="F467" s="94" t="str">
        <f t="shared" ca="1" si="28"/>
        <v/>
      </c>
      <c r="G467" s="96" t="str">
        <f>IFERROR((IF((VLOOKUP(B467,SALE!$B$5:$B$1000,1,0))&gt;0,"Sold","")),"")</f>
        <v/>
      </c>
      <c r="H467" s="96" t="str">
        <f>IFERROR((IF((VLOOKUP(B467,MORTALITY!$B$5:$B$1000,1,0))&gt;0,"Died","")),"")</f>
        <v/>
      </c>
      <c r="I467" s="96" t="str">
        <f ca="1">IFERROR(
   IF(LOOKUP(2,1/((ILLNESS!$B$6:$B$1000=B467)*(ILLNESS!$L$6:$L$1000&lt;&gt;"")),
            ILLNESS!$L$6:$L$1000)="No",
      "Sick",""),
"")</f>
        <v/>
      </c>
      <c r="J467" s="104"/>
      <c r="K467" s="97" t="str">
        <f t="shared" ca="1" si="29"/>
        <v/>
      </c>
      <c r="L467" s="97" t="str">
        <f t="shared" ca="1" si="30"/>
        <v/>
      </c>
      <c r="M467" s="76"/>
      <c r="N467" s="76"/>
      <c r="O467" s="76"/>
      <c r="P467" s="76"/>
      <c r="Q467" s="76"/>
      <c r="R467" s="76"/>
      <c r="S467" s="104"/>
      <c r="T467" s="104"/>
      <c r="U467" s="106"/>
      <c r="V467" s="98" t="str">
        <f>IF(OR(G467="Sold",H467="Died"),IF(G467="Sold",VLOOKUP(B467,SALE!$B$5:$J$1000,6,0),IF(H467="Died",VLOOKUP(B467,MORTALITY!$B$5:$K$1000,5,0),"")),"")</f>
        <v/>
      </c>
      <c r="W467" s="76"/>
    </row>
    <row r="468" spans="1:23">
      <c r="A468" s="93">
        <f t="shared" si="31"/>
        <v>464</v>
      </c>
      <c r="B468" s="94"/>
      <c r="C468" s="76"/>
      <c r="D468" s="76"/>
      <c r="E468" s="76"/>
      <c r="F468" s="94" t="str">
        <f t="shared" ca="1" si="28"/>
        <v/>
      </c>
      <c r="G468" s="96" t="str">
        <f>IFERROR((IF((VLOOKUP(B468,SALE!$B$5:$B$1000,1,0))&gt;0,"Sold","")),"")</f>
        <v/>
      </c>
      <c r="H468" s="96" t="str">
        <f>IFERROR((IF((VLOOKUP(B468,MORTALITY!$B$5:$B$1000,1,0))&gt;0,"Died","")),"")</f>
        <v/>
      </c>
      <c r="I468" s="96" t="str">
        <f ca="1">IFERROR(
   IF(LOOKUP(2,1/((ILLNESS!$B$6:$B$1000=B468)*(ILLNESS!$L$6:$L$1000&lt;&gt;"")),
            ILLNESS!$L$6:$L$1000)="No",
      "Sick",""),
"")</f>
        <v/>
      </c>
      <c r="J468" s="104"/>
      <c r="K468" s="97" t="str">
        <f t="shared" ca="1" si="29"/>
        <v/>
      </c>
      <c r="L468" s="97" t="str">
        <f t="shared" ca="1" si="30"/>
        <v/>
      </c>
      <c r="M468" s="76"/>
      <c r="N468" s="76"/>
      <c r="O468" s="76"/>
      <c r="P468" s="76"/>
      <c r="Q468" s="76"/>
      <c r="R468" s="76"/>
      <c r="S468" s="104"/>
      <c r="T468" s="104"/>
      <c r="U468" s="106"/>
      <c r="V468" s="98" t="str">
        <f>IF(OR(G468="Sold",H468="Died"),IF(G468="Sold",VLOOKUP(B468,SALE!$B$5:$J$1000,6,0),IF(H468="Died",VLOOKUP(B468,MORTALITY!$B$5:$K$1000,5,0),"")),"")</f>
        <v/>
      </c>
      <c r="W468" s="76"/>
    </row>
    <row r="469" spans="1:23">
      <c r="A469" s="93">
        <f t="shared" si="31"/>
        <v>465</v>
      </c>
      <c r="B469" s="94"/>
      <c r="C469" s="76"/>
      <c r="D469" s="76"/>
      <c r="E469" s="76"/>
      <c r="F469" s="94" t="str">
        <f t="shared" ca="1" si="28"/>
        <v/>
      </c>
      <c r="G469" s="96" t="str">
        <f>IFERROR((IF((VLOOKUP(B469,SALE!$B$5:$B$1000,1,0))&gt;0,"Sold","")),"")</f>
        <v/>
      </c>
      <c r="H469" s="96" t="str">
        <f>IFERROR((IF((VLOOKUP(B469,MORTALITY!$B$5:$B$1000,1,0))&gt;0,"Died","")),"")</f>
        <v/>
      </c>
      <c r="I469" s="96" t="str">
        <f ca="1">IFERROR(
   IF(LOOKUP(2,1/((ILLNESS!$B$6:$B$1000=B469)*(ILLNESS!$L$6:$L$1000&lt;&gt;"")),
            ILLNESS!$L$6:$L$1000)="No",
      "Sick",""),
"")</f>
        <v/>
      </c>
      <c r="J469" s="104"/>
      <c r="K469" s="97" t="str">
        <f t="shared" ca="1" si="29"/>
        <v/>
      </c>
      <c r="L469" s="97" t="str">
        <f t="shared" ca="1" si="30"/>
        <v/>
      </c>
      <c r="M469" s="76"/>
      <c r="N469" s="76"/>
      <c r="O469" s="76"/>
      <c r="P469" s="76"/>
      <c r="Q469" s="76"/>
      <c r="R469" s="76"/>
      <c r="S469" s="104"/>
      <c r="T469" s="104"/>
      <c r="U469" s="106"/>
      <c r="V469" s="98" t="str">
        <f>IF(OR(G469="Sold",H469="Died"),IF(G469="Sold",VLOOKUP(B469,SALE!$B$5:$J$1000,6,0),IF(H469="Died",VLOOKUP(B469,MORTALITY!$B$5:$K$1000,5,0),"")),"")</f>
        <v/>
      </c>
      <c r="W469" s="76"/>
    </row>
    <row r="470" spans="1:23">
      <c r="A470" s="93">
        <f t="shared" si="31"/>
        <v>466</v>
      </c>
      <c r="B470" s="94"/>
      <c r="C470" s="76"/>
      <c r="D470" s="76"/>
      <c r="E470" s="76"/>
      <c r="F470" s="94" t="str">
        <f t="shared" ca="1" si="28"/>
        <v/>
      </c>
      <c r="G470" s="96" t="str">
        <f>IFERROR((IF((VLOOKUP(B470,SALE!$B$5:$B$1000,1,0))&gt;0,"Sold","")),"")</f>
        <v/>
      </c>
      <c r="H470" s="96" t="str">
        <f>IFERROR((IF((VLOOKUP(B470,MORTALITY!$B$5:$B$1000,1,0))&gt;0,"Died","")),"")</f>
        <v/>
      </c>
      <c r="I470" s="96" t="str">
        <f ca="1">IFERROR(
   IF(LOOKUP(2,1/((ILLNESS!$B$6:$B$1000=B470)*(ILLNESS!$L$6:$L$1000&lt;&gt;"")),
            ILLNESS!$L$6:$L$1000)="No",
      "Sick",""),
"")</f>
        <v/>
      </c>
      <c r="J470" s="104"/>
      <c r="K470" s="97" t="str">
        <f t="shared" ca="1" si="29"/>
        <v/>
      </c>
      <c r="L470" s="97" t="str">
        <f t="shared" ca="1" si="30"/>
        <v/>
      </c>
      <c r="M470" s="76"/>
      <c r="N470" s="76"/>
      <c r="O470" s="76"/>
      <c r="P470" s="76"/>
      <c r="Q470" s="76"/>
      <c r="R470" s="76"/>
      <c r="S470" s="104"/>
      <c r="T470" s="104"/>
      <c r="U470" s="106"/>
      <c r="V470" s="98" t="str">
        <f>IF(OR(G470="Sold",H470="Died"),IF(G470="Sold",VLOOKUP(B470,SALE!$B$5:$J$1000,6,0),IF(H470="Died",VLOOKUP(B470,MORTALITY!$B$5:$K$1000,5,0),"")),"")</f>
        <v/>
      </c>
      <c r="W470" s="76"/>
    </row>
    <row r="471" spans="1:23">
      <c r="A471" s="93">
        <f t="shared" si="31"/>
        <v>467</v>
      </c>
      <c r="B471" s="94"/>
      <c r="C471" s="76"/>
      <c r="D471" s="76"/>
      <c r="E471" s="76"/>
      <c r="F471" s="94" t="str">
        <f t="shared" ca="1" si="28"/>
        <v/>
      </c>
      <c r="G471" s="96" t="str">
        <f>IFERROR((IF((VLOOKUP(B471,SALE!$B$5:$B$1000,1,0))&gt;0,"Sold","")),"")</f>
        <v/>
      </c>
      <c r="H471" s="96" t="str">
        <f>IFERROR((IF((VLOOKUP(B471,MORTALITY!$B$5:$B$1000,1,0))&gt;0,"Died","")),"")</f>
        <v/>
      </c>
      <c r="I471" s="96" t="str">
        <f ca="1">IFERROR(
   IF(LOOKUP(2,1/((ILLNESS!$B$6:$B$1000=B471)*(ILLNESS!$L$6:$L$1000&lt;&gt;"")),
            ILLNESS!$L$6:$L$1000)="No",
      "Sick",""),
"")</f>
        <v/>
      </c>
      <c r="J471" s="104"/>
      <c r="K471" s="97" t="str">
        <f t="shared" ca="1" si="29"/>
        <v/>
      </c>
      <c r="L471" s="97" t="str">
        <f t="shared" ca="1" si="30"/>
        <v/>
      </c>
      <c r="M471" s="76"/>
      <c r="N471" s="76"/>
      <c r="O471" s="76"/>
      <c r="P471" s="76"/>
      <c r="Q471" s="76"/>
      <c r="R471" s="76"/>
      <c r="S471" s="104"/>
      <c r="T471" s="104"/>
      <c r="U471" s="106"/>
      <c r="V471" s="98" t="str">
        <f>IF(OR(G471="Sold",H471="Died"),IF(G471="Sold",VLOOKUP(B471,SALE!$B$5:$J$1000,6,0),IF(H471="Died",VLOOKUP(B471,MORTALITY!$B$5:$K$1000,5,0),"")),"")</f>
        <v/>
      </c>
      <c r="W471" s="76"/>
    </row>
    <row r="472" spans="1:23">
      <c r="A472" s="93">
        <f t="shared" si="31"/>
        <v>468</v>
      </c>
      <c r="B472" s="94"/>
      <c r="C472" s="76"/>
      <c r="D472" s="76"/>
      <c r="E472" s="76"/>
      <c r="F472" s="94" t="str">
        <f t="shared" ca="1" si="28"/>
        <v/>
      </c>
      <c r="G472" s="96" t="str">
        <f>IFERROR((IF((VLOOKUP(B472,SALE!$B$5:$B$1000,1,0))&gt;0,"Sold","")),"")</f>
        <v/>
      </c>
      <c r="H472" s="96" t="str">
        <f>IFERROR((IF((VLOOKUP(B472,MORTALITY!$B$5:$B$1000,1,0))&gt;0,"Died","")),"")</f>
        <v/>
      </c>
      <c r="I472" s="96" t="str">
        <f ca="1">IFERROR(
   IF(LOOKUP(2,1/((ILLNESS!$B$6:$B$1000=B472)*(ILLNESS!$L$6:$L$1000&lt;&gt;"")),
            ILLNESS!$L$6:$L$1000)="No",
      "Sick",""),
"")</f>
        <v/>
      </c>
      <c r="J472" s="104"/>
      <c r="K472" s="97" t="str">
        <f t="shared" ca="1" si="29"/>
        <v/>
      </c>
      <c r="L472" s="97" t="str">
        <f t="shared" ca="1" si="30"/>
        <v/>
      </c>
      <c r="M472" s="76"/>
      <c r="N472" s="76"/>
      <c r="O472" s="76"/>
      <c r="P472" s="76"/>
      <c r="Q472" s="76"/>
      <c r="R472" s="76"/>
      <c r="S472" s="104"/>
      <c r="T472" s="104"/>
      <c r="U472" s="106"/>
      <c r="V472" s="98" t="str">
        <f>IF(OR(G472="Sold",H472="Died"),IF(G472="Sold",VLOOKUP(B472,SALE!$B$5:$J$1000,6,0),IF(H472="Died",VLOOKUP(B472,MORTALITY!$B$5:$K$1000,5,0),"")),"")</f>
        <v/>
      </c>
      <c r="W472" s="76"/>
    </row>
    <row r="473" spans="1:23">
      <c r="A473" s="93">
        <f t="shared" si="31"/>
        <v>469</v>
      </c>
      <c r="B473" s="94"/>
      <c r="C473" s="76"/>
      <c r="D473" s="76"/>
      <c r="E473" s="76"/>
      <c r="F473" s="94" t="str">
        <f t="shared" ca="1" si="28"/>
        <v/>
      </c>
      <c r="G473" s="96" t="str">
        <f>IFERROR((IF((VLOOKUP(B473,SALE!$B$5:$B$1000,1,0))&gt;0,"Sold","")),"")</f>
        <v/>
      </c>
      <c r="H473" s="96" t="str">
        <f>IFERROR((IF((VLOOKUP(B473,MORTALITY!$B$5:$B$1000,1,0))&gt;0,"Died","")),"")</f>
        <v/>
      </c>
      <c r="I473" s="96" t="str">
        <f ca="1">IFERROR(
   IF(LOOKUP(2,1/((ILLNESS!$B$6:$B$1000=B473)*(ILLNESS!$L$6:$L$1000&lt;&gt;"")),
            ILLNESS!$L$6:$L$1000)="No",
      "Sick",""),
"")</f>
        <v/>
      </c>
      <c r="J473" s="104"/>
      <c r="K473" s="97" t="str">
        <f t="shared" ca="1" si="29"/>
        <v/>
      </c>
      <c r="L473" s="97" t="str">
        <f t="shared" ca="1" si="30"/>
        <v/>
      </c>
      <c r="M473" s="76"/>
      <c r="N473" s="76"/>
      <c r="O473" s="76"/>
      <c r="P473" s="76"/>
      <c r="Q473" s="76"/>
      <c r="R473" s="76"/>
      <c r="S473" s="104"/>
      <c r="T473" s="104"/>
      <c r="U473" s="106"/>
      <c r="V473" s="98" t="str">
        <f>IF(OR(G473="Sold",H473="Died"),IF(G473="Sold",VLOOKUP(B473,SALE!$B$5:$J$1000,6,0),IF(H473="Died",VLOOKUP(B473,MORTALITY!$B$5:$K$1000,5,0),"")),"")</f>
        <v/>
      </c>
      <c r="W473" s="76"/>
    </row>
    <row r="474" spans="1:23">
      <c r="A474" s="93">
        <f t="shared" si="31"/>
        <v>470</v>
      </c>
      <c r="B474" s="94"/>
      <c r="C474" s="76"/>
      <c r="D474" s="76"/>
      <c r="E474" s="76"/>
      <c r="F474" s="94" t="str">
        <f t="shared" ca="1" si="28"/>
        <v/>
      </c>
      <c r="G474" s="96" t="str">
        <f>IFERROR((IF((VLOOKUP(B474,SALE!$B$5:$B$1000,1,0))&gt;0,"Sold","")),"")</f>
        <v/>
      </c>
      <c r="H474" s="96" t="str">
        <f>IFERROR((IF((VLOOKUP(B474,MORTALITY!$B$5:$B$1000,1,0))&gt;0,"Died","")),"")</f>
        <v/>
      </c>
      <c r="I474" s="96" t="str">
        <f ca="1">IFERROR(
   IF(LOOKUP(2,1/((ILLNESS!$B$6:$B$1000=B474)*(ILLNESS!$L$6:$L$1000&lt;&gt;"")),
            ILLNESS!$L$6:$L$1000)="No",
      "Sick",""),
"")</f>
        <v/>
      </c>
      <c r="J474" s="104"/>
      <c r="K474" s="97" t="str">
        <f t="shared" ca="1" si="29"/>
        <v/>
      </c>
      <c r="L474" s="97" t="str">
        <f t="shared" ca="1" si="30"/>
        <v/>
      </c>
      <c r="M474" s="76"/>
      <c r="N474" s="76"/>
      <c r="O474" s="76"/>
      <c r="P474" s="76"/>
      <c r="Q474" s="76"/>
      <c r="R474" s="76"/>
      <c r="S474" s="104"/>
      <c r="T474" s="104"/>
      <c r="U474" s="106"/>
      <c r="V474" s="98" t="str">
        <f>IF(OR(G474="Sold",H474="Died"),IF(G474="Sold",VLOOKUP(B474,SALE!$B$5:$J$1000,6,0),IF(H474="Died",VLOOKUP(B474,MORTALITY!$B$5:$K$1000,5,0),"")),"")</f>
        <v/>
      </c>
      <c r="W474" s="76"/>
    </row>
    <row r="475" spans="1:23">
      <c r="A475" s="93">
        <f t="shared" si="31"/>
        <v>471</v>
      </c>
      <c r="B475" s="94"/>
      <c r="C475" s="76"/>
      <c r="D475" s="76"/>
      <c r="E475" s="76"/>
      <c r="F475" s="94" t="str">
        <f t="shared" ca="1" si="28"/>
        <v/>
      </c>
      <c r="G475" s="96" t="str">
        <f>IFERROR((IF((VLOOKUP(B475,SALE!$B$5:$B$1000,1,0))&gt;0,"Sold","")),"")</f>
        <v/>
      </c>
      <c r="H475" s="96" t="str">
        <f>IFERROR((IF((VLOOKUP(B475,MORTALITY!$B$5:$B$1000,1,0))&gt;0,"Died","")),"")</f>
        <v/>
      </c>
      <c r="I475" s="96" t="str">
        <f ca="1">IFERROR(
   IF(LOOKUP(2,1/((ILLNESS!$B$6:$B$1000=B475)*(ILLNESS!$L$6:$L$1000&lt;&gt;"")),
            ILLNESS!$L$6:$L$1000)="No",
      "Sick",""),
"")</f>
        <v/>
      </c>
      <c r="J475" s="104"/>
      <c r="K475" s="97" t="str">
        <f t="shared" ca="1" si="29"/>
        <v/>
      </c>
      <c r="L475" s="97" t="str">
        <f t="shared" ca="1" si="30"/>
        <v/>
      </c>
      <c r="M475" s="76"/>
      <c r="N475" s="76"/>
      <c r="O475" s="76"/>
      <c r="P475" s="76"/>
      <c r="Q475" s="76"/>
      <c r="R475" s="76"/>
      <c r="S475" s="104"/>
      <c r="T475" s="104"/>
      <c r="U475" s="106"/>
      <c r="V475" s="98" t="str">
        <f>IF(OR(G475="Sold",H475="Died"),IF(G475="Sold",VLOOKUP(B475,SALE!$B$5:$J$1000,6,0),IF(H475="Died",VLOOKUP(B475,MORTALITY!$B$5:$K$1000,5,0),"")),"")</f>
        <v/>
      </c>
      <c r="W475" s="76"/>
    </row>
    <row r="476" spans="1:23">
      <c r="A476" s="93">
        <f t="shared" si="31"/>
        <v>472</v>
      </c>
      <c r="B476" s="94"/>
      <c r="C476" s="76"/>
      <c r="D476" s="76"/>
      <c r="E476" s="76"/>
      <c r="F476" s="94" t="str">
        <f t="shared" ca="1" si="28"/>
        <v/>
      </c>
      <c r="G476" s="96" t="str">
        <f>IFERROR((IF((VLOOKUP(B476,SALE!$B$5:$B$1000,1,0))&gt;0,"Sold","")),"")</f>
        <v/>
      </c>
      <c r="H476" s="96" t="str">
        <f>IFERROR((IF((VLOOKUP(B476,MORTALITY!$B$5:$B$1000,1,0))&gt;0,"Died","")),"")</f>
        <v/>
      </c>
      <c r="I476" s="96" t="str">
        <f ca="1">IFERROR(
   IF(LOOKUP(2,1/((ILLNESS!$B$6:$B$1000=B476)*(ILLNESS!$L$6:$L$1000&lt;&gt;"")),
            ILLNESS!$L$6:$L$1000)="No",
      "Sick",""),
"")</f>
        <v/>
      </c>
      <c r="J476" s="104"/>
      <c r="K476" s="97" t="str">
        <f t="shared" ca="1" si="29"/>
        <v/>
      </c>
      <c r="L476" s="97" t="str">
        <f t="shared" ca="1" si="30"/>
        <v/>
      </c>
      <c r="M476" s="76"/>
      <c r="N476" s="76"/>
      <c r="O476" s="76"/>
      <c r="P476" s="76"/>
      <c r="Q476" s="76"/>
      <c r="R476" s="76"/>
      <c r="S476" s="104"/>
      <c r="T476" s="104"/>
      <c r="U476" s="106"/>
      <c r="V476" s="98" t="str">
        <f>IF(OR(G476="Sold",H476="Died"),IF(G476="Sold",VLOOKUP(B476,SALE!$B$5:$J$1000,6,0),IF(H476="Died",VLOOKUP(B476,MORTALITY!$B$5:$K$1000,5,0),"")),"")</f>
        <v/>
      </c>
      <c r="W476" s="76"/>
    </row>
    <row r="477" spans="1:23">
      <c r="A477" s="93">
        <f t="shared" si="31"/>
        <v>473</v>
      </c>
      <c r="B477" s="94"/>
      <c r="C477" s="76"/>
      <c r="D477" s="76"/>
      <c r="E477" s="76"/>
      <c r="F477" s="94" t="str">
        <f t="shared" ca="1" si="28"/>
        <v/>
      </c>
      <c r="G477" s="96" t="str">
        <f>IFERROR((IF((VLOOKUP(B477,SALE!$B$5:$B$1000,1,0))&gt;0,"Sold","")),"")</f>
        <v/>
      </c>
      <c r="H477" s="96" t="str">
        <f>IFERROR((IF((VLOOKUP(B477,MORTALITY!$B$5:$B$1000,1,0))&gt;0,"Died","")),"")</f>
        <v/>
      </c>
      <c r="I477" s="96" t="str">
        <f ca="1">IFERROR(
   IF(LOOKUP(2,1/((ILLNESS!$B$6:$B$1000=B477)*(ILLNESS!$L$6:$L$1000&lt;&gt;"")),
            ILLNESS!$L$6:$L$1000)="No",
      "Sick",""),
"")</f>
        <v/>
      </c>
      <c r="J477" s="104"/>
      <c r="K477" s="97" t="str">
        <f t="shared" ca="1" si="29"/>
        <v/>
      </c>
      <c r="L477" s="97" t="str">
        <f t="shared" ca="1" si="30"/>
        <v/>
      </c>
      <c r="M477" s="76"/>
      <c r="N477" s="76"/>
      <c r="O477" s="76"/>
      <c r="P477" s="76"/>
      <c r="Q477" s="76"/>
      <c r="R477" s="76"/>
      <c r="S477" s="104"/>
      <c r="T477" s="104"/>
      <c r="U477" s="106"/>
      <c r="V477" s="98" t="str">
        <f>IF(OR(G477="Sold",H477="Died"),IF(G477="Sold",VLOOKUP(B477,SALE!$B$5:$J$1000,6,0),IF(H477="Died",VLOOKUP(B477,MORTALITY!$B$5:$K$1000,5,0),"")),"")</f>
        <v/>
      </c>
      <c r="W477" s="76"/>
    </row>
    <row r="478" spans="1:23">
      <c r="A478" s="93">
        <f t="shared" si="31"/>
        <v>474</v>
      </c>
      <c r="B478" s="94"/>
      <c r="C478" s="76"/>
      <c r="D478" s="76"/>
      <c r="E478" s="76"/>
      <c r="F478" s="94" t="str">
        <f t="shared" ca="1" si="28"/>
        <v/>
      </c>
      <c r="G478" s="96" t="str">
        <f>IFERROR((IF((VLOOKUP(B478,SALE!$B$5:$B$1000,1,0))&gt;0,"Sold","")),"")</f>
        <v/>
      </c>
      <c r="H478" s="96" t="str">
        <f>IFERROR((IF((VLOOKUP(B478,MORTALITY!$B$5:$B$1000,1,0))&gt;0,"Died","")),"")</f>
        <v/>
      </c>
      <c r="I478" s="96" t="str">
        <f ca="1">IFERROR(
   IF(LOOKUP(2,1/((ILLNESS!$B$6:$B$1000=B478)*(ILLNESS!$L$6:$L$1000&lt;&gt;"")),
            ILLNESS!$L$6:$L$1000)="No",
      "Sick",""),
"")</f>
        <v/>
      </c>
      <c r="J478" s="104"/>
      <c r="K478" s="97" t="str">
        <f t="shared" ca="1" si="29"/>
        <v/>
      </c>
      <c r="L478" s="97" t="str">
        <f t="shared" ca="1" si="30"/>
        <v/>
      </c>
      <c r="M478" s="76"/>
      <c r="N478" s="76"/>
      <c r="O478" s="76"/>
      <c r="P478" s="76"/>
      <c r="Q478" s="76"/>
      <c r="R478" s="76"/>
      <c r="S478" s="104"/>
      <c r="T478" s="104"/>
      <c r="U478" s="106"/>
      <c r="V478" s="98" t="str">
        <f>IF(OR(G478="Sold",H478="Died"),IF(G478="Sold",VLOOKUP(B478,SALE!$B$5:$J$1000,6,0),IF(H478="Died",VLOOKUP(B478,MORTALITY!$B$5:$K$1000,5,0),"")),"")</f>
        <v/>
      </c>
      <c r="W478" s="76"/>
    </row>
    <row r="479" spans="1:23">
      <c r="A479" s="93">
        <f t="shared" si="31"/>
        <v>475</v>
      </c>
      <c r="B479" s="94"/>
      <c r="C479" s="76"/>
      <c r="D479" s="76"/>
      <c r="E479" s="76"/>
      <c r="F479" s="94" t="str">
        <f t="shared" ca="1" si="28"/>
        <v/>
      </c>
      <c r="G479" s="96" t="str">
        <f>IFERROR((IF((VLOOKUP(B479,SALE!$B$5:$B$1000,1,0))&gt;0,"Sold","")),"")</f>
        <v/>
      </c>
      <c r="H479" s="96" t="str">
        <f>IFERROR((IF((VLOOKUP(B479,MORTALITY!$B$5:$B$1000,1,0))&gt;0,"Died","")),"")</f>
        <v/>
      </c>
      <c r="I479" s="96" t="str">
        <f ca="1">IFERROR(
   IF(LOOKUP(2,1/((ILLNESS!$B$6:$B$1000=B479)*(ILLNESS!$L$6:$L$1000&lt;&gt;"")),
            ILLNESS!$L$6:$L$1000)="No",
      "Sick",""),
"")</f>
        <v/>
      </c>
      <c r="J479" s="104"/>
      <c r="K479" s="97" t="str">
        <f t="shared" ca="1" si="29"/>
        <v/>
      </c>
      <c r="L479" s="97" t="str">
        <f t="shared" ca="1" si="30"/>
        <v/>
      </c>
      <c r="M479" s="76"/>
      <c r="N479" s="76"/>
      <c r="O479" s="76"/>
      <c r="P479" s="76"/>
      <c r="Q479" s="76"/>
      <c r="R479" s="76"/>
      <c r="S479" s="104"/>
      <c r="T479" s="104"/>
      <c r="U479" s="106"/>
      <c r="V479" s="98" t="str">
        <f>IF(OR(G479="Sold",H479="Died"),IF(G479="Sold",VLOOKUP(B479,SALE!$B$5:$J$1000,6,0),IF(H479="Died",VLOOKUP(B479,MORTALITY!$B$5:$K$1000,5,0),"")),"")</f>
        <v/>
      </c>
      <c r="W479" s="76"/>
    </row>
    <row r="480" spans="1:23">
      <c r="A480" s="93">
        <f t="shared" si="31"/>
        <v>476</v>
      </c>
      <c r="B480" s="94"/>
      <c r="C480" s="76"/>
      <c r="D480" s="76"/>
      <c r="E480" s="76"/>
      <c r="F480" s="94" t="str">
        <f t="shared" ca="1" si="28"/>
        <v/>
      </c>
      <c r="G480" s="96" t="str">
        <f>IFERROR((IF((VLOOKUP(B480,SALE!$B$5:$B$1000,1,0))&gt;0,"Sold","")),"")</f>
        <v/>
      </c>
      <c r="H480" s="96" t="str">
        <f>IFERROR((IF((VLOOKUP(B480,MORTALITY!$B$5:$B$1000,1,0))&gt;0,"Died","")),"")</f>
        <v/>
      </c>
      <c r="I480" s="96" t="str">
        <f ca="1">IFERROR(
   IF(LOOKUP(2,1/((ILLNESS!$B$6:$B$1000=B480)*(ILLNESS!$L$6:$L$1000&lt;&gt;"")),
            ILLNESS!$L$6:$L$1000)="No",
      "Sick",""),
"")</f>
        <v/>
      </c>
      <c r="J480" s="104"/>
      <c r="K480" s="97" t="str">
        <f t="shared" ca="1" si="29"/>
        <v/>
      </c>
      <c r="L480" s="97" t="str">
        <f t="shared" ca="1" si="30"/>
        <v/>
      </c>
      <c r="M480" s="76"/>
      <c r="N480" s="76"/>
      <c r="O480" s="76"/>
      <c r="P480" s="76"/>
      <c r="Q480" s="76"/>
      <c r="R480" s="76"/>
      <c r="S480" s="104"/>
      <c r="T480" s="104"/>
      <c r="U480" s="106"/>
      <c r="V480" s="98" t="str">
        <f>IF(OR(G480="Sold",H480="Died"),IF(G480="Sold",VLOOKUP(B480,SALE!$B$5:$J$1000,6,0),IF(H480="Died",VLOOKUP(B480,MORTALITY!$B$5:$K$1000,5,0),"")),"")</f>
        <v/>
      </c>
      <c r="W480" s="76"/>
    </row>
    <row r="481" spans="1:23">
      <c r="A481" s="93">
        <f t="shared" si="31"/>
        <v>477</v>
      </c>
      <c r="B481" s="94"/>
      <c r="C481" s="76"/>
      <c r="D481" s="76"/>
      <c r="E481" s="76"/>
      <c r="F481" s="94" t="str">
        <f t="shared" ca="1" si="28"/>
        <v/>
      </c>
      <c r="G481" s="96" t="str">
        <f>IFERROR((IF((VLOOKUP(B481,SALE!$B$5:$B$1000,1,0))&gt;0,"Sold","")),"")</f>
        <v/>
      </c>
      <c r="H481" s="96" t="str">
        <f>IFERROR((IF((VLOOKUP(B481,MORTALITY!$B$5:$B$1000,1,0))&gt;0,"Died","")),"")</f>
        <v/>
      </c>
      <c r="I481" s="96" t="str">
        <f ca="1">IFERROR(
   IF(LOOKUP(2,1/((ILLNESS!$B$6:$B$1000=B481)*(ILLNESS!$L$6:$L$1000&lt;&gt;"")),
            ILLNESS!$L$6:$L$1000)="No",
      "Sick",""),
"")</f>
        <v/>
      </c>
      <c r="J481" s="104"/>
      <c r="K481" s="97" t="str">
        <f t="shared" ca="1" si="29"/>
        <v/>
      </c>
      <c r="L481" s="97" t="str">
        <f t="shared" ca="1" si="30"/>
        <v/>
      </c>
      <c r="M481" s="76"/>
      <c r="N481" s="76"/>
      <c r="O481" s="76"/>
      <c r="P481" s="76"/>
      <c r="Q481" s="76"/>
      <c r="R481" s="76"/>
      <c r="S481" s="104"/>
      <c r="T481" s="104"/>
      <c r="U481" s="106"/>
      <c r="V481" s="98" t="str">
        <f>IF(OR(G481="Sold",H481="Died"),IF(G481="Sold",VLOOKUP(B481,SALE!$B$5:$J$1000,6,0),IF(H481="Died",VLOOKUP(B481,MORTALITY!$B$5:$K$1000,5,0),"")),"")</f>
        <v/>
      </c>
      <c r="W481" s="76"/>
    </row>
    <row r="482" spans="1:23">
      <c r="A482" s="93">
        <f t="shared" si="31"/>
        <v>478</v>
      </c>
      <c r="B482" s="94"/>
      <c r="C482" s="76"/>
      <c r="D482" s="76"/>
      <c r="E482" s="76"/>
      <c r="F482" s="94" t="str">
        <f t="shared" ca="1" si="28"/>
        <v/>
      </c>
      <c r="G482" s="96" t="str">
        <f>IFERROR((IF((VLOOKUP(B482,SALE!$B$5:$B$1000,1,0))&gt;0,"Sold","")),"")</f>
        <v/>
      </c>
      <c r="H482" s="96" t="str">
        <f>IFERROR((IF((VLOOKUP(B482,MORTALITY!$B$5:$B$1000,1,0))&gt;0,"Died","")),"")</f>
        <v/>
      </c>
      <c r="I482" s="96" t="str">
        <f ca="1">IFERROR(
   IF(LOOKUP(2,1/((ILLNESS!$B$6:$B$1000=B482)*(ILLNESS!$L$6:$L$1000&lt;&gt;"")),
            ILLNESS!$L$6:$L$1000)="No",
      "Sick",""),
"")</f>
        <v/>
      </c>
      <c r="J482" s="104"/>
      <c r="K482" s="97" t="str">
        <f t="shared" ca="1" si="29"/>
        <v/>
      </c>
      <c r="L482" s="97" t="str">
        <f t="shared" ca="1" si="30"/>
        <v/>
      </c>
      <c r="M482" s="76"/>
      <c r="N482" s="76"/>
      <c r="O482" s="76"/>
      <c r="P482" s="76"/>
      <c r="Q482" s="76"/>
      <c r="R482" s="76"/>
      <c r="S482" s="104"/>
      <c r="T482" s="104"/>
      <c r="U482" s="106"/>
      <c r="V482" s="98" t="str">
        <f>IF(OR(G482="Sold",H482="Died"),IF(G482="Sold",VLOOKUP(B482,SALE!$B$5:$J$1000,6,0),IF(H482="Died",VLOOKUP(B482,MORTALITY!$B$5:$K$1000,5,0),"")),"")</f>
        <v/>
      </c>
      <c r="W482" s="76"/>
    </row>
    <row r="483" spans="1:23">
      <c r="A483" s="93">
        <f t="shared" si="31"/>
        <v>479</v>
      </c>
      <c r="B483" s="94"/>
      <c r="C483" s="76"/>
      <c r="D483" s="76"/>
      <c r="E483" s="76"/>
      <c r="F483" s="94" t="str">
        <f t="shared" ca="1" si="28"/>
        <v/>
      </c>
      <c r="G483" s="96" t="str">
        <f>IFERROR((IF((VLOOKUP(B483,SALE!$B$5:$B$1000,1,0))&gt;0,"Sold","")),"")</f>
        <v/>
      </c>
      <c r="H483" s="96" t="str">
        <f>IFERROR((IF((VLOOKUP(B483,MORTALITY!$B$5:$B$1000,1,0))&gt;0,"Died","")),"")</f>
        <v/>
      </c>
      <c r="I483" s="96" t="str">
        <f ca="1">IFERROR(
   IF(LOOKUP(2,1/((ILLNESS!$B$6:$B$1000=B483)*(ILLNESS!$L$6:$L$1000&lt;&gt;"")),
            ILLNESS!$L$6:$L$1000)="No",
      "Sick",""),
"")</f>
        <v/>
      </c>
      <c r="J483" s="104"/>
      <c r="K483" s="97" t="str">
        <f t="shared" ca="1" si="29"/>
        <v/>
      </c>
      <c r="L483" s="97" t="str">
        <f t="shared" ca="1" si="30"/>
        <v/>
      </c>
      <c r="M483" s="76"/>
      <c r="N483" s="76"/>
      <c r="O483" s="76"/>
      <c r="P483" s="76"/>
      <c r="Q483" s="76"/>
      <c r="R483" s="76"/>
      <c r="S483" s="104"/>
      <c r="T483" s="104"/>
      <c r="U483" s="106"/>
      <c r="V483" s="98" t="str">
        <f>IF(OR(G483="Sold",H483="Died"),IF(G483="Sold",VLOOKUP(B483,SALE!$B$5:$J$1000,6,0),IF(H483="Died",VLOOKUP(B483,MORTALITY!$B$5:$K$1000,5,0),"")),"")</f>
        <v/>
      </c>
      <c r="W483" s="76"/>
    </row>
    <row r="484" spans="1:23">
      <c r="A484" s="93">
        <f t="shared" si="31"/>
        <v>480</v>
      </c>
      <c r="B484" s="94"/>
      <c r="C484" s="76"/>
      <c r="D484" s="76"/>
      <c r="E484" s="76"/>
      <c r="F484" s="94" t="str">
        <f t="shared" ca="1" si="28"/>
        <v/>
      </c>
      <c r="G484" s="96" t="str">
        <f>IFERROR((IF((VLOOKUP(B484,SALE!$B$5:$B$1000,1,0))&gt;0,"Sold","")),"")</f>
        <v/>
      </c>
      <c r="H484" s="96" t="str">
        <f>IFERROR((IF((VLOOKUP(B484,MORTALITY!$B$5:$B$1000,1,0))&gt;0,"Died","")),"")</f>
        <v/>
      </c>
      <c r="I484" s="96" t="str">
        <f ca="1">IFERROR(
   IF(LOOKUP(2,1/((ILLNESS!$B$6:$B$1000=B484)*(ILLNESS!$L$6:$L$1000&lt;&gt;"")),
            ILLNESS!$L$6:$L$1000)="No",
      "Sick",""),
"")</f>
        <v/>
      </c>
      <c r="J484" s="104"/>
      <c r="K484" s="97" t="str">
        <f t="shared" ca="1" si="29"/>
        <v/>
      </c>
      <c r="L484" s="97" t="str">
        <f t="shared" ca="1" si="30"/>
        <v/>
      </c>
      <c r="M484" s="76"/>
      <c r="N484" s="76"/>
      <c r="O484" s="76"/>
      <c r="P484" s="76"/>
      <c r="Q484" s="76"/>
      <c r="R484" s="76"/>
      <c r="S484" s="104"/>
      <c r="T484" s="104"/>
      <c r="U484" s="106"/>
      <c r="V484" s="98" t="str">
        <f>IF(OR(G484="Sold",H484="Died"),IF(G484="Sold",VLOOKUP(B484,SALE!$B$5:$J$1000,6,0),IF(H484="Died",VLOOKUP(B484,MORTALITY!$B$5:$K$1000,5,0),"")),"")</f>
        <v/>
      </c>
      <c r="W484" s="76"/>
    </row>
    <row r="485" spans="1:23">
      <c r="A485" s="93">
        <f t="shared" si="31"/>
        <v>481</v>
      </c>
      <c r="B485" s="94"/>
      <c r="C485" s="76"/>
      <c r="D485" s="76"/>
      <c r="E485" s="76"/>
      <c r="F485" s="94" t="str">
        <f t="shared" ca="1" si="28"/>
        <v/>
      </c>
      <c r="G485" s="96" t="str">
        <f>IFERROR((IF((VLOOKUP(B485,SALE!$B$5:$B$1000,1,0))&gt;0,"Sold","")),"")</f>
        <v/>
      </c>
      <c r="H485" s="96" t="str">
        <f>IFERROR((IF((VLOOKUP(B485,MORTALITY!$B$5:$B$1000,1,0))&gt;0,"Died","")),"")</f>
        <v/>
      </c>
      <c r="I485" s="96" t="str">
        <f ca="1">IFERROR(
   IF(LOOKUP(2,1/((ILLNESS!$B$6:$B$1000=B485)*(ILLNESS!$L$6:$L$1000&lt;&gt;"")),
            ILLNESS!$L$6:$L$1000)="No",
      "Sick",""),
"")</f>
        <v/>
      </c>
      <c r="J485" s="104"/>
      <c r="K485" s="97" t="str">
        <f t="shared" ca="1" si="29"/>
        <v/>
      </c>
      <c r="L485" s="97" t="str">
        <f t="shared" ca="1" si="30"/>
        <v/>
      </c>
      <c r="M485" s="76"/>
      <c r="N485" s="76"/>
      <c r="O485" s="76"/>
      <c r="P485" s="76"/>
      <c r="Q485" s="76"/>
      <c r="R485" s="76"/>
      <c r="S485" s="104"/>
      <c r="T485" s="104"/>
      <c r="U485" s="106"/>
      <c r="V485" s="98" t="str">
        <f>IF(OR(G485="Sold",H485="Died"),IF(G485="Sold",VLOOKUP(B485,SALE!$B$5:$J$1000,6,0),IF(H485="Died",VLOOKUP(B485,MORTALITY!$B$5:$K$1000,5,0),"")),"")</f>
        <v/>
      </c>
      <c r="W485" s="76"/>
    </row>
    <row r="486" spans="1:23">
      <c r="A486" s="93">
        <f t="shared" si="31"/>
        <v>482</v>
      </c>
      <c r="B486" s="94"/>
      <c r="C486" s="76"/>
      <c r="D486" s="76"/>
      <c r="E486" s="76"/>
      <c r="F486" s="94" t="str">
        <f t="shared" ca="1" si="28"/>
        <v/>
      </c>
      <c r="G486" s="96" t="str">
        <f>IFERROR((IF((VLOOKUP(B486,SALE!$B$5:$B$1000,1,0))&gt;0,"Sold","")),"")</f>
        <v/>
      </c>
      <c r="H486" s="96" t="str">
        <f>IFERROR((IF((VLOOKUP(B486,MORTALITY!$B$5:$B$1000,1,0))&gt;0,"Died","")),"")</f>
        <v/>
      </c>
      <c r="I486" s="96" t="str">
        <f ca="1">IFERROR(
   IF(LOOKUP(2,1/((ILLNESS!$B$6:$B$1000=B486)*(ILLNESS!$L$6:$L$1000&lt;&gt;"")),
            ILLNESS!$L$6:$L$1000)="No",
      "Sick",""),
"")</f>
        <v/>
      </c>
      <c r="J486" s="104"/>
      <c r="K486" s="97" t="str">
        <f t="shared" ca="1" si="29"/>
        <v/>
      </c>
      <c r="L486" s="97" t="str">
        <f t="shared" ca="1" si="30"/>
        <v/>
      </c>
      <c r="M486" s="76"/>
      <c r="N486" s="76"/>
      <c r="O486" s="76"/>
      <c r="P486" s="76"/>
      <c r="Q486" s="76"/>
      <c r="R486" s="76"/>
      <c r="S486" s="104"/>
      <c r="T486" s="104"/>
      <c r="U486" s="106"/>
      <c r="V486" s="98" t="str">
        <f>IF(OR(G486="Sold",H486="Died"),IF(G486="Sold",VLOOKUP(B486,SALE!$B$5:$J$1000,6,0),IF(H486="Died",VLOOKUP(B486,MORTALITY!$B$5:$K$1000,5,0),"")),"")</f>
        <v/>
      </c>
      <c r="W486" s="76"/>
    </row>
    <row r="487" spans="1:23">
      <c r="A487" s="93">
        <f t="shared" si="31"/>
        <v>483</v>
      </c>
      <c r="B487" s="94"/>
      <c r="C487" s="76"/>
      <c r="D487" s="76"/>
      <c r="E487" s="76"/>
      <c r="F487" s="94" t="str">
        <f t="shared" ca="1" si="28"/>
        <v/>
      </c>
      <c r="G487" s="96" t="str">
        <f>IFERROR((IF((VLOOKUP(B487,SALE!$B$5:$B$1000,1,0))&gt;0,"Sold","")),"")</f>
        <v/>
      </c>
      <c r="H487" s="96" t="str">
        <f>IFERROR((IF((VLOOKUP(B487,MORTALITY!$B$5:$B$1000,1,0))&gt;0,"Died","")),"")</f>
        <v/>
      </c>
      <c r="I487" s="96" t="str">
        <f ca="1">IFERROR(
   IF(LOOKUP(2,1/((ILLNESS!$B$6:$B$1000=B487)*(ILLNESS!$L$6:$L$1000&lt;&gt;"")),
            ILLNESS!$L$6:$L$1000)="No",
      "Sick",""),
"")</f>
        <v/>
      </c>
      <c r="J487" s="104"/>
      <c r="K487" s="97" t="str">
        <f t="shared" ca="1" si="29"/>
        <v/>
      </c>
      <c r="L487" s="97" t="str">
        <f t="shared" ca="1" si="30"/>
        <v/>
      </c>
      <c r="M487" s="76"/>
      <c r="N487" s="76"/>
      <c r="O487" s="76"/>
      <c r="P487" s="76"/>
      <c r="Q487" s="76"/>
      <c r="R487" s="76"/>
      <c r="S487" s="104"/>
      <c r="T487" s="104"/>
      <c r="U487" s="106"/>
      <c r="V487" s="98" t="str">
        <f>IF(OR(G487="Sold",H487="Died"),IF(G487="Sold",VLOOKUP(B487,SALE!$B$5:$J$1000,6,0),IF(H487="Died",VLOOKUP(B487,MORTALITY!$B$5:$K$1000,5,0),"")),"")</f>
        <v/>
      </c>
      <c r="W487" s="76"/>
    </row>
    <row r="488" spans="1:23">
      <c r="A488" s="93">
        <f t="shared" si="31"/>
        <v>484</v>
      </c>
      <c r="B488" s="94"/>
      <c r="C488" s="76"/>
      <c r="D488" s="76"/>
      <c r="E488" s="76"/>
      <c r="F488" s="94" t="str">
        <f t="shared" ca="1" si="28"/>
        <v/>
      </c>
      <c r="G488" s="96" t="str">
        <f>IFERROR((IF((VLOOKUP(B488,SALE!$B$5:$B$1000,1,0))&gt;0,"Sold","")),"")</f>
        <v/>
      </c>
      <c r="H488" s="96" t="str">
        <f>IFERROR((IF((VLOOKUP(B488,MORTALITY!$B$5:$B$1000,1,0))&gt;0,"Died","")),"")</f>
        <v/>
      </c>
      <c r="I488" s="96" t="str">
        <f ca="1">IFERROR(
   IF(LOOKUP(2,1/((ILLNESS!$B$6:$B$1000=B488)*(ILLNESS!$L$6:$L$1000&lt;&gt;"")),
            ILLNESS!$L$6:$L$1000)="No",
      "Sick",""),
"")</f>
        <v/>
      </c>
      <c r="J488" s="104"/>
      <c r="K488" s="97" t="str">
        <f t="shared" ca="1" si="29"/>
        <v/>
      </c>
      <c r="L488" s="97" t="str">
        <f t="shared" ca="1" si="30"/>
        <v/>
      </c>
      <c r="M488" s="76"/>
      <c r="N488" s="76"/>
      <c r="O488" s="76"/>
      <c r="P488" s="76"/>
      <c r="Q488" s="76"/>
      <c r="R488" s="76"/>
      <c r="S488" s="104"/>
      <c r="T488" s="104"/>
      <c r="U488" s="106"/>
      <c r="V488" s="98" t="str">
        <f>IF(OR(G488="Sold",H488="Died"),IF(G488="Sold",VLOOKUP(B488,SALE!$B$5:$J$1000,6,0),IF(H488="Died",VLOOKUP(B488,MORTALITY!$B$5:$K$1000,5,0),"")),"")</f>
        <v/>
      </c>
      <c r="W488" s="76"/>
    </row>
    <row r="489" spans="1:23">
      <c r="A489" s="93">
        <f t="shared" si="31"/>
        <v>485</v>
      </c>
      <c r="B489" s="94"/>
      <c r="C489" s="76"/>
      <c r="D489" s="76"/>
      <c r="E489" s="76"/>
      <c r="F489" s="94" t="str">
        <f t="shared" ca="1" si="28"/>
        <v/>
      </c>
      <c r="G489" s="96" t="str">
        <f>IFERROR((IF((VLOOKUP(B489,SALE!$B$5:$B$1000,1,0))&gt;0,"Sold","")),"")</f>
        <v/>
      </c>
      <c r="H489" s="96" t="str">
        <f>IFERROR((IF((VLOOKUP(B489,MORTALITY!$B$5:$B$1000,1,0))&gt;0,"Died","")),"")</f>
        <v/>
      </c>
      <c r="I489" s="96" t="str">
        <f ca="1">IFERROR(
   IF(LOOKUP(2,1/((ILLNESS!$B$6:$B$1000=B489)*(ILLNESS!$L$6:$L$1000&lt;&gt;"")),
            ILLNESS!$L$6:$L$1000)="No",
      "Sick",""),
"")</f>
        <v/>
      </c>
      <c r="J489" s="104"/>
      <c r="K489" s="97" t="str">
        <f t="shared" ca="1" si="29"/>
        <v/>
      </c>
      <c r="L489" s="97" t="str">
        <f t="shared" ca="1" si="30"/>
        <v/>
      </c>
      <c r="M489" s="76"/>
      <c r="N489" s="76"/>
      <c r="O489" s="76"/>
      <c r="P489" s="76"/>
      <c r="Q489" s="76"/>
      <c r="R489" s="76"/>
      <c r="S489" s="104"/>
      <c r="T489" s="104"/>
      <c r="U489" s="106"/>
      <c r="V489" s="98" t="str">
        <f>IF(OR(G489="Sold",H489="Died"),IF(G489="Sold",VLOOKUP(B489,SALE!$B$5:$J$1000,6,0),IF(H489="Died",VLOOKUP(B489,MORTALITY!$B$5:$K$1000,5,0),"")),"")</f>
        <v/>
      </c>
      <c r="W489" s="76"/>
    </row>
    <row r="490" spans="1:23">
      <c r="A490" s="93">
        <f t="shared" si="31"/>
        <v>486</v>
      </c>
      <c r="B490" s="94"/>
      <c r="C490" s="76"/>
      <c r="D490" s="76"/>
      <c r="E490" s="76"/>
      <c r="F490" s="94" t="str">
        <f t="shared" ca="1" si="28"/>
        <v/>
      </c>
      <c r="G490" s="96" t="str">
        <f>IFERROR((IF((VLOOKUP(B490,SALE!$B$5:$B$1000,1,0))&gt;0,"Sold","")),"")</f>
        <v/>
      </c>
      <c r="H490" s="96" t="str">
        <f>IFERROR((IF((VLOOKUP(B490,MORTALITY!$B$5:$B$1000,1,0))&gt;0,"Died","")),"")</f>
        <v/>
      </c>
      <c r="I490" s="96" t="str">
        <f ca="1">IFERROR(
   IF(LOOKUP(2,1/((ILLNESS!$B$6:$B$1000=B490)*(ILLNESS!$L$6:$L$1000&lt;&gt;"")),
            ILLNESS!$L$6:$L$1000)="No",
      "Sick",""),
"")</f>
        <v/>
      </c>
      <c r="J490" s="104"/>
      <c r="K490" s="97" t="str">
        <f t="shared" ca="1" si="29"/>
        <v/>
      </c>
      <c r="L490" s="97" t="str">
        <f t="shared" ca="1" si="30"/>
        <v/>
      </c>
      <c r="M490" s="76"/>
      <c r="N490" s="76"/>
      <c r="O490" s="76"/>
      <c r="P490" s="76"/>
      <c r="Q490" s="76"/>
      <c r="R490" s="76"/>
      <c r="S490" s="104"/>
      <c r="T490" s="104"/>
      <c r="U490" s="106"/>
      <c r="V490" s="98" t="str">
        <f>IF(OR(G490="Sold",H490="Died"),IF(G490="Sold",VLOOKUP(B490,SALE!$B$5:$J$1000,6,0),IF(H490="Died",VLOOKUP(B490,MORTALITY!$B$5:$K$1000,5,0),"")),"")</f>
        <v/>
      </c>
      <c r="W490" s="76"/>
    </row>
    <row r="491" spans="1:23">
      <c r="A491" s="93">
        <f t="shared" si="31"/>
        <v>487</v>
      </c>
      <c r="B491" s="94"/>
      <c r="C491" s="76"/>
      <c r="D491" s="76"/>
      <c r="E491" s="76"/>
      <c r="F491" s="94" t="str">
        <f t="shared" ca="1" si="28"/>
        <v/>
      </c>
      <c r="G491" s="96" t="str">
        <f>IFERROR((IF((VLOOKUP(B491,SALE!$B$5:$B$1000,1,0))&gt;0,"Sold","")),"")</f>
        <v/>
      </c>
      <c r="H491" s="96" t="str">
        <f>IFERROR((IF((VLOOKUP(B491,MORTALITY!$B$5:$B$1000,1,0))&gt;0,"Died","")),"")</f>
        <v/>
      </c>
      <c r="I491" s="96" t="str">
        <f ca="1">IFERROR(
   IF(LOOKUP(2,1/((ILLNESS!$B$6:$B$1000=B491)*(ILLNESS!$L$6:$L$1000&lt;&gt;"")),
            ILLNESS!$L$6:$L$1000)="No",
      "Sick",""),
"")</f>
        <v/>
      </c>
      <c r="J491" s="104"/>
      <c r="K491" s="97" t="str">
        <f t="shared" ca="1" si="29"/>
        <v/>
      </c>
      <c r="L491" s="97" t="str">
        <f t="shared" ca="1" si="30"/>
        <v/>
      </c>
      <c r="M491" s="76"/>
      <c r="N491" s="76"/>
      <c r="O491" s="76"/>
      <c r="P491" s="76"/>
      <c r="Q491" s="76"/>
      <c r="R491" s="76"/>
      <c r="S491" s="104"/>
      <c r="T491" s="104"/>
      <c r="U491" s="106"/>
      <c r="V491" s="98" t="str">
        <f>IF(OR(G491="Sold",H491="Died"),IF(G491="Sold",VLOOKUP(B491,SALE!$B$5:$J$1000,6,0),IF(H491="Died",VLOOKUP(B491,MORTALITY!$B$5:$K$1000,5,0),"")),"")</f>
        <v/>
      </c>
      <c r="W491" s="76"/>
    </row>
    <row r="492" spans="1:23">
      <c r="A492" s="93">
        <f t="shared" si="31"/>
        <v>488</v>
      </c>
      <c r="B492" s="94"/>
      <c r="C492" s="76"/>
      <c r="D492" s="76"/>
      <c r="E492" s="76"/>
      <c r="F492" s="94" t="str">
        <f t="shared" ca="1" si="28"/>
        <v/>
      </c>
      <c r="G492" s="96" t="str">
        <f>IFERROR((IF((VLOOKUP(B492,SALE!$B$5:$B$1000,1,0))&gt;0,"Sold","")),"")</f>
        <v/>
      </c>
      <c r="H492" s="96" t="str">
        <f>IFERROR((IF((VLOOKUP(B492,MORTALITY!$B$5:$B$1000,1,0))&gt;0,"Died","")),"")</f>
        <v/>
      </c>
      <c r="I492" s="96" t="str">
        <f ca="1">IFERROR(
   IF(LOOKUP(2,1/((ILLNESS!$B$6:$B$1000=B492)*(ILLNESS!$L$6:$L$1000&lt;&gt;"")),
            ILLNESS!$L$6:$L$1000)="No",
      "Sick",""),
"")</f>
        <v/>
      </c>
      <c r="J492" s="104"/>
      <c r="K492" s="97" t="str">
        <f t="shared" ca="1" si="29"/>
        <v/>
      </c>
      <c r="L492" s="97" t="str">
        <f t="shared" ca="1" si="30"/>
        <v/>
      </c>
      <c r="M492" s="76"/>
      <c r="N492" s="76"/>
      <c r="O492" s="76"/>
      <c r="P492" s="76"/>
      <c r="Q492" s="76"/>
      <c r="R492" s="76"/>
      <c r="S492" s="104"/>
      <c r="T492" s="104"/>
      <c r="U492" s="106"/>
      <c r="V492" s="98" t="str">
        <f>IF(OR(G492="Sold",H492="Died"),IF(G492="Sold",VLOOKUP(B492,SALE!$B$5:$J$1000,6,0),IF(H492="Died",VLOOKUP(B492,MORTALITY!$B$5:$K$1000,5,0),"")),"")</f>
        <v/>
      </c>
      <c r="W492" s="76"/>
    </row>
    <row r="493" spans="1:23">
      <c r="A493" s="93">
        <f t="shared" si="31"/>
        <v>489</v>
      </c>
      <c r="B493" s="94"/>
      <c r="C493" s="76"/>
      <c r="D493" s="76"/>
      <c r="E493" s="76"/>
      <c r="F493" s="94" t="str">
        <f t="shared" ca="1" si="28"/>
        <v/>
      </c>
      <c r="G493" s="96" t="str">
        <f>IFERROR((IF((VLOOKUP(B493,SALE!$B$5:$B$1000,1,0))&gt;0,"Sold","")),"")</f>
        <v/>
      </c>
      <c r="H493" s="96" t="str">
        <f>IFERROR((IF((VLOOKUP(B493,MORTALITY!$B$5:$B$1000,1,0))&gt;0,"Died","")),"")</f>
        <v/>
      </c>
      <c r="I493" s="96" t="str">
        <f ca="1">IFERROR(
   IF(LOOKUP(2,1/((ILLNESS!$B$6:$B$1000=B493)*(ILLNESS!$L$6:$L$1000&lt;&gt;"")),
            ILLNESS!$L$6:$L$1000)="No",
      "Sick",""),
"")</f>
        <v/>
      </c>
      <c r="J493" s="104"/>
      <c r="K493" s="97" t="str">
        <f t="shared" ca="1" si="29"/>
        <v/>
      </c>
      <c r="L493" s="97" t="str">
        <f t="shared" ca="1" si="30"/>
        <v/>
      </c>
      <c r="M493" s="76"/>
      <c r="N493" s="76"/>
      <c r="O493" s="76"/>
      <c r="P493" s="76"/>
      <c r="Q493" s="76"/>
      <c r="R493" s="76"/>
      <c r="S493" s="104"/>
      <c r="T493" s="104"/>
      <c r="U493" s="106"/>
      <c r="V493" s="98" t="str">
        <f>IF(OR(G493="Sold",H493="Died"),IF(G493="Sold",VLOOKUP(B493,SALE!$B$5:$J$1000,6,0),IF(H493="Died",VLOOKUP(B493,MORTALITY!$B$5:$K$1000,5,0),"")),"")</f>
        <v/>
      </c>
      <c r="W493" s="76"/>
    </row>
    <row r="494" spans="1:23">
      <c r="A494" s="93">
        <f t="shared" si="31"/>
        <v>490</v>
      </c>
      <c r="B494" s="94"/>
      <c r="C494" s="76"/>
      <c r="D494" s="76"/>
      <c r="E494" s="76"/>
      <c r="F494" s="94" t="str">
        <f t="shared" ca="1" si="28"/>
        <v/>
      </c>
      <c r="G494" s="96" t="str">
        <f>IFERROR((IF((VLOOKUP(B494,SALE!$B$5:$B$1000,1,0))&gt;0,"Sold","")),"")</f>
        <v/>
      </c>
      <c r="H494" s="96" t="str">
        <f>IFERROR((IF((VLOOKUP(B494,MORTALITY!$B$5:$B$1000,1,0))&gt;0,"Died","")),"")</f>
        <v/>
      </c>
      <c r="I494" s="96" t="str">
        <f ca="1">IFERROR(
   IF(LOOKUP(2,1/((ILLNESS!$B$6:$B$1000=B494)*(ILLNESS!$L$6:$L$1000&lt;&gt;"")),
            ILLNESS!$L$6:$L$1000)="No",
      "Sick",""),
"")</f>
        <v/>
      </c>
      <c r="J494" s="104"/>
      <c r="K494" s="97" t="str">
        <f t="shared" ca="1" si="29"/>
        <v/>
      </c>
      <c r="L494" s="97" t="str">
        <f t="shared" ca="1" si="30"/>
        <v/>
      </c>
      <c r="M494" s="76"/>
      <c r="N494" s="76"/>
      <c r="O494" s="76"/>
      <c r="P494" s="76"/>
      <c r="Q494" s="76"/>
      <c r="R494" s="76"/>
      <c r="S494" s="104"/>
      <c r="T494" s="104"/>
      <c r="U494" s="106"/>
      <c r="V494" s="98" t="str">
        <f>IF(OR(G494="Sold",H494="Died"),IF(G494="Sold",VLOOKUP(B494,SALE!$B$5:$J$1000,6,0),IF(H494="Died",VLOOKUP(B494,MORTALITY!$B$5:$K$1000,5,0),"")),"")</f>
        <v/>
      </c>
      <c r="W494" s="76"/>
    </row>
    <row r="495" spans="1:23">
      <c r="A495" s="93">
        <f t="shared" si="31"/>
        <v>491</v>
      </c>
      <c r="B495" s="94"/>
      <c r="C495" s="76"/>
      <c r="D495" s="76"/>
      <c r="E495" s="76"/>
      <c r="F495" s="94" t="str">
        <f t="shared" ca="1" si="28"/>
        <v/>
      </c>
      <c r="G495" s="96" t="str">
        <f>IFERROR((IF((VLOOKUP(B495,SALE!$B$5:$B$1000,1,0))&gt;0,"Sold","")),"")</f>
        <v/>
      </c>
      <c r="H495" s="96" t="str">
        <f>IFERROR((IF((VLOOKUP(B495,MORTALITY!$B$5:$B$1000,1,0))&gt;0,"Died","")),"")</f>
        <v/>
      </c>
      <c r="I495" s="96" t="str">
        <f ca="1">IFERROR(
   IF(LOOKUP(2,1/((ILLNESS!$B$6:$B$1000=B495)*(ILLNESS!$L$6:$L$1000&lt;&gt;"")),
            ILLNESS!$L$6:$L$1000)="No",
      "Sick",""),
"")</f>
        <v/>
      </c>
      <c r="J495" s="104"/>
      <c r="K495" s="97" t="str">
        <f t="shared" ca="1" si="29"/>
        <v/>
      </c>
      <c r="L495" s="97" t="str">
        <f t="shared" ca="1" si="30"/>
        <v/>
      </c>
      <c r="M495" s="76"/>
      <c r="N495" s="76"/>
      <c r="O495" s="76"/>
      <c r="P495" s="76"/>
      <c r="Q495" s="76"/>
      <c r="R495" s="76"/>
      <c r="S495" s="104"/>
      <c r="T495" s="104"/>
      <c r="U495" s="106"/>
      <c r="V495" s="98" t="str">
        <f>IF(OR(G495="Sold",H495="Died"),IF(G495="Sold",VLOOKUP(B495,SALE!$B$5:$J$1000,6,0),IF(H495="Died",VLOOKUP(B495,MORTALITY!$B$5:$K$1000,5,0),"")),"")</f>
        <v/>
      </c>
      <c r="W495" s="76"/>
    </row>
    <row r="496" spans="1:23">
      <c r="A496" s="93">
        <f t="shared" si="31"/>
        <v>492</v>
      </c>
      <c r="B496" s="94"/>
      <c r="C496" s="76"/>
      <c r="D496" s="76"/>
      <c r="E496" s="76"/>
      <c r="F496" s="94" t="str">
        <f t="shared" ca="1" si="28"/>
        <v/>
      </c>
      <c r="G496" s="96" t="str">
        <f>IFERROR((IF((VLOOKUP(B496,SALE!$B$5:$B$1000,1,0))&gt;0,"Sold","")),"")</f>
        <v/>
      </c>
      <c r="H496" s="96" t="str">
        <f>IFERROR((IF((VLOOKUP(B496,MORTALITY!$B$5:$B$1000,1,0))&gt;0,"Died","")),"")</f>
        <v/>
      </c>
      <c r="I496" s="96" t="str">
        <f ca="1">IFERROR(
   IF(LOOKUP(2,1/((ILLNESS!$B$6:$B$1000=B496)*(ILLNESS!$L$6:$L$1000&lt;&gt;"")),
            ILLNESS!$L$6:$L$1000)="No",
      "Sick",""),
"")</f>
        <v/>
      </c>
      <c r="J496" s="104"/>
      <c r="K496" s="97" t="str">
        <f t="shared" ca="1" si="29"/>
        <v/>
      </c>
      <c r="L496" s="97" t="str">
        <f t="shared" ca="1" si="30"/>
        <v/>
      </c>
      <c r="M496" s="76"/>
      <c r="N496" s="76"/>
      <c r="O496" s="76"/>
      <c r="P496" s="76"/>
      <c r="Q496" s="76"/>
      <c r="R496" s="76"/>
      <c r="S496" s="104"/>
      <c r="T496" s="104"/>
      <c r="U496" s="106"/>
      <c r="V496" s="98" t="str">
        <f>IF(OR(G496="Sold",H496="Died"),IF(G496="Sold",VLOOKUP(B496,SALE!$B$5:$J$1000,6,0),IF(H496="Died",VLOOKUP(B496,MORTALITY!$B$5:$K$1000,5,0),"")),"")</f>
        <v/>
      </c>
      <c r="W496" s="76"/>
    </row>
    <row r="497" spans="1:23">
      <c r="A497" s="93">
        <f t="shared" si="31"/>
        <v>493</v>
      </c>
      <c r="B497" s="94"/>
      <c r="C497" s="76"/>
      <c r="D497" s="76"/>
      <c r="E497" s="76"/>
      <c r="F497" s="94" t="str">
        <f t="shared" ca="1" si="28"/>
        <v/>
      </c>
      <c r="G497" s="96" t="str">
        <f>IFERROR((IF((VLOOKUP(B497,SALE!$B$5:$B$1000,1,0))&gt;0,"Sold","")),"")</f>
        <v/>
      </c>
      <c r="H497" s="96" t="str">
        <f>IFERROR((IF((VLOOKUP(B497,MORTALITY!$B$5:$B$1000,1,0))&gt;0,"Died","")),"")</f>
        <v/>
      </c>
      <c r="I497" s="96" t="str">
        <f ca="1">IFERROR(
   IF(LOOKUP(2,1/((ILLNESS!$B$6:$B$1000=B497)*(ILLNESS!$L$6:$L$1000&lt;&gt;"")),
            ILLNESS!$L$6:$L$1000)="No",
      "Sick",""),
"")</f>
        <v/>
      </c>
      <c r="J497" s="104"/>
      <c r="K497" s="97" t="str">
        <f t="shared" ca="1" si="29"/>
        <v/>
      </c>
      <c r="L497" s="97" t="str">
        <f t="shared" ca="1" si="30"/>
        <v/>
      </c>
      <c r="M497" s="76"/>
      <c r="N497" s="76"/>
      <c r="O497" s="76"/>
      <c r="P497" s="76"/>
      <c r="Q497" s="76"/>
      <c r="R497" s="76"/>
      <c r="S497" s="104"/>
      <c r="T497" s="104"/>
      <c r="U497" s="106"/>
      <c r="V497" s="98" t="str">
        <f>IF(OR(G497="Sold",H497="Died"),IF(G497="Sold",VLOOKUP(B497,SALE!$B$5:$J$1000,6,0),IF(H497="Died",VLOOKUP(B497,MORTALITY!$B$5:$K$1000,5,0),"")),"")</f>
        <v/>
      </c>
      <c r="W497" s="76"/>
    </row>
    <row r="498" spans="1:23">
      <c r="A498" s="93">
        <f t="shared" si="31"/>
        <v>494</v>
      </c>
      <c r="B498" s="94"/>
      <c r="C498" s="76"/>
      <c r="D498" s="76"/>
      <c r="E498" s="76"/>
      <c r="F498" s="94" t="str">
        <f t="shared" ca="1" si="28"/>
        <v/>
      </c>
      <c r="G498" s="96" t="str">
        <f>IFERROR((IF((VLOOKUP(B498,SALE!$B$5:$B$1000,1,0))&gt;0,"Sold","")),"")</f>
        <v/>
      </c>
      <c r="H498" s="96" t="str">
        <f>IFERROR((IF((VLOOKUP(B498,MORTALITY!$B$5:$B$1000,1,0))&gt;0,"Died","")),"")</f>
        <v/>
      </c>
      <c r="I498" s="96" t="str">
        <f ca="1">IFERROR(
   IF(LOOKUP(2,1/((ILLNESS!$B$6:$B$1000=B498)*(ILLNESS!$L$6:$L$1000&lt;&gt;"")),
            ILLNESS!$L$6:$L$1000)="No",
      "Sick",""),
"")</f>
        <v/>
      </c>
      <c r="J498" s="104"/>
      <c r="K498" s="97" t="str">
        <f t="shared" ca="1" si="29"/>
        <v/>
      </c>
      <c r="L498" s="97" t="str">
        <f t="shared" ca="1" si="30"/>
        <v/>
      </c>
      <c r="M498" s="76"/>
      <c r="N498" s="76"/>
      <c r="O498" s="76"/>
      <c r="P498" s="76"/>
      <c r="Q498" s="76"/>
      <c r="R498" s="76"/>
      <c r="S498" s="104"/>
      <c r="T498" s="104"/>
      <c r="U498" s="106"/>
      <c r="V498" s="98" t="str">
        <f>IF(OR(G498="Sold",H498="Died"),IF(G498="Sold",VLOOKUP(B498,SALE!$B$5:$J$1000,6,0),IF(H498="Died",VLOOKUP(B498,MORTALITY!$B$5:$K$1000,5,0),"")),"")</f>
        <v/>
      </c>
      <c r="W498" s="76"/>
    </row>
    <row r="499" spans="1:23">
      <c r="A499" s="93">
        <f t="shared" si="31"/>
        <v>495</v>
      </c>
      <c r="B499" s="94"/>
      <c r="C499" s="76"/>
      <c r="D499" s="76"/>
      <c r="E499" s="76"/>
      <c r="F499" s="94" t="str">
        <f t="shared" ca="1" si="28"/>
        <v/>
      </c>
      <c r="G499" s="96" t="str">
        <f>IFERROR((IF((VLOOKUP(B499,SALE!$B$5:$B$1000,1,0))&gt;0,"Sold","")),"")</f>
        <v/>
      </c>
      <c r="H499" s="96" t="str">
        <f>IFERROR((IF((VLOOKUP(B499,MORTALITY!$B$5:$B$1000,1,0))&gt;0,"Died","")),"")</f>
        <v/>
      </c>
      <c r="I499" s="96" t="str">
        <f ca="1">IFERROR(
   IF(LOOKUP(2,1/((ILLNESS!$B$6:$B$1000=B499)*(ILLNESS!$L$6:$L$1000&lt;&gt;"")),
            ILLNESS!$L$6:$L$1000)="No",
      "Sick",""),
"")</f>
        <v/>
      </c>
      <c r="J499" s="104"/>
      <c r="K499" s="97" t="str">
        <f t="shared" ca="1" si="29"/>
        <v/>
      </c>
      <c r="L499" s="97" t="str">
        <f t="shared" ca="1" si="30"/>
        <v/>
      </c>
      <c r="M499" s="76"/>
      <c r="N499" s="76"/>
      <c r="O499" s="76"/>
      <c r="P499" s="76"/>
      <c r="Q499" s="76"/>
      <c r="R499" s="76"/>
      <c r="S499" s="104"/>
      <c r="T499" s="104"/>
      <c r="U499" s="106"/>
      <c r="V499" s="98" t="str">
        <f>IF(OR(G499="Sold",H499="Died"),IF(G499="Sold",VLOOKUP(B499,SALE!$B$5:$J$1000,6,0),IF(H499="Died",VLOOKUP(B499,MORTALITY!$B$5:$K$1000,5,0),"")),"")</f>
        <v/>
      </c>
      <c r="W499" s="76"/>
    </row>
    <row r="500" spans="1:23">
      <c r="A500" s="93">
        <f t="shared" si="31"/>
        <v>496</v>
      </c>
      <c r="B500" s="94"/>
      <c r="C500" s="76"/>
      <c r="D500" s="76"/>
      <c r="E500" s="76"/>
      <c r="F500" s="94" t="str">
        <f t="shared" ca="1" si="28"/>
        <v/>
      </c>
      <c r="G500" s="96" t="str">
        <f>IFERROR((IF((VLOOKUP(B500,SALE!$B$5:$B$1000,1,0))&gt;0,"Sold","")),"")</f>
        <v/>
      </c>
      <c r="H500" s="96" t="str">
        <f>IFERROR((IF((VLOOKUP(B500,MORTALITY!$B$5:$B$1000,1,0))&gt;0,"Died","")),"")</f>
        <v/>
      </c>
      <c r="I500" s="96" t="str">
        <f ca="1">IFERROR(
   IF(LOOKUP(2,1/((ILLNESS!$B$6:$B$1000=B500)*(ILLNESS!$L$6:$L$1000&lt;&gt;"")),
            ILLNESS!$L$6:$L$1000)="No",
      "Sick",""),
"")</f>
        <v/>
      </c>
      <c r="J500" s="104"/>
      <c r="K500" s="97" t="str">
        <f t="shared" ca="1" si="29"/>
        <v/>
      </c>
      <c r="L500" s="97" t="str">
        <f t="shared" ca="1" si="30"/>
        <v/>
      </c>
      <c r="M500" s="76"/>
      <c r="N500" s="76"/>
      <c r="O500" s="76"/>
      <c r="P500" s="76"/>
      <c r="Q500" s="76"/>
      <c r="R500" s="76"/>
      <c r="S500" s="104"/>
      <c r="T500" s="104"/>
      <c r="U500" s="106"/>
      <c r="V500" s="98" t="str">
        <f>IF(OR(G500="Sold",H500="Died"),IF(G500="Sold",VLOOKUP(B500,SALE!$B$5:$J$1000,6,0),IF(H500="Died",VLOOKUP(B500,MORTALITY!$B$5:$K$1000,5,0),"")),"")</f>
        <v/>
      </c>
      <c r="W500" s="76"/>
    </row>
    <row r="501" spans="1:23">
      <c r="A501" s="93">
        <f t="shared" si="31"/>
        <v>497</v>
      </c>
      <c r="B501" s="94"/>
      <c r="C501" s="76"/>
      <c r="D501" s="76"/>
      <c r="E501" s="76"/>
      <c r="F501" s="94" t="str">
        <f t="shared" ca="1" si="28"/>
        <v/>
      </c>
      <c r="G501" s="96" t="str">
        <f>IFERROR((IF((VLOOKUP(B501,SALE!$B$5:$B$1000,1,0))&gt;0,"Sold","")),"")</f>
        <v/>
      </c>
      <c r="H501" s="96" t="str">
        <f>IFERROR((IF((VLOOKUP(B501,MORTALITY!$B$5:$B$1000,1,0))&gt;0,"Died","")),"")</f>
        <v/>
      </c>
      <c r="I501" s="96" t="str">
        <f ca="1">IFERROR(
   IF(LOOKUP(2,1/((ILLNESS!$B$6:$B$1000=B501)*(ILLNESS!$L$6:$L$1000&lt;&gt;"")),
            ILLNESS!$L$6:$L$1000)="No",
      "Sick",""),
"")</f>
        <v/>
      </c>
      <c r="J501" s="104"/>
      <c r="K501" s="97" t="str">
        <f t="shared" ca="1" si="29"/>
        <v/>
      </c>
      <c r="L501" s="97" t="str">
        <f t="shared" ca="1" si="30"/>
        <v/>
      </c>
      <c r="M501" s="76"/>
      <c r="N501" s="76"/>
      <c r="O501" s="76"/>
      <c r="P501" s="76"/>
      <c r="Q501" s="76"/>
      <c r="R501" s="76"/>
      <c r="S501" s="104"/>
      <c r="T501" s="104"/>
      <c r="U501" s="106"/>
      <c r="V501" s="98" t="str">
        <f>IF(OR(G501="Sold",H501="Died"),IF(G501="Sold",VLOOKUP(B501,SALE!$B$5:$J$1000,6,0),IF(H501="Died",VLOOKUP(B501,MORTALITY!$B$5:$K$1000,5,0),"")),"")</f>
        <v/>
      </c>
      <c r="W501" s="76"/>
    </row>
    <row r="502" spans="1:23">
      <c r="A502" s="93">
        <f t="shared" si="31"/>
        <v>498</v>
      </c>
      <c r="B502" s="94"/>
      <c r="C502" s="76"/>
      <c r="D502" s="76"/>
      <c r="E502" s="76"/>
      <c r="F502" s="94" t="str">
        <f t="shared" ca="1" si="28"/>
        <v/>
      </c>
      <c r="G502" s="96" t="str">
        <f>IFERROR((IF((VLOOKUP(B502,SALE!$B$5:$B$1000,1,0))&gt;0,"Sold","")),"")</f>
        <v/>
      </c>
      <c r="H502" s="96" t="str">
        <f>IFERROR((IF((VLOOKUP(B502,MORTALITY!$B$5:$B$1000,1,0))&gt;0,"Died","")),"")</f>
        <v/>
      </c>
      <c r="I502" s="96" t="str">
        <f ca="1">IFERROR(
   IF(LOOKUP(2,1/((ILLNESS!$B$6:$B$1000=B502)*(ILLNESS!$L$6:$L$1000&lt;&gt;"")),
            ILLNESS!$L$6:$L$1000)="No",
      "Sick",""),
"")</f>
        <v/>
      </c>
      <c r="J502" s="104"/>
      <c r="K502" s="97" t="str">
        <f t="shared" ca="1" si="29"/>
        <v/>
      </c>
      <c r="L502" s="97" t="str">
        <f t="shared" ca="1" si="30"/>
        <v/>
      </c>
      <c r="M502" s="76"/>
      <c r="N502" s="76"/>
      <c r="O502" s="76"/>
      <c r="P502" s="76"/>
      <c r="Q502" s="76"/>
      <c r="R502" s="76"/>
      <c r="S502" s="104"/>
      <c r="T502" s="104"/>
      <c r="U502" s="106"/>
      <c r="V502" s="98" t="str">
        <f>IF(OR(G502="Sold",H502="Died"),IF(G502="Sold",VLOOKUP(B502,SALE!$B$5:$J$1000,6,0),IF(H502="Died",VLOOKUP(B502,MORTALITY!$B$5:$K$1000,5,0),"")),"")</f>
        <v/>
      </c>
      <c r="W502" s="76"/>
    </row>
    <row r="503" spans="1:23">
      <c r="A503" s="93">
        <f t="shared" si="31"/>
        <v>499</v>
      </c>
      <c r="B503" s="94"/>
      <c r="C503" s="76"/>
      <c r="D503" s="76"/>
      <c r="E503" s="76"/>
      <c r="F503" s="94" t="str">
        <f t="shared" ca="1" si="28"/>
        <v/>
      </c>
      <c r="G503" s="96" t="str">
        <f>IFERROR((IF((VLOOKUP(B503,SALE!$B$5:$B$1000,1,0))&gt;0,"Sold","")),"")</f>
        <v/>
      </c>
      <c r="H503" s="96" t="str">
        <f>IFERROR((IF((VLOOKUP(B503,MORTALITY!$B$5:$B$1000,1,0))&gt;0,"Died","")),"")</f>
        <v/>
      </c>
      <c r="I503" s="96" t="str">
        <f ca="1">IFERROR(
   IF(LOOKUP(2,1/((ILLNESS!$B$6:$B$1000=B503)*(ILLNESS!$L$6:$L$1000&lt;&gt;"")),
            ILLNESS!$L$6:$L$1000)="No",
      "Sick",""),
"")</f>
        <v/>
      </c>
      <c r="J503" s="104"/>
      <c r="K503" s="97" t="str">
        <f t="shared" ca="1" si="29"/>
        <v/>
      </c>
      <c r="L503" s="97" t="str">
        <f t="shared" ca="1" si="30"/>
        <v/>
      </c>
      <c r="M503" s="76"/>
      <c r="N503" s="76"/>
      <c r="O503" s="76"/>
      <c r="P503" s="76"/>
      <c r="Q503" s="76"/>
      <c r="R503" s="76"/>
      <c r="S503" s="104"/>
      <c r="T503" s="104"/>
      <c r="U503" s="106"/>
      <c r="V503" s="98" t="str">
        <f>IF(OR(G503="Sold",H503="Died"),IF(G503="Sold",VLOOKUP(B503,SALE!$B$5:$J$1000,6,0),IF(H503="Died",VLOOKUP(B503,MORTALITY!$B$5:$K$1000,5,0),"")),"")</f>
        <v/>
      </c>
      <c r="W503" s="76"/>
    </row>
    <row r="504" spans="1:23">
      <c r="A504" s="93">
        <f t="shared" si="31"/>
        <v>500</v>
      </c>
      <c r="B504" s="94"/>
      <c r="C504" s="76"/>
      <c r="D504" s="76"/>
      <c r="E504" s="76"/>
      <c r="F504" s="94" t="str">
        <f t="shared" ca="1" si="28"/>
        <v/>
      </c>
      <c r="G504" s="96" t="str">
        <f>IFERROR((IF((VLOOKUP(B504,SALE!$B$5:$B$1000,1,0))&gt;0,"Sold","")),"")</f>
        <v/>
      </c>
      <c r="H504" s="96" t="str">
        <f>IFERROR((IF((VLOOKUP(B504,MORTALITY!$B$5:$B$1000,1,0))&gt;0,"Died","")),"")</f>
        <v/>
      </c>
      <c r="I504" s="96" t="str">
        <f ca="1">IFERROR(
   IF(LOOKUP(2,1/((ILLNESS!$B$6:$B$1000=B504)*(ILLNESS!$L$6:$L$1000&lt;&gt;"")),
            ILLNESS!$L$6:$L$1000)="No",
      "Sick",""),
"")</f>
        <v/>
      </c>
      <c r="J504" s="104"/>
      <c r="K504" s="97" t="str">
        <f t="shared" ca="1" si="29"/>
        <v/>
      </c>
      <c r="L504" s="97" t="str">
        <f t="shared" ca="1" si="30"/>
        <v/>
      </c>
      <c r="M504" s="76"/>
      <c r="N504" s="76"/>
      <c r="O504" s="76"/>
      <c r="P504" s="76"/>
      <c r="Q504" s="76"/>
      <c r="R504" s="76"/>
      <c r="S504" s="104"/>
      <c r="T504" s="104"/>
      <c r="U504" s="106"/>
      <c r="V504" s="98" t="str">
        <f>IF(OR(G504="Sold",H504="Died"),IF(G504="Sold",VLOOKUP(B504,SALE!$B$5:$J$1000,6,0),IF(H504="Died",VLOOKUP(B504,MORTALITY!$B$5:$K$1000,5,0),"")),"")</f>
        <v/>
      </c>
      <c r="W504" s="76"/>
    </row>
    <row r="505" spans="1:23">
      <c r="A505" s="93"/>
      <c r="B505" s="95"/>
      <c r="C505" s="76"/>
      <c r="D505" s="76"/>
      <c r="E505" s="76"/>
      <c r="F505" s="95"/>
      <c r="G505" s="95"/>
      <c r="H505" s="95"/>
      <c r="I505" s="95"/>
      <c r="J505" s="104"/>
      <c r="K505" s="99"/>
      <c r="L505" s="99"/>
      <c r="M505" s="76"/>
      <c r="N505" s="76"/>
      <c r="O505" s="76"/>
      <c r="P505" s="76"/>
      <c r="Q505" s="76"/>
      <c r="R505" s="76"/>
      <c r="S505" s="104"/>
      <c r="T505" s="104"/>
      <c r="U505" s="106"/>
      <c r="V505" s="100"/>
      <c r="W505" s="76"/>
    </row>
    <row r="506" spans="1:23">
      <c r="A506" s="93"/>
      <c r="B506" s="95"/>
      <c r="C506" s="76"/>
      <c r="D506" s="76"/>
      <c r="E506" s="76"/>
      <c r="F506" s="95"/>
      <c r="G506" s="95"/>
      <c r="H506" s="95"/>
      <c r="I506" s="95"/>
      <c r="J506" s="104"/>
      <c r="K506" s="99"/>
      <c r="L506" s="99"/>
      <c r="M506" s="76"/>
      <c r="N506" s="76"/>
      <c r="O506" s="76"/>
      <c r="P506" s="76"/>
      <c r="Q506" s="76"/>
      <c r="R506" s="76"/>
      <c r="S506" s="104"/>
      <c r="T506" s="104"/>
      <c r="U506" s="106"/>
      <c r="V506" s="100"/>
      <c r="W506" s="76"/>
    </row>
    <row r="507" spans="1:23">
      <c r="A507" s="93"/>
      <c r="B507" s="95"/>
      <c r="C507" s="76"/>
      <c r="D507" s="76"/>
      <c r="E507" s="76"/>
      <c r="F507" s="95"/>
      <c r="G507" s="95"/>
      <c r="H507" s="95"/>
      <c r="I507" s="95"/>
      <c r="J507" s="104"/>
      <c r="K507" s="99"/>
      <c r="L507" s="99"/>
      <c r="M507" s="76"/>
      <c r="N507" s="76"/>
      <c r="O507" s="76"/>
      <c r="P507" s="76"/>
      <c r="Q507" s="76"/>
      <c r="R507" s="76"/>
      <c r="S507" s="104"/>
      <c r="T507" s="104"/>
      <c r="U507" s="106"/>
      <c r="V507" s="100"/>
      <c r="W507" s="76"/>
    </row>
    <row r="508" spans="1:23">
      <c r="A508" s="93"/>
      <c r="B508" s="95"/>
      <c r="C508" s="76"/>
      <c r="D508" s="76"/>
      <c r="E508" s="76"/>
      <c r="F508" s="95"/>
      <c r="G508" s="95"/>
      <c r="H508" s="95"/>
      <c r="I508" s="95"/>
      <c r="J508" s="104"/>
      <c r="K508" s="99"/>
      <c r="L508" s="99"/>
      <c r="M508" s="76"/>
      <c r="N508" s="76"/>
      <c r="O508" s="76"/>
      <c r="P508" s="76"/>
      <c r="Q508" s="76"/>
      <c r="R508" s="76"/>
      <c r="S508" s="104"/>
      <c r="T508" s="104"/>
      <c r="U508" s="106"/>
      <c r="V508" s="100"/>
      <c r="W508" s="76"/>
    </row>
    <row r="509" spans="1:23">
      <c r="A509" s="93"/>
      <c r="B509" s="95"/>
      <c r="C509" s="76"/>
      <c r="D509" s="76"/>
      <c r="E509" s="76"/>
      <c r="F509" s="95"/>
      <c r="G509" s="95"/>
      <c r="H509" s="95"/>
      <c r="I509" s="95"/>
      <c r="J509" s="104"/>
      <c r="K509" s="99"/>
      <c r="L509" s="99"/>
      <c r="M509" s="76"/>
      <c r="N509" s="76"/>
      <c r="O509" s="76"/>
      <c r="P509" s="76"/>
      <c r="Q509" s="76"/>
      <c r="R509" s="76"/>
      <c r="S509" s="104"/>
      <c r="T509" s="104"/>
      <c r="U509" s="106"/>
      <c r="V509" s="100"/>
      <c r="W509" s="76"/>
    </row>
    <row r="510" spans="1:23">
      <c r="A510" s="93"/>
      <c r="B510" s="95"/>
      <c r="C510" s="76"/>
      <c r="D510" s="76"/>
      <c r="E510" s="76"/>
      <c r="F510" s="95"/>
      <c r="G510" s="95"/>
      <c r="H510" s="95"/>
      <c r="I510" s="95"/>
      <c r="J510" s="104"/>
      <c r="K510" s="99"/>
      <c r="L510" s="99"/>
      <c r="M510" s="76"/>
      <c r="N510" s="76"/>
      <c r="O510" s="76"/>
      <c r="P510" s="76"/>
      <c r="Q510" s="76"/>
      <c r="R510" s="76"/>
      <c r="S510" s="104"/>
      <c r="T510" s="104"/>
      <c r="U510" s="106"/>
      <c r="V510" s="100"/>
      <c r="W510" s="76"/>
    </row>
    <row r="511" spans="1:23">
      <c r="A511" s="93"/>
      <c r="B511" s="95"/>
      <c r="C511" s="76"/>
      <c r="D511" s="76"/>
      <c r="E511" s="76"/>
      <c r="F511" s="95"/>
      <c r="G511" s="95"/>
      <c r="H511" s="95"/>
      <c r="I511" s="95"/>
      <c r="J511" s="104"/>
      <c r="K511" s="99"/>
      <c r="L511" s="99"/>
      <c r="M511" s="76"/>
      <c r="N511" s="76"/>
      <c r="O511" s="76"/>
      <c r="P511" s="76"/>
      <c r="Q511" s="76"/>
      <c r="R511" s="76"/>
      <c r="S511" s="104"/>
      <c r="T511" s="104"/>
      <c r="U511" s="106"/>
      <c r="V511" s="100"/>
      <c r="W511" s="76"/>
    </row>
    <row r="512" spans="1:23">
      <c r="A512" s="93"/>
      <c r="B512" s="95"/>
      <c r="C512" s="76"/>
      <c r="D512" s="76"/>
      <c r="E512" s="76"/>
      <c r="F512" s="95"/>
      <c r="G512" s="95"/>
      <c r="H512" s="95"/>
      <c r="I512" s="95"/>
      <c r="J512" s="104"/>
      <c r="K512" s="99"/>
      <c r="L512" s="99"/>
      <c r="M512" s="76"/>
      <c r="N512" s="76"/>
      <c r="O512" s="76"/>
      <c r="P512" s="76"/>
      <c r="Q512" s="76"/>
      <c r="R512" s="76"/>
      <c r="S512" s="104"/>
      <c r="T512" s="104"/>
      <c r="U512" s="106"/>
      <c r="V512" s="100"/>
      <c r="W512" s="76"/>
    </row>
    <row r="513" spans="1:23">
      <c r="A513" s="93"/>
      <c r="B513" s="95"/>
      <c r="C513" s="76"/>
      <c r="D513" s="76"/>
      <c r="E513" s="76"/>
      <c r="F513" s="95"/>
      <c r="G513" s="95"/>
      <c r="H513" s="95"/>
      <c r="I513" s="95"/>
      <c r="J513" s="104"/>
      <c r="K513" s="99"/>
      <c r="L513" s="99"/>
      <c r="M513" s="76"/>
      <c r="N513" s="76"/>
      <c r="O513" s="76"/>
      <c r="P513" s="76"/>
      <c r="Q513" s="76"/>
      <c r="R513" s="76"/>
      <c r="S513" s="104"/>
      <c r="T513" s="104"/>
      <c r="U513" s="106"/>
      <c r="V513" s="100"/>
      <c r="W513" s="76"/>
    </row>
    <row r="514" spans="1:23">
      <c r="A514" s="93"/>
      <c r="B514" s="95"/>
      <c r="C514" s="76"/>
      <c r="D514" s="76"/>
      <c r="E514" s="76"/>
      <c r="F514" s="95"/>
      <c r="G514" s="95"/>
      <c r="H514" s="95"/>
      <c r="I514" s="95"/>
      <c r="J514" s="104"/>
      <c r="K514" s="99"/>
      <c r="L514" s="99"/>
      <c r="M514" s="76"/>
      <c r="N514" s="76"/>
      <c r="O514" s="76"/>
      <c r="P514" s="76"/>
      <c r="Q514" s="76"/>
      <c r="R514" s="76"/>
      <c r="S514" s="104"/>
      <c r="T514" s="104"/>
      <c r="U514" s="106"/>
      <c r="V514" s="100"/>
      <c r="W514" s="76"/>
    </row>
    <row r="515" spans="1:23">
      <c r="A515" s="93"/>
      <c r="B515" s="95"/>
      <c r="C515" s="76"/>
      <c r="D515" s="76"/>
      <c r="E515" s="76"/>
      <c r="F515" s="95"/>
      <c r="G515" s="95"/>
      <c r="H515" s="95"/>
      <c r="I515" s="95"/>
      <c r="J515" s="104"/>
      <c r="K515" s="99"/>
      <c r="L515" s="99"/>
      <c r="M515" s="76"/>
      <c r="N515" s="76"/>
      <c r="O515" s="76"/>
      <c r="P515" s="76"/>
      <c r="Q515" s="76"/>
      <c r="R515" s="76"/>
      <c r="S515" s="104"/>
      <c r="T515" s="104"/>
      <c r="U515" s="106"/>
      <c r="V515" s="100"/>
      <c r="W515" s="76"/>
    </row>
    <row r="516" spans="1:23">
      <c r="A516" s="93"/>
      <c r="B516" s="95"/>
      <c r="C516" s="76"/>
      <c r="D516" s="76"/>
      <c r="E516" s="76"/>
      <c r="F516" s="95"/>
      <c r="G516" s="95"/>
      <c r="H516" s="95"/>
      <c r="I516" s="95"/>
      <c r="J516" s="104"/>
      <c r="K516" s="99"/>
      <c r="L516" s="99"/>
      <c r="M516" s="76"/>
      <c r="N516" s="76"/>
      <c r="O516" s="76"/>
      <c r="P516" s="76"/>
      <c r="Q516" s="76"/>
      <c r="R516" s="76"/>
      <c r="S516" s="104"/>
      <c r="T516" s="104"/>
      <c r="U516" s="106"/>
      <c r="V516" s="100"/>
      <c r="W516" s="76"/>
    </row>
    <row r="517" spans="1:23">
      <c r="A517" s="93"/>
      <c r="B517" s="95"/>
      <c r="C517" s="76"/>
      <c r="D517" s="76"/>
      <c r="E517" s="76"/>
      <c r="F517" s="95"/>
      <c r="G517" s="95"/>
      <c r="H517" s="95"/>
      <c r="I517" s="95"/>
      <c r="J517" s="104"/>
      <c r="K517" s="99"/>
      <c r="L517" s="99"/>
      <c r="M517" s="76"/>
      <c r="N517" s="76"/>
      <c r="O517" s="76"/>
      <c r="P517" s="76"/>
      <c r="Q517" s="76"/>
      <c r="R517" s="76"/>
      <c r="S517" s="104"/>
      <c r="T517" s="104"/>
      <c r="U517" s="106"/>
      <c r="V517" s="100"/>
      <c r="W517" s="76"/>
    </row>
    <row r="518" spans="1:23">
      <c r="A518" s="93"/>
      <c r="B518" s="95"/>
      <c r="C518" s="76"/>
      <c r="D518" s="76"/>
      <c r="E518" s="76"/>
      <c r="F518" s="95"/>
      <c r="G518" s="95"/>
      <c r="H518" s="95"/>
      <c r="I518" s="95"/>
      <c r="J518" s="104"/>
      <c r="K518" s="99"/>
      <c r="L518" s="99"/>
      <c r="M518" s="76"/>
      <c r="N518" s="76"/>
      <c r="O518" s="76"/>
      <c r="P518" s="76"/>
      <c r="Q518" s="76"/>
      <c r="R518" s="76"/>
      <c r="S518" s="104"/>
      <c r="T518" s="104"/>
      <c r="U518" s="106"/>
      <c r="V518" s="100"/>
      <c r="W518" s="76"/>
    </row>
    <row r="519" spans="1:23">
      <c r="A519" s="93"/>
      <c r="B519" s="95"/>
      <c r="C519" s="76"/>
      <c r="D519" s="76"/>
      <c r="E519" s="76"/>
      <c r="F519" s="95"/>
      <c r="G519" s="95"/>
      <c r="H519" s="95"/>
      <c r="I519" s="95"/>
      <c r="J519" s="104"/>
      <c r="K519" s="99"/>
      <c r="L519" s="99"/>
      <c r="M519" s="76"/>
      <c r="N519" s="76"/>
      <c r="O519" s="76"/>
      <c r="P519" s="76"/>
      <c r="Q519" s="76"/>
      <c r="R519" s="76"/>
      <c r="S519" s="104"/>
      <c r="T519" s="104"/>
      <c r="U519" s="106"/>
      <c r="V519" s="100"/>
      <c r="W519" s="76"/>
    </row>
    <row r="520" spans="1:23">
      <c r="A520" s="93"/>
      <c r="B520" s="95"/>
      <c r="C520" s="76"/>
      <c r="D520" s="76"/>
      <c r="E520" s="76"/>
      <c r="F520" s="95"/>
      <c r="G520" s="95"/>
      <c r="H520" s="95"/>
      <c r="I520" s="95"/>
      <c r="J520" s="104"/>
      <c r="K520" s="99"/>
      <c r="L520" s="99"/>
      <c r="M520" s="76"/>
      <c r="N520" s="76"/>
      <c r="O520" s="76"/>
      <c r="P520" s="76"/>
      <c r="Q520" s="76"/>
      <c r="R520" s="76"/>
      <c r="S520" s="104"/>
      <c r="T520" s="104"/>
      <c r="U520" s="106"/>
      <c r="V520" s="100"/>
      <c r="W520" s="76"/>
    </row>
    <row r="521" spans="1:23">
      <c r="A521" s="93"/>
      <c r="B521" s="95"/>
      <c r="C521" s="76"/>
      <c r="D521" s="76"/>
      <c r="E521" s="76"/>
      <c r="F521" s="95"/>
      <c r="G521" s="95"/>
      <c r="H521" s="95"/>
      <c r="I521" s="95"/>
      <c r="J521" s="104"/>
      <c r="K521" s="99"/>
      <c r="L521" s="99"/>
      <c r="M521" s="76"/>
      <c r="N521" s="76"/>
      <c r="O521" s="76"/>
      <c r="P521" s="76"/>
      <c r="Q521" s="76"/>
      <c r="R521" s="76"/>
      <c r="S521" s="104"/>
      <c r="T521" s="104"/>
      <c r="U521" s="106"/>
      <c r="V521" s="100"/>
      <c r="W521" s="76"/>
    </row>
    <row r="522" spans="1:23">
      <c r="A522" s="93"/>
      <c r="B522" s="95"/>
      <c r="C522" s="76"/>
      <c r="D522" s="76"/>
      <c r="E522" s="76"/>
      <c r="F522" s="95"/>
      <c r="G522" s="95"/>
      <c r="H522" s="95"/>
      <c r="I522" s="95"/>
      <c r="J522" s="104"/>
      <c r="K522" s="99"/>
      <c r="L522" s="99"/>
      <c r="M522" s="76"/>
      <c r="N522" s="76"/>
      <c r="O522" s="76"/>
      <c r="P522" s="76"/>
      <c r="Q522" s="76"/>
      <c r="R522" s="76"/>
      <c r="S522" s="104"/>
      <c r="T522" s="104"/>
      <c r="U522" s="106"/>
      <c r="V522" s="100"/>
      <c r="W522" s="76"/>
    </row>
    <row r="523" spans="1:23">
      <c r="A523" s="93"/>
      <c r="B523" s="95"/>
      <c r="C523" s="76"/>
      <c r="D523" s="76"/>
      <c r="E523" s="76"/>
      <c r="F523" s="95"/>
      <c r="G523" s="95"/>
      <c r="H523" s="95"/>
      <c r="I523" s="95"/>
      <c r="J523" s="104"/>
      <c r="K523" s="99"/>
      <c r="L523" s="99"/>
      <c r="M523" s="76"/>
      <c r="N523" s="76"/>
      <c r="O523" s="76"/>
      <c r="P523" s="76"/>
      <c r="Q523" s="76"/>
      <c r="R523" s="76"/>
      <c r="S523" s="104"/>
      <c r="T523" s="104"/>
      <c r="U523" s="106"/>
      <c r="V523" s="100"/>
      <c r="W523" s="76"/>
    </row>
    <row r="524" spans="1:23">
      <c r="A524" s="93"/>
      <c r="B524" s="95"/>
      <c r="C524" s="76"/>
      <c r="D524" s="76"/>
      <c r="E524" s="76"/>
      <c r="F524" s="95"/>
      <c r="G524" s="95"/>
      <c r="H524" s="95"/>
      <c r="I524" s="95"/>
      <c r="J524" s="104"/>
      <c r="K524" s="99"/>
      <c r="L524" s="99"/>
      <c r="M524" s="76"/>
      <c r="N524" s="76"/>
      <c r="O524" s="76"/>
      <c r="P524" s="76"/>
      <c r="Q524" s="76"/>
      <c r="R524" s="76"/>
      <c r="S524" s="104"/>
      <c r="T524" s="104"/>
      <c r="U524" s="106"/>
      <c r="V524" s="100"/>
      <c r="W524" s="76"/>
    </row>
    <row r="525" spans="1:23">
      <c r="A525" s="93"/>
      <c r="B525" s="95"/>
      <c r="C525" s="76"/>
      <c r="D525" s="76"/>
      <c r="E525" s="76"/>
      <c r="F525" s="95"/>
      <c r="G525" s="95"/>
      <c r="H525" s="95"/>
      <c r="I525" s="95"/>
      <c r="J525" s="104"/>
      <c r="K525" s="99"/>
      <c r="L525" s="99"/>
      <c r="M525" s="76"/>
      <c r="N525" s="76"/>
      <c r="O525" s="76"/>
      <c r="P525" s="76"/>
      <c r="Q525" s="76"/>
      <c r="R525" s="76"/>
      <c r="S525" s="104"/>
      <c r="T525" s="104"/>
      <c r="U525" s="106"/>
      <c r="V525" s="100"/>
      <c r="W525" s="76"/>
    </row>
    <row r="526" spans="1:23">
      <c r="A526" s="93"/>
      <c r="B526" s="95"/>
      <c r="C526" s="76"/>
      <c r="D526" s="76"/>
      <c r="E526" s="76"/>
      <c r="F526" s="95"/>
      <c r="G526" s="95"/>
      <c r="H526" s="95"/>
      <c r="I526" s="95"/>
      <c r="J526" s="104"/>
      <c r="K526" s="99"/>
      <c r="L526" s="99"/>
      <c r="M526" s="76"/>
      <c r="N526" s="76"/>
      <c r="O526" s="76"/>
      <c r="P526" s="76"/>
      <c r="Q526" s="76"/>
      <c r="R526" s="76"/>
      <c r="S526" s="104"/>
      <c r="T526" s="104"/>
      <c r="U526" s="106"/>
      <c r="V526" s="100"/>
      <c r="W526" s="76"/>
    </row>
    <row r="527" spans="1:23">
      <c r="A527" s="93"/>
      <c r="B527" s="95"/>
      <c r="C527" s="76"/>
      <c r="D527" s="76"/>
      <c r="E527" s="76"/>
      <c r="F527" s="95"/>
      <c r="G527" s="95"/>
      <c r="H527" s="95"/>
      <c r="I527" s="95"/>
      <c r="J527" s="104"/>
      <c r="K527" s="99"/>
      <c r="L527" s="99"/>
      <c r="M527" s="76"/>
      <c r="N527" s="76"/>
      <c r="O527" s="76"/>
      <c r="P527" s="76"/>
      <c r="Q527" s="76"/>
      <c r="R527" s="76"/>
      <c r="S527" s="104"/>
      <c r="T527" s="104"/>
      <c r="U527" s="106"/>
      <c r="V527" s="100"/>
      <c r="W527" s="76"/>
    </row>
    <row r="528" spans="1:23">
      <c r="A528" s="93"/>
      <c r="B528" s="95"/>
      <c r="C528" s="76"/>
      <c r="D528" s="76"/>
      <c r="E528" s="76"/>
      <c r="F528" s="95"/>
      <c r="G528" s="95"/>
      <c r="H528" s="95"/>
      <c r="I528" s="95"/>
      <c r="J528" s="104"/>
      <c r="K528" s="99"/>
      <c r="L528" s="99"/>
      <c r="M528" s="76"/>
      <c r="N528" s="76"/>
      <c r="O528" s="76"/>
      <c r="P528" s="76"/>
      <c r="Q528" s="76"/>
      <c r="R528" s="76"/>
      <c r="S528" s="104"/>
      <c r="T528" s="104"/>
      <c r="U528" s="106"/>
      <c r="V528" s="100"/>
      <c r="W528" s="76"/>
    </row>
    <row r="529" spans="1:23">
      <c r="A529" s="93"/>
      <c r="B529" s="95"/>
      <c r="C529" s="76"/>
      <c r="D529" s="76"/>
      <c r="E529" s="76"/>
      <c r="F529" s="95"/>
      <c r="G529" s="95"/>
      <c r="H529" s="95"/>
      <c r="I529" s="95"/>
      <c r="J529" s="104"/>
      <c r="K529" s="99"/>
      <c r="L529" s="99"/>
      <c r="M529" s="76"/>
      <c r="N529" s="76"/>
      <c r="O529" s="76"/>
      <c r="P529" s="76"/>
      <c r="Q529" s="76"/>
      <c r="R529" s="76"/>
      <c r="S529" s="104"/>
      <c r="T529" s="104"/>
      <c r="U529" s="106"/>
      <c r="V529" s="100"/>
      <c r="W529" s="76"/>
    </row>
    <row r="530" spans="1:23">
      <c r="A530" s="93"/>
      <c r="B530" s="95"/>
      <c r="C530" s="76"/>
      <c r="D530" s="76"/>
      <c r="E530" s="76"/>
      <c r="F530" s="95"/>
      <c r="G530" s="95"/>
      <c r="H530" s="95"/>
      <c r="I530" s="95"/>
      <c r="J530" s="104"/>
      <c r="K530" s="99"/>
      <c r="L530" s="99"/>
      <c r="M530" s="76"/>
      <c r="N530" s="76"/>
      <c r="O530" s="76"/>
      <c r="P530" s="76"/>
      <c r="Q530" s="76"/>
      <c r="R530" s="76"/>
      <c r="S530" s="104"/>
      <c r="T530" s="104"/>
      <c r="U530" s="106"/>
      <c r="V530" s="100"/>
      <c r="W530" s="76"/>
    </row>
    <row r="531" spans="1:23">
      <c r="A531" s="93"/>
      <c r="B531" s="95"/>
      <c r="C531" s="76"/>
      <c r="D531" s="76"/>
      <c r="E531" s="76"/>
      <c r="F531" s="95"/>
      <c r="G531" s="95"/>
      <c r="H531" s="95"/>
      <c r="I531" s="95"/>
      <c r="J531" s="104"/>
      <c r="K531" s="99"/>
      <c r="L531" s="99"/>
      <c r="M531" s="76"/>
      <c r="N531" s="76"/>
      <c r="O531" s="76"/>
      <c r="P531" s="76"/>
      <c r="Q531" s="76"/>
      <c r="R531" s="76"/>
      <c r="S531" s="104"/>
      <c r="T531" s="104"/>
      <c r="U531" s="106"/>
      <c r="V531" s="100"/>
      <c r="W531" s="76"/>
    </row>
    <row r="532" spans="1:23">
      <c r="A532" s="93"/>
      <c r="B532" s="95"/>
      <c r="C532" s="76"/>
      <c r="D532" s="76"/>
      <c r="E532" s="76"/>
      <c r="F532" s="95"/>
      <c r="G532" s="95"/>
      <c r="H532" s="95"/>
      <c r="I532" s="95"/>
      <c r="J532" s="104"/>
      <c r="K532" s="99"/>
      <c r="L532" s="99"/>
      <c r="M532" s="76"/>
      <c r="N532" s="76"/>
      <c r="O532" s="76"/>
      <c r="P532" s="76"/>
      <c r="Q532" s="76"/>
      <c r="R532" s="76"/>
      <c r="S532" s="104"/>
      <c r="T532" s="104"/>
      <c r="U532" s="106"/>
      <c r="V532" s="100"/>
      <c r="W532" s="76"/>
    </row>
    <row r="533" spans="1:23">
      <c r="A533" s="93"/>
      <c r="B533" s="95"/>
      <c r="C533" s="76"/>
      <c r="D533" s="76"/>
      <c r="E533" s="76"/>
      <c r="F533" s="95"/>
      <c r="G533" s="95"/>
      <c r="H533" s="95"/>
      <c r="I533" s="95"/>
      <c r="J533" s="104"/>
      <c r="K533" s="99"/>
      <c r="L533" s="99"/>
      <c r="M533" s="76"/>
      <c r="N533" s="76"/>
      <c r="O533" s="76"/>
      <c r="P533" s="76"/>
      <c r="Q533" s="76"/>
      <c r="R533" s="76"/>
      <c r="S533" s="104"/>
      <c r="T533" s="104"/>
      <c r="U533" s="106"/>
      <c r="V533" s="100"/>
      <c r="W533" s="76"/>
    </row>
    <row r="534" spans="1:23">
      <c r="A534" s="93"/>
      <c r="B534" s="95"/>
      <c r="C534" s="76"/>
      <c r="D534" s="76"/>
      <c r="E534" s="76"/>
      <c r="F534" s="95"/>
      <c r="G534" s="95"/>
      <c r="H534" s="95"/>
      <c r="I534" s="95"/>
      <c r="J534" s="104"/>
      <c r="K534" s="99"/>
      <c r="L534" s="99"/>
      <c r="M534" s="76"/>
      <c r="N534" s="76"/>
      <c r="O534" s="76"/>
      <c r="P534" s="76"/>
      <c r="Q534" s="76"/>
      <c r="R534" s="76"/>
      <c r="S534" s="104"/>
      <c r="T534" s="104"/>
      <c r="U534" s="106"/>
      <c r="V534" s="100"/>
      <c r="W534" s="76"/>
    </row>
    <row r="535" spans="1:23">
      <c r="A535" s="93"/>
      <c r="B535" s="95"/>
      <c r="C535" s="76"/>
      <c r="D535" s="76"/>
      <c r="E535" s="76"/>
      <c r="F535" s="95"/>
      <c r="G535" s="95"/>
      <c r="H535" s="95"/>
      <c r="I535" s="95"/>
      <c r="J535" s="104"/>
      <c r="K535" s="99"/>
      <c r="L535" s="99"/>
      <c r="M535" s="76"/>
      <c r="N535" s="76"/>
      <c r="O535" s="76"/>
      <c r="P535" s="76"/>
      <c r="Q535" s="76"/>
      <c r="R535" s="76"/>
      <c r="S535" s="104"/>
      <c r="T535" s="104"/>
      <c r="U535" s="106"/>
      <c r="V535" s="100"/>
      <c r="W535" s="76"/>
    </row>
    <row r="536" spans="1:23">
      <c r="A536" s="93"/>
      <c r="B536" s="95"/>
      <c r="C536" s="76"/>
      <c r="D536" s="76"/>
      <c r="E536" s="76"/>
      <c r="F536" s="95"/>
      <c r="G536" s="95"/>
      <c r="H536" s="95"/>
      <c r="I536" s="95"/>
      <c r="J536" s="104"/>
      <c r="K536" s="99"/>
      <c r="L536" s="99"/>
      <c r="M536" s="76"/>
      <c r="N536" s="76"/>
      <c r="O536" s="76"/>
      <c r="P536" s="76"/>
      <c r="Q536" s="76"/>
      <c r="R536" s="76"/>
      <c r="S536" s="104"/>
      <c r="T536" s="104"/>
      <c r="U536" s="106"/>
      <c r="V536" s="100"/>
      <c r="W536" s="76"/>
    </row>
    <row r="537" spans="1:23">
      <c r="A537" s="93"/>
      <c r="B537" s="95"/>
      <c r="C537" s="76"/>
      <c r="D537" s="76"/>
      <c r="E537" s="76"/>
      <c r="F537" s="95"/>
      <c r="G537" s="95"/>
      <c r="H537" s="95"/>
      <c r="I537" s="95"/>
      <c r="J537" s="104"/>
      <c r="K537" s="99"/>
      <c r="L537" s="99"/>
      <c r="M537" s="76"/>
      <c r="N537" s="76"/>
      <c r="O537" s="76"/>
      <c r="P537" s="76"/>
      <c r="Q537" s="76"/>
      <c r="R537" s="76"/>
      <c r="S537" s="104"/>
      <c r="T537" s="104"/>
      <c r="U537" s="106"/>
      <c r="V537" s="100"/>
      <c r="W537" s="76"/>
    </row>
    <row r="538" spans="1:23">
      <c r="A538" s="93"/>
      <c r="B538" s="95"/>
      <c r="C538" s="76"/>
      <c r="D538" s="76"/>
      <c r="E538" s="76"/>
      <c r="F538" s="95"/>
      <c r="G538" s="95"/>
      <c r="H538" s="95"/>
      <c r="I538" s="95"/>
      <c r="J538" s="104"/>
      <c r="K538" s="99"/>
      <c r="L538" s="99"/>
      <c r="M538" s="76"/>
      <c r="N538" s="76"/>
      <c r="O538" s="76"/>
      <c r="P538" s="76"/>
      <c r="Q538" s="76"/>
      <c r="R538" s="76"/>
      <c r="S538" s="104"/>
      <c r="T538" s="104"/>
      <c r="U538" s="106"/>
      <c r="V538" s="100"/>
      <c r="W538" s="76"/>
    </row>
    <row r="539" spans="1:23">
      <c r="A539" s="93"/>
      <c r="B539" s="95"/>
      <c r="C539" s="76"/>
      <c r="D539" s="76"/>
      <c r="E539" s="76"/>
      <c r="F539" s="95"/>
      <c r="G539" s="95"/>
      <c r="H539" s="95"/>
      <c r="I539" s="95"/>
      <c r="J539" s="104"/>
      <c r="K539" s="99"/>
      <c r="L539" s="99"/>
      <c r="M539" s="76"/>
      <c r="N539" s="76"/>
      <c r="O539" s="76"/>
      <c r="P539" s="76"/>
      <c r="Q539" s="76"/>
      <c r="R539" s="76"/>
      <c r="S539" s="104"/>
      <c r="T539" s="104"/>
      <c r="U539" s="106"/>
      <c r="V539" s="100"/>
      <c r="W539" s="76"/>
    </row>
    <row r="540" spans="1:23">
      <c r="A540" s="93"/>
      <c r="B540" s="95"/>
      <c r="C540" s="76"/>
      <c r="D540" s="76"/>
      <c r="E540" s="76"/>
      <c r="F540" s="95"/>
      <c r="G540" s="95"/>
      <c r="H540" s="95"/>
      <c r="I540" s="95"/>
      <c r="J540" s="104"/>
      <c r="K540" s="99"/>
      <c r="L540" s="99"/>
      <c r="M540" s="76"/>
      <c r="N540" s="76"/>
      <c r="O540" s="76"/>
      <c r="P540" s="76"/>
      <c r="Q540" s="76"/>
      <c r="R540" s="76"/>
      <c r="S540" s="104"/>
      <c r="T540" s="104"/>
      <c r="U540" s="106"/>
      <c r="V540" s="100"/>
      <c r="W540" s="76"/>
    </row>
    <row r="541" spans="1:23">
      <c r="A541" s="93"/>
      <c r="B541" s="95"/>
      <c r="C541" s="76"/>
      <c r="D541" s="76"/>
      <c r="E541" s="76"/>
      <c r="F541" s="95"/>
      <c r="G541" s="95"/>
      <c r="H541" s="95"/>
      <c r="I541" s="95"/>
      <c r="J541" s="104"/>
      <c r="K541" s="99"/>
      <c r="L541" s="99"/>
      <c r="M541" s="76"/>
      <c r="N541" s="76"/>
      <c r="O541" s="76"/>
      <c r="P541" s="76"/>
      <c r="Q541" s="76"/>
      <c r="R541" s="76"/>
      <c r="S541" s="104"/>
      <c r="T541" s="104"/>
      <c r="U541" s="106"/>
      <c r="V541" s="100"/>
      <c r="W541" s="76"/>
    </row>
    <row r="542" spans="1:23">
      <c r="A542" s="93"/>
      <c r="B542" s="95"/>
      <c r="C542" s="76"/>
      <c r="D542" s="76"/>
      <c r="E542" s="76"/>
      <c r="F542" s="95"/>
      <c r="G542" s="95"/>
      <c r="H542" s="95"/>
      <c r="I542" s="95"/>
      <c r="J542" s="104"/>
      <c r="K542" s="99"/>
      <c r="L542" s="99"/>
      <c r="M542" s="76"/>
      <c r="N542" s="76"/>
      <c r="O542" s="76"/>
      <c r="P542" s="76"/>
      <c r="Q542" s="76"/>
      <c r="R542" s="76"/>
      <c r="S542" s="104"/>
      <c r="T542" s="104"/>
      <c r="U542" s="106"/>
      <c r="V542" s="100"/>
      <c r="W542" s="76"/>
    </row>
    <row r="543" spans="1:23">
      <c r="A543" s="93"/>
      <c r="B543" s="95"/>
      <c r="C543" s="76"/>
      <c r="D543" s="76"/>
      <c r="E543" s="76"/>
      <c r="F543" s="95"/>
      <c r="G543" s="95"/>
      <c r="H543" s="95"/>
      <c r="I543" s="95"/>
      <c r="J543" s="104"/>
      <c r="K543" s="99"/>
      <c r="L543" s="99"/>
      <c r="M543" s="76"/>
      <c r="N543" s="76"/>
      <c r="O543" s="76"/>
      <c r="P543" s="76"/>
      <c r="Q543" s="76"/>
      <c r="R543" s="76"/>
      <c r="S543" s="104"/>
      <c r="T543" s="104"/>
      <c r="U543" s="106"/>
      <c r="V543" s="100"/>
      <c r="W543" s="76"/>
    </row>
    <row r="544" spans="1:23">
      <c r="A544" s="93"/>
      <c r="B544" s="95"/>
      <c r="C544" s="76"/>
      <c r="D544" s="76"/>
      <c r="E544" s="76"/>
      <c r="F544" s="95"/>
      <c r="G544" s="95"/>
      <c r="H544" s="95"/>
      <c r="I544" s="95"/>
      <c r="J544" s="104"/>
      <c r="K544" s="99"/>
      <c r="L544" s="99"/>
      <c r="M544" s="76"/>
      <c r="N544" s="76"/>
      <c r="O544" s="76"/>
      <c r="P544" s="76"/>
      <c r="Q544" s="76"/>
      <c r="R544" s="76"/>
      <c r="S544" s="104"/>
      <c r="T544" s="104"/>
      <c r="U544" s="106"/>
      <c r="V544" s="100"/>
      <c r="W544" s="76"/>
    </row>
    <row r="545" spans="1:23">
      <c r="A545" s="93"/>
      <c r="B545" s="95"/>
      <c r="C545" s="76"/>
      <c r="D545" s="76"/>
      <c r="E545" s="76"/>
      <c r="F545" s="95"/>
      <c r="G545" s="95"/>
      <c r="H545" s="95"/>
      <c r="I545" s="95"/>
      <c r="J545" s="104"/>
      <c r="K545" s="99"/>
      <c r="L545" s="99"/>
      <c r="M545" s="76"/>
      <c r="N545" s="76"/>
      <c r="O545" s="76"/>
      <c r="P545" s="76"/>
      <c r="Q545" s="76"/>
      <c r="R545" s="76"/>
      <c r="S545" s="104"/>
      <c r="T545" s="104"/>
      <c r="U545" s="106"/>
      <c r="V545" s="100"/>
      <c r="W545" s="76"/>
    </row>
    <row r="546" spans="1:23">
      <c r="A546" s="93"/>
      <c r="B546" s="95"/>
      <c r="C546" s="76"/>
      <c r="D546" s="76"/>
      <c r="E546" s="76"/>
      <c r="F546" s="95"/>
      <c r="G546" s="95"/>
      <c r="H546" s="95"/>
      <c r="I546" s="95"/>
      <c r="J546" s="104"/>
      <c r="K546" s="99"/>
      <c r="L546" s="99"/>
      <c r="M546" s="76"/>
      <c r="N546" s="76"/>
      <c r="O546" s="76"/>
      <c r="P546" s="76"/>
      <c r="Q546" s="76"/>
      <c r="R546" s="76"/>
      <c r="S546" s="104"/>
      <c r="T546" s="104"/>
      <c r="U546" s="106"/>
      <c r="V546" s="100"/>
      <c r="W546" s="76"/>
    </row>
    <row r="547" spans="1:23">
      <c r="A547" s="93"/>
      <c r="B547" s="95"/>
      <c r="C547" s="76"/>
      <c r="D547" s="76"/>
      <c r="E547" s="76"/>
      <c r="F547" s="95"/>
      <c r="G547" s="95"/>
      <c r="H547" s="95"/>
      <c r="I547" s="95"/>
      <c r="J547" s="104"/>
      <c r="K547" s="99"/>
      <c r="L547" s="99"/>
      <c r="M547" s="76"/>
      <c r="N547" s="76"/>
      <c r="O547" s="76"/>
      <c r="P547" s="76"/>
      <c r="Q547" s="76"/>
      <c r="R547" s="76"/>
      <c r="S547" s="104"/>
      <c r="T547" s="104"/>
      <c r="U547" s="106"/>
      <c r="V547" s="100"/>
      <c r="W547" s="76"/>
    </row>
    <row r="548" spans="1:23">
      <c r="A548" s="93"/>
      <c r="B548" s="95"/>
      <c r="C548" s="76"/>
      <c r="D548" s="76"/>
      <c r="E548" s="76"/>
      <c r="F548" s="95"/>
      <c r="G548" s="95"/>
      <c r="H548" s="95"/>
      <c r="I548" s="95"/>
      <c r="J548" s="104"/>
      <c r="K548" s="99"/>
      <c r="L548" s="99"/>
      <c r="M548" s="76"/>
      <c r="N548" s="76"/>
      <c r="O548" s="76"/>
      <c r="P548" s="76"/>
      <c r="Q548" s="76"/>
      <c r="R548" s="76"/>
      <c r="S548" s="104"/>
      <c r="T548" s="104"/>
      <c r="U548" s="106"/>
      <c r="V548" s="100"/>
      <c r="W548" s="76"/>
    </row>
    <row r="549" spans="1:23">
      <c r="A549" s="93"/>
      <c r="B549" s="95"/>
      <c r="C549" s="76"/>
      <c r="D549" s="76"/>
      <c r="E549" s="76"/>
      <c r="F549" s="95"/>
      <c r="G549" s="95"/>
      <c r="H549" s="95"/>
      <c r="I549" s="95"/>
      <c r="J549" s="104"/>
      <c r="K549" s="99"/>
      <c r="L549" s="99"/>
      <c r="M549" s="76"/>
      <c r="N549" s="76"/>
      <c r="O549" s="76"/>
      <c r="P549" s="76"/>
      <c r="Q549" s="76"/>
      <c r="R549" s="76"/>
      <c r="S549" s="104"/>
      <c r="T549" s="104"/>
      <c r="U549" s="106"/>
      <c r="V549" s="100"/>
      <c r="W549" s="76"/>
    </row>
    <row r="550" spans="1:23">
      <c r="A550" s="93"/>
      <c r="B550" s="95"/>
      <c r="C550" s="76"/>
      <c r="D550" s="76"/>
      <c r="E550" s="76"/>
      <c r="F550" s="95"/>
      <c r="G550" s="95"/>
      <c r="H550" s="95"/>
      <c r="I550" s="95"/>
      <c r="J550" s="104"/>
      <c r="K550" s="99"/>
      <c r="L550" s="99"/>
      <c r="M550" s="76"/>
      <c r="N550" s="76"/>
      <c r="O550" s="76"/>
      <c r="P550" s="76"/>
      <c r="Q550" s="76"/>
      <c r="R550" s="76"/>
      <c r="S550" s="104"/>
      <c r="T550" s="104"/>
      <c r="U550" s="106"/>
      <c r="V550" s="100"/>
      <c r="W550" s="76"/>
    </row>
    <row r="551" spans="1:23">
      <c r="A551" s="93"/>
      <c r="B551" s="95"/>
      <c r="C551" s="76"/>
      <c r="D551" s="76"/>
      <c r="E551" s="76"/>
      <c r="F551" s="95"/>
      <c r="G551" s="95"/>
      <c r="H551" s="95"/>
      <c r="I551" s="95"/>
      <c r="J551" s="104"/>
      <c r="K551" s="99"/>
      <c r="L551" s="99"/>
      <c r="M551" s="76"/>
      <c r="N551" s="76"/>
      <c r="O551" s="76"/>
      <c r="P551" s="76"/>
      <c r="Q551" s="76"/>
      <c r="R551" s="76"/>
      <c r="S551" s="104"/>
      <c r="T551" s="104"/>
      <c r="U551" s="106"/>
      <c r="V551" s="100"/>
      <c r="W551" s="76"/>
    </row>
    <row r="552" spans="1:23">
      <c r="A552" s="93"/>
      <c r="B552" s="95"/>
      <c r="C552" s="76"/>
      <c r="D552" s="76"/>
      <c r="E552" s="76"/>
      <c r="F552" s="95"/>
      <c r="G552" s="95"/>
      <c r="H552" s="95"/>
      <c r="I552" s="95"/>
      <c r="J552" s="104"/>
      <c r="K552" s="99"/>
      <c r="L552" s="99"/>
      <c r="M552" s="76"/>
      <c r="N552" s="76"/>
      <c r="O552" s="76"/>
      <c r="P552" s="76"/>
      <c r="Q552" s="76"/>
      <c r="R552" s="76"/>
      <c r="S552" s="104"/>
      <c r="T552" s="104"/>
      <c r="U552" s="106"/>
      <c r="V552" s="100"/>
      <c r="W552" s="76"/>
    </row>
    <row r="553" spans="1:23">
      <c r="A553" s="93"/>
      <c r="B553" s="95"/>
      <c r="C553" s="76"/>
      <c r="D553" s="76"/>
      <c r="E553" s="76"/>
      <c r="F553" s="95"/>
      <c r="G553" s="95"/>
      <c r="H553" s="95"/>
      <c r="I553" s="95"/>
      <c r="J553" s="104"/>
      <c r="K553" s="99"/>
      <c r="L553" s="99"/>
      <c r="M553" s="76"/>
      <c r="N553" s="76"/>
      <c r="O553" s="76"/>
      <c r="P553" s="76"/>
      <c r="Q553" s="76"/>
      <c r="R553" s="76"/>
      <c r="S553" s="104"/>
      <c r="T553" s="104"/>
      <c r="U553" s="106"/>
      <c r="V553" s="100"/>
      <c r="W553" s="76"/>
    </row>
    <row r="554" spans="1:23">
      <c r="A554" s="93"/>
      <c r="B554" s="95"/>
      <c r="C554" s="76"/>
      <c r="D554" s="76"/>
      <c r="E554" s="76"/>
      <c r="F554" s="95"/>
      <c r="G554" s="95"/>
      <c r="H554" s="95"/>
      <c r="I554" s="95"/>
      <c r="J554" s="104"/>
      <c r="K554" s="99"/>
      <c r="L554" s="99"/>
      <c r="M554" s="76"/>
      <c r="N554" s="76"/>
      <c r="O554" s="76"/>
      <c r="P554" s="76"/>
      <c r="Q554" s="76"/>
      <c r="R554" s="76"/>
      <c r="S554" s="104"/>
      <c r="T554" s="104"/>
      <c r="U554" s="106"/>
      <c r="V554" s="100"/>
      <c r="W554" s="76"/>
    </row>
    <row r="555" spans="1:23">
      <c r="A555" s="93"/>
      <c r="B555" s="95"/>
      <c r="C555" s="76"/>
      <c r="D555" s="76"/>
      <c r="E555" s="76"/>
      <c r="F555" s="95"/>
      <c r="G555" s="95"/>
      <c r="H555" s="95"/>
      <c r="I555" s="95"/>
      <c r="J555" s="104"/>
      <c r="K555" s="99"/>
      <c r="L555" s="99"/>
      <c r="M555" s="76"/>
      <c r="N555" s="76"/>
      <c r="O555" s="76"/>
      <c r="P555" s="76"/>
      <c r="Q555" s="76"/>
      <c r="R555" s="76"/>
      <c r="S555" s="104"/>
      <c r="T555" s="104"/>
      <c r="U555" s="106"/>
      <c r="V555" s="100"/>
      <c r="W555" s="76"/>
    </row>
    <row r="556" spans="1:23">
      <c r="A556" s="93"/>
      <c r="B556" s="95"/>
      <c r="C556" s="76"/>
      <c r="D556" s="76"/>
      <c r="E556" s="76"/>
      <c r="F556" s="95"/>
      <c r="G556" s="95"/>
      <c r="H556" s="95"/>
      <c r="I556" s="95"/>
      <c r="J556" s="104"/>
      <c r="K556" s="99"/>
      <c r="L556" s="99"/>
      <c r="M556" s="76"/>
      <c r="N556" s="76"/>
      <c r="O556" s="76"/>
      <c r="P556" s="76"/>
      <c r="Q556" s="76"/>
      <c r="R556" s="76"/>
      <c r="S556" s="104"/>
      <c r="T556" s="104"/>
      <c r="U556" s="106"/>
      <c r="V556" s="100"/>
      <c r="W556" s="76"/>
    </row>
    <row r="557" spans="1:23">
      <c r="A557" s="93"/>
      <c r="B557" s="95"/>
      <c r="C557" s="76"/>
      <c r="D557" s="76"/>
      <c r="E557" s="76"/>
      <c r="F557" s="95"/>
      <c r="G557" s="95"/>
      <c r="H557" s="95"/>
      <c r="I557" s="95"/>
      <c r="J557" s="104"/>
      <c r="K557" s="99"/>
      <c r="L557" s="99"/>
      <c r="M557" s="76"/>
      <c r="N557" s="76"/>
      <c r="O557" s="76"/>
      <c r="P557" s="76"/>
      <c r="Q557" s="76"/>
      <c r="R557" s="76"/>
      <c r="S557" s="104"/>
      <c r="T557" s="104"/>
      <c r="U557" s="106"/>
      <c r="V557" s="100"/>
      <c r="W557" s="76"/>
    </row>
    <row r="558" spans="1:23">
      <c r="A558" s="93"/>
      <c r="B558" s="95"/>
      <c r="C558" s="76"/>
      <c r="D558" s="76"/>
      <c r="E558" s="76"/>
      <c r="F558" s="95"/>
      <c r="G558" s="95"/>
      <c r="H558" s="95"/>
      <c r="I558" s="95"/>
      <c r="J558" s="104"/>
      <c r="K558" s="99"/>
      <c r="L558" s="99"/>
      <c r="M558" s="76"/>
      <c r="N558" s="76"/>
      <c r="O558" s="76"/>
      <c r="P558" s="76"/>
      <c r="Q558" s="76"/>
      <c r="R558" s="76"/>
      <c r="S558" s="104"/>
      <c r="T558" s="104"/>
      <c r="U558" s="106"/>
      <c r="V558" s="100"/>
      <c r="W558" s="76"/>
    </row>
    <row r="559" spans="1:23">
      <c r="A559" s="93"/>
      <c r="B559" s="95"/>
      <c r="C559" s="76"/>
      <c r="D559" s="76"/>
      <c r="E559" s="76"/>
      <c r="F559" s="95"/>
      <c r="G559" s="95"/>
      <c r="H559" s="95"/>
      <c r="I559" s="95"/>
      <c r="J559" s="104"/>
      <c r="K559" s="99"/>
      <c r="L559" s="99"/>
      <c r="M559" s="76"/>
      <c r="N559" s="76"/>
      <c r="O559" s="76"/>
      <c r="P559" s="76"/>
      <c r="Q559" s="76"/>
      <c r="R559" s="76"/>
      <c r="S559" s="104"/>
      <c r="T559" s="104"/>
      <c r="U559" s="106"/>
      <c r="V559" s="100"/>
      <c r="W559" s="76"/>
    </row>
    <row r="560" spans="1:23">
      <c r="A560" s="93"/>
      <c r="B560" s="95"/>
      <c r="C560" s="76"/>
      <c r="D560" s="76"/>
      <c r="E560" s="76"/>
      <c r="F560" s="95"/>
      <c r="G560" s="95"/>
      <c r="H560" s="95"/>
      <c r="I560" s="95"/>
      <c r="J560" s="104"/>
      <c r="K560" s="99"/>
      <c r="L560" s="99"/>
      <c r="M560" s="76"/>
      <c r="N560" s="76"/>
      <c r="O560" s="76"/>
      <c r="P560" s="76"/>
      <c r="Q560" s="76"/>
      <c r="R560" s="76"/>
      <c r="S560" s="104"/>
      <c r="T560" s="104"/>
      <c r="U560" s="106"/>
      <c r="V560" s="100"/>
      <c r="W560" s="76"/>
    </row>
    <row r="561" spans="1:23">
      <c r="A561" s="93"/>
      <c r="B561" s="95"/>
      <c r="C561" s="76"/>
      <c r="D561" s="76"/>
      <c r="E561" s="76"/>
      <c r="F561" s="95"/>
      <c r="G561" s="95"/>
      <c r="H561" s="95"/>
      <c r="I561" s="95"/>
      <c r="J561" s="104"/>
      <c r="K561" s="99"/>
      <c r="L561" s="99"/>
      <c r="M561" s="76"/>
      <c r="N561" s="76"/>
      <c r="O561" s="76"/>
      <c r="P561" s="76"/>
      <c r="Q561" s="76"/>
      <c r="R561" s="76"/>
      <c r="S561" s="104"/>
      <c r="T561" s="104"/>
      <c r="U561" s="106"/>
      <c r="V561" s="100"/>
      <c r="W561" s="76"/>
    </row>
    <row r="562" spans="1:23">
      <c r="A562" s="93"/>
      <c r="B562" s="95"/>
      <c r="C562" s="76"/>
      <c r="D562" s="76"/>
      <c r="E562" s="76"/>
      <c r="F562" s="95"/>
      <c r="G562" s="95"/>
      <c r="H562" s="95"/>
      <c r="I562" s="95"/>
      <c r="J562" s="104"/>
      <c r="K562" s="99"/>
      <c r="L562" s="99"/>
      <c r="M562" s="76"/>
      <c r="N562" s="76"/>
      <c r="O562" s="76"/>
      <c r="P562" s="76"/>
      <c r="Q562" s="76"/>
      <c r="R562" s="76"/>
      <c r="S562" s="104"/>
      <c r="T562" s="104"/>
      <c r="U562" s="106"/>
      <c r="V562" s="100"/>
      <c r="W562" s="76"/>
    </row>
    <row r="563" spans="1:23">
      <c r="A563" s="93"/>
      <c r="B563" s="95"/>
      <c r="C563" s="76"/>
      <c r="D563" s="76"/>
      <c r="E563" s="76"/>
      <c r="F563" s="95"/>
      <c r="G563" s="95"/>
      <c r="H563" s="95"/>
      <c r="I563" s="95"/>
      <c r="J563" s="104"/>
      <c r="K563" s="99"/>
      <c r="L563" s="99"/>
      <c r="M563" s="76"/>
      <c r="N563" s="76"/>
      <c r="O563" s="76"/>
      <c r="P563" s="76"/>
      <c r="Q563" s="76"/>
      <c r="R563" s="76"/>
      <c r="S563" s="104"/>
      <c r="T563" s="104"/>
      <c r="U563" s="106"/>
      <c r="V563" s="100"/>
      <c r="W563" s="76"/>
    </row>
    <row r="564" spans="1:23">
      <c r="A564" s="93"/>
      <c r="B564" s="95"/>
      <c r="C564" s="76"/>
      <c r="D564" s="76"/>
      <c r="E564" s="76"/>
      <c r="F564" s="95"/>
      <c r="G564" s="95"/>
      <c r="H564" s="95"/>
      <c r="I564" s="95"/>
      <c r="J564" s="104"/>
      <c r="K564" s="99"/>
      <c r="L564" s="99"/>
      <c r="M564" s="76"/>
      <c r="N564" s="76"/>
      <c r="O564" s="76"/>
      <c r="P564" s="76"/>
      <c r="Q564" s="76"/>
      <c r="R564" s="76"/>
      <c r="S564" s="104"/>
      <c r="T564" s="104"/>
      <c r="U564" s="106"/>
      <c r="V564" s="100"/>
      <c r="W564" s="76"/>
    </row>
    <row r="565" spans="1:23">
      <c r="A565" s="93"/>
      <c r="B565" s="95"/>
      <c r="C565" s="76"/>
      <c r="D565" s="76"/>
      <c r="E565" s="76"/>
      <c r="F565" s="95"/>
      <c r="G565" s="95"/>
      <c r="H565" s="95"/>
      <c r="I565" s="95"/>
      <c r="J565" s="104"/>
      <c r="K565" s="99"/>
      <c r="L565" s="99"/>
      <c r="M565" s="76"/>
      <c r="N565" s="76"/>
      <c r="O565" s="76"/>
      <c r="P565" s="76"/>
      <c r="Q565" s="76"/>
      <c r="R565" s="76"/>
      <c r="S565" s="104"/>
      <c r="T565" s="104"/>
      <c r="U565" s="106"/>
      <c r="V565" s="100"/>
      <c r="W565" s="76"/>
    </row>
    <row r="566" spans="1:23">
      <c r="A566" s="93"/>
      <c r="B566" s="95"/>
      <c r="C566" s="76"/>
      <c r="D566" s="76"/>
      <c r="E566" s="76"/>
      <c r="F566" s="95"/>
      <c r="G566" s="95"/>
      <c r="H566" s="95"/>
      <c r="I566" s="95"/>
      <c r="J566" s="104"/>
      <c r="K566" s="99"/>
      <c r="L566" s="99"/>
      <c r="M566" s="76"/>
      <c r="N566" s="76"/>
      <c r="O566" s="76"/>
      <c r="P566" s="76"/>
      <c r="Q566" s="76"/>
      <c r="R566" s="76"/>
      <c r="S566" s="104"/>
      <c r="T566" s="104"/>
      <c r="U566" s="106"/>
      <c r="V566" s="100"/>
      <c r="W566" s="76"/>
    </row>
    <row r="567" spans="1:23">
      <c r="A567" s="93"/>
      <c r="B567" s="95"/>
      <c r="C567" s="76"/>
      <c r="D567" s="76"/>
      <c r="E567" s="76"/>
      <c r="F567" s="95"/>
      <c r="G567" s="95"/>
      <c r="H567" s="95"/>
      <c r="I567" s="95"/>
      <c r="J567" s="104"/>
      <c r="K567" s="99"/>
      <c r="L567" s="99"/>
      <c r="M567" s="76"/>
      <c r="N567" s="76"/>
      <c r="O567" s="76"/>
      <c r="P567" s="76"/>
      <c r="Q567" s="76"/>
      <c r="R567" s="76"/>
      <c r="S567" s="104"/>
      <c r="T567" s="104"/>
      <c r="U567" s="106"/>
      <c r="V567" s="100"/>
      <c r="W567" s="76"/>
    </row>
    <row r="568" spans="1:23">
      <c r="A568" s="93"/>
      <c r="B568" s="95"/>
      <c r="C568" s="76"/>
      <c r="D568" s="76"/>
      <c r="E568" s="76"/>
      <c r="F568" s="95"/>
      <c r="G568" s="95"/>
      <c r="H568" s="95"/>
      <c r="I568" s="95"/>
      <c r="J568" s="104"/>
      <c r="K568" s="99"/>
      <c r="L568" s="99"/>
      <c r="M568" s="76"/>
      <c r="N568" s="76"/>
      <c r="O568" s="76"/>
      <c r="P568" s="76"/>
      <c r="Q568" s="76"/>
      <c r="R568" s="76"/>
      <c r="S568" s="104"/>
      <c r="T568" s="104"/>
      <c r="U568" s="106"/>
      <c r="V568" s="100"/>
      <c r="W568" s="76"/>
    </row>
    <row r="569" spans="1:23">
      <c r="A569" s="93"/>
      <c r="B569" s="95"/>
      <c r="C569" s="76"/>
      <c r="D569" s="76"/>
      <c r="E569" s="76"/>
      <c r="F569" s="95"/>
      <c r="G569" s="95"/>
      <c r="H569" s="95"/>
      <c r="I569" s="95"/>
      <c r="J569" s="104"/>
      <c r="K569" s="99"/>
      <c r="L569" s="99"/>
      <c r="M569" s="76"/>
      <c r="N569" s="76"/>
      <c r="O569" s="76"/>
      <c r="P569" s="76"/>
      <c r="Q569" s="76"/>
      <c r="R569" s="76"/>
      <c r="S569" s="104"/>
      <c r="T569" s="104"/>
      <c r="U569" s="106"/>
      <c r="V569" s="100"/>
      <c r="W569" s="76"/>
    </row>
    <row r="570" spans="1:23">
      <c r="A570" s="93"/>
      <c r="B570" s="95"/>
      <c r="C570" s="76"/>
      <c r="D570" s="76"/>
      <c r="E570" s="76"/>
      <c r="F570" s="95"/>
      <c r="G570" s="95"/>
      <c r="H570" s="95"/>
      <c r="I570" s="95"/>
      <c r="J570" s="104"/>
      <c r="K570" s="99"/>
      <c r="L570" s="99"/>
      <c r="M570" s="76"/>
      <c r="N570" s="76"/>
      <c r="O570" s="76"/>
      <c r="P570" s="76"/>
      <c r="Q570" s="76"/>
      <c r="R570" s="76"/>
      <c r="S570" s="104"/>
      <c r="T570" s="104"/>
      <c r="U570" s="106"/>
      <c r="V570" s="100"/>
      <c r="W570" s="76"/>
    </row>
    <row r="571" spans="1:23">
      <c r="A571" s="93"/>
      <c r="B571" s="95"/>
      <c r="C571" s="76"/>
      <c r="D571" s="76"/>
      <c r="E571" s="76"/>
      <c r="F571" s="95"/>
      <c r="G571" s="95"/>
      <c r="H571" s="95"/>
      <c r="I571" s="95"/>
      <c r="J571" s="104"/>
      <c r="K571" s="99"/>
      <c r="L571" s="99"/>
      <c r="M571" s="76"/>
      <c r="N571" s="76"/>
      <c r="O571" s="76"/>
      <c r="P571" s="76"/>
      <c r="Q571" s="76"/>
      <c r="R571" s="76"/>
      <c r="S571" s="104"/>
      <c r="T571" s="104"/>
      <c r="U571" s="106"/>
      <c r="V571" s="100"/>
      <c r="W571" s="76"/>
    </row>
    <row r="572" spans="1:23">
      <c r="A572" s="93"/>
      <c r="B572" s="95"/>
      <c r="C572" s="76"/>
      <c r="D572" s="76"/>
      <c r="E572" s="76"/>
      <c r="F572" s="95"/>
      <c r="G572" s="95"/>
      <c r="H572" s="95"/>
      <c r="I572" s="95"/>
      <c r="J572" s="104"/>
      <c r="K572" s="99"/>
      <c r="L572" s="99"/>
      <c r="M572" s="76"/>
      <c r="N572" s="76"/>
      <c r="O572" s="76"/>
      <c r="P572" s="76"/>
      <c r="Q572" s="76"/>
      <c r="R572" s="76"/>
      <c r="S572" s="104"/>
      <c r="T572" s="104"/>
      <c r="U572" s="106"/>
      <c r="V572" s="100"/>
      <c r="W572" s="76"/>
    </row>
    <row r="573" spans="1:23">
      <c r="A573" s="93"/>
      <c r="B573" s="95"/>
      <c r="C573" s="76"/>
      <c r="D573" s="76"/>
      <c r="E573" s="76"/>
      <c r="F573" s="95"/>
      <c r="G573" s="95"/>
      <c r="H573" s="95"/>
      <c r="I573" s="95"/>
      <c r="J573" s="104"/>
      <c r="K573" s="99"/>
      <c r="L573" s="99"/>
      <c r="M573" s="76"/>
      <c r="N573" s="76"/>
      <c r="O573" s="76"/>
      <c r="P573" s="76"/>
      <c r="Q573" s="76"/>
      <c r="R573" s="76"/>
      <c r="S573" s="104"/>
      <c r="T573" s="104"/>
      <c r="U573" s="106"/>
      <c r="V573" s="100"/>
      <c r="W573" s="76"/>
    </row>
    <row r="574" spans="1:23">
      <c r="A574" s="93"/>
      <c r="B574" s="95"/>
      <c r="C574" s="76"/>
      <c r="D574" s="76"/>
      <c r="E574" s="76"/>
      <c r="F574" s="95"/>
      <c r="G574" s="95"/>
      <c r="H574" s="95"/>
      <c r="I574" s="95"/>
      <c r="J574" s="104"/>
      <c r="K574" s="99"/>
      <c r="L574" s="99"/>
      <c r="M574" s="76"/>
      <c r="N574" s="76"/>
      <c r="O574" s="76"/>
      <c r="P574" s="76"/>
      <c r="Q574" s="76"/>
      <c r="R574" s="76"/>
      <c r="S574" s="104"/>
      <c r="T574" s="104"/>
      <c r="U574" s="106"/>
      <c r="V574" s="100"/>
      <c r="W574" s="76"/>
    </row>
    <row r="575" spans="1:23">
      <c r="A575" s="93"/>
      <c r="B575" s="95"/>
      <c r="C575" s="76"/>
      <c r="D575" s="76"/>
      <c r="E575" s="76"/>
      <c r="F575" s="95"/>
      <c r="G575" s="95"/>
      <c r="H575" s="95"/>
      <c r="I575" s="95"/>
      <c r="J575" s="104"/>
      <c r="K575" s="99"/>
      <c r="L575" s="99"/>
      <c r="M575" s="76"/>
      <c r="N575" s="76"/>
      <c r="O575" s="76"/>
      <c r="P575" s="76"/>
      <c r="Q575" s="76"/>
      <c r="R575" s="76"/>
      <c r="S575" s="104"/>
      <c r="T575" s="104"/>
      <c r="U575" s="106"/>
      <c r="V575" s="100"/>
      <c r="W575" s="76"/>
    </row>
    <row r="576" spans="1:23">
      <c r="A576" s="93"/>
      <c r="B576" s="95"/>
      <c r="C576" s="76"/>
      <c r="D576" s="76"/>
      <c r="E576" s="76"/>
      <c r="F576" s="95"/>
      <c r="G576" s="95"/>
      <c r="H576" s="95"/>
      <c r="I576" s="95"/>
      <c r="J576" s="104"/>
      <c r="K576" s="99"/>
      <c r="L576" s="99"/>
      <c r="M576" s="76"/>
      <c r="N576" s="76"/>
      <c r="O576" s="76"/>
      <c r="P576" s="76"/>
      <c r="Q576" s="76"/>
      <c r="R576" s="76"/>
      <c r="S576" s="104"/>
      <c r="T576" s="104"/>
      <c r="U576" s="106"/>
      <c r="V576" s="100"/>
      <c r="W576" s="76"/>
    </row>
    <row r="577" spans="1:23">
      <c r="A577" s="93"/>
      <c r="B577" s="95"/>
      <c r="C577" s="76"/>
      <c r="D577" s="76"/>
      <c r="E577" s="76"/>
      <c r="F577" s="95"/>
      <c r="G577" s="95"/>
      <c r="H577" s="95"/>
      <c r="I577" s="95"/>
      <c r="J577" s="104"/>
      <c r="K577" s="99"/>
      <c r="L577" s="99"/>
      <c r="M577" s="76"/>
      <c r="N577" s="76"/>
      <c r="O577" s="76"/>
      <c r="P577" s="76"/>
      <c r="Q577" s="76"/>
      <c r="R577" s="76"/>
      <c r="S577" s="104"/>
      <c r="T577" s="104"/>
      <c r="U577" s="106"/>
      <c r="V577" s="100"/>
      <c r="W577" s="76"/>
    </row>
    <row r="578" spans="1:23">
      <c r="A578" s="93"/>
      <c r="B578" s="95"/>
      <c r="C578" s="76"/>
      <c r="D578" s="76"/>
      <c r="E578" s="76"/>
      <c r="F578" s="95"/>
      <c r="G578" s="95"/>
      <c r="H578" s="95"/>
      <c r="I578" s="95"/>
      <c r="J578" s="104"/>
      <c r="K578" s="99"/>
      <c r="L578" s="99"/>
      <c r="M578" s="76"/>
      <c r="N578" s="76"/>
      <c r="O578" s="76"/>
      <c r="P578" s="76"/>
      <c r="Q578" s="76"/>
      <c r="R578" s="76"/>
      <c r="S578" s="104"/>
      <c r="T578" s="104"/>
      <c r="U578" s="106"/>
      <c r="V578" s="100"/>
      <c r="W578" s="76"/>
    </row>
    <row r="579" spans="1:23">
      <c r="A579" s="93"/>
      <c r="B579" s="95"/>
      <c r="C579" s="76"/>
      <c r="D579" s="76"/>
      <c r="E579" s="76"/>
      <c r="F579" s="95"/>
      <c r="G579" s="95"/>
      <c r="H579" s="95"/>
      <c r="I579" s="95"/>
      <c r="J579" s="104"/>
      <c r="K579" s="99"/>
      <c r="L579" s="99"/>
      <c r="M579" s="76"/>
      <c r="N579" s="76"/>
      <c r="O579" s="76"/>
      <c r="P579" s="76"/>
      <c r="Q579" s="76"/>
      <c r="R579" s="76"/>
      <c r="S579" s="104"/>
      <c r="T579" s="104"/>
      <c r="U579" s="106"/>
      <c r="V579" s="100"/>
      <c r="W579" s="76"/>
    </row>
    <row r="580" spans="1:23">
      <c r="A580" s="93"/>
      <c r="B580" s="95"/>
      <c r="C580" s="76"/>
      <c r="D580" s="76"/>
      <c r="E580" s="76"/>
      <c r="F580" s="95"/>
      <c r="G580" s="95"/>
      <c r="H580" s="95"/>
      <c r="I580" s="95"/>
      <c r="J580" s="104"/>
      <c r="K580" s="99"/>
      <c r="L580" s="99"/>
      <c r="M580" s="76"/>
      <c r="N580" s="76"/>
      <c r="O580" s="76"/>
      <c r="P580" s="76"/>
      <c r="Q580" s="76"/>
      <c r="R580" s="76"/>
      <c r="S580" s="104"/>
      <c r="T580" s="104"/>
      <c r="U580" s="106"/>
      <c r="V580" s="100"/>
      <c r="W580" s="76"/>
    </row>
    <row r="581" spans="1:23">
      <c r="A581" s="93"/>
      <c r="B581" s="95"/>
      <c r="C581" s="76"/>
      <c r="D581" s="76"/>
      <c r="E581" s="76"/>
      <c r="F581" s="95"/>
      <c r="G581" s="95"/>
      <c r="H581" s="95"/>
      <c r="I581" s="95"/>
      <c r="J581" s="104"/>
      <c r="K581" s="99"/>
      <c r="L581" s="99"/>
      <c r="M581" s="76"/>
      <c r="N581" s="76"/>
      <c r="O581" s="76"/>
      <c r="P581" s="76"/>
      <c r="Q581" s="76"/>
      <c r="R581" s="76"/>
      <c r="S581" s="104"/>
      <c r="T581" s="104"/>
      <c r="U581" s="106"/>
      <c r="V581" s="100"/>
      <c r="W581" s="76"/>
    </row>
    <row r="582" spans="1:23">
      <c r="A582" s="93"/>
      <c r="B582" s="95"/>
      <c r="C582" s="76"/>
      <c r="D582" s="76"/>
      <c r="E582" s="76"/>
      <c r="F582" s="95"/>
      <c r="G582" s="95"/>
      <c r="H582" s="95"/>
      <c r="I582" s="95"/>
      <c r="J582" s="104"/>
      <c r="K582" s="99"/>
      <c r="L582" s="99"/>
      <c r="M582" s="76"/>
      <c r="N582" s="76"/>
      <c r="O582" s="76"/>
      <c r="P582" s="76"/>
      <c r="Q582" s="76"/>
      <c r="R582" s="76"/>
      <c r="S582" s="104"/>
      <c r="T582" s="104"/>
      <c r="U582" s="106"/>
      <c r="V582" s="100"/>
      <c r="W582" s="76"/>
    </row>
    <row r="583" spans="1:23">
      <c r="A583" s="93"/>
      <c r="B583" s="95"/>
      <c r="C583" s="76"/>
      <c r="D583" s="76"/>
      <c r="E583" s="76"/>
      <c r="F583" s="95"/>
      <c r="G583" s="95"/>
      <c r="H583" s="95"/>
      <c r="I583" s="95"/>
      <c r="J583" s="104"/>
      <c r="K583" s="99"/>
      <c r="L583" s="99"/>
      <c r="M583" s="76"/>
      <c r="N583" s="76"/>
      <c r="O583" s="76"/>
      <c r="P583" s="76"/>
      <c r="Q583" s="76"/>
      <c r="R583" s="76"/>
      <c r="S583" s="104"/>
      <c r="T583" s="104"/>
      <c r="U583" s="106"/>
      <c r="V583" s="100"/>
      <c r="W583" s="76"/>
    </row>
    <row r="584" spans="1:23">
      <c r="A584" s="93"/>
      <c r="B584" s="95"/>
      <c r="C584" s="76"/>
      <c r="D584" s="76"/>
      <c r="E584" s="76"/>
      <c r="F584" s="95"/>
      <c r="G584" s="95"/>
      <c r="H584" s="95"/>
      <c r="I584" s="95"/>
      <c r="J584" s="104"/>
      <c r="K584" s="99"/>
      <c r="L584" s="99"/>
      <c r="M584" s="76"/>
      <c r="N584" s="76"/>
      <c r="O584" s="76"/>
      <c r="P584" s="76"/>
      <c r="Q584" s="76"/>
      <c r="R584" s="76"/>
      <c r="S584" s="104"/>
      <c r="T584" s="104"/>
      <c r="U584" s="106"/>
      <c r="V584" s="100"/>
      <c r="W584" s="76"/>
    </row>
    <row r="585" spans="1:23">
      <c r="A585" s="93"/>
      <c r="B585" s="95"/>
      <c r="C585" s="76"/>
      <c r="D585" s="76"/>
      <c r="E585" s="76"/>
      <c r="F585" s="95"/>
      <c r="G585" s="95"/>
      <c r="H585" s="95"/>
      <c r="I585" s="95"/>
      <c r="J585" s="104"/>
      <c r="K585" s="99"/>
      <c r="L585" s="99"/>
      <c r="M585" s="76"/>
      <c r="N585" s="76"/>
      <c r="O585" s="76"/>
      <c r="P585" s="76"/>
      <c r="Q585" s="76"/>
      <c r="R585" s="76"/>
      <c r="S585" s="104"/>
      <c r="T585" s="104"/>
      <c r="U585" s="106"/>
      <c r="V585" s="100"/>
      <c r="W585" s="76"/>
    </row>
    <row r="586" spans="1:23">
      <c r="A586" s="93"/>
      <c r="B586" s="95"/>
      <c r="C586" s="76"/>
      <c r="D586" s="76"/>
      <c r="E586" s="76"/>
      <c r="F586" s="95"/>
      <c r="G586" s="95"/>
      <c r="H586" s="95"/>
      <c r="I586" s="95"/>
      <c r="J586" s="104"/>
      <c r="K586" s="99"/>
      <c r="L586" s="99"/>
      <c r="M586" s="76"/>
      <c r="N586" s="76"/>
      <c r="O586" s="76"/>
      <c r="P586" s="76"/>
      <c r="Q586" s="76"/>
      <c r="R586" s="76"/>
      <c r="S586" s="104"/>
      <c r="T586" s="104"/>
      <c r="U586" s="106"/>
      <c r="V586" s="100"/>
      <c r="W586" s="76"/>
    </row>
    <row r="587" spans="1:23">
      <c r="A587" s="93"/>
      <c r="B587" s="95"/>
      <c r="C587" s="76"/>
      <c r="D587" s="76"/>
      <c r="E587" s="76"/>
      <c r="F587" s="95"/>
      <c r="G587" s="95"/>
      <c r="H587" s="95"/>
      <c r="I587" s="95"/>
      <c r="J587" s="104"/>
      <c r="K587" s="99"/>
      <c r="L587" s="99"/>
      <c r="M587" s="76"/>
      <c r="N587" s="76"/>
      <c r="O587" s="76"/>
      <c r="P587" s="76"/>
      <c r="Q587" s="76"/>
      <c r="R587" s="76"/>
      <c r="S587" s="104"/>
      <c r="T587" s="104"/>
      <c r="U587" s="106"/>
      <c r="V587" s="100"/>
      <c r="W587" s="76"/>
    </row>
    <row r="588" spans="1:23">
      <c r="A588" s="93"/>
      <c r="B588" s="95"/>
      <c r="C588" s="76"/>
      <c r="D588" s="76"/>
      <c r="E588" s="76"/>
      <c r="F588" s="95"/>
      <c r="G588" s="95"/>
      <c r="H588" s="95"/>
      <c r="I588" s="95"/>
      <c r="J588" s="104"/>
      <c r="K588" s="99"/>
      <c r="L588" s="99"/>
      <c r="M588" s="76"/>
      <c r="N588" s="76"/>
      <c r="O588" s="76"/>
      <c r="P588" s="76"/>
      <c r="Q588" s="76"/>
      <c r="R588" s="76"/>
      <c r="S588" s="104"/>
      <c r="T588" s="104"/>
      <c r="U588" s="106"/>
      <c r="V588" s="100"/>
      <c r="W588" s="76"/>
    </row>
    <row r="589" spans="1:23">
      <c r="A589" s="93"/>
      <c r="B589" s="95"/>
      <c r="C589" s="76"/>
      <c r="D589" s="76"/>
      <c r="E589" s="76"/>
      <c r="F589" s="95"/>
      <c r="G589" s="95"/>
      <c r="H589" s="95"/>
      <c r="I589" s="95"/>
      <c r="J589" s="104"/>
      <c r="K589" s="99"/>
      <c r="L589" s="99"/>
      <c r="M589" s="76"/>
      <c r="N589" s="76"/>
      <c r="O589" s="76"/>
      <c r="P589" s="76"/>
      <c r="Q589" s="76"/>
      <c r="R589" s="76"/>
      <c r="S589" s="104"/>
      <c r="T589" s="104"/>
      <c r="U589" s="106"/>
      <c r="V589" s="100"/>
      <c r="W589" s="76"/>
    </row>
    <row r="590" spans="1:23">
      <c r="A590" s="93"/>
      <c r="B590" s="95"/>
      <c r="C590" s="76"/>
      <c r="D590" s="76"/>
      <c r="E590" s="76"/>
      <c r="F590" s="95"/>
      <c r="G590" s="95"/>
      <c r="H590" s="95"/>
      <c r="I590" s="95"/>
      <c r="J590" s="104"/>
      <c r="K590" s="99"/>
      <c r="L590" s="99"/>
      <c r="M590" s="76"/>
      <c r="N590" s="76"/>
      <c r="O590" s="76"/>
      <c r="P590" s="76"/>
      <c r="Q590" s="76"/>
      <c r="R590" s="76"/>
      <c r="S590" s="104"/>
      <c r="T590" s="104"/>
      <c r="U590" s="106"/>
      <c r="V590" s="100"/>
      <c r="W590" s="76"/>
    </row>
    <row r="591" spans="1:23">
      <c r="A591" s="93"/>
      <c r="B591" s="95"/>
      <c r="C591" s="76"/>
      <c r="D591" s="76"/>
      <c r="E591" s="76"/>
      <c r="F591" s="95"/>
      <c r="G591" s="95"/>
      <c r="H591" s="95"/>
      <c r="I591" s="95"/>
      <c r="J591" s="104"/>
      <c r="K591" s="99"/>
      <c r="L591" s="99"/>
      <c r="M591" s="76"/>
      <c r="N591" s="76"/>
      <c r="O591" s="76"/>
      <c r="P591" s="76"/>
      <c r="Q591" s="76"/>
      <c r="R591" s="76"/>
      <c r="S591" s="104"/>
      <c r="T591" s="104"/>
      <c r="U591" s="106"/>
      <c r="V591" s="100"/>
      <c r="W591" s="76"/>
    </row>
    <row r="592" spans="1:23">
      <c r="A592" s="93"/>
      <c r="B592" s="95"/>
      <c r="C592" s="76"/>
      <c r="D592" s="76"/>
      <c r="E592" s="76"/>
      <c r="F592" s="95"/>
      <c r="G592" s="95"/>
      <c r="H592" s="95"/>
      <c r="I592" s="95"/>
      <c r="J592" s="104"/>
      <c r="K592" s="99"/>
      <c r="L592" s="99"/>
      <c r="M592" s="76"/>
      <c r="N592" s="76"/>
      <c r="O592" s="76"/>
      <c r="P592" s="76"/>
      <c r="Q592" s="76"/>
      <c r="R592" s="76"/>
      <c r="S592" s="104"/>
      <c r="T592" s="104"/>
      <c r="U592" s="106"/>
      <c r="V592" s="100"/>
      <c r="W592" s="76"/>
    </row>
    <row r="593" spans="1:23">
      <c r="A593" s="93"/>
      <c r="B593" s="95"/>
      <c r="C593" s="76"/>
      <c r="D593" s="76"/>
      <c r="E593" s="76"/>
      <c r="F593" s="95"/>
      <c r="G593" s="95"/>
      <c r="H593" s="95"/>
      <c r="I593" s="95"/>
      <c r="J593" s="104"/>
      <c r="K593" s="99"/>
      <c r="L593" s="99"/>
      <c r="M593" s="76"/>
      <c r="N593" s="76"/>
      <c r="O593" s="76"/>
      <c r="P593" s="76"/>
      <c r="Q593" s="76"/>
      <c r="R593" s="76"/>
      <c r="S593" s="104"/>
      <c r="T593" s="104"/>
      <c r="U593" s="106"/>
      <c r="V593" s="100"/>
      <c r="W593" s="76"/>
    </row>
    <row r="594" spans="1:23">
      <c r="A594" s="93"/>
      <c r="B594" s="95"/>
      <c r="C594" s="76"/>
      <c r="D594" s="76"/>
      <c r="E594" s="76"/>
      <c r="F594" s="95"/>
      <c r="G594" s="95"/>
      <c r="H594" s="95"/>
      <c r="I594" s="95"/>
      <c r="J594" s="104"/>
      <c r="K594" s="99"/>
      <c r="L594" s="99"/>
      <c r="M594" s="76"/>
      <c r="N594" s="76"/>
      <c r="O594" s="76"/>
      <c r="P594" s="76"/>
      <c r="Q594" s="76"/>
      <c r="R594" s="76"/>
      <c r="S594" s="104"/>
      <c r="T594" s="104"/>
      <c r="U594" s="106"/>
      <c r="V594" s="100"/>
      <c r="W594" s="76"/>
    </row>
    <row r="595" spans="1:23">
      <c r="A595" s="93"/>
      <c r="B595" s="95"/>
      <c r="C595" s="76"/>
      <c r="D595" s="76"/>
      <c r="E595" s="76"/>
      <c r="F595" s="95"/>
      <c r="G595" s="95"/>
      <c r="H595" s="95"/>
      <c r="I595" s="95"/>
      <c r="J595" s="104"/>
      <c r="K595" s="99"/>
      <c r="L595" s="99"/>
      <c r="M595" s="76"/>
      <c r="N595" s="76"/>
      <c r="O595" s="76"/>
      <c r="P595" s="76"/>
      <c r="Q595" s="76"/>
      <c r="R595" s="76"/>
      <c r="S595" s="104"/>
      <c r="T595" s="104"/>
      <c r="U595" s="106"/>
      <c r="V595" s="100"/>
      <c r="W595" s="76"/>
    </row>
    <row r="596" spans="1:23">
      <c r="A596" s="93"/>
      <c r="B596" s="95"/>
      <c r="C596" s="76"/>
      <c r="D596" s="76"/>
      <c r="E596" s="76"/>
      <c r="F596" s="95"/>
      <c r="G596" s="95"/>
      <c r="H596" s="95"/>
      <c r="I596" s="95"/>
      <c r="J596" s="104"/>
      <c r="K596" s="99"/>
      <c r="L596" s="99"/>
      <c r="M596" s="76"/>
      <c r="N596" s="76"/>
      <c r="O596" s="76"/>
      <c r="P596" s="76"/>
      <c r="Q596" s="76"/>
      <c r="R596" s="76"/>
      <c r="S596" s="104"/>
      <c r="T596" s="104"/>
      <c r="U596" s="106"/>
      <c r="V596" s="100"/>
      <c r="W596" s="76"/>
    </row>
    <row r="597" spans="1:23">
      <c r="A597" s="93"/>
      <c r="B597" s="95"/>
      <c r="C597" s="76"/>
      <c r="D597" s="76"/>
      <c r="E597" s="76"/>
      <c r="F597" s="95"/>
      <c r="G597" s="95"/>
      <c r="H597" s="95"/>
      <c r="I597" s="95"/>
      <c r="J597" s="104"/>
      <c r="K597" s="99"/>
      <c r="L597" s="99"/>
      <c r="M597" s="76"/>
      <c r="N597" s="76"/>
      <c r="O597" s="76"/>
      <c r="P597" s="76"/>
      <c r="Q597" s="76"/>
      <c r="R597" s="76"/>
      <c r="S597" s="104"/>
      <c r="T597" s="104"/>
      <c r="U597" s="106"/>
      <c r="V597" s="100"/>
      <c r="W597" s="76"/>
    </row>
    <row r="598" spans="1:23">
      <c r="A598" s="93"/>
      <c r="B598" s="95"/>
      <c r="C598" s="76"/>
      <c r="D598" s="76"/>
      <c r="E598" s="76"/>
      <c r="F598" s="95"/>
      <c r="G598" s="95"/>
      <c r="H598" s="95"/>
      <c r="I598" s="95"/>
      <c r="J598" s="104"/>
      <c r="K598" s="99"/>
      <c r="L598" s="99"/>
      <c r="M598" s="76"/>
      <c r="N598" s="76"/>
      <c r="O598" s="76"/>
      <c r="P598" s="76"/>
      <c r="Q598" s="76"/>
      <c r="R598" s="76"/>
      <c r="S598" s="104"/>
      <c r="T598" s="104"/>
      <c r="U598" s="106"/>
      <c r="V598" s="100"/>
      <c r="W598" s="76"/>
    </row>
    <row r="599" spans="1:23">
      <c r="A599" s="93"/>
      <c r="B599" s="95"/>
      <c r="C599" s="76"/>
      <c r="D599" s="76"/>
      <c r="E599" s="76"/>
      <c r="F599" s="95"/>
      <c r="G599" s="95"/>
      <c r="H599" s="95"/>
      <c r="I599" s="95"/>
      <c r="J599" s="104"/>
      <c r="K599" s="99"/>
      <c r="L599" s="99"/>
      <c r="M599" s="76"/>
      <c r="N599" s="76"/>
      <c r="O599" s="76"/>
      <c r="P599" s="76"/>
      <c r="Q599" s="76"/>
      <c r="R599" s="76"/>
      <c r="S599" s="104"/>
      <c r="T599" s="104"/>
      <c r="U599" s="106"/>
      <c r="V599" s="100"/>
      <c r="W599" s="76"/>
    </row>
    <row r="600" spans="1:23">
      <c r="A600" s="93"/>
      <c r="B600" s="95"/>
      <c r="C600" s="76"/>
      <c r="D600" s="76"/>
      <c r="E600" s="76"/>
      <c r="F600" s="95"/>
      <c r="G600" s="95"/>
      <c r="H600" s="95"/>
      <c r="I600" s="95"/>
      <c r="J600" s="104"/>
      <c r="K600" s="99"/>
      <c r="L600" s="99"/>
      <c r="M600" s="76"/>
      <c r="N600" s="76"/>
      <c r="O600" s="76"/>
      <c r="P600" s="76"/>
      <c r="Q600" s="76"/>
      <c r="R600" s="76"/>
      <c r="S600" s="104"/>
      <c r="T600" s="104"/>
      <c r="U600" s="106"/>
      <c r="V600" s="100"/>
      <c r="W600" s="76"/>
    </row>
    <row r="601" spans="1:23">
      <c r="A601" s="93"/>
      <c r="B601" s="95"/>
      <c r="C601" s="76"/>
      <c r="D601" s="76"/>
      <c r="E601" s="76"/>
      <c r="F601" s="95"/>
      <c r="G601" s="95"/>
      <c r="H601" s="95"/>
      <c r="I601" s="95"/>
      <c r="J601" s="104"/>
      <c r="K601" s="99"/>
      <c r="L601" s="99"/>
      <c r="M601" s="76"/>
      <c r="N601" s="76"/>
      <c r="O601" s="76"/>
      <c r="P601" s="76"/>
      <c r="Q601" s="76"/>
      <c r="R601" s="76"/>
      <c r="S601" s="104"/>
      <c r="T601" s="104"/>
      <c r="U601" s="106"/>
      <c r="V601" s="100"/>
      <c r="W601" s="76"/>
    </row>
    <row r="602" spans="1:23">
      <c r="A602" s="93"/>
      <c r="B602" s="95"/>
      <c r="C602" s="76"/>
      <c r="D602" s="76"/>
      <c r="E602" s="76"/>
      <c r="F602" s="95"/>
      <c r="G602" s="95"/>
      <c r="H602" s="95"/>
      <c r="I602" s="95"/>
      <c r="J602" s="104"/>
      <c r="K602" s="99"/>
      <c r="L602" s="99"/>
      <c r="M602" s="76"/>
      <c r="N602" s="76"/>
      <c r="O602" s="76"/>
      <c r="P602" s="76"/>
      <c r="Q602" s="76"/>
      <c r="R602" s="76"/>
      <c r="S602" s="104"/>
      <c r="T602" s="104"/>
      <c r="U602" s="106"/>
      <c r="V602" s="100"/>
      <c r="W602" s="76"/>
    </row>
    <row r="603" spans="1:23">
      <c r="A603" s="93"/>
      <c r="B603" s="95"/>
      <c r="C603" s="76"/>
      <c r="D603" s="76"/>
      <c r="E603" s="76"/>
      <c r="F603" s="95"/>
      <c r="G603" s="95"/>
      <c r="H603" s="95"/>
      <c r="I603" s="95"/>
      <c r="J603" s="104"/>
      <c r="K603" s="99"/>
      <c r="L603" s="99"/>
      <c r="M603" s="76"/>
      <c r="N603" s="76"/>
      <c r="O603" s="76"/>
      <c r="P603" s="76"/>
      <c r="Q603" s="76"/>
      <c r="R603" s="76"/>
      <c r="S603" s="104"/>
      <c r="T603" s="104"/>
      <c r="U603" s="106"/>
      <c r="V603" s="100"/>
      <c r="W603" s="76"/>
    </row>
    <row r="604" spans="1:23">
      <c r="A604" s="93"/>
      <c r="B604" s="95"/>
      <c r="C604" s="76"/>
      <c r="D604" s="76"/>
      <c r="E604" s="76"/>
      <c r="F604" s="95"/>
      <c r="G604" s="95"/>
      <c r="H604" s="95"/>
      <c r="I604" s="95"/>
      <c r="J604" s="104"/>
      <c r="K604" s="99"/>
      <c r="L604" s="99"/>
      <c r="M604" s="76"/>
      <c r="N604" s="76"/>
      <c r="O604" s="76"/>
      <c r="P604" s="76"/>
      <c r="Q604" s="76"/>
      <c r="R604" s="76"/>
      <c r="S604" s="104"/>
      <c r="T604" s="104"/>
      <c r="U604" s="106"/>
      <c r="V604" s="100"/>
      <c r="W604" s="76"/>
    </row>
    <row r="605" spans="1:23">
      <c r="A605" s="93"/>
      <c r="B605" s="95"/>
      <c r="C605" s="76"/>
      <c r="D605" s="76"/>
      <c r="E605" s="76"/>
      <c r="F605" s="95"/>
      <c r="G605" s="95"/>
      <c r="H605" s="95"/>
      <c r="I605" s="95"/>
      <c r="J605" s="104"/>
      <c r="K605" s="99"/>
      <c r="L605" s="99"/>
      <c r="M605" s="76"/>
      <c r="N605" s="76"/>
      <c r="O605" s="76"/>
      <c r="P605" s="76"/>
      <c r="Q605" s="76"/>
      <c r="R605" s="76"/>
      <c r="S605" s="104"/>
      <c r="T605" s="104"/>
      <c r="U605" s="106"/>
      <c r="V605" s="100"/>
      <c r="W605" s="76"/>
    </row>
    <row r="606" spans="1:23">
      <c r="A606" s="93"/>
      <c r="B606" s="95"/>
      <c r="C606" s="76"/>
      <c r="D606" s="76"/>
      <c r="E606" s="76"/>
      <c r="F606" s="95"/>
      <c r="G606" s="95"/>
      <c r="H606" s="95"/>
      <c r="I606" s="95"/>
      <c r="J606" s="104"/>
      <c r="K606" s="99"/>
      <c r="L606" s="99"/>
      <c r="M606" s="76"/>
      <c r="N606" s="76"/>
      <c r="O606" s="76"/>
      <c r="P606" s="76"/>
      <c r="Q606" s="76"/>
      <c r="R606" s="76"/>
      <c r="S606" s="104"/>
      <c r="T606" s="104"/>
      <c r="U606" s="106"/>
      <c r="V606" s="100"/>
      <c r="W606" s="76"/>
    </row>
    <row r="607" spans="1:23">
      <c r="A607" s="93"/>
      <c r="B607" s="95"/>
      <c r="C607" s="76"/>
      <c r="D607" s="76"/>
      <c r="E607" s="76"/>
      <c r="F607" s="95"/>
      <c r="G607" s="95"/>
      <c r="H607" s="95"/>
      <c r="I607" s="95"/>
      <c r="J607" s="104"/>
      <c r="K607" s="99"/>
      <c r="L607" s="99"/>
      <c r="M607" s="76"/>
      <c r="N607" s="76"/>
      <c r="O607" s="76"/>
      <c r="P607" s="76"/>
      <c r="Q607" s="76"/>
      <c r="R607" s="76"/>
      <c r="S607" s="104"/>
      <c r="T607" s="104"/>
      <c r="U607" s="106"/>
      <c r="V607" s="100"/>
      <c r="W607" s="76"/>
    </row>
    <row r="608" spans="1:23">
      <c r="A608" s="93"/>
      <c r="B608" s="95"/>
      <c r="C608" s="76"/>
      <c r="D608" s="76"/>
      <c r="E608" s="76"/>
      <c r="F608" s="95"/>
      <c r="G608" s="95"/>
      <c r="H608" s="95"/>
      <c r="I608" s="95"/>
      <c r="J608" s="104"/>
      <c r="K608" s="99"/>
      <c r="L608" s="99"/>
      <c r="M608" s="76"/>
      <c r="N608" s="76"/>
      <c r="O608" s="76"/>
      <c r="P608" s="76"/>
      <c r="Q608" s="76"/>
      <c r="R608" s="76"/>
      <c r="S608" s="104"/>
      <c r="T608" s="104"/>
      <c r="U608" s="106"/>
      <c r="V608" s="100"/>
      <c r="W608" s="76"/>
    </row>
    <row r="609" spans="1:23">
      <c r="A609" s="93"/>
      <c r="B609" s="95"/>
      <c r="C609" s="76"/>
      <c r="D609" s="76"/>
      <c r="E609" s="76"/>
      <c r="F609" s="95"/>
      <c r="G609" s="95"/>
      <c r="H609" s="95"/>
      <c r="I609" s="95"/>
      <c r="J609" s="104"/>
      <c r="K609" s="99"/>
      <c r="L609" s="99"/>
      <c r="M609" s="76"/>
      <c r="N609" s="76"/>
      <c r="O609" s="76"/>
      <c r="P609" s="76"/>
      <c r="Q609" s="76"/>
      <c r="R609" s="76"/>
      <c r="S609" s="104"/>
      <c r="T609" s="104"/>
      <c r="U609" s="106"/>
      <c r="V609" s="100"/>
      <c r="W609" s="76"/>
    </row>
    <row r="610" spans="1:23">
      <c r="A610" s="93"/>
      <c r="B610" s="95"/>
      <c r="C610" s="76"/>
      <c r="D610" s="76"/>
      <c r="E610" s="76"/>
      <c r="F610" s="95"/>
      <c r="G610" s="95"/>
      <c r="H610" s="95"/>
      <c r="I610" s="95"/>
      <c r="J610" s="104"/>
      <c r="K610" s="99"/>
      <c r="L610" s="99"/>
      <c r="M610" s="76"/>
      <c r="N610" s="76"/>
      <c r="O610" s="76"/>
      <c r="P610" s="76"/>
      <c r="Q610" s="76"/>
      <c r="R610" s="76"/>
      <c r="S610" s="104"/>
      <c r="T610" s="104"/>
      <c r="U610" s="106"/>
      <c r="V610" s="100"/>
      <c r="W610" s="76"/>
    </row>
    <row r="611" spans="1:23">
      <c r="A611" s="93"/>
      <c r="B611" s="95"/>
      <c r="C611" s="76"/>
      <c r="D611" s="76"/>
      <c r="E611" s="76"/>
      <c r="F611" s="95"/>
      <c r="G611" s="95"/>
      <c r="H611" s="95"/>
      <c r="I611" s="95"/>
      <c r="J611" s="104"/>
      <c r="K611" s="99"/>
      <c r="L611" s="99"/>
      <c r="M611" s="76"/>
      <c r="N611" s="76"/>
      <c r="O611" s="76"/>
      <c r="P611" s="76"/>
      <c r="Q611" s="76"/>
      <c r="R611" s="76"/>
      <c r="S611" s="104"/>
      <c r="T611" s="104"/>
      <c r="U611" s="106"/>
      <c r="V611" s="100"/>
      <c r="W611" s="76"/>
    </row>
    <row r="612" spans="1:23">
      <c r="A612" s="93"/>
      <c r="B612" s="95"/>
      <c r="C612" s="76"/>
      <c r="D612" s="76"/>
      <c r="E612" s="76"/>
      <c r="F612" s="95"/>
      <c r="G612" s="95"/>
      <c r="H612" s="95"/>
      <c r="I612" s="95"/>
      <c r="J612" s="104"/>
      <c r="K612" s="99"/>
      <c r="L612" s="99"/>
      <c r="M612" s="76"/>
      <c r="N612" s="76"/>
      <c r="O612" s="76"/>
      <c r="P612" s="76"/>
      <c r="Q612" s="76"/>
      <c r="R612" s="76"/>
      <c r="S612" s="104"/>
      <c r="T612" s="104"/>
      <c r="U612" s="106"/>
      <c r="V612" s="100"/>
      <c r="W612" s="76"/>
    </row>
    <row r="613" spans="1:23">
      <c r="A613" s="93"/>
      <c r="B613" s="95"/>
      <c r="C613" s="76"/>
      <c r="D613" s="76"/>
      <c r="E613" s="76"/>
      <c r="F613" s="95"/>
      <c r="G613" s="95"/>
      <c r="H613" s="95"/>
      <c r="I613" s="95"/>
      <c r="J613" s="104"/>
      <c r="K613" s="99"/>
      <c r="L613" s="99"/>
      <c r="M613" s="76"/>
      <c r="N613" s="76"/>
      <c r="O613" s="76"/>
      <c r="P613" s="76"/>
      <c r="Q613" s="76"/>
      <c r="R613" s="76"/>
      <c r="S613" s="104"/>
      <c r="T613" s="104"/>
      <c r="U613" s="106"/>
      <c r="V613" s="100"/>
      <c r="W613" s="76"/>
    </row>
    <row r="614" spans="1:23">
      <c r="A614" s="93"/>
      <c r="B614" s="95"/>
      <c r="C614" s="76"/>
      <c r="D614" s="76"/>
      <c r="E614" s="76"/>
      <c r="F614" s="95"/>
      <c r="G614" s="95"/>
      <c r="H614" s="95"/>
      <c r="I614" s="95"/>
      <c r="J614" s="104"/>
      <c r="K614" s="99"/>
      <c r="L614" s="99"/>
      <c r="M614" s="76"/>
      <c r="N614" s="76"/>
      <c r="O614" s="76"/>
      <c r="P614" s="76"/>
      <c r="Q614" s="76"/>
      <c r="R614" s="76"/>
      <c r="S614" s="104"/>
      <c r="T614" s="104"/>
      <c r="U614" s="106"/>
      <c r="V614" s="100"/>
      <c r="W614" s="76"/>
    </row>
    <row r="615" spans="1:23">
      <c r="A615" s="93"/>
      <c r="B615" s="95"/>
      <c r="C615" s="76"/>
      <c r="D615" s="76"/>
      <c r="E615" s="76"/>
      <c r="F615" s="95"/>
      <c r="G615" s="95"/>
      <c r="H615" s="95"/>
      <c r="I615" s="95"/>
      <c r="J615" s="104"/>
      <c r="K615" s="99"/>
      <c r="L615" s="99"/>
      <c r="M615" s="76"/>
      <c r="N615" s="76"/>
      <c r="O615" s="76"/>
      <c r="P615" s="76"/>
      <c r="Q615" s="76"/>
      <c r="R615" s="76"/>
      <c r="S615" s="104"/>
      <c r="T615" s="104"/>
      <c r="U615" s="106"/>
      <c r="V615" s="100"/>
      <c r="W615" s="76"/>
    </row>
    <row r="616" spans="1:23">
      <c r="A616" s="93"/>
      <c r="B616" s="95"/>
      <c r="C616" s="76"/>
      <c r="D616" s="76"/>
      <c r="E616" s="76"/>
      <c r="F616" s="95"/>
      <c r="G616" s="95"/>
      <c r="H616" s="95"/>
      <c r="I616" s="95"/>
      <c r="J616" s="104"/>
      <c r="K616" s="99"/>
      <c r="L616" s="99"/>
      <c r="M616" s="76"/>
      <c r="N616" s="76"/>
      <c r="O616" s="76"/>
      <c r="P616" s="76"/>
      <c r="Q616" s="76"/>
      <c r="R616" s="76"/>
      <c r="S616" s="104"/>
      <c r="T616" s="104"/>
      <c r="U616" s="106"/>
      <c r="V616" s="100"/>
      <c r="W616" s="76"/>
    </row>
    <row r="617" spans="1:23">
      <c r="A617" s="93"/>
      <c r="B617" s="95"/>
      <c r="C617" s="76"/>
      <c r="D617" s="76"/>
      <c r="E617" s="76"/>
      <c r="F617" s="95"/>
      <c r="G617" s="95"/>
      <c r="H617" s="95"/>
      <c r="I617" s="95"/>
      <c r="J617" s="104"/>
      <c r="K617" s="99"/>
      <c r="L617" s="99"/>
      <c r="M617" s="76"/>
      <c r="N617" s="76"/>
      <c r="O617" s="76"/>
      <c r="P617" s="76"/>
      <c r="Q617" s="76"/>
      <c r="R617" s="76"/>
      <c r="S617" s="104"/>
      <c r="T617" s="104"/>
      <c r="U617" s="106"/>
      <c r="V617" s="100"/>
      <c r="W617" s="76"/>
    </row>
    <row r="618" spans="1:23">
      <c r="A618" s="93"/>
      <c r="B618" s="95"/>
      <c r="C618" s="76"/>
      <c r="D618" s="76"/>
      <c r="E618" s="76"/>
      <c r="F618" s="95"/>
      <c r="G618" s="95"/>
      <c r="H618" s="95"/>
      <c r="I618" s="95"/>
      <c r="J618" s="104"/>
      <c r="K618" s="99"/>
      <c r="L618" s="99"/>
      <c r="M618" s="76"/>
      <c r="N618" s="76"/>
      <c r="O618" s="76"/>
      <c r="P618" s="76"/>
      <c r="Q618" s="76"/>
      <c r="R618" s="76"/>
      <c r="S618" s="104"/>
      <c r="T618" s="104"/>
      <c r="U618" s="106"/>
      <c r="V618" s="100"/>
      <c r="W618" s="76"/>
    </row>
    <row r="619" spans="1:23">
      <c r="A619" s="93"/>
      <c r="B619" s="95"/>
      <c r="C619" s="76"/>
      <c r="D619" s="76"/>
      <c r="E619" s="76"/>
      <c r="F619" s="95"/>
      <c r="G619" s="95"/>
      <c r="H619" s="95"/>
      <c r="I619" s="95"/>
      <c r="J619" s="104"/>
      <c r="K619" s="99"/>
      <c r="L619" s="99"/>
      <c r="M619" s="76"/>
      <c r="N619" s="76"/>
      <c r="O619" s="76"/>
      <c r="P619" s="76"/>
      <c r="Q619" s="76"/>
      <c r="R619" s="76"/>
      <c r="S619" s="104"/>
      <c r="T619" s="104"/>
      <c r="U619" s="106"/>
      <c r="V619" s="100"/>
      <c r="W619" s="76"/>
    </row>
    <row r="620" spans="1:23">
      <c r="A620" s="93"/>
      <c r="B620" s="95"/>
      <c r="C620" s="76"/>
      <c r="D620" s="76"/>
      <c r="E620" s="76"/>
      <c r="F620" s="95"/>
      <c r="G620" s="95"/>
      <c r="H620" s="95"/>
      <c r="I620" s="95"/>
      <c r="J620" s="104"/>
      <c r="K620" s="99"/>
      <c r="L620" s="99"/>
      <c r="M620" s="76"/>
      <c r="N620" s="76"/>
      <c r="O620" s="76"/>
      <c r="P620" s="76"/>
      <c r="Q620" s="76"/>
      <c r="R620" s="76"/>
      <c r="S620" s="104"/>
      <c r="T620" s="104"/>
      <c r="U620" s="106"/>
      <c r="V620" s="100"/>
      <c r="W620" s="76"/>
    </row>
    <row r="621" spans="1:23">
      <c r="A621" s="93"/>
      <c r="B621" s="95"/>
      <c r="C621" s="76"/>
      <c r="D621" s="76"/>
      <c r="E621" s="76"/>
      <c r="F621" s="95"/>
      <c r="G621" s="95"/>
      <c r="H621" s="95"/>
      <c r="I621" s="95"/>
      <c r="J621" s="104"/>
      <c r="K621" s="99"/>
      <c r="L621" s="99"/>
      <c r="M621" s="76"/>
      <c r="N621" s="76"/>
      <c r="O621" s="76"/>
      <c r="P621" s="76"/>
      <c r="Q621" s="76"/>
      <c r="R621" s="76"/>
      <c r="S621" s="104"/>
      <c r="T621" s="104"/>
      <c r="U621" s="106"/>
      <c r="V621" s="100"/>
      <c r="W621" s="76"/>
    </row>
    <row r="622" spans="1:23">
      <c r="A622" s="93"/>
      <c r="B622" s="95"/>
      <c r="C622" s="76"/>
      <c r="D622" s="76"/>
      <c r="E622" s="76"/>
      <c r="F622" s="95"/>
      <c r="G622" s="95"/>
      <c r="H622" s="95"/>
      <c r="I622" s="95"/>
      <c r="J622" s="104"/>
      <c r="K622" s="99"/>
      <c r="L622" s="99"/>
      <c r="M622" s="76"/>
      <c r="N622" s="76"/>
      <c r="O622" s="76"/>
      <c r="P622" s="76"/>
      <c r="Q622" s="76"/>
      <c r="R622" s="76"/>
      <c r="S622" s="104"/>
      <c r="T622" s="104"/>
      <c r="U622" s="106"/>
      <c r="V622" s="100"/>
      <c r="W622" s="76"/>
    </row>
    <row r="623" spans="1:23">
      <c r="A623" s="93"/>
      <c r="B623" s="95"/>
      <c r="C623" s="76"/>
      <c r="D623" s="76"/>
      <c r="E623" s="76"/>
      <c r="F623" s="95"/>
      <c r="G623" s="95"/>
      <c r="H623" s="95"/>
      <c r="I623" s="95"/>
      <c r="J623" s="104"/>
      <c r="K623" s="99"/>
      <c r="L623" s="99"/>
      <c r="M623" s="76"/>
      <c r="N623" s="76"/>
      <c r="O623" s="76"/>
      <c r="P623" s="76"/>
      <c r="Q623" s="76"/>
      <c r="R623" s="76"/>
      <c r="S623" s="104"/>
      <c r="T623" s="104"/>
      <c r="U623" s="106"/>
      <c r="V623" s="100"/>
      <c r="W623" s="76"/>
    </row>
    <row r="624" spans="1:23">
      <c r="A624" s="93"/>
      <c r="B624" s="95"/>
      <c r="C624" s="76"/>
      <c r="D624" s="76"/>
      <c r="E624" s="76"/>
      <c r="F624" s="95"/>
      <c r="G624" s="95"/>
      <c r="H624" s="95"/>
      <c r="I624" s="95"/>
      <c r="J624" s="104"/>
      <c r="K624" s="99"/>
      <c r="L624" s="99"/>
      <c r="M624" s="76"/>
      <c r="N624" s="76"/>
      <c r="O624" s="76"/>
      <c r="P624" s="76"/>
      <c r="Q624" s="76"/>
      <c r="R624" s="76"/>
      <c r="S624" s="104"/>
      <c r="T624" s="104"/>
      <c r="U624" s="106"/>
      <c r="V624" s="100"/>
      <c r="W624" s="76"/>
    </row>
    <row r="625" spans="1:23">
      <c r="A625" s="93"/>
      <c r="B625" s="95"/>
      <c r="C625" s="76"/>
      <c r="D625" s="76"/>
      <c r="E625" s="76"/>
      <c r="F625" s="95"/>
      <c r="G625" s="95"/>
      <c r="H625" s="95"/>
      <c r="I625" s="95"/>
      <c r="J625" s="104"/>
      <c r="K625" s="99"/>
      <c r="L625" s="99"/>
      <c r="M625" s="76"/>
      <c r="N625" s="76"/>
      <c r="O625" s="76"/>
      <c r="P625" s="76"/>
      <c r="Q625" s="76"/>
      <c r="R625" s="76"/>
      <c r="S625" s="104"/>
      <c r="T625" s="104"/>
      <c r="U625" s="106"/>
      <c r="V625" s="100"/>
      <c r="W625" s="76"/>
    </row>
    <row r="626" spans="1:23">
      <c r="A626" s="93"/>
      <c r="B626" s="95"/>
      <c r="C626" s="76"/>
      <c r="D626" s="76"/>
      <c r="E626" s="76"/>
      <c r="F626" s="95"/>
      <c r="G626" s="95"/>
      <c r="H626" s="95"/>
      <c r="I626" s="95"/>
      <c r="J626" s="104"/>
      <c r="K626" s="99"/>
      <c r="L626" s="99"/>
      <c r="M626" s="76"/>
      <c r="N626" s="76"/>
      <c r="O626" s="76"/>
      <c r="P626" s="76"/>
      <c r="Q626" s="76"/>
      <c r="R626" s="76"/>
      <c r="S626" s="104"/>
      <c r="T626" s="104"/>
      <c r="U626" s="106"/>
      <c r="V626" s="100"/>
      <c r="W626" s="76"/>
    </row>
    <row r="627" spans="1:23">
      <c r="A627" s="93"/>
      <c r="B627" s="95"/>
      <c r="C627" s="76"/>
      <c r="D627" s="76"/>
      <c r="E627" s="76"/>
      <c r="F627" s="95"/>
      <c r="G627" s="95"/>
      <c r="H627" s="95"/>
      <c r="I627" s="95"/>
      <c r="J627" s="104"/>
      <c r="K627" s="99"/>
      <c r="L627" s="99"/>
      <c r="M627" s="76"/>
      <c r="N627" s="76"/>
      <c r="O627" s="76"/>
      <c r="P627" s="76"/>
      <c r="Q627" s="76"/>
      <c r="R627" s="76"/>
      <c r="S627" s="104"/>
      <c r="T627" s="104"/>
      <c r="U627" s="106"/>
      <c r="V627" s="100"/>
      <c r="W627" s="76"/>
    </row>
    <row r="628" spans="1:23">
      <c r="A628" s="93"/>
      <c r="B628" s="95"/>
      <c r="C628" s="76"/>
      <c r="D628" s="76"/>
      <c r="E628" s="76"/>
      <c r="F628" s="95"/>
      <c r="G628" s="95"/>
      <c r="H628" s="95"/>
      <c r="I628" s="95"/>
      <c r="J628" s="104"/>
      <c r="K628" s="99"/>
      <c r="L628" s="99"/>
      <c r="M628" s="76"/>
      <c r="N628" s="76"/>
      <c r="O628" s="76"/>
      <c r="P628" s="76"/>
      <c r="Q628" s="76"/>
      <c r="R628" s="76"/>
      <c r="S628" s="104"/>
      <c r="T628" s="104"/>
      <c r="U628" s="106"/>
      <c r="V628" s="100"/>
      <c r="W628" s="76"/>
    </row>
    <row r="629" spans="1:23">
      <c r="A629" s="93"/>
      <c r="B629" s="95"/>
      <c r="C629" s="76"/>
      <c r="D629" s="76"/>
      <c r="E629" s="76"/>
      <c r="F629" s="95"/>
      <c r="G629" s="95"/>
      <c r="H629" s="95"/>
      <c r="I629" s="95"/>
      <c r="J629" s="104"/>
      <c r="K629" s="99"/>
      <c r="L629" s="99"/>
      <c r="M629" s="76"/>
      <c r="N629" s="76"/>
      <c r="O629" s="76"/>
      <c r="P629" s="76"/>
      <c r="Q629" s="76"/>
      <c r="R629" s="76"/>
      <c r="S629" s="104"/>
      <c r="T629" s="104"/>
      <c r="U629" s="106"/>
      <c r="V629" s="100"/>
      <c r="W629" s="76"/>
    </row>
    <row r="630" spans="1:23">
      <c r="A630" s="93"/>
      <c r="B630" s="95"/>
      <c r="C630" s="76"/>
      <c r="D630" s="76"/>
      <c r="E630" s="76"/>
      <c r="F630" s="95"/>
      <c r="G630" s="95"/>
      <c r="H630" s="95"/>
      <c r="I630" s="95"/>
      <c r="J630" s="104"/>
      <c r="K630" s="99"/>
      <c r="L630" s="99"/>
      <c r="M630" s="76"/>
      <c r="N630" s="76"/>
      <c r="O630" s="76"/>
      <c r="P630" s="76"/>
      <c r="Q630" s="76"/>
      <c r="R630" s="76"/>
      <c r="S630" s="104"/>
      <c r="T630" s="104"/>
      <c r="U630" s="106"/>
      <c r="V630" s="100"/>
      <c r="W630" s="76"/>
    </row>
    <row r="631" spans="1:23">
      <c r="A631" s="93"/>
      <c r="B631" s="95"/>
      <c r="C631" s="76"/>
      <c r="D631" s="76"/>
      <c r="E631" s="76"/>
      <c r="F631" s="95"/>
      <c r="G631" s="95"/>
      <c r="H631" s="95"/>
      <c r="I631" s="95"/>
      <c r="J631" s="104"/>
      <c r="K631" s="99"/>
      <c r="L631" s="99"/>
      <c r="M631" s="76"/>
      <c r="N631" s="76"/>
      <c r="O631" s="76"/>
      <c r="P631" s="76"/>
      <c r="Q631" s="76"/>
      <c r="R631" s="76"/>
      <c r="S631" s="104"/>
      <c r="T631" s="104"/>
      <c r="U631" s="106"/>
      <c r="V631" s="100"/>
      <c r="W631" s="76"/>
    </row>
    <row r="632" spans="1:23">
      <c r="A632" s="93"/>
      <c r="B632" s="95"/>
      <c r="C632" s="76"/>
      <c r="D632" s="76"/>
      <c r="E632" s="76"/>
      <c r="F632" s="95"/>
      <c r="G632" s="95"/>
      <c r="H632" s="95"/>
      <c r="I632" s="95"/>
      <c r="J632" s="104"/>
      <c r="K632" s="99"/>
      <c r="L632" s="99"/>
      <c r="M632" s="76"/>
      <c r="N632" s="76"/>
      <c r="O632" s="76"/>
      <c r="P632" s="76"/>
      <c r="Q632" s="76"/>
      <c r="R632" s="76"/>
      <c r="S632" s="104"/>
      <c r="T632" s="104"/>
      <c r="U632" s="106"/>
      <c r="V632" s="100"/>
      <c r="W632" s="76"/>
    </row>
    <row r="633" spans="1:23">
      <c r="A633" s="93"/>
      <c r="B633" s="95"/>
      <c r="C633" s="76"/>
      <c r="D633" s="76"/>
      <c r="E633" s="76"/>
      <c r="F633" s="95"/>
      <c r="G633" s="95"/>
      <c r="H633" s="95"/>
      <c r="I633" s="95"/>
      <c r="J633" s="104"/>
      <c r="K633" s="99"/>
      <c r="L633" s="99"/>
      <c r="M633" s="76"/>
      <c r="N633" s="76"/>
      <c r="O633" s="76"/>
      <c r="P633" s="76"/>
      <c r="Q633" s="76"/>
      <c r="R633" s="76"/>
      <c r="S633" s="104"/>
      <c r="T633" s="104"/>
      <c r="U633" s="106"/>
      <c r="V633" s="100"/>
      <c r="W633" s="76"/>
    </row>
    <row r="634" spans="1:23">
      <c r="A634" s="93"/>
      <c r="B634" s="95"/>
      <c r="C634" s="76"/>
      <c r="D634" s="76"/>
      <c r="E634" s="76"/>
      <c r="F634" s="95"/>
      <c r="G634" s="95"/>
      <c r="H634" s="95"/>
      <c r="I634" s="95"/>
      <c r="J634" s="104"/>
      <c r="K634" s="99"/>
      <c r="L634" s="99"/>
      <c r="M634" s="76"/>
      <c r="N634" s="76"/>
      <c r="O634" s="76"/>
      <c r="P634" s="76"/>
      <c r="Q634" s="76"/>
      <c r="R634" s="76"/>
      <c r="S634" s="104"/>
      <c r="T634" s="104"/>
      <c r="U634" s="106"/>
      <c r="V634" s="100"/>
      <c r="W634" s="76"/>
    </row>
    <row r="635" spans="1:23">
      <c r="A635" s="93"/>
      <c r="B635" s="95"/>
      <c r="C635" s="76"/>
      <c r="D635" s="76"/>
      <c r="E635" s="76"/>
      <c r="F635" s="95"/>
      <c r="G635" s="95"/>
      <c r="H635" s="95"/>
      <c r="I635" s="95"/>
      <c r="J635" s="104"/>
      <c r="K635" s="99"/>
      <c r="L635" s="99"/>
      <c r="M635" s="76"/>
      <c r="N635" s="76"/>
      <c r="O635" s="76"/>
      <c r="P635" s="76"/>
      <c r="Q635" s="76"/>
      <c r="R635" s="76"/>
      <c r="S635" s="104"/>
      <c r="T635" s="104"/>
      <c r="U635" s="106"/>
      <c r="V635" s="100"/>
      <c r="W635" s="76"/>
    </row>
    <row r="636" spans="1:23">
      <c r="A636" s="93"/>
      <c r="B636" s="95"/>
      <c r="C636" s="76"/>
      <c r="D636" s="76"/>
      <c r="E636" s="76"/>
      <c r="F636" s="95"/>
      <c r="G636" s="95"/>
      <c r="H636" s="95"/>
      <c r="I636" s="95"/>
      <c r="J636" s="104"/>
      <c r="K636" s="99"/>
      <c r="L636" s="99"/>
      <c r="M636" s="76"/>
      <c r="N636" s="76"/>
      <c r="O636" s="76"/>
      <c r="P636" s="76"/>
      <c r="Q636" s="76"/>
      <c r="R636" s="76"/>
      <c r="S636" s="104"/>
      <c r="T636" s="104"/>
      <c r="U636" s="106"/>
      <c r="V636" s="100"/>
      <c r="W636" s="76"/>
    </row>
    <row r="637" spans="1:23">
      <c r="A637" s="93"/>
      <c r="B637" s="95"/>
      <c r="C637" s="76"/>
      <c r="D637" s="76"/>
      <c r="E637" s="76"/>
      <c r="F637" s="95"/>
      <c r="G637" s="95"/>
      <c r="H637" s="95"/>
      <c r="I637" s="95"/>
      <c r="J637" s="104"/>
      <c r="K637" s="99"/>
      <c r="L637" s="99"/>
      <c r="M637" s="76"/>
      <c r="N637" s="76"/>
      <c r="O637" s="76"/>
      <c r="P637" s="76"/>
      <c r="Q637" s="76"/>
      <c r="R637" s="76"/>
      <c r="S637" s="104"/>
      <c r="T637" s="104"/>
      <c r="U637" s="106"/>
      <c r="V637" s="100"/>
      <c r="W637" s="76"/>
    </row>
    <row r="638" spans="1:23">
      <c r="A638" s="93"/>
      <c r="B638" s="95"/>
      <c r="C638" s="76"/>
      <c r="D638" s="76"/>
      <c r="E638" s="76"/>
      <c r="F638" s="95"/>
      <c r="G638" s="95"/>
      <c r="H638" s="95"/>
      <c r="I638" s="95"/>
      <c r="J638" s="104"/>
      <c r="K638" s="99"/>
      <c r="L638" s="99"/>
      <c r="M638" s="76"/>
      <c r="N638" s="76"/>
      <c r="O638" s="76"/>
      <c r="P638" s="76"/>
      <c r="Q638" s="76"/>
      <c r="R638" s="76"/>
      <c r="S638" s="104"/>
      <c r="T638" s="104"/>
      <c r="U638" s="106"/>
      <c r="V638" s="100"/>
      <c r="W638" s="76"/>
    </row>
    <row r="639" spans="1:23">
      <c r="A639" s="93"/>
      <c r="B639" s="95"/>
      <c r="C639" s="76"/>
      <c r="D639" s="76"/>
      <c r="E639" s="76"/>
      <c r="F639" s="95"/>
      <c r="G639" s="95"/>
      <c r="H639" s="95"/>
      <c r="I639" s="95"/>
      <c r="J639" s="104"/>
      <c r="K639" s="99"/>
      <c r="L639" s="99"/>
      <c r="M639" s="76"/>
      <c r="N639" s="76"/>
      <c r="O639" s="76"/>
      <c r="P639" s="76"/>
      <c r="Q639" s="76"/>
      <c r="R639" s="76"/>
      <c r="S639" s="104"/>
      <c r="T639" s="104"/>
      <c r="U639" s="106"/>
      <c r="V639" s="100"/>
      <c r="W639" s="76"/>
    </row>
    <row r="640" spans="1:23">
      <c r="A640" s="93"/>
      <c r="B640" s="95"/>
      <c r="C640" s="76"/>
      <c r="D640" s="76"/>
      <c r="E640" s="76"/>
      <c r="F640" s="95"/>
      <c r="G640" s="95"/>
      <c r="H640" s="95"/>
      <c r="I640" s="95"/>
      <c r="J640" s="104"/>
      <c r="K640" s="99"/>
      <c r="L640" s="99"/>
      <c r="M640" s="76"/>
      <c r="N640" s="76"/>
      <c r="O640" s="76"/>
      <c r="P640" s="76"/>
      <c r="Q640" s="76"/>
      <c r="R640" s="76"/>
      <c r="S640" s="104"/>
      <c r="T640" s="104"/>
      <c r="U640" s="106"/>
      <c r="V640" s="100"/>
      <c r="W640" s="76"/>
    </row>
    <row r="641" spans="1:23">
      <c r="A641" s="93"/>
      <c r="B641" s="95"/>
      <c r="C641" s="76"/>
      <c r="D641" s="76"/>
      <c r="E641" s="76"/>
      <c r="F641" s="95"/>
      <c r="G641" s="95"/>
      <c r="H641" s="95"/>
      <c r="I641" s="95"/>
      <c r="J641" s="104"/>
      <c r="K641" s="99"/>
      <c r="L641" s="99"/>
      <c r="M641" s="76"/>
      <c r="N641" s="76"/>
      <c r="O641" s="76"/>
      <c r="P641" s="76"/>
      <c r="Q641" s="76"/>
      <c r="R641" s="76"/>
      <c r="S641" s="104"/>
      <c r="T641" s="104"/>
      <c r="U641" s="106"/>
      <c r="V641" s="100"/>
      <c r="W641" s="76"/>
    </row>
    <row r="642" spans="1:23">
      <c r="A642" s="93"/>
      <c r="B642" s="95"/>
      <c r="C642" s="76"/>
      <c r="D642" s="76"/>
      <c r="E642" s="76"/>
      <c r="F642" s="95"/>
      <c r="G642" s="95"/>
      <c r="H642" s="95"/>
      <c r="I642" s="95"/>
      <c r="J642" s="104"/>
      <c r="K642" s="99"/>
      <c r="L642" s="99"/>
      <c r="M642" s="76"/>
      <c r="N642" s="76"/>
      <c r="O642" s="76"/>
      <c r="P642" s="76"/>
      <c r="Q642" s="76"/>
      <c r="R642" s="76"/>
      <c r="S642" s="104"/>
      <c r="T642" s="104"/>
      <c r="U642" s="106"/>
      <c r="V642" s="100"/>
      <c r="W642" s="76"/>
    </row>
    <row r="643" spans="1:23">
      <c r="A643" s="93"/>
      <c r="B643" s="95"/>
      <c r="C643" s="76"/>
      <c r="D643" s="76"/>
      <c r="E643" s="76"/>
      <c r="F643" s="95"/>
      <c r="G643" s="95"/>
      <c r="H643" s="95"/>
      <c r="I643" s="95"/>
      <c r="J643" s="104"/>
      <c r="K643" s="99"/>
      <c r="L643" s="99"/>
      <c r="M643" s="76"/>
      <c r="N643" s="76"/>
      <c r="O643" s="76"/>
      <c r="P643" s="76"/>
      <c r="Q643" s="76"/>
      <c r="R643" s="76"/>
      <c r="S643" s="104"/>
      <c r="T643" s="104"/>
      <c r="U643" s="106"/>
      <c r="V643" s="100"/>
      <c r="W643" s="76"/>
    </row>
    <row r="644" spans="1:23">
      <c r="A644" s="93"/>
      <c r="B644" s="95"/>
      <c r="C644" s="76"/>
      <c r="D644" s="76"/>
      <c r="E644" s="76"/>
      <c r="F644" s="95"/>
      <c r="G644" s="95"/>
      <c r="H644" s="95"/>
      <c r="I644" s="95"/>
      <c r="J644" s="104"/>
      <c r="K644" s="99"/>
      <c r="L644" s="99"/>
      <c r="M644" s="76"/>
      <c r="N644" s="76"/>
      <c r="O644" s="76"/>
      <c r="P644" s="76"/>
      <c r="Q644" s="76"/>
      <c r="R644" s="76"/>
      <c r="S644" s="104"/>
      <c r="T644" s="104"/>
      <c r="U644" s="106"/>
      <c r="V644" s="100"/>
      <c r="W644" s="76"/>
    </row>
    <row r="645" spans="1:23">
      <c r="A645" s="93"/>
      <c r="B645" s="95"/>
      <c r="C645" s="76"/>
      <c r="D645" s="76"/>
      <c r="E645" s="76"/>
      <c r="F645" s="95"/>
      <c r="G645" s="95"/>
      <c r="H645" s="95"/>
      <c r="I645" s="95"/>
      <c r="J645" s="104"/>
      <c r="K645" s="99"/>
      <c r="L645" s="99"/>
      <c r="M645" s="76"/>
      <c r="N645" s="76"/>
      <c r="O645" s="76"/>
      <c r="P645" s="76"/>
      <c r="Q645" s="76"/>
      <c r="R645" s="76"/>
      <c r="S645" s="104"/>
      <c r="T645" s="104"/>
      <c r="U645" s="106"/>
      <c r="V645" s="100"/>
      <c r="W645" s="76"/>
    </row>
    <row r="646" spans="1:23">
      <c r="A646" s="93"/>
      <c r="B646" s="95"/>
      <c r="C646" s="76"/>
      <c r="D646" s="76"/>
      <c r="E646" s="76"/>
      <c r="F646" s="95"/>
      <c r="G646" s="95"/>
      <c r="H646" s="95"/>
      <c r="I646" s="95"/>
      <c r="J646" s="104"/>
      <c r="K646" s="99"/>
      <c r="L646" s="99"/>
      <c r="M646" s="76"/>
      <c r="N646" s="76"/>
      <c r="O646" s="76"/>
      <c r="P646" s="76"/>
      <c r="Q646" s="76"/>
      <c r="R646" s="76"/>
      <c r="S646" s="104"/>
      <c r="T646" s="104"/>
      <c r="U646" s="106"/>
      <c r="V646" s="100"/>
      <c r="W646" s="76"/>
    </row>
    <row r="647" spans="1:23">
      <c r="A647" s="93"/>
      <c r="B647" s="95"/>
      <c r="C647" s="76"/>
      <c r="D647" s="76"/>
      <c r="E647" s="76"/>
      <c r="F647" s="95"/>
      <c r="G647" s="95"/>
      <c r="H647" s="95"/>
      <c r="I647" s="95"/>
      <c r="J647" s="104"/>
      <c r="K647" s="99"/>
      <c r="L647" s="99"/>
      <c r="M647" s="76"/>
      <c r="N647" s="76"/>
      <c r="O647" s="76"/>
      <c r="P647" s="76"/>
      <c r="Q647" s="76"/>
      <c r="R647" s="76"/>
      <c r="S647" s="104"/>
      <c r="T647" s="104"/>
      <c r="U647" s="106"/>
      <c r="V647" s="100"/>
      <c r="W647" s="76"/>
    </row>
    <row r="648" spans="1:23">
      <c r="A648" s="93"/>
      <c r="B648" s="95"/>
      <c r="C648" s="76"/>
      <c r="D648" s="76"/>
      <c r="E648" s="76"/>
      <c r="F648" s="95"/>
      <c r="G648" s="95"/>
      <c r="H648" s="95"/>
      <c r="I648" s="95"/>
      <c r="J648" s="104"/>
      <c r="K648" s="99"/>
      <c r="L648" s="99"/>
      <c r="M648" s="76"/>
      <c r="N648" s="76"/>
      <c r="O648" s="76"/>
      <c r="P648" s="76"/>
      <c r="Q648" s="76"/>
      <c r="R648" s="76"/>
      <c r="S648" s="104"/>
      <c r="T648" s="104"/>
      <c r="U648" s="106"/>
      <c r="V648" s="100"/>
      <c r="W648" s="76"/>
    </row>
    <row r="649" spans="1:23">
      <c r="A649" s="93"/>
      <c r="B649" s="95"/>
      <c r="C649" s="76"/>
      <c r="D649" s="76"/>
      <c r="E649" s="76"/>
      <c r="F649" s="95"/>
      <c r="G649" s="95"/>
      <c r="H649" s="95"/>
      <c r="I649" s="95"/>
      <c r="J649" s="104"/>
      <c r="K649" s="99"/>
      <c r="L649" s="99"/>
      <c r="M649" s="76"/>
      <c r="N649" s="76"/>
      <c r="O649" s="76"/>
      <c r="P649" s="76"/>
      <c r="Q649" s="76"/>
      <c r="R649" s="76"/>
      <c r="S649" s="104"/>
      <c r="T649" s="104"/>
      <c r="U649" s="106"/>
      <c r="V649" s="100"/>
      <c r="W649" s="76"/>
    </row>
    <row r="650" spans="1:23">
      <c r="A650" s="93"/>
      <c r="B650" s="95"/>
      <c r="C650" s="76"/>
      <c r="D650" s="76"/>
      <c r="E650" s="76"/>
      <c r="F650" s="95"/>
      <c r="G650" s="95"/>
      <c r="H650" s="95"/>
      <c r="I650" s="95"/>
      <c r="J650" s="104"/>
      <c r="K650" s="99"/>
      <c r="L650" s="99"/>
      <c r="M650" s="76"/>
      <c r="N650" s="76"/>
      <c r="O650" s="76"/>
      <c r="P650" s="76"/>
      <c r="Q650" s="76"/>
      <c r="R650" s="76"/>
      <c r="S650" s="104"/>
      <c r="T650" s="104"/>
      <c r="U650" s="106"/>
      <c r="V650" s="100"/>
      <c r="W650" s="76"/>
    </row>
    <row r="651" spans="1:23">
      <c r="A651" s="93"/>
      <c r="B651" s="95"/>
      <c r="C651" s="76"/>
      <c r="D651" s="76"/>
      <c r="E651" s="76"/>
      <c r="F651" s="95"/>
      <c r="G651" s="95"/>
      <c r="H651" s="95"/>
      <c r="I651" s="95"/>
      <c r="J651" s="104"/>
      <c r="K651" s="99"/>
      <c r="L651" s="99"/>
      <c r="M651" s="76"/>
      <c r="N651" s="76"/>
      <c r="O651" s="76"/>
      <c r="P651" s="76"/>
      <c r="Q651" s="76"/>
      <c r="R651" s="76"/>
      <c r="S651" s="104"/>
      <c r="T651" s="104"/>
      <c r="U651" s="106"/>
      <c r="V651" s="100"/>
      <c r="W651" s="76"/>
    </row>
    <row r="652" spans="1:23">
      <c r="A652" s="93"/>
      <c r="B652" s="95"/>
      <c r="C652" s="76"/>
      <c r="D652" s="76"/>
      <c r="E652" s="76"/>
      <c r="F652" s="95"/>
      <c r="G652" s="95"/>
      <c r="H652" s="95"/>
      <c r="I652" s="95"/>
      <c r="J652" s="104"/>
      <c r="K652" s="99"/>
      <c r="L652" s="99"/>
      <c r="M652" s="76"/>
      <c r="N652" s="76"/>
      <c r="O652" s="76"/>
      <c r="P652" s="76"/>
      <c r="Q652" s="76"/>
      <c r="R652" s="76"/>
      <c r="S652" s="104"/>
      <c r="T652" s="104"/>
      <c r="U652" s="106"/>
      <c r="V652" s="100"/>
      <c r="W652" s="76"/>
    </row>
    <row r="653" spans="1:23">
      <c r="A653" s="93"/>
      <c r="B653" s="95"/>
      <c r="C653" s="76"/>
      <c r="D653" s="76"/>
      <c r="E653" s="76"/>
      <c r="F653" s="95"/>
      <c r="G653" s="95"/>
      <c r="H653" s="95"/>
      <c r="I653" s="95"/>
      <c r="J653" s="104"/>
      <c r="K653" s="99"/>
      <c r="L653" s="99"/>
      <c r="M653" s="76"/>
      <c r="N653" s="76"/>
      <c r="O653" s="76"/>
      <c r="P653" s="76"/>
      <c r="Q653" s="76"/>
      <c r="R653" s="76"/>
      <c r="S653" s="104"/>
      <c r="T653" s="104"/>
      <c r="U653" s="106"/>
      <c r="V653" s="100"/>
      <c r="W653" s="76"/>
    </row>
    <row r="654" spans="1:23">
      <c r="A654" s="93"/>
      <c r="B654" s="95"/>
      <c r="C654" s="76"/>
      <c r="D654" s="76"/>
      <c r="E654" s="76"/>
      <c r="F654" s="95"/>
      <c r="G654" s="95"/>
      <c r="H654" s="95"/>
      <c r="I654" s="95"/>
      <c r="J654" s="104"/>
      <c r="K654" s="99"/>
      <c r="L654" s="99"/>
      <c r="M654" s="76"/>
      <c r="N654" s="76"/>
      <c r="O654" s="76"/>
      <c r="P654" s="76"/>
      <c r="Q654" s="76"/>
      <c r="R654" s="76"/>
      <c r="S654" s="104"/>
      <c r="T654" s="104"/>
      <c r="U654" s="106"/>
      <c r="V654" s="100"/>
      <c r="W654" s="76"/>
    </row>
    <row r="655" spans="1:23">
      <c r="A655" s="93"/>
      <c r="B655" s="95"/>
      <c r="C655" s="76"/>
      <c r="D655" s="76"/>
      <c r="E655" s="76"/>
      <c r="F655" s="95"/>
      <c r="G655" s="95"/>
      <c r="H655" s="95"/>
      <c r="I655" s="95"/>
      <c r="J655" s="104"/>
      <c r="K655" s="99"/>
      <c r="L655" s="99"/>
      <c r="M655" s="76"/>
      <c r="N655" s="76"/>
      <c r="O655" s="76"/>
      <c r="P655" s="76"/>
      <c r="Q655" s="76"/>
      <c r="R655" s="76"/>
      <c r="S655" s="104"/>
      <c r="T655" s="104"/>
      <c r="U655" s="106"/>
      <c r="V655" s="100"/>
      <c r="W655" s="76"/>
    </row>
    <row r="656" spans="1:23">
      <c r="A656" s="93"/>
      <c r="B656" s="95"/>
      <c r="C656" s="76"/>
      <c r="D656" s="76"/>
      <c r="E656" s="76"/>
      <c r="F656" s="95"/>
      <c r="G656" s="95"/>
      <c r="H656" s="95"/>
      <c r="I656" s="95"/>
      <c r="J656" s="104"/>
      <c r="K656" s="99"/>
      <c r="L656" s="99"/>
      <c r="M656" s="76"/>
      <c r="N656" s="76"/>
      <c r="O656" s="76"/>
      <c r="P656" s="76"/>
      <c r="Q656" s="76"/>
      <c r="R656" s="76"/>
      <c r="S656" s="104"/>
      <c r="T656" s="104"/>
      <c r="U656" s="106"/>
      <c r="V656" s="100"/>
      <c r="W656" s="76"/>
    </row>
    <row r="657" spans="1:23">
      <c r="A657" s="93"/>
      <c r="B657" s="95"/>
      <c r="C657" s="76"/>
      <c r="D657" s="76"/>
      <c r="E657" s="76"/>
      <c r="F657" s="95"/>
      <c r="G657" s="95"/>
      <c r="H657" s="95"/>
      <c r="I657" s="95"/>
      <c r="J657" s="104"/>
      <c r="K657" s="99"/>
      <c r="L657" s="99"/>
      <c r="M657" s="76"/>
      <c r="N657" s="76"/>
      <c r="O657" s="76"/>
      <c r="P657" s="76"/>
      <c r="Q657" s="76"/>
      <c r="R657" s="76"/>
      <c r="S657" s="104"/>
      <c r="T657" s="104"/>
      <c r="U657" s="106"/>
      <c r="V657" s="100"/>
      <c r="W657" s="76"/>
    </row>
    <row r="658" spans="1:23">
      <c r="A658" s="93"/>
      <c r="B658" s="95"/>
      <c r="C658" s="76"/>
      <c r="D658" s="76"/>
      <c r="E658" s="76"/>
      <c r="F658" s="95"/>
      <c r="G658" s="95"/>
      <c r="H658" s="95"/>
      <c r="I658" s="95"/>
      <c r="J658" s="104"/>
      <c r="K658" s="99"/>
      <c r="L658" s="99"/>
      <c r="M658" s="76"/>
      <c r="N658" s="76"/>
      <c r="O658" s="76"/>
      <c r="P658" s="76"/>
      <c r="Q658" s="76"/>
      <c r="R658" s="76"/>
      <c r="S658" s="104"/>
      <c r="T658" s="104"/>
      <c r="U658" s="106"/>
      <c r="V658" s="100"/>
      <c r="W658" s="76"/>
    </row>
    <row r="659" spans="1:23">
      <c r="A659" s="93"/>
      <c r="B659" s="95"/>
      <c r="C659" s="76"/>
      <c r="D659" s="76"/>
      <c r="E659" s="76"/>
      <c r="F659" s="95"/>
      <c r="G659" s="95"/>
      <c r="H659" s="95"/>
      <c r="I659" s="95"/>
      <c r="J659" s="104"/>
      <c r="K659" s="99"/>
      <c r="L659" s="99"/>
      <c r="M659" s="76"/>
      <c r="N659" s="76"/>
      <c r="O659" s="76"/>
      <c r="P659" s="76"/>
      <c r="Q659" s="76"/>
      <c r="R659" s="76"/>
      <c r="S659" s="104"/>
      <c r="T659" s="104"/>
      <c r="U659" s="106"/>
      <c r="V659" s="100"/>
      <c r="W659" s="76"/>
    </row>
    <row r="660" spans="1:23">
      <c r="A660" s="93"/>
      <c r="B660" s="95"/>
      <c r="C660" s="76"/>
      <c r="D660" s="76"/>
      <c r="E660" s="76"/>
      <c r="F660" s="95"/>
      <c r="G660" s="95"/>
      <c r="H660" s="95"/>
      <c r="I660" s="95"/>
      <c r="J660" s="104"/>
      <c r="K660" s="99"/>
      <c r="L660" s="99"/>
      <c r="M660" s="76"/>
      <c r="N660" s="76"/>
      <c r="O660" s="76"/>
      <c r="P660" s="76"/>
      <c r="Q660" s="76"/>
      <c r="R660" s="76"/>
      <c r="S660" s="104"/>
      <c r="T660" s="104"/>
      <c r="U660" s="106"/>
      <c r="V660" s="100"/>
      <c r="W660" s="76"/>
    </row>
    <row r="661" spans="1:23">
      <c r="A661" s="93"/>
      <c r="B661" s="95"/>
      <c r="C661" s="76"/>
      <c r="D661" s="76"/>
      <c r="E661" s="76"/>
      <c r="F661" s="95"/>
      <c r="G661" s="95"/>
      <c r="H661" s="95"/>
      <c r="I661" s="95"/>
      <c r="J661" s="104"/>
      <c r="K661" s="99"/>
      <c r="L661" s="99"/>
      <c r="M661" s="76"/>
      <c r="N661" s="76"/>
      <c r="O661" s="76"/>
      <c r="P661" s="76"/>
      <c r="Q661" s="76"/>
      <c r="R661" s="76"/>
      <c r="S661" s="104"/>
      <c r="T661" s="104"/>
      <c r="U661" s="106"/>
      <c r="V661" s="100"/>
      <c r="W661" s="76"/>
    </row>
    <row r="662" spans="1:23">
      <c r="A662" s="93"/>
      <c r="B662" s="95"/>
      <c r="C662" s="76"/>
      <c r="D662" s="76"/>
      <c r="E662" s="76"/>
      <c r="F662" s="95"/>
      <c r="G662" s="95"/>
      <c r="H662" s="95"/>
      <c r="I662" s="95"/>
      <c r="J662" s="104"/>
      <c r="K662" s="99"/>
      <c r="L662" s="99"/>
      <c r="M662" s="76"/>
      <c r="N662" s="76"/>
      <c r="O662" s="76"/>
      <c r="P662" s="76"/>
      <c r="Q662" s="76"/>
      <c r="R662" s="76"/>
      <c r="S662" s="104"/>
      <c r="T662" s="104"/>
      <c r="U662" s="106"/>
      <c r="V662" s="100"/>
      <c r="W662" s="76"/>
    </row>
    <row r="663" spans="1:23">
      <c r="A663" s="93"/>
      <c r="B663" s="95"/>
      <c r="C663" s="76"/>
      <c r="D663" s="76"/>
      <c r="E663" s="76"/>
      <c r="F663" s="95"/>
      <c r="G663" s="95"/>
      <c r="H663" s="95"/>
      <c r="I663" s="95"/>
      <c r="J663" s="104"/>
      <c r="K663" s="99"/>
      <c r="L663" s="99"/>
      <c r="M663" s="76"/>
      <c r="N663" s="76"/>
      <c r="O663" s="76"/>
      <c r="P663" s="76"/>
      <c r="Q663" s="76"/>
      <c r="R663" s="76"/>
      <c r="S663" s="104"/>
      <c r="T663" s="104"/>
      <c r="U663" s="106"/>
      <c r="V663" s="100"/>
      <c r="W663" s="76"/>
    </row>
    <row r="664" spans="1:23">
      <c r="A664" s="93"/>
      <c r="B664" s="95"/>
      <c r="C664" s="76"/>
      <c r="D664" s="76"/>
      <c r="E664" s="76"/>
      <c r="F664" s="95"/>
      <c r="G664" s="95"/>
      <c r="H664" s="95"/>
      <c r="I664" s="95"/>
      <c r="J664" s="104"/>
      <c r="K664" s="99"/>
      <c r="L664" s="99"/>
      <c r="M664" s="76"/>
      <c r="N664" s="76"/>
      <c r="O664" s="76"/>
      <c r="P664" s="76"/>
      <c r="Q664" s="76"/>
      <c r="R664" s="76"/>
      <c r="S664" s="104"/>
      <c r="T664" s="104"/>
      <c r="U664" s="106"/>
      <c r="V664" s="100"/>
      <c r="W664" s="76"/>
    </row>
    <row r="665" spans="1:23">
      <c r="A665" s="93"/>
      <c r="B665" s="95"/>
      <c r="C665" s="76"/>
      <c r="D665" s="76"/>
      <c r="E665" s="76"/>
      <c r="F665" s="95"/>
      <c r="G665" s="95"/>
      <c r="H665" s="95"/>
      <c r="I665" s="95"/>
      <c r="J665" s="104"/>
      <c r="K665" s="99"/>
      <c r="L665" s="99"/>
      <c r="M665" s="76"/>
      <c r="N665" s="76"/>
      <c r="O665" s="76"/>
      <c r="P665" s="76"/>
      <c r="Q665" s="76"/>
      <c r="R665" s="76"/>
      <c r="S665" s="104"/>
      <c r="T665" s="104"/>
      <c r="U665" s="106"/>
      <c r="V665" s="100"/>
      <c r="W665" s="76"/>
    </row>
    <row r="666" spans="1:23">
      <c r="A666" s="93"/>
      <c r="B666" s="95"/>
      <c r="C666" s="76"/>
      <c r="D666" s="76"/>
      <c r="E666" s="76"/>
      <c r="F666" s="95"/>
      <c r="G666" s="95"/>
      <c r="H666" s="95"/>
      <c r="I666" s="95"/>
      <c r="J666" s="104"/>
      <c r="K666" s="99"/>
      <c r="L666" s="99"/>
      <c r="M666" s="76"/>
      <c r="N666" s="76"/>
      <c r="O666" s="76"/>
      <c r="P666" s="76"/>
      <c r="Q666" s="76"/>
      <c r="R666" s="76"/>
      <c r="S666" s="104"/>
      <c r="T666" s="104"/>
      <c r="U666" s="106"/>
      <c r="V666" s="100"/>
      <c r="W666" s="76"/>
    </row>
    <row r="667" spans="1:23">
      <c r="A667" s="93"/>
      <c r="B667" s="95"/>
      <c r="C667" s="76"/>
      <c r="D667" s="76"/>
      <c r="E667" s="76"/>
      <c r="F667" s="95"/>
      <c r="G667" s="95"/>
      <c r="H667" s="95"/>
      <c r="I667" s="95"/>
      <c r="J667" s="104"/>
      <c r="K667" s="99"/>
      <c r="L667" s="99"/>
      <c r="M667" s="76"/>
      <c r="N667" s="76"/>
      <c r="O667" s="76"/>
      <c r="P667" s="76"/>
      <c r="Q667" s="76"/>
      <c r="R667" s="76"/>
      <c r="S667" s="104"/>
      <c r="T667" s="104"/>
      <c r="U667" s="106"/>
      <c r="V667" s="100"/>
      <c r="W667" s="76"/>
    </row>
    <row r="668" spans="1:23">
      <c r="A668" s="93"/>
      <c r="B668" s="95"/>
      <c r="C668" s="76"/>
      <c r="D668" s="76"/>
      <c r="E668" s="76"/>
      <c r="F668" s="95"/>
      <c r="G668" s="95"/>
      <c r="H668" s="95"/>
      <c r="I668" s="95"/>
      <c r="J668" s="104"/>
      <c r="K668" s="99"/>
      <c r="L668" s="99"/>
      <c r="M668" s="76"/>
      <c r="N668" s="76"/>
      <c r="O668" s="76"/>
      <c r="P668" s="76"/>
      <c r="Q668" s="76"/>
      <c r="R668" s="76"/>
      <c r="S668" s="104"/>
      <c r="T668" s="104"/>
      <c r="U668" s="106"/>
      <c r="V668" s="100"/>
      <c r="W668" s="76"/>
    </row>
    <row r="669" spans="1:23">
      <c r="A669" s="93"/>
      <c r="B669" s="95"/>
      <c r="C669" s="76"/>
      <c r="D669" s="76"/>
      <c r="E669" s="76"/>
      <c r="F669" s="95"/>
      <c r="G669" s="95"/>
      <c r="H669" s="95"/>
      <c r="I669" s="95"/>
      <c r="J669" s="104"/>
      <c r="K669" s="99"/>
      <c r="L669" s="99"/>
      <c r="M669" s="76"/>
      <c r="N669" s="76"/>
      <c r="O669" s="76"/>
      <c r="P669" s="76"/>
      <c r="Q669" s="76"/>
      <c r="R669" s="76"/>
      <c r="S669" s="104"/>
      <c r="T669" s="104"/>
      <c r="U669" s="106"/>
      <c r="V669" s="100"/>
      <c r="W669" s="76"/>
    </row>
    <row r="670" spans="1:23">
      <c r="A670" s="93"/>
      <c r="B670" s="95"/>
      <c r="C670" s="76"/>
      <c r="D670" s="76"/>
      <c r="E670" s="76"/>
      <c r="F670" s="95"/>
      <c r="G670" s="95"/>
      <c r="H670" s="95"/>
      <c r="I670" s="95"/>
      <c r="J670" s="104"/>
      <c r="K670" s="99"/>
      <c r="L670" s="99"/>
      <c r="M670" s="76"/>
      <c r="N670" s="76"/>
      <c r="O670" s="76"/>
      <c r="P670" s="76"/>
      <c r="Q670" s="76"/>
      <c r="R670" s="76"/>
      <c r="S670" s="104"/>
      <c r="T670" s="104"/>
      <c r="U670" s="106"/>
      <c r="V670" s="100"/>
      <c r="W670" s="76"/>
    </row>
    <row r="671" spans="1:23">
      <c r="A671" s="93"/>
      <c r="B671" s="95"/>
      <c r="C671" s="76"/>
      <c r="D671" s="76"/>
      <c r="E671" s="76"/>
      <c r="F671" s="95"/>
      <c r="G671" s="95"/>
      <c r="H671" s="95"/>
      <c r="I671" s="95"/>
      <c r="J671" s="104"/>
      <c r="K671" s="99"/>
      <c r="L671" s="99"/>
      <c r="M671" s="76"/>
      <c r="N671" s="76"/>
      <c r="O671" s="76"/>
      <c r="P671" s="76"/>
      <c r="Q671" s="76"/>
      <c r="R671" s="76"/>
      <c r="S671" s="104"/>
      <c r="T671" s="104"/>
      <c r="U671" s="106"/>
      <c r="V671" s="100"/>
      <c r="W671" s="76"/>
    </row>
    <row r="672" spans="1:23">
      <c r="A672" s="93"/>
      <c r="B672" s="95"/>
      <c r="C672" s="76"/>
      <c r="D672" s="76"/>
      <c r="E672" s="76"/>
      <c r="F672" s="95"/>
      <c r="G672" s="95"/>
      <c r="H672" s="95"/>
      <c r="I672" s="95"/>
      <c r="J672" s="104"/>
      <c r="K672" s="99"/>
      <c r="L672" s="99"/>
      <c r="M672" s="76"/>
      <c r="N672" s="76"/>
      <c r="O672" s="76"/>
      <c r="P672" s="76"/>
      <c r="Q672" s="76"/>
      <c r="R672" s="76"/>
      <c r="S672" s="104"/>
      <c r="T672" s="104"/>
      <c r="U672" s="106"/>
      <c r="V672" s="100"/>
      <c r="W672" s="76"/>
    </row>
    <row r="673" spans="1:23">
      <c r="A673" s="93"/>
      <c r="B673" s="95"/>
      <c r="C673" s="76"/>
      <c r="D673" s="76"/>
      <c r="E673" s="76"/>
      <c r="F673" s="95"/>
      <c r="G673" s="95"/>
      <c r="H673" s="95"/>
      <c r="I673" s="95"/>
      <c r="J673" s="104"/>
      <c r="K673" s="99"/>
      <c r="L673" s="99"/>
      <c r="M673" s="76"/>
      <c r="N673" s="76"/>
      <c r="O673" s="76"/>
      <c r="P673" s="76"/>
      <c r="Q673" s="76"/>
      <c r="R673" s="76"/>
      <c r="S673" s="104"/>
      <c r="T673" s="104"/>
      <c r="U673" s="106"/>
      <c r="V673" s="100"/>
      <c r="W673" s="76"/>
    </row>
    <row r="674" spans="1:23">
      <c r="A674" s="93"/>
      <c r="B674" s="95"/>
      <c r="C674" s="76"/>
      <c r="D674" s="76"/>
      <c r="E674" s="76"/>
      <c r="F674" s="95"/>
      <c r="G674" s="95"/>
      <c r="H674" s="95"/>
      <c r="I674" s="95"/>
      <c r="J674" s="104"/>
      <c r="K674" s="99"/>
      <c r="L674" s="99"/>
      <c r="M674" s="76"/>
      <c r="N674" s="76"/>
      <c r="O674" s="76"/>
      <c r="P674" s="76"/>
      <c r="Q674" s="76"/>
      <c r="R674" s="76"/>
      <c r="S674" s="104"/>
      <c r="T674" s="104"/>
      <c r="U674" s="106"/>
      <c r="V674" s="100"/>
      <c r="W674" s="76"/>
    </row>
    <row r="675" spans="1:23">
      <c r="A675" s="93"/>
      <c r="B675" s="95"/>
      <c r="C675" s="76"/>
      <c r="D675" s="76"/>
      <c r="E675" s="76"/>
      <c r="F675" s="95"/>
      <c r="G675" s="95"/>
      <c r="H675" s="95"/>
      <c r="I675" s="95"/>
      <c r="J675" s="104"/>
      <c r="K675" s="99"/>
      <c r="L675" s="99"/>
      <c r="M675" s="76"/>
      <c r="N675" s="76"/>
      <c r="O675" s="76"/>
      <c r="P675" s="76"/>
      <c r="Q675" s="76"/>
      <c r="R675" s="76"/>
      <c r="S675" s="104"/>
      <c r="T675" s="104"/>
      <c r="U675" s="106"/>
      <c r="V675" s="100"/>
      <c r="W675" s="76"/>
    </row>
    <row r="676" spans="1:23">
      <c r="A676" s="93"/>
      <c r="B676" s="95"/>
      <c r="C676" s="76"/>
      <c r="D676" s="76"/>
      <c r="E676" s="76"/>
      <c r="F676" s="95"/>
      <c r="G676" s="95"/>
      <c r="H676" s="95"/>
      <c r="I676" s="95"/>
      <c r="J676" s="104"/>
      <c r="K676" s="99"/>
      <c r="L676" s="99"/>
      <c r="M676" s="76"/>
      <c r="N676" s="76"/>
      <c r="O676" s="76"/>
      <c r="P676" s="76"/>
      <c r="Q676" s="76"/>
      <c r="R676" s="76"/>
      <c r="S676" s="104"/>
      <c r="T676" s="104"/>
      <c r="U676" s="106"/>
      <c r="V676" s="100"/>
      <c r="W676" s="76"/>
    </row>
    <row r="677" spans="1:23">
      <c r="A677" s="93"/>
      <c r="B677" s="95"/>
      <c r="C677" s="76"/>
      <c r="D677" s="76"/>
      <c r="E677" s="76"/>
      <c r="F677" s="95"/>
      <c r="G677" s="95"/>
      <c r="H677" s="95"/>
      <c r="I677" s="95"/>
      <c r="J677" s="104"/>
      <c r="K677" s="99"/>
      <c r="L677" s="99"/>
      <c r="M677" s="76"/>
      <c r="N677" s="76"/>
      <c r="O677" s="76"/>
      <c r="P677" s="76"/>
      <c r="Q677" s="76"/>
      <c r="R677" s="76"/>
      <c r="S677" s="104"/>
      <c r="T677" s="104"/>
      <c r="U677" s="106"/>
      <c r="V677" s="100"/>
      <c r="W677" s="76"/>
    </row>
    <row r="678" spans="1:23">
      <c r="A678" s="93"/>
      <c r="B678" s="95"/>
      <c r="C678" s="76"/>
      <c r="D678" s="76"/>
      <c r="E678" s="76"/>
      <c r="F678" s="95"/>
      <c r="G678" s="95"/>
      <c r="H678" s="95"/>
      <c r="I678" s="95"/>
      <c r="J678" s="104"/>
      <c r="K678" s="99"/>
      <c r="L678" s="99"/>
      <c r="M678" s="76"/>
      <c r="N678" s="76"/>
      <c r="O678" s="76"/>
      <c r="P678" s="76"/>
      <c r="Q678" s="76"/>
      <c r="R678" s="76"/>
      <c r="S678" s="104"/>
      <c r="T678" s="104"/>
      <c r="U678" s="106"/>
      <c r="V678" s="100"/>
      <c r="W678" s="76"/>
    </row>
    <row r="679" spans="1:23">
      <c r="A679" s="93"/>
      <c r="B679" s="95"/>
      <c r="C679" s="76"/>
      <c r="D679" s="76"/>
      <c r="E679" s="76"/>
      <c r="F679" s="95"/>
      <c r="G679" s="95"/>
      <c r="H679" s="95"/>
      <c r="I679" s="95"/>
      <c r="J679" s="104"/>
      <c r="K679" s="99"/>
      <c r="L679" s="99"/>
      <c r="M679" s="76"/>
      <c r="N679" s="76"/>
      <c r="O679" s="76"/>
      <c r="P679" s="76"/>
      <c r="Q679" s="76"/>
      <c r="R679" s="76"/>
      <c r="S679" s="104"/>
      <c r="T679" s="104"/>
      <c r="U679" s="106"/>
      <c r="V679" s="100"/>
      <c r="W679" s="76"/>
    </row>
    <row r="680" spans="1:23">
      <c r="A680" s="93"/>
      <c r="B680" s="95"/>
      <c r="C680" s="76"/>
      <c r="D680" s="76"/>
      <c r="E680" s="76"/>
      <c r="F680" s="95"/>
      <c r="G680" s="95"/>
      <c r="H680" s="95"/>
      <c r="I680" s="95"/>
      <c r="J680" s="104"/>
      <c r="K680" s="99"/>
      <c r="L680" s="99"/>
      <c r="M680" s="76"/>
      <c r="N680" s="76"/>
      <c r="O680" s="76"/>
      <c r="P680" s="76"/>
      <c r="Q680" s="76"/>
      <c r="R680" s="76"/>
      <c r="S680" s="104"/>
      <c r="T680" s="104"/>
      <c r="U680" s="106"/>
      <c r="V680" s="100"/>
      <c r="W680" s="76"/>
    </row>
    <row r="681" spans="1:23">
      <c r="A681" s="93"/>
      <c r="B681" s="95"/>
      <c r="C681" s="76"/>
      <c r="D681" s="76"/>
      <c r="E681" s="76"/>
      <c r="F681" s="95"/>
      <c r="G681" s="95"/>
      <c r="H681" s="95"/>
      <c r="I681" s="95"/>
      <c r="J681" s="104"/>
      <c r="K681" s="99"/>
      <c r="L681" s="99"/>
      <c r="M681" s="76"/>
      <c r="N681" s="76"/>
      <c r="O681" s="76"/>
      <c r="P681" s="76"/>
      <c r="Q681" s="76"/>
      <c r="R681" s="76"/>
      <c r="S681" s="104"/>
      <c r="T681" s="104"/>
      <c r="U681" s="106"/>
      <c r="V681" s="100"/>
      <c r="W681" s="76"/>
    </row>
    <row r="682" spans="1:23">
      <c r="A682" s="93"/>
      <c r="B682" s="95"/>
      <c r="C682" s="76"/>
      <c r="D682" s="76"/>
      <c r="E682" s="76"/>
      <c r="F682" s="95"/>
      <c r="G682" s="95"/>
      <c r="H682" s="95"/>
      <c r="I682" s="95"/>
      <c r="J682" s="104"/>
      <c r="K682" s="99"/>
      <c r="L682" s="99"/>
      <c r="M682" s="76"/>
      <c r="N682" s="76"/>
      <c r="O682" s="76"/>
      <c r="P682" s="76"/>
      <c r="Q682" s="76"/>
      <c r="R682" s="76"/>
      <c r="S682" s="104"/>
      <c r="T682" s="104"/>
      <c r="U682" s="106"/>
      <c r="V682" s="100"/>
      <c r="W682" s="76"/>
    </row>
    <row r="683" spans="1:23">
      <c r="A683" s="93"/>
      <c r="B683" s="95"/>
      <c r="C683" s="76"/>
      <c r="D683" s="76"/>
      <c r="E683" s="76"/>
      <c r="F683" s="95"/>
      <c r="G683" s="95"/>
      <c r="H683" s="95"/>
      <c r="I683" s="95"/>
      <c r="J683" s="104"/>
      <c r="K683" s="99"/>
      <c r="L683" s="99"/>
      <c r="M683" s="76"/>
      <c r="N683" s="76"/>
      <c r="O683" s="76"/>
      <c r="P683" s="76"/>
      <c r="Q683" s="76"/>
      <c r="R683" s="76"/>
      <c r="S683" s="104"/>
      <c r="T683" s="104"/>
      <c r="U683" s="106"/>
      <c r="V683" s="100"/>
      <c r="W683" s="76"/>
    </row>
    <row r="684" spans="1:23">
      <c r="A684" s="93"/>
      <c r="B684" s="95"/>
      <c r="C684" s="76"/>
      <c r="D684" s="76"/>
      <c r="E684" s="76"/>
      <c r="F684" s="95"/>
      <c r="G684" s="95"/>
      <c r="H684" s="95"/>
      <c r="I684" s="95"/>
      <c r="J684" s="104"/>
      <c r="K684" s="99"/>
      <c r="L684" s="99"/>
      <c r="M684" s="76"/>
      <c r="N684" s="76"/>
      <c r="O684" s="76"/>
      <c r="P684" s="76"/>
      <c r="Q684" s="76"/>
      <c r="R684" s="76"/>
      <c r="S684" s="104"/>
      <c r="T684" s="104"/>
      <c r="U684" s="106"/>
      <c r="V684" s="100"/>
      <c r="W684" s="76"/>
    </row>
    <row r="685" spans="1:23">
      <c r="A685" s="93"/>
      <c r="B685" s="95"/>
      <c r="C685" s="76"/>
      <c r="D685" s="76"/>
      <c r="E685" s="76"/>
      <c r="F685" s="95"/>
      <c r="G685" s="95"/>
      <c r="H685" s="95"/>
      <c r="I685" s="95"/>
      <c r="J685" s="104"/>
      <c r="K685" s="99"/>
      <c r="L685" s="99"/>
      <c r="M685" s="76"/>
      <c r="N685" s="76"/>
      <c r="O685" s="76"/>
      <c r="P685" s="76"/>
      <c r="Q685" s="76"/>
      <c r="R685" s="76"/>
      <c r="S685" s="104"/>
      <c r="T685" s="104"/>
      <c r="U685" s="106"/>
      <c r="V685" s="100"/>
      <c r="W685" s="76"/>
    </row>
    <row r="686" spans="1:23">
      <c r="A686" s="93"/>
      <c r="B686" s="95"/>
      <c r="C686" s="76"/>
      <c r="D686" s="76"/>
      <c r="E686" s="76"/>
      <c r="F686" s="95"/>
      <c r="G686" s="95"/>
      <c r="H686" s="95"/>
      <c r="I686" s="95"/>
      <c r="J686" s="104"/>
      <c r="K686" s="99"/>
      <c r="L686" s="99"/>
      <c r="M686" s="76"/>
      <c r="N686" s="76"/>
      <c r="O686" s="76"/>
      <c r="P686" s="76"/>
      <c r="Q686" s="76"/>
      <c r="R686" s="76"/>
      <c r="S686" s="104"/>
      <c r="T686" s="104"/>
      <c r="U686" s="106"/>
      <c r="V686" s="100"/>
      <c r="W686" s="76"/>
    </row>
    <row r="687" spans="1:23">
      <c r="A687" s="93"/>
      <c r="B687" s="95"/>
      <c r="C687" s="76"/>
      <c r="D687" s="76"/>
      <c r="E687" s="76"/>
      <c r="F687" s="95"/>
      <c r="G687" s="95"/>
      <c r="H687" s="95"/>
      <c r="I687" s="95"/>
      <c r="J687" s="104"/>
      <c r="K687" s="99"/>
      <c r="L687" s="99"/>
      <c r="M687" s="76"/>
      <c r="N687" s="76"/>
      <c r="O687" s="76"/>
      <c r="P687" s="76"/>
      <c r="Q687" s="76"/>
      <c r="R687" s="76"/>
      <c r="S687" s="104"/>
      <c r="T687" s="104"/>
      <c r="U687" s="106"/>
      <c r="V687" s="100"/>
      <c r="W687" s="76"/>
    </row>
    <row r="688" spans="1:23">
      <c r="A688" s="93"/>
      <c r="B688" s="95"/>
      <c r="C688" s="76"/>
      <c r="D688" s="76"/>
      <c r="E688" s="76"/>
      <c r="F688" s="95"/>
      <c r="G688" s="95"/>
      <c r="H688" s="95"/>
      <c r="I688" s="95"/>
      <c r="J688" s="104"/>
      <c r="K688" s="99"/>
      <c r="L688" s="99"/>
      <c r="M688" s="76"/>
      <c r="N688" s="76"/>
      <c r="O688" s="76"/>
      <c r="P688" s="76"/>
      <c r="Q688" s="76"/>
      <c r="R688" s="76"/>
      <c r="S688" s="104"/>
      <c r="T688" s="104"/>
      <c r="U688" s="106"/>
      <c r="V688" s="100"/>
      <c r="W688" s="76"/>
    </row>
    <row r="689" spans="1:23">
      <c r="A689" s="93"/>
      <c r="B689" s="95"/>
      <c r="C689" s="76"/>
      <c r="D689" s="76"/>
      <c r="E689" s="76"/>
      <c r="F689" s="95"/>
      <c r="G689" s="95"/>
      <c r="H689" s="95"/>
      <c r="I689" s="95"/>
      <c r="J689" s="104"/>
      <c r="K689" s="99"/>
      <c r="L689" s="99"/>
      <c r="M689" s="76"/>
      <c r="N689" s="76"/>
      <c r="O689" s="76"/>
      <c r="P689" s="76"/>
      <c r="Q689" s="76"/>
      <c r="R689" s="76"/>
      <c r="S689" s="104"/>
      <c r="T689" s="104"/>
      <c r="U689" s="106"/>
      <c r="V689" s="100"/>
      <c r="W689" s="76"/>
    </row>
    <row r="690" spans="1:23">
      <c r="A690" s="93"/>
      <c r="B690" s="95"/>
      <c r="C690" s="76"/>
      <c r="D690" s="76"/>
      <c r="E690" s="76"/>
      <c r="F690" s="95"/>
      <c r="G690" s="95"/>
      <c r="H690" s="95"/>
      <c r="I690" s="95"/>
      <c r="J690" s="104"/>
      <c r="K690" s="99"/>
      <c r="L690" s="99"/>
      <c r="M690" s="76"/>
      <c r="N690" s="76"/>
      <c r="O690" s="76"/>
      <c r="P690" s="76"/>
      <c r="Q690" s="76"/>
      <c r="R690" s="76"/>
      <c r="S690" s="104"/>
      <c r="T690" s="104"/>
      <c r="U690" s="106"/>
      <c r="V690" s="100"/>
      <c r="W690" s="76"/>
    </row>
    <row r="691" spans="1:23">
      <c r="A691" s="93"/>
      <c r="B691" s="95"/>
      <c r="C691" s="76"/>
      <c r="D691" s="76"/>
      <c r="E691" s="76"/>
      <c r="F691" s="95"/>
      <c r="G691" s="95"/>
      <c r="H691" s="95"/>
      <c r="I691" s="95"/>
      <c r="J691" s="104"/>
      <c r="K691" s="99"/>
      <c r="L691" s="99"/>
      <c r="M691" s="76"/>
      <c r="N691" s="76"/>
      <c r="O691" s="76"/>
      <c r="P691" s="76"/>
      <c r="Q691" s="76"/>
      <c r="R691" s="76"/>
      <c r="S691" s="104"/>
      <c r="T691" s="104"/>
      <c r="U691" s="106"/>
      <c r="V691" s="100"/>
      <c r="W691" s="76"/>
    </row>
    <row r="692" spans="1:23">
      <c r="A692" s="93"/>
      <c r="B692" s="95"/>
      <c r="C692" s="76"/>
      <c r="D692" s="76"/>
      <c r="E692" s="76"/>
      <c r="F692" s="95"/>
      <c r="G692" s="95"/>
      <c r="H692" s="95"/>
      <c r="I692" s="95"/>
      <c r="J692" s="104"/>
      <c r="K692" s="99"/>
      <c r="L692" s="99"/>
      <c r="M692" s="76"/>
      <c r="N692" s="76"/>
      <c r="O692" s="76"/>
      <c r="P692" s="76"/>
      <c r="Q692" s="76"/>
      <c r="R692" s="76"/>
      <c r="S692" s="104"/>
      <c r="T692" s="104"/>
      <c r="U692" s="106"/>
      <c r="V692" s="100"/>
      <c r="W692" s="76"/>
    </row>
    <row r="693" spans="1:23">
      <c r="A693" s="93"/>
      <c r="B693" s="95"/>
      <c r="C693" s="76"/>
      <c r="D693" s="76"/>
      <c r="E693" s="76"/>
      <c r="F693" s="95"/>
      <c r="G693" s="95"/>
      <c r="H693" s="95"/>
      <c r="I693" s="95"/>
      <c r="J693" s="104"/>
      <c r="K693" s="99"/>
      <c r="L693" s="99"/>
      <c r="M693" s="76"/>
      <c r="N693" s="76"/>
      <c r="O693" s="76"/>
      <c r="P693" s="76"/>
      <c r="Q693" s="76"/>
      <c r="R693" s="76"/>
      <c r="S693" s="104"/>
      <c r="T693" s="104"/>
      <c r="U693" s="106"/>
      <c r="V693" s="100"/>
      <c r="W693" s="76"/>
    </row>
    <row r="694" spans="1:23">
      <c r="A694" s="93"/>
      <c r="B694" s="95"/>
      <c r="C694" s="76"/>
      <c r="D694" s="76"/>
      <c r="E694" s="76"/>
      <c r="F694" s="95"/>
      <c r="G694" s="95"/>
      <c r="H694" s="95"/>
      <c r="I694" s="95"/>
      <c r="J694" s="104"/>
      <c r="K694" s="99"/>
      <c r="L694" s="99"/>
      <c r="M694" s="76"/>
      <c r="N694" s="76"/>
      <c r="O694" s="76"/>
      <c r="P694" s="76"/>
      <c r="Q694" s="76"/>
      <c r="R694" s="76"/>
      <c r="S694" s="104"/>
      <c r="T694" s="104"/>
      <c r="U694" s="106"/>
      <c r="V694" s="100"/>
      <c r="W694" s="76"/>
    </row>
    <row r="695" spans="1:23">
      <c r="A695" s="93"/>
      <c r="B695" s="95"/>
      <c r="C695" s="76"/>
      <c r="D695" s="76"/>
      <c r="E695" s="76"/>
      <c r="F695" s="95"/>
      <c r="G695" s="95"/>
      <c r="H695" s="95"/>
      <c r="I695" s="95"/>
      <c r="J695" s="104"/>
      <c r="K695" s="99"/>
      <c r="L695" s="99"/>
      <c r="M695" s="76"/>
      <c r="N695" s="76"/>
      <c r="O695" s="76"/>
      <c r="P695" s="76"/>
      <c r="Q695" s="76"/>
      <c r="R695" s="76"/>
      <c r="S695" s="104"/>
      <c r="T695" s="104"/>
      <c r="U695" s="106"/>
      <c r="V695" s="100"/>
      <c r="W695" s="76"/>
    </row>
    <row r="696" spans="1:23">
      <c r="A696" s="93"/>
      <c r="B696" s="95"/>
      <c r="C696" s="76"/>
      <c r="D696" s="76"/>
      <c r="E696" s="76"/>
      <c r="F696" s="95"/>
      <c r="G696" s="95"/>
      <c r="H696" s="95"/>
      <c r="I696" s="95"/>
      <c r="J696" s="104"/>
      <c r="K696" s="99"/>
      <c r="L696" s="99"/>
      <c r="M696" s="76"/>
      <c r="N696" s="76"/>
      <c r="O696" s="76"/>
      <c r="P696" s="76"/>
      <c r="Q696" s="76"/>
      <c r="R696" s="76"/>
      <c r="S696" s="104"/>
      <c r="T696" s="104"/>
      <c r="U696" s="106"/>
      <c r="V696" s="100"/>
      <c r="W696" s="76"/>
    </row>
    <row r="697" spans="1:23">
      <c r="A697" s="93"/>
      <c r="B697" s="95"/>
      <c r="C697" s="76"/>
      <c r="D697" s="76"/>
      <c r="E697" s="76"/>
      <c r="F697" s="95"/>
      <c r="G697" s="95"/>
      <c r="H697" s="95"/>
      <c r="I697" s="95"/>
      <c r="J697" s="104"/>
      <c r="K697" s="99"/>
      <c r="L697" s="99"/>
      <c r="M697" s="76"/>
      <c r="N697" s="76"/>
      <c r="O697" s="76"/>
      <c r="P697" s="76"/>
      <c r="Q697" s="76"/>
      <c r="R697" s="76"/>
      <c r="S697" s="104"/>
      <c r="T697" s="104"/>
      <c r="U697" s="106"/>
      <c r="V697" s="100"/>
      <c r="W697" s="76"/>
    </row>
    <row r="698" spans="1:23">
      <c r="A698" s="93"/>
      <c r="B698" s="95"/>
      <c r="C698" s="76"/>
      <c r="D698" s="76"/>
      <c r="E698" s="76"/>
      <c r="F698" s="95"/>
      <c r="G698" s="95"/>
      <c r="H698" s="95"/>
      <c r="I698" s="95"/>
      <c r="J698" s="104"/>
      <c r="K698" s="99"/>
      <c r="L698" s="99"/>
      <c r="M698" s="76"/>
      <c r="N698" s="76"/>
      <c r="O698" s="76"/>
      <c r="P698" s="76"/>
      <c r="Q698" s="76"/>
      <c r="R698" s="76"/>
      <c r="S698" s="104"/>
      <c r="T698" s="104"/>
      <c r="U698" s="106"/>
      <c r="V698" s="100"/>
      <c r="W698" s="76"/>
    </row>
    <row r="699" spans="1:23">
      <c r="A699" s="93"/>
      <c r="B699" s="95"/>
      <c r="C699" s="76"/>
      <c r="D699" s="76"/>
      <c r="E699" s="76"/>
      <c r="F699" s="95"/>
      <c r="G699" s="95"/>
      <c r="H699" s="95"/>
      <c r="I699" s="95"/>
      <c r="J699" s="104"/>
      <c r="K699" s="99"/>
      <c r="L699" s="99"/>
      <c r="M699" s="76"/>
      <c r="N699" s="76"/>
      <c r="O699" s="76"/>
      <c r="P699" s="76"/>
      <c r="Q699" s="76"/>
      <c r="R699" s="76"/>
      <c r="S699" s="104"/>
      <c r="T699" s="104"/>
      <c r="U699" s="106"/>
      <c r="V699" s="100"/>
      <c r="W699" s="76"/>
    </row>
    <row r="700" spans="1:23">
      <c r="A700" s="93"/>
      <c r="B700" s="95"/>
      <c r="C700" s="76"/>
      <c r="D700" s="76"/>
      <c r="E700" s="76"/>
      <c r="F700" s="95"/>
      <c r="G700" s="95"/>
      <c r="H700" s="95"/>
      <c r="I700" s="95"/>
      <c r="J700" s="104"/>
      <c r="K700" s="99"/>
      <c r="L700" s="99"/>
      <c r="M700" s="76"/>
      <c r="N700" s="76"/>
      <c r="O700" s="76"/>
      <c r="P700" s="76"/>
      <c r="Q700" s="76"/>
      <c r="R700" s="76"/>
      <c r="S700" s="104"/>
      <c r="T700" s="104"/>
      <c r="U700" s="106"/>
      <c r="V700" s="100"/>
      <c r="W700" s="76"/>
    </row>
    <row r="701" spans="1:23">
      <c r="A701" s="93"/>
      <c r="B701" s="95"/>
      <c r="C701" s="76"/>
      <c r="D701" s="76"/>
      <c r="E701" s="76"/>
      <c r="F701" s="95"/>
      <c r="G701" s="95"/>
      <c r="H701" s="95"/>
      <c r="I701" s="95"/>
      <c r="J701" s="104"/>
      <c r="K701" s="99"/>
      <c r="L701" s="99"/>
      <c r="M701" s="76"/>
      <c r="N701" s="76"/>
      <c r="O701" s="76"/>
      <c r="P701" s="76"/>
      <c r="Q701" s="76"/>
      <c r="R701" s="76"/>
      <c r="S701" s="104"/>
      <c r="T701" s="104"/>
      <c r="U701" s="106"/>
      <c r="V701" s="100"/>
      <c r="W701" s="76"/>
    </row>
    <row r="702" spans="1:23">
      <c r="A702" s="93"/>
      <c r="B702" s="95"/>
      <c r="C702" s="76"/>
      <c r="D702" s="76"/>
      <c r="E702" s="76"/>
      <c r="F702" s="95"/>
      <c r="G702" s="95"/>
      <c r="H702" s="95"/>
      <c r="I702" s="95"/>
      <c r="J702" s="104"/>
      <c r="K702" s="99"/>
      <c r="L702" s="99"/>
      <c r="M702" s="76"/>
      <c r="N702" s="76"/>
      <c r="O702" s="76"/>
      <c r="P702" s="76"/>
      <c r="Q702" s="76"/>
      <c r="R702" s="76"/>
      <c r="S702" s="104"/>
      <c r="T702" s="104"/>
      <c r="U702" s="106"/>
      <c r="V702" s="100"/>
      <c r="W702" s="76"/>
    </row>
    <row r="703" spans="1:23">
      <c r="A703" s="93"/>
      <c r="B703" s="95"/>
      <c r="C703" s="76"/>
      <c r="D703" s="76"/>
      <c r="E703" s="76"/>
      <c r="F703" s="95"/>
      <c r="G703" s="95"/>
      <c r="H703" s="95"/>
      <c r="I703" s="95"/>
      <c r="J703" s="104"/>
      <c r="K703" s="99"/>
      <c r="L703" s="99"/>
      <c r="M703" s="76"/>
      <c r="N703" s="76"/>
      <c r="O703" s="76"/>
      <c r="P703" s="76"/>
      <c r="Q703" s="76"/>
      <c r="R703" s="76"/>
      <c r="S703" s="104"/>
      <c r="T703" s="104"/>
      <c r="U703" s="106"/>
      <c r="V703" s="100"/>
      <c r="W703" s="76"/>
    </row>
    <row r="704" spans="1:23">
      <c r="A704" s="93"/>
      <c r="B704" s="95"/>
      <c r="C704" s="76"/>
      <c r="D704" s="76"/>
      <c r="E704" s="76"/>
      <c r="F704" s="95"/>
      <c r="G704" s="95"/>
      <c r="H704" s="95"/>
      <c r="I704" s="95"/>
      <c r="J704" s="104"/>
      <c r="K704" s="99"/>
      <c r="L704" s="99"/>
      <c r="M704" s="76"/>
      <c r="N704" s="76"/>
      <c r="O704" s="76"/>
      <c r="P704" s="76"/>
      <c r="Q704" s="76"/>
      <c r="R704" s="76"/>
      <c r="S704" s="104"/>
      <c r="T704" s="104"/>
      <c r="U704" s="106"/>
      <c r="V704" s="100"/>
      <c r="W704" s="76"/>
    </row>
    <row r="705" spans="1:23">
      <c r="A705" s="93"/>
      <c r="B705" s="95"/>
      <c r="C705" s="76"/>
      <c r="D705" s="76"/>
      <c r="E705" s="76"/>
      <c r="F705" s="95"/>
      <c r="G705" s="95"/>
      <c r="H705" s="95"/>
      <c r="I705" s="95"/>
      <c r="J705" s="104"/>
      <c r="K705" s="99"/>
      <c r="L705" s="99"/>
      <c r="M705" s="76"/>
      <c r="N705" s="76"/>
      <c r="O705" s="76"/>
      <c r="P705" s="76"/>
      <c r="Q705" s="76"/>
      <c r="R705" s="76"/>
      <c r="S705" s="104"/>
      <c r="T705" s="104"/>
      <c r="U705" s="106"/>
      <c r="V705" s="100"/>
      <c r="W705" s="76"/>
    </row>
    <row r="706" spans="1:23">
      <c r="A706" s="93"/>
      <c r="B706" s="95"/>
      <c r="C706" s="76"/>
      <c r="D706" s="76"/>
      <c r="E706" s="76"/>
      <c r="F706" s="95"/>
      <c r="G706" s="95"/>
      <c r="H706" s="95"/>
      <c r="I706" s="95"/>
      <c r="J706" s="104"/>
      <c r="K706" s="99"/>
      <c r="L706" s="99"/>
      <c r="M706" s="76"/>
      <c r="N706" s="76"/>
      <c r="O706" s="76"/>
      <c r="P706" s="76"/>
      <c r="Q706" s="76"/>
      <c r="R706" s="76"/>
      <c r="S706" s="104"/>
      <c r="T706" s="104"/>
      <c r="U706" s="106"/>
      <c r="V706" s="100"/>
      <c r="W706" s="76"/>
    </row>
    <row r="707" spans="1:23">
      <c r="A707" s="93"/>
      <c r="B707" s="95"/>
      <c r="C707" s="76"/>
      <c r="D707" s="76"/>
      <c r="E707" s="76"/>
      <c r="F707" s="95"/>
      <c r="G707" s="95"/>
      <c r="H707" s="95"/>
      <c r="I707" s="95"/>
      <c r="J707" s="104"/>
      <c r="K707" s="99"/>
      <c r="L707" s="99"/>
      <c r="M707" s="76"/>
      <c r="N707" s="76"/>
      <c r="O707" s="76"/>
      <c r="P707" s="76"/>
      <c r="Q707" s="76"/>
      <c r="R707" s="76"/>
      <c r="S707" s="104"/>
      <c r="T707" s="104"/>
      <c r="U707" s="106"/>
      <c r="V707" s="100"/>
      <c r="W707" s="76"/>
    </row>
    <row r="708" spans="1:23">
      <c r="A708" s="93"/>
      <c r="B708" s="95"/>
      <c r="C708" s="76"/>
      <c r="D708" s="76"/>
      <c r="E708" s="76"/>
      <c r="F708" s="95"/>
      <c r="G708" s="95"/>
      <c r="H708" s="95"/>
      <c r="I708" s="95"/>
      <c r="J708" s="104"/>
      <c r="K708" s="99"/>
      <c r="L708" s="99"/>
      <c r="M708" s="76"/>
      <c r="N708" s="76"/>
      <c r="O708" s="76"/>
      <c r="P708" s="76"/>
      <c r="Q708" s="76"/>
      <c r="R708" s="76"/>
      <c r="S708" s="104"/>
      <c r="T708" s="104"/>
      <c r="U708" s="106"/>
      <c r="V708" s="100"/>
      <c r="W708" s="76"/>
    </row>
    <row r="709" spans="1:23">
      <c r="A709" s="93"/>
      <c r="B709" s="95"/>
      <c r="C709" s="76"/>
      <c r="D709" s="76"/>
      <c r="E709" s="76"/>
      <c r="F709" s="95"/>
      <c r="G709" s="95"/>
      <c r="H709" s="95"/>
      <c r="I709" s="95"/>
      <c r="J709" s="104"/>
      <c r="K709" s="99"/>
      <c r="L709" s="99"/>
      <c r="M709" s="76"/>
      <c r="N709" s="76"/>
      <c r="O709" s="76"/>
      <c r="P709" s="76"/>
      <c r="Q709" s="76"/>
      <c r="R709" s="76"/>
      <c r="S709" s="104"/>
      <c r="T709" s="104"/>
      <c r="U709" s="106"/>
      <c r="V709" s="100"/>
      <c r="W709" s="76"/>
    </row>
    <row r="710" spans="1:23">
      <c r="A710" s="93"/>
      <c r="B710" s="95"/>
      <c r="C710" s="76"/>
      <c r="D710" s="76"/>
      <c r="E710" s="76"/>
      <c r="F710" s="95"/>
      <c r="G710" s="95"/>
      <c r="H710" s="95"/>
      <c r="I710" s="95"/>
      <c r="J710" s="104"/>
      <c r="K710" s="99"/>
      <c r="L710" s="99"/>
      <c r="M710" s="76"/>
      <c r="N710" s="76"/>
      <c r="O710" s="76"/>
      <c r="P710" s="76"/>
      <c r="Q710" s="76"/>
      <c r="R710" s="76"/>
      <c r="S710" s="104"/>
      <c r="T710" s="104"/>
      <c r="U710" s="106"/>
      <c r="V710" s="100"/>
      <c r="W710" s="76"/>
    </row>
    <row r="711" spans="1:23">
      <c r="A711" s="93"/>
      <c r="B711" s="95"/>
      <c r="C711" s="76"/>
      <c r="D711" s="76"/>
      <c r="E711" s="76"/>
      <c r="F711" s="95"/>
      <c r="G711" s="95"/>
      <c r="H711" s="95"/>
      <c r="I711" s="95"/>
      <c r="J711" s="104"/>
      <c r="K711" s="99"/>
      <c r="L711" s="99"/>
      <c r="M711" s="76"/>
      <c r="N711" s="76"/>
      <c r="O711" s="76"/>
      <c r="P711" s="76"/>
      <c r="Q711" s="76"/>
      <c r="R711" s="76"/>
      <c r="S711" s="104"/>
      <c r="T711" s="104"/>
      <c r="U711" s="106"/>
      <c r="V711" s="100"/>
      <c r="W711" s="76"/>
    </row>
    <row r="712" spans="1:23">
      <c r="A712" s="93"/>
      <c r="B712" s="95"/>
      <c r="C712" s="76"/>
      <c r="D712" s="76"/>
      <c r="E712" s="76"/>
      <c r="F712" s="95"/>
      <c r="G712" s="95"/>
      <c r="H712" s="95"/>
      <c r="I712" s="95"/>
      <c r="J712" s="104"/>
      <c r="K712" s="99"/>
      <c r="L712" s="99"/>
      <c r="M712" s="76"/>
      <c r="N712" s="76"/>
      <c r="O712" s="76"/>
      <c r="P712" s="76"/>
      <c r="Q712" s="76"/>
      <c r="R712" s="76"/>
      <c r="S712" s="104"/>
      <c r="T712" s="104"/>
      <c r="U712" s="106"/>
      <c r="V712" s="100"/>
      <c r="W712" s="76"/>
    </row>
    <row r="713" spans="1:23">
      <c r="A713" s="93"/>
      <c r="B713" s="95"/>
      <c r="C713" s="76"/>
      <c r="D713" s="76"/>
      <c r="E713" s="76"/>
      <c r="F713" s="95"/>
      <c r="G713" s="95"/>
      <c r="H713" s="95"/>
      <c r="I713" s="95"/>
      <c r="J713" s="104"/>
      <c r="K713" s="99"/>
      <c r="L713" s="99"/>
      <c r="M713" s="76"/>
      <c r="N713" s="76"/>
      <c r="O713" s="76"/>
      <c r="P713" s="76"/>
      <c r="Q713" s="76"/>
      <c r="R713" s="76"/>
      <c r="S713" s="104"/>
      <c r="T713" s="104"/>
      <c r="U713" s="106"/>
      <c r="V713" s="100"/>
      <c r="W713" s="76"/>
    </row>
    <row r="714" spans="1:23">
      <c r="A714" s="93"/>
      <c r="B714" s="95"/>
      <c r="C714" s="76"/>
      <c r="D714" s="76"/>
      <c r="E714" s="76"/>
      <c r="F714" s="95"/>
      <c r="G714" s="95"/>
      <c r="H714" s="95"/>
      <c r="I714" s="95"/>
      <c r="J714" s="104"/>
      <c r="K714" s="99"/>
      <c r="L714" s="99"/>
      <c r="M714" s="76"/>
      <c r="N714" s="76"/>
      <c r="O714" s="76"/>
      <c r="P714" s="76"/>
      <c r="Q714" s="76"/>
      <c r="R714" s="76"/>
      <c r="S714" s="104"/>
      <c r="T714" s="104"/>
      <c r="U714" s="106"/>
      <c r="V714" s="100"/>
      <c r="W714" s="76"/>
    </row>
    <row r="715" spans="1:23">
      <c r="A715" s="93"/>
      <c r="B715" s="95"/>
      <c r="C715" s="76"/>
      <c r="D715" s="76"/>
      <c r="E715" s="76"/>
      <c r="F715" s="95"/>
      <c r="G715" s="95"/>
      <c r="H715" s="95"/>
      <c r="I715" s="95"/>
      <c r="J715" s="104"/>
      <c r="K715" s="99"/>
      <c r="L715" s="99"/>
      <c r="M715" s="76"/>
      <c r="N715" s="76"/>
      <c r="O715" s="76"/>
      <c r="P715" s="76"/>
      <c r="Q715" s="76"/>
      <c r="R715" s="76"/>
      <c r="S715" s="104"/>
      <c r="T715" s="104"/>
      <c r="U715" s="106"/>
      <c r="V715" s="100"/>
      <c r="W715" s="76"/>
    </row>
    <row r="716" spans="1:23">
      <c r="A716" s="93"/>
      <c r="B716" s="95"/>
      <c r="C716" s="76"/>
      <c r="D716" s="76"/>
      <c r="E716" s="76"/>
      <c r="F716" s="95"/>
      <c r="G716" s="95"/>
      <c r="H716" s="95"/>
      <c r="I716" s="95"/>
      <c r="J716" s="104"/>
      <c r="K716" s="99"/>
      <c r="L716" s="99"/>
      <c r="M716" s="76"/>
      <c r="N716" s="76"/>
      <c r="O716" s="76"/>
      <c r="P716" s="76"/>
      <c r="Q716" s="76"/>
      <c r="R716" s="76"/>
      <c r="S716" s="104"/>
      <c r="T716" s="104"/>
      <c r="U716" s="106"/>
      <c r="V716" s="100"/>
      <c r="W716" s="76"/>
    </row>
    <row r="717" spans="1:23">
      <c r="A717" s="93"/>
      <c r="B717" s="95"/>
      <c r="C717" s="76"/>
      <c r="D717" s="76"/>
      <c r="E717" s="76"/>
      <c r="F717" s="95"/>
      <c r="G717" s="95"/>
      <c r="H717" s="95"/>
      <c r="I717" s="95"/>
      <c r="J717" s="104"/>
      <c r="K717" s="99"/>
      <c r="L717" s="99"/>
      <c r="M717" s="76"/>
      <c r="N717" s="76"/>
      <c r="O717" s="76"/>
      <c r="P717" s="76"/>
      <c r="Q717" s="76"/>
      <c r="R717" s="76"/>
      <c r="S717" s="104"/>
      <c r="T717" s="104"/>
      <c r="U717" s="106"/>
      <c r="V717" s="100"/>
      <c r="W717" s="76"/>
    </row>
    <row r="718" spans="1:23">
      <c r="A718" s="93"/>
      <c r="B718" s="95"/>
      <c r="C718" s="76"/>
      <c r="D718" s="76"/>
      <c r="E718" s="76"/>
      <c r="F718" s="95"/>
      <c r="G718" s="95"/>
      <c r="H718" s="95"/>
      <c r="I718" s="95"/>
      <c r="J718" s="104"/>
      <c r="K718" s="99"/>
      <c r="L718" s="99"/>
      <c r="M718" s="76"/>
      <c r="N718" s="76"/>
      <c r="O718" s="76"/>
      <c r="P718" s="76"/>
      <c r="Q718" s="76"/>
      <c r="R718" s="76"/>
      <c r="S718" s="104"/>
      <c r="T718" s="104"/>
      <c r="U718" s="106"/>
      <c r="V718" s="100"/>
      <c r="W718" s="76"/>
    </row>
    <row r="719" spans="1:23">
      <c r="A719" s="93"/>
      <c r="B719" s="95"/>
      <c r="C719" s="76"/>
      <c r="D719" s="76"/>
      <c r="E719" s="76"/>
      <c r="F719" s="95"/>
      <c r="G719" s="95"/>
      <c r="H719" s="95"/>
      <c r="I719" s="95"/>
      <c r="J719" s="104"/>
      <c r="K719" s="99"/>
      <c r="L719" s="99"/>
      <c r="M719" s="76"/>
      <c r="N719" s="76"/>
      <c r="O719" s="76"/>
      <c r="P719" s="76"/>
      <c r="Q719" s="76"/>
      <c r="R719" s="76"/>
      <c r="S719" s="104"/>
      <c r="T719" s="104"/>
      <c r="U719" s="106"/>
      <c r="V719" s="100"/>
      <c r="W719" s="76"/>
    </row>
    <row r="720" spans="1:23">
      <c r="A720" s="93"/>
      <c r="B720" s="95"/>
      <c r="C720" s="76"/>
      <c r="D720" s="76"/>
      <c r="E720" s="76"/>
      <c r="F720" s="95"/>
      <c r="G720" s="95"/>
      <c r="H720" s="95"/>
      <c r="I720" s="95"/>
      <c r="J720" s="104"/>
      <c r="K720" s="99"/>
      <c r="L720" s="99"/>
      <c r="M720" s="76"/>
      <c r="N720" s="76"/>
      <c r="O720" s="76"/>
      <c r="P720" s="76"/>
      <c r="Q720" s="76"/>
      <c r="R720" s="76"/>
      <c r="S720" s="104"/>
      <c r="T720" s="104"/>
      <c r="U720" s="106"/>
      <c r="V720" s="100"/>
      <c r="W720" s="76"/>
    </row>
    <row r="721" spans="1:23">
      <c r="A721" s="93"/>
      <c r="B721" s="95"/>
      <c r="C721" s="76"/>
      <c r="D721" s="76"/>
      <c r="E721" s="76"/>
      <c r="F721" s="95"/>
      <c r="G721" s="95"/>
      <c r="H721" s="95"/>
      <c r="I721" s="95"/>
      <c r="J721" s="104"/>
      <c r="K721" s="99"/>
      <c r="L721" s="99"/>
      <c r="M721" s="76"/>
      <c r="N721" s="76"/>
      <c r="O721" s="76"/>
      <c r="P721" s="76"/>
      <c r="Q721" s="76"/>
      <c r="R721" s="76"/>
      <c r="S721" s="104"/>
      <c r="T721" s="104"/>
      <c r="U721" s="106"/>
      <c r="V721" s="100"/>
      <c r="W721" s="76"/>
    </row>
    <row r="722" spans="1:23">
      <c r="A722" s="93"/>
      <c r="B722" s="95"/>
      <c r="C722" s="76"/>
      <c r="D722" s="76"/>
      <c r="E722" s="76"/>
      <c r="F722" s="95"/>
      <c r="G722" s="95"/>
      <c r="H722" s="95"/>
      <c r="I722" s="95"/>
      <c r="J722" s="104"/>
      <c r="K722" s="99"/>
      <c r="L722" s="99"/>
      <c r="M722" s="76"/>
      <c r="N722" s="76"/>
      <c r="O722" s="76"/>
      <c r="P722" s="76"/>
      <c r="Q722" s="76"/>
      <c r="R722" s="76"/>
      <c r="S722" s="104"/>
      <c r="T722" s="104"/>
      <c r="U722" s="106"/>
      <c r="V722" s="100"/>
      <c r="W722" s="76"/>
    </row>
    <row r="723" spans="1:23">
      <c r="A723" s="93"/>
      <c r="B723" s="95"/>
      <c r="C723" s="76"/>
      <c r="D723" s="76"/>
      <c r="E723" s="76"/>
      <c r="F723" s="95"/>
      <c r="G723" s="95"/>
      <c r="H723" s="95"/>
      <c r="I723" s="95"/>
      <c r="J723" s="104"/>
      <c r="K723" s="99"/>
      <c r="L723" s="99"/>
      <c r="M723" s="76"/>
      <c r="N723" s="76"/>
      <c r="O723" s="76"/>
      <c r="P723" s="76"/>
      <c r="Q723" s="76"/>
      <c r="R723" s="76"/>
      <c r="S723" s="104"/>
      <c r="T723" s="104"/>
      <c r="U723" s="106"/>
      <c r="V723" s="100"/>
      <c r="W723" s="76"/>
    </row>
    <row r="724" spans="1:23">
      <c r="A724" s="93"/>
      <c r="B724" s="95"/>
      <c r="C724" s="76"/>
      <c r="D724" s="76"/>
      <c r="E724" s="76"/>
      <c r="F724" s="95"/>
      <c r="G724" s="95"/>
      <c r="H724" s="95"/>
      <c r="I724" s="95"/>
      <c r="J724" s="104"/>
      <c r="K724" s="99"/>
      <c r="L724" s="99"/>
      <c r="M724" s="76"/>
      <c r="N724" s="76"/>
      <c r="O724" s="76"/>
      <c r="P724" s="76"/>
      <c r="Q724" s="76"/>
      <c r="R724" s="76"/>
      <c r="S724" s="104"/>
      <c r="T724" s="104"/>
      <c r="U724" s="106"/>
      <c r="V724" s="100"/>
      <c r="W724" s="76"/>
    </row>
    <row r="725" spans="1:23">
      <c r="A725" s="93"/>
      <c r="B725" s="95"/>
      <c r="C725" s="76"/>
      <c r="D725" s="76"/>
      <c r="E725" s="76"/>
      <c r="F725" s="95"/>
      <c r="G725" s="95"/>
      <c r="H725" s="95"/>
      <c r="I725" s="95"/>
      <c r="J725" s="104"/>
      <c r="K725" s="99"/>
      <c r="L725" s="99"/>
      <c r="M725" s="76"/>
      <c r="N725" s="76"/>
      <c r="O725" s="76"/>
      <c r="P725" s="76"/>
      <c r="Q725" s="76"/>
      <c r="R725" s="76"/>
      <c r="S725" s="104"/>
      <c r="T725" s="104"/>
      <c r="U725" s="106"/>
      <c r="V725" s="100"/>
      <c r="W725" s="76"/>
    </row>
    <row r="726" spans="1:23">
      <c r="A726" s="93"/>
      <c r="B726" s="95"/>
      <c r="C726" s="76"/>
      <c r="D726" s="76"/>
      <c r="E726" s="76"/>
      <c r="F726" s="95"/>
      <c r="G726" s="95"/>
      <c r="H726" s="95"/>
      <c r="I726" s="95"/>
      <c r="J726" s="104"/>
      <c r="K726" s="99"/>
      <c r="L726" s="99"/>
      <c r="M726" s="76"/>
      <c r="N726" s="76"/>
      <c r="O726" s="76"/>
      <c r="P726" s="76"/>
      <c r="Q726" s="76"/>
      <c r="R726" s="76"/>
      <c r="S726" s="104"/>
      <c r="T726" s="104"/>
      <c r="U726" s="106"/>
      <c r="V726" s="100"/>
      <c r="W726" s="76"/>
    </row>
    <row r="727" spans="1:23">
      <c r="A727" s="93"/>
      <c r="B727" s="95"/>
      <c r="C727" s="76"/>
      <c r="D727" s="76"/>
      <c r="E727" s="76"/>
      <c r="F727" s="95"/>
      <c r="G727" s="95"/>
      <c r="H727" s="95"/>
      <c r="I727" s="95"/>
      <c r="J727" s="104"/>
      <c r="K727" s="99"/>
      <c r="L727" s="99"/>
      <c r="M727" s="76"/>
      <c r="N727" s="76"/>
      <c r="O727" s="76"/>
      <c r="P727" s="76"/>
      <c r="Q727" s="76"/>
      <c r="R727" s="76"/>
      <c r="S727" s="104"/>
      <c r="T727" s="104"/>
      <c r="U727" s="106"/>
      <c r="V727" s="100"/>
      <c r="W727" s="76"/>
    </row>
    <row r="728" spans="1:23">
      <c r="A728" s="93"/>
      <c r="B728" s="95"/>
      <c r="C728" s="76"/>
      <c r="D728" s="76"/>
      <c r="E728" s="76"/>
      <c r="F728" s="95"/>
      <c r="G728" s="95"/>
      <c r="H728" s="95"/>
      <c r="I728" s="95"/>
      <c r="J728" s="104"/>
      <c r="K728" s="99"/>
      <c r="L728" s="99"/>
      <c r="M728" s="76"/>
      <c r="N728" s="76"/>
      <c r="O728" s="76"/>
      <c r="P728" s="76"/>
      <c r="Q728" s="76"/>
      <c r="R728" s="76"/>
      <c r="S728" s="104"/>
      <c r="T728" s="104"/>
      <c r="U728" s="106"/>
      <c r="V728" s="100"/>
      <c r="W728" s="76"/>
    </row>
    <row r="729" spans="1:23">
      <c r="A729" s="93"/>
      <c r="B729" s="95"/>
      <c r="C729" s="76"/>
      <c r="D729" s="76"/>
      <c r="E729" s="76"/>
      <c r="F729" s="95"/>
      <c r="G729" s="95"/>
      <c r="H729" s="95"/>
      <c r="I729" s="95"/>
      <c r="J729" s="104"/>
      <c r="K729" s="99"/>
      <c r="L729" s="99"/>
      <c r="M729" s="76"/>
      <c r="N729" s="76"/>
      <c r="O729" s="76"/>
      <c r="P729" s="76"/>
      <c r="Q729" s="76"/>
      <c r="R729" s="76"/>
      <c r="S729" s="104"/>
      <c r="T729" s="104"/>
      <c r="U729" s="106"/>
      <c r="V729" s="100"/>
      <c r="W729" s="76"/>
    </row>
    <row r="730" spans="1:23">
      <c r="A730" s="93"/>
      <c r="B730" s="95"/>
      <c r="C730" s="76"/>
      <c r="D730" s="76"/>
      <c r="E730" s="76"/>
      <c r="F730" s="95"/>
      <c r="G730" s="95"/>
      <c r="H730" s="95"/>
      <c r="I730" s="95"/>
      <c r="J730" s="104"/>
      <c r="K730" s="99"/>
      <c r="L730" s="99"/>
      <c r="M730" s="76"/>
      <c r="N730" s="76"/>
      <c r="O730" s="76"/>
      <c r="P730" s="76"/>
      <c r="Q730" s="76"/>
      <c r="R730" s="76"/>
      <c r="S730" s="104"/>
      <c r="T730" s="104"/>
      <c r="U730" s="106"/>
      <c r="V730" s="100"/>
      <c r="W730" s="76"/>
    </row>
    <row r="731" spans="1:23">
      <c r="A731" s="93"/>
      <c r="B731" s="95"/>
      <c r="C731" s="76"/>
      <c r="D731" s="76"/>
      <c r="E731" s="76"/>
      <c r="F731" s="95"/>
      <c r="G731" s="95"/>
      <c r="H731" s="95"/>
      <c r="I731" s="95"/>
      <c r="J731" s="104"/>
      <c r="K731" s="99"/>
      <c r="L731" s="99"/>
      <c r="M731" s="76"/>
      <c r="N731" s="76"/>
      <c r="O731" s="76"/>
      <c r="P731" s="76"/>
      <c r="Q731" s="76"/>
      <c r="R731" s="76"/>
      <c r="S731" s="104"/>
      <c r="T731" s="104"/>
      <c r="U731" s="106"/>
      <c r="V731" s="100"/>
      <c r="W731" s="76"/>
    </row>
    <row r="732" spans="1:23">
      <c r="A732" s="93"/>
      <c r="B732" s="95"/>
      <c r="C732" s="76"/>
      <c r="D732" s="76"/>
      <c r="E732" s="76"/>
      <c r="F732" s="95"/>
      <c r="G732" s="95"/>
      <c r="H732" s="95"/>
      <c r="I732" s="95"/>
      <c r="J732" s="104"/>
      <c r="K732" s="99"/>
      <c r="L732" s="99"/>
      <c r="M732" s="76"/>
      <c r="N732" s="76"/>
      <c r="O732" s="76"/>
      <c r="P732" s="76"/>
      <c r="Q732" s="76"/>
      <c r="R732" s="76"/>
      <c r="S732" s="104"/>
      <c r="T732" s="104"/>
      <c r="U732" s="106"/>
      <c r="V732" s="100"/>
      <c r="W732" s="76"/>
    </row>
    <row r="733" spans="1:23">
      <c r="A733" s="93"/>
      <c r="B733" s="95"/>
      <c r="C733" s="76"/>
      <c r="D733" s="76"/>
      <c r="E733" s="76"/>
      <c r="F733" s="95"/>
      <c r="G733" s="95"/>
      <c r="H733" s="95"/>
      <c r="I733" s="95"/>
      <c r="J733" s="104"/>
      <c r="K733" s="99"/>
      <c r="L733" s="99"/>
      <c r="M733" s="76"/>
      <c r="N733" s="76"/>
      <c r="O733" s="76"/>
      <c r="P733" s="76"/>
      <c r="Q733" s="76"/>
      <c r="R733" s="76"/>
      <c r="S733" s="104"/>
      <c r="T733" s="104"/>
      <c r="U733" s="106"/>
      <c r="V733" s="100"/>
      <c r="W733" s="76"/>
    </row>
    <row r="734" spans="1:23">
      <c r="A734" s="93"/>
      <c r="B734" s="95"/>
      <c r="C734" s="76"/>
      <c r="D734" s="76"/>
      <c r="E734" s="76"/>
      <c r="F734" s="95"/>
      <c r="G734" s="95"/>
      <c r="H734" s="95"/>
      <c r="I734" s="95"/>
      <c r="J734" s="104"/>
      <c r="K734" s="99"/>
      <c r="L734" s="99"/>
      <c r="M734" s="76"/>
      <c r="N734" s="76"/>
      <c r="O734" s="76"/>
      <c r="P734" s="76"/>
      <c r="Q734" s="76"/>
      <c r="R734" s="76"/>
      <c r="S734" s="104"/>
      <c r="T734" s="104"/>
      <c r="U734" s="106"/>
      <c r="V734" s="100"/>
      <c r="W734" s="76"/>
    </row>
    <row r="735" spans="1:23">
      <c r="A735" s="93"/>
      <c r="B735" s="95"/>
      <c r="C735" s="76"/>
      <c r="D735" s="76"/>
      <c r="E735" s="76"/>
      <c r="F735" s="95"/>
      <c r="G735" s="95"/>
      <c r="H735" s="95"/>
      <c r="I735" s="95"/>
      <c r="J735" s="104"/>
      <c r="K735" s="99"/>
      <c r="L735" s="99"/>
      <c r="M735" s="76"/>
      <c r="N735" s="76"/>
      <c r="O735" s="76"/>
      <c r="P735" s="76"/>
      <c r="Q735" s="76"/>
      <c r="R735" s="76"/>
      <c r="S735" s="104"/>
      <c r="T735" s="104"/>
      <c r="U735" s="106"/>
      <c r="V735" s="100"/>
      <c r="W735" s="76"/>
    </row>
    <row r="736" spans="1:23">
      <c r="A736" s="93"/>
      <c r="B736" s="95"/>
      <c r="C736" s="76"/>
      <c r="D736" s="76"/>
      <c r="E736" s="76"/>
      <c r="F736" s="95"/>
      <c r="G736" s="95"/>
      <c r="H736" s="95"/>
      <c r="I736" s="95"/>
      <c r="J736" s="104"/>
      <c r="K736" s="99"/>
      <c r="L736" s="99"/>
      <c r="M736" s="76"/>
      <c r="N736" s="76"/>
      <c r="O736" s="76"/>
      <c r="P736" s="76"/>
      <c r="Q736" s="76"/>
      <c r="R736" s="76"/>
      <c r="S736" s="104"/>
      <c r="T736" s="104"/>
      <c r="U736" s="106"/>
      <c r="V736" s="100"/>
      <c r="W736" s="76"/>
    </row>
    <row r="737" spans="1:23">
      <c r="A737" s="93"/>
      <c r="B737" s="95"/>
      <c r="C737" s="76"/>
      <c r="D737" s="76"/>
      <c r="E737" s="76"/>
      <c r="F737" s="95"/>
      <c r="G737" s="95"/>
      <c r="H737" s="95"/>
      <c r="I737" s="95"/>
      <c r="J737" s="104"/>
      <c r="K737" s="99"/>
      <c r="L737" s="99"/>
      <c r="M737" s="76"/>
      <c r="N737" s="76"/>
      <c r="O737" s="76"/>
      <c r="P737" s="76"/>
      <c r="Q737" s="76"/>
      <c r="R737" s="76"/>
      <c r="S737" s="104"/>
      <c r="T737" s="104"/>
      <c r="U737" s="106"/>
      <c r="V737" s="100"/>
      <c r="W737" s="76"/>
    </row>
    <row r="738" spans="1:23">
      <c r="A738" s="93"/>
      <c r="B738" s="95"/>
      <c r="C738" s="76"/>
      <c r="D738" s="76"/>
      <c r="E738" s="76"/>
      <c r="F738" s="95"/>
      <c r="G738" s="95"/>
      <c r="H738" s="95"/>
      <c r="I738" s="95"/>
      <c r="J738" s="104"/>
      <c r="K738" s="99"/>
      <c r="L738" s="99"/>
      <c r="M738" s="76"/>
      <c r="N738" s="76"/>
      <c r="O738" s="76"/>
      <c r="P738" s="76"/>
      <c r="Q738" s="76"/>
      <c r="R738" s="76"/>
      <c r="S738" s="104"/>
      <c r="T738" s="104"/>
      <c r="U738" s="106"/>
      <c r="V738" s="100"/>
      <c r="W738" s="76"/>
    </row>
    <row r="739" spans="1:23">
      <c r="A739" s="93"/>
      <c r="B739" s="95"/>
      <c r="C739" s="76"/>
      <c r="D739" s="76"/>
      <c r="E739" s="76"/>
      <c r="F739" s="95"/>
      <c r="G739" s="95"/>
      <c r="H739" s="95"/>
      <c r="I739" s="95"/>
      <c r="J739" s="104"/>
      <c r="K739" s="99"/>
      <c r="L739" s="99"/>
      <c r="M739" s="76"/>
      <c r="N739" s="76"/>
      <c r="O739" s="76"/>
      <c r="P739" s="76"/>
      <c r="Q739" s="76"/>
      <c r="R739" s="76"/>
      <c r="S739" s="104"/>
      <c r="T739" s="104"/>
      <c r="U739" s="106"/>
      <c r="V739" s="100"/>
      <c r="W739" s="76"/>
    </row>
    <row r="740" spans="1:23">
      <c r="A740" s="93"/>
      <c r="B740" s="95"/>
      <c r="C740" s="76"/>
      <c r="D740" s="76"/>
      <c r="E740" s="76"/>
      <c r="F740" s="95"/>
      <c r="G740" s="95"/>
      <c r="H740" s="95"/>
      <c r="I740" s="95"/>
      <c r="J740" s="104"/>
      <c r="K740" s="99"/>
      <c r="L740" s="99"/>
      <c r="M740" s="76"/>
      <c r="N740" s="76"/>
      <c r="O740" s="76"/>
      <c r="P740" s="76"/>
      <c r="Q740" s="76"/>
      <c r="R740" s="76"/>
      <c r="S740" s="104"/>
      <c r="T740" s="104"/>
      <c r="U740" s="106"/>
      <c r="V740" s="100"/>
      <c r="W740" s="76"/>
    </row>
    <row r="741" spans="1:23">
      <c r="A741" s="93"/>
      <c r="B741" s="95"/>
      <c r="C741" s="76"/>
      <c r="D741" s="76"/>
      <c r="E741" s="76"/>
      <c r="F741" s="95"/>
      <c r="G741" s="95"/>
      <c r="H741" s="95"/>
      <c r="I741" s="95"/>
      <c r="J741" s="104"/>
      <c r="K741" s="99"/>
      <c r="L741" s="99"/>
      <c r="M741" s="76"/>
      <c r="N741" s="76"/>
      <c r="O741" s="76"/>
      <c r="P741" s="76"/>
      <c r="Q741" s="76"/>
      <c r="R741" s="76"/>
      <c r="S741" s="104"/>
      <c r="T741" s="104"/>
      <c r="U741" s="106"/>
      <c r="V741" s="100"/>
      <c r="W741" s="76"/>
    </row>
    <row r="742" spans="1:23">
      <c r="A742" s="93"/>
      <c r="B742" s="95"/>
      <c r="C742" s="76"/>
      <c r="D742" s="76"/>
      <c r="E742" s="76"/>
      <c r="F742" s="95"/>
      <c r="G742" s="95"/>
      <c r="H742" s="95"/>
      <c r="I742" s="95"/>
      <c r="J742" s="104"/>
      <c r="K742" s="99"/>
      <c r="L742" s="99"/>
      <c r="M742" s="76"/>
      <c r="N742" s="76"/>
      <c r="O742" s="76"/>
      <c r="P742" s="76"/>
      <c r="Q742" s="76"/>
      <c r="R742" s="76"/>
      <c r="S742" s="104"/>
      <c r="T742" s="104"/>
      <c r="U742" s="106"/>
      <c r="V742" s="100"/>
      <c r="W742" s="76"/>
    </row>
    <row r="743" spans="1:23">
      <c r="A743" s="93"/>
      <c r="B743" s="95"/>
      <c r="C743" s="76"/>
      <c r="D743" s="76"/>
      <c r="E743" s="76"/>
      <c r="F743" s="95"/>
      <c r="G743" s="95"/>
      <c r="H743" s="95"/>
      <c r="I743" s="95"/>
      <c r="J743" s="104"/>
      <c r="K743" s="99"/>
      <c r="L743" s="99"/>
      <c r="M743" s="76"/>
      <c r="N743" s="76"/>
      <c r="O743" s="76"/>
      <c r="P743" s="76"/>
      <c r="Q743" s="76"/>
      <c r="R743" s="76"/>
      <c r="S743" s="104"/>
      <c r="T743" s="104"/>
      <c r="U743" s="106"/>
      <c r="V743" s="100"/>
      <c r="W743" s="76"/>
    </row>
    <row r="744" spans="1:23">
      <c r="A744" s="93"/>
      <c r="B744" s="95"/>
      <c r="C744" s="76"/>
      <c r="D744" s="76"/>
      <c r="E744" s="76"/>
      <c r="F744" s="95"/>
      <c r="G744" s="95"/>
      <c r="H744" s="95"/>
      <c r="I744" s="95"/>
      <c r="J744" s="104"/>
      <c r="K744" s="99"/>
      <c r="L744" s="99"/>
      <c r="M744" s="76"/>
      <c r="N744" s="76"/>
      <c r="O744" s="76"/>
      <c r="P744" s="76"/>
      <c r="Q744" s="76"/>
      <c r="R744" s="76"/>
      <c r="S744" s="104"/>
      <c r="T744" s="104"/>
      <c r="U744" s="106"/>
      <c r="V744" s="100"/>
      <c r="W744" s="76"/>
    </row>
    <row r="745" spans="1:23">
      <c r="A745" s="93"/>
      <c r="B745" s="95"/>
      <c r="C745" s="76"/>
      <c r="D745" s="76"/>
      <c r="E745" s="76"/>
      <c r="F745" s="95"/>
      <c r="G745" s="95"/>
      <c r="H745" s="95"/>
      <c r="I745" s="95"/>
      <c r="J745" s="104"/>
      <c r="K745" s="99"/>
      <c r="L745" s="99"/>
      <c r="M745" s="76"/>
      <c r="N745" s="76"/>
      <c r="O745" s="76"/>
      <c r="P745" s="76"/>
      <c r="Q745" s="76"/>
      <c r="R745" s="76"/>
      <c r="S745" s="104"/>
      <c r="T745" s="104"/>
      <c r="U745" s="106"/>
      <c r="V745" s="100"/>
      <c r="W745" s="76"/>
    </row>
    <row r="746" spans="1:23">
      <c r="A746" s="93"/>
      <c r="B746" s="95"/>
      <c r="C746" s="76"/>
      <c r="D746" s="76"/>
      <c r="E746" s="76"/>
      <c r="F746" s="95"/>
      <c r="G746" s="95"/>
      <c r="H746" s="95"/>
      <c r="I746" s="95"/>
      <c r="J746" s="104"/>
      <c r="K746" s="99"/>
      <c r="L746" s="99"/>
      <c r="M746" s="76"/>
      <c r="N746" s="76"/>
      <c r="O746" s="76"/>
      <c r="P746" s="76"/>
      <c r="Q746" s="76"/>
      <c r="R746" s="76"/>
      <c r="S746" s="104"/>
      <c r="T746" s="104"/>
      <c r="U746" s="106"/>
      <c r="V746" s="100"/>
      <c r="W746" s="76"/>
    </row>
    <row r="747" spans="1:23">
      <c r="A747" s="93"/>
      <c r="B747" s="95"/>
      <c r="C747" s="76"/>
      <c r="D747" s="76"/>
      <c r="E747" s="76"/>
      <c r="F747" s="95"/>
      <c r="G747" s="95"/>
      <c r="H747" s="95"/>
      <c r="I747" s="95"/>
      <c r="J747" s="104"/>
      <c r="K747" s="99"/>
      <c r="L747" s="99"/>
      <c r="M747" s="76"/>
      <c r="N747" s="76"/>
      <c r="O747" s="76"/>
      <c r="P747" s="76"/>
      <c r="Q747" s="76"/>
      <c r="R747" s="76"/>
      <c r="S747" s="104"/>
      <c r="T747" s="104"/>
      <c r="U747" s="106"/>
      <c r="V747" s="100"/>
      <c r="W747" s="76"/>
    </row>
    <row r="748" spans="1:23">
      <c r="A748" s="93"/>
      <c r="B748" s="95"/>
      <c r="C748" s="76"/>
      <c r="D748" s="76"/>
      <c r="E748" s="76"/>
      <c r="F748" s="95"/>
      <c r="G748" s="95"/>
      <c r="H748" s="95"/>
      <c r="I748" s="95"/>
      <c r="J748" s="104"/>
      <c r="K748" s="99"/>
      <c r="L748" s="99"/>
      <c r="M748" s="76"/>
      <c r="N748" s="76"/>
      <c r="O748" s="76"/>
      <c r="P748" s="76"/>
      <c r="Q748" s="76"/>
      <c r="R748" s="76"/>
      <c r="S748" s="104"/>
      <c r="T748" s="104"/>
      <c r="U748" s="106"/>
      <c r="V748" s="100"/>
      <c r="W748" s="76"/>
    </row>
    <row r="749" spans="1:23">
      <c r="A749" s="93"/>
      <c r="B749" s="95"/>
      <c r="C749" s="76"/>
      <c r="D749" s="76"/>
      <c r="E749" s="76"/>
      <c r="F749" s="95"/>
      <c r="G749" s="95"/>
      <c r="H749" s="95"/>
      <c r="I749" s="95"/>
      <c r="J749" s="104"/>
      <c r="K749" s="99"/>
      <c r="L749" s="99"/>
      <c r="M749" s="76"/>
      <c r="N749" s="76"/>
      <c r="O749" s="76"/>
      <c r="P749" s="76"/>
      <c r="Q749" s="76"/>
      <c r="R749" s="76"/>
      <c r="S749" s="104"/>
      <c r="T749" s="104"/>
      <c r="U749" s="106"/>
      <c r="V749" s="100"/>
      <c r="W749" s="76"/>
    </row>
    <row r="750" spans="1:23">
      <c r="A750" s="93"/>
      <c r="B750" s="95"/>
      <c r="C750" s="76"/>
      <c r="D750" s="76"/>
      <c r="E750" s="76"/>
      <c r="F750" s="95"/>
      <c r="G750" s="95"/>
      <c r="H750" s="95"/>
      <c r="I750" s="95"/>
      <c r="J750" s="104"/>
      <c r="K750" s="99"/>
      <c r="L750" s="99"/>
      <c r="M750" s="76"/>
      <c r="N750" s="76"/>
      <c r="O750" s="76"/>
      <c r="P750" s="76"/>
      <c r="Q750" s="76"/>
      <c r="R750" s="76"/>
      <c r="S750" s="104"/>
      <c r="T750" s="104"/>
      <c r="U750" s="106"/>
      <c r="V750" s="100"/>
      <c r="W750" s="76"/>
    </row>
    <row r="751" spans="1:23">
      <c r="A751" s="93"/>
      <c r="B751" s="95"/>
      <c r="C751" s="76"/>
      <c r="D751" s="76"/>
      <c r="E751" s="76"/>
      <c r="F751" s="95"/>
      <c r="G751" s="95"/>
      <c r="H751" s="95"/>
      <c r="I751" s="95"/>
      <c r="J751" s="104"/>
      <c r="K751" s="99"/>
      <c r="L751" s="99"/>
      <c r="M751" s="76"/>
      <c r="N751" s="76"/>
      <c r="O751" s="76"/>
      <c r="P751" s="76"/>
      <c r="Q751" s="76"/>
      <c r="R751" s="76"/>
      <c r="S751" s="104"/>
      <c r="T751" s="104"/>
      <c r="U751" s="106"/>
      <c r="V751" s="100"/>
      <c r="W751" s="76"/>
    </row>
    <row r="752" spans="1:23">
      <c r="A752" s="93"/>
      <c r="B752" s="95"/>
      <c r="C752" s="76"/>
      <c r="D752" s="76"/>
      <c r="E752" s="76"/>
      <c r="F752" s="95"/>
      <c r="G752" s="95"/>
      <c r="H752" s="95"/>
      <c r="I752" s="95"/>
      <c r="J752" s="104"/>
      <c r="K752" s="99"/>
      <c r="L752" s="99"/>
      <c r="M752" s="76"/>
      <c r="N752" s="76"/>
      <c r="O752" s="76"/>
      <c r="P752" s="76"/>
      <c r="Q752" s="76"/>
      <c r="R752" s="76"/>
      <c r="S752" s="104"/>
      <c r="T752" s="104"/>
      <c r="U752" s="106"/>
      <c r="V752" s="100"/>
      <c r="W752" s="76"/>
    </row>
    <row r="753" spans="1:23">
      <c r="A753" s="93"/>
      <c r="B753" s="95"/>
      <c r="C753" s="76"/>
      <c r="D753" s="76"/>
      <c r="E753" s="76"/>
      <c r="F753" s="95"/>
      <c r="G753" s="95"/>
      <c r="H753" s="95"/>
      <c r="I753" s="95"/>
      <c r="J753" s="104"/>
      <c r="K753" s="99"/>
      <c r="L753" s="99"/>
      <c r="M753" s="76"/>
      <c r="N753" s="76"/>
      <c r="O753" s="76"/>
      <c r="P753" s="76"/>
      <c r="Q753" s="76"/>
      <c r="R753" s="76"/>
      <c r="S753" s="104"/>
      <c r="T753" s="104"/>
      <c r="U753" s="106"/>
      <c r="V753" s="100"/>
      <c r="W753" s="76"/>
    </row>
    <row r="754" spans="1:23">
      <c r="A754" s="93"/>
      <c r="B754" s="95"/>
      <c r="C754" s="76"/>
      <c r="D754" s="76"/>
      <c r="E754" s="76"/>
      <c r="F754" s="95"/>
      <c r="G754" s="95"/>
      <c r="H754" s="95"/>
      <c r="I754" s="95"/>
      <c r="J754" s="104"/>
      <c r="K754" s="99"/>
      <c r="L754" s="99"/>
      <c r="M754" s="76"/>
      <c r="N754" s="76"/>
      <c r="O754" s="76"/>
      <c r="P754" s="76"/>
      <c r="Q754" s="76"/>
      <c r="R754" s="76"/>
      <c r="S754" s="104"/>
      <c r="T754" s="104"/>
      <c r="U754" s="106"/>
      <c r="V754" s="100"/>
      <c r="W754" s="76"/>
    </row>
    <row r="755" spans="1:23">
      <c r="A755" s="93"/>
      <c r="B755" s="95"/>
      <c r="C755" s="76"/>
      <c r="D755" s="76"/>
      <c r="E755" s="76"/>
      <c r="F755" s="95"/>
      <c r="G755" s="95"/>
      <c r="H755" s="95"/>
      <c r="I755" s="95"/>
      <c r="J755" s="104"/>
      <c r="K755" s="99"/>
      <c r="L755" s="99"/>
      <c r="M755" s="76"/>
      <c r="N755" s="76"/>
      <c r="O755" s="76"/>
      <c r="P755" s="76"/>
      <c r="Q755" s="76"/>
      <c r="R755" s="76"/>
      <c r="S755" s="104"/>
      <c r="T755" s="104"/>
      <c r="U755" s="106"/>
      <c r="V755" s="100"/>
      <c r="W755" s="76"/>
    </row>
    <row r="756" spans="1:23">
      <c r="A756" s="93"/>
      <c r="B756" s="95"/>
      <c r="C756" s="76"/>
      <c r="D756" s="76"/>
      <c r="E756" s="76"/>
      <c r="F756" s="95"/>
      <c r="G756" s="95"/>
      <c r="H756" s="95"/>
      <c r="I756" s="95"/>
      <c r="J756" s="104"/>
      <c r="K756" s="99"/>
      <c r="L756" s="99"/>
      <c r="M756" s="76"/>
      <c r="N756" s="76"/>
      <c r="O756" s="76"/>
      <c r="P756" s="76"/>
      <c r="Q756" s="76"/>
      <c r="R756" s="76"/>
      <c r="S756" s="104"/>
      <c r="T756" s="104"/>
      <c r="U756" s="106"/>
      <c r="V756" s="100"/>
      <c r="W756" s="76"/>
    </row>
    <row r="757" spans="1:23">
      <c r="A757" s="93"/>
      <c r="B757" s="95"/>
      <c r="C757" s="76"/>
      <c r="D757" s="76"/>
      <c r="E757" s="76"/>
      <c r="F757" s="95"/>
      <c r="G757" s="95"/>
      <c r="H757" s="95"/>
      <c r="I757" s="95"/>
      <c r="J757" s="104"/>
      <c r="K757" s="99"/>
      <c r="L757" s="99"/>
      <c r="M757" s="76"/>
      <c r="N757" s="76"/>
      <c r="O757" s="76"/>
      <c r="P757" s="76"/>
      <c r="Q757" s="76"/>
      <c r="R757" s="76"/>
      <c r="S757" s="104"/>
      <c r="T757" s="104"/>
      <c r="U757" s="106"/>
      <c r="V757" s="100"/>
      <c r="W757" s="76"/>
    </row>
    <row r="758" spans="1:23">
      <c r="A758" s="93"/>
      <c r="B758" s="95"/>
      <c r="C758" s="76"/>
      <c r="D758" s="76"/>
      <c r="E758" s="76"/>
      <c r="F758" s="95"/>
      <c r="G758" s="95"/>
      <c r="H758" s="95"/>
      <c r="I758" s="95"/>
      <c r="J758" s="104"/>
      <c r="K758" s="99"/>
      <c r="L758" s="99"/>
      <c r="M758" s="76"/>
      <c r="N758" s="76"/>
      <c r="O758" s="76"/>
      <c r="P758" s="76"/>
      <c r="Q758" s="76"/>
      <c r="R758" s="76"/>
      <c r="S758" s="104"/>
      <c r="T758" s="104"/>
      <c r="U758" s="106"/>
      <c r="V758" s="100"/>
      <c r="W758" s="76"/>
    </row>
    <row r="759" spans="1:23">
      <c r="A759" s="93"/>
      <c r="B759" s="95"/>
      <c r="C759" s="76"/>
      <c r="D759" s="76"/>
      <c r="E759" s="76"/>
      <c r="F759" s="95"/>
      <c r="G759" s="95"/>
      <c r="H759" s="95"/>
      <c r="I759" s="95"/>
      <c r="J759" s="104"/>
      <c r="K759" s="99"/>
      <c r="L759" s="99"/>
      <c r="M759" s="76"/>
      <c r="N759" s="76"/>
      <c r="O759" s="76"/>
      <c r="P759" s="76"/>
      <c r="Q759" s="76"/>
      <c r="R759" s="76"/>
      <c r="S759" s="104"/>
      <c r="T759" s="104"/>
      <c r="U759" s="106"/>
      <c r="V759" s="100"/>
      <c r="W759" s="76"/>
    </row>
    <row r="760" spans="1:23">
      <c r="A760" s="93"/>
      <c r="B760" s="95"/>
      <c r="C760" s="76"/>
      <c r="D760" s="76"/>
      <c r="E760" s="76"/>
      <c r="F760" s="95"/>
      <c r="G760" s="95"/>
      <c r="H760" s="95"/>
      <c r="I760" s="95"/>
      <c r="J760" s="104"/>
      <c r="K760" s="99"/>
      <c r="L760" s="99"/>
      <c r="M760" s="76"/>
      <c r="N760" s="76"/>
      <c r="O760" s="76"/>
      <c r="P760" s="76"/>
      <c r="Q760" s="76"/>
      <c r="R760" s="76"/>
      <c r="S760" s="104"/>
      <c r="T760" s="104"/>
      <c r="U760" s="106"/>
      <c r="V760" s="100"/>
      <c r="W760" s="76"/>
    </row>
    <row r="761" spans="1:23">
      <c r="A761" s="93"/>
      <c r="B761" s="95"/>
      <c r="C761" s="76"/>
      <c r="D761" s="76"/>
      <c r="E761" s="76"/>
      <c r="F761" s="95"/>
      <c r="G761" s="95"/>
      <c r="H761" s="95"/>
      <c r="I761" s="95"/>
      <c r="J761" s="104"/>
      <c r="K761" s="99"/>
      <c r="L761" s="99"/>
      <c r="M761" s="76"/>
      <c r="N761" s="76"/>
      <c r="O761" s="76"/>
      <c r="P761" s="76"/>
      <c r="Q761" s="76"/>
      <c r="R761" s="76"/>
      <c r="S761" s="104"/>
      <c r="T761" s="104"/>
      <c r="U761" s="106"/>
      <c r="V761" s="100"/>
      <c r="W761" s="76"/>
    </row>
    <row r="762" spans="1:23">
      <c r="A762" s="93"/>
      <c r="B762" s="95"/>
      <c r="C762" s="76"/>
      <c r="D762" s="76"/>
      <c r="E762" s="76"/>
      <c r="F762" s="95"/>
      <c r="G762" s="95"/>
      <c r="H762" s="95"/>
      <c r="I762" s="95"/>
      <c r="J762" s="104"/>
      <c r="K762" s="99"/>
      <c r="L762" s="99"/>
      <c r="M762" s="76"/>
      <c r="N762" s="76"/>
      <c r="O762" s="76"/>
      <c r="P762" s="76"/>
      <c r="Q762" s="76"/>
      <c r="R762" s="76"/>
      <c r="S762" s="104"/>
      <c r="T762" s="104"/>
      <c r="U762" s="106"/>
      <c r="V762" s="100"/>
      <c r="W762" s="76"/>
    </row>
    <row r="763" spans="1:23">
      <c r="A763" s="93"/>
      <c r="B763" s="95"/>
      <c r="C763" s="76"/>
      <c r="D763" s="76"/>
      <c r="E763" s="76"/>
      <c r="F763" s="95"/>
      <c r="G763" s="95"/>
      <c r="H763" s="95"/>
      <c r="I763" s="95"/>
      <c r="J763" s="104"/>
      <c r="K763" s="99"/>
      <c r="L763" s="99"/>
      <c r="M763" s="76"/>
      <c r="N763" s="76"/>
      <c r="O763" s="76"/>
      <c r="P763" s="76"/>
      <c r="Q763" s="76"/>
      <c r="R763" s="76"/>
      <c r="S763" s="104"/>
      <c r="T763" s="104"/>
      <c r="U763" s="106"/>
      <c r="V763" s="100"/>
      <c r="W763" s="76"/>
    </row>
    <row r="764" spans="1:23">
      <c r="A764" s="93"/>
      <c r="B764" s="95"/>
      <c r="C764" s="76"/>
      <c r="D764" s="76"/>
      <c r="E764" s="76"/>
      <c r="F764" s="95"/>
      <c r="G764" s="95"/>
      <c r="H764" s="95"/>
      <c r="I764" s="95"/>
      <c r="J764" s="104"/>
      <c r="K764" s="99"/>
      <c r="L764" s="99"/>
      <c r="M764" s="76"/>
      <c r="N764" s="76"/>
      <c r="O764" s="76"/>
      <c r="P764" s="76"/>
      <c r="Q764" s="76"/>
      <c r="R764" s="76"/>
      <c r="S764" s="104"/>
      <c r="T764" s="104"/>
      <c r="U764" s="106"/>
      <c r="V764" s="100"/>
      <c r="W764" s="76"/>
    </row>
    <row r="765" spans="1:23">
      <c r="A765" s="93"/>
      <c r="B765" s="95"/>
      <c r="C765" s="76"/>
      <c r="D765" s="76"/>
      <c r="E765" s="76"/>
      <c r="F765" s="95"/>
      <c r="G765" s="95"/>
      <c r="H765" s="95"/>
      <c r="I765" s="95"/>
      <c r="J765" s="104"/>
      <c r="K765" s="99"/>
      <c r="L765" s="99"/>
      <c r="M765" s="76"/>
      <c r="N765" s="76"/>
      <c r="O765" s="76"/>
      <c r="P765" s="76"/>
      <c r="Q765" s="76"/>
      <c r="R765" s="76"/>
      <c r="S765" s="104"/>
      <c r="T765" s="104"/>
      <c r="U765" s="106"/>
      <c r="V765" s="100"/>
      <c r="W765" s="76"/>
    </row>
    <row r="766" spans="1:23">
      <c r="A766" s="93"/>
      <c r="B766" s="95"/>
      <c r="C766" s="76"/>
      <c r="D766" s="76"/>
      <c r="E766" s="76"/>
      <c r="F766" s="95"/>
      <c r="G766" s="95"/>
      <c r="H766" s="95"/>
      <c r="I766" s="95"/>
      <c r="J766" s="104"/>
      <c r="K766" s="99"/>
      <c r="L766" s="99"/>
      <c r="M766" s="76"/>
      <c r="N766" s="76"/>
      <c r="O766" s="76"/>
      <c r="P766" s="76"/>
      <c r="Q766" s="76"/>
      <c r="R766" s="76"/>
      <c r="S766" s="104"/>
      <c r="T766" s="104"/>
      <c r="U766" s="106"/>
      <c r="V766" s="100"/>
      <c r="W766" s="76"/>
    </row>
    <row r="767" spans="1:23">
      <c r="A767" s="93"/>
      <c r="B767" s="95"/>
      <c r="C767" s="76"/>
      <c r="D767" s="76"/>
      <c r="E767" s="76"/>
      <c r="F767" s="95"/>
      <c r="G767" s="95"/>
      <c r="H767" s="95"/>
      <c r="I767" s="95"/>
      <c r="J767" s="104"/>
      <c r="K767" s="99"/>
      <c r="L767" s="99"/>
      <c r="M767" s="76"/>
      <c r="N767" s="76"/>
      <c r="O767" s="76"/>
      <c r="P767" s="76"/>
      <c r="Q767" s="76"/>
      <c r="R767" s="76"/>
      <c r="S767" s="104"/>
      <c r="T767" s="104"/>
      <c r="U767" s="106"/>
      <c r="V767" s="100"/>
      <c r="W767" s="76"/>
    </row>
    <row r="768" spans="1:23">
      <c r="A768" s="93"/>
      <c r="B768" s="95"/>
      <c r="C768" s="76"/>
      <c r="D768" s="76"/>
      <c r="E768" s="76"/>
      <c r="F768" s="95"/>
      <c r="G768" s="95"/>
      <c r="H768" s="95"/>
      <c r="I768" s="95"/>
      <c r="J768" s="104"/>
      <c r="K768" s="99"/>
      <c r="L768" s="99"/>
      <c r="M768" s="76"/>
      <c r="N768" s="76"/>
      <c r="O768" s="76"/>
      <c r="P768" s="76"/>
      <c r="Q768" s="76"/>
      <c r="R768" s="76"/>
      <c r="S768" s="104"/>
      <c r="T768" s="104"/>
      <c r="U768" s="106"/>
      <c r="V768" s="100"/>
      <c r="W768" s="76"/>
    </row>
    <row r="769" spans="1:23">
      <c r="A769" s="93"/>
      <c r="B769" s="95"/>
      <c r="C769" s="76"/>
      <c r="D769" s="76"/>
      <c r="E769" s="76"/>
      <c r="F769" s="95"/>
      <c r="G769" s="95"/>
      <c r="H769" s="95"/>
      <c r="I769" s="95"/>
      <c r="J769" s="104"/>
      <c r="K769" s="99"/>
      <c r="L769" s="99"/>
      <c r="M769" s="76"/>
      <c r="N769" s="76"/>
      <c r="O769" s="76"/>
      <c r="P769" s="76"/>
      <c r="Q769" s="76"/>
      <c r="R769" s="76"/>
      <c r="S769" s="104"/>
      <c r="T769" s="104"/>
      <c r="U769" s="106"/>
      <c r="V769" s="100"/>
      <c r="W769" s="76"/>
    </row>
    <row r="770" spans="1:23">
      <c r="A770" s="93"/>
      <c r="B770" s="95"/>
      <c r="C770" s="76"/>
      <c r="D770" s="76"/>
      <c r="E770" s="76"/>
      <c r="F770" s="95"/>
      <c r="G770" s="95"/>
      <c r="H770" s="95"/>
      <c r="I770" s="95"/>
      <c r="J770" s="104"/>
      <c r="K770" s="99"/>
      <c r="L770" s="99"/>
      <c r="M770" s="76"/>
      <c r="N770" s="76"/>
      <c r="O770" s="76"/>
      <c r="P770" s="76"/>
      <c r="Q770" s="76"/>
      <c r="R770" s="76"/>
      <c r="S770" s="104"/>
      <c r="T770" s="104"/>
      <c r="U770" s="106"/>
      <c r="V770" s="100"/>
      <c r="W770" s="76"/>
    </row>
    <row r="771" spans="1:23">
      <c r="A771" s="93"/>
      <c r="B771" s="95"/>
      <c r="C771" s="76"/>
      <c r="D771" s="76"/>
      <c r="E771" s="76"/>
      <c r="F771" s="95"/>
      <c r="G771" s="95"/>
      <c r="H771" s="95"/>
      <c r="I771" s="95"/>
      <c r="J771" s="104"/>
      <c r="K771" s="99"/>
      <c r="L771" s="99"/>
      <c r="M771" s="76"/>
      <c r="N771" s="76"/>
      <c r="O771" s="76"/>
      <c r="P771" s="76"/>
      <c r="Q771" s="76"/>
      <c r="R771" s="76"/>
      <c r="S771" s="104"/>
      <c r="T771" s="104"/>
      <c r="U771" s="106"/>
      <c r="V771" s="100"/>
      <c r="W771" s="76"/>
    </row>
    <row r="772" spans="1:23">
      <c r="A772" s="93"/>
      <c r="B772" s="95"/>
      <c r="C772" s="76"/>
      <c r="D772" s="76"/>
      <c r="E772" s="76"/>
      <c r="F772" s="95"/>
      <c r="G772" s="95"/>
      <c r="H772" s="95"/>
      <c r="I772" s="95"/>
      <c r="J772" s="104"/>
      <c r="K772" s="99"/>
      <c r="L772" s="99"/>
      <c r="M772" s="76"/>
      <c r="N772" s="76"/>
      <c r="O772" s="76"/>
      <c r="P772" s="76"/>
      <c r="Q772" s="76"/>
      <c r="R772" s="76"/>
      <c r="S772" s="104"/>
      <c r="T772" s="104"/>
      <c r="U772" s="106"/>
      <c r="V772" s="100"/>
      <c r="W772" s="76"/>
    </row>
    <row r="773" spans="1:23">
      <c r="A773" s="93"/>
      <c r="B773" s="95"/>
      <c r="C773" s="76"/>
      <c r="D773" s="76"/>
      <c r="E773" s="76"/>
      <c r="F773" s="95"/>
      <c r="G773" s="95"/>
      <c r="H773" s="95"/>
      <c r="I773" s="95"/>
      <c r="J773" s="104"/>
      <c r="K773" s="99"/>
      <c r="L773" s="99"/>
      <c r="M773" s="76"/>
      <c r="N773" s="76"/>
      <c r="O773" s="76"/>
      <c r="P773" s="76"/>
      <c r="Q773" s="76"/>
      <c r="R773" s="76"/>
      <c r="S773" s="104"/>
      <c r="T773" s="104"/>
      <c r="U773" s="106"/>
      <c r="V773" s="100"/>
      <c r="W773" s="76"/>
    </row>
    <row r="774" spans="1:23">
      <c r="A774" s="93"/>
      <c r="B774" s="95"/>
      <c r="C774" s="76"/>
      <c r="D774" s="76"/>
      <c r="E774" s="76"/>
      <c r="F774" s="95"/>
      <c r="G774" s="95"/>
      <c r="H774" s="95"/>
      <c r="I774" s="95"/>
      <c r="J774" s="104"/>
      <c r="K774" s="99"/>
      <c r="L774" s="99"/>
      <c r="M774" s="76"/>
      <c r="N774" s="76"/>
      <c r="O774" s="76"/>
      <c r="P774" s="76"/>
      <c r="Q774" s="76"/>
      <c r="R774" s="76"/>
      <c r="S774" s="104"/>
      <c r="T774" s="104"/>
      <c r="U774" s="106"/>
      <c r="V774" s="100"/>
      <c r="W774" s="76"/>
    </row>
    <row r="775" spans="1:23">
      <c r="A775" s="93"/>
      <c r="B775" s="95"/>
      <c r="C775" s="76"/>
      <c r="D775" s="76"/>
      <c r="E775" s="76"/>
      <c r="F775" s="95"/>
      <c r="G775" s="95"/>
      <c r="H775" s="95"/>
      <c r="I775" s="95"/>
      <c r="J775" s="104"/>
      <c r="K775" s="99"/>
      <c r="L775" s="99"/>
      <c r="M775" s="76"/>
      <c r="N775" s="76"/>
      <c r="O775" s="76"/>
      <c r="P775" s="76"/>
      <c r="Q775" s="76"/>
      <c r="R775" s="76"/>
      <c r="S775" s="104"/>
      <c r="T775" s="104"/>
      <c r="U775" s="106"/>
      <c r="V775" s="100"/>
      <c r="W775" s="76"/>
    </row>
    <row r="776" spans="1:23">
      <c r="A776" s="93"/>
      <c r="B776" s="95"/>
      <c r="C776" s="76"/>
      <c r="D776" s="76"/>
      <c r="E776" s="76"/>
      <c r="F776" s="95"/>
      <c r="G776" s="95"/>
      <c r="H776" s="95"/>
      <c r="I776" s="95"/>
      <c r="J776" s="104"/>
      <c r="K776" s="99"/>
      <c r="L776" s="99"/>
      <c r="M776" s="76"/>
      <c r="N776" s="76"/>
      <c r="O776" s="76"/>
      <c r="P776" s="76"/>
      <c r="Q776" s="76"/>
      <c r="R776" s="76"/>
      <c r="S776" s="104"/>
      <c r="T776" s="104"/>
      <c r="U776" s="106"/>
      <c r="V776" s="100"/>
      <c r="W776" s="76"/>
    </row>
    <row r="777" spans="1:23">
      <c r="A777" s="93"/>
      <c r="B777" s="95"/>
      <c r="C777" s="76"/>
      <c r="D777" s="76"/>
      <c r="E777" s="76"/>
      <c r="F777" s="95"/>
      <c r="G777" s="95"/>
      <c r="H777" s="95"/>
      <c r="I777" s="95"/>
      <c r="J777" s="104"/>
      <c r="K777" s="99"/>
      <c r="L777" s="99"/>
      <c r="M777" s="76"/>
      <c r="N777" s="76"/>
      <c r="O777" s="76"/>
      <c r="P777" s="76"/>
      <c r="Q777" s="76"/>
      <c r="R777" s="76"/>
      <c r="S777" s="104"/>
      <c r="T777" s="104"/>
      <c r="U777" s="106"/>
      <c r="V777" s="100"/>
      <c r="W777" s="76"/>
    </row>
    <row r="778" spans="1:23">
      <c r="A778" s="93"/>
      <c r="B778" s="95"/>
      <c r="C778" s="76"/>
      <c r="D778" s="76"/>
      <c r="E778" s="76"/>
      <c r="F778" s="95"/>
      <c r="G778" s="95"/>
      <c r="H778" s="95"/>
      <c r="I778" s="95"/>
      <c r="J778" s="104"/>
      <c r="K778" s="99"/>
      <c r="L778" s="99"/>
      <c r="M778" s="76"/>
      <c r="N778" s="76"/>
      <c r="O778" s="76"/>
      <c r="P778" s="76"/>
      <c r="Q778" s="76"/>
      <c r="R778" s="76"/>
      <c r="S778" s="104"/>
      <c r="T778" s="104"/>
      <c r="U778" s="106"/>
      <c r="V778" s="100"/>
      <c r="W778" s="76"/>
    </row>
    <row r="779" spans="1:23">
      <c r="A779" s="93"/>
      <c r="B779" s="95"/>
      <c r="C779" s="76"/>
      <c r="D779" s="76"/>
      <c r="E779" s="76"/>
      <c r="F779" s="95"/>
      <c r="G779" s="95"/>
      <c r="H779" s="95"/>
      <c r="I779" s="95"/>
      <c r="J779" s="104"/>
      <c r="K779" s="99"/>
      <c r="L779" s="99"/>
      <c r="M779" s="76"/>
      <c r="N779" s="76"/>
      <c r="O779" s="76"/>
      <c r="P779" s="76"/>
      <c r="Q779" s="76"/>
      <c r="R779" s="76"/>
      <c r="S779" s="104"/>
      <c r="T779" s="104"/>
      <c r="U779" s="106"/>
      <c r="V779" s="100"/>
      <c r="W779" s="76"/>
    </row>
    <row r="780" spans="1:23">
      <c r="A780" s="93"/>
      <c r="B780" s="95"/>
      <c r="C780" s="76"/>
      <c r="D780" s="76"/>
      <c r="E780" s="76"/>
      <c r="F780" s="95"/>
      <c r="G780" s="95"/>
      <c r="H780" s="95"/>
      <c r="I780" s="95"/>
      <c r="J780" s="104"/>
      <c r="K780" s="99"/>
      <c r="L780" s="99"/>
      <c r="M780" s="76"/>
      <c r="N780" s="76"/>
      <c r="O780" s="76"/>
      <c r="P780" s="76"/>
      <c r="Q780" s="76"/>
      <c r="R780" s="76"/>
      <c r="S780" s="104"/>
      <c r="T780" s="104"/>
      <c r="U780" s="106"/>
      <c r="V780" s="100"/>
      <c r="W780" s="76"/>
    </row>
    <row r="781" spans="1:23">
      <c r="A781" s="93"/>
      <c r="B781" s="95"/>
      <c r="C781" s="76"/>
      <c r="D781" s="76"/>
      <c r="E781" s="76"/>
      <c r="F781" s="95"/>
      <c r="G781" s="95"/>
      <c r="H781" s="95"/>
      <c r="I781" s="95"/>
      <c r="J781" s="104"/>
      <c r="K781" s="99"/>
      <c r="L781" s="99"/>
      <c r="M781" s="76"/>
      <c r="N781" s="76"/>
      <c r="O781" s="76"/>
      <c r="P781" s="76"/>
      <c r="Q781" s="76"/>
      <c r="R781" s="76"/>
      <c r="S781" s="104"/>
      <c r="T781" s="104"/>
      <c r="U781" s="106"/>
      <c r="V781" s="100"/>
      <c r="W781" s="76"/>
    </row>
    <row r="782" spans="1:23">
      <c r="A782" s="93"/>
      <c r="B782" s="95"/>
      <c r="C782" s="76"/>
      <c r="D782" s="76"/>
      <c r="E782" s="76"/>
      <c r="F782" s="95"/>
      <c r="G782" s="95"/>
      <c r="H782" s="95"/>
      <c r="I782" s="95"/>
      <c r="J782" s="104"/>
      <c r="K782" s="99"/>
      <c r="L782" s="99"/>
      <c r="M782" s="76"/>
      <c r="N782" s="76"/>
      <c r="O782" s="76"/>
      <c r="P782" s="76"/>
      <c r="Q782" s="76"/>
      <c r="R782" s="76"/>
      <c r="S782" s="104"/>
      <c r="T782" s="104"/>
      <c r="U782" s="106"/>
      <c r="V782" s="100"/>
      <c r="W782" s="76"/>
    </row>
    <row r="783" spans="1:23">
      <c r="A783" s="93"/>
      <c r="B783" s="95"/>
      <c r="C783" s="76"/>
      <c r="D783" s="76"/>
      <c r="E783" s="76"/>
      <c r="F783" s="95"/>
      <c r="G783" s="95"/>
      <c r="H783" s="95"/>
      <c r="I783" s="95"/>
      <c r="J783" s="104"/>
      <c r="K783" s="99"/>
      <c r="L783" s="99"/>
      <c r="M783" s="76"/>
      <c r="N783" s="76"/>
      <c r="O783" s="76"/>
      <c r="P783" s="76"/>
      <c r="Q783" s="76"/>
      <c r="R783" s="76"/>
      <c r="S783" s="104"/>
      <c r="T783" s="104"/>
      <c r="U783" s="106"/>
      <c r="V783" s="100"/>
      <c r="W783" s="76"/>
    </row>
    <row r="784" spans="1:23">
      <c r="A784" s="93"/>
      <c r="B784" s="95"/>
      <c r="C784" s="76"/>
      <c r="D784" s="76"/>
      <c r="E784" s="76"/>
      <c r="F784" s="95"/>
      <c r="G784" s="95"/>
      <c r="H784" s="95"/>
      <c r="I784" s="95"/>
      <c r="J784" s="104"/>
      <c r="K784" s="99"/>
      <c r="L784" s="99"/>
      <c r="M784" s="76"/>
      <c r="N784" s="76"/>
      <c r="O784" s="76"/>
      <c r="P784" s="76"/>
      <c r="Q784" s="76"/>
      <c r="R784" s="76"/>
      <c r="S784" s="104"/>
      <c r="T784" s="104"/>
      <c r="U784" s="106"/>
      <c r="V784" s="100"/>
      <c r="W784" s="76"/>
    </row>
    <row r="785" spans="1:23">
      <c r="A785" s="93"/>
      <c r="B785" s="95"/>
      <c r="C785" s="76"/>
      <c r="D785" s="76"/>
      <c r="E785" s="76"/>
      <c r="F785" s="95"/>
      <c r="G785" s="95"/>
      <c r="H785" s="95"/>
      <c r="I785" s="95"/>
      <c r="J785" s="104"/>
      <c r="K785" s="99"/>
      <c r="L785" s="99"/>
      <c r="M785" s="76"/>
      <c r="N785" s="76"/>
      <c r="O785" s="76"/>
      <c r="P785" s="76"/>
      <c r="Q785" s="76"/>
      <c r="R785" s="76"/>
      <c r="S785" s="104"/>
      <c r="T785" s="104"/>
      <c r="U785" s="106"/>
      <c r="V785" s="100"/>
      <c r="W785" s="76"/>
    </row>
    <row r="786" spans="1:23">
      <c r="A786" s="93"/>
      <c r="B786" s="95"/>
      <c r="C786" s="76"/>
      <c r="D786" s="76"/>
      <c r="E786" s="76"/>
      <c r="F786" s="95"/>
      <c r="G786" s="95"/>
      <c r="H786" s="95"/>
      <c r="I786" s="95"/>
      <c r="J786" s="104"/>
      <c r="K786" s="99"/>
      <c r="L786" s="99"/>
      <c r="M786" s="76"/>
      <c r="N786" s="76"/>
      <c r="O786" s="76"/>
      <c r="P786" s="76"/>
      <c r="Q786" s="76"/>
      <c r="R786" s="76"/>
      <c r="S786" s="104"/>
      <c r="T786" s="104"/>
      <c r="U786" s="106"/>
      <c r="V786" s="100"/>
      <c r="W786" s="76"/>
    </row>
    <row r="787" spans="1:23">
      <c r="A787" s="93"/>
      <c r="B787" s="95"/>
      <c r="C787" s="76"/>
      <c r="D787" s="76"/>
      <c r="E787" s="76"/>
      <c r="F787" s="95"/>
      <c r="G787" s="95"/>
      <c r="H787" s="95"/>
      <c r="I787" s="95"/>
      <c r="J787" s="104"/>
      <c r="K787" s="99"/>
      <c r="L787" s="99"/>
      <c r="M787" s="76"/>
      <c r="N787" s="76"/>
      <c r="O787" s="76"/>
      <c r="P787" s="76"/>
      <c r="Q787" s="76"/>
      <c r="R787" s="76"/>
      <c r="S787" s="104"/>
      <c r="T787" s="104"/>
      <c r="U787" s="106"/>
      <c r="V787" s="100"/>
      <c r="W787" s="76"/>
    </row>
    <row r="788" spans="1:23">
      <c r="A788" s="93"/>
      <c r="B788" s="95"/>
      <c r="C788" s="76"/>
      <c r="D788" s="76"/>
      <c r="E788" s="76"/>
      <c r="F788" s="95"/>
      <c r="G788" s="95"/>
      <c r="H788" s="95"/>
      <c r="I788" s="95"/>
      <c r="J788" s="104"/>
      <c r="K788" s="99"/>
      <c r="L788" s="99"/>
      <c r="M788" s="76"/>
      <c r="N788" s="76"/>
      <c r="O788" s="76"/>
      <c r="P788" s="76"/>
      <c r="Q788" s="76"/>
      <c r="R788" s="76"/>
      <c r="S788" s="104"/>
      <c r="T788" s="104"/>
      <c r="U788" s="106"/>
      <c r="V788" s="100"/>
      <c r="W788" s="76"/>
    </row>
    <row r="789" spans="1:23">
      <c r="A789" s="93"/>
      <c r="B789" s="95"/>
      <c r="C789" s="76"/>
      <c r="D789" s="76"/>
      <c r="E789" s="76"/>
      <c r="F789" s="95"/>
      <c r="G789" s="95"/>
      <c r="H789" s="95"/>
      <c r="I789" s="95"/>
      <c r="J789" s="104"/>
      <c r="K789" s="99"/>
      <c r="L789" s="99"/>
      <c r="M789" s="76"/>
      <c r="N789" s="76"/>
      <c r="O789" s="76"/>
      <c r="P789" s="76"/>
      <c r="Q789" s="76"/>
      <c r="R789" s="76"/>
      <c r="S789" s="104"/>
      <c r="T789" s="104"/>
      <c r="U789" s="106"/>
      <c r="V789" s="100"/>
      <c r="W789" s="76"/>
    </row>
    <row r="790" spans="1:23">
      <c r="A790" s="93"/>
      <c r="B790" s="95"/>
      <c r="C790" s="76"/>
      <c r="D790" s="76"/>
      <c r="E790" s="76"/>
      <c r="F790" s="95"/>
      <c r="G790" s="95"/>
      <c r="H790" s="95"/>
      <c r="I790" s="95"/>
      <c r="J790" s="104"/>
      <c r="K790" s="99"/>
      <c r="L790" s="99"/>
      <c r="M790" s="76"/>
      <c r="N790" s="76"/>
      <c r="O790" s="76"/>
      <c r="P790" s="76"/>
      <c r="Q790" s="76"/>
      <c r="R790" s="76"/>
      <c r="S790" s="104"/>
      <c r="T790" s="104"/>
      <c r="U790" s="106"/>
      <c r="V790" s="100"/>
      <c r="W790" s="76"/>
    </row>
    <row r="791" spans="1:23">
      <c r="A791" s="93"/>
      <c r="B791" s="95"/>
      <c r="C791" s="76"/>
      <c r="D791" s="76"/>
      <c r="E791" s="76"/>
      <c r="F791" s="95"/>
      <c r="G791" s="95"/>
      <c r="H791" s="95"/>
      <c r="I791" s="95"/>
      <c r="J791" s="104"/>
      <c r="K791" s="99"/>
      <c r="L791" s="99"/>
      <c r="M791" s="76"/>
      <c r="N791" s="76"/>
      <c r="O791" s="76"/>
      <c r="P791" s="76"/>
      <c r="Q791" s="76"/>
      <c r="R791" s="76"/>
      <c r="S791" s="104"/>
      <c r="T791" s="104"/>
      <c r="U791" s="106"/>
      <c r="V791" s="100"/>
      <c r="W791" s="76"/>
    </row>
    <row r="792" spans="1:23">
      <c r="A792" s="93"/>
      <c r="B792" s="95"/>
      <c r="C792" s="76"/>
      <c r="D792" s="76"/>
      <c r="E792" s="76"/>
      <c r="F792" s="95"/>
      <c r="G792" s="95"/>
      <c r="H792" s="95"/>
      <c r="I792" s="95"/>
      <c r="J792" s="104"/>
      <c r="K792" s="99"/>
      <c r="L792" s="99"/>
      <c r="M792" s="76"/>
      <c r="N792" s="76"/>
      <c r="O792" s="76"/>
      <c r="P792" s="76"/>
      <c r="Q792" s="76"/>
      <c r="R792" s="76"/>
      <c r="S792" s="104"/>
      <c r="T792" s="104"/>
      <c r="U792" s="106"/>
      <c r="V792" s="100"/>
      <c r="W792" s="76"/>
    </row>
    <row r="793" spans="1:23">
      <c r="A793" s="93"/>
      <c r="B793" s="95"/>
      <c r="C793" s="76"/>
      <c r="D793" s="76"/>
      <c r="E793" s="76"/>
      <c r="F793" s="95"/>
      <c r="G793" s="95"/>
      <c r="H793" s="95"/>
      <c r="I793" s="95"/>
      <c r="J793" s="104"/>
      <c r="K793" s="99"/>
      <c r="L793" s="99"/>
      <c r="M793" s="76"/>
      <c r="N793" s="76"/>
      <c r="O793" s="76"/>
      <c r="P793" s="76"/>
      <c r="Q793" s="76"/>
      <c r="R793" s="76"/>
      <c r="S793" s="104"/>
      <c r="T793" s="104"/>
      <c r="U793" s="106"/>
      <c r="V793" s="100"/>
      <c r="W793" s="76"/>
    </row>
    <row r="794" spans="1:23">
      <c r="A794" s="93"/>
      <c r="B794" s="95"/>
      <c r="C794" s="76"/>
      <c r="D794" s="76"/>
      <c r="E794" s="76"/>
      <c r="F794" s="95"/>
      <c r="G794" s="95"/>
      <c r="H794" s="95"/>
      <c r="I794" s="95"/>
      <c r="J794" s="104"/>
      <c r="K794" s="99"/>
      <c r="L794" s="99"/>
      <c r="M794" s="76"/>
      <c r="N794" s="76"/>
      <c r="O794" s="76"/>
      <c r="P794" s="76"/>
      <c r="Q794" s="76"/>
      <c r="R794" s="76"/>
      <c r="S794" s="104"/>
      <c r="T794" s="104"/>
      <c r="U794" s="106"/>
      <c r="V794" s="100"/>
      <c r="W794" s="76"/>
    </row>
    <row r="795" spans="1:23">
      <c r="A795" s="93"/>
      <c r="B795" s="95"/>
      <c r="C795" s="76"/>
      <c r="D795" s="76"/>
      <c r="E795" s="76"/>
      <c r="F795" s="95"/>
      <c r="G795" s="95"/>
      <c r="H795" s="95"/>
      <c r="I795" s="95"/>
      <c r="J795" s="104"/>
      <c r="K795" s="99"/>
      <c r="L795" s="99"/>
      <c r="M795" s="76"/>
      <c r="N795" s="76"/>
      <c r="O795" s="76"/>
      <c r="P795" s="76"/>
      <c r="Q795" s="76"/>
      <c r="R795" s="76"/>
      <c r="S795" s="104"/>
      <c r="T795" s="104"/>
      <c r="U795" s="106"/>
      <c r="V795" s="100"/>
      <c r="W795" s="76"/>
    </row>
    <row r="796" spans="1:23">
      <c r="A796" s="93"/>
      <c r="B796" s="95"/>
      <c r="C796" s="76"/>
      <c r="D796" s="76"/>
      <c r="E796" s="76"/>
      <c r="F796" s="95"/>
      <c r="G796" s="95"/>
      <c r="H796" s="95"/>
      <c r="I796" s="95"/>
      <c r="J796" s="104"/>
      <c r="K796" s="99"/>
      <c r="L796" s="99"/>
      <c r="M796" s="76"/>
      <c r="N796" s="76"/>
      <c r="O796" s="76"/>
      <c r="P796" s="76"/>
      <c r="Q796" s="76"/>
      <c r="R796" s="76"/>
      <c r="S796" s="104"/>
      <c r="T796" s="104"/>
      <c r="U796" s="106"/>
      <c r="V796" s="100"/>
      <c r="W796" s="76"/>
    </row>
    <row r="797" spans="1:23">
      <c r="A797" s="93"/>
      <c r="B797" s="95"/>
      <c r="C797" s="76"/>
      <c r="D797" s="76"/>
      <c r="E797" s="76"/>
      <c r="F797" s="95"/>
      <c r="G797" s="95"/>
      <c r="H797" s="95"/>
      <c r="I797" s="95"/>
      <c r="J797" s="104"/>
      <c r="K797" s="99"/>
      <c r="L797" s="99"/>
      <c r="M797" s="76"/>
      <c r="N797" s="76"/>
      <c r="O797" s="76"/>
      <c r="P797" s="76"/>
      <c r="Q797" s="76"/>
      <c r="R797" s="76"/>
      <c r="S797" s="104"/>
      <c r="T797" s="104"/>
      <c r="U797" s="106"/>
      <c r="V797" s="100"/>
      <c r="W797" s="76"/>
    </row>
    <row r="798" spans="1:23">
      <c r="A798" s="93"/>
      <c r="B798" s="95"/>
      <c r="C798" s="76"/>
      <c r="D798" s="76"/>
      <c r="E798" s="76"/>
      <c r="F798" s="95"/>
      <c r="G798" s="95"/>
      <c r="H798" s="95"/>
      <c r="I798" s="95"/>
      <c r="J798" s="104"/>
      <c r="K798" s="99"/>
      <c r="L798" s="99"/>
      <c r="M798" s="76"/>
      <c r="N798" s="76"/>
      <c r="O798" s="76"/>
      <c r="P798" s="76"/>
      <c r="Q798" s="76"/>
      <c r="R798" s="76"/>
      <c r="S798" s="104"/>
      <c r="T798" s="104"/>
      <c r="U798" s="106"/>
      <c r="V798" s="100"/>
      <c r="W798" s="76"/>
    </row>
    <row r="799" spans="1:23">
      <c r="A799" s="93"/>
      <c r="B799" s="95"/>
      <c r="C799" s="76"/>
      <c r="D799" s="76"/>
      <c r="E799" s="76"/>
      <c r="F799" s="95"/>
      <c r="G799" s="95"/>
      <c r="H799" s="95"/>
      <c r="I799" s="95"/>
      <c r="J799" s="104"/>
      <c r="K799" s="99"/>
      <c r="L799" s="99"/>
      <c r="M799" s="76"/>
      <c r="N799" s="76"/>
      <c r="O799" s="76"/>
      <c r="P799" s="76"/>
      <c r="Q799" s="76"/>
      <c r="R799" s="76"/>
      <c r="S799" s="104"/>
      <c r="T799" s="104"/>
      <c r="U799" s="106"/>
      <c r="V799" s="100"/>
      <c r="W799" s="76"/>
    </row>
    <row r="800" spans="1:23">
      <c r="A800" s="93"/>
      <c r="B800" s="95"/>
      <c r="C800" s="76"/>
      <c r="D800" s="76"/>
      <c r="E800" s="76"/>
      <c r="F800" s="95"/>
      <c r="G800" s="95"/>
      <c r="H800" s="95"/>
      <c r="I800" s="95"/>
      <c r="J800" s="104"/>
      <c r="K800" s="99"/>
      <c r="L800" s="99"/>
      <c r="M800" s="76"/>
      <c r="N800" s="76"/>
      <c r="O800" s="76"/>
      <c r="P800" s="76"/>
      <c r="Q800" s="76"/>
      <c r="R800" s="76"/>
      <c r="S800" s="104"/>
      <c r="T800" s="104"/>
      <c r="U800" s="106"/>
      <c r="V800" s="100"/>
      <c r="W800" s="76"/>
    </row>
    <row r="801" spans="1:23">
      <c r="A801" s="93"/>
      <c r="B801" s="95"/>
      <c r="C801" s="76"/>
      <c r="D801" s="76"/>
      <c r="E801" s="76"/>
      <c r="F801" s="95"/>
      <c r="G801" s="95"/>
      <c r="H801" s="95"/>
      <c r="I801" s="95"/>
      <c r="J801" s="104"/>
      <c r="K801" s="99"/>
      <c r="L801" s="99"/>
      <c r="M801" s="76"/>
      <c r="N801" s="76"/>
      <c r="O801" s="76"/>
      <c r="P801" s="76"/>
      <c r="Q801" s="76"/>
      <c r="R801" s="76"/>
      <c r="S801" s="104"/>
      <c r="T801" s="104"/>
      <c r="U801" s="106"/>
      <c r="V801" s="100"/>
      <c r="W801" s="76"/>
    </row>
    <row r="802" spans="1:23">
      <c r="A802" s="93"/>
      <c r="B802" s="95"/>
      <c r="C802" s="76"/>
      <c r="D802" s="76"/>
      <c r="E802" s="76"/>
      <c r="F802" s="95"/>
      <c r="G802" s="95"/>
      <c r="H802" s="95"/>
      <c r="I802" s="95"/>
      <c r="J802" s="104"/>
      <c r="K802" s="99"/>
      <c r="L802" s="99"/>
      <c r="M802" s="76"/>
      <c r="N802" s="76"/>
      <c r="O802" s="76"/>
      <c r="P802" s="76"/>
      <c r="Q802" s="76"/>
      <c r="R802" s="76"/>
      <c r="S802" s="104"/>
      <c r="T802" s="104"/>
      <c r="U802" s="106"/>
      <c r="V802" s="100"/>
      <c r="W802" s="76"/>
    </row>
    <row r="803" spans="1:23">
      <c r="A803" s="93"/>
      <c r="B803" s="95"/>
      <c r="C803" s="76"/>
      <c r="D803" s="76"/>
      <c r="E803" s="76"/>
      <c r="F803" s="95"/>
      <c r="G803" s="95"/>
      <c r="H803" s="95"/>
      <c r="I803" s="95"/>
      <c r="J803" s="104"/>
      <c r="K803" s="99"/>
      <c r="L803" s="99"/>
      <c r="M803" s="76"/>
      <c r="N803" s="76"/>
      <c r="O803" s="76"/>
      <c r="P803" s="76"/>
      <c r="Q803" s="76"/>
      <c r="R803" s="76"/>
      <c r="S803" s="104"/>
      <c r="T803" s="104"/>
      <c r="U803" s="106"/>
      <c r="V803" s="100"/>
      <c r="W803" s="76"/>
    </row>
    <row r="804" spans="1:23">
      <c r="A804" s="93"/>
      <c r="B804" s="95"/>
      <c r="C804" s="76"/>
      <c r="D804" s="76"/>
      <c r="E804" s="76"/>
      <c r="F804" s="95"/>
      <c r="G804" s="95"/>
      <c r="H804" s="95"/>
      <c r="I804" s="95"/>
      <c r="J804" s="104"/>
      <c r="K804" s="99"/>
      <c r="L804" s="99"/>
      <c r="M804" s="76"/>
      <c r="N804" s="76"/>
      <c r="O804" s="76"/>
      <c r="P804" s="76"/>
      <c r="Q804" s="76"/>
      <c r="R804" s="76"/>
      <c r="S804" s="104"/>
      <c r="T804" s="104"/>
      <c r="U804" s="106"/>
      <c r="V804" s="100"/>
      <c r="W804" s="76"/>
    </row>
    <row r="805" spans="1:23">
      <c r="A805" s="93"/>
      <c r="B805" s="95"/>
      <c r="C805" s="76"/>
      <c r="D805" s="76"/>
      <c r="E805" s="76"/>
      <c r="F805" s="95"/>
      <c r="G805" s="95"/>
      <c r="H805" s="95"/>
      <c r="I805" s="95"/>
      <c r="J805" s="104"/>
      <c r="K805" s="99"/>
      <c r="L805" s="99"/>
      <c r="M805" s="76"/>
      <c r="N805" s="76"/>
      <c r="O805" s="76"/>
      <c r="P805" s="76"/>
      <c r="Q805" s="76"/>
      <c r="R805" s="76"/>
      <c r="S805" s="104"/>
      <c r="T805" s="104"/>
      <c r="U805" s="106"/>
      <c r="V805" s="100"/>
      <c r="W805" s="76"/>
    </row>
    <row r="806" spans="1:23">
      <c r="A806" s="93"/>
      <c r="B806" s="95"/>
      <c r="C806" s="76"/>
      <c r="D806" s="76"/>
      <c r="E806" s="76"/>
      <c r="F806" s="95"/>
      <c r="G806" s="95"/>
      <c r="H806" s="95"/>
      <c r="I806" s="95"/>
      <c r="J806" s="104"/>
      <c r="K806" s="99"/>
      <c r="L806" s="99"/>
      <c r="M806" s="76"/>
      <c r="N806" s="76"/>
      <c r="O806" s="76"/>
      <c r="P806" s="76"/>
      <c r="Q806" s="76"/>
      <c r="R806" s="76"/>
      <c r="S806" s="104"/>
      <c r="T806" s="104"/>
      <c r="U806" s="106"/>
      <c r="V806" s="100"/>
      <c r="W806" s="76"/>
    </row>
    <row r="807" spans="1:23">
      <c r="A807" s="93"/>
      <c r="B807" s="95"/>
      <c r="C807" s="76"/>
      <c r="D807" s="76"/>
      <c r="E807" s="76"/>
      <c r="F807" s="95"/>
      <c r="G807" s="95"/>
      <c r="H807" s="95"/>
      <c r="I807" s="95"/>
      <c r="J807" s="104"/>
      <c r="K807" s="99"/>
      <c r="L807" s="99"/>
      <c r="M807" s="76"/>
      <c r="N807" s="76"/>
      <c r="O807" s="76"/>
      <c r="P807" s="76"/>
      <c r="Q807" s="76"/>
      <c r="R807" s="76"/>
      <c r="S807" s="104"/>
      <c r="T807" s="104"/>
      <c r="U807" s="106"/>
      <c r="V807" s="100"/>
      <c r="W807" s="76"/>
    </row>
    <row r="808" spans="1:23">
      <c r="A808" s="93"/>
      <c r="B808" s="95"/>
      <c r="C808" s="76"/>
      <c r="D808" s="76"/>
      <c r="E808" s="76"/>
      <c r="F808" s="95"/>
      <c r="G808" s="95"/>
      <c r="H808" s="95"/>
      <c r="I808" s="95"/>
      <c r="J808" s="104"/>
      <c r="K808" s="99"/>
      <c r="L808" s="99"/>
      <c r="M808" s="76"/>
      <c r="N808" s="76"/>
      <c r="O808" s="76"/>
      <c r="P808" s="76"/>
      <c r="Q808" s="76"/>
      <c r="R808" s="76"/>
      <c r="S808" s="104"/>
      <c r="T808" s="104"/>
      <c r="U808" s="106"/>
      <c r="V808" s="100"/>
      <c r="W808" s="76"/>
    </row>
    <row r="809" spans="1:23">
      <c r="A809" s="93"/>
      <c r="B809" s="95"/>
      <c r="C809" s="76"/>
      <c r="D809" s="76"/>
      <c r="E809" s="76"/>
      <c r="F809" s="95"/>
      <c r="G809" s="95"/>
      <c r="H809" s="95"/>
      <c r="I809" s="95"/>
      <c r="J809" s="104"/>
      <c r="K809" s="99"/>
      <c r="L809" s="99"/>
      <c r="M809" s="76"/>
      <c r="N809" s="76"/>
      <c r="O809" s="76"/>
      <c r="P809" s="76"/>
      <c r="Q809" s="76"/>
      <c r="R809" s="76"/>
      <c r="S809" s="104"/>
      <c r="T809" s="104"/>
      <c r="U809" s="106"/>
      <c r="V809" s="100"/>
      <c r="W809" s="76"/>
    </row>
    <row r="810" spans="1:23">
      <c r="A810" s="93"/>
      <c r="B810" s="95"/>
      <c r="C810" s="76"/>
      <c r="D810" s="76"/>
      <c r="E810" s="76"/>
      <c r="F810" s="95"/>
      <c r="G810" s="95"/>
      <c r="H810" s="95"/>
      <c r="I810" s="95"/>
      <c r="J810" s="104"/>
      <c r="K810" s="99"/>
      <c r="L810" s="99"/>
      <c r="M810" s="76"/>
      <c r="N810" s="76"/>
      <c r="O810" s="76"/>
      <c r="P810" s="76"/>
      <c r="Q810" s="76"/>
      <c r="R810" s="76"/>
      <c r="S810" s="104"/>
      <c r="T810" s="104"/>
      <c r="U810" s="106"/>
      <c r="V810" s="100"/>
      <c r="W810" s="76"/>
    </row>
    <row r="811" spans="1:23">
      <c r="A811" s="93"/>
      <c r="B811" s="95"/>
      <c r="C811" s="76"/>
      <c r="D811" s="76"/>
      <c r="E811" s="76"/>
      <c r="F811" s="95"/>
      <c r="G811" s="95"/>
      <c r="H811" s="95"/>
      <c r="I811" s="95"/>
      <c r="J811" s="104"/>
      <c r="K811" s="99"/>
      <c r="L811" s="99"/>
      <c r="M811" s="76"/>
      <c r="N811" s="76"/>
      <c r="O811" s="76"/>
      <c r="P811" s="76"/>
      <c r="Q811" s="76"/>
      <c r="R811" s="76"/>
      <c r="S811" s="104"/>
      <c r="T811" s="104"/>
      <c r="U811" s="106"/>
      <c r="V811" s="100"/>
      <c r="W811" s="76"/>
    </row>
    <row r="812" spans="1:23">
      <c r="A812" s="93"/>
      <c r="B812" s="95"/>
      <c r="C812" s="76"/>
      <c r="D812" s="76"/>
      <c r="E812" s="76"/>
      <c r="F812" s="95"/>
      <c r="G812" s="95"/>
      <c r="H812" s="95"/>
      <c r="I812" s="95"/>
      <c r="J812" s="104"/>
      <c r="K812" s="99"/>
      <c r="L812" s="99"/>
      <c r="M812" s="76"/>
      <c r="N812" s="76"/>
      <c r="O812" s="76"/>
      <c r="P812" s="76"/>
      <c r="Q812" s="76"/>
      <c r="R812" s="76"/>
      <c r="S812" s="104"/>
      <c r="T812" s="104"/>
      <c r="U812" s="106"/>
      <c r="V812" s="100"/>
      <c r="W812" s="76"/>
    </row>
    <row r="813" spans="1:23">
      <c r="A813" s="93"/>
      <c r="B813" s="95"/>
      <c r="C813" s="76"/>
      <c r="D813" s="76"/>
      <c r="E813" s="76"/>
      <c r="F813" s="95"/>
      <c r="G813" s="95"/>
      <c r="H813" s="95"/>
      <c r="I813" s="95"/>
      <c r="J813" s="104"/>
      <c r="K813" s="99"/>
      <c r="L813" s="99"/>
      <c r="M813" s="76"/>
      <c r="N813" s="76"/>
      <c r="O813" s="76"/>
      <c r="P813" s="76"/>
      <c r="Q813" s="76"/>
      <c r="R813" s="76"/>
      <c r="S813" s="104"/>
      <c r="T813" s="104"/>
      <c r="U813" s="106"/>
      <c r="V813" s="100"/>
      <c r="W813" s="76"/>
    </row>
    <row r="814" spans="1:23">
      <c r="A814" s="93"/>
      <c r="B814" s="95"/>
      <c r="C814" s="76"/>
      <c r="D814" s="76"/>
      <c r="E814" s="76"/>
      <c r="F814" s="95"/>
      <c r="G814" s="95"/>
      <c r="H814" s="95"/>
      <c r="I814" s="95"/>
      <c r="J814" s="104"/>
      <c r="K814" s="99"/>
      <c r="L814" s="99"/>
      <c r="M814" s="76"/>
      <c r="N814" s="76"/>
      <c r="O814" s="76"/>
      <c r="P814" s="76"/>
      <c r="Q814" s="76"/>
      <c r="R814" s="76"/>
      <c r="S814" s="104"/>
      <c r="T814" s="104"/>
      <c r="U814" s="106"/>
      <c r="V814" s="100"/>
      <c r="W814" s="76"/>
    </row>
    <row r="815" spans="1:23">
      <c r="A815" s="93"/>
      <c r="B815" s="95"/>
      <c r="C815" s="76"/>
      <c r="D815" s="76"/>
      <c r="E815" s="76"/>
      <c r="F815" s="95"/>
      <c r="G815" s="95"/>
      <c r="H815" s="95"/>
      <c r="I815" s="95"/>
      <c r="J815" s="104"/>
      <c r="K815" s="99"/>
      <c r="L815" s="99"/>
      <c r="M815" s="76"/>
      <c r="N815" s="76"/>
      <c r="O815" s="76"/>
      <c r="P815" s="76"/>
      <c r="Q815" s="76"/>
      <c r="R815" s="76"/>
      <c r="S815" s="104"/>
      <c r="T815" s="104"/>
      <c r="U815" s="106"/>
      <c r="V815" s="100"/>
      <c r="W815" s="76"/>
    </row>
    <row r="816" spans="1:23">
      <c r="A816" s="93"/>
      <c r="B816" s="95"/>
      <c r="C816" s="76"/>
      <c r="D816" s="76"/>
      <c r="E816" s="76"/>
      <c r="F816" s="95"/>
      <c r="G816" s="95"/>
      <c r="H816" s="95"/>
      <c r="I816" s="95"/>
      <c r="J816" s="104"/>
      <c r="K816" s="99"/>
      <c r="L816" s="99"/>
      <c r="M816" s="76"/>
      <c r="N816" s="76"/>
      <c r="O816" s="76"/>
      <c r="P816" s="76"/>
      <c r="Q816" s="76"/>
      <c r="R816" s="76"/>
      <c r="S816" s="104"/>
      <c r="T816" s="104"/>
      <c r="U816" s="106"/>
      <c r="V816" s="100"/>
      <c r="W816" s="76"/>
    </row>
    <row r="817" spans="1:23">
      <c r="A817" s="93"/>
      <c r="B817" s="95"/>
      <c r="C817" s="76"/>
      <c r="D817" s="76"/>
      <c r="E817" s="76"/>
      <c r="F817" s="95"/>
      <c r="G817" s="95"/>
      <c r="H817" s="95"/>
      <c r="I817" s="95"/>
      <c r="J817" s="104"/>
      <c r="K817" s="99"/>
      <c r="L817" s="99"/>
      <c r="M817" s="76"/>
      <c r="N817" s="76"/>
      <c r="O817" s="76"/>
      <c r="P817" s="76"/>
      <c r="Q817" s="76"/>
      <c r="R817" s="76"/>
      <c r="S817" s="104"/>
      <c r="T817" s="104"/>
      <c r="U817" s="106"/>
      <c r="V817" s="100"/>
      <c r="W817" s="76"/>
    </row>
    <row r="818" spans="1:23">
      <c r="A818" s="93"/>
      <c r="B818" s="95"/>
      <c r="C818" s="76"/>
      <c r="D818" s="76"/>
      <c r="E818" s="76"/>
      <c r="F818" s="95"/>
      <c r="G818" s="95"/>
      <c r="H818" s="95"/>
      <c r="I818" s="95"/>
      <c r="J818" s="104"/>
      <c r="K818" s="99"/>
      <c r="L818" s="99"/>
      <c r="M818" s="76"/>
      <c r="N818" s="76"/>
      <c r="O818" s="76"/>
      <c r="P818" s="76"/>
      <c r="Q818" s="76"/>
      <c r="R818" s="76"/>
      <c r="S818" s="104"/>
      <c r="T818" s="104"/>
      <c r="U818" s="106"/>
      <c r="V818" s="100"/>
      <c r="W818" s="76"/>
    </row>
    <row r="819" spans="1:23">
      <c r="A819" s="93"/>
      <c r="B819" s="95"/>
      <c r="C819" s="76"/>
      <c r="D819" s="76"/>
      <c r="E819" s="76"/>
      <c r="F819" s="95"/>
      <c r="G819" s="95"/>
      <c r="H819" s="95"/>
      <c r="I819" s="95"/>
      <c r="J819" s="104"/>
      <c r="K819" s="99"/>
      <c r="L819" s="99"/>
      <c r="M819" s="76"/>
      <c r="N819" s="76"/>
      <c r="O819" s="76"/>
      <c r="P819" s="76"/>
      <c r="Q819" s="76"/>
      <c r="R819" s="76"/>
      <c r="S819" s="104"/>
      <c r="T819" s="104"/>
      <c r="U819" s="106"/>
      <c r="V819" s="100"/>
      <c r="W819" s="76"/>
    </row>
    <row r="820" spans="1:23">
      <c r="A820" s="93"/>
      <c r="B820" s="95"/>
      <c r="C820" s="76"/>
      <c r="D820" s="76"/>
      <c r="E820" s="76"/>
      <c r="F820" s="95"/>
      <c r="G820" s="95"/>
      <c r="H820" s="95"/>
      <c r="I820" s="95"/>
      <c r="J820" s="104"/>
      <c r="K820" s="99"/>
      <c r="L820" s="99"/>
      <c r="M820" s="76"/>
      <c r="N820" s="76"/>
      <c r="O820" s="76"/>
      <c r="P820" s="76"/>
      <c r="Q820" s="76"/>
      <c r="R820" s="76"/>
      <c r="S820" s="104"/>
      <c r="T820" s="104"/>
      <c r="U820" s="106"/>
      <c r="V820" s="100"/>
      <c r="W820" s="76"/>
    </row>
    <row r="821" spans="1:23">
      <c r="A821" s="93"/>
      <c r="B821" s="95"/>
      <c r="C821" s="76"/>
      <c r="D821" s="76"/>
      <c r="E821" s="76"/>
      <c r="F821" s="95"/>
      <c r="G821" s="95"/>
      <c r="H821" s="95"/>
      <c r="I821" s="95"/>
      <c r="J821" s="104"/>
      <c r="K821" s="99"/>
      <c r="L821" s="99"/>
      <c r="M821" s="76"/>
      <c r="N821" s="76"/>
      <c r="O821" s="76"/>
      <c r="P821" s="76"/>
      <c r="Q821" s="76"/>
      <c r="R821" s="76"/>
      <c r="S821" s="104"/>
      <c r="T821" s="104"/>
      <c r="U821" s="106"/>
      <c r="V821" s="100"/>
      <c r="W821" s="76"/>
    </row>
    <row r="822" spans="1:23">
      <c r="A822" s="93"/>
      <c r="B822" s="95"/>
      <c r="C822" s="76"/>
      <c r="D822" s="76"/>
      <c r="E822" s="76"/>
      <c r="F822" s="95"/>
      <c r="G822" s="95"/>
      <c r="H822" s="95"/>
      <c r="I822" s="95"/>
      <c r="J822" s="104"/>
      <c r="K822" s="99"/>
      <c r="L822" s="99"/>
      <c r="M822" s="76"/>
      <c r="N822" s="76"/>
      <c r="O822" s="76"/>
      <c r="P822" s="76"/>
      <c r="Q822" s="76"/>
      <c r="R822" s="76"/>
      <c r="S822" s="104"/>
      <c r="T822" s="104"/>
      <c r="U822" s="106"/>
      <c r="V822" s="100"/>
      <c r="W822" s="76"/>
    </row>
    <row r="823" spans="1:23">
      <c r="A823" s="93"/>
      <c r="B823" s="95"/>
      <c r="C823" s="76"/>
      <c r="D823" s="76"/>
      <c r="E823" s="76"/>
      <c r="F823" s="95"/>
      <c r="G823" s="95"/>
      <c r="H823" s="95"/>
      <c r="I823" s="95"/>
      <c r="J823" s="104"/>
      <c r="K823" s="99"/>
      <c r="L823" s="99"/>
      <c r="M823" s="76"/>
      <c r="N823" s="76"/>
      <c r="O823" s="76"/>
      <c r="P823" s="76"/>
      <c r="Q823" s="76"/>
      <c r="R823" s="76"/>
      <c r="S823" s="104"/>
      <c r="T823" s="104"/>
      <c r="U823" s="106"/>
      <c r="V823" s="100"/>
      <c r="W823" s="76"/>
    </row>
    <row r="824" spans="1:23">
      <c r="A824" s="93"/>
      <c r="B824" s="95"/>
      <c r="C824" s="76"/>
      <c r="D824" s="76"/>
      <c r="E824" s="76"/>
      <c r="F824" s="95"/>
      <c r="G824" s="95"/>
      <c r="H824" s="95"/>
      <c r="I824" s="95"/>
      <c r="J824" s="104"/>
      <c r="K824" s="99"/>
      <c r="L824" s="99"/>
      <c r="M824" s="76"/>
      <c r="N824" s="76"/>
      <c r="O824" s="76"/>
      <c r="P824" s="76"/>
      <c r="Q824" s="76"/>
      <c r="R824" s="76"/>
      <c r="S824" s="104"/>
      <c r="T824" s="104"/>
      <c r="U824" s="106"/>
      <c r="V824" s="100"/>
      <c r="W824" s="76"/>
    </row>
    <row r="825" spans="1:23">
      <c r="A825" s="93"/>
      <c r="B825" s="95"/>
      <c r="C825" s="76"/>
      <c r="D825" s="76"/>
      <c r="E825" s="76"/>
      <c r="F825" s="95"/>
      <c r="G825" s="95"/>
      <c r="H825" s="95"/>
      <c r="I825" s="95"/>
      <c r="J825" s="104"/>
      <c r="K825" s="99"/>
      <c r="L825" s="99"/>
      <c r="M825" s="76"/>
      <c r="N825" s="76"/>
      <c r="O825" s="76"/>
      <c r="P825" s="76"/>
      <c r="Q825" s="76"/>
      <c r="R825" s="76"/>
      <c r="S825" s="104"/>
      <c r="T825" s="104"/>
      <c r="U825" s="106"/>
      <c r="V825" s="100"/>
      <c r="W825" s="76"/>
    </row>
    <row r="826" spans="1:23">
      <c r="A826" s="93"/>
      <c r="B826" s="95"/>
      <c r="C826" s="76"/>
      <c r="D826" s="76"/>
      <c r="E826" s="76"/>
      <c r="F826" s="95"/>
      <c r="G826" s="95"/>
      <c r="H826" s="95"/>
      <c r="I826" s="95"/>
      <c r="J826" s="104"/>
      <c r="K826" s="99"/>
      <c r="L826" s="99"/>
      <c r="M826" s="76"/>
      <c r="N826" s="76"/>
      <c r="O826" s="76"/>
      <c r="P826" s="76"/>
      <c r="Q826" s="76"/>
      <c r="R826" s="76"/>
      <c r="S826" s="104"/>
      <c r="T826" s="104"/>
      <c r="U826" s="106"/>
      <c r="V826" s="100"/>
      <c r="W826" s="76"/>
    </row>
    <row r="827" spans="1:23">
      <c r="A827" s="93"/>
      <c r="B827" s="95"/>
      <c r="C827" s="76"/>
      <c r="D827" s="76"/>
      <c r="E827" s="76"/>
      <c r="F827" s="95"/>
      <c r="G827" s="95"/>
      <c r="H827" s="95"/>
      <c r="I827" s="95"/>
      <c r="J827" s="104"/>
      <c r="K827" s="99"/>
      <c r="L827" s="99"/>
      <c r="M827" s="76"/>
      <c r="N827" s="76"/>
      <c r="O827" s="76"/>
      <c r="P827" s="76"/>
      <c r="Q827" s="76"/>
      <c r="R827" s="76"/>
      <c r="S827" s="104"/>
      <c r="T827" s="104"/>
      <c r="U827" s="106"/>
      <c r="V827" s="100"/>
      <c r="W827" s="76"/>
    </row>
    <row r="828" spans="1:23">
      <c r="A828" s="93"/>
      <c r="B828" s="95"/>
      <c r="C828" s="76"/>
      <c r="D828" s="76"/>
      <c r="E828" s="76"/>
      <c r="F828" s="95"/>
      <c r="G828" s="95"/>
      <c r="H828" s="95"/>
      <c r="I828" s="95"/>
      <c r="J828" s="104"/>
      <c r="K828" s="99"/>
      <c r="L828" s="99"/>
      <c r="M828" s="76"/>
      <c r="N828" s="76"/>
      <c r="O828" s="76"/>
      <c r="P828" s="76"/>
      <c r="Q828" s="76"/>
      <c r="R828" s="76"/>
      <c r="S828" s="104"/>
      <c r="T828" s="104"/>
      <c r="U828" s="106"/>
      <c r="V828" s="100"/>
      <c r="W828" s="76"/>
    </row>
    <row r="829" spans="1:23">
      <c r="A829" s="93"/>
      <c r="B829" s="95"/>
      <c r="C829" s="76"/>
      <c r="D829" s="76"/>
      <c r="E829" s="76"/>
      <c r="F829" s="95"/>
      <c r="G829" s="95"/>
      <c r="H829" s="95"/>
      <c r="I829" s="95"/>
      <c r="J829" s="104"/>
      <c r="K829" s="99"/>
      <c r="L829" s="99"/>
      <c r="M829" s="76"/>
      <c r="N829" s="76"/>
      <c r="O829" s="76"/>
      <c r="P829" s="76"/>
      <c r="Q829" s="76"/>
      <c r="R829" s="76"/>
      <c r="S829" s="104"/>
      <c r="T829" s="104"/>
      <c r="U829" s="106"/>
      <c r="V829" s="100"/>
      <c r="W829" s="76"/>
    </row>
    <row r="830" spans="1:23">
      <c r="A830" s="93"/>
      <c r="B830" s="95"/>
      <c r="C830" s="76"/>
      <c r="D830" s="76"/>
      <c r="E830" s="76"/>
      <c r="F830" s="95"/>
      <c r="G830" s="95"/>
      <c r="H830" s="95"/>
      <c r="I830" s="95"/>
      <c r="J830" s="104"/>
      <c r="K830" s="99"/>
      <c r="L830" s="99"/>
      <c r="M830" s="76"/>
      <c r="N830" s="76"/>
      <c r="O830" s="76"/>
      <c r="P830" s="76"/>
      <c r="Q830" s="76"/>
      <c r="R830" s="76"/>
      <c r="S830" s="104"/>
      <c r="T830" s="104"/>
      <c r="U830" s="106"/>
      <c r="V830" s="100"/>
      <c r="W830" s="76"/>
    </row>
    <row r="831" spans="1:23">
      <c r="A831" s="93"/>
      <c r="B831" s="95"/>
      <c r="C831" s="76"/>
      <c r="D831" s="76"/>
      <c r="E831" s="76"/>
      <c r="F831" s="95"/>
      <c r="G831" s="95"/>
      <c r="H831" s="95"/>
      <c r="I831" s="95"/>
      <c r="J831" s="104"/>
      <c r="K831" s="99"/>
      <c r="L831" s="99"/>
      <c r="M831" s="76"/>
      <c r="N831" s="76"/>
      <c r="O831" s="76"/>
      <c r="P831" s="76"/>
      <c r="Q831" s="76"/>
      <c r="R831" s="76"/>
      <c r="S831" s="104"/>
      <c r="T831" s="104"/>
      <c r="U831" s="106"/>
      <c r="V831" s="100"/>
      <c r="W831" s="76"/>
    </row>
    <row r="832" spans="1:23">
      <c r="A832" s="93"/>
      <c r="B832" s="95"/>
      <c r="C832" s="76"/>
      <c r="D832" s="76"/>
      <c r="E832" s="76"/>
      <c r="F832" s="95"/>
      <c r="G832" s="95"/>
      <c r="H832" s="95"/>
      <c r="I832" s="95"/>
      <c r="J832" s="104"/>
      <c r="K832" s="99"/>
      <c r="L832" s="99"/>
      <c r="M832" s="76"/>
      <c r="N832" s="76"/>
      <c r="O832" s="76"/>
      <c r="P832" s="76"/>
      <c r="Q832" s="76"/>
      <c r="R832" s="76"/>
      <c r="S832" s="104"/>
      <c r="T832" s="104"/>
      <c r="U832" s="106"/>
      <c r="V832" s="100"/>
      <c r="W832" s="76"/>
    </row>
    <row r="833" spans="1:23">
      <c r="A833" s="93"/>
      <c r="B833" s="95"/>
      <c r="C833" s="76"/>
      <c r="D833" s="76"/>
      <c r="E833" s="76"/>
      <c r="F833" s="95"/>
      <c r="G833" s="95"/>
      <c r="H833" s="95"/>
      <c r="I833" s="95"/>
      <c r="J833" s="104"/>
      <c r="K833" s="99"/>
      <c r="L833" s="99"/>
      <c r="M833" s="76"/>
      <c r="N833" s="76"/>
      <c r="O833" s="76"/>
      <c r="P833" s="76"/>
      <c r="Q833" s="76"/>
      <c r="R833" s="76"/>
      <c r="S833" s="104"/>
      <c r="T833" s="104"/>
      <c r="U833" s="106"/>
      <c r="V833" s="100"/>
      <c r="W833" s="76"/>
    </row>
    <row r="834" spans="1:23">
      <c r="A834" s="93"/>
      <c r="B834" s="95"/>
      <c r="C834" s="76"/>
      <c r="D834" s="76"/>
      <c r="E834" s="76"/>
      <c r="F834" s="95"/>
      <c r="G834" s="95"/>
      <c r="H834" s="95"/>
      <c r="I834" s="95"/>
      <c r="J834" s="104"/>
      <c r="K834" s="99"/>
      <c r="L834" s="99"/>
      <c r="M834" s="76"/>
      <c r="N834" s="76"/>
      <c r="O834" s="76"/>
      <c r="P834" s="76"/>
      <c r="Q834" s="76"/>
      <c r="R834" s="76"/>
      <c r="S834" s="104"/>
      <c r="T834" s="104"/>
      <c r="U834" s="106"/>
      <c r="V834" s="100"/>
      <c r="W834" s="76"/>
    </row>
    <row r="835" spans="1:23">
      <c r="A835" s="93"/>
      <c r="B835" s="95"/>
      <c r="C835" s="76"/>
      <c r="D835" s="76"/>
      <c r="E835" s="76"/>
      <c r="F835" s="95"/>
      <c r="G835" s="95"/>
      <c r="H835" s="95"/>
      <c r="I835" s="95"/>
      <c r="J835" s="104"/>
      <c r="K835" s="99"/>
      <c r="L835" s="99"/>
      <c r="M835" s="76"/>
      <c r="N835" s="76"/>
      <c r="O835" s="76"/>
      <c r="P835" s="76"/>
      <c r="Q835" s="76"/>
      <c r="R835" s="76"/>
      <c r="S835" s="104"/>
      <c r="T835" s="104"/>
      <c r="U835" s="106"/>
      <c r="V835" s="100"/>
      <c r="W835" s="76"/>
    </row>
    <row r="836" spans="1:23">
      <c r="A836" s="93"/>
      <c r="B836" s="95"/>
      <c r="C836" s="76"/>
      <c r="D836" s="76"/>
      <c r="E836" s="76"/>
      <c r="F836" s="95"/>
      <c r="G836" s="95"/>
      <c r="H836" s="95"/>
      <c r="I836" s="95"/>
      <c r="J836" s="104"/>
      <c r="K836" s="99"/>
      <c r="L836" s="99"/>
      <c r="M836" s="76"/>
      <c r="N836" s="76"/>
      <c r="O836" s="76"/>
      <c r="P836" s="76"/>
      <c r="Q836" s="76"/>
      <c r="R836" s="76"/>
      <c r="S836" s="104"/>
      <c r="T836" s="104"/>
      <c r="U836" s="106"/>
      <c r="V836" s="100"/>
      <c r="W836" s="76"/>
    </row>
    <row r="837" spans="1:23">
      <c r="A837" s="93"/>
      <c r="B837" s="95"/>
      <c r="C837" s="76"/>
      <c r="D837" s="76"/>
      <c r="E837" s="76"/>
      <c r="F837" s="95"/>
      <c r="G837" s="95"/>
      <c r="H837" s="95"/>
      <c r="I837" s="95"/>
      <c r="J837" s="104"/>
      <c r="K837" s="99"/>
      <c r="L837" s="99"/>
      <c r="M837" s="76"/>
      <c r="N837" s="76"/>
      <c r="O837" s="76"/>
      <c r="P837" s="76"/>
      <c r="Q837" s="76"/>
      <c r="R837" s="76"/>
      <c r="S837" s="104"/>
      <c r="T837" s="104"/>
      <c r="U837" s="106"/>
      <c r="V837" s="100"/>
      <c r="W837" s="76"/>
    </row>
    <row r="838" spans="1:23">
      <c r="A838" s="93"/>
      <c r="B838" s="95"/>
      <c r="C838" s="76"/>
      <c r="D838" s="76"/>
      <c r="E838" s="76"/>
      <c r="F838" s="95"/>
      <c r="G838" s="95"/>
      <c r="H838" s="95"/>
      <c r="I838" s="95"/>
      <c r="J838" s="104"/>
      <c r="K838" s="99"/>
      <c r="L838" s="99"/>
      <c r="M838" s="76"/>
      <c r="N838" s="76"/>
      <c r="O838" s="76"/>
      <c r="P838" s="76"/>
      <c r="Q838" s="76"/>
      <c r="R838" s="76"/>
      <c r="S838" s="104"/>
      <c r="T838" s="104"/>
      <c r="U838" s="106"/>
      <c r="V838" s="100"/>
      <c r="W838" s="76"/>
    </row>
    <row r="839" spans="1:23">
      <c r="A839" s="93"/>
      <c r="B839" s="95"/>
      <c r="C839" s="76"/>
      <c r="D839" s="76"/>
      <c r="E839" s="76"/>
      <c r="F839" s="95"/>
      <c r="G839" s="95"/>
      <c r="H839" s="95"/>
      <c r="I839" s="95"/>
      <c r="J839" s="104"/>
      <c r="K839" s="99"/>
      <c r="L839" s="99"/>
      <c r="M839" s="76"/>
      <c r="N839" s="76"/>
      <c r="O839" s="76"/>
      <c r="P839" s="76"/>
      <c r="Q839" s="76"/>
      <c r="R839" s="76"/>
      <c r="S839" s="104"/>
      <c r="T839" s="104"/>
      <c r="U839" s="106"/>
      <c r="V839" s="100"/>
      <c r="W839" s="76"/>
    </row>
    <row r="840" spans="1:23">
      <c r="A840" s="93"/>
      <c r="B840" s="95"/>
      <c r="C840" s="76"/>
      <c r="D840" s="76"/>
      <c r="E840" s="76"/>
      <c r="F840" s="95"/>
      <c r="G840" s="95"/>
      <c r="H840" s="95"/>
      <c r="I840" s="95"/>
      <c r="J840" s="104"/>
      <c r="K840" s="99"/>
      <c r="L840" s="99"/>
      <c r="M840" s="76"/>
      <c r="N840" s="76"/>
      <c r="O840" s="76"/>
      <c r="P840" s="76"/>
      <c r="Q840" s="76"/>
      <c r="R840" s="76"/>
      <c r="S840" s="104"/>
      <c r="T840" s="104"/>
      <c r="U840" s="106"/>
      <c r="V840" s="100"/>
      <c r="W840" s="76"/>
    </row>
    <row r="841" spans="1:23">
      <c r="A841" s="93"/>
      <c r="B841" s="95"/>
      <c r="C841" s="76"/>
      <c r="D841" s="76"/>
      <c r="E841" s="76"/>
      <c r="F841" s="95"/>
      <c r="G841" s="95"/>
      <c r="H841" s="95"/>
      <c r="I841" s="95"/>
      <c r="J841" s="104"/>
      <c r="K841" s="99"/>
      <c r="L841" s="99"/>
      <c r="M841" s="76"/>
      <c r="N841" s="76"/>
      <c r="O841" s="76"/>
      <c r="P841" s="76"/>
      <c r="Q841" s="76"/>
      <c r="R841" s="76"/>
      <c r="S841" s="104"/>
      <c r="T841" s="104"/>
      <c r="U841" s="106"/>
      <c r="V841" s="100"/>
      <c r="W841" s="76"/>
    </row>
    <row r="842" spans="1:23">
      <c r="A842" s="93"/>
      <c r="B842" s="95"/>
      <c r="C842" s="76"/>
      <c r="D842" s="76"/>
      <c r="E842" s="76"/>
      <c r="F842" s="95"/>
      <c r="G842" s="95"/>
      <c r="H842" s="95"/>
      <c r="I842" s="95"/>
      <c r="J842" s="104"/>
      <c r="K842" s="99"/>
      <c r="L842" s="99"/>
      <c r="M842" s="76"/>
      <c r="N842" s="76"/>
      <c r="O842" s="76"/>
      <c r="P842" s="76"/>
      <c r="Q842" s="76"/>
      <c r="R842" s="76"/>
      <c r="S842" s="104"/>
      <c r="T842" s="104"/>
      <c r="U842" s="106"/>
      <c r="V842" s="100"/>
      <c r="W842" s="76"/>
    </row>
    <row r="843" spans="1:23">
      <c r="A843" s="93"/>
      <c r="B843" s="95"/>
      <c r="C843" s="76"/>
      <c r="D843" s="76"/>
      <c r="E843" s="76"/>
      <c r="F843" s="95"/>
      <c r="G843" s="95"/>
      <c r="H843" s="95"/>
      <c r="I843" s="95"/>
      <c r="J843" s="104"/>
      <c r="K843" s="99"/>
      <c r="L843" s="99"/>
      <c r="M843" s="76"/>
      <c r="N843" s="76"/>
      <c r="O843" s="76"/>
      <c r="P843" s="76"/>
      <c r="Q843" s="76"/>
      <c r="R843" s="76"/>
      <c r="S843" s="104"/>
      <c r="T843" s="104"/>
      <c r="U843" s="106"/>
      <c r="V843" s="100"/>
      <c r="W843" s="76"/>
    </row>
    <row r="844" spans="1:23">
      <c r="A844" s="93"/>
      <c r="B844" s="95"/>
      <c r="C844" s="76"/>
      <c r="D844" s="76"/>
      <c r="E844" s="76"/>
      <c r="F844" s="95"/>
      <c r="G844" s="95"/>
      <c r="H844" s="95"/>
      <c r="I844" s="95"/>
      <c r="J844" s="104"/>
      <c r="K844" s="99"/>
      <c r="L844" s="99"/>
      <c r="M844" s="76"/>
      <c r="N844" s="76"/>
      <c r="O844" s="76"/>
      <c r="P844" s="76"/>
      <c r="Q844" s="76"/>
      <c r="R844" s="76"/>
      <c r="S844" s="104"/>
      <c r="T844" s="104"/>
      <c r="U844" s="106"/>
      <c r="V844" s="100"/>
      <c r="W844" s="76"/>
    </row>
    <row r="845" spans="1:23">
      <c r="A845" s="93"/>
      <c r="B845" s="95"/>
      <c r="C845" s="76"/>
      <c r="D845" s="76"/>
      <c r="E845" s="76"/>
      <c r="F845" s="95"/>
      <c r="G845" s="95"/>
      <c r="H845" s="95"/>
      <c r="I845" s="95"/>
      <c r="J845" s="104"/>
      <c r="K845" s="99"/>
      <c r="L845" s="99"/>
      <c r="M845" s="76"/>
      <c r="N845" s="76"/>
      <c r="O845" s="76"/>
      <c r="P845" s="76"/>
      <c r="Q845" s="76"/>
      <c r="R845" s="76"/>
      <c r="S845" s="104"/>
      <c r="T845" s="104"/>
      <c r="U845" s="106"/>
      <c r="V845" s="100"/>
      <c r="W845" s="76"/>
    </row>
    <row r="846" spans="1:23">
      <c r="A846" s="93"/>
      <c r="B846" s="95"/>
      <c r="C846" s="76"/>
      <c r="D846" s="76"/>
      <c r="E846" s="76"/>
      <c r="F846" s="95"/>
      <c r="G846" s="95"/>
      <c r="H846" s="95"/>
      <c r="I846" s="95"/>
      <c r="J846" s="104"/>
      <c r="K846" s="99"/>
      <c r="L846" s="99"/>
      <c r="M846" s="76"/>
      <c r="N846" s="76"/>
      <c r="O846" s="76"/>
      <c r="P846" s="76"/>
      <c r="Q846" s="76"/>
      <c r="R846" s="76"/>
      <c r="S846" s="104"/>
      <c r="T846" s="104"/>
      <c r="U846" s="106"/>
      <c r="V846" s="100"/>
      <c r="W846" s="76"/>
    </row>
    <row r="847" spans="1:23">
      <c r="A847" s="93"/>
      <c r="B847" s="95"/>
      <c r="C847" s="76"/>
      <c r="D847" s="76"/>
      <c r="E847" s="76"/>
      <c r="F847" s="95"/>
      <c r="G847" s="95"/>
      <c r="H847" s="95"/>
      <c r="I847" s="95"/>
      <c r="J847" s="104"/>
      <c r="K847" s="99"/>
      <c r="L847" s="99"/>
      <c r="M847" s="76"/>
      <c r="N847" s="76"/>
      <c r="O847" s="76"/>
      <c r="P847" s="76"/>
      <c r="Q847" s="76"/>
      <c r="R847" s="76"/>
      <c r="S847" s="104"/>
      <c r="T847" s="104"/>
      <c r="U847" s="106"/>
      <c r="V847" s="100"/>
      <c r="W847" s="76"/>
    </row>
    <row r="848" spans="1:23">
      <c r="A848" s="93"/>
      <c r="B848" s="95"/>
      <c r="C848" s="76"/>
      <c r="D848" s="76"/>
      <c r="E848" s="76"/>
      <c r="F848" s="95"/>
      <c r="G848" s="95"/>
      <c r="H848" s="95"/>
      <c r="I848" s="95"/>
      <c r="J848" s="104"/>
      <c r="K848" s="99"/>
      <c r="L848" s="99"/>
      <c r="M848" s="76"/>
      <c r="N848" s="76"/>
      <c r="O848" s="76"/>
      <c r="P848" s="76"/>
      <c r="Q848" s="76"/>
      <c r="R848" s="76"/>
      <c r="S848" s="104"/>
      <c r="T848" s="104"/>
      <c r="U848" s="106"/>
      <c r="V848" s="100"/>
      <c r="W848" s="76"/>
    </row>
    <row r="849" spans="1:23">
      <c r="A849" s="93"/>
      <c r="B849" s="95"/>
      <c r="C849" s="76"/>
      <c r="D849" s="76"/>
      <c r="E849" s="76"/>
      <c r="F849" s="95"/>
      <c r="G849" s="95"/>
      <c r="H849" s="95"/>
      <c r="I849" s="95"/>
      <c r="J849" s="104"/>
      <c r="K849" s="99"/>
      <c r="L849" s="99"/>
      <c r="M849" s="76"/>
      <c r="N849" s="76"/>
      <c r="O849" s="76"/>
      <c r="P849" s="76"/>
      <c r="Q849" s="76"/>
      <c r="R849" s="76"/>
      <c r="S849" s="104"/>
      <c r="T849" s="104"/>
      <c r="U849" s="106"/>
      <c r="V849" s="100"/>
      <c r="W849" s="76"/>
    </row>
    <row r="850" spans="1:23">
      <c r="A850" s="93"/>
      <c r="B850" s="95"/>
      <c r="C850" s="76"/>
      <c r="D850" s="76"/>
      <c r="E850" s="76"/>
      <c r="F850" s="95"/>
      <c r="G850" s="95"/>
      <c r="H850" s="95"/>
      <c r="I850" s="95"/>
      <c r="J850" s="104"/>
      <c r="K850" s="99"/>
      <c r="L850" s="99"/>
      <c r="M850" s="76"/>
      <c r="N850" s="76"/>
      <c r="O850" s="76"/>
      <c r="P850" s="76"/>
      <c r="Q850" s="76"/>
      <c r="R850" s="76"/>
      <c r="S850" s="104"/>
      <c r="T850" s="104"/>
      <c r="U850" s="106"/>
      <c r="V850" s="100"/>
      <c r="W850" s="76"/>
    </row>
    <row r="851" spans="1:23">
      <c r="A851" s="93"/>
      <c r="B851" s="95"/>
      <c r="C851" s="76"/>
      <c r="D851" s="76"/>
      <c r="E851" s="76"/>
      <c r="F851" s="95"/>
      <c r="G851" s="95"/>
      <c r="H851" s="95"/>
      <c r="I851" s="95"/>
      <c r="J851" s="104"/>
      <c r="K851" s="99"/>
      <c r="L851" s="99"/>
      <c r="M851" s="76"/>
      <c r="N851" s="76"/>
      <c r="O851" s="76"/>
      <c r="P851" s="76"/>
      <c r="Q851" s="76"/>
      <c r="R851" s="76"/>
      <c r="S851" s="104"/>
      <c r="T851" s="104"/>
      <c r="U851" s="106"/>
      <c r="V851" s="100"/>
      <c r="W851" s="76"/>
    </row>
    <row r="852" spans="1:23">
      <c r="A852" s="93"/>
      <c r="B852" s="95"/>
      <c r="C852" s="76"/>
      <c r="D852" s="76"/>
      <c r="E852" s="76"/>
      <c r="F852" s="95"/>
      <c r="G852" s="95"/>
      <c r="H852" s="95"/>
      <c r="I852" s="95"/>
      <c r="J852" s="104"/>
      <c r="K852" s="99"/>
      <c r="L852" s="99"/>
      <c r="M852" s="76"/>
      <c r="N852" s="76"/>
      <c r="O852" s="76"/>
      <c r="P852" s="76"/>
      <c r="Q852" s="76"/>
      <c r="R852" s="76"/>
      <c r="S852" s="104"/>
      <c r="T852" s="104"/>
      <c r="U852" s="106"/>
      <c r="V852" s="100"/>
      <c r="W852" s="76"/>
    </row>
    <row r="853" spans="1:23">
      <c r="A853" s="93"/>
      <c r="B853" s="95"/>
      <c r="C853" s="76"/>
      <c r="D853" s="76"/>
      <c r="E853" s="76"/>
      <c r="F853" s="95"/>
      <c r="G853" s="95"/>
      <c r="H853" s="95"/>
      <c r="I853" s="95"/>
      <c r="J853" s="104"/>
      <c r="K853" s="99"/>
      <c r="L853" s="99"/>
      <c r="M853" s="76"/>
      <c r="N853" s="76"/>
      <c r="O853" s="76"/>
      <c r="P853" s="76"/>
      <c r="Q853" s="76"/>
      <c r="R853" s="76"/>
      <c r="S853" s="104"/>
      <c r="T853" s="104"/>
      <c r="U853" s="106"/>
      <c r="V853" s="100"/>
      <c r="W853" s="76"/>
    </row>
    <row r="854" spans="1:23">
      <c r="A854" s="93"/>
      <c r="B854" s="95"/>
      <c r="C854" s="76"/>
      <c r="D854" s="76"/>
      <c r="E854" s="76"/>
      <c r="F854" s="95"/>
      <c r="G854" s="95"/>
      <c r="H854" s="95"/>
      <c r="I854" s="95"/>
      <c r="J854" s="104"/>
      <c r="K854" s="99"/>
      <c r="L854" s="99"/>
      <c r="M854" s="76"/>
      <c r="N854" s="76"/>
      <c r="O854" s="76"/>
      <c r="P854" s="76"/>
      <c r="Q854" s="76"/>
      <c r="R854" s="76"/>
      <c r="S854" s="104"/>
      <c r="T854" s="104"/>
      <c r="U854" s="106"/>
      <c r="V854" s="100"/>
      <c r="W854" s="76"/>
    </row>
    <row r="855" spans="1:23">
      <c r="A855" s="93"/>
      <c r="B855" s="95"/>
      <c r="C855" s="76"/>
      <c r="D855" s="76"/>
      <c r="E855" s="76"/>
      <c r="F855" s="95"/>
      <c r="G855" s="95"/>
      <c r="H855" s="95"/>
      <c r="I855" s="95"/>
      <c r="J855" s="104"/>
      <c r="K855" s="99"/>
      <c r="L855" s="99"/>
      <c r="M855" s="76"/>
      <c r="N855" s="76"/>
      <c r="O855" s="76"/>
      <c r="P855" s="76"/>
      <c r="Q855" s="76"/>
      <c r="R855" s="76"/>
      <c r="S855" s="104"/>
      <c r="T855" s="104"/>
      <c r="U855" s="106"/>
      <c r="V855" s="100"/>
      <c r="W855" s="76"/>
    </row>
    <row r="856" spans="1:23">
      <c r="A856" s="93"/>
      <c r="B856" s="95"/>
      <c r="C856" s="76"/>
      <c r="D856" s="76"/>
      <c r="E856" s="76"/>
      <c r="F856" s="95"/>
      <c r="G856" s="95"/>
      <c r="H856" s="95"/>
      <c r="I856" s="95"/>
      <c r="J856" s="104"/>
      <c r="K856" s="99"/>
      <c r="L856" s="99"/>
      <c r="M856" s="76"/>
      <c r="N856" s="76"/>
      <c r="O856" s="76"/>
      <c r="P856" s="76"/>
      <c r="Q856" s="76"/>
      <c r="R856" s="76"/>
      <c r="S856" s="104"/>
      <c r="T856" s="104"/>
      <c r="U856" s="106"/>
      <c r="V856" s="100"/>
      <c r="W856" s="76"/>
    </row>
    <row r="857" spans="1:23">
      <c r="A857" s="93"/>
      <c r="B857" s="95"/>
      <c r="C857" s="76"/>
      <c r="D857" s="76"/>
      <c r="E857" s="76"/>
      <c r="F857" s="95"/>
      <c r="G857" s="95"/>
      <c r="H857" s="95"/>
      <c r="I857" s="95"/>
      <c r="J857" s="104"/>
      <c r="K857" s="99"/>
      <c r="L857" s="99"/>
      <c r="M857" s="76"/>
      <c r="N857" s="76"/>
      <c r="O857" s="76"/>
      <c r="P857" s="76"/>
      <c r="Q857" s="76"/>
      <c r="R857" s="76"/>
      <c r="S857" s="104"/>
      <c r="T857" s="104"/>
      <c r="U857" s="106"/>
      <c r="V857" s="100"/>
      <c r="W857" s="76"/>
    </row>
    <row r="858" spans="1:23">
      <c r="A858" s="93"/>
      <c r="B858" s="95"/>
      <c r="C858" s="76"/>
      <c r="D858" s="76"/>
      <c r="E858" s="76"/>
      <c r="F858" s="95"/>
      <c r="G858" s="95"/>
      <c r="H858" s="95"/>
      <c r="I858" s="95"/>
      <c r="J858" s="104"/>
      <c r="K858" s="99"/>
      <c r="L858" s="99"/>
      <c r="M858" s="76"/>
      <c r="N858" s="76"/>
      <c r="O858" s="76"/>
      <c r="P858" s="76"/>
      <c r="Q858" s="76"/>
      <c r="R858" s="76"/>
      <c r="S858" s="104"/>
      <c r="T858" s="104"/>
      <c r="U858" s="106"/>
      <c r="V858" s="100"/>
      <c r="W858" s="76"/>
    </row>
    <row r="859" spans="1:23">
      <c r="A859" s="93"/>
      <c r="B859" s="95"/>
      <c r="C859" s="76"/>
      <c r="D859" s="76"/>
      <c r="E859" s="76"/>
      <c r="F859" s="95"/>
      <c r="G859" s="95"/>
      <c r="H859" s="95"/>
      <c r="I859" s="95"/>
      <c r="J859" s="104"/>
      <c r="K859" s="99"/>
      <c r="L859" s="99"/>
      <c r="M859" s="76"/>
      <c r="N859" s="76"/>
      <c r="O859" s="76"/>
      <c r="P859" s="76"/>
      <c r="Q859" s="76"/>
      <c r="R859" s="76"/>
      <c r="S859" s="104"/>
      <c r="T859" s="104"/>
      <c r="U859" s="106"/>
      <c r="V859" s="100"/>
      <c r="W859" s="76"/>
    </row>
    <row r="860" spans="1:23">
      <c r="A860" s="93"/>
      <c r="B860" s="95"/>
      <c r="C860" s="76"/>
      <c r="D860" s="76"/>
      <c r="E860" s="76"/>
      <c r="F860" s="95"/>
      <c r="G860" s="95"/>
      <c r="H860" s="95"/>
      <c r="I860" s="95"/>
      <c r="J860" s="104"/>
      <c r="K860" s="99"/>
      <c r="L860" s="99"/>
      <c r="M860" s="76"/>
      <c r="N860" s="76"/>
      <c r="O860" s="76"/>
      <c r="P860" s="76"/>
      <c r="Q860" s="76"/>
      <c r="R860" s="76"/>
      <c r="S860" s="104"/>
      <c r="T860" s="104"/>
      <c r="U860" s="106"/>
      <c r="V860" s="100"/>
      <c r="W860" s="76"/>
    </row>
    <row r="861" spans="1:23">
      <c r="A861" s="93"/>
      <c r="B861" s="95"/>
      <c r="C861" s="76"/>
      <c r="D861" s="76"/>
      <c r="E861" s="76"/>
      <c r="F861" s="95"/>
      <c r="G861" s="95"/>
      <c r="H861" s="95"/>
      <c r="I861" s="95"/>
      <c r="J861" s="104"/>
      <c r="K861" s="99"/>
      <c r="L861" s="99"/>
      <c r="M861" s="76"/>
      <c r="N861" s="76"/>
      <c r="O861" s="76"/>
      <c r="P861" s="76"/>
      <c r="Q861" s="76"/>
      <c r="R861" s="76"/>
      <c r="S861" s="104"/>
      <c r="T861" s="104"/>
      <c r="U861" s="106"/>
      <c r="V861" s="100"/>
      <c r="W861" s="76"/>
    </row>
    <row r="862" spans="1:23">
      <c r="A862" s="93"/>
      <c r="B862" s="95"/>
      <c r="C862" s="76"/>
      <c r="D862" s="76"/>
      <c r="E862" s="76"/>
      <c r="F862" s="95"/>
      <c r="G862" s="95"/>
      <c r="H862" s="95"/>
      <c r="I862" s="95"/>
      <c r="J862" s="104"/>
      <c r="K862" s="99"/>
      <c r="L862" s="99"/>
      <c r="M862" s="76"/>
      <c r="N862" s="76"/>
      <c r="O862" s="76"/>
      <c r="P862" s="76"/>
      <c r="Q862" s="76"/>
      <c r="R862" s="76"/>
      <c r="S862" s="104"/>
      <c r="T862" s="104"/>
      <c r="U862" s="106"/>
      <c r="V862" s="100"/>
      <c r="W862" s="76"/>
    </row>
    <row r="863" spans="1:23">
      <c r="A863" s="93"/>
      <c r="B863" s="95"/>
      <c r="C863" s="76"/>
      <c r="D863" s="76"/>
      <c r="E863" s="76"/>
      <c r="F863" s="95"/>
      <c r="G863" s="95"/>
      <c r="H863" s="95"/>
      <c r="I863" s="95"/>
      <c r="J863" s="104"/>
      <c r="K863" s="99"/>
      <c r="L863" s="99"/>
      <c r="M863" s="76"/>
      <c r="N863" s="76"/>
      <c r="O863" s="76"/>
      <c r="P863" s="76"/>
      <c r="Q863" s="76"/>
      <c r="R863" s="76"/>
      <c r="S863" s="104"/>
      <c r="T863" s="104"/>
      <c r="U863" s="106"/>
      <c r="V863" s="100"/>
      <c r="W863" s="76"/>
    </row>
    <row r="864" spans="1:23">
      <c r="A864" s="93"/>
      <c r="B864" s="95"/>
      <c r="C864" s="76"/>
      <c r="D864" s="76"/>
      <c r="E864" s="76"/>
      <c r="F864" s="95"/>
      <c r="G864" s="95"/>
      <c r="H864" s="95"/>
      <c r="I864" s="95"/>
      <c r="J864" s="104"/>
      <c r="K864" s="99"/>
      <c r="L864" s="99"/>
      <c r="M864" s="76"/>
      <c r="N864" s="76"/>
      <c r="O864" s="76"/>
      <c r="P864" s="76"/>
      <c r="Q864" s="76"/>
      <c r="R864" s="76"/>
      <c r="S864" s="104"/>
      <c r="T864" s="104"/>
      <c r="U864" s="106"/>
      <c r="V864" s="100"/>
      <c r="W864" s="76"/>
    </row>
    <row r="865" spans="1:23">
      <c r="A865" s="93"/>
      <c r="B865" s="95"/>
      <c r="C865" s="76"/>
      <c r="D865" s="76"/>
      <c r="E865" s="76"/>
      <c r="F865" s="95"/>
      <c r="G865" s="95"/>
      <c r="H865" s="95"/>
      <c r="I865" s="95"/>
      <c r="J865" s="104"/>
      <c r="K865" s="99"/>
      <c r="L865" s="99"/>
      <c r="M865" s="76"/>
      <c r="N865" s="76"/>
      <c r="O865" s="76"/>
      <c r="P865" s="76"/>
      <c r="Q865" s="76"/>
      <c r="R865" s="76"/>
      <c r="S865" s="104"/>
      <c r="T865" s="104"/>
      <c r="U865" s="106"/>
      <c r="V865" s="100"/>
      <c r="W865" s="76"/>
    </row>
    <row r="866" spans="1:23">
      <c r="A866" s="93"/>
      <c r="B866" s="95"/>
      <c r="C866" s="76"/>
      <c r="D866" s="76"/>
      <c r="E866" s="76"/>
      <c r="F866" s="95"/>
      <c r="G866" s="95"/>
      <c r="H866" s="95"/>
      <c r="I866" s="95"/>
      <c r="J866" s="104"/>
      <c r="K866" s="99"/>
      <c r="L866" s="99"/>
      <c r="M866" s="76"/>
      <c r="N866" s="76"/>
      <c r="O866" s="76"/>
      <c r="P866" s="76"/>
      <c r="Q866" s="76"/>
      <c r="R866" s="76"/>
      <c r="S866" s="104"/>
      <c r="T866" s="104"/>
      <c r="U866" s="106"/>
      <c r="V866" s="100"/>
      <c r="W866" s="76"/>
    </row>
    <row r="867" spans="1:23">
      <c r="A867" s="93"/>
      <c r="B867" s="95"/>
      <c r="C867" s="76"/>
      <c r="D867" s="76"/>
      <c r="E867" s="76"/>
      <c r="F867" s="95"/>
      <c r="G867" s="95"/>
      <c r="H867" s="95"/>
      <c r="I867" s="95"/>
      <c r="J867" s="104"/>
      <c r="K867" s="99"/>
      <c r="L867" s="99"/>
      <c r="M867" s="76"/>
      <c r="N867" s="76"/>
      <c r="O867" s="76"/>
      <c r="P867" s="76"/>
      <c r="Q867" s="76"/>
      <c r="R867" s="76"/>
      <c r="S867" s="104"/>
      <c r="T867" s="104"/>
      <c r="U867" s="106"/>
      <c r="V867" s="100"/>
      <c r="W867" s="76"/>
    </row>
    <row r="868" spans="1:23">
      <c r="A868" s="93"/>
      <c r="B868" s="95"/>
      <c r="C868" s="76"/>
      <c r="D868" s="76"/>
      <c r="E868" s="76"/>
      <c r="F868" s="95"/>
      <c r="G868" s="95"/>
      <c r="H868" s="95"/>
      <c r="I868" s="95"/>
      <c r="J868" s="104"/>
      <c r="K868" s="99"/>
      <c r="L868" s="99"/>
      <c r="M868" s="76"/>
      <c r="N868" s="76"/>
      <c r="O868" s="76"/>
      <c r="P868" s="76"/>
      <c r="Q868" s="76"/>
      <c r="R868" s="76"/>
      <c r="S868" s="104"/>
      <c r="T868" s="104"/>
      <c r="U868" s="106"/>
      <c r="V868" s="100"/>
      <c r="W868" s="76"/>
    </row>
    <row r="869" spans="1:23">
      <c r="A869" s="93"/>
      <c r="B869" s="95"/>
      <c r="C869" s="76"/>
      <c r="D869" s="76"/>
      <c r="E869" s="76"/>
      <c r="F869" s="95"/>
      <c r="G869" s="95"/>
      <c r="H869" s="95"/>
      <c r="I869" s="95"/>
      <c r="J869" s="104"/>
      <c r="K869" s="99"/>
      <c r="L869" s="99"/>
      <c r="M869" s="76"/>
      <c r="N869" s="76"/>
      <c r="O869" s="76"/>
      <c r="P869" s="76"/>
      <c r="Q869" s="76"/>
      <c r="R869" s="76"/>
      <c r="S869" s="104"/>
      <c r="T869" s="104"/>
      <c r="U869" s="106"/>
      <c r="V869" s="100"/>
      <c r="W869" s="76"/>
    </row>
    <row r="870" spans="1:23">
      <c r="A870" s="93"/>
      <c r="B870" s="95"/>
      <c r="C870" s="76"/>
      <c r="D870" s="76"/>
      <c r="E870" s="76"/>
      <c r="F870" s="95"/>
      <c r="G870" s="95"/>
      <c r="H870" s="95"/>
      <c r="I870" s="95"/>
      <c r="J870" s="104"/>
      <c r="K870" s="99"/>
      <c r="L870" s="99"/>
      <c r="M870" s="76"/>
      <c r="N870" s="76"/>
      <c r="O870" s="76"/>
      <c r="P870" s="76"/>
      <c r="Q870" s="76"/>
      <c r="R870" s="76"/>
      <c r="S870" s="104"/>
      <c r="T870" s="104"/>
      <c r="U870" s="106"/>
      <c r="V870" s="100"/>
      <c r="W870" s="76"/>
    </row>
    <row r="871" spans="1:23">
      <c r="A871" s="93"/>
      <c r="B871" s="95"/>
      <c r="C871" s="76"/>
      <c r="D871" s="76"/>
      <c r="E871" s="76"/>
      <c r="F871" s="95"/>
      <c r="G871" s="95"/>
      <c r="H871" s="95"/>
      <c r="I871" s="95"/>
      <c r="J871" s="104"/>
      <c r="K871" s="99"/>
      <c r="L871" s="99"/>
      <c r="M871" s="76"/>
      <c r="N871" s="76"/>
      <c r="O871" s="76"/>
      <c r="P871" s="76"/>
      <c r="Q871" s="76"/>
      <c r="R871" s="76"/>
      <c r="S871" s="104"/>
      <c r="T871" s="104"/>
      <c r="U871" s="106"/>
      <c r="V871" s="100"/>
      <c r="W871" s="76"/>
    </row>
    <row r="872" spans="1:23">
      <c r="A872" s="93"/>
      <c r="B872" s="95"/>
      <c r="C872" s="76"/>
      <c r="D872" s="76"/>
      <c r="E872" s="76"/>
      <c r="F872" s="95"/>
      <c r="G872" s="95"/>
      <c r="H872" s="95"/>
      <c r="I872" s="95"/>
      <c r="J872" s="104"/>
      <c r="K872" s="99"/>
      <c r="L872" s="99"/>
      <c r="M872" s="76"/>
      <c r="N872" s="76"/>
      <c r="O872" s="76"/>
      <c r="P872" s="76"/>
      <c r="Q872" s="76"/>
      <c r="R872" s="76"/>
      <c r="S872" s="104"/>
      <c r="T872" s="104"/>
      <c r="U872" s="106"/>
      <c r="V872" s="100"/>
      <c r="W872" s="76"/>
    </row>
    <row r="873" spans="1:23">
      <c r="A873" s="93"/>
      <c r="B873" s="95"/>
      <c r="C873" s="76"/>
      <c r="D873" s="76"/>
      <c r="E873" s="76"/>
      <c r="F873" s="95"/>
      <c r="G873" s="95"/>
      <c r="H873" s="95"/>
      <c r="I873" s="95"/>
      <c r="J873" s="104"/>
      <c r="K873" s="99"/>
      <c r="L873" s="99"/>
      <c r="M873" s="76"/>
      <c r="N873" s="76"/>
      <c r="O873" s="76"/>
      <c r="P873" s="76"/>
      <c r="Q873" s="76"/>
      <c r="R873" s="76"/>
      <c r="S873" s="104"/>
      <c r="T873" s="104"/>
      <c r="U873" s="106"/>
      <c r="V873" s="100"/>
      <c r="W873" s="76"/>
    </row>
    <row r="874" spans="1:23">
      <c r="A874" s="93"/>
      <c r="B874" s="95"/>
      <c r="C874" s="76"/>
      <c r="D874" s="76"/>
      <c r="E874" s="76"/>
      <c r="F874" s="95"/>
      <c r="G874" s="95"/>
      <c r="H874" s="95"/>
      <c r="I874" s="95"/>
      <c r="J874" s="104"/>
      <c r="K874" s="99"/>
      <c r="L874" s="99"/>
      <c r="M874" s="76"/>
      <c r="N874" s="76"/>
      <c r="O874" s="76"/>
      <c r="P874" s="76"/>
      <c r="Q874" s="76"/>
      <c r="R874" s="76"/>
      <c r="S874" s="104"/>
      <c r="T874" s="104"/>
      <c r="U874" s="106"/>
      <c r="V874" s="100"/>
      <c r="W874" s="76"/>
    </row>
    <row r="875" spans="1:23">
      <c r="A875" s="93"/>
      <c r="B875" s="95"/>
      <c r="C875" s="76"/>
      <c r="D875" s="76"/>
      <c r="E875" s="76"/>
      <c r="F875" s="95"/>
      <c r="G875" s="95"/>
      <c r="H875" s="95"/>
      <c r="I875" s="95"/>
      <c r="J875" s="104"/>
      <c r="K875" s="99"/>
      <c r="L875" s="99"/>
      <c r="M875" s="76"/>
      <c r="N875" s="76"/>
      <c r="O875" s="76"/>
      <c r="P875" s="76"/>
      <c r="Q875" s="76"/>
      <c r="R875" s="76"/>
      <c r="S875" s="104"/>
      <c r="T875" s="104"/>
      <c r="U875" s="106"/>
      <c r="V875" s="100"/>
      <c r="W875" s="76"/>
    </row>
    <row r="876" spans="1:23">
      <c r="A876" s="93"/>
      <c r="B876" s="95"/>
      <c r="C876" s="76"/>
      <c r="D876" s="76"/>
      <c r="E876" s="76"/>
      <c r="F876" s="95"/>
      <c r="G876" s="95"/>
      <c r="H876" s="95"/>
      <c r="I876" s="95"/>
      <c r="J876" s="104"/>
      <c r="K876" s="99"/>
      <c r="L876" s="99"/>
      <c r="M876" s="76"/>
      <c r="N876" s="76"/>
      <c r="O876" s="76"/>
      <c r="P876" s="76"/>
      <c r="Q876" s="76"/>
      <c r="R876" s="76"/>
      <c r="S876" s="104"/>
      <c r="T876" s="104"/>
      <c r="U876" s="106"/>
      <c r="V876" s="100"/>
      <c r="W876" s="76"/>
    </row>
    <row r="877" spans="1:23">
      <c r="A877" s="93"/>
      <c r="B877" s="95"/>
      <c r="C877" s="76"/>
      <c r="D877" s="76"/>
      <c r="E877" s="76"/>
      <c r="F877" s="95"/>
      <c r="G877" s="95"/>
      <c r="H877" s="95"/>
      <c r="I877" s="95"/>
      <c r="J877" s="104"/>
      <c r="K877" s="99"/>
      <c r="L877" s="99"/>
      <c r="M877" s="76"/>
      <c r="N877" s="76"/>
      <c r="O877" s="76"/>
      <c r="P877" s="76"/>
      <c r="Q877" s="76"/>
      <c r="R877" s="76"/>
      <c r="S877" s="104"/>
      <c r="T877" s="104"/>
      <c r="U877" s="106"/>
      <c r="V877" s="100"/>
      <c r="W877" s="76"/>
    </row>
    <row r="878" spans="1:23">
      <c r="A878" s="93"/>
      <c r="B878" s="95"/>
      <c r="C878" s="76"/>
      <c r="D878" s="76"/>
      <c r="E878" s="76"/>
      <c r="F878" s="95"/>
      <c r="G878" s="95"/>
      <c r="H878" s="95"/>
      <c r="I878" s="95"/>
      <c r="J878" s="104"/>
      <c r="K878" s="99"/>
      <c r="L878" s="99"/>
      <c r="M878" s="76"/>
      <c r="N878" s="76"/>
      <c r="O878" s="76"/>
      <c r="P878" s="76"/>
      <c r="Q878" s="76"/>
      <c r="R878" s="76"/>
      <c r="S878" s="104"/>
      <c r="T878" s="104"/>
      <c r="U878" s="106"/>
      <c r="V878" s="100"/>
      <c r="W878" s="76"/>
    </row>
    <row r="879" spans="1:23">
      <c r="A879" s="93"/>
      <c r="B879" s="95"/>
      <c r="C879" s="76"/>
      <c r="D879" s="76"/>
      <c r="E879" s="76"/>
      <c r="F879" s="95"/>
      <c r="G879" s="95"/>
      <c r="H879" s="95"/>
      <c r="I879" s="95"/>
      <c r="J879" s="104"/>
      <c r="K879" s="99"/>
      <c r="L879" s="99"/>
      <c r="M879" s="76"/>
      <c r="N879" s="76"/>
      <c r="O879" s="76"/>
      <c r="P879" s="76"/>
      <c r="Q879" s="76"/>
      <c r="R879" s="76"/>
      <c r="S879" s="104"/>
      <c r="T879" s="104"/>
      <c r="U879" s="106"/>
      <c r="V879" s="100"/>
      <c r="W879" s="76"/>
    </row>
    <row r="880" spans="1:23">
      <c r="A880" s="93"/>
      <c r="B880" s="95"/>
      <c r="C880" s="76"/>
      <c r="D880" s="76"/>
      <c r="E880" s="76"/>
      <c r="F880" s="95"/>
      <c r="G880" s="95"/>
      <c r="H880" s="95"/>
      <c r="I880" s="95"/>
      <c r="J880" s="104"/>
      <c r="K880" s="99"/>
      <c r="L880" s="99"/>
      <c r="M880" s="76"/>
      <c r="N880" s="76"/>
      <c r="O880" s="76"/>
      <c r="P880" s="76"/>
      <c r="Q880" s="76"/>
      <c r="R880" s="76"/>
      <c r="S880" s="104"/>
      <c r="T880" s="104"/>
      <c r="U880" s="106"/>
      <c r="V880" s="100"/>
      <c r="W880" s="76"/>
    </row>
    <row r="881" spans="1:23">
      <c r="A881" s="93"/>
      <c r="B881" s="95"/>
      <c r="C881" s="76"/>
      <c r="D881" s="76"/>
      <c r="E881" s="76"/>
      <c r="F881" s="95"/>
      <c r="G881" s="95"/>
      <c r="H881" s="95"/>
      <c r="I881" s="95"/>
      <c r="J881" s="104"/>
      <c r="K881" s="99"/>
      <c r="L881" s="99"/>
      <c r="M881" s="76"/>
      <c r="N881" s="76"/>
      <c r="O881" s="76"/>
      <c r="P881" s="76"/>
      <c r="Q881" s="76"/>
      <c r="R881" s="76"/>
      <c r="S881" s="104"/>
      <c r="T881" s="104"/>
      <c r="U881" s="106"/>
      <c r="V881" s="100"/>
      <c r="W881" s="76"/>
    </row>
    <row r="882" spans="1:23">
      <c r="A882" s="93"/>
      <c r="B882" s="95"/>
      <c r="C882" s="76"/>
      <c r="D882" s="76"/>
      <c r="E882" s="76"/>
      <c r="F882" s="95"/>
      <c r="G882" s="95"/>
      <c r="H882" s="95"/>
      <c r="I882" s="95"/>
      <c r="J882" s="104"/>
      <c r="K882" s="99"/>
      <c r="L882" s="99"/>
      <c r="M882" s="76"/>
      <c r="N882" s="76"/>
      <c r="O882" s="76"/>
      <c r="P882" s="76"/>
      <c r="Q882" s="76"/>
      <c r="R882" s="76"/>
      <c r="S882" s="104"/>
      <c r="T882" s="104"/>
      <c r="U882" s="106"/>
      <c r="V882" s="100"/>
      <c r="W882" s="76"/>
    </row>
    <row r="883" spans="1:23">
      <c r="A883" s="93"/>
      <c r="B883" s="95"/>
      <c r="C883" s="76"/>
      <c r="D883" s="76"/>
      <c r="E883" s="76"/>
      <c r="F883" s="95"/>
      <c r="G883" s="95"/>
      <c r="H883" s="95"/>
      <c r="I883" s="95"/>
      <c r="J883" s="104"/>
      <c r="K883" s="99"/>
      <c r="L883" s="99"/>
      <c r="M883" s="76"/>
      <c r="N883" s="76"/>
      <c r="O883" s="76"/>
      <c r="P883" s="76"/>
      <c r="Q883" s="76"/>
      <c r="R883" s="76"/>
      <c r="S883" s="104"/>
      <c r="T883" s="104"/>
      <c r="U883" s="106"/>
      <c r="V883" s="100"/>
      <c r="W883" s="76"/>
    </row>
    <row r="884" spans="1:23">
      <c r="A884" s="93"/>
      <c r="B884" s="95"/>
      <c r="C884" s="76"/>
      <c r="D884" s="76"/>
      <c r="E884" s="76"/>
      <c r="F884" s="95"/>
      <c r="G884" s="95"/>
      <c r="H884" s="95"/>
      <c r="I884" s="95"/>
      <c r="J884" s="104"/>
      <c r="K884" s="99"/>
      <c r="L884" s="99"/>
      <c r="M884" s="76"/>
      <c r="N884" s="76"/>
      <c r="O884" s="76"/>
      <c r="P884" s="76"/>
      <c r="Q884" s="76"/>
      <c r="R884" s="76"/>
      <c r="S884" s="104"/>
      <c r="T884" s="104"/>
      <c r="U884" s="106"/>
      <c r="V884" s="100"/>
      <c r="W884" s="76"/>
    </row>
    <row r="885" spans="1:23">
      <c r="A885" s="93"/>
      <c r="B885" s="95"/>
      <c r="C885" s="76"/>
      <c r="D885" s="76"/>
      <c r="E885" s="76"/>
      <c r="F885" s="95"/>
      <c r="G885" s="95"/>
      <c r="H885" s="95"/>
      <c r="I885" s="95"/>
      <c r="J885" s="104"/>
      <c r="K885" s="99"/>
      <c r="L885" s="99"/>
      <c r="M885" s="76"/>
      <c r="N885" s="76"/>
      <c r="O885" s="76"/>
      <c r="P885" s="76"/>
      <c r="Q885" s="76"/>
      <c r="R885" s="76"/>
      <c r="S885" s="104"/>
      <c r="T885" s="104"/>
      <c r="U885" s="106"/>
      <c r="V885" s="100"/>
      <c r="W885" s="76"/>
    </row>
    <row r="886" spans="1:23">
      <c r="A886" s="93"/>
      <c r="B886" s="95"/>
      <c r="C886" s="76"/>
      <c r="D886" s="76"/>
      <c r="E886" s="76"/>
      <c r="F886" s="95"/>
      <c r="G886" s="95"/>
      <c r="H886" s="95"/>
      <c r="I886" s="95"/>
      <c r="J886" s="104"/>
      <c r="K886" s="99"/>
      <c r="L886" s="99"/>
      <c r="M886" s="76"/>
      <c r="N886" s="76"/>
      <c r="O886" s="76"/>
      <c r="P886" s="76"/>
      <c r="Q886" s="76"/>
      <c r="R886" s="76"/>
      <c r="S886" s="104"/>
      <c r="T886" s="104"/>
      <c r="U886" s="106"/>
      <c r="V886" s="100"/>
      <c r="W886" s="76"/>
    </row>
    <row r="887" spans="1:23">
      <c r="A887" s="93"/>
      <c r="B887" s="95"/>
      <c r="C887" s="76"/>
      <c r="D887" s="76"/>
      <c r="E887" s="76"/>
      <c r="F887" s="95"/>
      <c r="G887" s="95"/>
      <c r="H887" s="95"/>
      <c r="I887" s="95"/>
      <c r="J887" s="104"/>
      <c r="K887" s="99"/>
      <c r="L887" s="99"/>
      <c r="M887" s="76"/>
      <c r="N887" s="76"/>
      <c r="O887" s="76"/>
      <c r="P887" s="76"/>
      <c r="Q887" s="76"/>
      <c r="R887" s="76"/>
      <c r="S887" s="104"/>
      <c r="T887" s="104"/>
      <c r="U887" s="106"/>
      <c r="V887" s="100"/>
      <c r="W887" s="76"/>
    </row>
    <row r="888" spans="1:23">
      <c r="A888" s="93"/>
      <c r="B888" s="95"/>
      <c r="C888" s="76"/>
      <c r="D888" s="76"/>
      <c r="E888" s="76"/>
      <c r="F888" s="95"/>
      <c r="G888" s="95"/>
      <c r="H888" s="95"/>
      <c r="I888" s="95"/>
      <c r="J888" s="104"/>
      <c r="K888" s="99"/>
      <c r="L888" s="99"/>
      <c r="M888" s="76"/>
      <c r="N888" s="76"/>
      <c r="O888" s="76"/>
      <c r="P888" s="76"/>
      <c r="Q888" s="76"/>
      <c r="R888" s="76"/>
      <c r="S888" s="104"/>
      <c r="T888" s="104"/>
      <c r="U888" s="106"/>
      <c r="V888" s="100"/>
      <c r="W888" s="76"/>
    </row>
    <row r="889" spans="1:23">
      <c r="A889" s="93"/>
      <c r="B889" s="95"/>
      <c r="C889" s="76"/>
      <c r="D889" s="76"/>
      <c r="E889" s="76"/>
      <c r="F889" s="95"/>
      <c r="G889" s="95"/>
      <c r="H889" s="95"/>
      <c r="I889" s="95"/>
      <c r="J889" s="104"/>
      <c r="K889" s="99"/>
      <c r="L889" s="99"/>
      <c r="M889" s="76"/>
      <c r="N889" s="76"/>
      <c r="O889" s="76"/>
      <c r="P889" s="76"/>
      <c r="Q889" s="76"/>
      <c r="R889" s="76"/>
      <c r="S889" s="104"/>
      <c r="T889" s="104"/>
      <c r="U889" s="106"/>
      <c r="V889" s="100"/>
      <c r="W889" s="76"/>
    </row>
    <row r="890" spans="1:23">
      <c r="A890" s="93"/>
      <c r="B890" s="95"/>
      <c r="C890" s="76"/>
      <c r="D890" s="76"/>
      <c r="E890" s="76"/>
      <c r="F890" s="95"/>
      <c r="G890" s="95"/>
      <c r="H890" s="95"/>
      <c r="I890" s="95"/>
      <c r="J890" s="104"/>
      <c r="K890" s="99"/>
      <c r="L890" s="99"/>
      <c r="M890" s="76"/>
      <c r="N890" s="76"/>
      <c r="O890" s="76"/>
      <c r="P890" s="76"/>
      <c r="Q890" s="76"/>
      <c r="R890" s="76"/>
      <c r="S890" s="104"/>
      <c r="T890" s="104"/>
      <c r="U890" s="106"/>
      <c r="V890" s="100"/>
      <c r="W890" s="76"/>
    </row>
    <row r="891" spans="1:23">
      <c r="A891" s="93"/>
      <c r="B891" s="95"/>
      <c r="C891" s="76"/>
      <c r="D891" s="76"/>
      <c r="E891" s="76"/>
      <c r="F891" s="95"/>
      <c r="G891" s="95"/>
      <c r="H891" s="95"/>
      <c r="I891" s="95"/>
      <c r="J891" s="104"/>
      <c r="K891" s="99"/>
      <c r="L891" s="99"/>
      <c r="M891" s="76"/>
      <c r="N891" s="76"/>
      <c r="O891" s="76"/>
      <c r="P891" s="76"/>
      <c r="Q891" s="76"/>
      <c r="R891" s="76"/>
      <c r="S891" s="104"/>
      <c r="T891" s="104"/>
      <c r="U891" s="106"/>
      <c r="V891" s="100"/>
      <c r="W891" s="76"/>
    </row>
    <row r="892" spans="1:23">
      <c r="A892" s="93"/>
      <c r="B892" s="95"/>
      <c r="C892" s="76"/>
      <c r="D892" s="76"/>
      <c r="E892" s="76"/>
      <c r="F892" s="95"/>
      <c r="G892" s="95"/>
      <c r="H892" s="95"/>
      <c r="I892" s="95"/>
      <c r="J892" s="104"/>
      <c r="K892" s="99"/>
      <c r="L892" s="99"/>
      <c r="M892" s="76"/>
      <c r="N892" s="76"/>
      <c r="O892" s="76"/>
      <c r="P892" s="76"/>
      <c r="Q892" s="76"/>
      <c r="R892" s="76"/>
      <c r="S892" s="104"/>
      <c r="T892" s="104"/>
      <c r="U892" s="106"/>
      <c r="V892" s="100"/>
      <c r="W892" s="76"/>
    </row>
    <row r="893" spans="1:23">
      <c r="A893" s="93"/>
      <c r="B893" s="95"/>
      <c r="C893" s="76"/>
      <c r="D893" s="76"/>
      <c r="E893" s="76"/>
      <c r="F893" s="95"/>
      <c r="G893" s="95"/>
      <c r="H893" s="95"/>
      <c r="I893" s="95"/>
      <c r="J893" s="104"/>
      <c r="K893" s="99"/>
      <c r="L893" s="99"/>
      <c r="M893" s="76"/>
      <c r="N893" s="76"/>
      <c r="O893" s="76"/>
      <c r="P893" s="76"/>
      <c r="Q893" s="76"/>
      <c r="R893" s="76"/>
      <c r="S893" s="104"/>
      <c r="T893" s="104"/>
      <c r="U893" s="106"/>
      <c r="V893" s="100"/>
      <c r="W893" s="76"/>
    </row>
    <row r="894" spans="1:23">
      <c r="A894" s="93"/>
      <c r="B894" s="95"/>
      <c r="C894" s="76"/>
      <c r="D894" s="76"/>
      <c r="E894" s="76"/>
      <c r="F894" s="95"/>
      <c r="G894" s="95"/>
      <c r="H894" s="95"/>
      <c r="I894" s="95"/>
      <c r="J894" s="104"/>
      <c r="K894" s="99"/>
      <c r="L894" s="99"/>
      <c r="M894" s="76"/>
      <c r="N894" s="76"/>
      <c r="O894" s="76"/>
      <c r="P894" s="76"/>
      <c r="Q894" s="76"/>
      <c r="R894" s="76"/>
      <c r="S894" s="104"/>
      <c r="T894" s="104"/>
      <c r="U894" s="106"/>
      <c r="V894" s="100"/>
      <c r="W894" s="76"/>
    </row>
    <row r="895" spans="1:23">
      <c r="A895" s="93"/>
      <c r="B895" s="95"/>
      <c r="C895" s="76"/>
      <c r="D895" s="76"/>
      <c r="E895" s="76"/>
      <c r="F895" s="95"/>
      <c r="G895" s="95"/>
      <c r="H895" s="95"/>
      <c r="I895" s="95"/>
      <c r="J895" s="104"/>
      <c r="K895" s="99"/>
      <c r="L895" s="99"/>
      <c r="M895" s="76"/>
      <c r="N895" s="76"/>
      <c r="O895" s="76"/>
      <c r="P895" s="76"/>
      <c r="Q895" s="76"/>
      <c r="R895" s="76"/>
      <c r="S895" s="104"/>
      <c r="T895" s="104"/>
      <c r="U895" s="106"/>
      <c r="V895" s="100"/>
      <c r="W895" s="76"/>
    </row>
    <row r="896" spans="1:23">
      <c r="A896" s="93"/>
      <c r="B896" s="95"/>
      <c r="C896" s="76"/>
      <c r="D896" s="76"/>
      <c r="E896" s="76"/>
      <c r="F896" s="95"/>
      <c r="G896" s="95"/>
      <c r="H896" s="95"/>
      <c r="I896" s="95"/>
      <c r="J896" s="104"/>
      <c r="K896" s="99"/>
      <c r="L896" s="99"/>
      <c r="M896" s="76"/>
      <c r="N896" s="76"/>
      <c r="O896" s="76"/>
      <c r="P896" s="76"/>
      <c r="Q896" s="76"/>
      <c r="R896" s="76"/>
      <c r="S896" s="104"/>
      <c r="T896" s="104"/>
      <c r="U896" s="106"/>
      <c r="V896" s="100"/>
      <c r="W896" s="76"/>
    </row>
    <row r="897" spans="1:23">
      <c r="A897" s="93"/>
      <c r="B897" s="95"/>
      <c r="C897" s="76"/>
      <c r="D897" s="76"/>
      <c r="E897" s="76"/>
      <c r="F897" s="95"/>
      <c r="G897" s="95"/>
      <c r="H897" s="95"/>
      <c r="I897" s="95"/>
      <c r="J897" s="104"/>
      <c r="K897" s="99"/>
      <c r="L897" s="99"/>
      <c r="M897" s="76"/>
      <c r="N897" s="76"/>
      <c r="O897" s="76"/>
      <c r="P897" s="76"/>
      <c r="Q897" s="76"/>
      <c r="R897" s="76"/>
      <c r="S897" s="104"/>
      <c r="T897" s="104"/>
      <c r="U897" s="106"/>
      <c r="V897" s="100"/>
      <c r="W897" s="76"/>
    </row>
    <row r="898" spans="1:23">
      <c r="A898" s="93"/>
      <c r="B898" s="95"/>
      <c r="C898" s="76"/>
      <c r="D898" s="76"/>
      <c r="E898" s="76"/>
      <c r="F898" s="95"/>
      <c r="G898" s="95"/>
      <c r="H898" s="95"/>
      <c r="I898" s="95"/>
      <c r="J898" s="104"/>
      <c r="K898" s="99"/>
      <c r="L898" s="99"/>
      <c r="M898" s="76"/>
      <c r="N898" s="76"/>
      <c r="O898" s="76"/>
      <c r="P898" s="76"/>
      <c r="Q898" s="76"/>
      <c r="R898" s="76"/>
      <c r="S898" s="104"/>
      <c r="T898" s="104"/>
      <c r="U898" s="106"/>
      <c r="V898" s="100"/>
      <c r="W898" s="76"/>
    </row>
    <row r="899" spans="1:23">
      <c r="A899" s="93"/>
      <c r="B899" s="95"/>
      <c r="C899" s="76"/>
      <c r="D899" s="76"/>
      <c r="E899" s="76"/>
      <c r="F899" s="95"/>
      <c r="G899" s="95"/>
      <c r="H899" s="95"/>
      <c r="I899" s="95"/>
      <c r="J899" s="104"/>
      <c r="K899" s="99"/>
      <c r="L899" s="99"/>
      <c r="M899" s="76"/>
      <c r="N899" s="76"/>
      <c r="O899" s="76"/>
      <c r="P899" s="76"/>
      <c r="Q899" s="76"/>
      <c r="R899" s="76"/>
      <c r="S899" s="104"/>
      <c r="T899" s="104"/>
      <c r="U899" s="106"/>
      <c r="V899" s="100"/>
      <c r="W899" s="76"/>
    </row>
    <row r="900" spans="1:23">
      <c r="A900" s="93"/>
      <c r="B900" s="95"/>
      <c r="C900" s="76"/>
      <c r="D900" s="76"/>
      <c r="E900" s="76"/>
      <c r="F900" s="95"/>
      <c r="G900" s="95"/>
      <c r="H900" s="95"/>
      <c r="I900" s="95"/>
      <c r="J900" s="104"/>
      <c r="K900" s="99"/>
      <c r="L900" s="99"/>
      <c r="M900" s="76"/>
      <c r="N900" s="76"/>
      <c r="O900" s="76"/>
      <c r="P900" s="76"/>
      <c r="Q900" s="76"/>
      <c r="R900" s="76"/>
      <c r="S900" s="104"/>
      <c r="T900" s="104"/>
      <c r="U900" s="106"/>
      <c r="V900" s="100"/>
      <c r="W900" s="76"/>
    </row>
    <row r="901" spans="1:23">
      <c r="A901" s="93"/>
      <c r="B901" s="95"/>
      <c r="C901" s="76"/>
      <c r="D901" s="76"/>
      <c r="E901" s="76"/>
      <c r="F901" s="95"/>
      <c r="G901" s="95"/>
      <c r="H901" s="95"/>
      <c r="I901" s="95"/>
      <c r="J901" s="104"/>
      <c r="K901" s="99"/>
      <c r="L901" s="99"/>
      <c r="M901" s="76"/>
      <c r="N901" s="76"/>
      <c r="O901" s="76"/>
      <c r="P901" s="76"/>
      <c r="Q901" s="76"/>
      <c r="R901" s="76"/>
      <c r="S901" s="104"/>
      <c r="T901" s="104"/>
      <c r="U901" s="106"/>
      <c r="V901" s="100"/>
      <c r="W901" s="76"/>
    </row>
    <row r="902" spans="1:23">
      <c r="A902" s="93"/>
      <c r="B902" s="95"/>
      <c r="C902" s="76"/>
      <c r="D902" s="76"/>
      <c r="E902" s="76"/>
      <c r="F902" s="95"/>
      <c r="G902" s="95"/>
      <c r="H902" s="95"/>
      <c r="I902" s="95"/>
      <c r="J902" s="104"/>
      <c r="K902" s="99"/>
      <c r="L902" s="99"/>
      <c r="M902" s="76"/>
      <c r="N902" s="76"/>
      <c r="O902" s="76"/>
      <c r="P902" s="76"/>
      <c r="Q902" s="76"/>
      <c r="R902" s="76"/>
      <c r="S902" s="104"/>
      <c r="T902" s="104"/>
      <c r="U902" s="106"/>
      <c r="V902" s="100"/>
      <c r="W902" s="76"/>
    </row>
    <row r="903" spans="1:23">
      <c r="A903" s="93"/>
      <c r="B903" s="95"/>
      <c r="C903" s="76"/>
      <c r="D903" s="76"/>
      <c r="E903" s="76"/>
      <c r="F903" s="95"/>
      <c r="G903" s="95"/>
      <c r="H903" s="95"/>
      <c r="I903" s="95"/>
      <c r="J903" s="104"/>
      <c r="K903" s="99"/>
      <c r="L903" s="99"/>
      <c r="M903" s="76"/>
      <c r="N903" s="76"/>
      <c r="O903" s="76"/>
      <c r="P903" s="76"/>
      <c r="Q903" s="76"/>
      <c r="R903" s="76"/>
      <c r="S903" s="104"/>
      <c r="T903" s="104"/>
      <c r="U903" s="106"/>
      <c r="V903" s="100"/>
      <c r="W903" s="76"/>
    </row>
    <row r="904" spans="1:23">
      <c r="A904" s="93"/>
      <c r="B904" s="95"/>
      <c r="C904" s="76"/>
      <c r="D904" s="76"/>
      <c r="E904" s="76"/>
      <c r="F904" s="95"/>
      <c r="G904" s="95"/>
      <c r="H904" s="95"/>
      <c r="I904" s="95"/>
      <c r="J904" s="104"/>
      <c r="K904" s="99"/>
      <c r="L904" s="99"/>
      <c r="M904" s="76"/>
      <c r="N904" s="76"/>
      <c r="O904" s="76"/>
      <c r="P904" s="76"/>
      <c r="Q904" s="76"/>
      <c r="R904" s="76"/>
      <c r="S904" s="104"/>
      <c r="T904" s="104"/>
      <c r="U904" s="106"/>
      <c r="V904" s="100"/>
      <c r="W904" s="76"/>
    </row>
    <row r="905" spans="1:23">
      <c r="A905" s="93"/>
      <c r="B905" s="95"/>
      <c r="C905" s="76"/>
      <c r="D905" s="76"/>
      <c r="E905" s="76"/>
      <c r="F905" s="95"/>
      <c r="G905" s="95"/>
      <c r="H905" s="95"/>
      <c r="I905" s="95"/>
      <c r="J905" s="104"/>
      <c r="K905" s="99"/>
      <c r="L905" s="99"/>
      <c r="M905" s="76"/>
      <c r="N905" s="76"/>
      <c r="O905" s="76"/>
      <c r="P905" s="76"/>
      <c r="Q905" s="76"/>
      <c r="R905" s="76"/>
      <c r="S905" s="104"/>
      <c r="T905" s="104"/>
      <c r="U905" s="106"/>
      <c r="V905" s="100"/>
      <c r="W905" s="76"/>
    </row>
    <row r="906" spans="1:23">
      <c r="A906" s="93"/>
      <c r="B906" s="95"/>
      <c r="C906" s="76"/>
      <c r="D906" s="76"/>
      <c r="E906" s="76"/>
      <c r="F906" s="95"/>
      <c r="G906" s="95"/>
      <c r="H906" s="95"/>
      <c r="I906" s="95"/>
      <c r="J906" s="104"/>
      <c r="K906" s="99"/>
      <c r="L906" s="99"/>
      <c r="M906" s="76"/>
      <c r="N906" s="76"/>
      <c r="O906" s="76"/>
      <c r="P906" s="76"/>
      <c r="Q906" s="76"/>
      <c r="R906" s="76"/>
      <c r="S906" s="104"/>
      <c r="T906" s="104"/>
      <c r="U906" s="106"/>
      <c r="V906" s="100"/>
      <c r="W906" s="76"/>
    </row>
    <row r="907" spans="1:23">
      <c r="A907" s="93"/>
      <c r="B907" s="95"/>
      <c r="C907" s="76"/>
      <c r="D907" s="76"/>
      <c r="E907" s="76"/>
      <c r="F907" s="95"/>
      <c r="G907" s="95"/>
      <c r="H907" s="95"/>
      <c r="I907" s="95"/>
      <c r="J907" s="104"/>
      <c r="K907" s="99"/>
      <c r="L907" s="99"/>
      <c r="M907" s="76"/>
      <c r="N907" s="76"/>
      <c r="O907" s="76"/>
      <c r="P907" s="76"/>
      <c r="Q907" s="76"/>
      <c r="R907" s="76"/>
      <c r="S907" s="104"/>
      <c r="T907" s="104"/>
      <c r="U907" s="106"/>
      <c r="V907" s="100"/>
      <c r="W907" s="76"/>
    </row>
    <row r="908" spans="1:23">
      <c r="A908" s="93"/>
      <c r="B908" s="95"/>
      <c r="C908" s="76"/>
      <c r="D908" s="76"/>
      <c r="E908" s="76"/>
      <c r="F908" s="95"/>
      <c r="G908" s="95"/>
      <c r="H908" s="95"/>
      <c r="I908" s="95"/>
      <c r="J908" s="104"/>
      <c r="K908" s="99"/>
      <c r="L908" s="99"/>
      <c r="M908" s="76"/>
      <c r="N908" s="76"/>
      <c r="O908" s="76"/>
      <c r="P908" s="76"/>
      <c r="Q908" s="76"/>
      <c r="R908" s="76"/>
      <c r="S908" s="104"/>
      <c r="T908" s="104"/>
      <c r="U908" s="106"/>
      <c r="V908" s="100"/>
      <c r="W908" s="76"/>
    </row>
    <row r="909" spans="1:23">
      <c r="A909" s="93"/>
      <c r="B909" s="95"/>
      <c r="C909" s="76"/>
      <c r="D909" s="76"/>
      <c r="E909" s="76"/>
      <c r="F909" s="95"/>
      <c r="G909" s="95"/>
      <c r="H909" s="95"/>
      <c r="I909" s="95"/>
      <c r="J909" s="104"/>
      <c r="K909" s="99"/>
      <c r="L909" s="99"/>
      <c r="M909" s="76"/>
      <c r="N909" s="76"/>
      <c r="O909" s="76"/>
      <c r="P909" s="76"/>
      <c r="Q909" s="76"/>
      <c r="R909" s="76"/>
      <c r="S909" s="104"/>
      <c r="T909" s="104"/>
      <c r="U909" s="106"/>
      <c r="V909" s="100"/>
      <c r="W909" s="76"/>
    </row>
    <row r="910" spans="1:23">
      <c r="A910" s="93"/>
      <c r="B910" s="95"/>
      <c r="C910" s="76"/>
      <c r="D910" s="76"/>
      <c r="E910" s="76"/>
      <c r="F910" s="95"/>
      <c r="G910" s="95"/>
      <c r="H910" s="95"/>
      <c r="I910" s="95"/>
      <c r="J910" s="104"/>
      <c r="K910" s="99"/>
      <c r="L910" s="99"/>
      <c r="M910" s="76"/>
      <c r="N910" s="76"/>
      <c r="O910" s="76"/>
      <c r="P910" s="76"/>
      <c r="Q910" s="76"/>
      <c r="R910" s="76"/>
      <c r="S910" s="104"/>
      <c r="T910" s="104"/>
      <c r="U910" s="106"/>
      <c r="V910" s="100"/>
      <c r="W910" s="76"/>
    </row>
    <row r="911" spans="1:23">
      <c r="A911" s="93"/>
      <c r="B911" s="95"/>
      <c r="C911" s="76"/>
      <c r="D911" s="76"/>
      <c r="E911" s="76"/>
      <c r="F911" s="95"/>
      <c r="G911" s="95"/>
      <c r="H911" s="95"/>
      <c r="I911" s="95"/>
      <c r="J911" s="104"/>
      <c r="K911" s="99"/>
      <c r="L911" s="99"/>
      <c r="M911" s="76"/>
      <c r="N911" s="76"/>
      <c r="O911" s="76"/>
      <c r="P911" s="76"/>
      <c r="Q911" s="76"/>
      <c r="R911" s="76"/>
      <c r="S911" s="104"/>
      <c r="T911" s="104"/>
      <c r="U911" s="106"/>
      <c r="V911" s="100"/>
      <c r="W911" s="76"/>
    </row>
    <row r="912" spans="1:23">
      <c r="A912" s="93"/>
      <c r="B912" s="95"/>
      <c r="C912" s="76"/>
      <c r="D912" s="76"/>
      <c r="E912" s="76"/>
      <c r="F912" s="95"/>
      <c r="G912" s="95"/>
      <c r="H912" s="95"/>
      <c r="I912" s="95"/>
      <c r="J912" s="104"/>
      <c r="K912" s="99"/>
      <c r="L912" s="99"/>
      <c r="M912" s="76"/>
      <c r="N912" s="76"/>
      <c r="O912" s="76"/>
      <c r="P912" s="76"/>
      <c r="Q912" s="76"/>
      <c r="R912" s="76"/>
      <c r="S912" s="104"/>
      <c r="T912" s="104"/>
      <c r="U912" s="106"/>
      <c r="V912" s="100"/>
      <c r="W912" s="76"/>
    </row>
    <row r="913" spans="1:23">
      <c r="A913" s="93"/>
      <c r="B913" s="95"/>
      <c r="C913" s="76"/>
      <c r="D913" s="76"/>
      <c r="E913" s="76"/>
      <c r="F913" s="95"/>
      <c r="G913" s="95"/>
      <c r="H913" s="95"/>
      <c r="I913" s="95"/>
      <c r="J913" s="104"/>
      <c r="K913" s="99"/>
      <c r="L913" s="99"/>
      <c r="M913" s="76"/>
      <c r="N913" s="76"/>
      <c r="O913" s="76"/>
      <c r="P913" s="76"/>
      <c r="Q913" s="76"/>
      <c r="R913" s="76"/>
      <c r="S913" s="104"/>
      <c r="T913" s="104"/>
      <c r="U913" s="106"/>
      <c r="V913" s="100"/>
      <c r="W913" s="76"/>
    </row>
    <row r="914" spans="1:23">
      <c r="A914" s="93"/>
      <c r="B914" s="95"/>
      <c r="C914" s="76"/>
      <c r="D914" s="76"/>
      <c r="E914" s="76"/>
      <c r="F914" s="95"/>
      <c r="G914" s="95"/>
      <c r="H914" s="95"/>
      <c r="I914" s="95"/>
      <c r="J914" s="104"/>
      <c r="K914" s="99"/>
      <c r="L914" s="99"/>
      <c r="M914" s="76"/>
      <c r="N914" s="76"/>
      <c r="O914" s="76"/>
      <c r="P914" s="76"/>
      <c r="Q914" s="76"/>
      <c r="R914" s="76"/>
      <c r="S914" s="104"/>
      <c r="T914" s="104"/>
      <c r="U914" s="106"/>
      <c r="V914" s="100"/>
      <c r="W914" s="76"/>
    </row>
    <row r="915" spans="1:23">
      <c r="A915" s="93"/>
      <c r="B915" s="95"/>
      <c r="C915" s="76"/>
      <c r="D915" s="76"/>
      <c r="E915" s="76"/>
      <c r="F915" s="95"/>
      <c r="G915" s="95"/>
      <c r="H915" s="95"/>
      <c r="I915" s="95"/>
      <c r="J915" s="104"/>
      <c r="K915" s="99"/>
      <c r="L915" s="99"/>
      <c r="M915" s="76"/>
      <c r="N915" s="76"/>
      <c r="O915" s="76"/>
      <c r="P915" s="76"/>
      <c r="Q915" s="76"/>
      <c r="R915" s="76"/>
      <c r="S915" s="104"/>
      <c r="T915" s="104"/>
      <c r="U915" s="106"/>
      <c r="V915" s="100"/>
      <c r="W915" s="76"/>
    </row>
    <row r="916" spans="1:23">
      <c r="A916" s="93"/>
      <c r="B916" s="95"/>
      <c r="C916" s="76"/>
      <c r="D916" s="76"/>
      <c r="E916" s="76"/>
      <c r="F916" s="95"/>
      <c r="G916" s="95"/>
      <c r="H916" s="95"/>
      <c r="I916" s="95"/>
      <c r="J916" s="104"/>
      <c r="K916" s="99"/>
      <c r="L916" s="99"/>
      <c r="M916" s="76"/>
      <c r="N916" s="76"/>
      <c r="O916" s="76"/>
      <c r="P916" s="76"/>
      <c r="Q916" s="76"/>
      <c r="R916" s="76"/>
      <c r="S916" s="104"/>
      <c r="T916" s="104"/>
      <c r="U916" s="106"/>
      <c r="V916" s="100"/>
      <c r="W916" s="76"/>
    </row>
    <row r="917" spans="1:23">
      <c r="A917" s="93"/>
      <c r="B917" s="95"/>
      <c r="C917" s="76"/>
      <c r="D917" s="76"/>
      <c r="E917" s="76"/>
      <c r="F917" s="95"/>
      <c r="G917" s="95"/>
      <c r="H917" s="95"/>
      <c r="I917" s="95"/>
      <c r="J917" s="104"/>
      <c r="K917" s="99"/>
      <c r="L917" s="99"/>
      <c r="M917" s="76"/>
      <c r="N917" s="76"/>
      <c r="O917" s="76"/>
      <c r="P917" s="76"/>
      <c r="Q917" s="76"/>
      <c r="R917" s="76"/>
      <c r="S917" s="104"/>
      <c r="T917" s="104"/>
      <c r="U917" s="106"/>
      <c r="V917" s="100"/>
      <c r="W917" s="76"/>
    </row>
    <row r="918" spans="1:23">
      <c r="A918" s="93"/>
      <c r="B918" s="95"/>
      <c r="C918" s="76"/>
      <c r="D918" s="76"/>
      <c r="E918" s="76"/>
      <c r="F918" s="95"/>
      <c r="G918" s="95"/>
      <c r="H918" s="95"/>
      <c r="I918" s="95"/>
      <c r="J918" s="104"/>
      <c r="K918" s="99"/>
      <c r="L918" s="99"/>
      <c r="M918" s="76"/>
      <c r="N918" s="76"/>
      <c r="O918" s="76"/>
      <c r="P918" s="76"/>
      <c r="Q918" s="76"/>
      <c r="R918" s="76"/>
      <c r="S918" s="104"/>
      <c r="T918" s="104"/>
      <c r="U918" s="106"/>
      <c r="V918" s="100"/>
      <c r="W918" s="76"/>
    </row>
    <row r="919" spans="1:23">
      <c r="A919" s="93"/>
      <c r="B919" s="95"/>
      <c r="C919" s="76"/>
      <c r="D919" s="76"/>
      <c r="E919" s="76"/>
      <c r="F919" s="95"/>
      <c r="G919" s="95"/>
      <c r="H919" s="95"/>
      <c r="I919" s="95"/>
      <c r="J919" s="104"/>
      <c r="K919" s="99"/>
      <c r="L919" s="99"/>
      <c r="M919" s="76"/>
      <c r="N919" s="76"/>
      <c r="O919" s="76"/>
      <c r="P919" s="76"/>
      <c r="Q919" s="76"/>
      <c r="R919" s="76"/>
      <c r="S919" s="104"/>
      <c r="T919" s="104"/>
      <c r="U919" s="106"/>
      <c r="V919" s="100"/>
      <c r="W919" s="76"/>
    </row>
    <row r="920" spans="1:23">
      <c r="A920" s="93"/>
      <c r="B920" s="95"/>
      <c r="C920" s="76"/>
      <c r="D920" s="76"/>
      <c r="E920" s="76"/>
      <c r="F920" s="95"/>
      <c r="G920" s="95"/>
      <c r="H920" s="95"/>
      <c r="I920" s="95"/>
      <c r="J920" s="104"/>
      <c r="K920" s="99"/>
      <c r="L920" s="99"/>
      <c r="M920" s="76"/>
      <c r="N920" s="76"/>
      <c r="O920" s="76"/>
      <c r="P920" s="76"/>
      <c r="Q920" s="76"/>
      <c r="R920" s="76"/>
      <c r="S920" s="104"/>
      <c r="T920" s="104"/>
      <c r="U920" s="106"/>
      <c r="V920" s="100"/>
      <c r="W920" s="76"/>
    </row>
    <row r="921" spans="1:23">
      <c r="A921" s="93"/>
      <c r="B921" s="95"/>
      <c r="C921" s="76"/>
      <c r="D921" s="76"/>
      <c r="E921" s="76"/>
      <c r="F921" s="95"/>
      <c r="G921" s="95"/>
      <c r="H921" s="95"/>
      <c r="I921" s="95"/>
      <c r="J921" s="104"/>
      <c r="K921" s="99"/>
      <c r="L921" s="99"/>
      <c r="M921" s="76"/>
      <c r="N921" s="76"/>
      <c r="O921" s="76"/>
      <c r="P921" s="76"/>
      <c r="Q921" s="76"/>
      <c r="R921" s="76"/>
      <c r="S921" s="104"/>
      <c r="T921" s="104"/>
      <c r="U921" s="106"/>
      <c r="V921" s="100"/>
      <c r="W921" s="76"/>
    </row>
    <row r="922" spans="1:23">
      <c r="A922" s="93"/>
      <c r="B922" s="95"/>
      <c r="C922" s="76"/>
      <c r="D922" s="76"/>
      <c r="E922" s="76"/>
      <c r="F922" s="95"/>
      <c r="G922" s="95"/>
      <c r="H922" s="95"/>
      <c r="I922" s="95"/>
      <c r="J922" s="104"/>
      <c r="K922" s="99"/>
      <c r="L922" s="99"/>
      <c r="M922" s="76"/>
      <c r="N922" s="76"/>
      <c r="O922" s="76"/>
      <c r="P922" s="76"/>
      <c r="Q922" s="76"/>
      <c r="R922" s="76"/>
      <c r="S922" s="104"/>
      <c r="T922" s="104"/>
      <c r="U922" s="106"/>
      <c r="V922" s="100"/>
      <c r="W922" s="76"/>
    </row>
    <row r="923" spans="1:23">
      <c r="A923" s="93"/>
      <c r="B923" s="95"/>
      <c r="C923" s="76"/>
      <c r="D923" s="76"/>
      <c r="E923" s="76"/>
      <c r="F923" s="95"/>
      <c r="G923" s="95"/>
      <c r="H923" s="95"/>
      <c r="I923" s="95"/>
      <c r="J923" s="104"/>
      <c r="K923" s="99"/>
      <c r="L923" s="99"/>
      <c r="M923" s="76"/>
      <c r="N923" s="76"/>
      <c r="O923" s="76"/>
      <c r="P923" s="76"/>
      <c r="Q923" s="76"/>
      <c r="R923" s="76"/>
      <c r="S923" s="104"/>
      <c r="T923" s="104"/>
      <c r="U923" s="106"/>
      <c r="V923" s="100"/>
      <c r="W923" s="76"/>
    </row>
    <row r="924" spans="1:23">
      <c r="A924" s="93"/>
      <c r="B924" s="95"/>
      <c r="C924" s="76"/>
      <c r="D924" s="76"/>
      <c r="E924" s="76"/>
      <c r="F924" s="95"/>
      <c r="G924" s="95"/>
      <c r="H924" s="95"/>
      <c r="I924" s="95"/>
      <c r="J924" s="104"/>
      <c r="K924" s="99"/>
      <c r="L924" s="99"/>
      <c r="M924" s="76"/>
      <c r="N924" s="76"/>
      <c r="O924" s="76"/>
      <c r="P924" s="76"/>
      <c r="Q924" s="76"/>
      <c r="R924" s="76"/>
      <c r="S924" s="104"/>
      <c r="T924" s="104"/>
      <c r="U924" s="106"/>
      <c r="V924" s="100"/>
      <c r="W924" s="76"/>
    </row>
    <row r="925" spans="1:23">
      <c r="A925" s="93"/>
      <c r="B925" s="95"/>
      <c r="C925" s="76"/>
      <c r="D925" s="76"/>
      <c r="E925" s="76"/>
      <c r="F925" s="95"/>
      <c r="G925" s="95"/>
      <c r="H925" s="95"/>
      <c r="I925" s="95"/>
      <c r="J925" s="104"/>
      <c r="K925" s="99"/>
      <c r="L925" s="99"/>
      <c r="M925" s="76"/>
      <c r="N925" s="76"/>
      <c r="O925" s="76"/>
      <c r="P925" s="76"/>
      <c r="Q925" s="76"/>
      <c r="R925" s="76"/>
      <c r="S925" s="104"/>
      <c r="T925" s="104"/>
      <c r="U925" s="106"/>
      <c r="V925" s="100"/>
      <c r="W925" s="76"/>
    </row>
    <row r="926" spans="1:23">
      <c r="A926" s="93"/>
      <c r="B926" s="95"/>
      <c r="C926" s="76"/>
      <c r="D926" s="76"/>
      <c r="E926" s="76"/>
      <c r="F926" s="95"/>
      <c r="G926" s="95"/>
      <c r="H926" s="95"/>
      <c r="I926" s="95"/>
      <c r="J926" s="104"/>
      <c r="K926" s="99"/>
      <c r="L926" s="99"/>
      <c r="M926" s="76"/>
      <c r="N926" s="76"/>
      <c r="O926" s="76"/>
      <c r="P926" s="76"/>
      <c r="Q926" s="76"/>
      <c r="R926" s="76"/>
      <c r="S926" s="104"/>
      <c r="T926" s="104"/>
      <c r="U926" s="106"/>
      <c r="V926" s="100"/>
      <c r="W926" s="76"/>
    </row>
    <row r="927" spans="1:23">
      <c r="A927" s="93"/>
      <c r="B927" s="95"/>
      <c r="C927" s="76"/>
      <c r="D927" s="76"/>
      <c r="E927" s="76"/>
      <c r="F927" s="95"/>
      <c r="G927" s="95"/>
      <c r="H927" s="95"/>
      <c r="I927" s="95"/>
      <c r="J927" s="104"/>
      <c r="K927" s="99"/>
      <c r="L927" s="99"/>
      <c r="M927" s="76"/>
      <c r="N927" s="76"/>
      <c r="O927" s="76"/>
      <c r="P927" s="76"/>
      <c r="Q927" s="76"/>
      <c r="R927" s="76"/>
      <c r="S927" s="104"/>
      <c r="T927" s="104"/>
      <c r="U927" s="106"/>
      <c r="V927" s="100"/>
      <c r="W927" s="76"/>
    </row>
    <row r="928" spans="1:23">
      <c r="A928" s="93"/>
      <c r="B928" s="95"/>
      <c r="C928" s="76"/>
      <c r="D928" s="76"/>
      <c r="E928" s="76"/>
      <c r="F928" s="95"/>
      <c r="G928" s="95"/>
      <c r="H928" s="95"/>
      <c r="I928" s="95"/>
      <c r="J928" s="104"/>
      <c r="K928" s="99"/>
      <c r="L928" s="99"/>
      <c r="M928" s="76"/>
      <c r="N928" s="76"/>
      <c r="O928" s="76"/>
      <c r="P928" s="76"/>
      <c r="Q928" s="76"/>
      <c r="R928" s="76"/>
      <c r="S928" s="104"/>
      <c r="T928" s="104"/>
      <c r="U928" s="106"/>
      <c r="V928" s="100"/>
      <c r="W928" s="76"/>
    </row>
    <row r="929" spans="1:23">
      <c r="A929" s="93"/>
      <c r="B929" s="95"/>
      <c r="C929" s="76"/>
      <c r="D929" s="76"/>
      <c r="E929" s="76"/>
      <c r="F929" s="95"/>
      <c r="G929" s="95"/>
      <c r="H929" s="95"/>
      <c r="I929" s="95"/>
      <c r="J929" s="104"/>
      <c r="K929" s="99"/>
      <c r="L929" s="99"/>
      <c r="M929" s="76"/>
      <c r="N929" s="76"/>
      <c r="O929" s="76"/>
      <c r="P929" s="76"/>
      <c r="Q929" s="76"/>
      <c r="R929" s="76"/>
      <c r="S929" s="104"/>
      <c r="T929" s="104"/>
      <c r="U929" s="106"/>
      <c r="V929" s="100"/>
      <c r="W929" s="76"/>
    </row>
    <row r="930" spans="1:23">
      <c r="A930" s="93"/>
      <c r="B930" s="95"/>
      <c r="C930" s="76"/>
      <c r="D930" s="76"/>
      <c r="E930" s="76"/>
      <c r="F930" s="95"/>
      <c r="G930" s="95"/>
      <c r="H930" s="95"/>
      <c r="I930" s="95"/>
      <c r="J930" s="104"/>
      <c r="K930" s="99"/>
      <c r="L930" s="99"/>
      <c r="M930" s="76"/>
      <c r="N930" s="76"/>
      <c r="O930" s="76"/>
      <c r="P930" s="76"/>
      <c r="Q930" s="76"/>
      <c r="R930" s="76"/>
      <c r="S930" s="104"/>
      <c r="T930" s="104"/>
      <c r="U930" s="106"/>
      <c r="V930" s="100"/>
      <c r="W930" s="76"/>
    </row>
    <row r="931" spans="1:23">
      <c r="A931" s="93"/>
      <c r="B931" s="95"/>
      <c r="C931" s="76"/>
      <c r="D931" s="76"/>
      <c r="E931" s="76"/>
      <c r="F931" s="95"/>
      <c r="G931" s="95"/>
      <c r="H931" s="95"/>
      <c r="I931" s="95"/>
      <c r="J931" s="104"/>
      <c r="K931" s="99"/>
      <c r="L931" s="99"/>
      <c r="M931" s="76"/>
      <c r="N931" s="76"/>
      <c r="O931" s="76"/>
      <c r="P931" s="76"/>
      <c r="Q931" s="76"/>
      <c r="R931" s="76"/>
      <c r="S931" s="104"/>
      <c r="T931" s="104"/>
      <c r="U931" s="106"/>
      <c r="V931" s="100"/>
      <c r="W931" s="76"/>
    </row>
    <row r="932" spans="1:23">
      <c r="A932" s="93"/>
      <c r="B932" s="95"/>
      <c r="C932" s="76"/>
      <c r="D932" s="76"/>
      <c r="E932" s="76"/>
      <c r="F932" s="95"/>
      <c r="G932" s="95"/>
      <c r="H932" s="95"/>
      <c r="I932" s="95"/>
      <c r="J932" s="104"/>
      <c r="K932" s="99"/>
      <c r="L932" s="99"/>
      <c r="M932" s="76"/>
      <c r="N932" s="76"/>
      <c r="O932" s="76"/>
      <c r="P932" s="76"/>
      <c r="Q932" s="76"/>
      <c r="R932" s="76"/>
      <c r="S932" s="104"/>
      <c r="T932" s="104"/>
      <c r="U932" s="106"/>
      <c r="V932" s="100"/>
      <c r="W932" s="76"/>
    </row>
    <row r="933" spans="1:23">
      <c r="A933" s="93"/>
      <c r="B933" s="95"/>
      <c r="C933" s="76"/>
      <c r="D933" s="76"/>
      <c r="E933" s="76"/>
      <c r="F933" s="95"/>
      <c r="G933" s="95"/>
      <c r="H933" s="95"/>
      <c r="I933" s="95"/>
      <c r="J933" s="104"/>
      <c r="K933" s="99"/>
      <c r="L933" s="99"/>
      <c r="M933" s="76"/>
      <c r="N933" s="76"/>
      <c r="O933" s="76"/>
      <c r="P933" s="76"/>
      <c r="Q933" s="76"/>
      <c r="R933" s="76"/>
      <c r="S933" s="104"/>
      <c r="T933" s="104"/>
      <c r="U933" s="106"/>
      <c r="V933" s="100"/>
      <c r="W933" s="76"/>
    </row>
    <row r="934" spans="1:23">
      <c r="A934" s="93"/>
      <c r="B934" s="95"/>
      <c r="C934" s="76"/>
      <c r="D934" s="76"/>
      <c r="E934" s="76"/>
      <c r="F934" s="95"/>
      <c r="G934" s="95"/>
      <c r="H934" s="95"/>
      <c r="I934" s="95"/>
      <c r="J934" s="104"/>
      <c r="K934" s="99"/>
      <c r="L934" s="99"/>
      <c r="M934" s="76"/>
      <c r="N934" s="76"/>
      <c r="O934" s="76"/>
      <c r="P934" s="76"/>
      <c r="Q934" s="76"/>
      <c r="R934" s="76"/>
      <c r="S934" s="104"/>
      <c r="T934" s="104"/>
      <c r="U934" s="106"/>
      <c r="V934" s="100"/>
      <c r="W934" s="76"/>
    </row>
    <row r="935" spans="1:23">
      <c r="A935" s="93"/>
      <c r="B935" s="95"/>
      <c r="C935" s="76"/>
      <c r="D935" s="76"/>
      <c r="E935" s="76"/>
      <c r="F935" s="95"/>
      <c r="G935" s="95"/>
      <c r="H935" s="95"/>
      <c r="I935" s="95"/>
      <c r="J935" s="104"/>
      <c r="K935" s="99"/>
      <c r="L935" s="99"/>
      <c r="M935" s="76"/>
      <c r="N935" s="76"/>
      <c r="O935" s="76"/>
      <c r="P935" s="76"/>
      <c r="Q935" s="76"/>
      <c r="R935" s="76"/>
      <c r="S935" s="104"/>
      <c r="T935" s="104"/>
      <c r="U935" s="106"/>
      <c r="V935" s="100"/>
      <c r="W935" s="76"/>
    </row>
    <row r="936" spans="1:23">
      <c r="A936" s="93"/>
      <c r="B936" s="95"/>
      <c r="C936" s="76"/>
      <c r="D936" s="76"/>
      <c r="E936" s="76"/>
      <c r="F936" s="95"/>
      <c r="G936" s="95"/>
      <c r="H936" s="95"/>
      <c r="I936" s="95"/>
      <c r="J936" s="104"/>
      <c r="K936" s="99"/>
      <c r="L936" s="99"/>
      <c r="M936" s="76"/>
      <c r="N936" s="76"/>
      <c r="O936" s="76"/>
      <c r="P936" s="76"/>
      <c r="Q936" s="76"/>
      <c r="R936" s="76"/>
      <c r="S936" s="104"/>
      <c r="T936" s="104"/>
      <c r="U936" s="106"/>
      <c r="V936" s="100"/>
      <c r="W936" s="76"/>
    </row>
    <row r="937" spans="1:23">
      <c r="A937" s="93"/>
      <c r="B937" s="95"/>
      <c r="C937" s="76"/>
      <c r="D937" s="76"/>
      <c r="E937" s="76"/>
      <c r="F937" s="95"/>
      <c r="G937" s="95"/>
      <c r="H937" s="95"/>
      <c r="I937" s="95"/>
      <c r="J937" s="104"/>
      <c r="K937" s="99"/>
      <c r="L937" s="99"/>
      <c r="M937" s="76"/>
      <c r="N937" s="76"/>
      <c r="O937" s="76"/>
      <c r="P937" s="76"/>
      <c r="Q937" s="76"/>
      <c r="R937" s="76"/>
      <c r="S937" s="104"/>
      <c r="T937" s="104"/>
      <c r="U937" s="106"/>
      <c r="V937" s="100"/>
      <c r="W937" s="76"/>
    </row>
    <row r="938" spans="1:23">
      <c r="A938" s="93"/>
      <c r="B938" s="95"/>
      <c r="C938" s="76"/>
      <c r="D938" s="76"/>
      <c r="E938" s="76"/>
      <c r="F938" s="95"/>
      <c r="G938" s="95"/>
      <c r="H938" s="95"/>
      <c r="I938" s="95"/>
      <c r="J938" s="104"/>
      <c r="K938" s="99"/>
      <c r="L938" s="99"/>
      <c r="M938" s="76"/>
      <c r="N938" s="76"/>
      <c r="O938" s="76"/>
      <c r="P938" s="76"/>
      <c r="Q938" s="76"/>
      <c r="R938" s="76"/>
      <c r="S938" s="104"/>
      <c r="T938" s="104"/>
      <c r="U938" s="106"/>
      <c r="V938" s="100"/>
      <c r="W938" s="76"/>
    </row>
    <row r="939" spans="1:23">
      <c r="A939" s="93"/>
      <c r="B939" s="95"/>
      <c r="C939" s="76"/>
      <c r="D939" s="76"/>
      <c r="E939" s="76"/>
      <c r="F939" s="95"/>
      <c r="G939" s="95"/>
      <c r="H939" s="95"/>
      <c r="I939" s="95"/>
      <c r="J939" s="104"/>
      <c r="K939" s="99"/>
      <c r="L939" s="99"/>
      <c r="M939" s="76"/>
      <c r="N939" s="76"/>
      <c r="O939" s="76"/>
      <c r="P939" s="76"/>
      <c r="Q939" s="76"/>
      <c r="R939" s="76"/>
      <c r="S939" s="104"/>
      <c r="T939" s="104"/>
      <c r="U939" s="106"/>
      <c r="V939" s="100"/>
      <c r="W939" s="76"/>
    </row>
    <row r="940" spans="1:23">
      <c r="A940" s="93"/>
      <c r="B940" s="95"/>
      <c r="C940" s="76"/>
      <c r="D940" s="76"/>
      <c r="E940" s="76"/>
      <c r="F940" s="95"/>
      <c r="G940" s="95"/>
      <c r="H940" s="95"/>
      <c r="I940" s="95"/>
      <c r="J940" s="104"/>
      <c r="K940" s="99"/>
      <c r="L940" s="99"/>
      <c r="M940" s="76"/>
      <c r="N940" s="76"/>
      <c r="O940" s="76"/>
      <c r="P940" s="76"/>
      <c r="Q940" s="76"/>
      <c r="R940" s="76"/>
      <c r="S940" s="104"/>
      <c r="T940" s="104"/>
      <c r="U940" s="106"/>
      <c r="V940" s="100"/>
      <c r="W940" s="76"/>
    </row>
    <row r="941" spans="1:23">
      <c r="A941" s="93"/>
      <c r="B941" s="95"/>
      <c r="C941" s="76"/>
      <c r="D941" s="76"/>
      <c r="E941" s="76"/>
      <c r="F941" s="95"/>
      <c r="G941" s="95"/>
      <c r="H941" s="95"/>
      <c r="I941" s="95"/>
      <c r="J941" s="104"/>
      <c r="K941" s="99"/>
      <c r="L941" s="99"/>
      <c r="M941" s="76"/>
      <c r="N941" s="76"/>
      <c r="O941" s="76"/>
      <c r="P941" s="76"/>
      <c r="Q941" s="76"/>
      <c r="R941" s="76"/>
      <c r="S941" s="104"/>
      <c r="T941" s="104"/>
      <c r="U941" s="106"/>
      <c r="V941" s="100"/>
      <c r="W941" s="76"/>
    </row>
    <row r="942" spans="1:23">
      <c r="A942" s="93"/>
      <c r="B942" s="95"/>
      <c r="C942" s="76"/>
      <c r="D942" s="76"/>
      <c r="E942" s="76"/>
      <c r="F942" s="95"/>
      <c r="G942" s="95"/>
      <c r="H942" s="95"/>
      <c r="I942" s="95"/>
      <c r="J942" s="104"/>
      <c r="K942" s="99"/>
      <c r="L942" s="99"/>
      <c r="M942" s="76"/>
      <c r="N942" s="76"/>
      <c r="O942" s="76"/>
      <c r="P942" s="76"/>
      <c r="Q942" s="76"/>
      <c r="R942" s="76"/>
      <c r="S942" s="104"/>
      <c r="T942" s="104"/>
      <c r="U942" s="106"/>
      <c r="V942" s="100"/>
      <c r="W942" s="76"/>
    </row>
    <row r="943" spans="1:23">
      <c r="A943" s="93"/>
      <c r="B943" s="95"/>
      <c r="C943" s="76"/>
      <c r="D943" s="76"/>
      <c r="E943" s="76"/>
      <c r="F943" s="95"/>
      <c r="G943" s="95"/>
      <c r="H943" s="95"/>
      <c r="I943" s="95"/>
      <c r="J943" s="104"/>
      <c r="K943" s="99"/>
      <c r="L943" s="99"/>
      <c r="M943" s="76"/>
      <c r="N943" s="76"/>
      <c r="O943" s="76"/>
      <c r="P943" s="76"/>
      <c r="Q943" s="76"/>
      <c r="R943" s="76"/>
      <c r="S943" s="104"/>
      <c r="T943" s="104"/>
      <c r="U943" s="106"/>
      <c r="V943" s="100"/>
      <c r="W943" s="76"/>
    </row>
    <row r="944" spans="1:23">
      <c r="A944" s="93"/>
      <c r="B944" s="95"/>
      <c r="C944" s="76"/>
      <c r="D944" s="76"/>
      <c r="E944" s="76"/>
      <c r="F944" s="95"/>
      <c r="G944" s="95"/>
      <c r="H944" s="95"/>
      <c r="I944" s="95"/>
      <c r="J944" s="104"/>
      <c r="K944" s="99"/>
      <c r="L944" s="99"/>
      <c r="M944" s="76"/>
      <c r="N944" s="76"/>
      <c r="O944" s="76"/>
      <c r="P944" s="76"/>
      <c r="Q944" s="76"/>
      <c r="R944" s="76"/>
      <c r="S944" s="104"/>
      <c r="T944" s="104"/>
      <c r="U944" s="106"/>
      <c r="V944" s="100"/>
      <c r="W944" s="76"/>
    </row>
    <row r="945" spans="1:23">
      <c r="A945" s="93"/>
      <c r="B945" s="95"/>
      <c r="C945" s="76"/>
      <c r="D945" s="76"/>
      <c r="E945" s="76"/>
      <c r="F945" s="95"/>
      <c r="G945" s="95"/>
      <c r="H945" s="95"/>
      <c r="I945" s="95"/>
      <c r="J945" s="104"/>
      <c r="K945" s="99"/>
      <c r="L945" s="99"/>
      <c r="M945" s="76"/>
      <c r="N945" s="76"/>
      <c r="O945" s="76"/>
      <c r="P945" s="76"/>
      <c r="Q945" s="76"/>
      <c r="R945" s="76"/>
      <c r="S945" s="104"/>
      <c r="T945" s="104"/>
      <c r="U945" s="106"/>
      <c r="V945" s="100"/>
      <c r="W945" s="76"/>
    </row>
    <row r="946" spans="1:23">
      <c r="A946" s="93"/>
      <c r="B946" s="95"/>
      <c r="C946" s="76"/>
      <c r="D946" s="76"/>
      <c r="E946" s="76"/>
      <c r="F946" s="95"/>
      <c r="G946" s="95"/>
      <c r="H946" s="95"/>
      <c r="I946" s="95"/>
      <c r="J946" s="104"/>
      <c r="K946" s="99"/>
      <c r="L946" s="99"/>
      <c r="M946" s="76"/>
      <c r="N946" s="76"/>
      <c r="O946" s="76"/>
      <c r="P946" s="76"/>
      <c r="Q946" s="76"/>
      <c r="R946" s="76"/>
      <c r="S946" s="104"/>
      <c r="T946" s="104"/>
      <c r="U946" s="106"/>
      <c r="V946" s="100"/>
      <c r="W946" s="76"/>
    </row>
    <row r="947" spans="1:23">
      <c r="A947" s="93"/>
      <c r="B947" s="95"/>
      <c r="C947" s="76"/>
      <c r="D947" s="76"/>
      <c r="E947" s="76"/>
      <c r="F947" s="95"/>
      <c r="G947" s="95"/>
      <c r="H947" s="95"/>
      <c r="I947" s="95"/>
      <c r="J947" s="104"/>
      <c r="K947" s="99"/>
      <c r="L947" s="99"/>
      <c r="M947" s="76"/>
      <c r="N947" s="76"/>
      <c r="O947" s="76"/>
      <c r="P947" s="76"/>
      <c r="Q947" s="76"/>
      <c r="R947" s="76"/>
      <c r="S947" s="104"/>
      <c r="T947" s="104"/>
      <c r="U947" s="106"/>
      <c r="V947" s="100"/>
      <c r="W947" s="76"/>
    </row>
    <row r="948" spans="1:23">
      <c r="A948" s="93"/>
      <c r="B948" s="95"/>
      <c r="C948" s="76"/>
      <c r="D948" s="76"/>
      <c r="E948" s="76"/>
      <c r="F948" s="95"/>
      <c r="G948" s="95"/>
      <c r="H948" s="95"/>
      <c r="I948" s="95"/>
      <c r="J948" s="104"/>
      <c r="K948" s="99"/>
      <c r="L948" s="99"/>
      <c r="M948" s="76"/>
      <c r="N948" s="76"/>
      <c r="O948" s="76"/>
      <c r="P948" s="76"/>
      <c r="Q948" s="76"/>
      <c r="R948" s="76"/>
      <c r="S948" s="104"/>
      <c r="T948" s="104"/>
      <c r="U948" s="106"/>
      <c r="V948" s="100"/>
      <c r="W948" s="76"/>
    </row>
    <row r="949" spans="1:23">
      <c r="A949" s="93"/>
      <c r="B949" s="95"/>
      <c r="C949" s="76"/>
      <c r="D949" s="76"/>
      <c r="E949" s="76"/>
      <c r="F949" s="95"/>
      <c r="G949" s="95"/>
      <c r="H949" s="95"/>
      <c r="I949" s="95"/>
      <c r="J949" s="104"/>
      <c r="K949" s="99"/>
      <c r="L949" s="99"/>
      <c r="M949" s="76"/>
      <c r="N949" s="76"/>
      <c r="O949" s="76"/>
      <c r="P949" s="76"/>
      <c r="Q949" s="76"/>
      <c r="R949" s="76"/>
      <c r="S949" s="104"/>
      <c r="T949" s="104"/>
      <c r="U949" s="106"/>
      <c r="V949" s="100"/>
      <c r="W949" s="76"/>
    </row>
    <row r="950" spans="1:23">
      <c r="A950" s="93"/>
      <c r="B950" s="95"/>
      <c r="C950" s="76"/>
      <c r="D950" s="76"/>
      <c r="E950" s="76"/>
      <c r="F950" s="95"/>
      <c r="G950" s="95"/>
      <c r="H950" s="95"/>
      <c r="I950" s="95"/>
      <c r="J950" s="104"/>
      <c r="K950" s="99"/>
      <c r="L950" s="99"/>
      <c r="M950" s="76"/>
      <c r="N950" s="76"/>
      <c r="O950" s="76"/>
      <c r="P950" s="76"/>
      <c r="Q950" s="76"/>
      <c r="R950" s="76"/>
      <c r="S950" s="104"/>
      <c r="T950" s="104"/>
      <c r="U950" s="106"/>
      <c r="V950" s="100"/>
      <c r="W950" s="76"/>
    </row>
    <row r="951" spans="1:23">
      <c r="A951" s="93"/>
      <c r="B951" s="95"/>
      <c r="C951" s="76"/>
      <c r="D951" s="76"/>
      <c r="E951" s="76"/>
      <c r="F951" s="95"/>
      <c r="G951" s="95"/>
      <c r="H951" s="95"/>
      <c r="I951" s="95"/>
      <c r="J951" s="104"/>
      <c r="K951" s="99"/>
      <c r="L951" s="99"/>
      <c r="M951" s="76"/>
      <c r="N951" s="76"/>
      <c r="O951" s="76"/>
      <c r="P951" s="76"/>
      <c r="Q951" s="76"/>
      <c r="R951" s="76"/>
      <c r="S951" s="104"/>
      <c r="T951" s="104"/>
      <c r="U951" s="106"/>
      <c r="V951" s="100"/>
      <c r="W951" s="76"/>
    </row>
    <row r="952" spans="1:23">
      <c r="A952" s="93"/>
      <c r="B952" s="95"/>
      <c r="C952" s="76"/>
      <c r="D952" s="76"/>
      <c r="E952" s="76"/>
      <c r="F952" s="95"/>
      <c r="G952" s="95"/>
      <c r="H952" s="95"/>
      <c r="I952" s="95"/>
      <c r="J952" s="104"/>
      <c r="K952" s="99"/>
      <c r="L952" s="99"/>
      <c r="M952" s="76"/>
      <c r="N952" s="76"/>
      <c r="O952" s="76"/>
      <c r="P952" s="76"/>
      <c r="Q952" s="76"/>
      <c r="R952" s="76"/>
      <c r="S952" s="104"/>
      <c r="T952" s="104"/>
      <c r="U952" s="106"/>
      <c r="V952" s="100"/>
      <c r="W952" s="76"/>
    </row>
    <row r="953" spans="1:23">
      <c r="A953" s="93"/>
      <c r="B953" s="95"/>
      <c r="C953" s="76"/>
      <c r="D953" s="76"/>
      <c r="E953" s="76"/>
      <c r="F953" s="95"/>
      <c r="G953" s="95"/>
      <c r="H953" s="95"/>
      <c r="I953" s="95"/>
      <c r="J953" s="104"/>
      <c r="K953" s="99"/>
      <c r="L953" s="99"/>
      <c r="M953" s="76"/>
      <c r="N953" s="76"/>
      <c r="O953" s="76"/>
      <c r="P953" s="76"/>
      <c r="Q953" s="76"/>
      <c r="R953" s="76"/>
      <c r="S953" s="104"/>
      <c r="T953" s="104"/>
      <c r="U953" s="106"/>
      <c r="V953" s="100"/>
      <c r="W953" s="76"/>
    </row>
    <row r="954" spans="1:23">
      <c r="A954" s="93"/>
      <c r="B954" s="95"/>
      <c r="C954" s="76"/>
      <c r="D954" s="76"/>
      <c r="E954" s="76"/>
      <c r="F954" s="95"/>
      <c r="G954" s="95"/>
      <c r="H954" s="95"/>
      <c r="I954" s="95"/>
      <c r="J954" s="104"/>
      <c r="K954" s="99"/>
      <c r="L954" s="99"/>
      <c r="M954" s="76"/>
      <c r="N954" s="76"/>
      <c r="O954" s="76"/>
      <c r="P954" s="76"/>
      <c r="Q954" s="76"/>
      <c r="R954" s="76"/>
      <c r="S954" s="104"/>
      <c r="T954" s="104"/>
      <c r="U954" s="106"/>
      <c r="V954" s="100"/>
      <c r="W954" s="76"/>
    </row>
    <row r="955" spans="1:23">
      <c r="A955" s="93"/>
      <c r="B955" s="95"/>
      <c r="C955" s="76"/>
      <c r="D955" s="76"/>
      <c r="E955" s="76"/>
      <c r="F955" s="95"/>
      <c r="G955" s="95"/>
      <c r="H955" s="95"/>
      <c r="I955" s="95"/>
      <c r="J955" s="104"/>
      <c r="K955" s="99"/>
      <c r="L955" s="99"/>
      <c r="M955" s="76"/>
      <c r="N955" s="76"/>
      <c r="O955" s="76"/>
      <c r="P955" s="76"/>
      <c r="Q955" s="76"/>
      <c r="R955" s="76"/>
      <c r="S955" s="104"/>
      <c r="T955" s="104"/>
      <c r="U955" s="106"/>
      <c r="V955" s="100"/>
      <c r="W955" s="76"/>
    </row>
    <row r="956" spans="1:23">
      <c r="A956" s="93"/>
      <c r="B956" s="95"/>
      <c r="C956" s="76"/>
      <c r="D956" s="76"/>
      <c r="E956" s="76"/>
      <c r="F956" s="95"/>
      <c r="G956" s="95"/>
      <c r="H956" s="95"/>
      <c r="I956" s="95"/>
      <c r="J956" s="104"/>
      <c r="K956" s="99"/>
      <c r="L956" s="99"/>
      <c r="M956" s="76"/>
      <c r="N956" s="76"/>
      <c r="O956" s="76"/>
      <c r="P956" s="76"/>
      <c r="Q956" s="76"/>
      <c r="R956" s="76"/>
      <c r="S956" s="104"/>
      <c r="T956" s="104"/>
      <c r="U956" s="106"/>
      <c r="V956" s="100"/>
      <c r="W956" s="76"/>
    </row>
    <row r="957" spans="1:23">
      <c r="A957" s="93"/>
      <c r="B957" s="95"/>
      <c r="C957" s="76"/>
      <c r="D957" s="76"/>
      <c r="E957" s="76"/>
      <c r="F957" s="95"/>
      <c r="G957" s="95"/>
      <c r="H957" s="95"/>
      <c r="I957" s="95"/>
      <c r="J957" s="104"/>
      <c r="K957" s="99"/>
      <c r="L957" s="99"/>
      <c r="M957" s="76"/>
      <c r="N957" s="76"/>
      <c r="O957" s="76"/>
      <c r="P957" s="76"/>
      <c r="Q957" s="76"/>
      <c r="R957" s="76"/>
      <c r="S957" s="104"/>
      <c r="T957" s="104"/>
      <c r="U957" s="106"/>
      <c r="V957" s="100"/>
      <c r="W957" s="76"/>
    </row>
    <row r="958" spans="1:23">
      <c r="A958" s="93"/>
      <c r="B958" s="95"/>
      <c r="C958" s="76"/>
      <c r="D958" s="76"/>
      <c r="E958" s="76"/>
      <c r="F958" s="95"/>
      <c r="G958" s="95"/>
      <c r="H958" s="95"/>
      <c r="I958" s="95"/>
      <c r="J958" s="104"/>
      <c r="K958" s="99"/>
      <c r="L958" s="99"/>
      <c r="M958" s="76"/>
      <c r="N958" s="76"/>
      <c r="O958" s="76"/>
      <c r="P958" s="76"/>
      <c r="Q958" s="76"/>
      <c r="R958" s="76"/>
      <c r="S958" s="104"/>
      <c r="T958" s="104"/>
      <c r="U958" s="106"/>
      <c r="V958" s="100"/>
      <c r="W958" s="76"/>
    </row>
    <row r="959" spans="1:23">
      <c r="A959" s="93"/>
      <c r="B959" s="95"/>
      <c r="C959" s="76"/>
      <c r="D959" s="76"/>
      <c r="E959" s="76"/>
      <c r="F959" s="95"/>
      <c r="G959" s="95"/>
      <c r="H959" s="95"/>
      <c r="I959" s="95"/>
      <c r="J959" s="104"/>
      <c r="K959" s="99"/>
      <c r="L959" s="99"/>
      <c r="M959" s="76"/>
      <c r="N959" s="76"/>
      <c r="O959" s="76"/>
      <c r="P959" s="76"/>
      <c r="Q959" s="76"/>
      <c r="R959" s="76"/>
      <c r="S959" s="104"/>
      <c r="T959" s="104"/>
      <c r="U959" s="106"/>
      <c r="V959" s="100"/>
      <c r="W959" s="76"/>
    </row>
    <row r="960" spans="1:23">
      <c r="A960" s="93"/>
      <c r="B960" s="95"/>
      <c r="C960" s="76"/>
      <c r="D960" s="76"/>
      <c r="E960" s="76"/>
      <c r="F960" s="95"/>
      <c r="G960" s="95"/>
      <c r="H960" s="95"/>
      <c r="I960" s="95"/>
      <c r="J960" s="104"/>
      <c r="K960" s="99"/>
      <c r="L960" s="99"/>
      <c r="M960" s="76"/>
      <c r="N960" s="76"/>
      <c r="O960" s="76"/>
      <c r="P960" s="76"/>
      <c r="Q960" s="76"/>
      <c r="R960" s="76"/>
      <c r="S960" s="104"/>
      <c r="T960" s="104"/>
      <c r="U960" s="106"/>
      <c r="V960" s="100"/>
      <c r="W960" s="76"/>
    </row>
    <row r="961" spans="1:23">
      <c r="A961" s="93"/>
      <c r="B961" s="95"/>
      <c r="C961" s="76"/>
      <c r="D961" s="76"/>
      <c r="E961" s="76"/>
      <c r="F961" s="95"/>
      <c r="G961" s="95"/>
      <c r="H961" s="95"/>
      <c r="I961" s="95"/>
      <c r="J961" s="104"/>
      <c r="K961" s="99"/>
      <c r="L961" s="99"/>
      <c r="M961" s="76"/>
      <c r="N961" s="76"/>
      <c r="O961" s="76"/>
      <c r="P961" s="76"/>
      <c r="Q961" s="76"/>
      <c r="R961" s="76"/>
      <c r="S961" s="104"/>
      <c r="T961" s="104"/>
      <c r="U961" s="106"/>
      <c r="V961" s="100"/>
      <c r="W961" s="76"/>
    </row>
    <row r="962" spans="1:23">
      <c r="A962" s="93"/>
      <c r="B962" s="95"/>
      <c r="C962" s="76"/>
      <c r="D962" s="76"/>
      <c r="E962" s="76"/>
      <c r="F962" s="95"/>
      <c r="G962" s="95"/>
      <c r="H962" s="95"/>
      <c r="I962" s="95"/>
      <c r="J962" s="104"/>
      <c r="K962" s="99"/>
      <c r="L962" s="99"/>
      <c r="M962" s="76"/>
      <c r="N962" s="76"/>
      <c r="O962" s="76"/>
      <c r="P962" s="76"/>
      <c r="Q962" s="76"/>
      <c r="R962" s="76"/>
      <c r="S962" s="104"/>
      <c r="T962" s="104"/>
      <c r="U962" s="106"/>
      <c r="V962" s="100"/>
      <c r="W962" s="76"/>
    </row>
    <row r="963" spans="1:23">
      <c r="A963" s="93"/>
      <c r="B963" s="95"/>
      <c r="C963" s="76"/>
      <c r="D963" s="76"/>
      <c r="E963" s="76"/>
      <c r="F963" s="95"/>
      <c r="G963" s="95"/>
      <c r="H963" s="95"/>
      <c r="I963" s="95"/>
      <c r="J963" s="104"/>
      <c r="K963" s="99"/>
      <c r="L963" s="99"/>
      <c r="M963" s="76"/>
      <c r="N963" s="76"/>
      <c r="O963" s="76"/>
      <c r="P963" s="76"/>
      <c r="Q963" s="76"/>
      <c r="R963" s="76"/>
      <c r="S963" s="104"/>
      <c r="T963" s="104"/>
      <c r="U963" s="106"/>
      <c r="V963" s="100"/>
      <c r="W963" s="76"/>
    </row>
    <row r="964" spans="1:23">
      <c r="A964" s="93"/>
      <c r="B964" s="95"/>
      <c r="C964" s="76"/>
      <c r="D964" s="76"/>
      <c r="E964" s="76"/>
      <c r="F964" s="95"/>
      <c r="G964" s="95"/>
      <c r="H964" s="95"/>
      <c r="I964" s="95"/>
      <c r="J964" s="104"/>
      <c r="K964" s="99"/>
      <c r="L964" s="99"/>
      <c r="M964" s="76"/>
      <c r="N964" s="76"/>
      <c r="O964" s="76"/>
      <c r="P964" s="76"/>
      <c r="Q964" s="76"/>
      <c r="R964" s="76"/>
      <c r="S964" s="104"/>
      <c r="T964" s="104"/>
      <c r="U964" s="106"/>
      <c r="V964" s="100"/>
      <c r="W964" s="76"/>
    </row>
    <row r="965" spans="1:23">
      <c r="A965" s="93"/>
      <c r="B965" s="95"/>
      <c r="C965" s="76"/>
      <c r="D965" s="76"/>
      <c r="E965" s="76"/>
      <c r="F965" s="95"/>
      <c r="G965" s="95"/>
      <c r="H965" s="95"/>
      <c r="I965" s="95"/>
      <c r="J965" s="104"/>
      <c r="K965" s="99"/>
      <c r="L965" s="99"/>
      <c r="M965" s="76"/>
      <c r="N965" s="76"/>
      <c r="O965" s="76"/>
      <c r="P965" s="76"/>
      <c r="Q965" s="76"/>
      <c r="R965" s="76"/>
      <c r="S965" s="104"/>
      <c r="T965" s="104"/>
      <c r="U965" s="106"/>
      <c r="V965" s="100"/>
      <c r="W965" s="76"/>
    </row>
    <row r="966" spans="1:23">
      <c r="A966" s="93"/>
      <c r="B966" s="95"/>
      <c r="C966" s="76"/>
      <c r="D966" s="76"/>
      <c r="E966" s="76"/>
      <c r="F966" s="95"/>
      <c r="G966" s="95"/>
      <c r="H966" s="95"/>
      <c r="I966" s="95"/>
      <c r="J966" s="104"/>
      <c r="K966" s="99"/>
      <c r="L966" s="99"/>
      <c r="M966" s="76"/>
      <c r="N966" s="76"/>
      <c r="O966" s="76"/>
      <c r="P966" s="76"/>
      <c r="Q966" s="76"/>
      <c r="R966" s="76"/>
      <c r="S966" s="104"/>
      <c r="T966" s="104"/>
      <c r="U966" s="106"/>
      <c r="V966" s="100"/>
      <c r="W966" s="76"/>
    </row>
    <row r="967" spans="1:23">
      <c r="A967" s="93"/>
      <c r="B967" s="95"/>
      <c r="C967" s="76"/>
      <c r="D967" s="76"/>
      <c r="E967" s="76"/>
      <c r="F967" s="95"/>
      <c r="G967" s="95"/>
      <c r="H967" s="95"/>
      <c r="I967" s="95"/>
      <c r="J967" s="104"/>
      <c r="K967" s="99"/>
      <c r="L967" s="99"/>
      <c r="M967" s="76"/>
      <c r="N967" s="76"/>
      <c r="O967" s="76"/>
      <c r="P967" s="76"/>
      <c r="Q967" s="76"/>
      <c r="R967" s="76"/>
      <c r="S967" s="104"/>
      <c r="T967" s="104"/>
      <c r="U967" s="106"/>
      <c r="V967" s="100"/>
      <c r="W967" s="76"/>
    </row>
    <row r="968" spans="1:23">
      <c r="A968" s="93"/>
      <c r="B968" s="95"/>
      <c r="C968" s="76"/>
      <c r="D968" s="76"/>
      <c r="E968" s="76"/>
      <c r="F968" s="95"/>
      <c r="G968" s="95"/>
      <c r="H968" s="95"/>
      <c r="I968" s="95"/>
      <c r="J968" s="104"/>
      <c r="K968" s="99"/>
      <c r="L968" s="99"/>
      <c r="M968" s="76"/>
      <c r="N968" s="76"/>
      <c r="O968" s="76"/>
      <c r="P968" s="76"/>
      <c r="Q968" s="76"/>
      <c r="R968" s="76"/>
      <c r="S968" s="104"/>
      <c r="T968" s="104"/>
      <c r="U968" s="106"/>
      <c r="V968" s="100"/>
      <c r="W968" s="76"/>
    </row>
    <row r="969" spans="1:23">
      <c r="A969" s="93"/>
      <c r="B969" s="95"/>
      <c r="C969" s="76"/>
      <c r="D969" s="76"/>
      <c r="E969" s="76"/>
      <c r="F969" s="95"/>
      <c r="G969" s="95"/>
      <c r="H969" s="95"/>
      <c r="I969" s="95"/>
      <c r="J969" s="104"/>
      <c r="K969" s="99"/>
      <c r="L969" s="99"/>
      <c r="M969" s="76"/>
      <c r="N969" s="76"/>
      <c r="O969" s="76"/>
      <c r="P969" s="76"/>
      <c r="Q969" s="76"/>
      <c r="R969" s="76"/>
      <c r="S969" s="104"/>
      <c r="T969" s="104"/>
      <c r="U969" s="106"/>
      <c r="V969" s="100"/>
      <c r="W969" s="76"/>
    </row>
    <row r="970" spans="1:23">
      <c r="A970" s="93"/>
      <c r="B970" s="95"/>
      <c r="C970" s="76"/>
      <c r="D970" s="76"/>
      <c r="E970" s="76"/>
      <c r="F970" s="95"/>
      <c r="G970" s="95"/>
      <c r="H970" s="95"/>
      <c r="I970" s="95"/>
      <c r="J970" s="104"/>
      <c r="K970" s="99"/>
      <c r="L970" s="99"/>
      <c r="M970" s="76"/>
      <c r="N970" s="76"/>
      <c r="O970" s="76"/>
      <c r="P970" s="76"/>
      <c r="Q970" s="76"/>
      <c r="R970" s="76"/>
      <c r="S970" s="104"/>
      <c r="T970" s="104"/>
      <c r="U970" s="106"/>
      <c r="V970" s="100"/>
      <c r="W970" s="76"/>
    </row>
    <row r="971" spans="1:23">
      <c r="A971" s="93"/>
      <c r="B971" s="95"/>
      <c r="C971" s="76"/>
      <c r="D971" s="76"/>
      <c r="E971" s="76"/>
      <c r="F971" s="95"/>
      <c r="G971" s="95"/>
      <c r="H971" s="95"/>
      <c r="I971" s="95"/>
      <c r="J971" s="104"/>
      <c r="K971" s="99"/>
      <c r="L971" s="99"/>
      <c r="M971" s="76"/>
      <c r="N971" s="76"/>
      <c r="O971" s="76"/>
      <c r="P971" s="76"/>
      <c r="Q971" s="76"/>
      <c r="R971" s="76"/>
      <c r="S971" s="104"/>
      <c r="T971" s="104"/>
      <c r="U971" s="106"/>
      <c r="V971" s="100"/>
      <c r="W971" s="76"/>
    </row>
    <row r="972" spans="1:23">
      <c r="A972" s="93"/>
      <c r="B972" s="95"/>
      <c r="C972" s="76"/>
      <c r="D972" s="76"/>
      <c r="E972" s="76"/>
      <c r="F972" s="95"/>
      <c r="G972" s="95"/>
      <c r="H972" s="95"/>
      <c r="I972" s="95"/>
      <c r="J972" s="104"/>
      <c r="K972" s="99"/>
      <c r="L972" s="99"/>
      <c r="M972" s="76"/>
      <c r="N972" s="76"/>
      <c r="O972" s="76"/>
      <c r="P972" s="76"/>
      <c r="Q972" s="76"/>
      <c r="R972" s="76"/>
      <c r="S972" s="104"/>
      <c r="T972" s="104"/>
      <c r="U972" s="106"/>
      <c r="V972" s="100"/>
      <c r="W972" s="76"/>
    </row>
    <row r="973" spans="1:23">
      <c r="A973" s="93"/>
      <c r="B973" s="95"/>
      <c r="C973" s="76"/>
      <c r="D973" s="76"/>
      <c r="E973" s="76"/>
      <c r="F973" s="95"/>
      <c r="G973" s="95"/>
      <c r="H973" s="95"/>
      <c r="I973" s="95"/>
      <c r="J973" s="104"/>
      <c r="K973" s="99"/>
      <c r="L973" s="99"/>
      <c r="M973" s="76"/>
      <c r="N973" s="76"/>
      <c r="O973" s="76"/>
      <c r="P973" s="76"/>
      <c r="Q973" s="76"/>
      <c r="R973" s="76"/>
      <c r="S973" s="104"/>
      <c r="T973" s="104"/>
      <c r="U973" s="106"/>
      <c r="V973" s="100"/>
      <c r="W973" s="76"/>
    </row>
    <row r="974" spans="1:23">
      <c r="A974" s="93"/>
      <c r="B974" s="95"/>
      <c r="C974" s="76"/>
      <c r="D974" s="76"/>
      <c r="E974" s="76"/>
      <c r="F974" s="95"/>
      <c r="G974" s="95"/>
      <c r="H974" s="95"/>
      <c r="I974" s="95"/>
      <c r="J974" s="104"/>
      <c r="K974" s="99"/>
      <c r="L974" s="99"/>
      <c r="M974" s="76"/>
      <c r="N974" s="76"/>
      <c r="O974" s="76"/>
      <c r="P974" s="76"/>
      <c r="Q974" s="76"/>
      <c r="R974" s="76"/>
      <c r="S974" s="104"/>
      <c r="T974" s="104"/>
      <c r="U974" s="106"/>
      <c r="V974" s="100"/>
      <c r="W974" s="76"/>
    </row>
    <row r="975" spans="1:23">
      <c r="A975" s="93"/>
      <c r="B975" s="95"/>
      <c r="C975" s="76"/>
      <c r="D975" s="76"/>
      <c r="E975" s="76"/>
      <c r="F975" s="95"/>
      <c r="G975" s="95"/>
      <c r="H975" s="95"/>
      <c r="I975" s="95"/>
      <c r="J975" s="104"/>
      <c r="K975" s="99"/>
      <c r="L975" s="99"/>
      <c r="M975" s="76"/>
      <c r="N975" s="76"/>
      <c r="O975" s="76"/>
      <c r="P975" s="76"/>
      <c r="Q975" s="76"/>
      <c r="R975" s="76"/>
      <c r="S975" s="104"/>
      <c r="T975" s="104"/>
      <c r="U975" s="106"/>
      <c r="V975" s="100"/>
      <c r="W975" s="76"/>
    </row>
    <row r="976" spans="1:23">
      <c r="A976" s="93"/>
      <c r="B976" s="95"/>
      <c r="C976" s="76"/>
      <c r="D976" s="76"/>
      <c r="E976" s="76"/>
      <c r="F976" s="95"/>
      <c r="G976" s="95"/>
      <c r="H976" s="95"/>
      <c r="I976" s="95"/>
      <c r="J976" s="104"/>
      <c r="K976" s="99"/>
      <c r="L976" s="99"/>
      <c r="M976" s="76"/>
      <c r="N976" s="76"/>
      <c r="O976" s="76"/>
      <c r="P976" s="76"/>
      <c r="Q976" s="76"/>
      <c r="R976" s="76"/>
      <c r="S976" s="104"/>
      <c r="T976" s="104"/>
      <c r="U976" s="106"/>
      <c r="V976" s="100"/>
      <c r="W976" s="76"/>
    </row>
    <row r="977" spans="1:23">
      <c r="A977" s="93"/>
      <c r="B977" s="95"/>
      <c r="C977" s="76"/>
      <c r="D977" s="76"/>
      <c r="E977" s="76"/>
      <c r="F977" s="95"/>
      <c r="G977" s="95"/>
      <c r="H977" s="95"/>
      <c r="I977" s="95"/>
      <c r="J977" s="104"/>
      <c r="K977" s="99"/>
      <c r="L977" s="99"/>
      <c r="M977" s="76"/>
      <c r="N977" s="76"/>
      <c r="O977" s="76"/>
      <c r="P977" s="76"/>
      <c r="Q977" s="76"/>
      <c r="R977" s="76"/>
      <c r="S977" s="104"/>
      <c r="T977" s="104"/>
      <c r="U977" s="106"/>
      <c r="V977" s="100"/>
      <c r="W977" s="76"/>
    </row>
    <row r="978" spans="1:23">
      <c r="A978" s="93"/>
      <c r="B978" s="95"/>
      <c r="C978" s="76"/>
      <c r="D978" s="76"/>
      <c r="E978" s="76"/>
      <c r="F978" s="95"/>
      <c r="G978" s="95"/>
      <c r="H978" s="95"/>
      <c r="I978" s="95"/>
      <c r="J978" s="104"/>
      <c r="K978" s="99"/>
      <c r="L978" s="99"/>
      <c r="M978" s="76"/>
      <c r="N978" s="76"/>
      <c r="O978" s="76"/>
      <c r="P978" s="76"/>
      <c r="Q978" s="76"/>
      <c r="R978" s="76"/>
      <c r="S978" s="104"/>
      <c r="T978" s="104"/>
      <c r="U978" s="106"/>
      <c r="V978" s="100"/>
      <c r="W978" s="76"/>
    </row>
    <row r="979" spans="1:23">
      <c r="A979" s="93"/>
      <c r="B979" s="95"/>
      <c r="C979" s="76"/>
      <c r="D979" s="76"/>
      <c r="E979" s="76"/>
      <c r="F979" s="95"/>
      <c r="G979" s="95"/>
      <c r="H979" s="95"/>
      <c r="I979" s="95"/>
      <c r="J979" s="104"/>
      <c r="K979" s="99"/>
      <c r="L979" s="99"/>
      <c r="M979" s="76"/>
      <c r="N979" s="76"/>
      <c r="O979" s="76"/>
      <c r="P979" s="76"/>
      <c r="Q979" s="76"/>
      <c r="R979" s="76"/>
      <c r="S979" s="104"/>
      <c r="T979" s="104"/>
      <c r="U979" s="106"/>
      <c r="V979" s="100"/>
      <c r="W979" s="76"/>
    </row>
    <row r="980" spans="1:23">
      <c r="A980" s="93"/>
      <c r="B980" s="95"/>
      <c r="C980" s="76"/>
      <c r="D980" s="76"/>
      <c r="E980" s="76"/>
      <c r="F980" s="95"/>
      <c r="G980" s="95"/>
      <c r="H980" s="95"/>
      <c r="I980" s="95"/>
      <c r="J980" s="104"/>
      <c r="K980" s="99"/>
      <c r="L980" s="99"/>
      <c r="M980" s="76"/>
      <c r="N980" s="76"/>
      <c r="O980" s="76"/>
      <c r="P980" s="76"/>
      <c r="Q980" s="76"/>
      <c r="R980" s="76"/>
      <c r="S980" s="104"/>
      <c r="T980" s="104"/>
      <c r="U980" s="106"/>
      <c r="V980" s="100"/>
      <c r="W980" s="76"/>
    </row>
    <row r="981" spans="1:23">
      <c r="A981" s="93"/>
      <c r="B981" s="95"/>
      <c r="C981" s="76"/>
      <c r="D981" s="76"/>
      <c r="E981" s="76"/>
      <c r="F981" s="95"/>
      <c r="G981" s="95"/>
      <c r="H981" s="95"/>
      <c r="I981" s="95"/>
      <c r="J981" s="104"/>
      <c r="K981" s="99"/>
      <c r="L981" s="99"/>
      <c r="M981" s="76"/>
      <c r="N981" s="76"/>
      <c r="O981" s="76"/>
      <c r="P981" s="76"/>
      <c r="Q981" s="76"/>
      <c r="R981" s="76"/>
      <c r="S981" s="104"/>
      <c r="T981" s="104"/>
      <c r="U981" s="106"/>
      <c r="V981" s="100"/>
      <c r="W981" s="76"/>
    </row>
    <row r="982" spans="1:23">
      <c r="A982" s="93"/>
      <c r="B982" s="95"/>
      <c r="C982" s="76"/>
      <c r="D982" s="76"/>
      <c r="E982" s="76"/>
      <c r="F982" s="95"/>
      <c r="G982" s="95"/>
      <c r="H982" s="95"/>
      <c r="I982" s="95"/>
      <c r="J982" s="104"/>
      <c r="K982" s="99"/>
      <c r="L982" s="99"/>
      <c r="M982" s="76"/>
      <c r="N982" s="76"/>
      <c r="O982" s="76"/>
      <c r="P982" s="76"/>
      <c r="Q982" s="76"/>
      <c r="R982" s="76"/>
      <c r="S982" s="104"/>
      <c r="T982" s="104"/>
      <c r="U982" s="106"/>
      <c r="V982" s="100"/>
      <c r="W982" s="76"/>
    </row>
    <row r="983" spans="1:23">
      <c r="A983" s="93"/>
      <c r="B983" s="95"/>
      <c r="C983" s="76"/>
      <c r="D983" s="76"/>
      <c r="E983" s="76"/>
      <c r="F983" s="95"/>
      <c r="G983" s="95"/>
      <c r="H983" s="95"/>
      <c r="I983" s="95"/>
      <c r="J983" s="104"/>
      <c r="K983" s="99"/>
      <c r="L983" s="99"/>
      <c r="M983" s="76"/>
      <c r="N983" s="76"/>
      <c r="O983" s="76"/>
      <c r="P983" s="76"/>
      <c r="Q983" s="76"/>
      <c r="R983" s="76"/>
      <c r="S983" s="104"/>
      <c r="T983" s="104"/>
      <c r="U983" s="106"/>
      <c r="V983" s="100"/>
      <c r="W983" s="76"/>
    </row>
    <row r="984" spans="1:23">
      <c r="A984" s="93"/>
      <c r="B984" s="95"/>
      <c r="C984" s="76"/>
      <c r="D984" s="76"/>
      <c r="E984" s="76"/>
      <c r="F984" s="95"/>
      <c r="G984" s="95"/>
      <c r="H984" s="95"/>
      <c r="I984" s="95"/>
      <c r="J984" s="104"/>
      <c r="K984" s="99"/>
      <c r="L984" s="99"/>
      <c r="M984" s="76"/>
      <c r="N984" s="76"/>
      <c r="O984" s="76"/>
      <c r="P984" s="76"/>
      <c r="Q984" s="76"/>
      <c r="R984" s="76"/>
      <c r="S984" s="104"/>
      <c r="T984" s="104"/>
      <c r="U984" s="106"/>
      <c r="V984" s="100"/>
      <c r="W984" s="76"/>
    </row>
    <row r="985" spans="1:23">
      <c r="A985" s="93"/>
      <c r="B985" s="95"/>
      <c r="C985" s="76"/>
      <c r="D985" s="76"/>
      <c r="E985" s="76"/>
      <c r="F985" s="95"/>
      <c r="G985" s="95"/>
      <c r="H985" s="95"/>
      <c r="I985" s="95"/>
      <c r="J985" s="104"/>
      <c r="K985" s="99"/>
      <c r="L985" s="99"/>
      <c r="M985" s="76"/>
      <c r="N985" s="76"/>
      <c r="O985" s="76"/>
      <c r="P985" s="76"/>
      <c r="Q985" s="76"/>
      <c r="R985" s="76"/>
      <c r="S985" s="104"/>
      <c r="T985" s="104"/>
      <c r="U985" s="106"/>
      <c r="V985" s="100"/>
      <c r="W985" s="76"/>
    </row>
    <row r="986" spans="1:23">
      <c r="A986" s="93"/>
      <c r="B986" s="95"/>
      <c r="C986" s="76"/>
      <c r="D986" s="76"/>
      <c r="E986" s="76"/>
      <c r="F986" s="95"/>
      <c r="G986" s="95"/>
      <c r="H986" s="95"/>
      <c r="I986" s="95"/>
      <c r="J986" s="104"/>
      <c r="K986" s="99"/>
      <c r="L986" s="99"/>
      <c r="M986" s="76"/>
      <c r="N986" s="76"/>
      <c r="O986" s="76"/>
      <c r="P986" s="76"/>
      <c r="Q986" s="76"/>
      <c r="R986" s="76"/>
      <c r="S986" s="104"/>
      <c r="T986" s="104"/>
      <c r="U986" s="106"/>
      <c r="V986" s="100"/>
      <c r="W986" s="76"/>
    </row>
    <row r="987" spans="1:23">
      <c r="A987" s="93"/>
      <c r="B987" s="95"/>
      <c r="C987" s="76"/>
      <c r="D987" s="76"/>
      <c r="E987" s="76"/>
      <c r="F987" s="95"/>
      <c r="G987" s="95"/>
      <c r="H987" s="95"/>
      <c r="I987" s="95"/>
      <c r="J987" s="104"/>
      <c r="K987" s="99"/>
      <c r="L987" s="99"/>
      <c r="M987" s="76"/>
      <c r="N987" s="76"/>
      <c r="O987" s="76"/>
      <c r="P987" s="76"/>
      <c r="Q987" s="76"/>
      <c r="R987" s="76"/>
      <c r="S987" s="104"/>
      <c r="T987" s="104"/>
      <c r="U987" s="106"/>
      <c r="V987" s="100"/>
      <c r="W987" s="76"/>
    </row>
    <row r="988" spans="1:23">
      <c r="A988" s="93"/>
      <c r="B988" s="95"/>
      <c r="C988" s="76"/>
      <c r="D988" s="76"/>
      <c r="E988" s="76"/>
      <c r="F988" s="95"/>
      <c r="G988" s="95"/>
      <c r="H988" s="95"/>
      <c r="I988" s="95"/>
      <c r="J988" s="104"/>
      <c r="K988" s="99"/>
      <c r="L988" s="99"/>
      <c r="M988" s="76"/>
      <c r="N988" s="76"/>
      <c r="O988" s="76"/>
      <c r="P988" s="76"/>
      <c r="Q988" s="76"/>
      <c r="R988" s="76"/>
      <c r="S988" s="104"/>
      <c r="T988" s="104"/>
      <c r="U988" s="106"/>
      <c r="V988" s="100"/>
      <c r="W988" s="76"/>
    </row>
    <row r="989" spans="1:23">
      <c r="A989" s="93"/>
      <c r="B989" s="95"/>
      <c r="C989" s="76"/>
      <c r="D989" s="76"/>
      <c r="E989" s="76"/>
      <c r="F989" s="95"/>
      <c r="G989" s="95"/>
      <c r="H989" s="95"/>
      <c r="I989" s="95"/>
      <c r="J989" s="104"/>
      <c r="K989" s="99"/>
      <c r="L989" s="99"/>
      <c r="M989" s="76"/>
      <c r="N989" s="76"/>
      <c r="O989" s="76"/>
      <c r="P989" s="76"/>
      <c r="Q989" s="76"/>
      <c r="R989" s="76"/>
      <c r="S989" s="104"/>
      <c r="T989" s="104"/>
      <c r="U989" s="106"/>
      <c r="V989" s="100"/>
      <c r="W989" s="76"/>
    </row>
    <row r="990" spans="1:23">
      <c r="A990" s="93"/>
      <c r="B990" s="95"/>
      <c r="C990" s="76"/>
      <c r="D990" s="76"/>
      <c r="E990" s="76"/>
      <c r="F990" s="95"/>
      <c r="G990" s="95"/>
      <c r="H990" s="95"/>
      <c r="I990" s="95"/>
      <c r="J990" s="104"/>
      <c r="K990" s="99"/>
      <c r="L990" s="99"/>
      <c r="M990" s="76"/>
      <c r="N990" s="76"/>
      <c r="O990" s="76"/>
      <c r="P990" s="76"/>
      <c r="Q990" s="76"/>
      <c r="R990" s="76"/>
      <c r="S990" s="104"/>
      <c r="T990" s="104"/>
      <c r="U990" s="106"/>
      <c r="V990" s="100"/>
      <c r="W990" s="76"/>
    </row>
    <row r="991" spans="1:23">
      <c r="A991" s="93"/>
      <c r="B991" s="95"/>
      <c r="C991" s="76"/>
      <c r="D991" s="76"/>
      <c r="E991" s="76"/>
      <c r="F991" s="95"/>
      <c r="G991" s="95"/>
      <c r="H991" s="95"/>
      <c r="I991" s="95"/>
      <c r="J991" s="104"/>
      <c r="K991" s="99"/>
      <c r="L991" s="99"/>
      <c r="M991" s="76"/>
      <c r="N991" s="76"/>
      <c r="O991" s="76"/>
      <c r="P991" s="76"/>
      <c r="Q991" s="76"/>
      <c r="R991" s="76"/>
      <c r="S991" s="104"/>
      <c r="T991" s="104"/>
      <c r="U991" s="106"/>
      <c r="V991" s="100"/>
      <c r="W991" s="76"/>
    </row>
    <row r="992" spans="1:23">
      <c r="A992" s="93"/>
      <c r="B992" s="95"/>
      <c r="C992" s="76"/>
      <c r="D992" s="76"/>
      <c r="E992" s="76"/>
      <c r="F992" s="95"/>
      <c r="G992" s="95"/>
      <c r="H992" s="95"/>
      <c r="I992" s="95"/>
      <c r="J992" s="104"/>
      <c r="K992" s="99"/>
      <c r="L992" s="99"/>
      <c r="M992" s="76"/>
      <c r="N992" s="76"/>
      <c r="O992" s="76"/>
      <c r="P992" s="76"/>
      <c r="Q992" s="76"/>
      <c r="R992" s="76"/>
      <c r="S992" s="104"/>
      <c r="T992" s="104"/>
      <c r="U992" s="106"/>
      <c r="V992" s="100"/>
      <c r="W992" s="76"/>
    </row>
    <row r="993" spans="1:23">
      <c r="A993" s="93"/>
      <c r="B993" s="95"/>
      <c r="C993" s="76"/>
      <c r="D993" s="76"/>
      <c r="E993" s="76"/>
      <c r="F993" s="95"/>
      <c r="G993" s="95"/>
      <c r="H993" s="95"/>
      <c r="I993" s="95"/>
      <c r="J993" s="104"/>
      <c r="K993" s="99"/>
      <c r="L993" s="99"/>
      <c r="M993" s="76"/>
      <c r="N993" s="76"/>
      <c r="O993" s="76"/>
      <c r="P993" s="76"/>
      <c r="Q993" s="76"/>
      <c r="R993" s="76"/>
      <c r="S993" s="104"/>
      <c r="T993" s="104"/>
      <c r="U993" s="106"/>
      <c r="V993" s="100"/>
      <c r="W993" s="76"/>
    </row>
    <row r="994" spans="1:23">
      <c r="A994" s="93"/>
      <c r="B994" s="95"/>
      <c r="C994" s="76"/>
      <c r="D994" s="76"/>
      <c r="E994" s="76"/>
      <c r="F994" s="95"/>
      <c r="G994" s="95"/>
      <c r="H994" s="95"/>
      <c r="I994" s="95"/>
      <c r="J994" s="104"/>
      <c r="K994" s="99"/>
      <c r="L994" s="99"/>
      <c r="M994" s="76"/>
      <c r="N994" s="76"/>
      <c r="O994" s="76"/>
      <c r="P994" s="76"/>
      <c r="Q994" s="76"/>
      <c r="R994" s="76"/>
      <c r="S994" s="104"/>
      <c r="T994" s="104"/>
      <c r="U994" s="106"/>
      <c r="V994" s="100"/>
      <c r="W994" s="76"/>
    </row>
    <row r="995" spans="1:23">
      <c r="A995" s="93"/>
      <c r="B995" s="95"/>
      <c r="C995" s="76"/>
      <c r="D995" s="76"/>
      <c r="E995" s="76"/>
      <c r="F995" s="95"/>
      <c r="G995" s="95"/>
      <c r="H995" s="95"/>
      <c r="I995" s="95"/>
      <c r="J995" s="104"/>
      <c r="K995" s="99"/>
      <c r="L995" s="99"/>
      <c r="M995" s="76"/>
      <c r="N995" s="76"/>
      <c r="O995" s="76"/>
      <c r="P995" s="76"/>
      <c r="Q995" s="76"/>
      <c r="R995" s="76"/>
      <c r="S995" s="104"/>
      <c r="T995" s="104"/>
      <c r="U995" s="106"/>
      <c r="V995" s="100"/>
      <c r="W995" s="76"/>
    </row>
    <row r="996" spans="1:23">
      <c r="A996" s="93"/>
      <c r="B996" s="95"/>
      <c r="C996" s="76"/>
      <c r="D996" s="76"/>
      <c r="E996" s="76"/>
      <c r="F996" s="95"/>
      <c r="G996" s="95"/>
      <c r="H996" s="95"/>
      <c r="I996" s="95"/>
      <c r="J996" s="104"/>
      <c r="K996" s="99"/>
      <c r="L996" s="99"/>
      <c r="M996" s="76"/>
      <c r="N996" s="76"/>
      <c r="O996" s="76"/>
      <c r="P996" s="76"/>
      <c r="Q996" s="76"/>
      <c r="R996" s="76"/>
      <c r="S996" s="104"/>
      <c r="T996" s="104"/>
      <c r="U996" s="106"/>
      <c r="V996" s="100"/>
      <c r="W996" s="76"/>
    </row>
    <row r="997" spans="1:23">
      <c r="A997" s="93"/>
      <c r="B997" s="95"/>
      <c r="C997" s="76"/>
      <c r="D997" s="76"/>
      <c r="E997" s="76"/>
      <c r="F997" s="95"/>
      <c r="G997" s="95"/>
      <c r="H997" s="95"/>
      <c r="I997" s="95"/>
      <c r="J997" s="104"/>
      <c r="K997" s="99"/>
      <c r="L997" s="99"/>
      <c r="M997" s="76"/>
      <c r="N997" s="76"/>
      <c r="O997" s="76"/>
      <c r="P997" s="76"/>
      <c r="Q997" s="76"/>
      <c r="R997" s="76"/>
      <c r="S997" s="104"/>
      <c r="T997" s="104"/>
      <c r="U997" s="106"/>
      <c r="V997" s="100"/>
      <c r="W997" s="76"/>
    </row>
    <row r="998" spans="1:23">
      <c r="A998" s="93"/>
      <c r="B998" s="95"/>
      <c r="C998" s="76"/>
      <c r="D998" s="76"/>
      <c r="E998" s="76"/>
      <c r="F998" s="95"/>
      <c r="G998" s="95"/>
      <c r="H998" s="95"/>
      <c r="I998" s="95"/>
      <c r="J998" s="104"/>
      <c r="K998" s="99"/>
      <c r="L998" s="99"/>
      <c r="M998" s="76"/>
      <c r="N998" s="76"/>
      <c r="O998" s="76"/>
      <c r="P998" s="76"/>
      <c r="Q998" s="76"/>
      <c r="R998" s="76"/>
      <c r="S998" s="104"/>
      <c r="T998" s="104"/>
      <c r="U998" s="106"/>
      <c r="V998" s="100"/>
      <c r="W998" s="76"/>
    </row>
    <row r="999" spans="1:23">
      <c r="A999" s="93"/>
      <c r="B999" s="95"/>
      <c r="C999" s="76"/>
      <c r="D999" s="76"/>
      <c r="E999" s="76"/>
      <c r="F999" s="95"/>
      <c r="G999" s="95"/>
      <c r="H999" s="95"/>
      <c r="I999" s="95"/>
      <c r="J999" s="104"/>
      <c r="K999" s="99"/>
      <c r="L999" s="99"/>
      <c r="M999" s="76"/>
      <c r="N999" s="76"/>
      <c r="O999" s="76"/>
      <c r="P999" s="76"/>
      <c r="Q999" s="76"/>
      <c r="R999" s="76"/>
      <c r="S999" s="104"/>
      <c r="T999" s="104"/>
      <c r="U999" s="106"/>
      <c r="V999" s="100"/>
      <c r="W999" s="76"/>
    </row>
    <row r="1000" spans="1:23">
      <c r="A1000" s="93"/>
      <c r="B1000" s="95"/>
      <c r="C1000" s="76"/>
      <c r="D1000" s="76"/>
      <c r="E1000" s="76"/>
      <c r="F1000" s="95"/>
      <c r="G1000" s="95"/>
      <c r="H1000" s="95"/>
      <c r="I1000" s="95"/>
      <c r="J1000" s="104"/>
      <c r="K1000" s="99"/>
      <c r="L1000" s="99"/>
      <c r="M1000" s="76"/>
      <c r="N1000" s="76"/>
      <c r="O1000" s="76"/>
      <c r="P1000" s="76"/>
      <c r="Q1000" s="76"/>
      <c r="R1000" s="76"/>
      <c r="S1000" s="104"/>
      <c r="T1000" s="104"/>
      <c r="U1000" s="106"/>
      <c r="V1000" s="100"/>
      <c r="W1000" s="76"/>
    </row>
  </sheetData>
  <mergeCells count="2">
    <mergeCell ref="A1:W2"/>
    <mergeCell ref="A4:W4"/>
  </mergeCells>
  <conditionalFormatting sqref="A6:W1000">
    <cfRule type="expression" dxfId="5" priority="1">
      <formula>$I6="Sick"</formula>
    </cfRule>
    <cfRule type="expression" dxfId="4" priority="2">
      <formula>$H6="Died"</formula>
    </cfRule>
    <cfRule type="expression" dxfId="3" priority="3">
      <formula>$G6="Sold"</formula>
    </cfRule>
  </conditionalFormatting>
  <dataValidations count="4">
    <dataValidation type="list" allowBlank="1" showInputMessage="1" showErrorMessage="1" sqref="C6:C504" xr:uid="{90261115-AF64-5F4A-89C8-4CF973CFBB7D}">
      <formula1>$AB$6:$AB$8</formula1>
    </dataValidation>
    <dataValidation type="list" allowBlank="1" showInputMessage="1" showErrorMessage="1" sqref="D6:D504" xr:uid="{287AE57B-3534-D34E-AAF8-6DAD9FB55610}">
      <formula1>$AD$6:$AD$7</formula1>
    </dataValidation>
    <dataValidation type="list" allowBlank="1" showInputMessage="1" showErrorMessage="1" sqref="P6:P504" xr:uid="{1E9F4EC8-36CD-C545-A87A-BBFBD82C01A6}">
      <formula1>$AE$6:$AE$7</formula1>
    </dataValidation>
    <dataValidation type="list" allowBlank="1" showInputMessage="1" showErrorMessage="1" sqref="W6:W504" xr:uid="{0FDE40EC-5F23-FF40-97D1-4A4AA25655CB}">
      <formula1>$AC$6:$AC$7</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68F8D-D0CC-F644-BE3D-AB1DE7964E6E}">
  <sheetPr codeName="Sheet2">
    <tabColor theme="2" tint="-0.499984740745262"/>
  </sheetPr>
  <dimension ref="A1:XFC505"/>
  <sheetViews>
    <sheetView showGridLines="0" workbookViewId="0">
      <pane ySplit="5" topLeftCell="A6" activePane="bottomLeft" state="frozen"/>
      <selection pane="bottomLeft" activeCell="E13" sqref="E13"/>
    </sheetView>
  </sheetViews>
  <sheetFormatPr baseColWidth="10" defaultColWidth="10.83203125" defaultRowHeight="16"/>
  <cols>
    <col min="1" max="1" width="4.1640625" style="17" bestFit="1" customWidth="1"/>
    <col min="2" max="2" width="11.33203125" style="17" customWidth="1"/>
    <col min="3" max="3" width="8.5" style="17" customWidth="1"/>
    <col min="4" max="4" width="11" style="17" customWidth="1"/>
    <col min="5" max="5" width="15.5" style="17" customWidth="1"/>
    <col min="6" max="6" width="7.5" style="17" customWidth="1"/>
    <col min="7" max="7" width="10.6640625" style="17" customWidth="1"/>
    <col min="8" max="8" width="11.1640625" style="18" bestFit="1" customWidth="1"/>
    <col min="9" max="9" width="10.83203125" style="18" customWidth="1"/>
    <col min="10" max="10" width="10.83203125" style="17" bestFit="1" customWidth="1"/>
    <col min="11" max="11" width="9.1640625" style="17" customWidth="1"/>
    <col min="12" max="12" width="8.1640625" style="17" bestFit="1" customWidth="1"/>
    <col min="13" max="13" width="10.1640625" style="17" customWidth="1"/>
    <col min="14" max="14" width="11.33203125" style="17" customWidth="1"/>
    <col min="15" max="15" width="25.6640625" style="17" customWidth="1"/>
    <col min="16" max="16" width="10.83203125" hidden="1" customWidth="1"/>
    <col min="16383" max="16383" width="10.83203125" hidden="1"/>
  </cols>
  <sheetData>
    <row r="1" spans="1:15">
      <c r="A1" s="124" t="s">
        <v>21</v>
      </c>
      <c r="B1" s="125"/>
      <c r="C1" s="125"/>
      <c r="D1" s="125"/>
      <c r="E1" s="125"/>
      <c r="F1" s="125"/>
      <c r="G1" s="125"/>
      <c r="H1" s="125"/>
      <c r="I1" s="125"/>
      <c r="J1" s="125"/>
      <c r="K1" s="125"/>
      <c r="L1" s="125"/>
      <c r="M1" s="125"/>
      <c r="N1" s="125"/>
      <c r="O1" s="125"/>
    </row>
    <row r="2" spans="1:15">
      <c r="A2" s="126"/>
      <c r="B2" s="127"/>
      <c r="C2" s="127"/>
      <c r="D2" s="127"/>
      <c r="E2" s="127"/>
      <c r="F2" s="127"/>
      <c r="G2" s="127"/>
      <c r="H2" s="127"/>
      <c r="I2" s="127"/>
      <c r="J2" s="127"/>
      <c r="K2" s="127"/>
      <c r="L2" s="127"/>
      <c r="M2" s="127"/>
      <c r="N2" s="127"/>
      <c r="O2" s="127"/>
    </row>
    <row r="3" spans="1:15" ht="4" customHeight="1">
      <c r="A3" s="11"/>
      <c r="B3" s="12"/>
      <c r="C3" s="12"/>
      <c r="D3" s="12"/>
      <c r="E3" s="12"/>
      <c r="F3" s="12"/>
      <c r="G3" s="12"/>
      <c r="H3" s="12"/>
      <c r="I3" s="12"/>
      <c r="J3" s="12"/>
      <c r="K3" s="12"/>
      <c r="L3" s="12"/>
      <c r="M3" s="12"/>
      <c r="N3" s="12"/>
      <c r="O3" s="12"/>
    </row>
    <row r="4" spans="1:15">
      <c r="A4" s="128" t="s">
        <v>33</v>
      </c>
      <c r="B4" s="129"/>
      <c r="C4" s="129"/>
      <c r="D4" s="129"/>
      <c r="E4" s="129"/>
      <c r="F4" s="129"/>
      <c r="G4" s="129"/>
      <c r="H4" s="129"/>
      <c r="I4" s="129"/>
      <c r="J4" s="129"/>
      <c r="K4" s="129"/>
      <c r="L4" s="129"/>
      <c r="M4" s="129"/>
      <c r="N4" s="129"/>
      <c r="O4" s="129"/>
    </row>
    <row r="5" spans="1:15" ht="26">
      <c r="A5" s="13" t="s">
        <v>13</v>
      </c>
      <c r="B5" s="13" t="s">
        <v>0</v>
      </c>
      <c r="C5" s="13" t="s">
        <v>35</v>
      </c>
      <c r="D5" s="13" t="s">
        <v>2</v>
      </c>
      <c r="E5" s="13" t="s">
        <v>34</v>
      </c>
      <c r="F5" s="13" t="s">
        <v>35</v>
      </c>
      <c r="G5" s="13" t="s">
        <v>2</v>
      </c>
      <c r="H5" s="14" t="s">
        <v>36</v>
      </c>
      <c r="I5" s="15" t="s">
        <v>37</v>
      </c>
      <c r="J5" s="15" t="s">
        <v>38</v>
      </c>
      <c r="K5" s="16" t="s">
        <v>43</v>
      </c>
      <c r="L5" s="16" t="s">
        <v>39</v>
      </c>
      <c r="M5" s="16" t="s">
        <v>40</v>
      </c>
      <c r="N5" s="16" t="s">
        <v>41</v>
      </c>
      <c r="O5" s="13" t="s">
        <v>42</v>
      </c>
    </row>
    <row r="6" spans="1:15">
      <c r="A6" s="6">
        <f>ROW(A1)</f>
        <v>1</v>
      </c>
      <c r="C6" s="35" t="str">
        <f>IFERROR(VLOOKUP(B6,'MASTER RECORD'!$B$5:$W$1000,10,0) &amp;"."&amp;(VLOOKUP(B6,'MASTER RECORD'!$B$5:$W$1000,11,0)),"")</f>
        <v/>
      </c>
      <c r="D6" s="35" t="str">
        <f>IFERROR(VLOOKUP(B6,'MASTER RECORD'!$B$5:$W$1000,3,0),"")</f>
        <v/>
      </c>
      <c r="F6" s="35" t="str">
        <f>IFERROR(VLOOKUP(E6,'MASTER RECORD'!$B$5:$W$1000,10,0) &amp;"."&amp;(VLOOKUP(E6,'MASTER RECORD'!$B$5:$W$1000,11,0)),"")</f>
        <v/>
      </c>
      <c r="G6" s="35" t="str">
        <f>IFERROR(VLOOKUP(E6,'MASTER RECORD'!$B$5:$W$1000,3,0),"")</f>
        <v/>
      </c>
      <c r="I6" s="36" t="str">
        <f>IF(H6&gt;0,H6+150,"")</f>
        <v/>
      </c>
      <c r="J6" s="18"/>
      <c r="N6" s="36" t="str">
        <f>IF(J6&gt;0,J6+60,"")</f>
        <v/>
      </c>
    </row>
    <row r="7" spans="1:15">
      <c r="A7" s="6">
        <f t="shared" ref="A7:A70" si="0">ROW(A2)</f>
        <v>2</v>
      </c>
      <c r="C7" s="35" t="str">
        <f>IFERROR(VLOOKUP(B7,'MASTER RECORD'!$B$5:$W$1000,10,0) &amp;"."&amp;(VLOOKUP(B7,'MASTER RECORD'!$B$5:$W$1000,11,0)),"")</f>
        <v/>
      </c>
      <c r="D7" s="35" t="str">
        <f>IFERROR(VLOOKUP(B7,'MASTER RECORD'!$B$5:$W$1000,3,0),"")</f>
        <v/>
      </c>
      <c r="F7" s="35" t="str">
        <f>IFERROR(VLOOKUP(E7,'MASTER RECORD'!$B$5:$W$1000,10,0) &amp;"."&amp;(VLOOKUP(E7,'MASTER RECORD'!$B$5:$W$1000,11,0)),"")</f>
        <v/>
      </c>
      <c r="G7" s="35" t="str">
        <f>IFERROR(VLOOKUP(E7,'MASTER RECORD'!$B$5:$W$1000,3,0),"")</f>
        <v/>
      </c>
      <c r="I7" s="36" t="str">
        <f t="shared" ref="I7:I70" si="1">IF(H7&gt;0,H7+150,"")</f>
        <v/>
      </c>
      <c r="N7" s="36" t="str">
        <f t="shared" ref="N7:N70" si="2">IF(J7&gt;0,J7+60,"")</f>
        <v/>
      </c>
    </row>
    <row r="8" spans="1:15">
      <c r="A8" s="6">
        <f t="shared" si="0"/>
        <v>3</v>
      </c>
      <c r="C8" s="35" t="str">
        <f>IFERROR(VLOOKUP(B8,'MASTER RECORD'!$B$5:$W$1000,10,0) &amp;"."&amp;(VLOOKUP(B8,'MASTER RECORD'!$B$5:$W$1000,11,0)),"")</f>
        <v/>
      </c>
      <c r="D8" s="35" t="str">
        <f>IFERROR(VLOOKUP(B8,'MASTER RECORD'!$B$5:$W$1000,3,0),"")</f>
        <v/>
      </c>
      <c r="F8" s="35" t="str">
        <f>IFERROR(VLOOKUP(E8,'MASTER RECORD'!$B$5:$W$1000,10,0) &amp;"."&amp;(VLOOKUP(E8,'MASTER RECORD'!$B$5:$W$1000,11,0)),"")</f>
        <v/>
      </c>
      <c r="G8" s="35" t="str">
        <f>IFERROR(VLOOKUP(E8,'MASTER RECORD'!$B$5:$W$1000,3,0),"")</f>
        <v/>
      </c>
      <c r="I8" s="36" t="str">
        <f t="shared" si="1"/>
        <v/>
      </c>
      <c r="N8" s="36" t="str">
        <f t="shared" si="2"/>
        <v/>
      </c>
    </row>
    <row r="9" spans="1:15">
      <c r="A9" s="6">
        <f t="shared" si="0"/>
        <v>4</v>
      </c>
      <c r="C9" s="35" t="str">
        <f>IFERROR(VLOOKUP(B9,'MASTER RECORD'!$B$5:$W$1000,10,0) &amp;"."&amp;(VLOOKUP(B9,'MASTER RECORD'!$B$5:$W$1000,11,0)),"")</f>
        <v/>
      </c>
      <c r="D9" s="35" t="str">
        <f>IFERROR(VLOOKUP(B9,'MASTER RECORD'!$B$5:$W$1000,3,0),"")</f>
        <v/>
      </c>
      <c r="F9" s="35" t="str">
        <f>IFERROR(VLOOKUP(E9,'MASTER RECORD'!$B$5:$W$1000,10,0) &amp;"."&amp;(VLOOKUP(E9,'MASTER RECORD'!$B$5:$W$1000,11,0)),"")</f>
        <v/>
      </c>
      <c r="G9" s="35" t="str">
        <f>IFERROR(VLOOKUP(E9,'MASTER RECORD'!$B$5:$W$1000,3,0),"")</f>
        <v/>
      </c>
      <c r="I9" s="36" t="str">
        <f t="shared" si="1"/>
        <v/>
      </c>
      <c r="N9" s="36" t="str">
        <f t="shared" si="2"/>
        <v/>
      </c>
    </row>
    <row r="10" spans="1:15">
      <c r="A10" s="6">
        <f t="shared" si="0"/>
        <v>5</v>
      </c>
      <c r="C10" s="35" t="str">
        <f>IFERROR(VLOOKUP(B10,'MASTER RECORD'!$B$5:$W$1000,10,0) &amp;"."&amp;(VLOOKUP(B10,'MASTER RECORD'!$B$5:$W$1000,11,0)),"")</f>
        <v/>
      </c>
      <c r="D10" s="35" t="str">
        <f>IFERROR(VLOOKUP(B10,'MASTER RECORD'!$B$5:$W$1000,3,0),"")</f>
        <v/>
      </c>
      <c r="F10" s="35" t="str">
        <f>IFERROR(VLOOKUP(E10,'MASTER RECORD'!$B$5:$W$1000,10,0) &amp;"."&amp;(VLOOKUP(E10,'MASTER RECORD'!$B$5:$W$1000,11,0)),"")</f>
        <v/>
      </c>
      <c r="G10" s="35" t="str">
        <f>IFERROR(VLOOKUP(E10,'MASTER RECORD'!$B$5:$W$1000,3,0),"")</f>
        <v/>
      </c>
      <c r="I10" s="36" t="str">
        <f t="shared" si="1"/>
        <v/>
      </c>
      <c r="N10" s="36" t="str">
        <f t="shared" si="2"/>
        <v/>
      </c>
    </row>
    <row r="11" spans="1:15">
      <c r="A11" s="6">
        <f t="shared" si="0"/>
        <v>6</v>
      </c>
      <c r="C11" s="35" t="str">
        <f>IFERROR(VLOOKUP(B11,'MASTER RECORD'!$B$5:$W$1000,10,0) &amp;"."&amp;(VLOOKUP(B11,'MASTER RECORD'!$B$5:$W$1000,11,0)),"")</f>
        <v/>
      </c>
      <c r="D11" s="35" t="str">
        <f>IFERROR(VLOOKUP(B11,'MASTER RECORD'!$B$5:$W$1000,3,0),"")</f>
        <v/>
      </c>
      <c r="F11" s="35" t="str">
        <f>IFERROR(VLOOKUP(E11,'MASTER RECORD'!$B$5:$W$1000,10,0) &amp;"."&amp;(VLOOKUP(E11,'MASTER RECORD'!$B$5:$W$1000,11,0)),"")</f>
        <v/>
      </c>
      <c r="G11" s="35" t="str">
        <f>IFERROR(VLOOKUP(E11,'MASTER RECORD'!$B$5:$W$1000,3,0),"")</f>
        <v/>
      </c>
      <c r="I11" s="36" t="str">
        <f t="shared" si="1"/>
        <v/>
      </c>
      <c r="N11" s="36" t="str">
        <f t="shared" si="2"/>
        <v/>
      </c>
    </row>
    <row r="12" spans="1:15">
      <c r="A12" s="6">
        <f t="shared" si="0"/>
        <v>7</v>
      </c>
      <c r="C12" s="35" t="str">
        <f>IFERROR(VLOOKUP(B12,'MASTER RECORD'!$B$5:$W$1000,10,0) &amp;"."&amp;(VLOOKUP(B12,'MASTER RECORD'!$B$5:$W$1000,11,0)),"")</f>
        <v/>
      </c>
      <c r="D12" s="35" t="str">
        <f>IFERROR(VLOOKUP(B12,'MASTER RECORD'!$B$5:$W$1000,3,0),"")</f>
        <v/>
      </c>
      <c r="F12" s="35" t="str">
        <f>IFERROR(VLOOKUP(E12,'MASTER RECORD'!$B$5:$W$1000,10,0) &amp;"."&amp;(VLOOKUP(E12,'MASTER RECORD'!$B$5:$W$1000,11,0)),"")</f>
        <v/>
      </c>
      <c r="G12" s="35" t="str">
        <f>IFERROR(VLOOKUP(E12,'MASTER RECORD'!$B$5:$W$1000,3,0),"")</f>
        <v/>
      </c>
      <c r="I12" s="36" t="str">
        <f t="shared" si="1"/>
        <v/>
      </c>
      <c r="N12" s="36" t="str">
        <f t="shared" si="2"/>
        <v/>
      </c>
    </row>
    <row r="13" spans="1:15">
      <c r="A13" s="6">
        <f t="shared" si="0"/>
        <v>8</v>
      </c>
      <c r="C13" s="35" t="str">
        <f>IFERROR(VLOOKUP(B13,'MASTER RECORD'!$B$5:$W$1000,10,0) &amp;"."&amp;(VLOOKUP(B13,'MASTER RECORD'!$B$5:$W$1000,11,0)),"")</f>
        <v/>
      </c>
      <c r="D13" s="35" t="str">
        <f>IFERROR(VLOOKUP(B13,'MASTER RECORD'!$B$5:$W$1000,3,0),"")</f>
        <v/>
      </c>
      <c r="F13" s="35" t="str">
        <f>IFERROR(VLOOKUP(E13,'MASTER RECORD'!$B$5:$W$1000,10,0) &amp;"."&amp;(VLOOKUP(E13,'MASTER RECORD'!$B$5:$W$1000,11,0)),"")</f>
        <v/>
      </c>
      <c r="G13" s="35" t="str">
        <f>IFERROR(VLOOKUP(E13,'MASTER RECORD'!$B$5:$W$1000,3,0),"")</f>
        <v/>
      </c>
      <c r="I13" s="36" t="str">
        <f t="shared" si="1"/>
        <v/>
      </c>
      <c r="N13" s="36" t="str">
        <f t="shared" si="2"/>
        <v/>
      </c>
    </row>
    <row r="14" spans="1:15">
      <c r="A14" s="6">
        <f t="shared" si="0"/>
        <v>9</v>
      </c>
      <c r="C14" s="35" t="str">
        <f>IFERROR(VLOOKUP(B14,'MASTER RECORD'!$B$5:$W$1000,10,0) &amp;"."&amp;(VLOOKUP(B14,'MASTER RECORD'!$B$5:$W$1000,11,0)),"")</f>
        <v/>
      </c>
      <c r="D14" s="35" t="str">
        <f>IFERROR(VLOOKUP(B14,'MASTER RECORD'!$B$5:$W$1000,3,0),"")</f>
        <v/>
      </c>
      <c r="F14" s="35" t="str">
        <f>IFERROR(VLOOKUP(E14,'MASTER RECORD'!$B$5:$W$1000,10,0) &amp;"."&amp;(VLOOKUP(E14,'MASTER RECORD'!$B$5:$W$1000,11,0)),"")</f>
        <v/>
      </c>
      <c r="G14" s="35" t="str">
        <f>IFERROR(VLOOKUP(E14,'MASTER RECORD'!$B$5:$W$1000,3,0),"")</f>
        <v/>
      </c>
      <c r="I14" s="36" t="str">
        <f t="shared" si="1"/>
        <v/>
      </c>
      <c r="N14" s="36" t="str">
        <f t="shared" si="2"/>
        <v/>
      </c>
    </row>
    <row r="15" spans="1:15">
      <c r="A15" s="6">
        <f t="shared" si="0"/>
        <v>10</v>
      </c>
      <c r="C15" s="35" t="str">
        <f>IFERROR(VLOOKUP(B15,'MASTER RECORD'!$B$5:$W$1000,10,0) &amp;"."&amp;(VLOOKUP(B15,'MASTER RECORD'!$B$5:$W$1000,11,0)),"")</f>
        <v/>
      </c>
      <c r="D15" s="35" t="str">
        <f>IFERROR(VLOOKUP(B15,'MASTER RECORD'!$B$5:$W$1000,3,0),"")</f>
        <v/>
      </c>
      <c r="F15" s="35" t="str">
        <f>IFERROR(VLOOKUP(E15,'MASTER RECORD'!$B$5:$W$1000,10,0) &amp;"."&amp;(VLOOKUP(E15,'MASTER RECORD'!$B$5:$W$1000,11,0)),"")</f>
        <v/>
      </c>
      <c r="G15" s="35" t="str">
        <f>IFERROR(VLOOKUP(E15,'MASTER RECORD'!$B$5:$W$1000,3,0),"")</f>
        <v/>
      </c>
      <c r="I15" s="36" t="str">
        <f t="shared" si="1"/>
        <v/>
      </c>
      <c r="N15" s="36" t="str">
        <f t="shared" si="2"/>
        <v/>
      </c>
    </row>
    <row r="16" spans="1:15">
      <c r="A16" s="6">
        <f t="shared" si="0"/>
        <v>11</v>
      </c>
      <c r="C16" s="35" t="str">
        <f>IFERROR(VLOOKUP(B16,'MASTER RECORD'!$B$5:$W$1000,10,0) &amp;"."&amp;(VLOOKUP(B16,'MASTER RECORD'!$B$5:$W$1000,11,0)),"")</f>
        <v/>
      </c>
      <c r="D16" s="35" t="str">
        <f>IFERROR(VLOOKUP(B16,'MASTER RECORD'!$B$5:$W$1000,3,0),"")</f>
        <v/>
      </c>
      <c r="F16" s="35" t="str">
        <f>IFERROR(VLOOKUP(E16,'MASTER RECORD'!$B$5:$W$1000,10,0) &amp;"."&amp;(VLOOKUP(E16,'MASTER RECORD'!$B$5:$W$1000,11,0)),"")</f>
        <v/>
      </c>
      <c r="G16" s="35" t="str">
        <f>IFERROR(VLOOKUP(E16,'MASTER RECORD'!$B$5:$W$1000,3,0),"")</f>
        <v/>
      </c>
      <c r="I16" s="36" t="str">
        <f t="shared" si="1"/>
        <v/>
      </c>
      <c r="N16" s="36" t="str">
        <f t="shared" si="2"/>
        <v/>
      </c>
    </row>
    <row r="17" spans="1:14">
      <c r="A17" s="6">
        <f t="shared" si="0"/>
        <v>12</v>
      </c>
      <c r="C17" s="35" t="str">
        <f>IFERROR(VLOOKUP(B17,'MASTER RECORD'!$B$5:$W$1000,10,0) &amp;"."&amp;(VLOOKUP(B17,'MASTER RECORD'!$B$5:$W$1000,11,0)),"")</f>
        <v/>
      </c>
      <c r="D17" s="35" t="str">
        <f>IFERROR(VLOOKUP(B17,'MASTER RECORD'!$B$5:$W$1000,3,0),"")</f>
        <v/>
      </c>
      <c r="F17" s="35" t="str">
        <f>IFERROR(VLOOKUP(E17,'MASTER RECORD'!$B$5:$W$1000,10,0) &amp;"."&amp;(VLOOKUP(E17,'MASTER RECORD'!$B$5:$W$1000,11,0)),"")</f>
        <v/>
      </c>
      <c r="G17" s="35" t="str">
        <f>IFERROR(VLOOKUP(E17,'MASTER RECORD'!$B$5:$W$1000,3,0),"")</f>
        <v/>
      </c>
      <c r="I17" s="36" t="str">
        <f t="shared" si="1"/>
        <v/>
      </c>
      <c r="N17" s="36" t="str">
        <f t="shared" si="2"/>
        <v/>
      </c>
    </row>
    <row r="18" spans="1:14">
      <c r="A18" s="6">
        <f t="shared" si="0"/>
        <v>13</v>
      </c>
      <c r="C18" s="35" t="str">
        <f>IFERROR(VLOOKUP(B18,'MASTER RECORD'!$B$5:$W$1000,10,0) &amp;"."&amp;(VLOOKUP(B18,'MASTER RECORD'!$B$5:$W$1000,11,0)),"")</f>
        <v/>
      </c>
      <c r="D18" s="35" t="str">
        <f>IFERROR(VLOOKUP(B18,'MASTER RECORD'!$B$5:$W$1000,3,0),"")</f>
        <v/>
      </c>
      <c r="F18" s="35" t="str">
        <f>IFERROR(VLOOKUP(E18,'MASTER RECORD'!$B$5:$W$1000,10,0) &amp;"."&amp;(VLOOKUP(E18,'MASTER RECORD'!$B$5:$W$1000,11,0)),"")</f>
        <v/>
      </c>
      <c r="G18" s="35" t="str">
        <f>IFERROR(VLOOKUP(E18,'MASTER RECORD'!$B$5:$W$1000,3,0),"")</f>
        <v/>
      </c>
      <c r="I18" s="36" t="str">
        <f t="shared" si="1"/>
        <v/>
      </c>
      <c r="N18" s="36" t="str">
        <f t="shared" si="2"/>
        <v/>
      </c>
    </row>
    <row r="19" spans="1:14">
      <c r="A19" s="6">
        <f t="shared" si="0"/>
        <v>14</v>
      </c>
      <c r="C19" s="35" t="str">
        <f>IFERROR(VLOOKUP(B19,'MASTER RECORD'!$B$5:$W$1000,10,0) &amp;"."&amp;(VLOOKUP(B19,'MASTER RECORD'!$B$5:$W$1000,11,0)),"")</f>
        <v/>
      </c>
      <c r="D19" s="35" t="str">
        <f>IFERROR(VLOOKUP(B19,'MASTER RECORD'!$B$5:$W$1000,3,0),"")</f>
        <v/>
      </c>
      <c r="F19" s="35" t="str">
        <f>IFERROR(VLOOKUP(E19,'MASTER RECORD'!$B$5:$W$1000,10,0) &amp;"."&amp;(VLOOKUP(E19,'MASTER RECORD'!$B$5:$W$1000,11,0)),"")</f>
        <v/>
      </c>
      <c r="G19" s="35" t="str">
        <f>IFERROR(VLOOKUP(E19,'MASTER RECORD'!$B$5:$W$1000,3,0),"")</f>
        <v/>
      </c>
      <c r="I19" s="36" t="str">
        <f t="shared" si="1"/>
        <v/>
      </c>
      <c r="N19" s="36" t="str">
        <f t="shared" si="2"/>
        <v/>
      </c>
    </row>
    <row r="20" spans="1:14">
      <c r="A20" s="6">
        <f t="shared" si="0"/>
        <v>15</v>
      </c>
      <c r="C20" s="35" t="str">
        <f>IFERROR(VLOOKUP(B20,'MASTER RECORD'!$B$5:$W$1000,10,0) &amp;"."&amp;(VLOOKUP(B20,'MASTER RECORD'!$B$5:$W$1000,11,0)),"")</f>
        <v/>
      </c>
      <c r="D20" s="35" t="str">
        <f>IFERROR(VLOOKUP(B20,'MASTER RECORD'!$B$5:$W$1000,3,0),"")</f>
        <v/>
      </c>
      <c r="F20" s="35" t="str">
        <f>IFERROR(VLOOKUP(E20,'MASTER RECORD'!$B$5:$W$1000,10,0) &amp;"."&amp;(VLOOKUP(E20,'MASTER RECORD'!$B$5:$W$1000,11,0)),"")</f>
        <v/>
      </c>
      <c r="G20" s="35" t="str">
        <f>IFERROR(VLOOKUP(E20,'MASTER RECORD'!$B$5:$W$1000,3,0),"")</f>
        <v/>
      </c>
      <c r="I20" s="36" t="str">
        <f t="shared" si="1"/>
        <v/>
      </c>
      <c r="N20" s="36" t="str">
        <f t="shared" si="2"/>
        <v/>
      </c>
    </row>
    <row r="21" spans="1:14">
      <c r="A21" s="6">
        <f t="shared" si="0"/>
        <v>16</v>
      </c>
      <c r="C21" s="35" t="str">
        <f>IFERROR(VLOOKUP(B21,'MASTER RECORD'!$B$5:$W$1000,10,0) &amp;"."&amp;(VLOOKUP(B21,'MASTER RECORD'!$B$5:$W$1000,11,0)),"")</f>
        <v/>
      </c>
      <c r="D21" s="35" t="str">
        <f>IFERROR(VLOOKUP(B21,'MASTER RECORD'!$B$5:$W$1000,3,0),"")</f>
        <v/>
      </c>
      <c r="F21" s="35" t="str">
        <f>IFERROR(VLOOKUP(E21,'MASTER RECORD'!$B$5:$W$1000,10,0) &amp;"."&amp;(VLOOKUP(E21,'MASTER RECORD'!$B$5:$W$1000,11,0)),"")</f>
        <v/>
      </c>
      <c r="G21" s="35" t="str">
        <f>IFERROR(VLOOKUP(E21,'MASTER RECORD'!$B$5:$W$1000,3,0),"")</f>
        <v/>
      </c>
      <c r="I21" s="36" t="str">
        <f t="shared" si="1"/>
        <v/>
      </c>
      <c r="N21" s="36" t="str">
        <f t="shared" si="2"/>
        <v/>
      </c>
    </row>
    <row r="22" spans="1:14">
      <c r="A22" s="6">
        <f t="shared" si="0"/>
        <v>17</v>
      </c>
      <c r="C22" s="35" t="str">
        <f>IFERROR(VLOOKUP(B22,'MASTER RECORD'!$B$5:$W$1000,10,0) &amp;"."&amp;(VLOOKUP(B22,'MASTER RECORD'!$B$5:$W$1000,11,0)),"")</f>
        <v/>
      </c>
      <c r="D22" s="35" t="str">
        <f>IFERROR(VLOOKUP(B22,'MASTER RECORD'!$B$5:$W$1000,3,0),"")</f>
        <v/>
      </c>
      <c r="F22" s="35" t="str">
        <f>IFERROR(VLOOKUP(E22,'MASTER RECORD'!$B$5:$W$1000,10,0) &amp;"."&amp;(VLOOKUP(E22,'MASTER RECORD'!$B$5:$W$1000,11,0)),"")</f>
        <v/>
      </c>
      <c r="G22" s="35" t="str">
        <f>IFERROR(VLOOKUP(E22,'MASTER RECORD'!$B$5:$W$1000,3,0),"")</f>
        <v/>
      </c>
      <c r="I22" s="36" t="str">
        <f t="shared" si="1"/>
        <v/>
      </c>
      <c r="N22" s="36" t="str">
        <f t="shared" si="2"/>
        <v/>
      </c>
    </row>
    <row r="23" spans="1:14">
      <c r="A23" s="6">
        <f t="shared" si="0"/>
        <v>18</v>
      </c>
      <c r="C23" s="35" t="str">
        <f>IFERROR(VLOOKUP(B23,'MASTER RECORD'!$B$5:$W$1000,10,0) &amp;"."&amp;(VLOOKUP(B23,'MASTER RECORD'!$B$5:$W$1000,11,0)),"")</f>
        <v/>
      </c>
      <c r="D23" s="35" t="str">
        <f>IFERROR(VLOOKUP(B23,'MASTER RECORD'!$B$5:$W$1000,3,0),"")</f>
        <v/>
      </c>
      <c r="F23" s="35" t="str">
        <f>IFERROR(VLOOKUP(E23,'MASTER RECORD'!$B$5:$W$1000,10,0) &amp;"."&amp;(VLOOKUP(E23,'MASTER RECORD'!$B$5:$W$1000,11,0)),"")</f>
        <v/>
      </c>
      <c r="G23" s="35" t="str">
        <f>IFERROR(VLOOKUP(E23,'MASTER RECORD'!$B$5:$W$1000,3,0),"")</f>
        <v/>
      </c>
      <c r="I23" s="36" t="str">
        <f t="shared" si="1"/>
        <v/>
      </c>
      <c r="N23" s="36" t="str">
        <f t="shared" si="2"/>
        <v/>
      </c>
    </row>
    <row r="24" spans="1:14">
      <c r="A24" s="6">
        <f t="shared" si="0"/>
        <v>19</v>
      </c>
      <c r="C24" s="35" t="str">
        <f>IFERROR(VLOOKUP(B24,'MASTER RECORD'!$B$5:$W$1000,10,0) &amp;"."&amp;(VLOOKUP(B24,'MASTER RECORD'!$B$5:$W$1000,11,0)),"")</f>
        <v/>
      </c>
      <c r="D24" s="35" t="str">
        <f>IFERROR(VLOOKUP(B24,'MASTER RECORD'!$B$5:$W$1000,3,0),"")</f>
        <v/>
      </c>
      <c r="F24" s="35" t="str">
        <f>IFERROR(VLOOKUP(E24,'MASTER RECORD'!$B$5:$W$1000,10,0) &amp;"."&amp;(VLOOKUP(E24,'MASTER RECORD'!$B$5:$W$1000,11,0)),"")</f>
        <v/>
      </c>
      <c r="G24" s="35" t="str">
        <f>IFERROR(VLOOKUP(E24,'MASTER RECORD'!$B$5:$W$1000,3,0),"")</f>
        <v/>
      </c>
      <c r="I24" s="36" t="str">
        <f t="shared" si="1"/>
        <v/>
      </c>
      <c r="N24" s="36" t="str">
        <f t="shared" si="2"/>
        <v/>
      </c>
    </row>
    <row r="25" spans="1:14">
      <c r="A25" s="6">
        <f t="shared" si="0"/>
        <v>20</v>
      </c>
      <c r="C25" s="35" t="str">
        <f>IFERROR(VLOOKUP(B25,'MASTER RECORD'!$B$5:$W$1000,10,0) &amp;"."&amp;(VLOOKUP(B25,'MASTER RECORD'!$B$5:$W$1000,11,0)),"")</f>
        <v/>
      </c>
      <c r="D25" s="35" t="str">
        <f>IFERROR(VLOOKUP(B25,'MASTER RECORD'!$B$5:$W$1000,3,0),"")</f>
        <v/>
      </c>
      <c r="F25" s="35" t="str">
        <f>IFERROR(VLOOKUP(E25,'MASTER RECORD'!$B$5:$W$1000,10,0) &amp;"."&amp;(VLOOKUP(E25,'MASTER RECORD'!$B$5:$W$1000,11,0)),"")</f>
        <v/>
      </c>
      <c r="G25" s="35" t="str">
        <f>IFERROR(VLOOKUP(E25,'MASTER RECORD'!$B$5:$W$1000,3,0),"")</f>
        <v/>
      </c>
      <c r="I25" s="36" t="str">
        <f t="shared" si="1"/>
        <v/>
      </c>
      <c r="N25" s="36" t="str">
        <f t="shared" si="2"/>
        <v/>
      </c>
    </row>
    <row r="26" spans="1:14">
      <c r="A26" s="6">
        <f t="shared" si="0"/>
        <v>21</v>
      </c>
      <c r="C26" s="35" t="str">
        <f>IFERROR(VLOOKUP(B26,'MASTER RECORD'!$B$5:$W$1000,10,0) &amp;"."&amp;(VLOOKUP(B26,'MASTER RECORD'!$B$5:$W$1000,11,0)),"")</f>
        <v/>
      </c>
      <c r="D26" s="35" t="str">
        <f>IFERROR(VLOOKUP(B26,'MASTER RECORD'!$B$5:$W$1000,3,0),"")</f>
        <v/>
      </c>
      <c r="F26" s="35" t="str">
        <f>IFERROR(VLOOKUP(E26,'MASTER RECORD'!$B$5:$W$1000,10,0) &amp;"."&amp;(VLOOKUP(E26,'MASTER RECORD'!$B$5:$W$1000,11,0)),"")</f>
        <v/>
      </c>
      <c r="G26" s="35" t="str">
        <f>IFERROR(VLOOKUP(E26,'MASTER RECORD'!$B$5:$W$1000,3,0),"")</f>
        <v/>
      </c>
      <c r="I26" s="36" t="str">
        <f t="shared" si="1"/>
        <v/>
      </c>
      <c r="N26" s="36" t="str">
        <f t="shared" si="2"/>
        <v/>
      </c>
    </row>
    <row r="27" spans="1:14">
      <c r="A27" s="6">
        <f t="shared" si="0"/>
        <v>22</v>
      </c>
      <c r="C27" s="35" t="str">
        <f>IFERROR(VLOOKUP(B27,'MASTER RECORD'!$B$5:$W$1000,10,0) &amp;"."&amp;(VLOOKUP(B27,'MASTER RECORD'!$B$5:$W$1000,11,0)),"")</f>
        <v/>
      </c>
      <c r="D27" s="35" t="str">
        <f>IFERROR(VLOOKUP(B27,'MASTER RECORD'!$B$5:$W$1000,3,0),"")</f>
        <v/>
      </c>
      <c r="F27" s="35" t="str">
        <f>IFERROR(VLOOKUP(E27,'MASTER RECORD'!$B$5:$W$1000,10,0) &amp;"."&amp;(VLOOKUP(E27,'MASTER RECORD'!$B$5:$W$1000,11,0)),"")</f>
        <v/>
      </c>
      <c r="G27" s="35" t="str">
        <f>IFERROR(VLOOKUP(E27,'MASTER RECORD'!$B$5:$W$1000,3,0),"")</f>
        <v/>
      </c>
      <c r="I27" s="36" t="str">
        <f t="shared" si="1"/>
        <v/>
      </c>
      <c r="N27" s="36" t="str">
        <f t="shared" si="2"/>
        <v/>
      </c>
    </row>
    <row r="28" spans="1:14">
      <c r="A28" s="6">
        <f t="shared" si="0"/>
        <v>23</v>
      </c>
      <c r="C28" s="35" t="str">
        <f>IFERROR(VLOOKUP(B28,'MASTER RECORD'!$B$5:$W$1000,10,0) &amp;"."&amp;(VLOOKUP(B28,'MASTER RECORD'!$B$5:$W$1000,11,0)),"")</f>
        <v/>
      </c>
      <c r="D28" s="35" t="str">
        <f>IFERROR(VLOOKUP(B28,'MASTER RECORD'!$B$5:$W$1000,3,0),"")</f>
        <v/>
      </c>
      <c r="F28" s="35" t="str">
        <f>IFERROR(VLOOKUP(E28,'MASTER RECORD'!$B$5:$W$1000,10,0) &amp;"."&amp;(VLOOKUP(E28,'MASTER RECORD'!$B$5:$W$1000,11,0)),"")</f>
        <v/>
      </c>
      <c r="G28" s="35" t="str">
        <f>IFERROR(VLOOKUP(E28,'MASTER RECORD'!$B$5:$W$1000,3,0),"")</f>
        <v/>
      </c>
      <c r="I28" s="36" t="str">
        <f t="shared" si="1"/>
        <v/>
      </c>
      <c r="N28" s="36" t="str">
        <f t="shared" si="2"/>
        <v/>
      </c>
    </row>
    <row r="29" spans="1:14">
      <c r="A29" s="6">
        <f t="shared" si="0"/>
        <v>24</v>
      </c>
      <c r="C29" s="35" t="str">
        <f>IFERROR(VLOOKUP(B29,'MASTER RECORD'!$B$5:$W$1000,10,0) &amp;"."&amp;(VLOOKUP(B29,'MASTER RECORD'!$B$5:$W$1000,11,0)),"")</f>
        <v/>
      </c>
      <c r="D29" s="35" t="str">
        <f>IFERROR(VLOOKUP(B29,'MASTER RECORD'!$B$5:$W$1000,3,0),"")</f>
        <v/>
      </c>
      <c r="F29" s="35" t="str">
        <f>IFERROR(VLOOKUP(E29,'MASTER RECORD'!$B$5:$W$1000,10,0) &amp;"."&amp;(VLOOKUP(E29,'MASTER RECORD'!$B$5:$W$1000,11,0)),"")</f>
        <v/>
      </c>
      <c r="G29" s="35" t="str">
        <f>IFERROR(VLOOKUP(E29,'MASTER RECORD'!$B$5:$W$1000,3,0),"")</f>
        <v/>
      </c>
      <c r="I29" s="36" t="str">
        <f t="shared" si="1"/>
        <v/>
      </c>
      <c r="N29" s="36" t="str">
        <f t="shared" si="2"/>
        <v/>
      </c>
    </row>
    <row r="30" spans="1:14">
      <c r="A30" s="6">
        <f t="shared" si="0"/>
        <v>25</v>
      </c>
      <c r="C30" s="35" t="str">
        <f>IFERROR(VLOOKUP(B30,'MASTER RECORD'!$B$5:$W$1000,10,0) &amp;"."&amp;(VLOOKUP(B30,'MASTER RECORD'!$B$5:$W$1000,11,0)),"")</f>
        <v/>
      </c>
      <c r="D30" s="35" t="str">
        <f>IFERROR(VLOOKUP(B30,'MASTER RECORD'!$B$5:$W$1000,3,0),"")</f>
        <v/>
      </c>
      <c r="F30" s="35" t="str">
        <f>IFERROR(VLOOKUP(E30,'MASTER RECORD'!$B$5:$W$1000,10,0) &amp;"."&amp;(VLOOKUP(E30,'MASTER RECORD'!$B$5:$W$1000,11,0)),"")</f>
        <v/>
      </c>
      <c r="G30" s="35" t="str">
        <f>IFERROR(VLOOKUP(E30,'MASTER RECORD'!$B$5:$W$1000,3,0),"")</f>
        <v/>
      </c>
      <c r="I30" s="36" t="str">
        <f t="shared" si="1"/>
        <v/>
      </c>
      <c r="N30" s="36" t="str">
        <f t="shared" si="2"/>
        <v/>
      </c>
    </row>
    <row r="31" spans="1:14">
      <c r="A31" s="6">
        <f t="shared" si="0"/>
        <v>26</v>
      </c>
      <c r="C31" s="35" t="str">
        <f>IFERROR(VLOOKUP(B31,'MASTER RECORD'!$B$5:$W$1000,10,0) &amp;"."&amp;(VLOOKUP(B31,'MASTER RECORD'!$B$5:$W$1000,11,0)),"")</f>
        <v/>
      </c>
      <c r="D31" s="35" t="str">
        <f>IFERROR(VLOOKUP(B31,'MASTER RECORD'!$B$5:$W$1000,3,0),"")</f>
        <v/>
      </c>
      <c r="F31" s="35" t="str">
        <f>IFERROR(VLOOKUP(E31,'MASTER RECORD'!$B$5:$W$1000,10,0) &amp;"."&amp;(VLOOKUP(E31,'MASTER RECORD'!$B$5:$W$1000,11,0)),"")</f>
        <v/>
      </c>
      <c r="G31" s="35" t="str">
        <f>IFERROR(VLOOKUP(E31,'MASTER RECORD'!$B$5:$W$1000,3,0),"")</f>
        <v/>
      </c>
      <c r="I31" s="36" t="str">
        <f t="shared" si="1"/>
        <v/>
      </c>
      <c r="N31" s="36" t="str">
        <f t="shared" si="2"/>
        <v/>
      </c>
    </row>
    <row r="32" spans="1:14">
      <c r="A32" s="6">
        <f t="shared" si="0"/>
        <v>27</v>
      </c>
      <c r="C32" s="35" t="str">
        <f>IFERROR(VLOOKUP(B32,'MASTER RECORD'!$B$5:$W$1000,10,0) &amp;"."&amp;(VLOOKUP(B32,'MASTER RECORD'!$B$5:$W$1000,11,0)),"")</f>
        <v/>
      </c>
      <c r="D32" s="35" t="str">
        <f>IFERROR(VLOOKUP(B32,'MASTER RECORD'!$B$5:$W$1000,3,0),"")</f>
        <v/>
      </c>
      <c r="F32" s="35" t="str">
        <f>IFERROR(VLOOKUP(E32,'MASTER RECORD'!$B$5:$W$1000,10,0) &amp;"."&amp;(VLOOKUP(E32,'MASTER RECORD'!$B$5:$W$1000,11,0)),"")</f>
        <v/>
      </c>
      <c r="G32" s="35" t="str">
        <f>IFERROR(VLOOKUP(E32,'MASTER RECORD'!$B$5:$W$1000,3,0),"")</f>
        <v/>
      </c>
      <c r="I32" s="36" t="str">
        <f t="shared" si="1"/>
        <v/>
      </c>
      <c r="N32" s="36" t="str">
        <f t="shared" si="2"/>
        <v/>
      </c>
    </row>
    <row r="33" spans="1:14">
      <c r="A33" s="6">
        <f t="shared" si="0"/>
        <v>28</v>
      </c>
      <c r="C33" s="35" t="str">
        <f>IFERROR(VLOOKUP(B33,'MASTER RECORD'!$B$5:$W$1000,10,0) &amp;"."&amp;(VLOOKUP(B33,'MASTER RECORD'!$B$5:$W$1000,11,0)),"")</f>
        <v/>
      </c>
      <c r="D33" s="35" t="str">
        <f>IFERROR(VLOOKUP(B33,'MASTER RECORD'!$B$5:$W$1000,3,0),"")</f>
        <v/>
      </c>
      <c r="F33" s="35" t="str">
        <f>IFERROR(VLOOKUP(E33,'MASTER RECORD'!$B$5:$W$1000,10,0) &amp;"."&amp;(VLOOKUP(E33,'MASTER RECORD'!$B$5:$W$1000,11,0)),"")</f>
        <v/>
      </c>
      <c r="G33" s="35" t="str">
        <f>IFERROR(VLOOKUP(E33,'MASTER RECORD'!$B$5:$W$1000,3,0),"")</f>
        <v/>
      </c>
      <c r="I33" s="36" t="str">
        <f t="shared" si="1"/>
        <v/>
      </c>
      <c r="N33" s="36" t="str">
        <f t="shared" si="2"/>
        <v/>
      </c>
    </row>
    <row r="34" spans="1:14">
      <c r="A34" s="6">
        <f t="shared" si="0"/>
        <v>29</v>
      </c>
      <c r="C34" s="35" t="str">
        <f>IFERROR(VLOOKUP(B34,'MASTER RECORD'!$B$5:$W$1000,10,0) &amp;"."&amp;(VLOOKUP(B34,'MASTER RECORD'!$B$5:$W$1000,11,0)),"")</f>
        <v/>
      </c>
      <c r="D34" s="35" t="str">
        <f>IFERROR(VLOOKUP(B34,'MASTER RECORD'!$B$5:$W$1000,3,0),"")</f>
        <v/>
      </c>
      <c r="F34" s="35" t="str">
        <f>IFERROR(VLOOKUP(E34,'MASTER RECORD'!$B$5:$W$1000,10,0) &amp;"."&amp;(VLOOKUP(E34,'MASTER RECORD'!$B$5:$W$1000,11,0)),"")</f>
        <v/>
      </c>
      <c r="G34" s="35" t="str">
        <f>IFERROR(VLOOKUP(E34,'MASTER RECORD'!$B$5:$W$1000,3,0),"")</f>
        <v/>
      </c>
      <c r="I34" s="36" t="str">
        <f t="shared" si="1"/>
        <v/>
      </c>
      <c r="N34" s="36" t="str">
        <f t="shared" si="2"/>
        <v/>
      </c>
    </row>
    <row r="35" spans="1:14">
      <c r="A35" s="6">
        <f t="shared" si="0"/>
        <v>30</v>
      </c>
      <c r="C35" s="35" t="str">
        <f>IFERROR(VLOOKUP(B35,'MASTER RECORD'!$B$5:$W$1000,10,0) &amp;"."&amp;(VLOOKUP(B35,'MASTER RECORD'!$B$5:$W$1000,11,0)),"")</f>
        <v/>
      </c>
      <c r="D35" s="35" t="str">
        <f>IFERROR(VLOOKUP(B35,'MASTER RECORD'!$B$5:$W$1000,3,0),"")</f>
        <v/>
      </c>
      <c r="F35" s="35" t="str">
        <f>IFERROR(VLOOKUP(E35,'MASTER RECORD'!$B$5:$W$1000,10,0) &amp;"."&amp;(VLOOKUP(E35,'MASTER RECORD'!$B$5:$W$1000,11,0)),"")</f>
        <v/>
      </c>
      <c r="G35" s="35" t="str">
        <f>IFERROR(VLOOKUP(E35,'MASTER RECORD'!$B$5:$W$1000,3,0),"")</f>
        <v/>
      </c>
      <c r="I35" s="36" t="str">
        <f t="shared" si="1"/>
        <v/>
      </c>
      <c r="N35" s="36" t="str">
        <f t="shared" si="2"/>
        <v/>
      </c>
    </row>
    <row r="36" spans="1:14">
      <c r="A36" s="6">
        <f t="shared" si="0"/>
        <v>31</v>
      </c>
      <c r="C36" s="35" t="str">
        <f>IFERROR(VLOOKUP(B36,'MASTER RECORD'!$B$5:$W$1000,10,0) &amp;"."&amp;(VLOOKUP(B36,'MASTER RECORD'!$B$5:$W$1000,11,0)),"")</f>
        <v/>
      </c>
      <c r="D36" s="35" t="str">
        <f>IFERROR(VLOOKUP(B36,'MASTER RECORD'!$B$5:$W$1000,3,0),"")</f>
        <v/>
      </c>
      <c r="F36" s="35" t="str">
        <f>IFERROR(VLOOKUP(E36,'MASTER RECORD'!$B$5:$W$1000,10,0) &amp;"."&amp;(VLOOKUP(E36,'MASTER RECORD'!$B$5:$W$1000,11,0)),"")</f>
        <v/>
      </c>
      <c r="G36" s="35" t="str">
        <f>IFERROR(VLOOKUP(E36,'MASTER RECORD'!$B$5:$W$1000,3,0),"")</f>
        <v/>
      </c>
      <c r="I36" s="36" t="str">
        <f t="shared" si="1"/>
        <v/>
      </c>
      <c r="N36" s="36" t="str">
        <f t="shared" si="2"/>
        <v/>
      </c>
    </row>
    <row r="37" spans="1:14">
      <c r="A37" s="6">
        <f t="shared" si="0"/>
        <v>32</v>
      </c>
      <c r="C37" s="35" t="str">
        <f>IFERROR(VLOOKUP(B37,'MASTER RECORD'!$B$5:$W$1000,10,0) &amp;"."&amp;(VLOOKUP(B37,'MASTER RECORD'!$B$5:$W$1000,11,0)),"")</f>
        <v/>
      </c>
      <c r="D37" s="35" t="str">
        <f>IFERROR(VLOOKUP(B37,'MASTER RECORD'!$B$5:$W$1000,3,0),"")</f>
        <v/>
      </c>
      <c r="F37" s="35" t="str">
        <f>IFERROR(VLOOKUP(E37,'MASTER RECORD'!$B$5:$W$1000,10,0) &amp;"."&amp;(VLOOKUP(E37,'MASTER RECORD'!$B$5:$W$1000,11,0)),"")</f>
        <v/>
      </c>
      <c r="G37" s="35" t="str">
        <f>IFERROR(VLOOKUP(E37,'MASTER RECORD'!$B$5:$W$1000,3,0),"")</f>
        <v/>
      </c>
      <c r="I37" s="36" t="str">
        <f t="shared" si="1"/>
        <v/>
      </c>
      <c r="N37" s="36" t="str">
        <f t="shared" si="2"/>
        <v/>
      </c>
    </row>
    <row r="38" spans="1:14">
      <c r="A38" s="6">
        <f t="shared" si="0"/>
        <v>33</v>
      </c>
      <c r="C38" s="35" t="str">
        <f>IFERROR(VLOOKUP(B38,'MASTER RECORD'!$B$5:$W$1000,10,0) &amp;"."&amp;(VLOOKUP(B38,'MASTER RECORD'!$B$5:$W$1000,11,0)),"")</f>
        <v/>
      </c>
      <c r="D38" s="35" t="str">
        <f>IFERROR(VLOOKUP(B38,'MASTER RECORD'!$B$5:$W$1000,3,0),"")</f>
        <v/>
      </c>
      <c r="F38" s="35" t="str">
        <f>IFERROR(VLOOKUP(E38,'MASTER RECORD'!$B$5:$W$1000,10,0) &amp;"."&amp;(VLOOKUP(E38,'MASTER RECORD'!$B$5:$W$1000,11,0)),"")</f>
        <v/>
      </c>
      <c r="G38" s="35" t="str">
        <f>IFERROR(VLOOKUP(E38,'MASTER RECORD'!$B$5:$W$1000,3,0),"")</f>
        <v/>
      </c>
      <c r="I38" s="36" t="str">
        <f t="shared" si="1"/>
        <v/>
      </c>
      <c r="N38" s="36" t="str">
        <f t="shared" si="2"/>
        <v/>
      </c>
    </row>
    <row r="39" spans="1:14">
      <c r="A39" s="6">
        <f t="shared" si="0"/>
        <v>34</v>
      </c>
      <c r="C39" s="35" t="str">
        <f>IFERROR(VLOOKUP(B39,'MASTER RECORD'!$B$5:$W$1000,10,0) &amp;"."&amp;(VLOOKUP(B39,'MASTER RECORD'!$B$5:$W$1000,11,0)),"")</f>
        <v/>
      </c>
      <c r="D39" s="35" t="str">
        <f>IFERROR(VLOOKUP(B39,'MASTER RECORD'!$B$5:$W$1000,3,0),"")</f>
        <v/>
      </c>
      <c r="F39" s="35" t="str">
        <f>IFERROR(VLOOKUP(E39,'MASTER RECORD'!$B$5:$W$1000,10,0) &amp;"."&amp;(VLOOKUP(E39,'MASTER RECORD'!$B$5:$W$1000,11,0)),"")</f>
        <v/>
      </c>
      <c r="G39" s="35" t="str">
        <f>IFERROR(VLOOKUP(E39,'MASTER RECORD'!$B$5:$W$1000,3,0),"")</f>
        <v/>
      </c>
      <c r="I39" s="36" t="str">
        <f t="shared" si="1"/>
        <v/>
      </c>
      <c r="N39" s="36" t="str">
        <f t="shared" si="2"/>
        <v/>
      </c>
    </row>
    <row r="40" spans="1:14">
      <c r="A40" s="6">
        <f t="shared" si="0"/>
        <v>35</v>
      </c>
      <c r="C40" s="35" t="str">
        <f>IFERROR(VLOOKUP(B40,'MASTER RECORD'!$B$5:$W$1000,10,0) &amp;"."&amp;(VLOOKUP(B40,'MASTER RECORD'!$B$5:$W$1000,11,0)),"")</f>
        <v/>
      </c>
      <c r="D40" s="35" t="str">
        <f>IFERROR(VLOOKUP(B40,'MASTER RECORD'!$B$5:$W$1000,3,0),"")</f>
        <v/>
      </c>
      <c r="F40" s="35" t="str">
        <f>IFERROR(VLOOKUP(E40,'MASTER RECORD'!$B$5:$W$1000,10,0) &amp;"."&amp;(VLOOKUP(E40,'MASTER RECORD'!$B$5:$W$1000,11,0)),"")</f>
        <v/>
      </c>
      <c r="G40" s="35" t="str">
        <f>IFERROR(VLOOKUP(E40,'MASTER RECORD'!$B$5:$W$1000,3,0),"")</f>
        <v/>
      </c>
      <c r="I40" s="36" t="str">
        <f t="shared" si="1"/>
        <v/>
      </c>
      <c r="N40" s="36" t="str">
        <f t="shared" si="2"/>
        <v/>
      </c>
    </row>
    <row r="41" spans="1:14">
      <c r="A41" s="6">
        <f t="shared" si="0"/>
        <v>36</v>
      </c>
      <c r="C41" s="35" t="str">
        <f>IFERROR(VLOOKUP(B41,'MASTER RECORD'!$B$5:$W$1000,10,0) &amp;"."&amp;(VLOOKUP(B41,'MASTER RECORD'!$B$5:$W$1000,11,0)),"")</f>
        <v/>
      </c>
      <c r="D41" s="35" t="str">
        <f>IFERROR(VLOOKUP(B41,'MASTER RECORD'!$B$5:$W$1000,3,0),"")</f>
        <v/>
      </c>
      <c r="F41" s="35" t="str">
        <f>IFERROR(VLOOKUP(E41,'MASTER RECORD'!$B$5:$W$1000,10,0) &amp;"."&amp;(VLOOKUP(E41,'MASTER RECORD'!$B$5:$W$1000,11,0)),"")</f>
        <v/>
      </c>
      <c r="G41" s="35" t="str">
        <f>IFERROR(VLOOKUP(E41,'MASTER RECORD'!$B$5:$W$1000,3,0),"")</f>
        <v/>
      </c>
      <c r="I41" s="36" t="str">
        <f t="shared" si="1"/>
        <v/>
      </c>
      <c r="N41" s="36" t="str">
        <f t="shared" si="2"/>
        <v/>
      </c>
    </row>
    <row r="42" spans="1:14">
      <c r="A42" s="6">
        <f t="shared" si="0"/>
        <v>37</v>
      </c>
      <c r="C42" s="35" t="str">
        <f>IFERROR(VLOOKUP(B42,'MASTER RECORD'!$B$5:$W$1000,10,0) &amp;"."&amp;(VLOOKUP(B42,'MASTER RECORD'!$B$5:$W$1000,11,0)),"")</f>
        <v/>
      </c>
      <c r="D42" s="35" t="str">
        <f>IFERROR(VLOOKUP(B42,'MASTER RECORD'!$B$5:$W$1000,3,0),"")</f>
        <v/>
      </c>
      <c r="F42" s="35" t="str">
        <f>IFERROR(VLOOKUP(E42,'MASTER RECORD'!$B$5:$W$1000,10,0) &amp;"."&amp;(VLOOKUP(E42,'MASTER RECORD'!$B$5:$W$1000,11,0)),"")</f>
        <v/>
      </c>
      <c r="G42" s="35" t="str">
        <f>IFERROR(VLOOKUP(E42,'MASTER RECORD'!$B$5:$W$1000,3,0),"")</f>
        <v/>
      </c>
      <c r="I42" s="36" t="str">
        <f t="shared" si="1"/>
        <v/>
      </c>
      <c r="N42" s="36" t="str">
        <f t="shared" si="2"/>
        <v/>
      </c>
    </row>
    <row r="43" spans="1:14">
      <c r="A43" s="6">
        <f t="shared" si="0"/>
        <v>38</v>
      </c>
      <c r="C43" s="35" t="str">
        <f>IFERROR(VLOOKUP(B43,'MASTER RECORD'!$B$5:$W$1000,10,0) &amp;"."&amp;(VLOOKUP(B43,'MASTER RECORD'!$B$5:$W$1000,11,0)),"")</f>
        <v/>
      </c>
      <c r="D43" s="35" t="str">
        <f>IFERROR(VLOOKUP(B43,'MASTER RECORD'!$B$5:$W$1000,3,0),"")</f>
        <v/>
      </c>
      <c r="F43" s="35" t="str">
        <f>IFERROR(VLOOKUP(E43,'MASTER RECORD'!$B$5:$W$1000,10,0) &amp;"."&amp;(VLOOKUP(E43,'MASTER RECORD'!$B$5:$W$1000,11,0)),"")</f>
        <v/>
      </c>
      <c r="G43" s="35" t="str">
        <f>IFERROR(VLOOKUP(E43,'MASTER RECORD'!$B$5:$W$1000,3,0),"")</f>
        <v/>
      </c>
      <c r="I43" s="36" t="str">
        <f t="shared" si="1"/>
        <v/>
      </c>
      <c r="N43" s="36" t="str">
        <f t="shared" si="2"/>
        <v/>
      </c>
    </row>
    <row r="44" spans="1:14">
      <c r="A44" s="6">
        <f t="shared" si="0"/>
        <v>39</v>
      </c>
      <c r="C44" s="35" t="str">
        <f>IFERROR(VLOOKUP(B44,'MASTER RECORD'!$B$5:$W$1000,10,0) &amp;"."&amp;(VLOOKUP(B44,'MASTER RECORD'!$B$5:$W$1000,11,0)),"")</f>
        <v/>
      </c>
      <c r="D44" s="35" t="str">
        <f>IFERROR(VLOOKUP(B44,'MASTER RECORD'!$B$5:$W$1000,3,0),"")</f>
        <v/>
      </c>
      <c r="F44" s="35" t="str">
        <f>IFERROR(VLOOKUP(E44,'MASTER RECORD'!$B$5:$W$1000,10,0) &amp;"."&amp;(VLOOKUP(E44,'MASTER RECORD'!$B$5:$W$1000,11,0)),"")</f>
        <v/>
      </c>
      <c r="G44" s="35" t="str">
        <f>IFERROR(VLOOKUP(E44,'MASTER RECORD'!$B$5:$W$1000,3,0),"")</f>
        <v/>
      </c>
      <c r="I44" s="36" t="str">
        <f t="shared" si="1"/>
        <v/>
      </c>
      <c r="N44" s="36" t="str">
        <f t="shared" si="2"/>
        <v/>
      </c>
    </row>
    <row r="45" spans="1:14">
      <c r="A45" s="6">
        <f t="shared" si="0"/>
        <v>40</v>
      </c>
      <c r="C45" s="35" t="str">
        <f>IFERROR(VLOOKUP(B45,'MASTER RECORD'!$B$5:$W$1000,10,0) &amp;"."&amp;(VLOOKUP(B45,'MASTER RECORD'!$B$5:$W$1000,11,0)),"")</f>
        <v/>
      </c>
      <c r="D45" s="35" t="str">
        <f>IFERROR(VLOOKUP(B45,'MASTER RECORD'!$B$5:$W$1000,3,0),"")</f>
        <v/>
      </c>
      <c r="F45" s="35" t="str">
        <f>IFERROR(VLOOKUP(E45,'MASTER RECORD'!$B$5:$W$1000,10,0) &amp;"."&amp;(VLOOKUP(E45,'MASTER RECORD'!$B$5:$W$1000,11,0)),"")</f>
        <v/>
      </c>
      <c r="G45" s="35" t="str">
        <f>IFERROR(VLOOKUP(E45,'MASTER RECORD'!$B$5:$W$1000,3,0),"")</f>
        <v/>
      </c>
      <c r="I45" s="36" t="str">
        <f t="shared" si="1"/>
        <v/>
      </c>
      <c r="N45" s="36" t="str">
        <f t="shared" si="2"/>
        <v/>
      </c>
    </row>
    <row r="46" spans="1:14">
      <c r="A46" s="6">
        <f t="shared" si="0"/>
        <v>41</v>
      </c>
      <c r="C46" s="35" t="str">
        <f>IFERROR(VLOOKUP(B46,'MASTER RECORD'!$B$5:$W$1000,10,0) &amp;"."&amp;(VLOOKUP(B46,'MASTER RECORD'!$B$5:$W$1000,11,0)),"")</f>
        <v/>
      </c>
      <c r="D46" s="35" t="str">
        <f>IFERROR(VLOOKUP(B46,'MASTER RECORD'!$B$5:$W$1000,3,0),"")</f>
        <v/>
      </c>
      <c r="F46" s="35" t="str">
        <f>IFERROR(VLOOKUP(E46,'MASTER RECORD'!$B$5:$W$1000,10,0) &amp;"."&amp;(VLOOKUP(E46,'MASTER RECORD'!$B$5:$W$1000,11,0)),"")</f>
        <v/>
      </c>
      <c r="G46" s="35" t="str">
        <f>IFERROR(VLOOKUP(E46,'MASTER RECORD'!$B$5:$W$1000,3,0),"")</f>
        <v/>
      </c>
      <c r="I46" s="36" t="str">
        <f t="shared" si="1"/>
        <v/>
      </c>
      <c r="N46" s="36" t="str">
        <f t="shared" si="2"/>
        <v/>
      </c>
    </row>
    <row r="47" spans="1:14">
      <c r="A47" s="6">
        <f t="shared" si="0"/>
        <v>42</v>
      </c>
      <c r="C47" s="35" t="str">
        <f>IFERROR(VLOOKUP(B47,'MASTER RECORD'!$B$5:$W$1000,10,0) &amp;"."&amp;(VLOOKUP(B47,'MASTER RECORD'!$B$5:$W$1000,11,0)),"")</f>
        <v/>
      </c>
      <c r="D47" s="35" t="str">
        <f>IFERROR(VLOOKUP(B47,'MASTER RECORD'!$B$5:$W$1000,3,0),"")</f>
        <v/>
      </c>
      <c r="F47" s="35" t="str">
        <f>IFERROR(VLOOKUP(E47,'MASTER RECORD'!$B$5:$W$1000,10,0) &amp;"."&amp;(VLOOKUP(E47,'MASTER RECORD'!$B$5:$W$1000,11,0)),"")</f>
        <v/>
      </c>
      <c r="G47" s="35" t="str">
        <f>IFERROR(VLOOKUP(E47,'MASTER RECORD'!$B$5:$W$1000,3,0),"")</f>
        <v/>
      </c>
      <c r="I47" s="36" t="str">
        <f t="shared" si="1"/>
        <v/>
      </c>
      <c r="N47" s="36" t="str">
        <f t="shared" si="2"/>
        <v/>
      </c>
    </row>
    <row r="48" spans="1:14">
      <c r="A48" s="6">
        <f t="shared" si="0"/>
        <v>43</v>
      </c>
      <c r="C48" s="35" t="str">
        <f>IFERROR(VLOOKUP(B48,'MASTER RECORD'!$B$5:$W$1000,10,0) &amp;"."&amp;(VLOOKUP(B48,'MASTER RECORD'!$B$5:$W$1000,11,0)),"")</f>
        <v/>
      </c>
      <c r="D48" s="35" t="str">
        <f>IFERROR(VLOOKUP(B48,'MASTER RECORD'!$B$5:$W$1000,3,0),"")</f>
        <v/>
      </c>
      <c r="F48" s="35" t="str">
        <f>IFERROR(VLOOKUP(E48,'MASTER RECORD'!$B$5:$W$1000,10,0) &amp;"."&amp;(VLOOKUP(E48,'MASTER RECORD'!$B$5:$W$1000,11,0)),"")</f>
        <v/>
      </c>
      <c r="G48" s="35" t="str">
        <f>IFERROR(VLOOKUP(E48,'MASTER RECORD'!$B$5:$W$1000,3,0),"")</f>
        <v/>
      </c>
      <c r="I48" s="36" t="str">
        <f t="shared" si="1"/>
        <v/>
      </c>
      <c r="N48" s="36" t="str">
        <f t="shared" si="2"/>
        <v/>
      </c>
    </row>
    <row r="49" spans="1:14">
      <c r="A49" s="6">
        <f t="shared" si="0"/>
        <v>44</v>
      </c>
      <c r="C49" s="35" t="str">
        <f>IFERROR(VLOOKUP(B49,'MASTER RECORD'!$B$5:$W$1000,10,0) &amp;"."&amp;(VLOOKUP(B49,'MASTER RECORD'!$B$5:$W$1000,11,0)),"")</f>
        <v/>
      </c>
      <c r="D49" s="35" t="str">
        <f>IFERROR(VLOOKUP(B49,'MASTER RECORD'!$B$5:$W$1000,3,0),"")</f>
        <v/>
      </c>
      <c r="F49" s="35" t="str">
        <f>IFERROR(VLOOKUP(E49,'MASTER RECORD'!$B$5:$W$1000,10,0) &amp;"."&amp;(VLOOKUP(E49,'MASTER RECORD'!$B$5:$W$1000,11,0)),"")</f>
        <v/>
      </c>
      <c r="G49" s="35" t="str">
        <f>IFERROR(VLOOKUP(E49,'MASTER RECORD'!$B$5:$W$1000,3,0),"")</f>
        <v/>
      </c>
      <c r="I49" s="36" t="str">
        <f t="shared" si="1"/>
        <v/>
      </c>
      <c r="N49" s="36" t="str">
        <f t="shared" si="2"/>
        <v/>
      </c>
    </row>
    <row r="50" spans="1:14">
      <c r="A50" s="6">
        <f t="shared" si="0"/>
        <v>45</v>
      </c>
      <c r="C50" s="35" t="str">
        <f>IFERROR(VLOOKUP(B50,'MASTER RECORD'!$B$5:$W$1000,10,0) &amp;"."&amp;(VLOOKUP(B50,'MASTER RECORD'!$B$5:$W$1000,11,0)),"")</f>
        <v/>
      </c>
      <c r="D50" s="35" t="str">
        <f>IFERROR(VLOOKUP(B50,'MASTER RECORD'!$B$5:$W$1000,3,0),"")</f>
        <v/>
      </c>
      <c r="F50" s="35" t="str">
        <f>IFERROR(VLOOKUP(E50,'MASTER RECORD'!$B$5:$W$1000,10,0) &amp;"."&amp;(VLOOKUP(E50,'MASTER RECORD'!$B$5:$W$1000,11,0)),"")</f>
        <v/>
      </c>
      <c r="G50" s="35" t="str">
        <f>IFERROR(VLOOKUP(E50,'MASTER RECORD'!$B$5:$W$1000,3,0),"")</f>
        <v/>
      </c>
      <c r="I50" s="36" t="str">
        <f t="shared" si="1"/>
        <v/>
      </c>
      <c r="N50" s="36" t="str">
        <f t="shared" si="2"/>
        <v/>
      </c>
    </row>
    <row r="51" spans="1:14">
      <c r="A51" s="6">
        <f t="shared" si="0"/>
        <v>46</v>
      </c>
      <c r="C51" s="35" t="str">
        <f>IFERROR(VLOOKUP(B51,'MASTER RECORD'!$B$5:$W$1000,10,0) &amp;"."&amp;(VLOOKUP(B51,'MASTER RECORD'!$B$5:$W$1000,11,0)),"")</f>
        <v/>
      </c>
      <c r="D51" s="35" t="str">
        <f>IFERROR(VLOOKUP(B51,'MASTER RECORD'!$B$5:$W$1000,3,0),"")</f>
        <v/>
      </c>
      <c r="F51" s="35" t="str">
        <f>IFERROR(VLOOKUP(E51,'MASTER RECORD'!$B$5:$W$1000,10,0) &amp;"."&amp;(VLOOKUP(E51,'MASTER RECORD'!$B$5:$W$1000,11,0)),"")</f>
        <v/>
      </c>
      <c r="G51" s="35" t="str">
        <f>IFERROR(VLOOKUP(E51,'MASTER RECORD'!$B$5:$W$1000,3,0),"")</f>
        <v/>
      </c>
      <c r="I51" s="36" t="str">
        <f t="shared" si="1"/>
        <v/>
      </c>
      <c r="N51" s="36" t="str">
        <f t="shared" si="2"/>
        <v/>
      </c>
    </row>
    <row r="52" spans="1:14">
      <c r="A52" s="6">
        <f t="shared" si="0"/>
        <v>47</v>
      </c>
      <c r="C52" s="35" t="str">
        <f>IFERROR(VLOOKUP(B52,'MASTER RECORD'!$B$5:$W$1000,10,0) &amp;"."&amp;(VLOOKUP(B52,'MASTER RECORD'!$B$5:$W$1000,11,0)),"")</f>
        <v/>
      </c>
      <c r="D52" s="35" t="str">
        <f>IFERROR(VLOOKUP(B52,'MASTER RECORD'!$B$5:$W$1000,3,0),"")</f>
        <v/>
      </c>
      <c r="F52" s="35" t="str">
        <f>IFERROR(VLOOKUP(E52,'MASTER RECORD'!$B$5:$W$1000,10,0) &amp;"."&amp;(VLOOKUP(E52,'MASTER RECORD'!$B$5:$W$1000,11,0)),"")</f>
        <v/>
      </c>
      <c r="G52" s="35" t="str">
        <f>IFERROR(VLOOKUP(E52,'MASTER RECORD'!$B$5:$W$1000,3,0),"")</f>
        <v/>
      </c>
      <c r="I52" s="36" t="str">
        <f t="shared" si="1"/>
        <v/>
      </c>
      <c r="N52" s="36" t="str">
        <f t="shared" si="2"/>
        <v/>
      </c>
    </row>
    <row r="53" spans="1:14">
      <c r="A53" s="6">
        <f t="shared" si="0"/>
        <v>48</v>
      </c>
      <c r="C53" s="35" t="str">
        <f>IFERROR(VLOOKUP(B53,'MASTER RECORD'!$B$5:$W$1000,10,0) &amp;"."&amp;(VLOOKUP(B53,'MASTER RECORD'!$B$5:$W$1000,11,0)),"")</f>
        <v/>
      </c>
      <c r="D53" s="35" t="str">
        <f>IFERROR(VLOOKUP(B53,'MASTER RECORD'!$B$5:$W$1000,3,0),"")</f>
        <v/>
      </c>
      <c r="F53" s="35" t="str">
        <f>IFERROR(VLOOKUP(E53,'MASTER RECORD'!$B$5:$W$1000,10,0) &amp;"."&amp;(VLOOKUP(E53,'MASTER RECORD'!$B$5:$W$1000,11,0)),"")</f>
        <v/>
      </c>
      <c r="G53" s="35" t="str">
        <f>IFERROR(VLOOKUP(E53,'MASTER RECORD'!$B$5:$W$1000,3,0),"")</f>
        <v/>
      </c>
      <c r="I53" s="36" t="str">
        <f t="shared" si="1"/>
        <v/>
      </c>
      <c r="N53" s="36" t="str">
        <f t="shared" si="2"/>
        <v/>
      </c>
    </row>
    <row r="54" spans="1:14">
      <c r="A54" s="6">
        <f t="shared" si="0"/>
        <v>49</v>
      </c>
      <c r="C54" s="35" t="str">
        <f>IFERROR(VLOOKUP(B54,'MASTER RECORD'!$B$5:$W$1000,10,0) &amp;"."&amp;(VLOOKUP(B54,'MASTER RECORD'!$B$5:$W$1000,11,0)),"")</f>
        <v/>
      </c>
      <c r="D54" s="35" t="str">
        <f>IFERROR(VLOOKUP(B54,'MASTER RECORD'!$B$5:$W$1000,3,0),"")</f>
        <v/>
      </c>
      <c r="F54" s="35" t="str">
        <f>IFERROR(VLOOKUP(E54,'MASTER RECORD'!$B$5:$W$1000,10,0) &amp;"."&amp;(VLOOKUP(E54,'MASTER RECORD'!$B$5:$W$1000,11,0)),"")</f>
        <v/>
      </c>
      <c r="G54" s="35" t="str">
        <f>IFERROR(VLOOKUP(E54,'MASTER RECORD'!$B$5:$W$1000,3,0),"")</f>
        <v/>
      </c>
      <c r="I54" s="36" t="str">
        <f t="shared" si="1"/>
        <v/>
      </c>
      <c r="N54" s="36" t="str">
        <f t="shared" si="2"/>
        <v/>
      </c>
    </row>
    <row r="55" spans="1:14">
      <c r="A55" s="6">
        <f t="shared" si="0"/>
        <v>50</v>
      </c>
      <c r="C55" s="35" t="str">
        <f>IFERROR(VLOOKUP(B55,'MASTER RECORD'!$B$5:$W$1000,10,0) &amp;"."&amp;(VLOOKUP(B55,'MASTER RECORD'!$B$5:$W$1000,11,0)),"")</f>
        <v/>
      </c>
      <c r="D55" s="35" t="str">
        <f>IFERROR(VLOOKUP(B55,'MASTER RECORD'!$B$5:$W$1000,3,0),"")</f>
        <v/>
      </c>
      <c r="F55" s="35" t="str">
        <f>IFERROR(VLOOKUP(E55,'MASTER RECORD'!$B$5:$W$1000,10,0) &amp;"."&amp;(VLOOKUP(E55,'MASTER RECORD'!$B$5:$W$1000,11,0)),"")</f>
        <v/>
      </c>
      <c r="G55" s="35" t="str">
        <f>IFERROR(VLOOKUP(E55,'MASTER RECORD'!$B$5:$W$1000,3,0),"")</f>
        <v/>
      </c>
      <c r="I55" s="36" t="str">
        <f t="shared" si="1"/>
        <v/>
      </c>
      <c r="N55" s="36" t="str">
        <f t="shared" si="2"/>
        <v/>
      </c>
    </row>
    <row r="56" spans="1:14">
      <c r="A56" s="6">
        <f t="shared" si="0"/>
        <v>51</v>
      </c>
      <c r="C56" s="35" t="str">
        <f>IFERROR(VLOOKUP(B56,'MASTER RECORD'!$B$5:$W$1000,10,0) &amp;"."&amp;(VLOOKUP(B56,'MASTER RECORD'!$B$5:$W$1000,11,0)),"")</f>
        <v/>
      </c>
      <c r="D56" s="35" t="str">
        <f>IFERROR(VLOOKUP(B56,'MASTER RECORD'!$B$5:$W$1000,3,0),"")</f>
        <v/>
      </c>
      <c r="F56" s="35" t="str">
        <f>IFERROR(VLOOKUP(E56,'MASTER RECORD'!$B$5:$W$1000,10,0) &amp;"."&amp;(VLOOKUP(E56,'MASTER RECORD'!$B$5:$W$1000,11,0)),"")</f>
        <v/>
      </c>
      <c r="G56" s="35" t="str">
        <f>IFERROR(VLOOKUP(E56,'MASTER RECORD'!$B$5:$W$1000,3,0),"")</f>
        <v/>
      </c>
      <c r="I56" s="36" t="str">
        <f t="shared" si="1"/>
        <v/>
      </c>
      <c r="N56" s="36" t="str">
        <f t="shared" si="2"/>
        <v/>
      </c>
    </row>
    <row r="57" spans="1:14">
      <c r="A57" s="6">
        <f t="shared" si="0"/>
        <v>52</v>
      </c>
      <c r="C57" s="35" t="str">
        <f>IFERROR(VLOOKUP(B57,'MASTER RECORD'!$B$5:$W$1000,10,0) &amp;"."&amp;(VLOOKUP(B57,'MASTER RECORD'!$B$5:$W$1000,11,0)),"")</f>
        <v/>
      </c>
      <c r="D57" s="35" t="str">
        <f>IFERROR(VLOOKUP(B57,'MASTER RECORD'!$B$5:$W$1000,3,0),"")</f>
        <v/>
      </c>
      <c r="F57" s="35" t="str">
        <f>IFERROR(VLOOKUP(E57,'MASTER RECORD'!$B$5:$W$1000,10,0) &amp;"."&amp;(VLOOKUP(E57,'MASTER RECORD'!$B$5:$W$1000,11,0)),"")</f>
        <v/>
      </c>
      <c r="G57" s="35" t="str">
        <f>IFERROR(VLOOKUP(E57,'MASTER RECORD'!$B$5:$W$1000,3,0),"")</f>
        <v/>
      </c>
      <c r="I57" s="36" t="str">
        <f t="shared" si="1"/>
        <v/>
      </c>
      <c r="N57" s="36" t="str">
        <f t="shared" si="2"/>
        <v/>
      </c>
    </row>
    <row r="58" spans="1:14">
      <c r="A58" s="6">
        <f t="shared" si="0"/>
        <v>53</v>
      </c>
      <c r="C58" s="35" t="str">
        <f>IFERROR(VLOOKUP(B58,'MASTER RECORD'!$B$5:$W$1000,10,0) &amp;"."&amp;(VLOOKUP(B58,'MASTER RECORD'!$B$5:$W$1000,11,0)),"")</f>
        <v/>
      </c>
      <c r="D58" s="35" t="str">
        <f>IFERROR(VLOOKUP(B58,'MASTER RECORD'!$B$5:$W$1000,3,0),"")</f>
        <v/>
      </c>
      <c r="F58" s="35" t="str">
        <f>IFERROR(VLOOKUP(E58,'MASTER RECORD'!$B$5:$W$1000,10,0) &amp;"."&amp;(VLOOKUP(E58,'MASTER RECORD'!$B$5:$W$1000,11,0)),"")</f>
        <v/>
      </c>
      <c r="G58" s="35" t="str">
        <f>IFERROR(VLOOKUP(E58,'MASTER RECORD'!$B$5:$W$1000,3,0),"")</f>
        <v/>
      </c>
      <c r="I58" s="36" t="str">
        <f t="shared" si="1"/>
        <v/>
      </c>
      <c r="N58" s="36" t="str">
        <f t="shared" si="2"/>
        <v/>
      </c>
    </row>
    <row r="59" spans="1:14">
      <c r="A59" s="6">
        <f t="shared" si="0"/>
        <v>54</v>
      </c>
      <c r="C59" s="35" t="str">
        <f>IFERROR(VLOOKUP(B59,'MASTER RECORD'!$B$5:$W$1000,10,0) &amp;"."&amp;(VLOOKUP(B59,'MASTER RECORD'!$B$5:$W$1000,11,0)),"")</f>
        <v/>
      </c>
      <c r="D59" s="35" t="str">
        <f>IFERROR(VLOOKUP(B59,'MASTER RECORD'!$B$5:$W$1000,3,0),"")</f>
        <v/>
      </c>
      <c r="F59" s="35" t="str">
        <f>IFERROR(VLOOKUP(E59,'MASTER RECORD'!$B$5:$W$1000,10,0) &amp;"."&amp;(VLOOKUP(E59,'MASTER RECORD'!$B$5:$W$1000,11,0)),"")</f>
        <v/>
      </c>
      <c r="G59" s="35" t="str">
        <f>IFERROR(VLOOKUP(E59,'MASTER RECORD'!$B$5:$W$1000,3,0),"")</f>
        <v/>
      </c>
      <c r="I59" s="36" t="str">
        <f t="shared" si="1"/>
        <v/>
      </c>
      <c r="N59" s="36" t="str">
        <f t="shared" si="2"/>
        <v/>
      </c>
    </row>
    <row r="60" spans="1:14">
      <c r="A60" s="6">
        <f t="shared" si="0"/>
        <v>55</v>
      </c>
      <c r="C60" s="35" t="str">
        <f>IFERROR(VLOOKUP(B60,'MASTER RECORD'!$B$5:$W$1000,10,0) &amp;"."&amp;(VLOOKUP(B60,'MASTER RECORD'!$B$5:$W$1000,11,0)),"")</f>
        <v/>
      </c>
      <c r="D60" s="35" t="str">
        <f>IFERROR(VLOOKUP(B60,'MASTER RECORD'!$B$5:$W$1000,3,0),"")</f>
        <v/>
      </c>
      <c r="F60" s="35" t="str">
        <f>IFERROR(VLOOKUP(E60,'MASTER RECORD'!$B$5:$W$1000,10,0) &amp;"."&amp;(VLOOKUP(E60,'MASTER RECORD'!$B$5:$W$1000,11,0)),"")</f>
        <v/>
      </c>
      <c r="G60" s="35" t="str">
        <f>IFERROR(VLOOKUP(E60,'MASTER RECORD'!$B$5:$W$1000,3,0),"")</f>
        <v/>
      </c>
      <c r="I60" s="36" t="str">
        <f t="shared" si="1"/>
        <v/>
      </c>
      <c r="N60" s="36" t="str">
        <f t="shared" si="2"/>
        <v/>
      </c>
    </row>
    <row r="61" spans="1:14">
      <c r="A61" s="6">
        <f t="shared" si="0"/>
        <v>56</v>
      </c>
      <c r="C61" s="35" t="str">
        <f>IFERROR(VLOOKUP(B61,'MASTER RECORD'!$B$5:$W$1000,10,0) &amp;"."&amp;(VLOOKUP(B61,'MASTER RECORD'!$B$5:$W$1000,11,0)),"")</f>
        <v/>
      </c>
      <c r="D61" s="35" t="str">
        <f>IFERROR(VLOOKUP(B61,'MASTER RECORD'!$B$5:$W$1000,3,0),"")</f>
        <v/>
      </c>
      <c r="F61" s="35" t="str">
        <f>IFERROR(VLOOKUP(E61,'MASTER RECORD'!$B$5:$W$1000,10,0) &amp;"."&amp;(VLOOKUP(E61,'MASTER RECORD'!$B$5:$W$1000,11,0)),"")</f>
        <v/>
      </c>
      <c r="G61" s="35" t="str">
        <f>IFERROR(VLOOKUP(E61,'MASTER RECORD'!$B$5:$W$1000,3,0),"")</f>
        <v/>
      </c>
      <c r="I61" s="36" t="str">
        <f t="shared" si="1"/>
        <v/>
      </c>
      <c r="N61" s="36" t="str">
        <f t="shared" si="2"/>
        <v/>
      </c>
    </row>
    <row r="62" spans="1:14">
      <c r="A62" s="6">
        <f t="shared" si="0"/>
        <v>57</v>
      </c>
      <c r="C62" s="35" t="str">
        <f>IFERROR(VLOOKUP(B62,'MASTER RECORD'!$B$5:$W$1000,10,0) &amp;"."&amp;(VLOOKUP(B62,'MASTER RECORD'!$B$5:$W$1000,11,0)),"")</f>
        <v/>
      </c>
      <c r="D62" s="35" t="str">
        <f>IFERROR(VLOOKUP(B62,'MASTER RECORD'!$B$5:$W$1000,3,0),"")</f>
        <v/>
      </c>
      <c r="F62" s="35" t="str">
        <f>IFERROR(VLOOKUP(E62,'MASTER RECORD'!$B$5:$W$1000,10,0) &amp;"."&amp;(VLOOKUP(E62,'MASTER RECORD'!$B$5:$W$1000,11,0)),"")</f>
        <v/>
      </c>
      <c r="G62" s="35" t="str">
        <f>IFERROR(VLOOKUP(E62,'MASTER RECORD'!$B$5:$W$1000,3,0),"")</f>
        <v/>
      </c>
      <c r="I62" s="36" t="str">
        <f t="shared" si="1"/>
        <v/>
      </c>
      <c r="N62" s="36" t="str">
        <f t="shared" si="2"/>
        <v/>
      </c>
    </row>
    <row r="63" spans="1:14">
      <c r="A63" s="6">
        <f t="shared" si="0"/>
        <v>58</v>
      </c>
      <c r="C63" s="35" t="str">
        <f>IFERROR(VLOOKUP(B63,'MASTER RECORD'!$B$5:$W$1000,10,0) &amp;"."&amp;(VLOOKUP(B63,'MASTER RECORD'!$B$5:$W$1000,11,0)),"")</f>
        <v/>
      </c>
      <c r="D63" s="35" t="str">
        <f>IFERROR(VLOOKUP(B63,'MASTER RECORD'!$B$5:$W$1000,3,0),"")</f>
        <v/>
      </c>
      <c r="F63" s="35" t="str">
        <f>IFERROR(VLOOKUP(E63,'MASTER RECORD'!$B$5:$W$1000,10,0) &amp;"."&amp;(VLOOKUP(E63,'MASTER RECORD'!$B$5:$W$1000,11,0)),"")</f>
        <v/>
      </c>
      <c r="G63" s="35" t="str">
        <f>IFERROR(VLOOKUP(E63,'MASTER RECORD'!$B$5:$W$1000,3,0),"")</f>
        <v/>
      </c>
      <c r="I63" s="36" t="str">
        <f t="shared" si="1"/>
        <v/>
      </c>
      <c r="N63" s="36" t="str">
        <f t="shared" si="2"/>
        <v/>
      </c>
    </row>
    <row r="64" spans="1:14">
      <c r="A64" s="6">
        <f t="shared" si="0"/>
        <v>59</v>
      </c>
      <c r="C64" s="35" t="str">
        <f>IFERROR(VLOOKUP(B64,'MASTER RECORD'!$B$5:$W$1000,10,0) &amp;"."&amp;(VLOOKUP(B64,'MASTER RECORD'!$B$5:$W$1000,11,0)),"")</f>
        <v/>
      </c>
      <c r="D64" s="35" t="str">
        <f>IFERROR(VLOOKUP(B64,'MASTER RECORD'!$B$5:$W$1000,3,0),"")</f>
        <v/>
      </c>
      <c r="F64" s="35" t="str">
        <f>IFERROR(VLOOKUP(E64,'MASTER RECORD'!$B$5:$W$1000,10,0) &amp;"."&amp;(VLOOKUP(E64,'MASTER RECORD'!$B$5:$W$1000,11,0)),"")</f>
        <v/>
      </c>
      <c r="G64" s="35" t="str">
        <f>IFERROR(VLOOKUP(E64,'MASTER RECORD'!$B$5:$W$1000,3,0),"")</f>
        <v/>
      </c>
      <c r="I64" s="36" t="str">
        <f t="shared" si="1"/>
        <v/>
      </c>
      <c r="N64" s="36" t="str">
        <f t="shared" si="2"/>
        <v/>
      </c>
    </row>
    <row r="65" spans="1:14">
      <c r="A65" s="6">
        <f t="shared" si="0"/>
        <v>60</v>
      </c>
      <c r="C65" s="35" t="str">
        <f>IFERROR(VLOOKUP(B65,'MASTER RECORD'!$B$5:$W$1000,10,0) &amp;"."&amp;(VLOOKUP(B65,'MASTER RECORD'!$B$5:$W$1000,11,0)),"")</f>
        <v/>
      </c>
      <c r="D65" s="35" t="str">
        <f>IFERROR(VLOOKUP(B65,'MASTER RECORD'!$B$5:$W$1000,3,0),"")</f>
        <v/>
      </c>
      <c r="F65" s="35" t="str">
        <f>IFERROR(VLOOKUP(E65,'MASTER RECORD'!$B$5:$W$1000,10,0) &amp;"."&amp;(VLOOKUP(E65,'MASTER RECORD'!$B$5:$W$1000,11,0)),"")</f>
        <v/>
      </c>
      <c r="G65" s="35" t="str">
        <f>IFERROR(VLOOKUP(E65,'MASTER RECORD'!$B$5:$W$1000,3,0),"")</f>
        <v/>
      </c>
      <c r="I65" s="36" t="str">
        <f t="shared" si="1"/>
        <v/>
      </c>
      <c r="N65" s="36" t="str">
        <f t="shared" si="2"/>
        <v/>
      </c>
    </row>
    <row r="66" spans="1:14">
      <c r="A66" s="6">
        <f t="shared" si="0"/>
        <v>61</v>
      </c>
      <c r="C66" s="35" t="str">
        <f>IFERROR(VLOOKUP(B66,'MASTER RECORD'!$B$5:$W$1000,10,0) &amp;"."&amp;(VLOOKUP(B66,'MASTER RECORD'!$B$5:$W$1000,11,0)),"")</f>
        <v/>
      </c>
      <c r="D66" s="35" t="str">
        <f>IFERROR(VLOOKUP(B66,'MASTER RECORD'!$B$5:$W$1000,3,0),"")</f>
        <v/>
      </c>
      <c r="F66" s="35" t="str">
        <f>IFERROR(VLOOKUP(E66,'MASTER RECORD'!$B$5:$W$1000,10,0) &amp;"."&amp;(VLOOKUP(E66,'MASTER RECORD'!$B$5:$W$1000,11,0)),"")</f>
        <v/>
      </c>
      <c r="G66" s="35" t="str">
        <f>IFERROR(VLOOKUP(E66,'MASTER RECORD'!$B$5:$W$1000,3,0),"")</f>
        <v/>
      </c>
      <c r="I66" s="36" t="str">
        <f t="shared" si="1"/>
        <v/>
      </c>
      <c r="N66" s="36" t="str">
        <f t="shared" si="2"/>
        <v/>
      </c>
    </row>
    <row r="67" spans="1:14">
      <c r="A67" s="6">
        <f t="shared" si="0"/>
        <v>62</v>
      </c>
      <c r="C67" s="35" t="str">
        <f>IFERROR(VLOOKUP(B67,'MASTER RECORD'!$B$5:$W$1000,10,0) &amp;"."&amp;(VLOOKUP(B67,'MASTER RECORD'!$B$5:$W$1000,11,0)),"")</f>
        <v/>
      </c>
      <c r="D67" s="35" t="str">
        <f>IFERROR(VLOOKUP(B67,'MASTER RECORD'!$B$5:$W$1000,3,0),"")</f>
        <v/>
      </c>
      <c r="F67" s="35" t="str">
        <f>IFERROR(VLOOKUP(E67,'MASTER RECORD'!$B$5:$W$1000,10,0) &amp;"."&amp;(VLOOKUP(E67,'MASTER RECORD'!$B$5:$W$1000,11,0)),"")</f>
        <v/>
      </c>
      <c r="G67" s="35" t="str">
        <f>IFERROR(VLOOKUP(E67,'MASTER RECORD'!$B$5:$W$1000,3,0),"")</f>
        <v/>
      </c>
      <c r="I67" s="36" t="str">
        <f t="shared" si="1"/>
        <v/>
      </c>
      <c r="N67" s="36" t="str">
        <f t="shared" si="2"/>
        <v/>
      </c>
    </row>
    <row r="68" spans="1:14">
      <c r="A68" s="6">
        <f t="shared" si="0"/>
        <v>63</v>
      </c>
      <c r="C68" s="35" t="str">
        <f>IFERROR(VLOOKUP(B68,'MASTER RECORD'!$B$5:$W$1000,10,0) &amp;"."&amp;(VLOOKUP(B68,'MASTER RECORD'!$B$5:$W$1000,11,0)),"")</f>
        <v/>
      </c>
      <c r="D68" s="35" t="str">
        <f>IFERROR(VLOOKUP(B68,'MASTER RECORD'!$B$5:$W$1000,3,0),"")</f>
        <v/>
      </c>
      <c r="F68" s="35" t="str">
        <f>IFERROR(VLOOKUP(E68,'MASTER RECORD'!$B$5:$W$1000,10,0) &amp;"."&amp;(VLOOKUP(E68,'MASTER RECORD'!$B$5:$W$1000,11,0)),"")</f>
        <v/>
      </c>
      <c r="G68" s="35" t="str">
        <f>IFERROR(VLOOKUP(E68,'MASTER RECORD'!$B$5:$W$1000,3,0),"")</f>
        <v/>
      </c>
      <c r="I68" s="36" t="str">
        <f t="shared" si="1"/>
        <v/>
      </c>
      <c r="N68" s="36" t="str">
        <f t="shared" si="2"/>
        <v/>
      </c>
    </row>
    <row r="69" spans="1:14">
      <c r="A69" s="6">
        <f t="shared" si="0"/>
        <v>64</v>
      </c>
      <c r="C69" s="35" t="str">
        <f>IFERROR(VLOOKUP(B69,'MASTER RECORD'!$B$5:$W$1000,10,0) &amp;"."&amp;(VLOOKUP(B69,'MASTER RECORD'!$B$5:$W$1000,11,0)),"")</f>
        <v/>
      </c>
      <c r="D69" s="35" t="str">
        <f>IFERROR(VLOOKUP(B69,'MASTER RECORD'!$B$5:$W$1000,3,0),"")</f>
        <v/>
      </c>
      <c r="F69" s="35" t="str">
        <f>IFERROR(VLOOKUP(E69,'MASTER RECORD'!$B$5:$W$1000,10,0) &amp;"."&amp;(VLOOKUP(E69,'MASTER RECORD'!$B$5:$W$1000,11,0)),"")</f>
        <v/>
      </c>
      <c r="G69" s="35" t="str">
        <f>IFERROR(VLOOKUP(E69,'MASTER RECORD'!$B$5:$W$1000,3,0),"")</f>
        <v/>
      </c>
      <c r="I69" s="36" t="str">
        <f t="shared" si="1"/>
        <v/>
      </c>
      <c r="N69" s="36" t="str">
        <f t="shared" si="2"/>
        <v/>
      </c>
    </row>
    <row r="70" spans="1:14">
      <c r="A70" s="6">
        <f t="shared" si="0"/>
        <v>65</v>
      </c>
      <c r="C70" s="35" t="str">
        <f>IFERROR(VLOOKUP(B70,'MASTER RECORD'!$B$5:$W$1000,10,0) &amp;"."&amp;(VLOOKUP(B70,'MASTER RECORD'!$B$5:$W$1000,11,0)),"")</f>
        <v/>
      </c>
      <c r="D70" s="35" t="str">
        <f>IFERROR(VLOOKUP(B70,'MASTER RECORD'!$B$5:$W$1000,3,0),"")</f>
        <v/>
      </c>
      <c r="F70" s="35" t="str">
        <f>IFERROR(VLOOKUP(E70,'MASTER RECORD'!$B$5:$W$1000,10,0) &amp;"."&amp;(VLOOKUP(E70,'MASTER RECORD'!$B$5:$W$1000,11,0)),"")</f>
        <v/>
      </c>
      <c r="G70" s="35" t="str">
        <f>IFERROR(VLOOKUP(E70,'MASTER RECORD'!$B$5:$W$1000,3,0),"")</f>
        <v/>
      </c>
      <c r="I70" s="36" t="str">
        <f t="shared" si="1"/>
        <v/>
      </c>
      <c r="N70" s="36" t="str">
        <f t="shared" si="2"/>
        <v/>
      </c>
    </row>
    <row r="71" spans="1:14">
      <c r="A71" s="6">
        <f t="shared" ref="A71:A104" si="3">ROW(A66)</f>
        <v>66</v>
      </c>
      <c r="C71" s="35" t="str">
        <f>IFERROR(VLOOKUP(B71,'MASTER RECORD'!$B$5:$W$1000,10,0) &amp;"."&amp;(VLOOKUP(B71,'MASTER RECORD'!$B$5:$W$1000,11,0)),"")</f>
        <v/>
      </c>
      <c r="D71" s="35" t="str">
        <f>IFERROR(VLOOKUP(B71,'MASTER RECORD'!$B$5:$W$1000,3,0),"")</f>
        <v/>
      </c>
      <c r="F71" s="35" t="str">
        <f>IFERROR(VLOOKUP(E71,'MASTER RECORD'!$B$5:$W$1000,10,0) &amp;"."&amp;(VLOOKUP(E71,'MASTER RECORD'!$B$5:$W$1000,11,0)),"")</f>
        <v/>
      </c>
      <c r="G71" s="35" t="str">
        <f>IFERROR(VLOOKUP(E71,'MASTER RECORD'!$B$5:$W$1000,3,0),"")</f>
        <v/>
      </c>
      <c r="I71" s="36" t="str">
        <f t="shared" ref="I71:I134" si="4">IF(H71&gt;0,H71+150,"")</f>
        <v/>
      </c>
      <c r="N71" s="36" t="str">
        <f t="shared" ref="N71:N134" si="5">IF(J71&gt;0,J71+60,"")</f>
        <v/>
      </c>
    </row>
    <row r="72" spans="1:14">
      <c r="A72" s="6">
        <f t="shared" si="3"/>
        <v>67</v>
      </c>
      <c r="C72" s="35" t="str">
        <f>IFERROR(VLOOKUP(B72,'MASTER RECORD'!$B$5:$W$1000,10,0) &amp;"."&amp;(VLOOKUP(B72,'MASTER RECORD'!$B$5:$W$1000,11,0)),"")</f>
        <v/>
      </c>
      <c r="D72" s="35" t="str">
        <f>IFERROR(VLOOKUP(B72,'MASTER RECORD'!$B$5:$W$1000,3,0),"")</f>
        <v/>
      </c>
      <c r="F72" s="35" t="str">
        <f>IFERROR(VLOOKUP(E72,'MASTER RECORD'!$B$5:$W$1000,10,0) &amp;"."&amp;(VLOOKUP(E72,'MASTER RECORD'!$B$5:$W$1000,11,0)),"")</f>
        <v/>
      </c>
      <c r="G72" s="35" t="str">
        <f>IFERROR(VLOOKUP(E72,'MASTER RECORD'!$B$5:$W$1000,3,0),"")</f>
        <v/>
      </c>
      <c r="I72" s="36" t="str">
        <f t="shared" si="4"/>
        <v/>
      </c>
      <c r="N72" s="36" t="str">
        <f t="shared" si="5"/>
        <v/>
      </c>
    </row>
    <row r="73" spans="1:14">
      <c r="A73" s="6">
        <f t="shared" si="3"/>
        <v>68</v>
      </c>
      <c r="C73" s="35" t="str">
        <f>IFERROR(VLOOKUP(B73,'MASTER RECORD'!$B$5:$W$1000,10,0) &amp;"."&amp;(VLOOKUP(B73,'MASTER RECORD'!$B$5:$W$1000,11,0)),"")</f>
        <v/>
      </c>
      <c r="D73" s="35" t="str">
        <f>IFERROR(VLOOKUP(B73,'MASTER RECORD'!$B$5:$W$1000,3,0),"")</f>
        <v/>
      </c>
      <c r="F73" s="35" t="str">
        <f>IFERROR(VLOOKUP(E73,'MASTER RECORD'!$B$5:$W$1000,10,0) &amp;"."&amp;(VLOOKUP(E73,'MASTER RECORD'!$B$5:$W$1000,11,0)),"")</f>
        <v/>
      </c>
      <c r="G73" s="35" t="str">
        <f>IFERROR(VLOOKUP(E73,'MASTER RECORD'!$B$5:$W$1000,3,0),"")</f>
        <v/>
      </c>
      <c r="I73" s="36" t="str">
        <f t="shared" si="4"/>
        <v/>
      </c>
      <c r="N73" s="36" t="str">
        <f t="shared" si="5"/>
        <v/>
      </c>
    </row>
    <row r="74" spans="1:14">
      <c r="A74" s="6">
        <f t="shared" si="3"/>
        <v>69</v>
      </c>
      <c r="C74" s="35" t="str">
        <f>IFERROR(VLOOKUP(B74,'MASTER RECORD'!$B$5:$W$1000,10,0) &amp;"."&amp;(VLOOKUP(B74,'MASTER RECORD'!$B$5:$W$1000,11,0)),"")</f>
        <v/>
      </c>
      <c r="D74" s="35" t="str">
        <f>IFERROR(VLOOKUP(B74,'MASTER RECORD'!$B$5:$W$1000,3,0),"")</f>
        <v/>
      </c>
      <c r="F74" s="35" t="str">
        <f>IFERROR(VLOOKUP(E74,'MASTER RECORD'!$B$5:$W$1000,10,0) &amp;"."&amp;(VLOOKUP(E74,'MASTER RECORD'!$B$5:$W$1000,11,0)),"")</f>
        <v/>
      </c>
      <c r="G74" s="35" t="str">
        <f>IFERROR(VLOOKUP(E74,'MASTER RECORD'!$B$5:$W$1000,3,0),"")</f>
        <v/>
      </c>
      <c r="I74" s="36" t="str">
        <f t="shared" si="4"/>
        <v/>
      </c>
      <c r="N74" s="36" t="str">
        <f t="shared" si="5"/>
        <v/>
      </c>
    </row>
    <row r="75" spans="1:14">
      <c r="A75" s="6">
        <f t="shared" si="3"/>
        <v>70</v>
      </c>
      <c r="C75" s="35" t="str">
        <f>IFERROR(VLOOKUP(B75,'MASTER RECORD'!$B$5:$W$1000,10,0) &amp;"."&amp;(VLOOKUP(B75,'MASTER RECORD'!$B$5:$W$1000,11,0)),"")</f>
        <v/>
      </c>
      <c r="D75" s="35" t="str">
        <f>IFERROR(VLOOKUP(B75,'MASTER RECORD'!$B$5:$W$1000,3,0),"")</f>
        <v/>
      </c>
      <c r="F75" s="35" t="str">
        <f>IFERROR(VLOOKUP(E75,'MASTER RECORD'!$B$5:$W$1000,10,0) &amp;"."&amp;(VLOOKUP(E75,'MASTER RECORD'!$B$5:$W$1000,11,0)),"")</f>
        <v/>
      </c>
      <c r="G75" s="35" t="str">
        <f>IFERROR(VLOOKUP(E75,'MASTER RECORD'!$B$5:$W$1000,3,0),"")</f>
        <v/>
      </c>
      <c r="I75" s="36" t="str">
        <f t="shared" si="4"/>
        <v/>
      </c>
      <c r="N75" s="36" t="str">
        <f t="shared" si="5"/>
        <v/>
      </c>
    </row>
    <row r="76" spans="1:14">
      <c r="A76" s="6">
        <f t="shared" si="3"/>
        <v>71</v>
      </c>
      <c r="C76" s="35" t="str">
        <f>IFERROR(VLOOKUP(B76,'MASTER RECORD'!$B$5:$W$1000,10,0) &amp;"."&amp;(VLOOKUP(B76,'MASTER RECORD'!$B$5:$W$1000,11,0)),"")</f>
        <v/>
      </c>
      <c r="D76" s="35" t="str">
        <f>IFERROR(VLOOKUP(B76,'MASTER RECORD'!$B$5:$W$1000,3,0),"")</f>
        <v/>
      </c>
      <c r="F76" s="35" t="str">
        <f>IFERROR(VLOOKUP(E76,'MASTER RECORD'!$B$5:$W$1000,10,0) &amp;"."&amp;(VLOOKUP(E76,'MASTER RECORD'!$B$5:$W$1000,11,0)),"")</f>
        <v/>
      </c>
      <c r="G76" s="35" t="str">
        <f>IFERROR(VLOOKUP(E76,'MASTER RECORD'!$B$5:$W$1000,3,0),"")</f>
        <v/>
      </c>
      <c r="I76" s="36" t="str">
        <f t="shared" si="4"/>
        <v/>
      </c>
      <c r="N76" s="36" t="str">
        <f t="shared" si="5"/>
        <v/>
      </c>
    </row>
    <row r="77" spans="1:14">
      <c r="A77" s="6">
        <f t="shared" si="3"/>
        <v>72</v>
      </c>
      <c r="C77" s="35" t="str">
        <f>IFERROR(VLOOKUP(B77,'MASTER RECORD'!$B$5:$W$1000,10,0) &amp;"."&amp;(VLOOKUP(B77,'MASTER RECORD'!$B$5:$W$1000,11,0)),"")</f>
        <v/>
      </c>
      <c r="D77" s="35" t="str">
        <f>IFERROR(VLOOKUP(B77,'MASTER RECORD'!$B$5:$W$1000,3,0),"")</f>
        <v/>
      </c>
      <c r="F77" s="35" t="str">
        <f>IFERROR(VLOOKUP(E77,'MASTER RECORD'!$B$5:$W$1000,10,0) &amp;"."&amp;(VLOOKUP(E77,'MASTER RECORD'!$B$5:$W$1000,11,0)),"")</f>
        <v/>
      </c>
      <c r="G77" s="35" t="str">
        <f>IFERROR(VLOOKUP(E77,'MASTER RECORD'!$B$5:$W$1000,3,0),"")</f>
        <v/>
      </c>
      <c r="I77" s="36" t="str">
        <f t="shared" si="4"/>
        <v/>
      </c>
      <c r="N77" s="36" t="str">
        <f t="shared" si="5"/>
        <v/>
      </c>
    </row>
    <row r="78" spans="1:14">
      <c r="A78" s="6">
        <f t="shared" si="3"/>
        <v>73</v>
      </c>
      <c r="C78" s="35" t="str">
        <f>IFERROR(VLOOKUP(B78,'MASTER RECORD'!$B$5:$W$1000,10,0) &amp;"."&amp;(VLOOKUP(B78,'MASTER RECORD'!$B$5:$W$1000,11,0)),"")</f>
        <v/>
      </c>
      <c r="D78" s="35" t="str">
        <f>IFERROR(VLOOKUP(B78,'MASTER RECORD'!$B$5:$W$1000,3,0),"")</f>
        <v/>
      </c>
      <c r="F78" s="35" t="str">
        <f>IFERROR(VLOOKUP(E78,'MASTER RECORD'!$B$5:$W$1000,10,0) &amp;"."&amp;(VLOOKUP(E78,'MASTER RECORD'!$B$5:$W$1000,11,0)),"")</f>
        <v/>
      </c>
      <c r="G78" s="35" t="str">
        <f>IFERROR(VLOOKUP(E78,'MASTER RECORD'!$B$5:$W$1000,3,0),"")</f>
        <v/>
      </c>
      <c r="I78" s="36" t="str">
        <f t="shared" si="4"/>
        <v/>
      </c>
      <c r="N78" s="36" t="str">
        <f t="shared" si="5"/>
        <v/>
      </c>
    </row>
    <row r="79" spans="1:14">
      <c r="A79" s="6">
        <f t="shared" si="3"/>
        <v>74</v>
      </c>
      <c r="C79" s="35" t="str">
        <f>IFERROR(VLOOKUP(B79,'MASTER RECORD'!$B$5:$W$1000,10,0) &amp;"."&amp;(VLOOKUP(B79,'MASTER RECORD'!$B$5:$W$1000,11,0)),"")</f>
        <v/>
      </c>
      <c r="D79" s="35" t="str">
        <f>IFERROR(VLOOKUP(B79,'MASTER RECORD'!$B$5:$W$1000,3,0),"")</f>
        <v/>
      </c>
      <c r="F79" s="35" t="str">
        <f>IFERROR(VLOOKUP(E79,'MASTER RECORD'!$B$5:$W$1000,10,0) &amp;"."&amp;(VLOOKUP(E79,'MASTER RECORD'!$B$5:$W$1000,11,0)),"")</f>
        <v/>
      </c>
      <c r="G79" s="35" t="str">
        <f>IFERROR(VLOOKUP(E79,'MASTER RECORD'!$B$5:$W$1000,3,0),"")</f>
        <v/>
      </c>
      <c r="I79" s="36" t="str">
        <f t="shared" si="4"/>
        <v/>
      </c>
      <c r="N79" s="36" t="str">
        <f t="shared" si="5"/>
        <v/>
      </c>
    </row>
    <row r="80" spans="1:14">
      <c r="A80" s="6">
        <f t="shared" si="3"/>
        <v>75</v>
      </c>
      <c r="C80" s="35" t="str">
        <f>IFERROR(VLOOKUP(B80,'MASTER RECORD'!$B$5:$W$1000,10,0) &amp;"."&amp;(VLOOKUP(B80,'MASTER RECORD'!$B$5:$W$1000,11,0)),"")</f>
        <v/>
      </c>
      <c r="D80" s="35" t="str">
        <f>IFERROR(VLOOKUP(B80,'MASTER RECORD'!$B$5:$W$1000,3,0),"")</f>
        <v/>
      </c>
      <c r="F80" s="35" t="str">
        <f>IFERROR(VLOOKUP(E80,'MASTER RECORD'!$B$5:$W$1000,10,0) &amp;"."&amp;(VLOOKUP(E80,'MASTER RECORD'!$B$5:$W$1000,11,0)),"")</f>
        <v/>
      </c>
      <c r="G80" s="35" t="str">
        <f>IFERROR(VLOOKUP(E80,'MASTER RECORD'!$B$5:$W$1000,3,0),"")</f>
        <v/>
      </c>
      <c r="I80" s="36" t="str">
        <f t="shared" si="4"/>
        <v/>
      </c>
      <c r="N80" s="36" t="str">
        <f t="shared" si="5"/>
        <v/>
      </c>
    </row>
    <row r="81" spans="1:14">
      <c r="A81" s="6">
        <f t="shared" si="3"/>
        <v>76</v>
      </c>
      <c r="C81" s="35" t="str">
        <f>IFERROR(VLOOKUP(B81,'MASTER RECORD'!$B$5:$W$1000,10,0) &amp;"."&amp;(VLOOKUP(B81,'MASTER RECORD'!$B$5:$W$1000,11,0)),"")</f>
        <v/>
      </c>
      <c r="D81" s="35" t="str">
        <f>IFERROR(VLOOKUP(B81,'MASTER RECORD'!$B$5:$W$1000,3,0),"")</f>
        <v/>
      </c>
      <c r="F81" s="35" t="str">
        <f>IFERROR(VLOOKUP(E81,'MASTER RECORD'!$B$5:$W$1000,10,0) &amp;"."&amp;(VLOOKUP(E81,'MASTER RECORD'!$B$5:$W$1000,11,0)),"")</f>
        <v/>
      </c>
      <c r="G81" s="35" t="str">
        <f>IFERROR(VLOOKUP(E81,'MASTER RECORD'!$B$5:$W$1000,3,0),"")</f>
        <v/>
      </c>
      <c r="I81" s="36" t="str">
        <f t="shared" si="4"/>
        <v/>
      </c>
      <c r="N81" s="36" t="str">
        <f t="shared" si="5"/>
        <v/>
      </c>
    </row>
    <row r="82" spans="1:14">
      <c r="A82" s="6">
        <f t="shared" si="3"/>
        <v>77</v>
      </c>
      <c r="C82" s="35" t="str">
        <f>IFERROR(VLOOKUP(B82,'MASTER RECORD'!$B$5:$W$1000,10,0) &amp;"."&amp;(VLOOKUP(B82,'MASTER RECORD'!$B$5:$W$1000,11,0)),"")</f>
        <v/>
      </c>
      <c r="D82" s="35" t="str">
        <f>IFERROR(VLOOKUP(B82,'MASTER RECORD'!$B$5:$W$1000,3,0),"")</f>
        <v/>
      </c>
      <c r="F82" s="35" t="str">
        <f>IFERROR(VLOOKUP(E82,'MASTER RECORD'!$B$5:$W$1000,10,0) &amp;"."&amp;(VLOOKUP(E82,'MASTER RECORD'!$B$5:$W$1000,11,0)),"")</f>
        <v/>
      </c>
      <c r="G82" s="35" t="str">
        <f>IFERROR(VLOOKUP(E82,'MASTER RECORD'!$B$5:$W$1000,3,0),"")</f>
        <v/>
      </c>
      <c r="I82" s="36" t="str">
        <f t="shared" si="4"/>
        <v/>
      </c>
      <c r="N82" s="36" t="str">
        <f t="shared" si="5"/>
        <v/>
      </c>
    </row>
    <row r="83" spans="1:14">
      <c r="A83" s="6">
        <f t="shared" si="3"/>
        <v>78</v>
      </c>
      <c r="C83" s="35" t="str">
        <f>IFERROR(VLOOKUP(B83,'MASTER RECORD'!$B$5:$W$1000,10,0) &amp;"."&amp;(VLOOKUP(B83,'MASTER RECORD'!$B$5:$W$1000,11,0)),"")</f>
        <v/>
      </c>
      <c r="D83" s="35" t="str">
        <f>IFERROR(VLOOKUP(B83,'MASTER RECORD'!$B$5:$W$1000,3,0),"")</f>
        <v/>
      </c>
      <c r="F83" s="35" t="str">
        <f>IFERROR(VLOOKUP(E83,'MASTER RECORD'!$B$5:$W$1000,10,0) &amp;"."&amp;(VLOOKUP(E83,'MASTER RECORD'!$B$5:$W$1000,11,0)),"")</f>
        <v/>
      </c>
      <c r="G83" s="35" t="str">
        <f>IFERROR(VLOOKUP(E83,'MASTER RECORD'!$B$5:$W$1000,3,0),"")</f>
        <v/>
      </c>
      <c r="I83" s="36" t="str">
        <f t="shared" si="4"/>
        <v/>
      </c>
      <c r="N83" s="36" t="str">
        <f t="shared" si="5"/>
        <v/>
      </c>
    </row>
    <row r="84" spans="1:14">
      <c r="A84" s="6">
        <f t="shared" si="3"/>
        <v>79</v>
      </c>
      <c r="C84" s="35" t="str">
        <f>IFERROR(VLOOKUP(B84,'MASTER RECORD'!$B$5:$W$1000,10,0) &amp;"."&amp;(VLOOKUP(B84,'MASTER RECORD'!$B$5:$W$1000,11,0)),"")</f>
        <v/>
      </c>
      <c r="D84" s="35" t="str">
        <f>IFERROR(VLOOKUP(B84,'MASTER RECORD'!$B$5:$W$1000,3,0),"")</f>
        <v/>
      </c>
      <c r="F84" s="35" t="str">
        <f>IFERROR(VLOOKUP(E84,'MASTER RECORD'!$B$5:$W$1000,10,0) &amp;"."&amp;(VLOOKUP(E84,'MASTER RECORD'!$B$5:$W$1000,11,0)),"")</f>
        <v/>
      </c>
      <c r="G84" s="35" t="str">
        <f>IFERROR(VLOOKUP(E84,'MASTER RECORD'!$B$5:$W$1000,3,0),"")</f>
        <v/>
      </c>
      <c r="I84" s="36" t="str">
        <f t="shared" si="4"/>
        <v/>
      </c>
      <c r="N84" s="36" t="str">
        <f t="shared" si="5"/>
        <v/>
      </c>
    </row>
    <row r="85" spans="1:14">
      <c r="A85" s="6">
        <f t="shared" si="3"/>
        <v>80</v>
      </c>
      <c r="C85" s="35" t="str">
        <f>IFERROR(VLOOKUP(B85,'MASTER RECORD'!$B$5:$W$1000,10,0) &amp;"."&amp;(VLOOKUP(B85,'MASTER RECORD'!$B$5:$W$1000,11,0)),"")</f>
        <v/>
      </c>
      <c r="D85" s="35" t="str">
        <f>IFERROR(VLOOKUP(B85,'MASTER RECORD'!$B$5:$W$1000,3,0),"")</f>
        <v/>
      </c>
      <c r="F85" s="35" t="str">
        <f>IFERROR(VLOOKUP(E85,'MASTER RECORD'!$B$5:$W$1000,10,0) &amp;"."&amp;(VLOOKUP(E85,'MASTER RECORD'!$B$5:$W$1000,11,0)),"")</f>
        <v/>
      </c>
      <c r="G85" s="35" t="str">
        <f>IFERROR(VLOOKUP(E85,'MASTER RECORD'!$B$5:$W$1000,3,0),"")</f>
        <v/>
      </c>
      <c r="I85" s="36" t="str">
        <f t="shared" si="4"/>
        <v/>
      </c>
      <c r="N85" s="36" t="str">
        <f t="shared" si="5"/>
        <v/>
      </c>
    </row>
    <row r="86" spans="1:14">
      <c r="A86" s="6">
        <f t="shared" si="3"/>
        <v>81</v>
      </c>
      <c r="C86" s="35" t="str">
        <f>IFERROR(VLOOKUP(B86,'MASTER RECORD'!$B$5:$W$1000,10,0) &amp;"."&amp;(VLOOKUP(B86,'MASTER RECORD'!$B$5:$W$1000,11,0)),"")</f>
        <v/>
      </c>
      <c r="D86" s="35" t="str">
        <f>IFERROR(VLOOKUP(B86,'MASTER RECORD'!$B$5:$W$1000,3,0),"")</f>
        <v/>
      </c>
      <c r="F86" s="35" t="str">
        <f>IFERROR(VLOOKUP(E86,'MASTER RECORD'!$B$5:$W$1000,10,0) &amp;"."&amp;(VLOOKUP(E86,'MASTER RECORD'!$B$5:$W$1000,11,0)),"")</f>
        <v/>
      </c>
      <c r="G86" s="35" t="str">
        <f>IFERROR(VLOOKUP(E86,'MASTER RECORD'!$B$5:$W$1000,3,0),"")</f>
        <v/>
      </c>
      <c r="I86" s="36" t="str">
        <f t="shared" si="4"/>
        <v/>
      </c>
      <c r="N86" s="36" t="str">
        <f t="shared" si="5"/>
        <v/>
      </c>
    </row>
    <row r="87" spans="1:14">
      <c r="A87" s="6">
        <f t="shared" si="3"/>
        <v>82</v>
      </c>
      <c r="C87" s="35" t="str">
        <f>IFERROR(VLOOKUP(B87,'MASTER RECORD'!$B$5:$W$1000,10,0) &amp;"."&amp;(VLOOKUP(B87,'MASTER RECORD'!$B$5:$W$1000,11,0)),"")</f>
        <v/>
      </c>
      <c r="D87" s="35" t="str">
        <f>IFERROR(VLOOKUP(B87,'MASTER RECORD'!$B$5:$W$1000,3,0),"")</f>
        <v/>
      </c>
      <c r="F87" s="35" t="str">
        <f>IFERROR(VLOOKUP(E87,'MASTER RECORD'!$B$5:$W$1000,10,0) &amp;"."&amp;(VLOOKUP(E87,'MASTER RECORD'!$B$5:$W$1000,11,0)),"")</f>
        <v/>
      </c>
      <c r="G87" s="35" t="str">
        <f>IFERROR(VLOOKUP(E87,'MASTER RECORD'!$B$5:$W$1000,3,0),"")</f>
        <v/>
      </c>
      <c r="I87" s="36" t="str">
        <f t="shared" si="4"/>
        <v/>
      </c>
      <c r="N87" s="36" t="str">
        <f t="shared" si="5"/>
        <v/>
      </c>
    </row>
    <row r="88" spans="1:14">
      <c r="A88" s="6">
        <f t="shared" si="3"/>
        <v>83</v>
      </c>
      <c r="C88" s="35" t="str">
        <f>IFERROR(VLOOKUP(B88,'MASTER RECORD'!$B$5:$W$1000,10,0) &amp;"."&amp;(VLOOKUP(B88,'MASTER RECORD'!$B$5:$W$1000,11,0)),"")</f>
        <v/>
      </c>
      <c r="D88" s="35" t="str">
        <f>IFERROR(VLOOKUP(B88,'MASTER RECORD'!$B$5:$W$1000,3,0),"")</f>
        <v/>
      </c>
      <c r="F88" s="35" t="str">
        <f>IFERROR(VLOOKUP(E88,'MASTER RECORD'!$B$5:$W$1000,10,0) &amp;"."&amp;(VLOOKUP(E88,'MASTER RECORD'!$B$5:$W$1000,11,0)),"")</f>
        <v/>
      </c>
      <c r="G88" s="35" t="str">
        <f>IFERROR(VLOOKUP(E88,'MASTER RECORD'!$B$5:$W$1000,3,0),"")</f>
        <v/>
      </c>
      <c r="I88" s="36" t="str">
        <f t="shared" si="4"/>
        <v/>
      </c>
      <c r="N88" s="36" t="str">
        <f t="shared" si="5"/>
        <v/>
      </c>
    </row>
    <row r="89" spans="1:14">
      <c r="A89" s="6">
        <f t="shared" si="3"/>
        <v>84</v>
      </c>
      <c r="C89" s="35" t="str">
        <f>IFERROR(VLOOKUP(B89,'MASTER RECORD'!$B$5:$W$1000,10,0) &amp;"."&amp;(VLOOKUP(B89,'MASTER RECORD'!$B$5:$W$1000,11,0)),"")</f>
        <v/>
      </c>
      <c r="D89" s="35" t="str">
        <f>IFERROR(VLOOKUP(B89,'MASTER RECORD'!$B$5:$W$1000,3,0),"")</f>
        <v/>
      </c>
      <c r="F89" s="35" t="str">
        <f>IFERROR(VLOOKUP(E89,'MASTER RECORD'!$B$5:$W$1000,10,0) &amp;"."&amp;(VLOOKUP(E89,'MASTER RECORD'!$B$5:$W$1000,11,0)),"")</f>
        <v/>
      </c>
      <c r="G89" s="35" t="str">
        <f>IFERROR(VLOOKUP(E89,'MASTER RECORD'!$B$5:$W$1000,3,0),"")</f>
        <v/>
      </c>
      <c r="I89" s="36" t="str">
        <f t="shared" si="4"/>
        <v/>
      </c>
      <c r="N89" s="36" t="str">
        <f t="shared" si="5"/>
        <v/>
      </c>
    </row>
    <row r="90" spans="1:14">
      <c r="A90" s="6">
        <f t="shared" si="3"/>
        <v>85</v>
      </c>
      <c r="C90" s="35" t="str">
        <f>IFERROR(VLOOKUP(B90,'MASTER RECORD'!$B$5:$W$1000,10,0) &amp;"."&amp;(VLOOKUP(B90,'MASTER RECORD'!$B$5:$W$1000,11,0)),"")</f>
        <v/>
      </c>
      <c r="D90" s="35" t="str">
        <f>IFERROR(VLOOKUP(B90,'MASTER RECORD'!$B$5:$W$1000,3,0),"")</f>
        <v/>
      </c>
      <c r="F90" s="35" t="str">
        <f>IFERROR(VLOOKUP(E90,'MASTER RECORD'!$B$5:$W$1000,10,0) &amp;"."&amp;(VLOOKUP(E90,'MASTER RECORD'!$B$5:$W$1000,11,0)),"")</f>
        <v/>
      </c>
      <c r="G90" s="35" t="str">
        <f>IFERROR(VLOOKUP(E90,'MASTER RECORD'!$B$5:$W$1000,3,0),"")</f>
        <v/>
      </c>
      <c r="I90" s="36" t="str">
        <f t="shared" si="4"/>
        <v/>
      </c>
      <c r="N90" s="36" t="str">
        <f t="shared" si="5"/>
        <v/>
      </c>
    </row>
    <row r="91" spans="1:14">
      <c r="A91" s="6">
        <f t="shared" si="3"/>
        <v>86</v>
      </c>
      <c r="C91" s="35" t="str">
        <f>IFERROR(VLOOKUP(B91,'MASTER RECORD'!$B$5:$W$1000,10,0) &amp;"."&amp;(VLOOKUP(B91,'MASTER RECORD'!$B$5:$W$1000,11,0)),"")</f>
        <v/>
      </c>
      <c r="D91" s="35" t="str">
        <f>IFERROR(VLOOKUP(B91,'MASTER RECORD'!$B$5:$W$1000,3,0),"")</f>
        <v/>
      </c>
      <c r="F91" s="35" t="str">
        <f>IFERROR(VLOOKUP(E91,'MASTER RECORD'!$B$5:$W$1000,10,0) &amp;"."&amp;(VLOOKUP(E91,'MASTER RECORD'!$B$5:$W$1000,11,0)),"")</f>
        <v/>
      </c>
      <c r="G91" s="35" t="str">
        <f>IFERROR(VLOOKUP(E91,'MASTER RECORD'!$B$5:$W$1000,3,0),"")</f>
        <v/>
      </c>
      <c r="I91" s="36" t="str">
        <f t="shared" si="4"/>
        <v/>
      </c>
      <c r="N91" s="36" t="str">
        <f t="shared" si="5"/>
        <v/>
      </c>
    </row>
    <row r="92" spans="1:14">
      <c r="A92" s="6">
        <f t="shared" si="3"/>
        <v>87</v>
      </c>
      <c r="C92" s="35" t="str">
        <f>IFERROR(VLOOKUP(B92,'MASTER RECORD'!$B$5:$W$1000,10,0) &amp;"."&amp;(VLOOKUP(B92,'MASTER RECORD'!$B$5:$W$1000,11,0)),"")</f>
        <v/>
      </c>
      <c r="D92" s="35" t="str">
        <f>IFERROR(VLOOKUP(B92,'MASTER RECORD'!$B$5:$W$1000,3,0),"")</f>
        <v/>
      </c>
      <c r="F92" s="35" t="str">
        <f>IFERROR(VLOOKUP(E92,'MASTER RECORD'!$B$5:$W$1000,10,0) &amp;"."&amp;(VLOOKUP(E92,'MASTER RECORD'!$B$5:$W$1000,11,0)),"")</f>
        <v/>
      </c>
      <c r="G92" s="35" t="str">
        <f>IFERROR(VLOOKUP(E92,'MASTER RECORD'!$B$5:$W$1000,3,0),"")</f>
        <v/>
      </c>
      <c r="I92" s="36" t="str">
        <f t="shared" si="4"/>
        <v/>
      </c>
      <c r="N92" s="36" t="str">
        <f t="shared" si="5"/>
        <v/>
      </c>
    </row>
    <row r="93" spans="1:14">
      <c r="A93" s="6">
        <f t="shared" si="3"/>
        <v>88</v>
      </c>
      <c r="C93" s="35" t="str">
        <f>IFERROR(VLOOKUP(B93,'MASTER RECORD'!$B$5:$W$1000,10,0) &amp;"."&amp;(VLOOKUP(B93,'MASTER RECORD'!$B$5:$W$1000,11,0)),"")</f>
        <v/>
      </c>
      <c r="D93" s="35" t="str">
        <f>IFERROR(VLOOKUP(B93,'MASTER RECORD'!$B$5:$W$1000,3,0),"")</f>
        <v/>
      </c>
      <c r="F93" s="35" t="str">
        <f>IFERROR(VLOOKUP(E93,'MASTER RECORD'!$B$5:$W$1000,10,0) &amp;"."&amp;(VLOOKUP(E93,'MASTER RECORD'!$B$5:$W$1000,11,0)),"")</f>
        <v/>
      </c>
      <c r="G93" s="35" t="str">
        <f>IFERROR(VLOOKUP(E93,'MASTER RECORD'!$B$5:$W$1000,3,0),"")</f>
        <v/>
      </c>
      <c r="I93" s="36" t="str">
        <f t="shared" si="4"/>
        <v/>
      </c>
      <c r="N93" s="36" t="str">
        <f t="shared" si="5"/>
        <v/>
      </c>
    </row>
    <row r="94" spans="1:14">
      <c r="A94" s="6">
        <f t="shared" si="3"/>
        <v>89</v>
      </c>
      <c r="C94" s="35" t="str">
        <f>IFERROR(VLOOKUP(B94,'MASTER RECORD'!$B$5:$W$1000,10,0) &amp;"."&amp;(VLOOKUP(B94,'MASTER RECORD'!$B$5:$W$1000,11,0)),"")</f>
        <v/>
      </c>
      <c r="D94" s="35" t="str">
        <f>IFERROR(VLOOKUP(B94,'MASTER RECORD'!$B$5:$W$1000,3,0),"")</f>
        <v/>
      </c>
      <c r="F94" s="35" t="str">
        <f>IFERROR(VLOOKUP(E94,'MASTER RECORD'!$B$5:$W$1000,10,0) &amp;"."&amp;(VLOOKUP(E94,'MASTER RECORD'!$B$5:$W$1000,11,0)),"")</f>
        <v/>
      </c>
      <c r="G94" s="35" t="str">
        <f>IFERROR(VLOOKUP(E94,'MASTER RECORD'!$B$5:$W$1000,3,0),"")</f>
        <v/>
      </c>
      <c r="I94" s="36" t="str">
        <f t="shared" si="4"/>
        <v/>
      </c>
      <c r="N94" s="36" t="str">
        <f t="shared" si="5"/>
        <v/>
      </c>
    </row>
    <row r="95" spans="1:14">
      <c r="A95" s="6">
        <f t="shared" si="3"/>
        <v>90</v>
      </c>
      <c r="C95" s="35" t="str">
        <f>IFERROR(VLOOKUP(B95,'MASTER RECORD'!$B$5:$W$1000,10,0) &amp;"."&amp;(VLOOKUP(B95,'MASTER RECORD'!$B$5:$W$1000,11,0)),"")</f>
        <v/>
      </c>
      <c r="D95" s="35" t="str">
        <f>IFERROR(VLOOKUP(B95,'MASTER RECORD'!$B$5:$W$1000,3,0),"")</f>
        <v/>
      </c>
      <c r="F95" s="35" t="str">
        <f>IFERROR(VLOOKUP(E95,'MASTER RECORD'!$B$5:$W$1000,10,0) &amp;"."&amp;(VLOOKUP(E95,'MASTER RECORD'!$B$5:$W$1000,11,0)),"")</f>
        <v/>
      </c>
      <c r="G95" s="35" t="str">
        <f>IFERROR(VLOOKUP(E95,'MASTER RECORD'!$B$5:$W$1000,3,0),"")</f>
        <v/>
      </c>
      <c r="I95" s="36" t="str">
        <f t="shared" si="4"/>
        <v/>
      </c>
      <c r="N95" s="36" t="str">
        <f t="shared" si="5"/>
        <v/>
      </c>
    </row>
    <row r="96" spans="1:14">
      <c r="A96" s="6">
        <f t="shared" si="3"/>
        <v>91</v>
      </c>
      <c r="C96" s="35" t="str">
        <f>IFERROR(VLOOKUP(B96,'MASTER RECORD'!$B$5:$W$1000,10,0) &amp;"."&amp;(VLOOKUP(B96,'MASTER RECORD'!$B$5:$W$1000,11,0)),"")</f>
        <v/>
      </c>
      <c r="D96" s="35" t="str">
        <f>IFERROR(VLOOKUP(B96,'MASTER RECORD'!$B$5:$W$1000,3,0),"")</f>
        <v/>
      </c>
      <c r="F96" s="35" t="str">
        <f>IFERROR(VLOOKUP(E96,'MASTER RECORD'!$B$5:$W$1000,10,0) &amp;"."&amp;(VLOOKUP(E96,'MASTER RECORD'!$B$5:$W$1000,11,0)),"")</f>
        <v/>
      </c>
      <c r="G96" s="35" t="str">
        <f>IFERROR(VLOOKUP(E96,'MASTER RECORD'!$B$5:$W$1000,3,0),"")</f>
        <v/>
      </c>
      <c r="I96" s="36" t="str">
        <f t="shared" si="4"/>
        <v/>
      </c>
      <c r="N96" s="36" t="str">
        <f t="shared" si="5"/>
        <v/>
      </c>
    </row>
    <row r="97" spans="1:14">
      <c r="A97" s="6">
        <f t="shared" si="3"/>
        <v>92</v>
      </c>
      <c r="C97" s="35" t="str">
        <f>IFERROR(VLOOKUP(B97,'MASTER RECORD'!$B$5:$W$1000,10,0) &amp;"."&amp;(VLOOKUP(B97,'MASTER RECORD'!$B$5:$W$1000,11,0)),"")</f>
        <v/>
      </c>
      <c r="D97" s="35" t="str">
        <f>IFERROR(VLOOKUP(B97,'MASTER RECORD'!$B$5:$W$1000,3,0),"")</f>
        <v/>
      </c>
      <c r="F97" s="35" t="str">
        <f>IFERROR(VLOOKUP(E97,'MASTER RECORD'!$B$5:$W$1000,10,0) &amp;"."&amp;(VLOOKUP(E97,'MASTER RECORD'!$B$5:$W$1000,11,0)),"")</f>
        <v/>
      </c>
      <c r="G97" s="35" t="str">
        <f>IFERROR(VLOOKUP(E97,'MASTER RECORD'!$B$5:$W$1000,3,0),"")</f>
        <v/>
      </c>
      <c r="I97" s="36" t="str">
        <f t="shared" si="4"/>
        <v/>
      </c>
      <c r="N97" s="36" t="str">
        <f t="shared" si="5"/>
        <v/>
      </c>
    </row>
    <row r="98" spans="1:14">
      <c r="A98" s="6">
        <f t="shared" si="3"/>
        <v>93</v>
      </c>
      <c r="C98" s="35" t="str">
        <f>IFERROR(VLOOKUP(B98,'MASTER RECORD'!$B$5:$W$1000,10,0) &amp;"."&amp;(VLOOKUP(B98,'MASTER RECORD'!$B$5:$W$1000,11,0)),"")</f>
        <v/>
      </c>
      <c r="D98" s="35" t="str">
        <f>IFERROR(VLOOKUP(B98,'MASTER RECORD'!$B$5:$W$1000,3,0),"")</f>
        <v/>
      </c>
      <c r="F98" s="35" t="str">
        <f>IFERROR(VLOOKUP(E98,'MASTER RECORD'!$B$5:$W$1000,10,0) &amp;"."&amp;(VLOOKUP(E98,'MASTER RECORD'!$B$5:$W$1000,11,0)),"")</f>
        <v/>
      </c>
      <c r="G98" s="35" t="str">
        <f>IFERROR(VLOOKUP(E98,'MASTER RECORD'!$B$5:$W$1000,3,0),"")</f>
        <v/>
      </c>
      <c r="I98" s="36" t="str">
        <f t="shared" si="4"/>
        <v/>
      </c>
      <c r="N98" s="36" t="str">
        <f t="shared" si="5"/>
        <v/>
      </c>
    </row>
    <row r="99" spans="1:14">
      <c r="A99" s="6">
        <f t="shared" si="3"/>
        <v>94</v>
      </c>
      <c r="C99" s="35" t="str">
        <f>IFERROR(VLOOKUP(B99,'MASTER RECORD'!$B$5:$W$1000,10,0) &amp;"."&amp;(VLOOKUP(B99,'MASTER RECORD'!$B$5:$W$1000,11,0)),"")</f>
        <v/>
      </c>
      <c r="D99" s="35" t="str">
        <f>IFERROR(VLOOKUP(B99,'MASTER RECORD'!$B$5:$W$1000,3,0),"")</f>
        <v/>
      </c>
      <c r="F99" s="35" t="str">
        <f>IFERROR(VLOOKUP(E99,'MASTER RECORD'!$B$5:$W$1000,10,0) &amp;"."&amp;(VLOOKUP(E99,'MASTER RECORD'!$B$5:$W$1000,11,0)),"")</f>
        <v/>
      </c>
      <c r="G99" s="35" t="str">
        <f>IFERROR(VLOOKUP(E99,'MASTER RECORD'!$B$5:$W$1000,3,0),"")</f>
        <v/>
      </c>
      <c r="I99" s="36" t="str">
        <f t="shared" si="4"/>
        <v/>
      </c>
      <c r="N99" s="36" t="str">
        <f t="shared" si="5"/>
        <v/>
      </c>
    </row>
    <row r="100" spans="1:14">
      <c r="A100" s="6">
        <f t="shared" si="3"/>
        <v>95</v>
      </c>
      <c r="C100" s="35" t="str">
        <f>IFERROR(VLOOKUP(B100,'MASTER RECORD'!$B$5:$W$1000,10,0) &amp;"."&amp;(VLOOKUP(B100,'MASTER RECORD'!$B$5:$W$1000,11,0)),"")</f>
        <v/>
      </c>
      <c r="D100" s="35" t="str">
        <f>IFERROR(VLOOKUP(B100,'MASTER RECORD'!$B$5:$W$1000,3,0),"")</f>
        <v/>
      </c>
      <c r="F100" s="35" t="str">
        <f>IFERROR(VLOOKUP(E100,'MASTER RECORD'!$B$5:$W$1000,10,0) &amp;"."&amp;(VLOOKUP(E100,'MASTER RECORD'!$B$5:$W$1000,11,0)),"")</f>
        <v/>
      </c>
      <c r="G100" s="35" t="str">
        <f>IFERROR(VLOOKUP(E100,'MASTER RECORD'!$B$5:$W$1000,3,0),"")</f>
        <v/>
      </c>
      <c r="I100" s="36" t="str">
        <f t="shared" si="4"/>
        <v/>
      </c>
      <c r="N100" s="36" t="str">
        <f t="shared" si="5"/>
        <v/>
      </c>
    </row>
    <row r="101" spans="1:14">
      <c r="A101" s="6">
        <f t="shared" si="3"/>
        <v>96</v>
      </c>
      <c r="C101" s="35" t="str">
        <f>IFERROR(VLOOKUP(B101,'MASTER RECORD'!$B$5:$W$1000,10,0) &amp;"."&amp;(VLOOKUP(B101,'MASTER RECORD'!$B$5:$W$1000,11,0)),"")</f>
        <v/>
      </c>
      <c r="D101" s="35" t="str">
        <f>IFERROR(VLOOKUP(B101,'MASTER RECORD'!$B$5:$W$1000,3,0),"")</f>
        <v/>
      </c>
      <c r="F101" s="35" t="str">
        <f>IFERROR(VLOOKUP(E101,'MASTER RECORD'!$B$5:$W$1000,10,0) &amp;"."&amp;(VLOOKUP(E101,'MASTER RECORD'!$B$5:$W$1000,11,0)),"")</f>
        <v/>
      </c>
      <c r="G101" s="35" t="str">
        <f>IFERROR(VLOOKUP(E101,'MASTER RECORD'!$B$5:$W$1000,3,0),"")</f>
        <v/>
      </c>
      <c r="I101" s="36" t="str">
        <f t="shared" si="4"/>
        <v/>
      </c>
      <c r="N101" s="36" t="str">
        <f t="shared" si="5"/>
        <v/>
      </c>
    </row>
    <row r="102" spans="1:14">
      <c r="A102" s="6">
        <f t="shared" si="3"/>
        <v>97</v>
      </c>
      <c r="C102" s="35" t="str">
        <f>IFERROR(VLOOKUP(B102,'MASTER RECORD'!$B$5:$W$1000,10,0) &amp;"."&amp;(VLOOKUP(B102,'MASTER RECORD'!$B$5:$W$1000,11,0)),"")</f>
        <v/>
      </c>
      <c r="D102" s="35" t="str">
        <f>IFERROR(VLOOKUP(B102,'MASTER RECORD'!$B$5:$W$1000,3,0),"")</f>
        <v/>
      </c>
      <c r="F102" s="35" t="str">
        <f>IFERROR(VLOOKUP(E102,'MASTER RECORD'!$B$5:$W$1000,10,0) &amp;"."&amp;(VLOOKUP(E102,'MASTER RECORD'!$B$5:$W$1000,11,0)),"")</f>
        <v/>
      </c>
      <c r="G102" s="35" t="str">
        <f>IFERROR(VLOOKUP(E102,'MASTER RECORD'!$B$5:$W$1000,3,0),"")</f>
        <v/>
      </c>
      <c r="I102" s="36" t="str">
        <f t="shared" si="4"/>
        <v/>
      </c>
      <c r="N102" s="36" t="str">
        <f t="shared" si="5"/>
        <v/>
      </c>
    </row>
    <row r="103" spans="1:14">
      <c r="A103" s="6">
        <f t="shared" si="3"/>
        <v>98</v>
      </c>
      <c r="C103" s="35" t="str">
        <f>IFERROR(VLOOKUP(B103,'MASTER RECORD'!$B$5:$W$1000,10,0) &amp;"."&amp;(VLOOKUP(B103,'MASTER RECORD'!$B$5:$W$1000,11,0)),"")</f>
        <v/>
      </c>
      <c r="D103" s="35" t="str">
        <f>IFERROR(VLOOKUP(B103,'MASTER RECORD'!$B$5:$W$1000,3,0),"")</f>
        <v/>
      </c>
      <c r="F103" s="35" t="str">
        <f>IFERROR(VLOOKUP(E103,'MASTER RECORD'!$B$5:$W$1000,10,0) &amp;"."&amp;(VLOOKUP(E103,'MASTER RECORD'!$B$5:$W$1000,11,0)),"")</f>
        <v/>
      </c>
      <c r="G103" s="35" t="str">
        <f>IFERROR(VLOOKUP(E103,'MASTER RECORD'!$B$5:$W$1000,3,0),"")</f>
        <v/>
      </c>
      <c r="I103" s="36" t="str">
        <f t="shared" si="4"/>
        <v/>
      </c>
      <c r="N103" s="36" t="str">
        <f t="shared" si="5"/>
        <v/>
      </c>
    </row>
    <row r="104" spans="1:14">
      <c r="A104" s="6">
        <f t="shared" si="3"/>
        <v>99</v>
      </c>
      <c r="C104" s="35" t="str">
        <f>IFERROR(VLOOKUP(B104,'MASTER RECORD'!$B$5:$W$1000,10,0) &amp;"."&amp;(VLOOKUP(B104,'MASTER RECORD'!$B$5:$W$1000,11,0)),"")</f>
        <v/>
      </c>
      <c r="D104" s="35" t="str">
        <f>IFERROR(VLOOKUP(B104,'MASTER RECORD'!$B$5:$W$1000,3,0),"")</f>
        <v/>
      </c>
      <c r="F104" s="35" t="str">
        <f>IFERROR(VLOOKUP(E104,'MASTER RECORD'!$B$5:$W$1000,10,0) &amp;"."&amp;(VLOOKUP(E104,'MASTER RECORD'!$B$5:$W$1000,11,0)),"")</f>
        <v/>
      </c>
      <c r="G104" s="35" t="str">
        <f>IFERROR(VLOOKUP(E104,'MASTER RECORD'!$B$5:$W$1000,3,0),"")</f>
        <v/>
      </c>
      <c r="I104" s="36" t="str">
        <f t="shared" si="4"/>
        <v/>
      </c>
      <c r="N104" s="36" t="str">
        <f t="shared" si="5"/>
        <v/>
      </c>
    </row>
    <row r="105" spans="1:14">
      <c r="A105" s="6">
        <f>ROW(A100)</f>
        <v>100</v>
      </c>
      <c r="C105" s="35" t="str">
        <f>IFERROR(VLOOKUP(B105,'MASTER RECORD'!$B$5:$W$1000,10,0) &amp;"."&amp;(VLOOKUP(B105,'MASTER RECORD'!$B$5:$W$1000,11,0)),"")</f>
        <v/>
      </c>
      <c r="D105" s="35" t="str">
        <f>IFERROR(VLOOKUP(B105,'MASTER RECORD'!$B$5:$W$1000,3,0),"")</f>
        <v/>
      </c>
      <c r="F105" s="35" t="str">
        <f>IFERROR(VLOOKUP(E105,'MASTER RECORD'!$B$5:$W$1000,10,0) &amp;"."&amp;(VLOOKUP(E105,'MASTER RECORD'!$B$5:$W$1000,11,0)),"")</f>
        <v/>
      </c>
      <c r="G105" s="35" t="str">
        <f>IFERROR(VLOOKUP(E105,'MASTER RECORD'!$B$5:$W$1000,3,0),"")</f>
        <v/>
      </c>
      <c r="I105" s="36" t="str">
        <f t="shared" si="4"/>
        <v/>
      </c>
      <c r="N105" s="36" t="str">
        <f t="shared" si="5"/>
        <v/>
      </c>
    </row>
    <row r="106" spans="1:14">
      <c r="A106" s="6">
        <f t="shared" ref="A106:A169" si="6">ROW(A101)</f>
        <v>101</v>
      </c>
      <c r="C106" s="35" t="str">
        <f>IFERROR(VLOOKUP(B106,'MASTER RECORD'!$B$5:$W$1000,10,0) &amp;"."&amp;(VLOOKUP(B106,'MASTER RECORD'!$B$5:$W$1000,11,0)),"")</f>
        <v/>
      </c>
      <c r="D106" s="35" t="str">
        <f>IFERROR(VLOOKUP(B106,'MASTER RECORD'!$B$5:$W$1000,3,0),"")</f>
        <v/>
      </c>
      <c r="F106" s="35" t="str">
        <f>IFERROR(VLOOKUP(E106,'MASTER RECORD'!$B$5:$W$1000,10,0) &amp;"."&amp;(VLOOKUP(E106,'MASTER RECORD'!$B$5:$W$1000,11,0)),"")</f>
        <v/>
      </c>
      <c r="G106" s="35" t="str">
        <f>IFERROR(VLOOKUP(E106,'MASTER RECORD'!$B$5:$W$1000,3,0),"")</f>
        <v/>
      </c>
      <c r="I106" s="36" t="str">
        <f t="shared" si="4"/>
        <v/>
      </c>
      <c r="N106" s="36" t="str">
        <f t="shared" si="5"/>
        <v/>
      </c>
    </row>
    <row r="107" spans="1:14">
      <c r="A107" s="6">
        <f t="shared" si="6"/>
        <v>102</v>
      </c>
      <c r="C107" s="35" t="str">
        <f>IFERROR(VLOOKUP(B107,'MASTER RECORD'!$B$5:$W$1000,10,0) &amp;"."&amp;(VLOOKUP(B107,'MASTER RECORD'!$B$5:$W$1000,11,0)),"")</f>
        <v/>
      </c>
      <c r="D107" s="35" t="str">
        <f>IFERROR(VLOOKUP(B107,'MASTER RECORD'!$B$5:$W$1000,3,0),"")</f>
        <v/>
      </c>
      <c r="F107" s="35" t="str">
        <f>IFERROR(VLOOKUP(E107,'MASTER RECORD'!$B$5:$W$1000,10,0) &amp;"."&amp;(VLOOKUP(E107,'MASTER RECORD'!$B$5:$W$1000,11,0)),"")</f>
        <v/>
      </c>
      <c r="G107" s="35" t="str">
        <f>IFERROR(VLOOKUP(E107,'MASTER RECORD'!$B$5:$W$1000,3,0),"")</f>
        <v/>
      </c>
      <c r="I107" s="36" t="str">
        <f t="shared" si="4"/>
        <v/>
      </c>
      <c r="N107" s="36" t="str">
        <f t="shared" si="5"/>
        <v/>
      </c>
    </row>
    <row r="108" spans="1:14">
      <c r="A108" s="6">
        <f t="shared" si="6"/>
        <v>103</v>
      </c>
      <c r="C108" s="35" t="str">
        <f>IFERROR(VLOOKUP(B108,'MASTER RECORD'!$B$5:$W$1000,10,0) &amp;"."&amp;(VLOOKUP(B108,'MASTER RECORD'!$B$5:$W$1000,11,0)),"")</f>
        <v/>
      </c>
      <c r="D108" s="35" t="str">
        <f>IFERROR(VLOOKUP(B108,'MASTER RECORD'!$B$5:$W$1000,3,0),"")</f>
        <v/>
      </c>
      <c r="F108" s="35" t="str">
        <f>IFERROR(VLOOKUP(E108,'MASTER RECORD'!$B$5:$W$1000,10,0) &amp;"."&amp;(VLOOKUP(E108,'MASTER RECORD'!$B$5:$W$1000,11,0)),"")</f>
        <v/>
      </c>
      <c r="G108" s="35" t="str">
        <f>IFERROR(VLOOKUP(E108,'MASTER RECORD'!$B$5:$W$1000,3,0),"")</f>
        <v/>
      </c>
      <c r="I108" s="36" t="str">
        <f t="shared" si="4"/>
        <v/>
      </c>
      <c r="N108" s="36" t="str">
        <f t="shared" si="5"/>
        <v/>
      </c>
    </row>
    <row r="109" spans="1:14">
      <c r="A109" s="6">
        <f t="shared" si="6"/>
        <v>104</v>
      </c>
      <c r="C109" s="35" t="str">
        <f>IFERROR(VLOOKUP(B109,'MASTER RECORD'!$B$5:$W$1000,10,0) &amp;"."&amp;(VLOOKUP(B109,'MASTER RECORD'!$B$5:$W$1000,11,0)),"")</f>
        <v/>
      </c>
      <c r="D109" s="35" t="str">
        <f>IFERROR(VLOOKUP(B109,'MASTER RECORD'!$B$5:$W$1000,3,0),"")</f>
        <v/>
      </c>
      <c r="F109" s="35" t="str">
        <f>IFERROR(VLOOKUP(E109,'MASTER RECORD'!$B$5:$W$1000,10,0) &amp;"."&amp;(VLOOKUP(E109,'MASTER RECORD'!$B$5:$W$1000,11,0)),"")</f>
        <v/>
      </c>
      <c r="G109" s="35" t="str">
        <f>IFERROR(VLOOKUP(E109,'MASTER RECORD'!$B$5:$W$1000,3,0),"")</f>
        <v/>
      </c>
      <c r="I109" s="36" t="str">
        <f t="shared" si="4"/>
        <v/>
      </c>
      <c r="N109" s="36" t="str">
        <f t="shared" si="5"/>
        <v/>
      </c>
    </row>
    <row r="110" spans="1:14">
      <c r="A110" s="6">
        <f t="shared" si="6"/>
        <v>105</v>
      </c>
      <c r="C110" s="35" t="str">
        <f>IFERROR(VLOOKUP(B110,'MASTER RECORD'!$B$5:$W$1000,10,0) &amp;"."&amp;(VLOOKUP(B110,'MASTER RECORD'!$B$5:$W$1000,11,0)),"")</f>
        <v/>
      </c>
      <c r="D110" s="35" t="str">
        <f>IFERROR(VLOOKUP(B110,'MASTER RECORD'!$B$5:$W$1000,3,0),"")</f>
        <v/>
      </c>
      <c r="F110" s="35" t="str">
        <f>IFERROR(VLOOKUP(E110,'MASTER RECORD'!$B$5:$W$1000,10,0) &amp;"."&amp;(VLOOKUP(E110,'MASTER RECORD'!$B$5:$W$1000,11,0)),"")</f>
        <v/>
      </c>
      <c r="G110" s="35" t="str">
        <f>IFERROR(VLOOKUP(E110,'MASTER RECORD'!$B$5:$W$1000,3,0),"")</f>
        <v/>
      </c>
      <c r="I110" s="36" t="str">
        <f t="shared" si="4"/>
        <v/>
      </c>
      <c r="N110" s="36" t="str">
        <f t="shared" si="5"/>
        <v/>
      </c>
    </row>
    <row r="111" spans="1:14">
      <c r="A111" s="6">
        <f t="shared" si="6"/>
        <v>106</v>
      </c>
      <c r="C111" s="35" t="str">
        <f>IFERROR(VLOOKUP(B111,'MASTER RECORD'!$B$5:$W$1000,10,0) &amp;"."&amp;(VLOOKUP(B111,'MASTER RECORD'!$B$5:$W$1000,11,0)),"")</f>
        <v/>
      </c>
      <c r="D111" s="35" t="str">
        <f>IFERROR(VLOOKUP(B111,'MASTER RECORD'!$B$5:$W$1000,3,0),"")</f>
        <v/>
      </c>
      <c r="F111" s="35" t="str">
        <f>IFERROR(VLOOKUP(E111,'MASTER RECORD'!$B$5:$W$1000,10,0) &amp;"."&amp;(VLOOKUP(E111,'MASTER RECORD'!$B$5:$W$1000,11,0)),"")</f>
        <v/>
      </c>
      <c r="G111" s="35" t="str">
        <f>IFERROR(VLOOKUP(E111,'MASTER RECORD'!$B$5:$W$1000,3,0),"")</f>
        <v/>
      </c>
      <c r="I111" s="36" t="str">
        <f t="shared" si="4"/>
        <v/>
      </c>
      <c r="N111" s="36" t="str">
        <f t="shared" si="5"/>
        <v/>
      </c>
    </row>
    <row r="112" spans="1:14">
      <c r="A112" s="6">
        <f t="shared" si="6"/>
        <v>107</v>
      </c>
      <c r="C112" s="35" t="str">
        <f>IFERROR(VLOOKUP(B112,'MASTER RECORD'!$B$5:$W$1000,10,0) &amp;"."&amp;(VLOOKUP(B112,'MASTER RECORD'!$B$5:$W$1000,11,0)),"")</f>
        <v/>
      </c>
      <c r="D112" s="35" t="str">
        <f>IFERROR(VLOOKUP(B112,'MASTER RECORD'!$B$5:$W$1000,3,0),"")</f>
        <v/>
      </c>
      <c r="F112" s="35" t="str">
        <f>IFERROR(VLOOKUP(E112,'MASTER RECORD'!$B$5:$W$1000,10,0) &amp;"."&amp;(VLOOKUP(E112,'MASTER RECORD'!$B$5:$W$1000,11,0)),"")</f>
        <v/>
      </c>
      <c r="G112" s="35" t="str">
        <f>IFERROR(VLOOKUP(E112,'MASTER RECORD'!$B$5:$W$1000,3,0),"")</f>
        <v/>
      </c>
      <c r="I112" s="36" t="str">
        <f t="shared" si="4"/>
        <v/>
      </c>
      <c r="N112" s="36" t="str">
        <f t="shared" si="5"/>
        <v/>
      </c>
    </row>
    <row r="113" spans="1:14">
      <c r="A113" s="6">
        <f t="shared" si="6"/>
        <v>108</v>
      </c>
      <c r="C113" s="35" t="str">
        <f>IFERROR(VLOOKUP(B113,'MASTER RECORD'!$B$5:$W$1000,10,0) &amp;"."&amp;(VLOOKUP(B113,'MASTER RECORD'!$B$5:$W$1000,11,0)),"")</f>
        <v/>
      </c>
      <c r="D113" s="35" t="str">
        <f>IFERROR(VLOOKUP(B113,'MASTER RECORD'!$B$5:$W$1000,3,0),"")</f>
        <v/>
      </c>
      <c r="F113" s="35" t="str">
        <f>IFERROR(VLOOKUP(E113,'MASTER RECORD'!$B$5:$W$1000,10,0) &amp;"."&amp;(VLOOKUP(E113,'MASTER RECORD'!$B$5:$W$1000,11,0)),"")</f>
        <v/>
      </c>
      <c r="G113" s="35" t="str">
        <f>IFERROR(VLOOKUP(E113,'MASTER RECORD'!$B$5:$W$1000,3,0),"")</f>
        <v/>
      </c>
      <c r="I113" s="36" t="str">
        <f t="shared" si="4"/>
        <v/>
      </c>
      <c r="N113" s="36" t="str">
        <f t="shared" si="5"/>
        <v/>
      </c>
    </row>
    <row r="114" spans="1:14">
      <c r="A114" s="6">
        <f t="shared" si="6"/>
        <v>109</v>
      </c>
      <c r="C114" s="35" t="str">
        <f>IFERROR(VLOOKUP(B114,'MASTER RECORD'!$B$5:$W$1000,10,0) &amp;"."&amp;(VLOOKUP(B114,'MASTER RECORD'!$B$5:$W$1000,11,0)),"")</f>
        <v/>
      </c>
      <c r="D114" s="35" t="str">
        <f>IFERROR(VLOOKUP(B114,'MASTER RECORD'!$B$5:$W$1000,3,0),"")</f>
        <v/>
      </c>
      <c r="F114" s="35" t="str">
        <f>IFERROR(VLOOKUP(E114,'MASTER RECORD'!$B$5:$W$1000,10,0) &amp;"."&amp;(VLOOKUP(E114,'MASTER RECORD'!$B$5:$W$1000,11,0)),"")</f>
        <v/>
      </c>
      <c r="G114" s="35" t="str">
        <f>IFERROR(VLOOKUP(E114,'MASTER RECORD'!$B$5:$W$1000,3,0),"")</f>
        <v/>
      </c>
      <c r="I114" s="36" t="str">
        <f t="shared" si="4"/>
        <v/>
      </c>
      <c r="N114" s="36" t="str">
        <f t="shared" si="5"/>
        <v/>
      </c>
    </row>
    <row r="115" spans="1:14">
      <c r="A115" s="6">
        <f t="shared" si="6"/>
        <v>110</v>
      </c>
      <c r="C115" s="35" t="str">
        <f>IFERROR(VLOOKUP(B115,'MASTER RECORD'!$B$5:$W$1000,10,0) &amp;"."&amp;(VLOOKUP(B115,'MASTER RECORD'!$B$5:$W$1000,11,0)),"")</f>
        <v/>
      </c>
      <c r="D115" s="35" t="str">
        <f>IFERROR(VLOOKUP(B115,'MASTER RECORD'!$B$5:$W$1000,3,0),"")</f>
        <v/>
      </c>
      <c r="F115" s="35" t="str">
        <f>IFERROR(VLOOKUP(E115,'MASTER RECORD'!$B$5:$W$1000,10,0) &amp;"."&amp;(VLOOKUP(E115,'MASTER RECORD'!$B$5:$W$1000,11,0)),"")</f>
        <v/>
      </c>
      <c r="G115" s="35" t="str">
        <f>IFERROR(VLOOKUP(E115,'MASTER RECORD'!$B$5:$W$1000,3,0),"")</f>
        <v/>
      </c>
      <c r="I115" s="36" t="str">
        <f t="shared" si="4"/>
        <v/>
      </c>
      <c r="N115" s="36" t="str">
        <f t="shared" si="5"/>
        <v/>
      </c>
    </row>
    <row r="116" spans="1:14">
      <c r="A116" s="6">
        <f t="shared" si="6"/>
        <v>111</v>
      </c>
      <c r="C116" s="35" t="str">
        <f>IFERROR(VLOOKUP(B116,'MASTER RECORD'!$B$5:$W$1000,10,0) &amp;"."&amp;(VLOOKUP(B116,'MASTER RECORD'!$B$5:$W$1000,11,0)),"")</f>
        <v/>
      </c>
      <c r="D116" s="35" t="str">
        <f>IFERROR(VLOOKUP(B116,'MASTER RECORD'!$B$5:$W$1000,3,0),"")</f>
        <v/>
      </c>
      <c r="F116" s="35" t="str">
        <f>IFERROR(VLOOKUP(E116,'MASTER RECORD'!$B$5:$W$1000,10,0) &amp;"."&amp;(VLOOKUP(E116,'MASTER RECORD'!$B$5:$W$1000,11,0)),"")</f>
        <v/>
      </c>
      <c r="G116" s="35" t="str">
        <f>IFERROR(VLOOKUP(E116,'MASTER RECORD'!$B$5:$W$1000,3,0),"")</f>
        <v/>
      </c>
      <c r="I116" s="36" t="str">
        <f t="shared" si="4"/>
        <v/>
      </c>
      <c r="N116" s="36" t="str">
        <f t="shared" si="5"/>
        <v/>
      </c>
    </row>
    <row r="117" spans="1:14">
      <c r="A117" s="6">
        <f t="shared" si="6"/>
        <v>112</v>
      </c>
      <c r="C117" s="35" t="str">
        <f>IFERROR(VLOOKUP(B117,'MASTER RECORD'!$B$5:$W$1000,10,0) &amp;"."&amp;(VLOOKUP(B117,'MASTER RECORD'!$B$5:$W$1000,11,0)),"")</f>
        <v/>
      </c>
      <c r="D117" s="35" t="str">
        <f>IFERROR(VLOOKUP(B117,'MASTER RECORD'!$B$5:$W$1000,3,0),"")</f>
        <v/>
      </c>
      <c r="F117" s="35" t="str">
        <f>IFERROR(VLOOKUP(E117,'MASTER RECORD'!$B$5:$W$1000,10,0) &amp;"."&amp;(VLOOKUP(E117,'MASTER RECORD'!$B$5:$W$1000,11,0)),"")</f>
        <v/>
      </c>
      <c r="G117" s="35" t="str">
        <f>IFERROR(VLOOKUP(E117,'MASTER RECORD'!$B$5:$W$1000,3,0),"")</f>
        <v/>
      </c>
      <c r="I117" s="36" t="str">
        <f t="shared" si="4"/>
        <v/>
      </c>
      <c r="N117" s="36" t="str">
        <f t="shared" si="5"/>
        <v/>
      </c>
    </row>
    <row r="118" spans="1:14">
      <c r="A118" s="6">
        <f t="shared" si="6"/>
        <v>113</v>
      </c>
      <c r="C118" s="35" t="str">
        <f>IFERROR(VLOOKUP(B118,'MASTER RECORD'!$B$5:$W$1000,10,0) &amp;"."&amp;(VLOOKUP(B118,'MASTER RECORD'!$B$5:$W$1000,11,0)),"")</f>
        <v/>
      </c>
      <c r="D118" s="35" t="str">
        <f>IFERROR(VLOOKUP(B118,'MASTER RECORD'!$B$5:$W$1000,3,0),"")</f>
        <v/>
      </c>
      <c r="F118" s="35" t="str">
        <f>IFERROR(VLOOKUP(E118,'MASTER RECORD'!$B$5:$W$1000,10,0) &amp;"."&amp;(VLOOKUP(E118,'MASTER RECORD'!$B$5:$W$1000,11,0)),"")</f>
        <v/>
      </c>
      <c r="G118" s="35" t="str">
        <f>IFERROR(VLOOKUP(E118,'MASTER RECORD'!$B$5:$W$1000,3,0),"")</f>
        <v/>
      </c>
      <c r="I118" s="36" t="str">
        <f t="shared" si="4"/>
        <v/>
      </c>
      <c r="N118" s="36" t="str">
        <f t="shared" si="5"/>
        <v/>
      </c>
    </row>
    <row r="119" spans="1:14">
      <c r="A119" s="6">
        <f t="shared" si="6"/>
        <v>114</v>
      </c>
      <c r="C119" s="35" t="str">
        <f>IFERROR(VLOOKUP(B119,'MASTER RECORD'!$B$5:$W$1000,10,0) &amp;"."&amp;(VLOOKUP(B119,'MASTER RECORD'!$B$5:$W$1000,11,0)),"")</f>
        <v/>
      </c>
      <c r="D119" s="35" t="str">
        <f>IFERROR(VLOOKUP(B119,'MASTER RECORD'!$B$5:$W$1000,3,0),"")</f>
        <v/>
      </c>
      <c r="F119" s="35" t="str">
        <f>IFERROR(VLOOKUP(E119,'MASTER RECORD'!$B$5:$W$1000,10,0) &amp;"."&amp;(VLOOKUP(E119,'MASTER RECORD'!$B$5:$W$1000,11,0)),"")</f>
        <v/>
      </c>
      <c r="G119" s="35" t="str">
        <f>IFERROR(VLOOKUP(E119,'MASTER RECORD'!$B$5:$W$1000,3,0),"")</f>
        <v/>
      </c>
      <c r="I119" s="36" t="str">
        <f t="shared" si="4"/>
        <v/>
      </c>
      <c r="N119" s="36" t="str">
        <f t="shared" si="5"/>
        <v/>
      </c>
    </row>
    <row r="120" spans="1:14">
      <c r="A120" s="6">
        <f t="shared" si="6"/>
        <v>115</v>
      </c>
      <c r="C120" s="35" t="str">
        <f>IFERROR(VLOOKUP(B120,'MASTER RECORD'!$B$5:$W$1000,10,0) &amp;"."&amp;(VLOOKUP(B120,'MASTER RECORD'!$B$5:$W$1000,11,0)),"")</f>
        <v/>
      </c>
      <c r="D120" s="35" t="str">
        <f>IFERROR(VLOOKUP(B120,'MASTER RECORD'!$B$5:$W$1000,3,0),"")</f>
        <v/>
      </c>
      <c r="F120" s="35" t="str">
        <f>IFERROR(VLOOKUP(E120,'MASTER RECORD'!$B$5:$W$1000,10,0) &amp;"."&amp;(VLOOKUP(E120,'MASTER RECORD'!$B$5:$W$1000,11,0)),"")</f>
        <v/>
      </c>
      <c r="G120" s="35" t="str">
        <f>IFERROR(VLOOKUP(E120,'MASTER RECORD'!$B$5:$W$1000,3,0),"")</f>
        <v/>
      </c>
      <c r="I120" s="36" t="str">
        <f t="shared" si="4"/>
        <v/>
      </c>
      <c r="N120" s="36" t="str">
        <f t="shared" si="5"/>
        <v/>
      </c>
    </row>
    <row r="121" spans="1:14">
      <c r="A121" s="6">
        <f t="shared" si="6"/>
        <v>116</v>
      </c>
      <c r="C121" s="35" t="str">
        <f>IFERROR(VLOOKUP(B121,'MASTER RECORD'!$B$5:$W$1000,10,0) &amp;"."&amp;(VLOOKUP(B121,'MASTER RECORD'!$B$5:$W$1000,11,0)),"")</f>
        <v/>
      </c>
      <c r="D121" s="35" t="str">
        <f>IFERROR(VLOOKUP(B121,'MASTER RECORD'!$B$5:$W$1000,3,0),"")</f>
        <v/>
      </c>
      <c r="F121" s="35" t="str">
        <f>IFERROR(VLOOKUP(E121,'MASTER RECORD'!$B$5:$W$1000,10,0) &amp;"."&amp;(VLOOKUP(E121,'MASTER RECORD'!$B$5:$W$1000,11,0)),"")</f>
        <v/>
      </c>
      <c r="G121" s="35" t="str">
        <f>IFERROR(VLOOKUP(E121,'MASTER RECORD'!$B$5:$W$1000,3,0),"")</f>
        <v/>
      </c>
      <c r="I121" s="36" t="str">
        <f t="shared" si="4"/>
        <v/>
      </c>
      <c r="N121" s="36" t="str">
        <f t="shared" si="5"/>
        <v/>
      </c>
    </row>
    <row r="122" spans="1:14">
      <c r="A122" s="6">
        <f t="shared" si="6"/>
        <v>117</v>
      </c>
      <c r="C122" s="35" t="str">
        <f>IFERROR(VLOOKUP(B122,'MASTER RECORD'!$B$5:$W$1000,10,0) &amp;"."&amp;(VLOOKUP(B122,'MASTER RECORD'!$B$5:$W$1000,11,0)),"")</f>
        <v/>
      </c>
      <c r="D122" s="35" t="str">
        <f>IFERROR(VLOOKUP(B122,'MASTER RECORD'!$B$5:$W$1000,3,0),"")</f>
        <v/>
      </c>
      <c r="F122" s="35" t="str">
        <f>IFERROR(VLOOKUP(E122,'MASTER RECORD'!$B$5:$W$1000,10,0) &amp;"."&amp;(VLOOKUP(E122,'MASTER RECORD'!$B$5:$W$1000,11,0)),"")</f>
        <v/>
      </c>
      <c r="G122" s="35" t="str">
        <f>IFERROR(VLOOKUP(E122,'MASTER RECORD'!$B$5:$W$1000,3,0),"")</f>
        <v/>
      </c>
      <c r="I122" s="36" t="str">
        <f t="shared" si="4"/>
        <v/>
      </c>
      <c r="N122" s="36" t="str">
        <f t="shared" si="5"/>
        <v/>
      </c>
    </row>
    <row r="123" spans="1:14">
      <c r="A123" s="6">
        <f t="shared" si="6"/>
        <v>118</v>
      </c>
      <c r="C123" s="35" t="str">
        <f>IFERROR(VLOOKUP(B123,'MASTER RECORD'!$B$5:$W$1000,10,0) &amp;"."&amp;(VLOOKUP(B123,'MASTER RECORD'!$B$5:$W$1000,11,0)),"")</f>
        <v/>
      </c>
      <c r="D123" s="35" t="str">
        <f>IFERROR(VLOOKUP(B123,'MASTER RECORD'!$B$5:$W$1000,3,0),"")</f>
        <v/>
      </c>
      <c r="F123" s="35" t="str">
        <f>IFERROR(VLOOKUP(E123,'MASTER RECORD'!$B$5:$W$1000,10,0) &amp;"."&amp;(VLOOKUP(E123,'MASTER RECORD'!$B$5:$W$1000,11,0)),"")</f>
        <v/>
      </c>
      <c r="G123" s="35" t="str">
        <f>IFERROR(VLOOKUP(E123,'MASTER RECORD'!$B$5:$W$1000,3,0),"")</f>
        <v/>
      </c>
      <c r="I123" s="36" t="str">
        <f t="shared" si="4"/>
        <v/>
      </c>
      <c r="N123" s="36" t="str">
        <f t="shared" si="5"/>
        <v/>
      </c>
    </row>
    <row r="124" spans="1:14">
      <c r="A124" s="6">
        <f t="shared" si="6"/>
        <v>119</v>
      </c>
      <c r="C124" s="35" t="str">
        <f>IFERROR(VLOOKUP(B124,'MASTER RECORD'!$B$5:$W$1000,10,0) &amp;"."&amp;(VLOOKUP(B124,'MASTER RECORD'!$B$5:$W$1000,11,0)),"")</f>
        <v/>
      </c>
      <c r="D124" s="35" t="str">
        <f>IFERROR(VLOOKUP(B124,'MASTER RECORD'!$B$5:$W$1000,3,0),"")</f>
        <v/>
      </c>
      <c r="F124" s="35" t="str">
        <f>IFERROR(VLOOKUP(E124,'MASTER RECORD'!$B$5:$W$1000,10,0) &amp;"."&amp;(VLOOKUP(E124,'MASTER RECORD'!$B$5:$W$1000,11,0)),"")</f>
        <v/>
      </c>
      <c r="G124" s="35" t="str">
        <f>IFERROR(VLOOKUP(E124,'MASTER RECORD'!$B$5:$W$1000,3,0),"")</f>
        <v/>
      </c>
      <c r="I124" s="36" t="str">
        <f t="shared" si="4"/>
        <v/>
      </c>
      <c r="N124" s="36" t="str">
        <f t="shared" si="5"/>
        <v/>
      </c>
    </row>
    <row r="125" spans="1:14">
      <c r="A125" s="6">
        <f t="shared" si="6"/>
        <v>120</v>
      </c>
      <c r="C125" s="35" t="str">
        <f>IFERROR(VLOOKUP(B125,'MASTER RECORD'!$B$5:$W$1000,10,0) &amp;"."&amp;(VLOOKUP(B125,'MASTER RECORD'!$B$5:$W$1000,11,0)),"")</f>
        <v/>
      </c>
      <c r="D125" s="35" t="str">
        <f>IFERROR(VLOOKUP(B125,'MASTER RECORD'!$B$5:$W$1000,3,0),"")</f>
        <v/>
      </c>
      <c r="F125" s="35" t="str">
        <f>IFERROR(VLOOKUP(E125,'MASTER RECORD'!$B$5:$W$1000,10,0) &amp;"."&amp;(VLOOKUP(E125,'MASTER RECORD'!$B$5:$W$1000,11,0)),"")</f>
        <v/>
      </c>
      <c r="G125" s="35" t="str">
        <f>IFERROR(VLOOKUP(E125,'MASTER RECORD'!$B$5:$W$1000,3,0),"")</f>
        <v/>
      </c>
      <c r="I125" s="36" t="str">
        <f t="shared" si="4"/>
        <v/>
      </c>
      <c r="N125" s="36" t="str">
        <f t="shared" si="5"/>
        <v/>
      </c>
    </row>
    <row r="126" spans="1:14">
      <c r="A126" s="6">
        <f t="shared" si="6"/>
        <v>121</v>
      </c>
      <c r="C126" s="35" t="str">
        <f>IFERROR(VLOOKUP(B126,'MASTER RECORD'!$B$5:$W$1000,10,0) &amp;"."&amp;(VLOOKUP(B126,'MASTER RECORD'!$B$5:$W$1000,11,0)),"")</f>
        <v/>
      </c>
      <c r="D126" s="35" t="str">
        <f>IFERROR(VLOOKUP(B126,'MASTER RECORD'!$B$5:$W$1000,3,0),"")</f>
        <v/>
      </c>
      <c r="F126" s="35" t="str">
        <f>IFERROR(VLOOKUP(E126,'MASTER RECORD'!$B$5:$W$1000,10,0) &amp;"."&amp;(VLOOKUP(E126,'MASTER RECORD'!$B$5:$W$1000,11,0)),"")</f>
        <v/>
      </c>
      <c r="G126" s="35" t="str">
        <f>IFERROR(VLOOKUP(E126,'MASTER RECORD'!$B$5:$W$1000,3,0),"")</f>
        <v/>
      </c>
      <c r="I126" s="36" t="str">
        <f t="shared" si="4"/>
        <v/>
      </c>
      <c r="N126" s="36" t="str">
        <f t="shared" si="5"/>
        <v/>
      </c>
    </row>
    <row r="127" spans="1:14">
      <c r="A127" s="6">
        <f t="shared" si="6"/>
        <v>122</v>
      </c>
      <c r="C127" s="35" t="str">
        <f>IFERROR(VLOOKUP(B127,'MASTER RECORD'!$B$5:$W$1000,10,0) &amp;"."&amp;(VLOOKUP(B127,'MASTER RECORD'!$B$5:$W$1000,11,0)),"")</f>
        <v/>
      </c>
      <c r="D127" s="35" t="str">
        <f>IFERROR(VLOOKUP(B127,'MASTER RECORD'!$B$5:$W$1000,3,0),"")</f>
        <v/>
      </c>
      <c r="F127" s="35" t="str">
        <f>IFERROR(VLOOKUP(E127,'MASTER RECORD'!$B$5:$W$1000,10,0) &amp;"."&amp;(VLOOKUP(E127,'MASTER RECORD'!$B$5:$W$1000,11,0)),"")</f>
        <v/>
      </c>
      <c r="G127" s="35" t="str">
        <f>IFERROR(VLOOKUP(E127,'MASTER RECORD'!$B$5:$W$1000,3,0),"")</f>
        <v/>
      </c>
      <c r="I127" s="36" t="str">
        <f t="shared" si="4"/>
        <v/>
      </c>
      <c r="N127" s="36" t="str">
        <f t="shared" si="5"/>
        <v/>
      </c>
    </row>
    <row r="128" spans="1:14">
      <c r="A128" s="6">
        <f t="shared" si="6"/>
        <v>123</v>
      </c>
      <c r="C128" s="35" t="str">
        <f>IFERROR(VLOOKUP(B128,'MASTER RECORD'!$B$5:$W$1000,10,0) &amp;"."&amp;(VLOOKUP(B128,'MASTER RECORD'!$B$5:$W$1000,11,0)),"")</f>
        <v/>
      </c>
      <c r="D128" s="35" t="str">
        <f>IFERROR(VLOOKUP(B128,'MASTER RECORD'!$B$5:$W$1000,3,0),"")</f>
        <v/>
      </c>
      <c r="F128" s="35" t="str">
        <f>IFERROR(VLOOKUP(E128,'MASTER RECORD'!$B$5:$W$1000,10,0) &amp;"."&amp;(VLOOKUP(E128,'MASTER RECORD'!$B$5:$W$1000,11,0)),"")</f>
        <v/>
      </c>
      <c r="G128" s="35" t="str">
        <f>IFERROR(VLOOKUP(E128,'MASTER RECORD'!$B$5:$W$1000,3,0),"")</f>
        <v/>
      </c>
      <c r="I128" s="36" t="str">
        <f t="shared" si="4"/>
        <v/>
      </c>
      <c r="N128" s="36" t="str">
        <f t="shared" si="5"/>
        <v/>
      </c>
    </row>
    <row r="129" spans="1:14">
      <c r="A129" s="6">
        <f t="shared" si="6"/>
        <v>124</v>
      </c>
      <c r="C129" s="35" t="str">
        <f>IFERROR(VLOOKUP(B129,'MASTER RECORD'!$B$5:$W$1000,10,0) &amp;"."&amp;(VLOOKUP(B129,'MASTER RECORD'!$B$5:$W$1000,11,0)),"")</f>
        <v/>
      </c>
      <c r="D129" s="35" t="str">
        <f>IFERROR(VLOOKUP(B129,'MASTER RECORD'!$B$5:$W$1000,3,0),"")</f>
        <v/>
      </c>
      <c r="F129" s="35" t="str">
        <f>IFERROR(VLOOKUP(E129,'MASTER RECORD'!$B$5:$W$1000,10,0) &amp;"."&amp;(VLOOKUP(E129,'MASTER RECORD'!$B$5:$W$1000,11,0)),"")</f>
        <v/>
      </c>
      <c r="G129" s="35" t="str">
        <f>IFERROR(VLOOKUP(E129,'MASTER RECORD'!$B$5:$W$1000,3,0),"")</f>
        <v/>
      </c>
      <c r="I129" s="36" t="str">
        <f t="shared" si="4"/>
        <v/>
      </c>
      <c r="N129" s="36" t="str">
        <f t="shared" si="5"/>
        <v/>
      </c>
    </row>
    <row r="130" spans="1:14">
      <c r="A130" s="6">
        <f t="shared" si="6"/>
        <v>125</v>
      </c>
      <c r="C130" s="35" t="str">
        <f>IFERROR(VLOOKUP(B130,'MASTER RECORD'!$B$5:$W$1000,10,0) &amp;"."&amp;(VLOOKUP(B130,'MASTER RECORD'!$B$5:$W$1000,11,0)),"")</f>
        <v/>
      </c>
      <c r="D130" s="35" t="str">
        <f>IFERROR(VLOOKUP(B130,'MASTER RECORD'!$B$5:$W$1000,3,0),"")</f>
        <v/>
      </c>
      <c r="F130" s="35" t="str">
        <f>IFERROR(VLOOKUP(E130,'MASTER RECORD'!$B$5:$W$1000,10,0) &amp;"."&amp;(VLOOKUP(E130,'MASTER RECORD'!$B$5:$W$1000,11,0)),"")</f>
        <v/>
      </c>
      <c r="G130" s="35" t="str">
        <f>IFERROR(VLOOKUP(E130,'MASTER RECORD'!$B$5:$W$1000,3,0),"")</f>
        <v/>
      </c>
      <c r="I130" s="36" t="str">
        <f t="shared" si="4"/>
        <v/>
      </c>
      <c r="N130" s="36" t="str">
        <f t="shared" si="5"/>
        <v/>
      </c>
    </row>
    <row r="131" spans="1:14">
      <c r="A131" s="6">
        <f t="shared" si="6"/>
        <v>126</v>
      </c>
      <c r="C131" s="35" t="str">
        <f>IFERROR(VLOOKUP(B131,'MASTER RECORD'!$B$5:$W$1000,10,0) &amp;"."&amp;(VLOOKUP(B131,'MASTER RECORD'!$B$5:$W$1000,11,0)),"")</f>
        <v/>
      </c>
      <c r="D131" s="35" t="str">
        <f>IFERROR(VLOOKUP(B131,'MASTER RECORD'!$B$5:$W$1000,3,0),"")</f>
        <v/>
      </c>
      <c r="F131" s="35" t="str">
        <f>IFERROR(VLOOKUP(E131,'MASTER RECORD'!$B$5:$W$1000,10,0) &amp;"."&amp;(VLOOKUP(E131,'MASTER RECORD'!$B$5:$W$1000,11,0)),"")</f>
        <v/>
      </c>
      <c r="G131" s="35" t="str">
        <f>IFERROR(VLOOKUP(E131,'MASTER RECORD'!$B$5:$W$1000,3,0),"")</f>
        <v/>
      </c>
      <c r="I131" s="36" t="str">
        <f t="shared" si="4"/>
        <v/>
      </c>
      <c r="N131" s="36" t="str">
        <f t="shared" si="5"/>
        <v/>
      </c>
    </row>
    <row r="132" spans="1:14">
      <c r="A132" s="6">
        <f t="shared" si="6"/>
        <v>127</v>
      </c>
      <c r="C132" s="35" t="str">
        <f>IFERROR(VLOOKUP(B132,'MASTER RECORD'!$B$5:$W$1000,10,0) &amp;"."&amp;(VLOOKUP(B132,'MASTER RECORD'!$B$5:$W$1000,11,0)),"")</f>
        <v/>
      </c>
      <c r="D132" s="35" t="str">
        <f>IFERROR(VLOOKUP(B132,'MASTER RECORD'!$B$5:$W$1000,3,0),"")</f>
        <v/>
      </c>
      <c r="F132" s="35" t="str">
        <f>IFERROR(VLOOKUP(E132,'MASTER RECORD'!$B$5:$W$1000,10,0) &amp;"."&amp;(VLOOKUP(E132,'MASTER RECORD'!$B$5:$W$1000,11,0)),"")</f>
        <v/>
      </c>
      <c r="G132" s="35" t="str">
        <f>IFERROR(VLOOKUP(E132,'MASTER RECORD'!$B$5:$W$1000,3,0),"")</f>
        <v/>
      </c>
      <c r="I132" s="36" t="str">
        <f t="shared" si="4"/>
        <v/>
      </c>
      <c r="N132" s="36" t="str">
        <f t="shared" si="5"/>
        <v/>
      </c>
    </row>
    <row r="133" spans="1:14">
      <c r="A133" s="6">
        <f t="shared" si="6"/>
        <v>128</v>
      </c>
      <c r="C133" s="35" t="str">
        <f>IFERROR(VLOOKUP(B133,'MASTER RECORD'!$B$5:$W$1000,10,0) &amp;"."&amp;(VLOOKUP(B133,'MASTER RECORD'!$B$5:$W$1000,11,0)),"")</f>
        <v/>
      </c>
      <c r="D133" s="35" t="str">
        <f>IFERROR(VLOOKUP(B133,'MASTER RECORD'!$B$5:$W$1000,3,0),"")</f>
        <v/>
      </c>
      <c r="F133" s="35" t="str">
        <f>IFERROR(VLOOKUP(E133,'MASTER RECORD'!$B$5:$W$1000,10,0) &amp;"."&amp;(VLOOKUP(E133,'MASTER RECORD'!$B$5:$W$1000,11,0)),"")</f>
        <v/>
      </c>
      <c r="G133" s="35" t="str">
        <f>IFERROR(VLOOKUP(E133,'MASTER RECORD'!$B$5:$W$1000,3,0),"")</f>
        <v/>
      </c>
      <c r="I133" s="36" t="str">
        <f t="shared" si="4"/>
        <v/>
      </c>
      <c r="N133" s="36" t="str">
        <f t="shared" si="5"/>
        <v/>
      </c>
    </row>
    <row r="134" spans="1:14">
      <c r="A134" s="6">
        <f t="shared" si="6"/>
        <v>129</v>
      </c>
      <c r="C134" s="35" t="str">
        <f>IFERROR(VLOOKUP(B134,'MASTER RECORD'!$B$5:$W$1000,10,0) &amp;"."&amp;(VLOOKUP(B134,'MASTER RECORD'!$B$5:$W$1000,11,0)),"")</f>
        <v/>
      </c>
      <c r="D134" s="35" t="str">
        <f>IFERROR(VLOOKUP(B134,'MASTER RECORD'!$B$5:$W$1000,3,0),"")</f>
        <v/>
      </c>
      <c r="F134" s="35" t="str">
        <f>IFERROR(VLOOKUP(E134,'MASTER RECORD'!$B$5:$W$1000,10,0) &amp;"."&amp;(VLOOKUP(E134,'MASTER RECORD'!$B$5:$W$1000,11,0)),"")</f>
        <v/>
      </c>
      <c r="G134" s="35" t="str">
        <f>IFERROR(VLOOKUP(E134,'MASTER RECORD'!$B$5:$W$1000,3,0),"")</f>
        <v/>
      </c>
      <c r="I134" s="36" t="str">
        <f t="shared" si="4"/>
        <v/>
      </c>
      <c r="N134" s="36" t="str">
        <f t="shared" si="5"/>
        <v/>
      </c>
    </row>
    <row r="135" spans="1:14">
      <c r="A135" s="6">
        <f t="shared" si="6"/>
        <v>130</v>
      </c>
      <c r="C135" s="35" t="str">
        <f>IFERROR(VLOOKUP(B135,'MASTER RECORD'!$B$5:$W$1000,10,0) &amp;"."&amp;(VLOOKUP(B135,'MASTER RECORD'!$B$5:$W$1000,11,0)),"")</f>
        <v/>
      </c>
      <c r="D135" s="35" t="str">
        <f>IFERROR(VLOOKUP(B135,'MASTER RECORD'!$B$5:$W$1000,3,0),"")</f>
        <v/>
      </c>
      <c r="F135" s="35" t="str">
        <f>IFERROR(VLOOKUP(E135,'MASTER RECORD'!$B$5:$W$1000,10,0) &amp;"."&amp;(VLOOKUP(E135,'MASTER RECORD'!$B$5:$W$1000,11,0)),"")</f>
        <v/>
      </c>
      <c r="G135" s="35" t="str">
        <f>IFERROR(VLOOKUP(E135,'MASTER RECORD'!$B$5:$W$1000,3,0),"")</f>
        <v/>
      </c>
      <c r="I135" s="36" t="str">
        <f t="shared" ref="I135:I198" si="7">IF(H135&gt;0,H135+150,"")</f>
        <v/>
      </c>
      <c r="N135" s="36" t="str">
        <f t="shared" ref="N135:N198" si="8">IF(J135&gt;0,J135+60,"")</f>
        <v/>
      </c>
    </row>
    <row r="136" spans="1:14">
      <c r="A136" s="6">
        <f t="shared" si="6"/>
        <v>131</v>
      </c>
      <c r="C136" s="35" t="str">
        <f>IFERROR(VLOOKUP(B136,'MASTER RECORD'!$B$5:$W$1000,10,0) &amp;"."&amp;(VLOOKUP(B136,'MASTER RECORD'!$B$5:$W$1000,11,0)),"")</f>
        <v/>
      </c>
      <c r="D136" s="35" t="str">
        <f>IFERROR(VLOOKUP(B136,'MASTER RECORD'!$B$5:$W$1000,3,0),"")</f>
        <v/>
      </c>
      <c r="F136" s="35" t="str">
        <f>IFERROR(VLOOKUP(E136,'MASTER RECORD'!$B$5:$W$1000,10,0) &amp;"."&amp;(VLOOKUP(E136,'MASTER RECORD'!$B$5:$W$1000,11,0)),"")</f>
        <v/>
      </c>
      <c r="G136" s="35" t="str">
        <f>IFERROR(VLOOKUP(E136,'MASTER RECORD'!$B$5:$W$1000,3,0),"")</f>
        <v/>
      </c>
      <c r="I136" s="36" t="str">
        <f t="shared" si="7"/>
        <v/>
      </c>
      <c r="N136" s="36" t="str">
        <f t="shared" si="8"/>
        <v/>
      </c>
    </row>
    <row r="137" spans="1:14">
      <c r="A137" s="6">
        <f t="shared" si="6"/>
        <v>132</v>
      </c>
      <c r="C137" s="35" t="str">
        <f>IFERROR(VLOOKUP(B137,'MASTER RECORD'!$B$5:$W$1000,10,0) &amp;"."&amp;(VLOOKUP(B137,'MASTER RECORD'!$B$5:$W$1000,11,0)),"")</f>
        <v/>
      </c>
      <c r="D137" s="35" t="str">
        <f>IFERROR(VLOOKUP(B137,'MASTER RECORD'!$B$5:$W$1000,3,0),"")</f>
        <v/>
      </c>
      <c r="F137" s="35" t="str">
        <f>IFERROR(VLOOKUP(E137,'MASTER RECORD'!$B$5:$W$1000,10,0) &amp;"."&amp;(VLOOKUP(E137,'MASTER RECORD'!$B$5:$W$1000,11,0)),"")</f>
        <v/>
      </c>
      <c r="G137" s="35" t="str">
        <f>IFERROR(VLOOKUP(E137,'MASTER RECORD'!$B$5:$W$1000,3,0),"")</f>
        <v/>
      </c>
      <c r="I137" s="36" t="str">
        <f t="shared" si="7"/>
        <v/>
      </c>
      <c r="N137" s="36" t="str">
        <f t="shared" si="8"/>
        <v/>
      </c>
    </row>
    <row r="138" spans="1:14">
      <c r="A138" s="6">
        <f t="shared" si="6"/>
        <v>133</v>
      </c>
      <c r="C138" s="35" t="str">
        <f>IFERROR(VLOOKUP(B138,'MASTER RECORD'!$B$5:$W$1000,10,0) &amp;"."&amp;(VLOOKUP(B138,'MASTER RECORD'!$B$5:$W$1000,11,0)),"")</f>
        <v/>
      </c>
      <c r="D138" s="35" t="str">
        <f>IFERROR(VLOOKUP(B138,'MASTER RECORD'!$B$5:$W$1000,3,0),"")</f>
        <v/>
      </c>
      <c r="F138" s="35" t="str">
        <f>IFERROR(VLOOKUP(E138,'MASTER RECORD'!$B$5:$W$1000,10,0) &amp;"."&amp;(VLOOKUP(E138,'MASTER RECORD'!$B$5:$W$1000,11,0)),"")</f>
        <v/>
      </c>
      <c r="G138" s="35" t="str">
        <f>IFERROR(VLOOKUP(E138,'MASTER RECORD'!$B$5:$W$1000,3,0),"")</f>
        <v/>
      </c>
      <c r="I138" s="36" t="str">
        <f t="shared" si="7"/>
        <v/>
      </c>
      <c r="N138" s="36" t="str">
        <f t="shared" si="8"/>
        <v/>
      </c>
    </row>
    <row r="139" spans="1:14">
      <c r="A139" s="6">
        <f t="shared" si="6"/>
        <v>134</v>
      </c>
      <c r="C139" s="35" t="str">
        <f>IFERROR(VLOOKUP(B139,'MASTER RECORD'!$B$5:$W$1000,10,0) &amp;"."&amp;(VLOOKUP(B139,'MASTER RECORD'!$B$5:$W$1000,11,0)),"")</f>
        <v/>
      </c>
      <c r="D139" s="35" t="str">
        <f>IFERROR(VLOOKUP(B139,'MASTER RECORD'!$B$5:$W$1000,3,0),"")</f>
        <v/>
      </c>
      <c r="F139" s="35" t="str">
        <f>IFERROR(VLOOKUP(E139,'MASTER RECORD'!$B$5:$W$1000,10,0) &amp;"."&amp;(VLOOKUP(E139,'MASTER RECORD'!$B$5:$W$1000,11,0)),"")</f>
        <v/>
      </c>
      <c r="G139" s="35" t="str">
        <f>IFERROR(VLOOKUP(E139,'MASTER RECORD'!$B$5:$W$1000,3,0),"")</f>
        <v/>
      </c>
      <c r="I139" s="36" t="str">
        <f t="shared" si="7"/>
        <v/>
      </c>
      <c r="N139" s="36" t="str">
        <f t="shared" si="8"/>
        <v/>
      </c>
    </row>
    <row r="140" spans="1:14">
      <c r="A140" s="6">
        <f t="shared" si="6"/>
        <v>135</v>
      </c>
      <c r="C140" s="35" t="str">
        <f>IFERROR(VLOOKUP(B140,'MASTER RECORD'!$B$5:$W$1000,10,0) &amp;"."&amp;(VLOOKUP(B140,'MASTER RECORD'!$B$5:$W$1000,11,0)),"")</f>
        <v/>
      </c>
      <c r="D140" s="35" t="str">
        <f>IFERROR(VLOOKUP(B140,'MASTER RECORD'!$B$5:$W$1000,3,0),"")</f>
        <v/>
      </c>
      <c r="F140" s="35" t="str">
        <f>IFERROR(VLOOKUP(E140,'MASTER RECORD'!$B$5:$W$1000,10,0) &amp;"."&amp;(VLOOKUP(E140,'MASTER RECORD'!$B$5:$W$1000,11,0)),"")</f>
        <v/>
      </c>
      <c r="G140" s="35" t="str">
        <f>IFERROR(VLOOKUP(E140,'MASTER RECORD'!$B$5:$W$1000,3,0),"")</f>
        <v/>
      </c>
      <c r="I140" s="36" t="str">
        <f t="shared" si="7"/>
        <v/>
      </c>
      <c r="N140" s="36" t="str">
        <f t="shared" si="8"/>
        <v/>
      </c>
    </row>
    <row r="141" spans="1:14">
      <c r="A141" s="6">
        <f t="shared" si="6"/>
        <v>136</v>
      </c>
      <c r="C141" s="35" t="str">
        <f>IFERROR(VLOOKUP(B141,'MASTER RECORD'!$B$5:$W$1000,10,0) &amp;"."&amp;(VLOOKUP(B141,'MASTER RECORD'!$B$5:$W$1000,11,0)),"")</f>
        <v/>
      </c>
      <c r="D141" s="35" t="str">
        <f>IFERROR(VLOOKUP(B141,'MASTER RECORD'!$B$5:$W$1000,3,0),"")</f>
        <v/>
      </c>
      <c r="F141" s="35" t="str">
        <f>IFERROR(VLOOKUP(E141,'MASTER RECORD'!$B$5:$W$1000,10,0) &amp;"."&amp;(VLOOKUP(E141,'MASTER RECORD'!$B$5:$W$1000,11,0)),"")</f>
        <v/>
      </c>
      <c r="G141" s="35" t="str">
        <f>IFERROR(VLOOKUP(E141,'MASTER RECORD'!$B$5:$W$1000,3,0),"")</f>
        <v/>
      </c>
      <c r="I141" s="36" t="str">
        <f t="shared" si="7"/>
        <v/>
      </c>
      <c r="N141" s="36" t="str">
        <f t="shared" si="8"/>
        <v/>
      </c>
    </row>
    <row r="142" spans="1:14">
      <c r="A142" s="6">
        <f t="shared" si="6"/>
        <v>137</v>
      </c>
      <c r="C142" s="35" t="str">
        <f>IFERROR(VLOOKUP(B142,'MASTER RECORD'!$B$5:$W$1000,10,0) &amp;"."&amp;(VLOOKUP(B142,'MASTER RECORD'!$B$5:$W$1000,11,0)),"")</f>
        <v/>
      </c>
      <c r="D142" s="35" t="str">
        <f>IFERROR(VLOOKUP(B142,'MASTER RECORD'!$B$5:$W$1000,3,0),"")</f>
        <v/>
      </c>
      <c r="F142" s="35" t="str">
        <f>IFERROR(VLOOKUP(E142,'MASTER RECORD'!$B$5:$W$1000,10,0) &amp;"."&amp;(VLOOKUP(E142,'MASTER RECORD'!$B$5:$W$1000,11,0)),"")</f>
        <v/>
      </c>
      <c r="G142" s="35" t="str">
        <f>IFERROR(VLOOKUP(E142,'MASTER RECORD'!$B$5:$W$1000,3,0),"")</f>
        <v/>
      </c>
      <c r="I142" s="36" t="str">
        <f t="shared" si="7"/>
        <v/>
      </c>
      <c r="N142" s="36" t="str">
        <f t="shared" si="8"/>
        <v/>
      </c>
    </row>
    <row r="143" spans="1:14">
      <c r="A143" s="6">
        <f t="shared" si="6"/>
        <v>138</v>
      </c>
      <c r="C143" s="35" t="str">
        <f>IFERROR(VLOOKUP(B143,'MASTER RECORD'!$B$5:$W$1000,10,0) &amp;"."&amp;(VLOOKUP(B143,'MASTER RECORD'!$B$5:$W$1000,11,0)),"")</f>
        <v/>
      </c>
      <c r="D143" s="35" t="str">
        <f>IFERROR(VLOOKUP(B143,'MASTER RECORD'!$B$5:$W$1000,3,0),"")</f>
        <v/>
      </c>
      <c r="F143" s="35" t="str">
        <f>IFERROR(VLOOKUP(E143,'MASTER RECORD'!$B$5:$W$1000,10,0) &amp;"."&amp;(VLOOKUP(E143,'MASTER RECORD'!$B$5:$W$1000,11,0)),"")</f>
        <v/>
      </c>
      <c r="G143" s="35" t="str">
        <f>IFERROR(VLOOKUP(E143,'MASTER RECORD'!$B$5:$W$1000,3,0),"")</f>
        <v/>
      </c>
      <c r="I143" s="36" t="str">
        <f t="shared" si="7"/>
        <v/>
      </c>
      <c r="N143" s="36" t="str">
        <f t="shared" si="8"/>
        <v/>
      </c>
    </row>
    <row r="144" spans="1:14">
      <c r="A144" s="6">
        <f t="shared" si="6"/>
        <v>139</v>
      </c>
      <c r="C144" s="35" t="str">
        <f>IFERROR(VLOOKUP(B144,'MASTER RECORD'!$B$5:$W$1000,10,0) &amp;"."&amp;(VLOOKUP(B144,'MASTER RECORD'!$B$5:$W$1000,11,0)),"")</f>
        <v/>
      </c>
      <c r="D144" s="35" t="str">
        <f>IFERROR(VLOOKUP(B144,'MASTER RECORD'!$B$5:$W$1000,3,0),"")</f>
        <v/>
      </c>
      <c r="F144" s="35" t="str">
        <f>IFERROR(VLOOKUP(E144,'MASTER RECORD'!$B$5:$W$1000,10,0) &amp;"."&amp;(VLOOKUP(E144,'MASTER RECORD'!$B$5:$W$1000,11,0)),"")</f>
        <v/>
      </c>
      <c r="G144" s="35" t="str">
        <f>IFERROR(VLOOKUP(E144,'MASTER RECORD'!$B$5:$W$1000,3,0),"")</f>
        <v/>
      </c>
      <c r="I144" s="36" t="str">
        <f t="shared" si="7"/>
        <v/>
      </c>
      <c r="N144" s="36" t="str">
        <f t="shared" si="8"/>
        <v/>
      </c>
    </row>
    <row r="145" spans="1:14">
      <c r="A145" s="6">
        <f t="shared" si="6"/>
        <v>140</v>
      </c>
      <c r="C145" s="35" t="str">
        <f>IFERROR(VLOOKUP(B145,'MASTER RECORD'!$B$5:$W$1000,10,0) &amp;"."&amp;(VLOOKUP(B145,'MASTER RECORD'!$B$5:$W$1000,11,0)),"")</f>
        <v/>
      </c>
      <c r="D145" s="35" t="str">
        <f>IFERROR(VLOOKUP(B145,'MASTER RECORD'!$B$5:$W$1000,3,0),"")</f>
        <v/>
      </c>
      <c r="F145" s="35" t="str">
        <f>IFERROR(VLOOKUP(E145,'MASTER RECORD'!$B$5:$W$1000,10,0) &amp;"."&amp;(VLOOKUP(E145,'MASTER RECORD'!$B$5:$W$1000,11,0)),"")</f>
        <v/>
      </c>
      <c r="G145" s="35" t="str">
        <f>IFERROR(VLOOKUP(E145,'MASTER RECORD'!$B$5:$W$1000,3,0),"")</f>
        <v/>
      </c>
      <c r="I145" s="36" t="str">
        <f t="shared" si="7"/>
        <v/>
      </c>
      <c r="N145" s="36" t="str">
        <f t="shared" si="8"/>
        <v/>
      </c>
    </row>
    <row r="146" spans="1:14">
      <c r="A146" s="6">
        <f t="shared" si="6"/>
        <v>141</v>
      </c>
      <c r="C146" s="35" t="str">
        <f>IFERROR(VLOOKUP(B146,'MASTER RECORD'!$B$5:$W$1000,10,0) &amp;"."&amp;(VLOOKUP(B146,'MASTER RECORD'!$B$5:$W$1000,11,0)),"")</f>
        <v/>
      </c>
      <c r="D146" s="35" t="str">
        <f>IFERROR(VLOOKUP(B146,'MASTER RECORD'!$B$5:$W$1000,3,0),"")</f>
        <v/>
      </c>
      <c r="F146" s="35" t="str">
        <f>IFERROR(VLOOKUP(E146,'MASTER RECORD'!$B$5:$W$1000,10,0) &amp;"."&amp;(VLOOKUP(E146,'MASTER RECORD'!$B$5:$W$1000,11,0)),"")</f>
        <v/>
      </c>
      <c r="G146" s="35" t="str">
        <f>IFERROR(VLOOKUP(E146,'MASTER RECORD'!$B$5:$W$1000,3,0),"")</f>
        <v/>
      </c>
      <c r="I146" s="36" t="str">
        <f t="shared" si="7"/>
        <v/>
      </c>
      <c r="N146" s="36" t="str">
        <f t="shared" si="8"/>
        <v/>
      </c>
    </row>
    <row r="147" spans="1:14">
      <c r="A147" s="6">
        <f t="shared" si="6"/>
        <v>142</v>
      </c>
      <c r="C147" s="35" t="str">
        <f>IFERROR(VLOOKUP(B147,'MASTER RECORD'!$B$5:$W$1000,10,0) &amp;"."&amp;(VLOOKUP(B147,'MASTER RECORD'!$B$5:$W$1000,11,0)),"")</f>
        <v/>
      </c>
      <c r="D147" s="35" t="str">
        <f>IFERROR(VLOOKUP(B147,'MASTER RECORD'!$B$5:$W$1000,3,0),"")</f>
        <v/>
      </c>
      <c r="F147" s="35" t="str">
        <f>IFERROR(VLOOKUP(E147,'MASTER RECORD'!$B$5:$W$1000,10,0) &amp;"."&amp;(VLOOKUP(E147,'MASTER RECORD'!$B$5:$W$1000,11,0)),"")</f>
        <v/>
      </c>
      <c r="G147" s="35" t="str">
        <f>IFERROR(VLOOKUP(E147,'MASTER RECORD'!$B$5:$W$1000,3,0),"")</f>
        <v/>
      </c>
      <c r="I147" s="36" t="str">
        <f t="shared" si="7"/>
        <v/>
      </c>
      <c r="N147" s="36" t="str">
        <f t="shared" si="8"/>
        <v/>
      </c>
    </row>
    <row r="148" spans="1:14">
      <c r="A148" s="6">
        <f t="shared" si="6"/>
        <v>143</v>
      </c>
      <c r="C148" s="35" t="str">
        <f>IFERROR(VLOOKUP(B148,'MASTER RECORD'!$B$5:$W$1000,10,0) &amp;"."&amp;(VLOOKUP(B148,'MASTER RECORD'!$B$5:$W$1000,11,0)),"")</f>
        <v/>
      </c>
      <c r="D148" s="35" t="str">
        <f>IFERROR(VLOOKUP(B148,'MASTER RECORD'!$B$5:$W$1000,3,0),"")</f>
        <v/>
      </c>
      <c r="F148" s="35" t="str">
        <f>IFERROR(VLOOKUP(E148,'MASTER RECORD'!$B$5:$W$1000,10,0) &amp;"."&amp;(VLOOKUP(E148,'MASTER RECORD'!$B$5:$W$1000,11,0)),"")</f>
        <v/>
      </c>
      <c r="G148" s="35" t="str">
        <f>IFERROR(VLOOKUP(E148,'MASTER RECORD'!$B$5:$W$1000,3,0),"")</f>
        <v/>
      </c>
      <c r="I148" s="36" t="str">
        <f t="shared" si="7"/>
        <v/>
      </c>
      <c r="N148" s="36" t="str">
        <f t="shared" si="8"/>
        <v/>
      </c>
    </row>
    <row r="149" spans="1:14">
      <c r="A149" s="6">
        <f t="shared" si="6"/>
        <v>144</v>
      </c>
      <c r="C149" s="35" t="str">
        <f>IFERROR(VLOOKUP(B149,'MASTER RECORD'!$B$5:$W$1000,10,0) &amp;"."&amp;(VLOOKUP(B149,'MASTER RECORD'!$B$5:$W$1000,11,0)),"")</f>
        <v/>
      </c>
      <c r="D149" s="35" t="str">
        <f>IFERROR(VLOOKUP(B149,'MASTER RECORD'!$B$5:$W$1000,3,0),"")</f>
        <v/>
      </c>
      <c r="F149" s="35" t="str">
        <f>IFERROR(VLOOKUP(E149,'MASTER RECORD'!$B$5:$W$1000,10,0) &amp;"."&amp;(VLOOKUP(E149,'MASTER RECORD'!$B$5:$W$1000,11,0)),"")</f>
        <v/>
      </c>
      <c r="G149" s="35" t="str">
        <f>IFERROR(VLOOKUP(E149,'MASTER RECORD'!$B$5:$W$1000,3,0),"")</f>
        <v/>
      </c>
      <c r="I149" s="36" t="str">
        <f t="shared" si="7"/>
        <v/>
      </c>
      <c r="N149" s="36" t="str">
        <f t="shared" si="8"/>
        <v/>
      </c>
    </row>
    <row r="150" spans="1:14">
      <c r="A150" s="6">
        <f t="shared" si="6"/>
        <v>145</v>
      </c>
      <c r="C150" s="35" t="str">
        <f>IFERROR(VLOOKUP(B150,'MASTER RECORD'!$B$5:$W$1000,10,0) &amp;"."&amp;(VLOOKUP(B150,'MASTER RECORD'!$B$5:$W$1000,11,0)),"")</f>
        <v/>
      </c>
      <c r="D150" s="35" t="str">
        <f>IFERROR(VLOOKUP(B150,'MASTER RECORD'!$B$5:$W$1000,3,0),"")</f>
        <v/>
      </c>
      <c r="F150" s="35" t="str">
        <f>IFERROR(VLOOKUP(E150,'MASTER RECORD'!$B$5:$W$1000,10,0) &amp;"."&amp;(VLOOKUP(E150,'MASTER RECORD'!$B$5:$W$1000,11,0)),"")</f>
        <v/>
      </c>
      <c r="G150" s="35" t="str">
        <f>IFERROR(VLOOKUP(E150,'MASTER RECORD'!$B$5:$W$1000,3,0),"")</f>
        <v/>
      </c>
      <c r="I150" s="36" t="str">
        <f t="shared" si="7"/>
        <v/>
      </c>
      <c r="N150" s="36" t="str">
        <f t="shared" si="8"/>
        <v/>
      </c>
    </row>
    <row r="151" spans="1:14">
      <c r="A151" s="6">
        <f t="shared" si="6"/>
        <v>146</v>
      </c>
      <c r="C151" s="35" t="str">
        <f>IFERROR(VLOOKUP(B151,'MASTER RECORD'!$B$5:$W$1000,10,0) &amp;"."&amp;(VLOOKUP(B151,'MASTER RECORD'!$B$5:$W$1000,11,0)),"")</f>
        <v/>
      </c>
      <c r="D151" s="35" t="str">
        <f>IFERROR(VLOOKUP(B151,'MASTER RECORD'!$B$5:$W$1000,3,0),"")</f>
        <v/>
      </c>
      <c r="F151" s="35" t="str">
        <f>IFERROR(VLOOKUP(E151,'MASTER RECORD'!$B$5:$W$1000,10,0) &amp;"."&amp;(VLOOKUP(E151,'MASTER RECORD'!$B$5:$W$1000,11,0)),"")</f>
        <v/>
      </c>
      <c r="G151" s="35" t="str">
        <f>IFERROR(VLOOKUP(E151,'MASTER RECORD'!$B$5:$W$1000,3,0),"")</f>
        <v/>
      </c>
      <c r="I151" s="36" t="str">
        <f t="shared" si="7"/>
        <v/>
      </c>
      <c r="N151" s="36" t="str">
        <f t="shared" si="8"/>
        <v/>
      </c>
    </row>
    <row r="152" spans="1:14">
      <c r="A152" s="6">
        <f t="shared" si="6"/>
        <v>147</v>
      </c>
      <c r="C152" s="35" t="str">
        <f>IFERROR(VLOOKUP(B152,'MASTER RECORD'!$B$5:$W$1000,10,0) &amp;"."&amp;(VLOOKUP(B152,'MASTER RECORD'!$B$5:$W$1000,11,0)),"")</f>
        <v/>
      </c>
      <c r="D152" s="35" t="str">
        <f>IFERROR(VLOOKUP(B152,'MASTER RECORD'!$B$5:$W$1000,3,0),"")</f>
        <v/>
      </c>
      <c r="F152" s="35" t="str">
        <f>IFERROR(VLOOKUP(E152,'MASTER RECORD'!$B$5:$W$1000,10,0) &amp;"."&amp;(VLOOKUP(E152,'MASTER RECORD'!$B$5:$W$1000,11,0)),"")</f>
        <v/>
      </c>
      <c r="G152" s="35" t="str">
        <f>IFERROR(VLOOKUP(E152,'MASTER RECORD'!$B$5:$W$1000,3,0),"")</f>
        <v/>
      </c>
      <c r="I152" s="36" t="str">
        <f t="shared" si="7"/>
        <v/>
      </c>
      <c r="N152" s="36" t="str">
        <f t="shared" si="8"/>
        <v/>
      </c>
    </row>
    <row r="153" spans="1:14">
      <c r="A153" s="6">
        <f t="shared" si="6"/>
        <v>148</v>
      </c>
      <c r="C153" s="35" t="str">
        <f>IFERROR(VLOOKUP(B153,'MASTER RECORD'!$B$5:$W$1000,10,0) &amp;"."&amp;(VLOOKUP(B153,'MASTER RECORD'!$B$5:$W$1000,11,0)),"")</f>
        <v/>
      </c>
      <c r="D153" s="35" t="str">
        <f>IFERROR(VLOOKUP(B153,'MASTER RECORD'!$B$5:$W$1000,3,0),"")</f>
        <v/>
      </c>
      <c r="F153" s="35" t="str">
        <f>IFERROR(VLOOKUP(E153,'MASTER RECORD'!$B$5:$W$1000,10,0) &amp;"."&amp;(VLOOKUP(E153,'MASTER RECORD'!$B$5:$W$1000,11,0)),"")</f>
        <v/>
      </c>
      <c r="G153" s="35" t="str">
        <f>IFERROR(VLOOKUP(E153,'MASTER RECORD'!$B$5:$W$1000,3,0),"")</f>
        <v/>
      </c>
      <c r="I153" s="36" t="str">
        <f t="shared" si="7"/>
        <v/>
      </c>
      <c r="N153" s="36" t="str">
        <f t="shared" si="8"/>
        <v/>
      </c>
    </row>
    <row r="154" spans="1:14">
      <c r="A154" s="6">
        <f t="shared" si="6"/>
        <v>149</v>
      </c>
      <c r="C154" s="35" t="str">
        <f>IFERROR(VLOOKUP(B154,'MASTER RECORD'!$B$5:$W$1000,10,0) &amp;"."&amp;(VLOOKUP(B154,'MASTER RECORD'!$B$5:$W$1000,11,0)),"")</f>
        <v/>
      </c>
      <c r="D154" s="35" t="str">
        <f>IFERROR(VLOOKUP(B154,'MASTER RECORD'!$B$5:$W$1000,3,0),"")</f>
        <v/>
      </c>
      <c r="F154" s="35" t="str">
        <f>IFERROR(VLOOKUP(E154,'MASTER RECORD'!$B$5:$W$1000,10,0) &amp;"."&amp;(VLOOKUP(E154,'MASTER RECORD'!$B$5:$W$1000,11,0)),"")</f>
        <v/>
      </c>
      <c r="G154" s="35" t="str">
        <f>IFERROR(VLOOKUP(E154,'MASTER RECORD'!$B$5:$W$1000,3,0),"")</f>
        <v/>
      </c>
      <c r="I154" s="36" t="str">
        <f t="shared" si="7"/>
        <v/>
      </c>
      <c r="N154" s="36" t="str">
        <f t="shared" si="8"/>
        <v/>
      </c>
    </row>
    <row r="155" spans="1:14">
      <c r="A155" s="6">
        <f t="shared" si="6"/>
        <v>150</v>
      </c>
      <c r="C155" s="35" t="str">
        <f>IFERROR(VLOOKUP(B155,'MASTER RECORD'!$B$5:$W$1000,10,0) &amp;"."&amp;(VLOOKUP(B155,'MASTER RECORD'!$B$5:$W$1000,11,0)),"")</f>
        <v/>
      </c>
      <c r="D155" s="35" t="str">
        <f>IFERROR(VLOOKUP(B155,'MASTER RECORD'!$B$5:$W$1000,3,0),"")</f>
        <v/>
      </c>
      <c r="F155" s="35" t="str">
        <f>IFERROR(VLOOKUP(E155,'MASTER RECORD'!$B$5:$W$1000,10,0) &amp;"."&amp;(VLOOKUP(E155,'MASTER RECORD'!$B$5:$W$1000,11,0)),"")</f>
        <v/>
      </c>
      <c r="G155" s="35" t="str">
        <f>IFERROR(VLOOKUP(E155,'MASTER RECORD'!$B$5:$W$1000,3,0),"")</f>
        <v/>
      </c>
      <c r="I155" s="36" t="str">
        <f t="shared" si="7"/>
        <v/>
      </c>
      <c r="N155" s="36" t="str">
        <f t="shared" si="8"/>
        <v/>
      </c>
    </row>
    <row r="156" spans="1:14">
      <c r="A156" s="6">
        <f t="shared" si="6"/>
        <v>151</v>
      </c>
      <c r="C156" s="35" t="str">
        <f>IFERROR(VLOOKUP(B156,'MASTER RECORD'!$B$5:$W$1000,10,0) &amp;"."&amp;(VLOOKUP(B156,'MASTER RECORD'!$B$5:$W$1000,11,0)),"")</f>
        <v/>
      </c>
      <c r="D156" s="35" t="str">
        <f>IFERROR(VLOOKUP(B156,'MASTER RECORD'!$B$5:$W$1000,3,0),"")</f>
        <v/>
      </c>
      <c r="F156" s="35" t="str">
        <f>IFERROR(VLOOKUP(E156,'MASTER RECORD'!$B$5:$W$1000,10,0) &amp;"."&amp;(VLOOKUP(E156,'MASTER RECORD'!$B$5:$W$1000,11,0)),"")</f>
        <v/>
      </c>
      <c r="G156" s="35" t="str">
        <f>IFERROR(VLOOKUP(E156,'MASTER RECORD'!$B$5:$W$1000,3,0),"")</f>
        <v/>
      </c>
      <c r="I156" s="36" t="str">
        <f t="shared" si="7"/>
        <v/>
      </c>
      <c r="N156" s="36" t="str">
        <f t="shared" si="8"/>
        <v/>
      </c>
    </row>
    <row r="157" spans="1:14">
      <c r="A157" s="6">
        <f t="shared" si="6"/>
        <v>152</v>
      </c>
      <c r="C157" s="35" t="str">
        <f>IFERROR(VLOOKUP(B157,'MASTER RECORD'!$B$5:$W$1000,10,0) &amp;"."&amp;(VLOOKUP(B157,'MASTER RECORD'!$B$5:$W$1000,11,0)),"")</f>
        <v/>
      </c>
      <c r="D157" s="35" t="str">
        <f>IFERROR(VLOOKUP(B157,'MASTER RECORD'!$B$5:$W$1000,3,0),"")</f>
        <v/>
      </c>
      <c r="F157" s="35" t="str">
        <f>IFERROR(VLOOKUP(E157,'MASTER RECORD'!$B$5:$W$1000,10,0) &amp;"."&amp;(VLOOKUP(E157,'MASTER RECORD'!$B$5:$W$1000,11,0)),"")</f>
        <v/>
      </c>
      <c r="G157" s="35" t="str">
        <f>IFERROR(VLOOKUP(E157,'MASTER RECORD'!$B$5:$W$1000,3,0),"")</f>
        <v/>
      </c>
      <c r="I157" s="36" t="str">
        <f t="shared" si="7"/>
        <v/>
      </c>
      <c r="N157" s="36" t="str">
        <f t="shared" si="8"/>
        <v/>
      </c>
    </row>
    <row r="158" spans="1:14">
      <c r="A158" s="6">
        <f t="shared" si="6"/>
        <v>153</v>
      </c>
      <c r="C158" s="35" t="str">
        <f>IFERROR(VLOOKUP(B158,'MASTER RECORD'!$B$5:$W$1000,10,0) &amp;"."&amp;(VLOOKUP(B158,'MASTER RECORD'!$B$5:$W$1000,11,0)),"")</f>
        <v/>
      </c>
      <c r="D158" s="35" t="str">
        <f>IFERROR(VLOOKUP(B158,'MASTER RECORD'!$B$5:$W$1000,3,0),"")</f>
        <v/>
      </c>
      <c r="F158" s="35" t="str">
        <f>IFERROR(VLOOKUP(E158,'MASTER RECORD'!$B$5:$W$1000,10,0) &amp;"."&amp;(VLOOKUP(E158,'MASTER RECORD'!$B$5:$W$1000,11,0)),"")</f>
        <v/>
      </c>
      <c r="G158" s="35" t="str">
        <f>IFERROR(VLOOKUP(E158,'MASTER RECORD'!$B$5:$W$1000,3,0),"")</f>
        <v/>
      </c>
      <c r="I158" s="36" t="str">
        <f t="shared" si="7"/>
        <v/>
      </c>
      <c r="N158" s="36" t="str">
        <f t="shared" si="8"/>
        <v/>
      </c>
    </row>
    <row r="159" spans="1:14">
      <c r="A159" s="6">
        <f t="shared" si="6"/>
        <v>154</v>
      </c>
      <c r="C159" s="35" t="str">
        <f>IFERROR(VLOOKUP(B159,'MASTER RECORD'!$B$5:$W$1000,10,0) &amp;"."&amp;(VLOOKUP(B159,'MASTER RECORD'!$B$5:$W$1000,11,0)),"")</f>
        <v/>
      </c>
      <c r="D159" s="35" t="str">
        <f>IFERROR(VLOOKUP(B159,'MASTER RECORD'!$B$5:$W$1000,3,0),"")</f>
        <v/>
      </c>
      <c r="F159" s="35" t="str">
        <f>IFERROR(VLOOKUP(E159,'MASTER RECORD'!$B$5:$W$1000,10,0) &amp;"."&amp;(VLOOKUP(E159,'MASTER RECORD'!$B$5:$W$1000,11,0)),"")</f>
        <v/>
      </c>
      <c r="G159" s="35" t="str">
        <f>IFERROR(VLOOKUP(E159,'MASTER RECORD'!$B$5:$W$1000,3,0),"")</f>
        <v/>
      </c>
      <c r="I159" s="36" t="str">
        <f t="shared" si="7"/>
        <v/>
      </c>
      <c r="N159" s="36" t="str">
        <f t="shared" si="8"/>
        <v/>
      </c>
    </row>
    <row r="160" spans="1:14">
      <c r="A160" s="6">
        <f t="shared" si="6"/>
        <v>155</v>
      </c>
      <c r="C160" s="35" t="str">
        <f>IFERROR(VLOOKUP(B160,'MASTER RECORD'!$B$5:$W$1000,10,0) &amp;"."&amp;(VLOOKUP(B160,'MASTER RECORD'!$B$5:$W$1000,11,0)),"")</f>
        <v/>
      </c>
      <c r="D160" s="35" t="str">
        <f>IFERROR(VLOOKUP(B160,'MASTER RECORD'!$B$5:$W$1000,3,0),"")</f>
        <v/>
      </c>
      <c r="F160" s="35" t="str">
        <f>IFERROR(VLOOKUP(E160,'MASTER RECORD'!$B$5:$W$1000,10,0) &amp;"."&amp;(VLOOKUP(E160,'MASTER RECORD'!$B$5:$W$1000,11,0)),"")</f>
        <v/>
      </c>
      <c r="G160" s="35" t="str">
        <f>IFERROR(VLOOKUP(E160,'MASTER RECORD'!$B$5:$W$1000,3,0),"")</f>
        <v/>
      </c>
      <c r="I160" s="36" t="str">
        <f t="shared" si="7"/>
        <v/>
      </c>
      <c r="N160" s="36" t="str">
        <f t="shared" si="8"/>
        <v/>
      </c>
    </row>
    <row r="161" spans="1:14">
      <c r="A161" s="6">
        <f t="shared" si="6"/>
        <v>156</v>
      </c>
      <c r="C161" s="35" t="str">
        <f>IFERROR(VLOOKUP(B161,'MASTER RECORD'!$B$5:$W$1000,10,0) &amp;"."&amp;(VLOOKUP(B161,'MASTER RECORD'!$B$5:$W$1000,11,0)),"")</f>
        <v/>
      </c>
      <c r="D161" s="35" t="str">
        <f>IFERROR(VLOOKUP(B161,'MASTER RECORD'!$B$5:$W$1000,3,0),"")</f>
        <v/>
      </c>
      <c r="F161" s="35" t="str">
        <f>IFERROR(VLOOKUP(E161,'MASTER RECORD'!$B$5:$W$1000,10,0) &amp;"."&amp;(VLOOKUP(E161,'MASTER RECORD'!$B$5:$W$1000,11,0)),"")</f>
        <v/>
      </c>
      <c r="G161" s="35" t="str">
        <f>IFERROR(VLOOKUP(E161,'MASTER RECORD'!$B$5:$W$1000,3,0),"")</f>
        <v/>
      </c>
      <c r="I161" s="36" t="str">
        <f t="shared" si="7"/>
        <v/>
      </c>
      <c r="N161" s="36" t="str">
        <f t="shared" si="8"/>
        <v/>
      </c>
    </row>
    <row r="162" spans="1:14">
      <c r="A162" s="6">
        <f t="shared" si="6"/>
        <v>157</v>
      </c>
      <c r="C162" s="35" t="str">
        <f>IFERROR(VLOOKUP(B162,'MASTER RECORD'!$B$5:$W$1000,10,0) &amp;"."&amp;(VLOOKUP(B162,'MASTER RECORD'!$B$5:$W$1000,11,0)),"")</f>
        <v/>
      </c>
      <c r="D162" s="35" t="str">
        <f>IFERROR(VLOOKUP(B162,'MASTER RECORD'!$B$5:$W$1000,3,0),"")</f>
        <v/>
      </c>
      <c r="F162" s="35" t="str">
        <f>IFERROR(VLOOKUP(E162,'MASTER RECORD'!$B$5:$W$1000,10,0) &amp;"."&amp;(VLOOKUP(E162,'MASTER RECORD'!$B$5:$W$1000,11,0)),"")</f>
        <v/>
      </c>
      <c r="G162" s="35" t="str">
        <f>IFERROR(VLOOKUP(E162,'MASTER RECORD'!$B$5:$W$1000,3,0),"")</f>
        <v/>
      </c>
      <c r="I162" s="36" t="str">
        <f t="shared" si="7"/>
        <v/>
      </c>
      <c r="N162" s="36" t="str">
        <f t="shared" si="8"/>
        <v/>
      </c>
    </row>
    <row r="163" spans="1:14">
      <c r="A163" s="6">
        <f t="shared" si="6"/>
        <v>158</v>
      </c>
      <c r="C163" s="35" t="str">
        <f>IFERROR(VLOOKUP(B163,'MASTER RECORD'!$B$5:$W$1000,10,0) &amp;"."&amp;(VLOOKUP(B163,'MASTER RECORD'!$B$5:$W$1000,11,0)),"")</f>
        <v/>
      </c>
      <c r="D163" s="35" t="str">
        <f>IFERROR(VLOOKUP(B163,'MASTER RECORD'!$B$5:$W$1000,3,0),"")</f>
        <v/>
      </c>
      <c r="F163" s="35" t="str">
        <f>IFERROR(VLOOKUP(E163,'MASTER RECORD'!$B$5:$W$1000,10,0) &amp;"."&amp;(VLOOKUP(E163,'MASTER RECORD'!$B$5:$W$1000,11,0)),"")</f>
        <v/>
      </c>
      <c r="G163" s="35" t="str">
        <f>IFERROR(VLOOKUP(E163,'MASTER RECORD'!$B$5:$W$1000,3,0),"")</f>
        <v/>
      </c>
      <c r="I163" s="36" t="str">
        <f t="shared" si="7"/>
        <v/>
      </c>
      <c r="N163" s="36" t="str">
        <f t="shared" si="8"/>
        <v/>
      </c>
    </row>
    <row r="164" spans="1:14">
      <c r="A164" s="6">
        <f t="shared" si="6"/>
        <v>159</v>
      </c>
      <c r="C164" s="35" t="str">
        <f>IFERROR(VLOOKUP(B164,'MASTER RECORD'!$B$5:$W$1000,10,0) &amp;"."&amp;(VLOOKUP(B164,'MASTER RECORD'!$B$5:$W$1000,11,0)),"")</f>
        <v/>
      </c>
      <c r="D164" s="35" t="str">
        <f>IFERROR(VLOOKUP(B164,'MASTER RECORD'!$B$5:$W$1000,3,0),"")</f>
        <v/>
      </c>
      <c r="F164" s="35" t="str">
        <f>IFERROR(VLOOKUP(E164,'MASTER RECORD'!$B$5:$W$1000,10,0) &amp;"."&amp;(VLOOKUP(E164,'MASTER RECORD'!$B$5:$W$1000,11,0)),"")</f>
        <v/>
      </c>
      <c r="G164" s="35" t="str">
        <f>IFERROR(VLOOKUP(E164,'MASTER RECORD'!$B$5:$W$1000,3,0),"")</f>
        <v/>
      </c>
      <c r="I164" s="36" t="str">
        <f t="shared" si="7"/>
        <v/>
      </c>
      <c r="N164" s="36" t="str">
        <f t="shared" si="8"/>
        <v/>
      </c>
    </row>
    <row r="165" spans="1:14">
      <c r="A165" s="6">
        <f t="shared" si="6"/>
        <v>160</v>
      </c>
      <c r="C165" s="35" t="str">
        <f>IFERROR(VLOOKUP(B165,'MASTER RECORD'!$B$5:$W$1000,10,0) &amp;"."&amp;(VLOOKUP(B165,'MASTER RECORD'!$B$5:$W$1000,11,0)),"")</f>
        <v/>
      </c>
      <c r="D165" s="35" t="str">
        <f>IFERROR(VLOOKUP(B165,'MASTER RECORD'!$B$5:$W$1000,3,0),"")</f>
        <v/>
      </c>
      <c r="F165" s="35" t="str">
        <f>IFERROR(VLOOKUP(E165,'MASTER RECORD'!$B$5:$W$1000,10,0) &amp;"."&amp;(VLOOKUP(E165,'MASTER RECORD'!$B$5:$W$1000,11,0)),"")</f>
        <v/>
      </c>
      <c r="G165" s="35" t="str">
        <f>IFERROR(VLOOKUP(E165,'MASTER RECORD'!$B$5:$W$1000,3,0),"")</f>
        <v/>
      </c>
      <c r="I165" s="36" t="str">
        <f t="shared" si="7"/>
        <v/>
      </c>
      <c r="N165" s="36" t="str">
        <f t="shared" si="8"/>
        <v/>
      </c>
    </row>
    <row r="166" spans="1:14">
      <c r="A166" s="6">
        <f t="shared" si="6"/>
        <v>161</v>
      </c>
      <c r="C166" s="35" t="str">
        <f>IFERROR(VLOOKUP(B166,'MASTER RECORD'!$B$5:$W$1000,10,0) &amp;"."&amp;(VLOOKUP(B166,'MASTER RECORD'!$B$5:$W$1000,11,0)),"")</f>
        <v/>
      </c>
      <c r="D166" s="35" t="str">
        <f>IFERROR(VLOOKUP(B166,'MASTER RECORD'!$B$5:$W$1000,3,0),"")</f>
        <v/>
      </c>
      <c r="F166" s="35" t="str">
        <f>IFERROR(VLOOKUP(E166,'MASTER RECORD'!$B$5:$W$1000,10,0) &amp;"."&amp;(VLOOKUP(E166,'MASTER RECORD'!$B$5:$W$1000,11,0)),"")</f>
        <v/>
      </c>
      <c r="G166" s="35" t="str">
        <f>IFERROR(VLOOKUP(E166,'MASTER RECORD'!$B$5:$W$1000,3,0),"")</f>
        <v/>
      </c>
      <c r="I166" s="36" t="str">
        <f t="shared" si="7"/>
        <v/>
      </c>
      <c r="N166" s="36" t="str">
        <f t="shared" si="8"/>
        <v/>
      </c>
    </row>
    <row r="167" spans="1:14">
      <c r="A167" s="6">
        <f t="shared" si="6"/>
        <v>162</v>
      </c>
      <c r="C167" s="35" t="str">
        <f>IFERROR(VLOOKUP(B167,'MASTER RECORD'!$B$5:$W$1000,10,0) &amp;"."&amp;(VLOOKUP(B167,'MASTER RECORD'!$B$5:$W$1000,11,0)),"")</f>
        <v/>
      </c>
      <c r="D167" s="35" t="str">
        <f>IFERROR(VLOOKUP(B167,'MASTER RECORD'!$B$5:$W$1000,3,0),"")</f>
        <v/>
      </c>
      <c r="F167" s="35" t="str">
        <f>IFERROR(VLOOKUP(E167,'MASTER RECORD'!$B$5:$W$1000,10,0) &amp;"."&amp;(VLOOKUP(E167,'MASTER RECORD'!$B$5:$W$1000,11,0)),"")</f>
        <v/>
      </c>
      <c r="G167" s="35" t="str">
        <f>IFERROR(VLOOKUP(E167,'MASTER RECORD'!$B$5:$W$1000,3,0),"")</f>
        <v/>
      </c>
      <c r="I167" s="36" t="str">
        <f t="shared" si="7"/>
        <v/>
      </c>
      <c r="N167" s="36" t="str">
        <f t="shared" si="8"/>
        <v/>
      </c>
    </row>
    <row r="168" spans="1:14">
      <c r="A168" s="6">
        <f t="shared" si="6"/>
        <v>163</v>
      </c>
      <c r="C168" s="35" t="str">
        <f>IFERROR(VLOOKUP(B168,'MASTER RECORD'!$B$5:$W$1000,10,0) &amp;"."&amp;(VLOOKUP(B168,'MASTER RECORD'!$B$5:$W$1000,11,0)),"")</f>
        <v/>
      </c>
      <c r="D168" s="35" t="str">
        <f>IFERROR(VLOOKUP(B168,'MASTER RECORD'!$B$5:$W$1000,3,0),"")</f>
        <v/>
      </c>
      <c r="F168" s="35" t="str">
        <f>IFERROR(VLOOKUP(E168,'MASTER RECORD'!$B$5:$W$1000,10,0) &amp;"."&amp;(VLOOKUP(E168,'MASTER RECORD'!$B$5:$W$1000,11,0)),"")</f>
        <v/>
      </c>
      <c r="G168" s="35" t="str">
        <f>IFERROR(VLOOKUP(E168,'MASTER RECORD'!$B$5:$W$1000,3,0),"")</f>
        <v/>
      </c>
      <c r="I168" s="36" t="str">
        <f t="shared" si="7"/>
        <v/>
      </c>
      <c r="N168" s="36" t="str">
        <f t="shared" si="8"/>
        <v/>
      </c>
    </row>
    <row r="169" spans="1:14">
      <c r="A169" s="6">
        <f t="shared" si="6"/>
        <v>164</v>
      </c>
      <c r="C169" s="35" t="str">
        <f>IFERROR(VLOOKUP(B169,'MASTER RECORD'!$B$5:$W$1000,10,0) &amp;"."&amp;(VLOOKUP(B169,'MASTER RECORD'!$B$5:$W$1000,11,0)),"")</f>
        <v/>
      </c>
      <c r="D169" s="35" t="str">
        <f>IFERROR(VLOOKUP(B169,'MASTER RECORD'!$B$5:$W$1000,3,0),"")</f>
        <v/>
      </c>
      <c r="F169" s="35" t="str">
        <f>IFERROR(VLOOKUP(E169,'MASTER RECORD'!$B$5:$W$1000,10,0) &amp;"."&amp;(VLOOKUP(E169,'MASTER RECORD'!$B$5:$W$1000,11,0)),"")</f>
        <v/>
      </c>
      <c r="G169" s="35" t="str">
        <f>IFERROR(VLOOKUP(E169,'MASTER RECORD'!$B$5:$W$1000,3,0),"")</f>
        <v/>
      </c>
      <c r="I169" s="36" t="str">
        <f t="shared" si="7"/>
        <v/>
      </c>
      <c r="N169" s="36" t="str">
        <f t="shared" si="8"/>
        <v/>
      </c>
    </row>
    <row r="170" spans="1:14">
      <c r="A170" s="6">
        <f t="shared" ref="A170:A233" si="9">ROW(A165)</f>
        <v>165</v>
      </c>
      <c r="C170" s="35" t="str">
        <f>IFERROR(VLOOKUP(B170,'MASTER RECORD'!$B$5:$W$1000,10,0) &amp;"."&amp;(VLOOKUP(B170,'MASTER RECORD'!$B$5:$W$1000,11,0)),"")</f>
        <v/>
      </c>
      <c r="D170" s="35" t="str">
        <f>IFERROR(VLOOKUP(B170,'MASTER RECORD'!$B$5:$W$1000,3,0),"")</f>
        <v/>
      </c>
      <c r="F170" s="35" t="str">
        <f>IFERROR(VLOOKUP(E170,'MASTER RECORD'!$B$5:$W$1000,10,0) &amp;"."&amp;(VLOOKUP(E170,'MASTER RECORD'!$B$5:$W$1000,11,0)),"")</f>
        <v/>
      </c>
      <c r="G170" s="35" t="str">
        <f>IFERROR(VLOOKUP(E170,'MASTER RECORD'!$B$5:$W$1000,3,0),"")</f>
        <v/>
      </c>
      <c r="I170" s="36" t="str">
        <f t="shared" si="7"/>
        <v/>
      </c>
      <c r="N170" s="36" t="str">
        <f t="shared" si="8"/>
        <v/>
      </c>
    </row>
    <row r="171" spans="1:14">
      <c r="A171" s="6">
        <f t="shared" si="9"/>
        <v>166</v>
      </c>
      <c r="C171" s="35" t="str">
        <f>IFERROR(VLOOKUP(B171,'MASTER RECORD'!$B$5:$W$1000,10,0) &amp;"."&amp;(VLOOKUP(B171,'MASTER RECORD'!$B$5:$W$1000,11,0)),"")</f>
        <v/>
      </c>
      <c r="D171" s="35" t="str">
        <f>IFERROR(VLOOKUP(B171,'MASTER RECORD'!$B$5:$W$1000,3,0),"")</f>
        <v/>
      </c>
      <c r="F171" s="35" t="str">
        <f>IFERROR(VLOOKUP(E171,'MASTER RECORD'!$B$5:$W$1000,10,0) &amp;"."&amp;(VLOOKUP(E171,'MASTER RECORD'!$B$5:$W$1000,11,0)),"")</f>
        <v/>
      </c>
      <c r="G171" s="35" t="str">
        <f>IFERROR(VLOOKUP(E171,'MASTER RECORD'!$B$5:$W$1000,3,0),"")</f>
        <v/>
      </c>
      <c r="I171" s="36" t="str">
        <f t="shared" si="7"/>
        <v/>
      </c>
      <c r="N171" s="36" t="str">
        <f t="shared" si="8"/>
        <v/>
      </c>
    </row>
    <row r="172" spans="1:14">
      <c r="A172" s="6">
        <f t="shared" si="9"/>
        <v>167</v>
      </c>
      <c r="C172" s="35" t="str">
        <f>IFERROR(VLOOKUP(B172,'MASTER RECORD'!$B$5:$W$1000,10,0) &amp;"."&amp;(VLOOKUP(B172,'MASTER RECORD'!$B$5:$W$1000,11,0)),"")</f>
        <v/>
      </c>
      <c r="D172" s="35" t="str">
        <f>IFERROR(VLOOKUP(B172,'MASTER RECORD'!$B$5:$W$1000,3,0),"")</f>
        <v/>
      </c>
      <c r="F172" s="35" t="str">
        <f>IFERROR(VLOOKUP(E172,'MASTER RECORD'!$B$5:$W$1000,10,0) &amp;"."&amp;(VLOOKUP(E172,'MASTER RECORD'!$B$5:$W$1000,11,0)),"")</f>
        <v/>
      </c>
      <c r="G172" s="35" t="str">
        <f>IFERROR(VLOOKUP(E172,'MASTER RECORD'!$B$5:$W$1000,3,0),"")</f>
        <v/>
      </c>
      <c r="I172" s="36" t="str">
        <f t="shared" si="7"/>
        <v/>
      </c>
      <c r="N172" s="36" t="str">
        <f t="shared" si="8"/>
        <v/>
      </c>
    </row>
    <row r="173" spans="1:14">
      <c r="A173" s="6">
        <f t="shared" si="9"/>
        <v>168</v>
      </c>
      <c r="C173" s="35" t="str">
        <f>IFERROR(VLOOKUP(B173,'MASTER RECORD'!$B$5:$W$1000,10,0) &amp;"."&amp;(VLOOKUP(B173,'MASTER RECORD'!$B$5:$W$1000,11,0)),"")</f>
        <v/>
      </c>
      <c r="D173" s="35" t="str">
        <f>IFERROR(VLOOKUP(B173,'MASTER RECORD'!$B$5:$W$1000,3,0),"")</f>
        <v/>
      </c>
      <c r="F173" s="35" t="str">
        <f>IFERROR(VLOOKUP(E173,'MASTER RECORD'!$B$5:$W$1000,10,0) &amp;"."&amp;(VLOOKUP(E173,'MASTER RECORD'!$B$5:$W$1000,11,0)),"")</f>
        <v/>
      </c>
      <c r="G173" s="35" t="str">
        <f>IFERROR(VLOOKUP(E173,'MASTER RECORD'!$B$5:$W$1000,3,0),"")</f>
        <v/>
      </c>
      <c r="I173" s="36" t="str">
        <f t="shared" si="7"/>
        <v/>
      </c>
      <c r="N173" s="36" t="str">
        <f t="shared" si="8"/>
        <v/>
      </c>
    </row>
    <row r="174" spans="1:14">
      <c r="A174" s="6">
        <f t="shared" si="9"/>
        <v>169</v>
      </c>
      <c r="C174" s="35" t="str">
        <f>IFERROR(VLOOKUP(B174,'MASTER RECORD'!$B$5:$W$1000,10,0) &amp;"."&amp;(VLOOKUP(B174,'MASTER RECORD'!$B$5:$W$1000,11,0)),"")</f>
        <v/>
      </c>
      <c r="D174" s="35" t="str">
        <f>IFERROR(VLOOKUP(B174,'MASTER RECORD'!$B$5:$W$1000,3,0),"")</f>
        <v/>
      </c>
      <c r="F174" s="35" t="str">
        <f>IFERROR(VLOOKUP(E174,'MASTER RECORD'!$B$5:$W$1000,10,0) &amp;"."&amp;(VLOOKUP(E174,'MASTER RECORD'!$B$5:$W$1000,11,0)),"")</f>
        <v/>
      </c>
      <c r="G174" s="35" t="str">
        <f>IFERROR(VLOOKUP(E174,'MASTER RECORD'!$B$5:$W$1000,3,0),"")</f>
        <v/>
      </c>
      <c r="I174" s="36" t="str">
        <f t="shared" si="7"/>
        <v/>
      </c>
      <c r="N174" s="36" t="str">
        <f t="shared" si="8"/>
        <v/>
      </c>
    </row>
    <row r="175" spans="1:14">
      <c r="A175" s="6">
        <f t="shared" si="9"/>
        <v>170</v>
      </c>
      <c r="C175" s="35" t="str">
        <f>IFERROR(VLOOKUP(B175,'MASTER RECORD'!$B$5:$W$1000,10,0) &amp;"."&amp;(VLOOKUP(B175,'MASTER RECORD'!$B$5:$W$1000,11,0)),"")</f>
        <v/>
      </c>
      <c r="D175" s="35" t="str">
        <f>IFERROR(VLOOKUP(B175,'MASTER RECORD'!$B$5:$W$1000,3,0),"")</f>
        <v/>
      </c>
      <c r="F175" s="35" t="str">
        <f>IFERROR(VLOOKUP(E175,'MASTER RECORD'!$B$5:$W$1000,10,0) &amp;"."&amp;(VLOOKUP(E175,'MASTER RECORD'!$B$5:$W$1000,11,0)),"")</f>
        <v/>
      </c>
      <c r="G175" s="35" t="str">
        <f>IFERROR(VLOOKUP(E175,'MASTER RECORD'!$B$5:$W$1000,3,0),"")</f>
        <v/>
      </c>
      <c r="I175" s="36" t="str">
        <f t="shared" si="7"/>
        <v/>
      </c>
      <c r="N175" s="36" t="str">
        <f t="shared" si="8"/>
        <v/>
      </c>
    </row>
    <row r="176" spans="1:14">
      <c r="A176" s="6">
        <f t="shared" si="9"/>
        <v>171</v>
      </c>
      <c r="C176" s="35" t="str">
        <f>IFERROR(VLOOKUP(B176,'MASTER RECORD'!$B$5:$W$1000,10,0) &amp;"."&amp;(VLOOKUP(B176,'MASTER RECORD'!$B$5:$W$1000,11,0)),"")</f>
        <v/>
      </c>
      <c r="D176" s="35" t="str">
        <f>IFERROR(VLOOKUP(B176,'MASTER RECORD'!$B$5:$W$1000,3,0),"")</f>
        <v/>
      </c>
      <c r="F176" s="35" t="str">
        <f>IFERROR(VLOOKUP(E176,'MASTER RECORD'!$B$5:$W$1000,10,0) &amp;"."&amp;(VLOOKUP(E176,'MASTER RECORD'!$B$5:$W$1000,11,0)),"")</f>
        <v/>
      </c>
      <c r="G176" s="35" t="str">
        <f>IFERROR(VLOOKUP(E176,'MASTER RECORD'!$B$5:$W$1000,3,0),"")</f>
        <v/>
      </c>
      <c r="I176" s="36" t="str">
        <f t="shared" si="7"/>
        <v/>
      </c>
      <c r="N176" s="36" t="str">
        <f t="shared" si="8"/>
        <v/>
      </c>
    </row>
    <row r="177" spans="1:14">
      <c r="A177" s="6">
        <f t="shared" si="9"/>
        <v>172</v>
      </c>
      <c r="C177" s="35" t="str">
        <f>IFERROR(VLOOKUP(B177,'MASTER RECORD'!$B$5:$W$1000,10,0) &amp;"."&amp;(VLOOKUP(B177,'MASTER RECORD'!$B$5:$W$1000,11,0)),"")</f>
        <v/>
      </c>
      <c r="D177" s="35" t="str">
        <f>IFERROR(VLOOKUP(B177,'MASTER RECORD'!$B$5:$W$1000,3,0),"")</f>
        <v/>
      </c>
      <c r="F177" s="35" t="str">
        <f>IFERROR(VLOOKUP(E177,'MASTER RECORD'!$B$5:$W$1000,10,0) &amp;"."&amp;(VLOOKUP(E177,'MASTER RECORD'!$B$5:$W$1000,11,0)),"")</f>
        <v/>
      </c>
      <c r="G177" s="35" t="str">
        <f>IFERROR(VLOOKUP(E177,'MASTER RECORD'!$B$5:$W$1000,3,0),"")</f>
        <v/>
      </c>
      <c r="I177" s="36" t="str">
        <f t="shared" si="7"/>
        <v/>
      </c>
      <c r="N177" s="36" t="str">
        <f t="shared" si="8"/>
        <v/>
      </c>
    </row>
    <row r="178" spans="1:14">
      <c r="A178" s="6">
        <f t="shared" si="9"/>
        <v>173</v>
      </c>
      <c r="C178" s="35" t="str">
        <f>IFERROR(VLOOKUP(B178,'MASTER RECORD'!$B$5:$W$1000,10,0) &amp;"."&amp;(VLOOKUP(B178,'MASTER RECORD'!$B$5:$W$1000,11,0)),"")</f>
        <v/>
      </c>
      <c r="D178" s="35" t="str">
        <f>IFERROR(VLOOKUP(B178,'MASTER RECORD'!$B$5:$W$1000,3,0),"")</f>
        <v/>
      </c>
      <c r="F178" s="35" t="str">
        <f>IFERROR(VLOOKUP(E178,'MASTER RECORD'!$B$5:$W$1000,10,0) &amp;"."&amp;(VLOOKUP(E178,'MASTER RECORD'!$B$5:$W$1000,11,0)),"")</f>
        <v/>
      </c>
      <c r="G178" s="35" t="str">
        <f>IFERROR(VLOOKUP(E178,'MASTER RECORD'!$B$5:$W$1000,3,0),"")</f>
        <v/>
      </c>
      <c r="I178" s="36" t="str">
        <f t="shared" si="7"/>
        <v/>
      </c>
      <c r="N178" s="36" t="str">
        <f t="shared" si="8"/>
        <v/>
      </c>
    </row>
    <row r="179" spans="1:14">
      <c r="A179" s="6">
        <f t="shared" si="9"/>
        <v>174</v>
      </c>
      <c r="C179" s="35" t="str">
        <f>IFERROR(VLOOKUP(B179,'MASTER RECORD'!$B$5:$W$1000,10,0) &amp;"."&amp;(VLOOKUP(B179,'MASTER RECORD'!$B$5:$W$1000,11,0)),"")</f>
        <v/>
      </c>
      <c r="D179" s="35" t="str">
        <f>IFERROR(VLOOKUP(B179,'MASTER RECORD'!$B$5:$W$1000,3,0),"")</f>
        <v/>
      </c>
      <c r="F179" s="35" t="str">
        <f>IFERROR(VLOOKUP(E179,'MASTER RECORD'!$B$5:$W$1000,10,0) &amp;"."&amp;(VLOOKUP(E179,'MASTER RECORD'!$B$5:$W$1000,11,0)),"")</f>
        <v/>
      </c>
      <c r="G179" s="35" t="str">
        <f>IFERROR(VLOOKUP(E179,'MASTER RECORD'!$B$5:$W$1000,3,0),"")</f>
        <v/>
      </c>
      <c r="I179" s="36" t="str">
        <f t="shared" si="7"/>
        <v/>
      </c>
      <c r="N179" s="36" t="str">
        <f t="shared" si="8"/>
        <v/>
      </c>
    </row>
    <row r="180" spans="1:14">
      <c r="A180" s="6">
        <f t="shared" si="9"/>
        <v>175</v>
      </c>
      <c r="C180" s="35" t="str">
        <f>IFERROR(VLOOKUP(B180,'MASTER RECORD'!$B$5:$W$1000,10,0) &amp;"."&amp;(VLOOKUP(B180,'MASTER RECORD'!$B$5:$W$1000,11,0)),"")</f>
        <v/>
      </c>
      <c r="D180" s="35" t="str">
        <f>IFERROR(VLOOKUP(B180,'MASTER RECORD'!$B$5:$W$1000,3,0),"")</f>
        <v/>
      </c>
      <c r="F180" s="35" t="str">
        <f>IFERROR(VLOOKUP(E180,'MASTER RECORD'!$B$5:$W$1000,10,0) &amp;"."&amp;(VLOOKUP(E180,'MASTER RECORD'!$B$5:$W$1000,11,0)),"")</f>
        <v/>
      </c>
      <c r="G180" s="35" t="str">
        <f>IFERROR(VLOOKUP(E180,'MASTER RECORD'!$B$5:$W$1000,3,0),"")</f>
        <v/>
      </c>
      <c r="I180" s="36" t="str">
        <f t="shared" si="7"/>
        <v/>
      </c>
      <c r="N180" s="36" t="str">
        <f t="shared" si="8"/>
        <v/>
      </c>
    </row>
    <row r="181" spans="1:14">
      <c r="A181" s="6">
        <f t="shared" si="9"/>
        <v>176</v>
      </c>
      <c r="C181" s="35" t="str">
        <f>IFERROR(VLOOKUP(B181,'MASTER RECORD'!$B$5:$W$1000,10,0) &amp;"."&amp;(VLOOKUP(B181,'MASTER RECORD'!$B$5:$W$1000,11,0)),"")</f>
        <v/>
      </c>
      <c r="D181" s="35" t="str">
        <f>IFERROR(VLOOKUP(B181,'MASTER RECORD'!$B$5:$W$1000,3,0),"")</f>
        <v/>
      </c>
      <c r="F181" s="35" t="str">
        <f>IFERROR(VLOOKUP(E181,'MASTER RECORD'!$B$5:$W$1000,10,0) &amp;"."&amp;(VLOOKUP(E181,'MASTER RECORD'!$B$5:$W$1000,11,0)),"")</f>
        <v/>
      </c>
      <c r="G181" s="35" t="str">
        <f>IFERROR(VLOOKUP(E181,'MASTER RECORD'!$B$5:$W$1000,3,0),"")</f>
        <v/>
      </c>
      <c r="I181" s="36" t="str">
        <f t="shared" si="7"/>
        <v/>
      </c>
      <c r="N181" s="36" t="str">
        <f t="shared" si="8"/>
        <v/>
      </c>
    </row>
    <row r="182" spans="1:14">
      <c r="A182" s="6">
        <f t="shared" si="9"/>
        <v>177</v>
      </c>
      <c r="C182" s="35" t="str">
        <f>IFERROR(VLOOKUP(B182,'MASTER RECORD'!$B$5:$W$1000,10,0) &amp;"."&amp;(VLOOKUP(B182,'MASTER RECORD'!$B$5:$W$1000,11,0)),"")</f>
        <v/>
      </c>
      <c r="D182" s="35" t="str">
        <f>IFERROR(VLOOKUP(B182,'MASTER RECORD'!$B$5:$W$1000,3,0),"")</f>
        <v/>
      </c>
      <c r="F182" s="35" t="str">
        <f>IFERROR(VLOOKUP(E182,'MASTER RECORD'!$B$5:$W$1000,10,0) &amp;"."&amp;(VLOOKUP(E182,'MASTER RECORD'!$B$5:$W$1000,11,0)),"")</f>
        <v/>
      </c>
      <c r="G182" s="35" t="str">
        <f>IFERROR(VLOOKUP(E182,'MASTER RECORD'!$B$5:$W$1000,3,0),"")</f>
        <v/>
      </c>
      <c r="I182" s="36" t="str">
        <f t="shared" si="7"/>
        <v/>
      </c>
      <c r="N182" s="36" t="str">
        <f t="shared" si="8"/>
        <v/>
      </c>
    </row>
    <row r="183" spans="1:14">
      <c r="A183" s="6">
        <f t="shared" si="9"/>
        <v>178</v>
      </c>
      <c r="C183" s="35" t="str">
        <f>IFERROR(VLOOKUP(B183,'MASTER RECORD'!$B$5:$W$1000,10,0) &amp;"."&amp;(VLOOKUP(B183,'MASTER RECORD'!$B$5:$W$1000,11,0)),"")</f>
        <v/>
      </c>
      <c r="D183" s="35" t="str">
        <f>IFERROR(VLOOKUP(B183,'MASTER RECORD'!$B$5:$W$1000,3,0),"")</f>
        <v/>
      </c>
      <c r="F183" s="35" t="str">
        <f>IFERROR(VLOOKUP(E183,'MASTER RECORD'!$B$5:$W$1000,10,0) &amp;"."&amp;(VLOOKUP(E183,'MASTER RECORD'!$B$5:$W$1000,11,0)),"")</f>
        <v/>
      </c>
      <c r="G183" s="35" t="str">
        <f>IFERROR(VLOOKUP(E183,'MASTER RECORD'!$B$5:$W$1000,3,0),"")</f>
        <v/>
      </c>
      <c r="I183" s="36" t="str">
        <f t="shared" si="7"/>
        <v/>
      </c>
      <c r="N183" s="36" t="str">
        <f t="shared" si="8"/>
        <v/>
      </c>
    </row>
    <row r="184" spans="1:14">
      <c r="A184" s="6">
        <f t="shared" si="9"/>
        <v>179</v>
      </c>
      <c r="C184" s="35" t="str">
        <f>IFERROR(VLOOKUP(B184,'MASTER RECORD'!$B$5:$W$1000,10,0) &amp;"."&amp;(VLOOKUP(B184,'MASTER RECORD'!$B$5:$W$1000,11,0)),"")</f>
        <v/>
      </c>
      <c r="D184" s="35" t="str">
        <f>IFERROR(VLOOKUP(B184,'MASTER RECORD'!$B$5:$W$1000,3,0),"")</f>
        <v/>
      </c>
      <c r="F184" s="35" t="str">
        <f>IFERROR(VLOOKUP(E184,'MASTER RECORD'!$B$5:$W$1000,10,0) &amp;"."&amp;(VLOOKUP(E184,'MASTER RECORD'!$B$5:$W$1000,11,0)),"")</f>
        <v/>
      </c>
      <c r="G184" s="35" t="str">
        <f>IFERROR(VLOOKUP(E184,'MASTER RECORD'!$B$5:$W$1000,3,0),"")</f>
        <v/>
      </c>
      <c r="I184" s="36" t="str">
        <f t="shared" si="7"/>
        <v/>
      </c>
      <c r="N184" s="36" t="str">
        <f t="shared" si="8"/>
        <v/>
      </c>
    </row>
    <row r="185" spans="1:14">
      <c r="A185" s="6">
        <f t="shared" si="9"/>
        <v>180</v>
      </c>
      <c r="C185" s="35" t="str">
        <f>IFERROR(VLOOKUP(B185,'MASTER RECORD'!$B$5:$W$1000,10,0) &amp;"."&amp;(VLOOKUP(B185,'MASTER RECORD'!$B$5:$W$1000,11,0)),"")</f>
        <v/>
      </c>
      <c r="D185" s="35" t="str">
        <f>IFERROR(VLOOKUP(B185,'MASTER RECORD'!$B$5:$W$1000,3,0),"")</f>
        <v/>
      </c>
      <c r="F185" s="35" t="str">
        <f>IFERROR(VLOOKUP(E185,'MASTER RECORD'!$B$5:$W$1000,10,0) &amp;"."&amp;(VLOOKUP(E185,'MASTER RECORD'!$B$5:$W$1000,11,0)),"")</f>
        <v/>
      </c>
      <c r="G185" s="35" t="str">
        <f>IFERROR(VLOOKUP(E185,'MASTER RECORD'!$B$5:$W$1000,3,0),"")</f>
        <v/>
      </c>
      <c r="I185" s="36" t="str">
        <f t="shared" si="7"/>
        <v/>
      </c>
      <c r="N185" s="36" t="str">
        <f t="shared" si="8"/>
        <v/>
      </c>
    </row>
    <row r="186" spans="1:14">
      <c r="A186" s="6">
        <f t="shared" si="9"/>
        <v>181</v>
      </c>
      <c r="C186" s="35" t="str">
        <f>IFERROR(VLOOKUP(B186,'MASTER RECORD'!$B$5:$W$1000,10,0) &amp;"."&amp;(VLOOKUP(B186,'MASTER RECORD'!$B$5:$W$1000,11,0)),"")</f>
        <v/>
      </c>
      <c r="D186" s="35" t="str">
        <f>IFERROR(VLOOKUP(B186,'MASTER RECORD'!$B$5:$W$1000,3,0),"")</f>
        <v/>
      </c>
      <c r="F186" s="35" t="str">
        <f>IFERROR(VLOOKUP(E186,'MASTER RECORD'!$B$5:$W$1000,10,0) &amp;"."&amp;(VLOOKUP(E186,'MASTER RECORD'!$B$5:$W$1000,11,0)),"")</f>
        <v/>
      </c>
      <c r="G186" s="35" t="str">
        <f>IFERROR(VLOOKUP(E186,'MASTER RECORD'!$B$5:$W$1000,3,0),"")</f>
        <v/>
      </c>
      <c r="I186" s="36" t="str">
        <f t="shared" si="7"/>
        <v/>
      </c>
      <c r="N186" s="36" t="str">
        <f t="shared" si="8"/>
        <v/>
      </c>
    </row>
    <row r="187" spans="1:14">
      <c r="A187" s="6">
        <f t="shared" si="9"/>
        <v>182</v>
      </c>
      <c r="C187" s="35" t="str">
        <f>IFERROR(VLOOKUP(B187,'MASTER RECORD'!$B$5:$W$1000,10,0) &amp;"."&amp;(VLOOKUP(B187,'MASTER RECORD'!$B$5:$W$1000,11,0)),"")</f>
        <v/>
      </c>
      <c r="D187" s="35" t="str">
        <f>IFERROR(VLOOKUP(B187,'MASTER RECORD'!$B$5:$W$1000,3,0),"")</f>
        <v/>
      </c>
      <c r="F187" s="35" t="str">
        <f>IFERROR(VLOOKUP(E187,'MASTER RECORD'!$B$5:$W$1000,10,0) &amp;"."&amp;(VLOOKUP(E187,'MASTER RECORD'!$B$5:$W$1000,11,0)),"")</f>
        <v/>
      </c>
      <c r="G187" s="35" t="str">
        <f>IFERROR(VLOOKUP(E187,'MASTER RECORD'!$B$5:$W$1000,3,0),"")</f>
        <v/>
      </c>
      <c r="I187" s="36" t="str">
        <f t="shared" si="7"/>
        <v/>
      </c>
      <c r="N187" s="36" t="str">
        <f t="shared" si="8"/>
        <v/>
      </c>
    </row>
    <row r="188" spans="1:14">
      <c r="A188" s="6">
        <f t="shared" si="9"/>
        <v>183</v>
      </c>
      <c r="C188" s="35" t="str">
        <f>IFERROR(VLOOKUP(B188,'MASTER RECORD'!$B$5:$W$1000,10,0) &amp;"."&amp;(VLOOKUP(B188,'MASTER RECORD'!$B$5:$W$1000,11,0)),"")</f>
        <v/>
      </c>
      <c r="D188" s="35" t="str">
        <f>IFERROR(VLOOKUP(B188,'MASTER RECORD'!$B$5:$W$1000,3,0),"")</f>
        <v/>
      </c>
      <c r="F188" s="35" t="str">
        <f>IFERROR(VLOOKUP(E188,'MASTER RECORD'!$B$5:$W$1000,10,0) &amp;"."&amp;(VLOOKUP(E188,'MASTER RECORD'!$B$5:$W$1000,11,0)),"")</f>
        <v/>
      </c>
      <c r="G188" s="35" t="str">
        <f>IFERROR(VLOOKUP(E188,'MASTER RECORD'!$B$5:$W$1000,3,0),"")</f>
        <v/>
      </c>
      <c r="I188" s="36" t="str">
        <f t="shared" si="7"/>
        <v/>
      </c>
      <c r="N188" s="36" t="str">
        <f t="shared" si="8"/>
        <v/>
      </c>
    </row>
    <row r="189" spans="1:14">
      <c r="A189" s="6">
        <f t="shared" si="9"/>
        <v>184</v>
      </c>
      <c r="C189" s="35" t="str">
        <f>IFERROR(VLOOKUP(B189,'MASTER RECORD'!$B$5:$W$1000,10,0) &amp;"."&amp;(VLOOKUP(B189,'MASTER RECORD'!$B$5:$W$1000,11,0)),"")</f>
        <v/>
      </c>
      <c r="D189" s="35" t="str">
        <f>IFERROR(VLOOKUP(B189,'MASTER RECORD'!$B$5:$W$1000,3,0),"")</f>
        <v/>
      </c>
      <c r="F189" s="35" t="str">
        <f>IFERROR(VLOOKUP(E189,'MASTER RECORD'!$B$5:$W$1000,10,0) &amp;"."&amp;(VLOOKUP(E189,'MASTER RECORD'!$B$5:$W$1000,11,0)),"")</f>
        <v/>
      </c>
      <c r="G189" s="35" t="str">
        <f>IFERROR(VLOOKUP(E189,'MASTER RECORD'!$B$5:$W$1000,3,0),"")</f>
        <v/>
      </c>
      <c r="I189" s="36" t="str">
        <f t="shared" si="7"/>
        <v/>
      </c>
      <c r="N189" s="36" t="str">
        <f t="shared" si="8"/>
        <v/>
      </c>
    </row>
    <row r="190" spans="1:14">
      <c r="A190" s="6">
        <f t="shared" si="9"/>
        <v>185</v>
      </c>
      <c r="C190" s="35" t="str">
        <f>IFERROR(VLOOKUP(B190,'MASTER RECORD'!$B$5:$W$1000,10,0) &amp;"."&amp;(VLOOKUP(B190,'MASTER RECORD'!$B$5:$W$1000,11,0)),"")</f>
        <v/>
      </c>
      <c r="D190" s="35" t="str">
        <f>IFERROR(VLOOKUP(B190,'MASTER RECORD'!$B$5:$W$1000,3,0),"")</f>
        <v/>
      </c>
      <c r="F190" s="35" t="str">
        <f>IFERROR(VLOOKUP(E190,'MASTER RECORD'!$B$5:$W$1000,10,0) &amp;"."&amp;(VLOOKUP(E190,'MASTER RECORD'!$B$5:$W$1000,11,0)),"")</f>
        <v/>
      </c>
      <c r="G190" s="35" t="str">
        <f>IFERROR(VLOOKUP(E190,'MASTER RECORD'!$B$5:$W$1000,3,0),"")</f>
        <v/>
      </c>
      <c r="I190" s="36" t="str">
        <f t="shared" si="7"/>
        <v/>
      </c>
      <c r="N190" s="36" t="str">
        <f t="shared" si="8"/>
        <v/>
      </c>
    </row>
    <row r="191" spans="1:14">
      <c r="A191" s="6">
        <f t="shared" si="9"/>
        <v>186</v>
      </c>
      <c r="C191" s="35" t="str">
        <f>IFERROR(VLOOKUP(B191,'MASTER RECORD'!$B$5:$W$1000,10,0) &amp;"."&amp;(VLOOKUP(B191,'MASTER RECORD'!$B$5:$W$1000,11,0)),"")</f>
        <v/>
      </c>
      <c r="D191" s="35" t="str">
        <f>IFERROR(VLOOKUP(B191,'MASTER RECORD'!$B$5:$W$1000,3,0),"")</f>
        <v/>
      </c>
      <c r="F191" s="35" t="str">
        <f>IFERROR(VLOOKUP(E191,'MASTER RECORD'!$B$5:$W$1000,10,0) &amp;"."&amp;(VLOOKUP(E191,'MASTER RECORD'!$B$5:$W$1000,11,0)),"")</f>
        <v/>
      </c>
      <c r="G191" s="35" t="str">
        <f>IFERROR(VLOOKUP(E191,'MASTER RECORD'!$B$5:$W$1000,3,0),"")</f>
        <v/>
      </c>
      <c r="I191" s="36" t="str">
        <f t="shared" si="7"/>
        <v/>
      </c>
      <c r="N191" s="36" t="str">
        <f t="shared" si="8"/>
        <v/>
      </c>
    </row>
    <row r="192" spans="1:14">
      <c r="A192" s="6">
        <f t="shared" si="9"/>
        <v>187</v>
      </c>
      <c r="C192" s="35" t="str">
        <f>IFERROR(VLOOKUP(B192,'MASTER RECORD'!$B$5:$W$1000,10,0) &amp;"."&amp;(VLOOKUP(B192,'MASTER RECORD'!$B$5:$W$1000,11,0)),"")</f>
        <v/>
      </c>
      <c r="D192" s="35" t="str">
        <f>IFERROR(VLOOKUP(B192,'MASTER RECORD'!$B$5:$W$1000,3,0),"")</f>
        <v/>
      </c>
      <c r="F192" s="35" t="str">
        <f>IFERROR(VLOOKUP(E192,'MASTER RECORD'!$B$5:$W$1000,10,0) &amp;"."&amp;(VLOOKUP(E192,'MASTER RECORD'!$B$5:$W$1000,11,0)),"")</f>
        <v/>
      </c>
      <c r="G192" s="35" t="str">
        <f>IFERROR(VLOOKUP(E192,'MASTER RECORD'!$B$5:$W$1000,3,0),"")</f>
        <v/>
      </c>
      <c r="I192" s="36" t="str">
        <f t="shared" si="7"/>
        <v/>
      </c>
      <c r="N192" s="36" t="str">
        <f t="shared" si="8"/>
        <v/>
      </c>
    </row>
    <row r="193" spans="1:14">
      <c r="A193" s="6">
        <f t="shared" si="9"/>
        <v>188</v>
      </c>
      <c r="C193" s="35" t="str">
        <f>IFERROR(VLOOKUP(B193,'MASTER RECORD'!$B$5:$W$1000,10,0) &amp;"."&amp;(VLOOKUP(B193,'MASTER RECORD'!$B$5:$W$1000,11,0)),"")</f>
        <v/>
      </c>
      <c r="D193" s="35" t="str">
        <f>IFERROR(VLOOKUP(B193,'MASTER RECORD'!$B$5:$W$1000,3,0),"")</f>
        <v/>
      </c>
      <c r="F193" s="35" t="str">
        <f>IFERROR(VLOOKUP(E193,'MASTER RECORD'!$B$5:$W$1000,10,0) &amp;"."&amp;(VLOOKUP(E193,'MASTER RECORD'!$B$5:$W$1000,11,0)),"")</f>
        <v/>
      </c>
      <c r="G193" s="35" t="str">
        <f>IFERROR(VLOOKUP(E193,'MASTER RECORD'!$B$5:$W$1000,3,0),"")</f>
        <v/>
      </c>
      <c r="I193" s="36" t="str">
        <f t="shared" si="7"/>
        <v/>
      </c>
      <c r="N193" s="36" t="str">
        <f t="shared" si="8"/>
        <v/>
      </c>
    </row>
    <row r="194" spans="1:14">
      <c r="A194" s="6">
        <f t="shared" si="9"/>
        <v>189</v>
      </c>
      <c r="C194" s="35" t="str">
        <f>IFERROR(VLOOKUP(B194,'MASTER RECORD'!$B$5:$W$1000,10,0) &amp;"."&amp;(VLOOKUP(B194,'MASTER RECORD'!$B$5:$W$1000,11,0)),"")</f>
        <v/>
      </c>
      <c r="D194" s="35" t="str">
        <f>IFERROR(VLOOKUP(B194,'MASTER RECORD'!$B$5:$W$1000,3,0),"")</f>
        <v/>
      </c>
      <c r="F194" s="35" t="str">
        <f>IFERROR(VLOOKUP(E194,'MASTER RECORD'!$B$5:$W$1000,10,0) &amp;"."&amp;(VLOOKUP(E194,'MASTER RECORD'!$B$5:$W$1000,11,0)),"")</f>
        <v/>
      </c>
      <c r="G194" s="35" t="str">
        <f>IFERROR(VLOOKUP(E194,'MASTER RECORD'!$B$5:$W$1000,3,0),"")</f>
        <v/>
      </c>
      <c r="I194" s="36" t="str">
        <f t="shared" si="7"/>
        <v/>
      </c>
      <c r="N194" s="36" t="str">
        <f t="shared" si="8"/>
        <v/>
      </c>
    </row>
    <row r="195" spans="1:14">
      <c r="A195" s="6">
        <f t="shared" si="9"/>
        <v>190</v>
      </c>
      <c r="C195" s="35" t="str">
        <f>IFERROR(VLOOKUP(B195,'MASTER RECORD'!$B$5:$W$1000,10,0) &amp;"."&amp;(VLOOKUP(B195,'MASTER RECORD'!$B$5:$W$1000,11,0)),"")</f>
        <v/>
      </c>
      <c r="D195" s="35" t="str">
        <f>IFERROR(VLOOKUP(B195,'MASTER RECORD'!$B$5:$W$1000,3,0),"")</f>
        <v/>
      </c>
      <c r="F195" s="35" t="str">
        <f>IFERROR(VLOOKUP(E195,'MASTER RECORD'!$B$5:$W$1000,10,0) &amp;"."&amp;(VLOOKUP(E195,'MASTER RECORD'!$B$5:$W$1000,11,0)),"")</f>
        <v/>
      </c>
      <c r="G195" s="35" t="str">
        <f>IFERROR(VLOOKUP(E195,'MASTER RECORD'!$B$5:$W$1000,3,0),"")</f>
        <v/>
      </c>
      <c r="I195" s="36" t="str">
        <f t="shared" si="7"/>
        <v/>
      </c>
      <c r="N195" s="36" t="str">
        <f t="shared" si="8"/>
        <v/>
      </c>
    </row>
    <row r="196" spans="1:14">
      <c r="A196" s="6">
        <f t="shared" si="9"/>
        <v>191</v>
      </c>
      <c r="C196" s="35" t="str">
        <f>IFERROR(VLOOKUP(B196,'MASTER RECORD'!$B$5:$W$1000,10,0) &amp;"."&amp;(VLOOKUP(B196,'MASTER RECORD'!$B$5:$W$1000,11,0)),"")</f>
        <v/>
      </c>
      <c r="D196" s="35" t="str">
        <f>IFERROR(VLOOKUP(B196,'MASTER RECORD'!$B$5:$W$1000,3,0),"")</f>
        <v/>
      </c>
      <c r="F196" s="35" t="str">
        <f>IFERROR(VLOOKUP(E196,'MASTER RECORD'!$B$5:$W$1000,10,0) &amp;"."&amp;(VLOOKUP(E196,'MASTER RECORD'!$B$5:$W$1000,11,0)),"")</f>
        <v/>
      </c>
      <c r="G196" s="35" t="str">
        <f>IFERROR(VLOOKUP(E196,'MASTER RECORD'!$B$5:$W$1000,3,0),"")</f>
        <v/>
      </c>
      <c r="I196" s="36" t="str">
        <f t="shared" si="7"/>
        <v/>
      </c>
      <c r="N196" s="36" t="str">
        <f t="shared" si="8"/>
        <v/>
      </c>
    </row>
    <row r="197" spans="1:14">
      <c r="A197" s="6">
        <f t="shared" si="9"/>
        <v>192</v>
      </c>
      <c r="C197" s="35" t="str">
        <f>IFERROR(VLOOKUP(B197,'MASTER RECORD'!$B$5:$W$1000,10,0) &amp;"."&amp;(VLOOKUP(B197,'MASTER RECORD'!$B$5:$W$1000,11,0)),"")</f>
        <v/>
      </c>
      <c r="D197" s="35" t="str">
        <f>IFERROR(VLOOKUP(B197,'MASTER RECORD'!$B$5:$W$1000,3,0),"")</f>
        <v/>
      </c>
      <c r="F197" s="35" t="str">
        <f>IFERROR(VLOOKUP(E197,'MASTER RECORD'!$B$5:$W$1000,10,0) &amp;"."&amp;(VLOOKUP(E197,'MASTER RECORD'!$B$5:$W$1000,11,0)),"")</f>
        <v/>
      </c>
      <c r="G197" s="35" t="str">
        <f>IFERROR(VLOOKUP(E197,'MASTER RECORD'!$B$5:$W$1000,3,0),"")</f>
        <v/>
      </c>
      <c r="I197" s="36" t="str">
        <f t="shared" si="7"/>
        <v/>
      </c>
      <c r="N197" s="36" t="str">
        <f t="shared" si="8"/>
        <v/>
      </c>
    </row>
    <row r="198" spans="1:14">
      <c r="A198" s="6">
        <f t="shared" si="9"/>
        <v>193</v>
      </c>
      <c r="C198" s="35" t="str">
        <f>IFERROR(VLOOKUP(B198,'MASTER RECORD'!$B$5:$W$1000,10,0) &amp;"."&amp;(VLOOKUP(B198,'MASTER RECORD'!$B$5:$W$1000,11,0)),"")</f>
        <v/>
      </c>
      <c r="D198" s="35" t="str">
        <f>IFERROR(VLOOKUP(B198,'MASTER RECORD'!$B$5:$W$1000,3,0),"")</f>
        <v/>
      </c>
      <c r="F198" s="35" t="str">
        <f>IFERROR(VLOOKUP(E198,'MASTER RECORD'!$B$5:$W$1000,10,0) &amp;"."&amp;(VLOOKUP(E198,'MASTER RECORD'!$B$5:$W$1000,11,0)),"")</f>
        <v/>
      </c>
      <c r="G198" s="35" t="str">
        <f>IFERROR(VLOOKUP(E198,'MASTER RECORD'!$B$5:$W$1000,3,0),"")</f>
        <v/>
      </c>
      <c r="I198" s="36" t="str">
        <f t="shared" si="7"/>
        <v/>
      </c>
      <c r="N198" s="36" t="str">
        <f t="shared" si="8"/>
        <v/>
      </c>
    </row>
    <row r="199" spans="1:14">
      <c r="A199" s="6">
        <f t="shared" si="9"/>
        <v>194</v>
      </c>
      <c r="C199" s="35" t="str">
        <f>IFERROR(VLOOKUP(B199,'MASTER RECORD'!$B$5:$W$1000,10,0) &amp;"."&amp;(VLOOKUP(B199,'MASTER RECORD'!$B$5:$W$1000,11,0)),"")</f>
        <v/>
      </c>
      <c r="D199" s="35" t="str">
        <f>IFERROR(VLOOKUP(B199,'MASTER RECORD'!$B$5:$W$1000,3,0),"")</f>
        <v/>
      </c>
      <c r="F199" s="35" t="str">
        <f>IFERROR(VLOOKUP(E199,'MASTER RECORD'!$B$5:$W$1000,10,0) &amp;"."&amp;(VLOOKUP(E199,'MASTER RECORD'!$B$5:$W$1000,11,0)),"")</f>
        <v/>
      </c>
      <c r="G199" s="35" t="str">
        <f>IFERROR(VLOOKUP(E199,'MASTER RECORD'!$B$5:$W$1000,3,0),"")</f>
        <v/>
      </c>
      <c r="I199" s="36" t="str">
        <f t="shared" ref="I199:I262" si="10">IF(H199&gt;0,H199+150,"")</f>
        <v/>
      </c>
      <c r="N199" s="36" t="str">
        <f t="shared" ref="N199:N262" si="11">IF(J199&gt;0,J199+60,"")</f>
        <v/>
      </c>
    </row>
    <row r="200" spans="1:14">
      <c r="A200" s="6">
        <f t="shared" si="9"/>
        <v>195</v>
      </c>
      <c r="C200" s="35" t="str">
        <f>IFERROR(VLOOKUP(B200,'MASTER RECORD'!$B$5:$W$1000,10,0) &amp;"."&amp;(VLOOKUP(B200,'MASTER RECORD'!$B$5:$W$1000,11,0)),"")</f>
        <v/>
      </c>
      <c r="D200" s="35" t="str">
        <f>IFERROR(VLOOKUP(B200,'MASTER RECORD'!$B$5:$W$1000,3,0),"")</f>
        <v/>
      </c>
      <c r="F200" s="35" t="str">
        <f>IFERROR(VLOOKUP(E200,'MASTER RECORD'!$B$5:$W$1000,10,0) &amp;"."&amp;(VLOOKUP(E200,'MASTER RECORD'!$B$5:$W$1000,11,0)),"")</f>
        <v/>
      </c>
      <c r="G200" s="35" t="str">
        <f>IFERROR(VLOOKUP(E200,'MASTER RECORD'!$B$5:$W$1000,3,0),"")</f>
        <v/>
      </c>
      <c r="I200" s="36" t="str">
        <f t="shared" si="10"/>
        <v/>
      </c>
      <c r="N200" s="36" t="str">
        <f t="shared" si="11"/>
        <v/>
      </c>
    </row>
    <row r="201" spans="1:14">
      <c r="A201" s="6">
        <f t="shared" si="9"/>
        <v>196</v>
      </c>
      <c r="C201" s="35" t="str">
        <f>IFERROR(VLOOKUP(B201,'MASTER RECORD'!$B$5:$W$1000,10,0) &amp;"."&amp;(VLOOKUP(B201,'MASTER RECORD'!$B$5:$W$1000,11,0)),"")</f>
        <v/>
      </c>
      <c r="D201" s="35" t="str">
        <f>IFERROR(VLOOKUP(B201,'MASTER RECORD'!$B$5:$W$1000,3,0),"")</f>
        <v/>
      </c>
      <c r="F201" s="35" t="str">
        <f>IFERROR(VLOOKUP(E201,'MASTER RECORD'!$B$5:$W$1000,10,0) &amp;"."&amp;(VLOOKUP(E201,'MASTER RECORD'!$B$5:$W$1000,11,0)),"")</f>
        <v/>
      </c>
      <c r="G201" s="35" t="str">
        <f>IFERROR(VLOOKUP(E201,'MASTER RECORD'!$B$5:$W$1000,3,0),"")</f>
        <v/>
      </c>
      <c r="I201" s="36" t="str">
        <f t="shared" si="10"/>
        <v/>
      </c>
      <c r="N201" s="36" t="str">
        <f t="shared" si="11"/>
        <v/>
      </c>
    </row>
    <row r="202" spans="1:14">
      <c r="A202" s="6">
        <f t="shared" si="9"/>
        <v>197</v>
      </c>
      <c r="C202" s="35" t="str">
        <f>IFERROR(VLOOKUP(B202,'MASTER RECORD'!$B$5:$W$1000,10,0) &amp;"."&amp;(VLOOKUP(B202,'MASTER RECORD'!$B$5:$W$1000,11,0)),"")</f>
        <v/>
      </c>
      <c r="D202" s="35" t="str">
        <f>IFERROR(VLOOKUP(B202,'MASTER RECORD'!$B$5:$W$1000,3,0),"")</f>
        <v/>
      </c>
      <c r="F202" s="35" t="str">
        <f>IFERROR(VLOOKUP(E202,'MASTER RECORD'!$B$5:$W$1000,10,0) &amp;"."&amp;(VLOOKUP(E202,'MASTER RECORD'!$B$5:$W$1000,11,0)),"")</f>
        <v/>
      </c>
      <c r="G202" s="35" t="str">
        <f>IFERROR(VLOOKUP(E202,'MASTER RECORD'!$B$5:$W$1000,3,0),"")</f>
        <v/>
      </c>
      <c r="I202" s="36" t="str">
        <f t="shared" si="10"/>
        <v/>
      </c>
      <c r="N202" s="36" t="str">
        <f t="shared" si="11"/>
        <v/>
      </c>
    </row>
    <row r="203" spans="1:14">
      <c r="A203" s="6">
        <f t="shared" si="9"/>
        <v>198</v>
      </c>
      <c r="C203" s="35" t="str">
        <f>IFERROR(VLOOKUP(B203,'MASTER RECORD'!$B$5:$W$1000,10,0) &amp;"."&amp;(VLOOKUP(B203,'MASTER RECORD'!$B$5:$W$1000,11,0)),"")</f>
        <v/>
      </c>
      <c r="D203" s="35" t="str">
        <f>IFERROR(VLOOKUP(B203,'MASTER RECORD'!$B$5:$W$1000,3,0),"")</f>
        <v/>
      </c>
      <c r="F203" s="35" t="str">
        <f>IFERROR(VLOOKUP(E203,'MASTER RECORD'!$B$5:$W$1000,10,0) &amp;"."&amp;(VLOOKUP(E203,'MASTER RECORD'!$B$5:$W$1000,11,0)),"")</f>
        <v/>
      </c>
      <c r="G203" s="35" t="str">
        <f>IFERROR(VLOOKUP(E203,'MASTER RECORD'!$B$5:$W$1000,3,0),"")</f>
        <v/>
      </c>
      <c r="I203" s="36" t="str">
        <f t="shared" si="10"/>
        <v/>
      </c>
      <c r="N203" s="36" t="str">
        <f t="shared" si="11"/>
        <v/>
      </c>
    </row>
    <row r="204" spans="1:14">
      <c r="A204" s="6">
        <f t="shared" si="9"/>
        <v>199</v>
      </c>
      <c r="C204" s="35" t="str">
        <f>IFERROR(VLOOKUP(B204,'MASTER RECORD'!$B$5:$W$1000,10,0) &amp;"."&amp;(VLOOKUP(B204,'MASTER RECORD'!$B$5:$W$1000,11,0)),"")</f>
        <v/>
      </c>
      <c r="D204" s="35" t="str">
        <f>IFERROR(VLOOKUP(B204,'MASTER RECORD'!$B$5:$W$1000,3,0),"")</f>
        <v/>
      </c>
      <c r="F204" s="35" t="str">
        <f>IFERROR(VLOOKUP(E204,'MASTER RECORD'!$B$5:$W$1000,10,0) &amp;"."&amp;(VLOOKUP(E204,'MASTER RECORD'!$B$5:$W$1000,11,0)),"")</f>
        <v/>
      </c>
      <c r="G204" s="35" t="str">
        <f>IFERROR(VLOOKUP(E204,'MASTER RECORD'!$B$5:$W$1000,3,0),"")</f>
        <v/>
      </c>
      <c r="I204" s="36" t="str">
        <f t="shared" si="10"/>
        <v/>
      </c>
      <c r="N204" s="36" t="str">
        <f t="shared" si="11"/>
        <v/>
      </c>
    </row>
    <row r="205" spans="1:14">
      <c r="A205" s="6">
        <f t="shared" si="9"/>
        <v>200</v>
      </c>
      <c r="C205" s="35" t="str">
        <f>IFERROR(VLOOKUP(B205,'MASTER RECORD'!$B$5:$W$1000,10,0) &amp;"."&amp;(VLOOKUP(B205,'MASTER RECORD'!$B$5:$W$1000,11,0)),"")</f>
        <v/>
      </c>
      <c r="D205" s="35" t="str">
        <f>IFERROR(VLOOKUP(B205,'MASTER RECORD'!$B$5:$W$1000,3,0),"")</f>
        <v/>
      </c>
      <c r="F205" s="35" t="str">
        <f>IFERROR(VLOOKUP(E205,'MASTER RECORD'!$B$5:$W$1000,10,0) &amp;"."&amp;(VLOOKUP(E205,'MASTER RECORD'!$B$5:$W$1000,11,0)),"")</f>
        <v/>
      </c>
      <c r="G205" s="35" t="str">
        <f>IFERROR(VLOOKUP(E205,'MASTER RECORD'!$B$5:$W$1000,3,0),"")</f>
        <v/>
      </c>
      <c r="I205" s="36" t="str">
        <f t="shared" si="10"/>
        <v/>
      </c>
      <c r="N205" s="36" t="str">
        <f t="shared" si="11"/>
        <v/>
      </c>
    </row>
    <row r="206" spans="1:14">
      <c r="A206" s="6">
        <f t="shared" si="9"/>
        <v>201</v>
      </c>
      <c r="C206" s="35" t="str">
        <f>IFERROR(VLOOKUP(B206,'MASTER RECORD'!$B$5:$W$1000,10,0) &amp;"."&amp;(VLOOKUP(B206,'MASTER RECORD'!$B$5:$W$1000,11,0)),"")</f>
        <v/>
      </c>
      <c r="D206" s="35" t="str">
        <f>IFERROR(VLOOKUP(B206,'MASTER RECORD'!$B$5:$W$1000,3,0),"")</f>
        <v/>
      </c>
      <c r="F206" s="35" t="str">
        <f>IFERROR(VLOOKUP(E206,'MASTER RECORD'!$B$5:$W$1000,10,0) &amp;"."&amp;(VLOOKUP(E206,'MASTER RECORD'!$B$5:$W$1000,11,0)),"")</f>
        <v/>
      </c>
      <c r="G206" s="35" t="str">
        <f>IFERROR(VLOOKUP(E206,'MASTER RECORD'!$B$5:$W$1000,3,0),"")</f>
        <v/>
      </c>
      <c r="I206" s="36" t="str">
        <f t="shared" si="10"/>
        <v/>
      </c>
      <c r="N206" s="36" t="str">
        <f t="shared" si="11"/>
        <v/>
      </c>
    </row>
    <row r="207" spans="1:14">
      <c r="A207" s="6">
        <f t="shared" si="9"/>
        <v>202</v>
      </c>
      <c r="C207" s="35" t="str">
        <f>IFERROR(VLOOKUP(B207,'MASTER RECORD'!$B$5:$W$1000,10,0) &amp;"."&amp;(VLOOKUP(B207,'MASTER RECORD'!$B$5:$W$1000,11,0)),"")</f>
        <v/>
      </c>
      <c r="D207" s="35" t="str">
        <f>IFERROR(VLOOKUP(B207,'MASTER RECORD'!$B$5:$W$1000,3,0),"")</f>
        <v/>
      </c>
      <c r="F207" s="35" t="str">
        <f>IFERROR(VLOOKUP(E207,'MASTER RECORD'!$B$5:$W$1000,10,0) &amp;"."&amp;(VLOOKUP(E207,'MASTER RECORD'!$B$5:$W$1000,11,0)),"")</f>
        <v/>
      </c>
      <c r="G207" s="35" t="str">
        <f>IFERROR(VLOOKUP(E207,'MASTER RECORD'!$B$5:$W$1000,3,0),"")</f>
        <v/>
      </c>
      <c r="I207" s="36" t="str">
        <f t="shared" si="10"/>
        <v/>
      </c>
      <c r="N207" s="36" t="str">
        <f t="shared" si="11"/>
        <v/>
      </c>
    </row>
    <row r="208" spans="1:14">
      <c r="A208" s="6">
        <f t="shared" si="9"/>
        <v>203</v>
      </c>
      <c r="C208" s="35" t="str">
        <f>IFERROR(VLOOKUP(B208,'MASTER RECORD'!$B$5:$W$1000,10,0) &amp;"."&amp;(VLOOKUP(B208,'MASTER RECORD'!$B$5:$W$1000,11,0)),"")</f>
        <v/>
      </c>
      <c r="D208" s="35" t="str">
        <f>IFERROR(VLOOKUP(B208,'MASTER RECORD'!$B$5:$W$1000,3,0),"")</f>
        <v/>
      </c>
      <c r="F208" s="35" t="str">
        <f>IFERROR(VLOOKUP(E208,'MASTER RECORD'!$B$5:$W$1000,10,0) &amp;"."&amp;(VLOOKUP(E208,'MASTER RECORD'!$B$5:$W$1000,11,0)),"")</f>
        <v/>
      </c>
      <c r="G208" s="35" t="str">
        <f>IFERROR(VLOOKUP(E208,'MASTER RECORD'!$B$5:$W$1000,3,0),"")</f>
        <v/>
      </c>
      <c r="I208" s="36" t="str">
        <f t="shared" si="10"/>
        <v/>
      </c>
      <c r="N208" s="36" t="str">
        <f t="shared" si="11"/>
        <v/>
      </c>
    </row>
    <row r="209" spans="1:14">
      <c r="A209" s="6">
        <f t="shared" si="9"/>
        <v>204</v>
      </c>
      <c r="C209" s="35" t="str">
        <f>IFERROR(VLOOKUP(B209,'MASTER RECORD'!$B$5:$W$1000,10,0) &amp;"."&amp;(VLOOKUP(B209,'MASTER RECORD'!$B$5:$W$1000,11,0)),"")</f>
        <v/>
      </c>
      <c r="D209" s="35" t="str">
        <f>IFERROR(VLOOKUP(B209,'MASTER RECORD'!$B$5:$W$1000,3,0),"")</f>
        <v/>
      </c>
      <c r="F209" s="35" t="str">
        <f>IFERROR(VLOOKUP(E209,'MASTER RECORD'!$B$5:$W$1000,10,0) &amp;"."&amp;(VLOOKUP(E209,'MASTER RECORD'!$B$5:$W$1000,11,0)),"")</f>
        <v/>
      </c>
      <c r="G209" s="35" t="str">
        <f>IFERROR(VLOOKUP(E209,'MASTER RECORD'!$B$5:$W$1000,3,0),"")</f>
        <v/>
      </c>
      <c r="I209" s="36" t="str">
        <f t="shared" si="10"/>
        <v/>
      </c>
      <c r="N209" s="36" t="str">
        <f t="shared" si="11"/>
        <v/>
      </c>
    </row>
    <row r="210" spans="1:14">
      <c r="A210" s="6">
        <f t="shared" si="9"/>
        <v>205</v>
      </c>
      <c r="C210" s="35" t="str">
        <f>IFERROR(VLOOKUP(B210,'MASTER RECORD'!$B$5:$W$1000,10,0) &amp;"."&amp;(VLOOKUP(B210,'MASTER RECORD'!$B$5:$W$1000,11,0)),"")</f>
        <v/>
      </c>
      <c r="D210" s="35" t="str">
        <f>IFERROR(VLOOKUP(B210,'MASTER RECORD'!$B$5:$W$1000,3,0),"")</f>
        <v/>
      </c>
      <c r="F210" s="35" t="str">
        <f>IFERROR(VLOOKUP(E210,'MASTER RECORD'!$B$5:$W$1000,10,0) &amp;"."&amp;(VLOOKUP(E210,'MASTER RECORD'!$B$5:$W$1000,11,0)),"")</f>
        <v/>
      </c>
      <c r="G210" s="35" t="str">
        <f>IFERROR(VLOOKUP(E210,'MASTER RECORD'!$B$5:$W$1000,3,0),"")</f>
        <v/>
      </c>
      <c r="I210" s="36" t="str">
        <f t="shared" si="10"/>
        <v/>
      </c>
      <c r="N210" s="36" t="str">
        <f t="shared" si="11"/>
        <v/>
      </c>
    </row>
    <row r="211" spans="1:14">
      <c r="A211" s="6">
        <f t="shared" si="9"/>
        <v>206</v>
      </c>
      <c r="C211" s="35" t="str">
        <f>IFERROR(VLOOKUP(B211,'MASTER RECORD'!$B$5:$W$1000,10,0) &amp;"."&amp;(VLOOKUP(B211,'MASTER RECORD'!$B$5:$W$1000,11,0)),"")</f>
        <v/>
      </c>
      <c r="D211" s="35" t="str">
        <f>IFERROR(VLOOKUP(B211,'MASTER RECORD'!$B$5:$W$1000,3,0),"")</f>
        <v/>
      </c>
      <c r="F211" s="35" t="str">
        <f>IFERROR(VLOOKUP(E211,'MASTER RECORD'!$B$5:$W$1000,10,0) &amp;"."&amp;(VLOOKUP(E211,'MASTER RECORD'!$B$5:$W$1000,11,0)),"")</f>
        <v/>
      </c>
      <c r="G211" s="35" t="str">
        <f>IFERROR(VLOOKUP(E211,'MASTER RECORD'!$B$5:$W$1000,3,0),"")</f>
        <v/>
      </c>
      <c r="I211" s="36" t="str">
        <f t="shared" si="10"/>
        <v/>
      </c>
      <c r="N211" s="36" t="str">
        <f t="shared" si="11"/>
        <v/>
      </c>
    </row>
    <row r="212" spans="1:14">
      <c r="A212" s="6">
        <f t="shared" si="9"/>
        <v>207</v>
      </c>
      <c r="C212" s="35" t="str">
        <f>IFERROR(VLOOKUP(B212,'MASTER RECORD'!$B$5:$W$1000,10,0) &amp;"."&amp;(VLOOKUP(B212,'MASTER RECORD'!$B$5:$W$1000,11,0)),"")</f>
        <v/>
      </c>
      <c r="D212" s="35" t="str">
        <f>IFERROR(VLOOKUP(B212,'MASTER RECORD'!$B$5:$W$1000,3,0),"")</f>
        <v/>
      </c>
      <c r="F212" s="35" t="str">
        <f>IFERROR(VLOOKUP(E212,'MASTER RECORD'!$B$5:$W$1000,10,0) &amp;"."&amp;(VLOOKUP(E212,'MASTER RECORD'!$B$5:$W$1000,11,0)),"")</f>
        <v/>
      </c>
      <c r="G212" s="35" t="str">
        <f>IFERROR(VLOOKUP(E212,'MASTER RECORD'!$B$5:$W$1000,3,0),"")</f>
        <v/>
      </c>
      <c r="I212" s="36" t="str">
        <f t="shared" si="10"/>
        <v/>
      </c>
      <c r="N212" s="36" t="str">
        <f t="shared" si="11"/>
        <v/>
      </c>
    </row>
    <row r="213" spans="1:14">
      <c r="A213" s="6">
        <f t="shared" si="9"/>
        <v>208</v>
      </c>
      <c r="C213" s="35" t="str">
        <f>IFERROR(VLOOKUP(B213,'MASTER RECORD'!$B$5:$W$1000,10,0) &amp;"."&amp;(VLOOKUP(B213,'MASTER RECORD'!$B$5:$W$1000,11,0)),"")</f>
        <v/>
      </c>
      <c r="D213" s="35" t="str">
        <f>IFERROR(VLOOKUP(B213,'MASTER RECORD'!$B$5:$W$1000,3,0),"")</f>
        <v/>
      </c>
      <c r="F213" s="35" t="str">
        <f>IFERROR(VLOOKUP(E213,'MASTER RECORD'!$B$5:$W$1000,10,0) &amp;"."&amp;(VLOOKUP(E213,'MASTER RECORD'!$B$5:$W$1000,11,0)),"")</f>
        <v/>
      </c>
      <c r="G213" s="35" t="str">
        <f>IFERROR(VLOOKUP(E213,'MASTER RECORD'!$B$5:$W$1000,3,0),"")</f>
        <v/>
      </c>
      <c r="I213" s="36" t="str">
        <f t="shared" si="10"/>
        <v/>
      </c>
      <c r="N213" s="36" t="str">
        <f t="shared" si="11"/>
        <v/>
      </c>
    </row>
    <row r="214" spans="1:14">
      <c r="A214" s="6">
        <f t="shared" si="9"/>
        <v>209</v>
      </c>
      <c r="C214" s="35" t="str">
        <f>IFERROR(VLOOKUP(B214,'MASTER RECORD'!$B$5:$W$1000,10,0) &amp;"."&amp;(VLOOKUP(B214,'MASTER RECORD'!$B$5:$W$1000,11,0)),"")</f>
        <v/>
      </c>
      <c r="D214" s="35" t="str">
        <f>IFERROR(VLOOKUP(B214,'MASTER RECORD'!$B$5:$W$1000,3,0),"")</f>
        <v/>
      </c>
      <c r="F214" s="35" t="str">
        <f>IFERROR(VLOOKUP(E214,'MASTER RECORD'!$B$5:$W$1000,10,0) &amp;"."&amp;(VLOOKUP(E214,'MASTER RECORD'!$B$5:$W$1000,11,0)),"")</f>
        <v/>
      </c>
      <c r="G214" s="35" t="str">
        <f>IFERROR(VLOOKUP(E214,'MASTER RECORD'!$B$5:$W$1000,3,0),"")</f>
        <v/>
      </c>
      <c r="I214" s="36" t="str">
        <f t="shared" si="10"/>
        <v/>
      </c>
      <c r="N214" s="36" t="str">
        <f t="shared" si="11"/>
        <v/>
      </c>
    </row>
    <row r="215" spans="1:14">
      <c r="A215" s="6">
        <f t="shared" si="9"/>
        <v>210</v>
      </c>
      <c r="C215" s="35" t="str">
        <f>IFERROR(VLOOKUP(B215,'MASTER RECORD'!$B$5:$W$1000,10,0) &amp;"."&amp;(VLOOKUP(B215,'MASTER RECORD'!$B$5:$W$1000,11,0)),"")</f>
        <v/>
      </c>
      <c r="D215" s="35" t="str">
        <f>IFERROR(VLOOKUP(B215,'MASTER RECORD'!$B$5:$W$1000,3,0),"")</f>
        <v/>
      </c>
      <c r="F215" s="35" t="str">
        <f>IFERROR(VLOOKUP(E215,'MASTER RECORD'!$B$5:$W$1000,10,0) &amp;"."&amp;(VLOOKUP(E215,'MASTER RECORD'!$B$5:$W$1000,11,0)),"")</f>
        <v/>
      </c>
      <c r="G215" s="35" t="str">
        <f>IFERROR(VLOOKUP(E215,'MASTER RECORD'!$B$5:$W$1000,3,0),"")</f>
        <v/>
      </c>
      <c r="I215" s="36" t="str">
        <f t="shared" si="10"/>
        <v/>
      </c>
      <c r="N215" s="36" t="str">
        <f t="shared" si="11"/>
        <v/>
      </c>
    </row>
    <row r="216" spans="1:14">
      <c r="A216" s="6">
        <f t="shared" si="9"/>
        <v>211</v>
      </c>
      <c r="C216" s="35" t="str">
        <f>IFERROR(VLOOKUP(B216,'MASTER RECORD'!$B$5:$W$1000,10,0) &amp;"."&amp;(VLOOKUP(B216,'MASTER RECORD'!$B$5:$W$1000,11,0)),"")</f>
        <v/>
      </c>
      <c r="D216" s="35" t="str">
        <f>IFERROR(VLOOKUP(B216,'MASTER RECORD'!$B$5:$W$1000,3,0),"")</f>
        <v/>
      </c>
      <c r="F216" s="35" t="str">
        <f>IFERROR(VLOOKUP(E216,'MASTER RECORD'!$B$5:$W$1000,10,0) &amp;"."&amp;(VLOOKUP(E216,'MASTER RECORD'!$B$5:$W$1000,11,0)),"")</f>
        <v/>
      </c>
      <c r="G216" s="35" t="str">
        <f>IFERROR(VLOOKUP(E216,'MASTER RECORD'!$B$5:$W$1000,3,0),"")</f>
        <v/>
      </c>
      <c r="I216" s="36" t="str">
        <f t="shared" si="10"/>
        <v/>
      </c>
      <c r="N216" s="36" t="str">
        <f t="shared" si="11"/>
        <v/>
      </c>
    </row>
    <row r="217" spans="1:14">
      <c r="A217" s="6">
        <f t="shared" si="9"/>
        <v>212</v>
      </c>
      <c r="C217" s="35" t="str">
        <f>IFERROR(VLOOKUP(B217,'MASTER RECORD'!$B$5:$W$1000,10,0) &amp;"."&amp;(VLOOKUP(B217,'MASTER RECORD'!$B$5:$W$1000,11,0)),"")</f>
        <v/>
      </c>
      <c r="D217" s="35" t="str">
        <f>IFERROR(VLOOKUP(B217,'MASTER RECORD'!$B$5:$W$1000,3,0),"")</f>
        <v/>
      </c>
      <c r="F217" s="35" t="str">
        <f>IFERROR(VLOOKUP(E217,'MASTER RECORD'!$B$5:$W$1000,10,0) &amp;"."&amp;(VLOOKUP(E217,'MASTER RECORD'!$B$5:$W$1000,11,0)),"")</f>
        <v/>
      </c>
      <c r="G217" s="35" t="str">
        <f>IFERROR(VLOOKUP(E217,'MASTER RECORD'!$B$5:$W$1000,3,0),"")</f>
        <v/>
      </c>
      <c r="I217" s="36" t="str">
        <f t="shared" si="10"/>
        <v/>
      </c>
      <c r="N217" s="36" t="str">
        <f t="shared" si="11"/>
        <v/>
      </c>
    </row>
    <row r="218" spans="1:14">
      <c r="A218" s="6">
        <f t="shared" si="9"/>
        <v>213</v>
      </c>
      <c r="C218" s="35" t="str">
        <f>IFERROR(VLOOKUP(B218,'MASTER RECORD'!$B$5:$W$1000,10,0) &amp;"."&amp;(VLOOKUP(B218,'MASTER RECORD'!$B$5:$W$1000,11,0)),"")</f>
        <v/>
      </c>
      <c r="D218" s="35" t="str">
        <f>IFERROR(VLOOKUP(B218,'MASTER RECORD'!$B$5:$W$1000,3,0),"")</f>
        <v/>
      </c>
      <c r="F218" s="35" t="str">
        <f>IFERROR(VLOOKUP(E218,'MASTER RECORD'!$B$5:$W$1000,10,0) &amp;"."&amp;(VLOOKUP(E218,'MASTER RECORD'!$B$5:$W$1000,11,0)),"")</f>
        <v/>
      </c>
      <c r="G218" s="35" t="str">
        <f>IFERROR(VLOOKUP(E218,'MASTER RECORD'!$B$5:$W$1000,3,0),"")</f>
        <v/>
      </c>
      <c r="I218" s="36" t="str">
        <f t="shared" si="10"/>
        <v/>
      </c>
      <c r="N218" s="36" t="str">
        <f t="shared" si="11"/>
        <v/>
      </c>
    </row>
    <row r="219" spans="1:14">
      <c r="A219" s="6">
        <f t="shared" si="9"/>
        <v>214</v>
      </c>
      <c r="C219" s="35" t="str">
        <f>IFERROR(VLOOKUP(B219,'MASTER RECORD'!$B$5:$W$1000,10,0) &amp;"."&amp;(VLOOKUP(B219,'MASTER RECORD'!$B$5:$W$1000,11,0)),"")</f>
        <v/>
      </c>
      <c r="D219" s="35" t="str">
        <f>IFERROR(VLOOKUP(B219,'MASTER RECORD'!$B$5:$W$1000,3,0),"")</f>
        <v/>
      </c>
      <c r="F219" s="35" t="str">
        <f>IFERROR(VLOOKUP(E219,'MASTER RECORD'!$B$5:$W$1000,10,0) &amp;"."&amp;(VLOOKUP(E219,'MASTER RECORD'!$B$5:$W$1000,11,0)),"")</f>
        <v/>
      </c>
      <c r="G219" s="35" t="str">
        <f>IFERROR(VLOOKUP(E219,'MASTER RECORD'!$B$5:$W$1000,3,0),"")</f>
        <v/>
      </c>
      <c r="I219" s="36" t="str">
        <f t="shared" si="10"/>
        <v/>
      </c>
      <c r="N219" s="36" t="str">
        <f t="shared" si="11"/>
        <v/>
      </c>
    </row>
    <row r="220" spans="1:14">
      <c r="A220" s="6">
        <f t="shared" si="9"/>
        <v>215</v>
      </c>
      <c r="C220" s="35" t="str">
        <f>IFERROR(VLOOKUP(B220,'MASTER RECORD'!$B$5:$W$1000,10,0) &amp;"."&amp;(VLOOKUP(B220,'MASTER RECORD'!$B$5:$W$1000,11,0)),"")</f>
        <v/>
      </c>
      <c r="D220" s="35" t="str">
        <f>IFERROR(VLOOKUP(B220,'MASTER RECORD'!$B$5:$W$1000,3,0),"")</f>
        <v/>
      </c>
      <c r="F220" s="35" t="str">
        <f>IFERROR(VLOOKUP(E220,'MASTER RECORD'!$B$5:$W$1000,10,0) &amp;"."&amp;(VLOOKUP(E220,'MASTER RECORD'!$B$5:$W$1000,11,0)),"")</f>
        <v/>
      </c>
      <c r="G220" s="35" t="str">
        <f>IFERROR(VLOOKUP(E220,'MASTER RECORD'!$B$5:$W$1000,3,0),"")</f>
        <v/>
      </c>
      <c r="I220" s="36" t="str">
        <f t="shared" si="10"/>
        <v/>
      </c>
      <c r="N220" s="36" t="str">
        <f t="shared" si="11"/>
        <v/>
      </c>
    </row>
    <row r="221" spans="1:14">
      <c r="A221" s="6">
        <f t="shared" si="9"/>
        <v>216</v>
      </c>
      <c r="C221" s="35" t="str">
        <f>IFERROR(VLOOKUP(B221,'MASTER RECORD'!$B$5:$W$1000,10,0) &amp;"."&amp;(VLOOKUP(B221,'MASTER RECORD'!$B$5:$W$1000,11,0)),"")</f>
        <v/>
      </c>
      <c r="D221" s="35" t="str">
        <f>IFERROR(VLOOKUP(B221,'MASTER RECORD'!$B$5:$W$1000,3,0),"")</f>
        <v/>
      </c>
      <c r="F221" s="35" t="str">
        <f>IFERROR(VLOOKUP(E221,'MASTER RECORD'!$B$5:$W$1000,10,0) &amp;"."&amp;(VLOOKUP(E221,'MASTER RECORD'!$B$5:$W$1000,11,0)),"")</f>
        <v/>
      </c>
      <c r="G221" s="35" t="str">
        <f>IFERROR(VLOOKUP(E221,'MASTER RECORD'!$B$5:$W$1000,3,0),"")</f>
        <v/>
      </c>
      <c r="I221" s="36" t="str">
        <f t="shared" si="10"/>
        <v/>
      </c>
      <c r="N221" s="36" t="str">
        <f t="shared" si="11"/>
        <v/>
      </c>
    </row>
    <row r="222" spans="1:14">
      <c r="A222" s="6">
        <f t="shared" si="9"/>
        <v>217</v>
      </c>
      <c r="C222" s="35" t="str">
        <f>IFERROR(VLOOKUP(B222,'MASTER RECORD'!$B$5:$W$1000,10,0) &amp;"."&amp;(VLOOKUP(B222,'MASTER RECORD'!$B$5:$W$1000,11,0)),"")</f>
        <v/>
      </c>
      <c r="D222" s="35" t="str">
        <f>IFERROR(VLOOKUP(B222,'MASTER RECORD'!$B$5:$W$1000,3,0),"")</f>
        <v/>
      </c>
      <c r="F222" s="35" t="str">
        <f>IFERROR(VLOOKUP(E222,'MASTER RECORD'!$B$5:$W$1000,10,0) &amp;"."&amp;(VLOOKUP(E222,'MASTER RECORD'!$B$5:$W$1000,11,0)),"")</f>
        <v/>
      </c>
      <c r="G222" s="35" t="str">
        <f>IFERROR(VLOOKUP(E222,'MASTER RECORD'!$B$5:$W$1000,3,0),"")</f>
        <v/>
      </c>
      <c r="I222" s="36" t="str">
        <f t="shared" si="10"/>
        <v/>
      </c>
      <c r="N222" s="36" t="str">
        <f t="shared" si="11"/>
        <v/>
      </c>
    </row>
    <row r="223" spans="1:14">
      <c r="A223" s="6">
        <f t="shared" si="9"/>
        <v>218</v>
      </c>
      <c r="C223" s="35" t="str">
        <f>IFERROR(VLOOKUP(B223,'MASTER RECORD'!$B$5:$W$1000,10,0) &amp;"."&amp;(VLOOKUP(B223,'MASTER RECORD'!$B$5:$W$1000,11,0)),"")</f>
        <v/>
      </c>
      <c r="D223" s="35" t="str">
        <f>IFERROR(VLOOKUP(B223,'MASTER RECORD'!$B$5:$W$1000,3,0),"")</f>
        <v/>
      </c>
      <c r="F223" s="35" t="str">
        <f>IFERROR(VLOOKUP(E223,'MASTER RECORD'!$B$5:$W$1000,10,0) &amp;"."&amp;(VLOOKUP(E223,'MASTER RECORD'!$B$5:$W$1000,11,0)),"")</f>
        <v/>
      </c>
      <c r="G223" s="35" t="str">
        <f>IFERROR(VLOOKUP(E223,'MASTER RECORD'!$B$5:$W$1000,3,0),"")</f>
        <v/>
      </c>
      <c r="I223" s="36" t="str">
        <f t="shared" si="10"/>
        <v/>
      </c>
      <c r="N223" s="36" t="str">
        <f t="shared" si="11"/>
        <v/>
      </c>
    </row>
    <row r="224" spans="1:14">
      <c r="A224" s="6">
        <f t="shared" si="9"/>
        <v>219</v>
      </c>
      <c r="C224" s="35" t="str">
        <f>IFERROR(VLOOKUP(B224,'MASTER RECORD'!$B$5:$W$1000,10,0) &amp;"."&amp;(VLOOKUP(B224,'MASTER RECORD'!$B$5:$W$1000,11,0)),"")</f>
        <v/>
      </c>
      <c r="D224" s="35" t="str">
        <f>IFERROR(VLOOKUP(B224,'MASTER RECORD'!$B$5:$W$1000,3,0),"")</f>
        <v/>
      </c>
      <c r="F224" s="35" t="str">
        <f>IFERROR(VLOOKUP(E224,'MASTER RECORD'!$B$5:$W$1000,10,0) &amp;"."&amp;(VLOOKUP(E224,'MASTER RECORD'!$B$5:$W$1000,11,0)),"")</f>
        <v/>
      </c>
      <c r="G224" s="35" t="str">
        <f>IFERROR(VLOOKUP(E224,'MASTER RECORD'!$B$5:$W$1000,3,0),"")</f>
        <v/>
      </c>
      <c r="I224" s="36" t="str">
        <f t="shared" si="10"/>
        <v/>
      </c>
      <c r="N224" s="36" t="str">
        <f t="shared" si="11"/>
        <v/>
      </c>
    </row>
    <row r="225" spans="1:14">
      <c r="A225" s="6">
        <f t="shared" si="9"/>
        <v>220</v>
      </c>
      <c r="C225" s="35" t="str">
        <f>IFERROR(VLOOKUP(B225,'MASTER RECORD'!$B$5:$W$1000,10,0) &amp;"."&amp;(VLOOKUP(B225,'MASTER RECORD'!$B$5:$W$1000,11,0)),"")</f>
        <v/>
      </c>
      <c r="D225" s="35" t="str">
        <f>IFERROR(VLOOKUP(B225,'MASTER RECORD'!$B$5:$W$1000,3,0),"")</f>
        <v/>
      </c>
      <c r="F225" s="35" t="str">
        <f>IFERROR(VLOOKUP(E225,'MASTER RECORD'!$B$5:$W$1000,10,0) &amp;"."&amp;(VLOOKUP(E225,'MASTER RECORD'!$B$5:$W$1000,11,0)),"")</f>
        <v/>
      </c>
      <c r="G225" s="35" t="str">
        <f>IFERROR(VLOOKUP(E225,'MASTER RECORD'!$B$5:$W$1000,3,0),"")</f>
        <v/>
      </c>
      <c r="I225" s="36" t="str">
        <f t="shared" si="10"/>
        <v/>
      </c>
      <c r="N225" s="36" t="str">
        <f t="shared" si="11"/>
        <v/>
      </c>
    </row>
    <row r="226" spans="1:14">
      <c r="A226" s="6">
        <f t="shared" si="9"/>
        <v>221</v>
      </c>
      <c r="C226" s="35" t="str">
        <f>IFERROR(VLOOKUP(B226,'MASTER RECORD'!$B$5:$W$1000,10,0) &amp;"."&amp;(VLOOKUP(B226,'MASTER RECORD'!$B$5:$W$1000,11,0)),"")</f>
        <v/>
      </c>
      <c r="D226" s="35" t="str">
        <f>IFERROR(VLOOKUP(B226,'MASTER RECORD'!$B$5:$W$1000,3,0),"")</f>
        <v/>
      </c>
      <c r="F226" s="35" t="str">
        <f>IFERROR(VLOOKUP(E226,'MASTER RECORD'!$B$5:$W$1000,10,0) &amp;"."&amp;(VLOOKUP(E226,'MASTER RECORD'!$B$5:$W$1000,11,0)),"")</f>
        <v/>
      </c>
      <c r="G226" s="35" t="str">
        <f>IFERROR(VLOOKUP(E226,'MASTER RECORD'!$B$5:$W$1000,3,0),"")</f>
        <v/>
      </c>
      <c r="I226" s="36" t="str">
        <f t="shared" si="10"/>
        <v/>
      </c>
      <c r="N226" s="36" t="str">
        <f t="shared" si="11"/>
        <v/>
      </c>
    </row>
    <row r="227" spans="1:14">
      <c r="A227" s="6">
        <f t="shared" si="9"/>
        <v>222</v>
      </c>
      <c r="C227" s="35" t="str">
        <f>IFERROR(VLOOKUP(B227,'MASTER RECORD'!$B$5:$W$1000,10,0) &amp;"."&amp;(VLOOKUP(B227,'MASTER RECORD'!$B$5:$W$1000,11,0)),"")</f>
        <v/>
      </c>
      <c r="D227" s="35" t="str">
        <f>IFERROR(VLOOKUP(B227,'MASTER RECORD'!$B$5:$W$1000,3,0),"")</f>
        <v/>
      </c>
      <c r="F227" s="35" t="str">
        <f>IFERROR(VLOOKUP(E227,'MASTER RECORD'!$B$5:$W$1000,10,0) &amp;"."&amp;(VLOOKUP(E227,'MASTER RECORD'!$B$5:$W$1000,11,0)),"")</f>
        <v/>
      </c>
      <c r="G227" s="35" t="str">
        <f>IFERROR(VLOOKUP(E227,'MASTER RECORD'!$B$5:$W$1000,3,0),"")</f>
        <v/>
      </c>
      <c r="I227" s="36" t="str">
        <f t="shared" si="10"/>
        <v/>
      </c>
      <c r="N227" s="36" t="str">
        <f t="shared" si="11"/>
        <v/>
      </c>
    </row>
    <row r="228" spans="1:14">
      <c r="A228" s="6">
        <f t="shared" si="9"/>
        <v>223</v>
      </c>
      <c r="C228" s="35" t="str">
        <f>IFERROR(VLOOKUP(B228,'MASTER RECORD'!$B$5:$W$1000,10,0) &amp;"."&amp;(VLOOKUP(B228,'MASTER RECORD'!$B$5:$W$1000,11,0)),"")</f>
        <v/>
      </c>
      <c r="D228" s="35" t="str">
        <f>IFERROR(VLOOKUP(B228,'MASTER RECORD'!$B$5:$W$1000,3,0),"")</f>
        <v/>
      </c>
      <c r="F228" s="35" t="str">
        <f>IFERROR(VLOOKUP(E228,'MASTER RECORD'!$B$5:$W$1000,10,0) &amp;"."&amp;(VLOOKUP(E228,'MASTER RECORD'!$B$5:$W$1000,11,0)),"")</f>
        <v/>
      </c>
      <c r="G228" s="35" t="str">
        <f>IFERROR(VLOOKUP(E228,'MASTER RECORD'!$B$5:$W$1000,3,0),"")</f>
        <v/>
      </c>
      <c r="I228" s="36" t="str">
        <f t="shared" si="10"/>
        <v/>
      </c>
      <c r="N228" s="36" t="str">
        <f t="shared" si="11"/>
        <v/>
      </c>
    </row>
    <row r="229" spans="1:14">
      <c r="A229" s="6">
        <f t="shared" si="9"/>
        <v>224</v>
      </c>
      <c r="C229" s="35" t="str">
        <f>IFERROR(VLOOKUP(B229,'MASTER RECORD'!$B$5:$W$1000,10,0) &amp;"."&amp;(VLOOKUP(B229,'MASTER RECORD'!$B$5:$W$1000,11,0)),"")</f>
        <v/>
      </c>
      <c r="D229" s="35" t="str">
        <f>IFERROR(VLOOKUP(B229,'MASTER RECORD'!$B$5:$W$1000,3,0),"")</f>
        <v/>
      </c>
      <c r="F229" s="35" t="str">
        <f>IFERROR(VLOOKUP(E229,'MASTER RECORD'!$B$5:$W$1000,10,0) &amp;"."&amp;(VLOOKUP(E229,'MASTER RECORD'!$B$5:$W$1000,11,0)),"")</f>
        <v/>
      </c>
      <c r="G229" s="35" t="str">
        <f>IFERROR(VLOOKUP(E229,'MASTER RECORD'!$B$5:$W$1000,3,0),"")</f>
        <v/>
      </c>
      <c r="I229" s="36" t="str">
        <f t="shared" si="10"/>
        <v/>
      </c>
      <c r="N229" s="36" t="str">
        <f t="shared" si="11"/>
        <v/>
      </c>
    </row>
    <row r="230" spans="1:14">
      <c r="A230" s="6">
        <f t="shared" si="9"/>
        <v>225</v>
      </c>
      <c r="C230" s="35" t="str">
        <f>IFERROR(VLOOKUP(B230,'MASTER RECORD'!$B$5:$W$1000,10,0) &amp;"."&amp;(VLOOKUP(B230,'MASTER RECORD'!$B$5:$W$1000,11,0)),"")</f>
        <v/>
      </c>
      <c r="D230" s="35" t="str">
        <f>IFERROR(VLOOKUP(B230,'MASTER RECORD'!$B$5:$W$1000,3,0),"")</f>
        <v/>
      </c>
      <c r="F230" s="35" t="str">
        <f>IFERROR(VLOOKUP(E230,'MASTER RECORD'!$B$5:$W$1000,10,0) &amp;"."&amp;(VLOOKUP(E230,'MASTER RECORD'!$B$5:$W$1000,11,0)),"")</f>
        <v/>
      </c>
      <c r="G230" s="35" t="str">
        <f>IFERROR(VLOOKUP(E230,'MASTER RECORD'!$B$5:$W$1000,3,0),"")</f>
        <v/>
      </c>
      <c r="I230" s="36" t="str">
        <f t="shared" si="10"/>
        <v/>
      </c>
      <c r="N230" s="36" t="str">
        <f t="shared" si="11"/>
        <v/>
      </c>
    </row>
    <row r="231" spans="1:14">
      <c r="A231" s="6">
        <f t="shared" si="9"/>
        <v>226</v>
      </c>
      <c r="C231" s="35" t="str">
        <f>IFERROR(VLOOKUP(B231,'MASTER RECORD'!$B$5:$W$1000,10,0) &amp;"."&amp;(VLOOKUP(B231,'MASTER RECORD'!$B$5:$W$1000,11,0)),"")</f>
        <v/>
      </c>
      <c r="D231" s="35" t="str">
        <f>IFERROR(VLOOKUP(B231,'MASTER RECORD'!$B$5:$W$1000,3,0),"")</f>
        <v/>
      </c>
      <c r="F231" s="35" t="str">
        <f>IFERROR(VLOOKUP(E231,'MASTER RECORD'!$B$5:$W$1000,10,0) &amp;"."&amp;(VLOOKUP(E231,'MASTER RECORD'!$B$5:$W$1000,11,0)),"")</f>
        <v/>
      </c>
      <c r="G231" s="35" t="str">
        <f>IFERROR(VLOOKUP(E231,'MASTER RECORD'!$B$5:$W$1000,3,0),"")</f>
        <v/>
      </c>
      <c r="I231" s="36" t="str">
        <f t="shared" si="10"/>
        <v/>
      </c>
      <c r="N231" s="36" t="str">
        <f t="shared" si="11"/>
        <v/>
      </c>
    </row>
    <row r="232" spans="1:14">
      <c r="A232" s="6">
        <f t="shared" si="9"/>
        <v>227</v>
      </c>
      <c r="C232" s="35" t="str">
        <f>IFERROR(VLOOKUP(B232,'MASTER RECORD'!$B$5:$W$1000,10,0) &amp;"."&amp;(VLOOKUP(B232,'MASTER RECORD'!$B$5:$W$1000,11,0)),"")</f>
        <v/>
      </c>
      <c r="D232" s="35" t="str">
        <f>IFERROR(VLOOKUP(B232,'MASTER RECORD'!$B$5:$W$1000,3,0),"")</f>
        <v/>
      </c>
      <c r="F232" s="35" t="str">
        <f>IFERROR(VLOOKUP(E232,'MASTER RECORD'!$B$5:$W$1000,10,0) &amp;"."&amp;(VLOOKUP(E232,'MASTER RECORD'!$B$5:$W$1000,11,0)),"")</f>
        <v/>
      </c>
      <c r="G232" s="35" t="str">
        <f>IFERROR(VLOOKUP(E232,'MASTER RECORD'!$B$5:$W$1000,3,0),"")</f>
        <v/>
      </c>
      <c r="I232" s="36" t="str">
        <f t="shared" si="10"/>
        <v/>
      </c>
      <c r="N232" s="36" t="str">
        <f t="shared" si="11"/>
        <v/>
      </c>
    </row>
    <row r="233" spans="1:14">
      <c r="A233" s="6">
        <f t="shared" si="9"/>
        <v>228</v>
      </c>
      <c r="C233" s="35" t="str">
        <f>IFERROR(VLOOKUP(B233,'MASTER RECORD'!$B$5:$W$1000,10,0) &amp;"."&amp;(VLOOKUP(B233,'MASTER RECORD'!$B$5:$W$1000,11,0)),"")</f>
        <v/>
      </c>
      <c r="D233" s="35" t="str">
        <f>IFERROR(VLOOKUP(B233,'MASTER RECORD'!$B$5:$W$1000,3,0),"")</f>
        <v/>
      </c>
      <c r="F233" s="35" t="str">
        <f>IFERROR(VLOOKUP(E233,'MASTER RECORD'!$B$5:$W$1000,10,0) &amp;"."&amp;(VLOOKUP(E233,'MASTER RECORD'!$B$5:$W$1000,11,0)),"")</f>
        <v/>
      </c>
      <c r="G233" s="35" t="str">
        <f>IFERROR(VLOOKUP(E233,'MASTER RECORD'!$B$5:$W$1000,3,0),"")</f>
        <v/>
      </c>
      <c r="I233" s="36" t="str">
        <f t="shared" si="10"/>
        <v/>
      </c>
      <c r="N233" s="36" t="str">
        <f t="shared" si="11"/>
        <v/>
      </c>
    </row>
    <row r="234" spans="1:14">
      <c r="A234" s="6">
        <f t="shared" ref="A234:A297" si="12">ROW(A229)</f>
        <v>229</v>
      </c>
      <c r="C234" s="35" t="str">
        <f>IFERROR(VLOOKUP(B234,'MASTER RECORD'!$B$5:$W$1000,10,0) &amp;"."&amp;(VLOOKUP(B234,'MASTER RECORD'!$B$5:$W$1000,11,0)),"")</f>
        <v/>
      </c>
      <c r="D234" s="35" t="str">
        <f>IFERROR(VLOOKUP(B234,'MASTER RECORD'!$B$5:$W$1000,3,0),"")</f>
        <v/>
      </c>
      <c r="F234" s="35" t="str">
        <f>IFERROR(VLOOKUP(E234,'MASTER RECORD'!$B$5:$W$1000,10,0) &amp;"."&amp;(VLOOKUP(E234,'MASTER RECORD'!$B$5:$W$1000,11,0)),"")</f>
        <v/>
      </c>
      <c r="G234" s="35" t="str">
        <f>IFERROR(VLOOKUP(E234,'MASTER RECORD'!$B$5:$W$1000,3,0),"")</f>
        <v/>
      </c>
      <c r="I234" s="36" t="str">
        <f t="shared" si="10"/>
        <v/>
      </c>
      <c r="N234" s="36" t="str">
        <f t="shared" si="11"/>
        <v/>
      </c>
    </row>
    <row r="235" spans="1:14">
      <c r="A235" s="6">
        <f t="shared" si="12"/>
        <v>230</v>
      </c>
      <c r="C235" s="35" t="str">
        <f>IFERROR(VLOOKUP(B235,'MASTER RECORD'!$B$5:$W$1000,10,0) &amp;"."&amp;(VLOOKUP(B235,'MASTER RECORD'!$B$5:$W$1000,11,0)),"")</f>
        <v/>
      </c>
      <c r="D235" s="35" t="str">
        <f>IFERROR(VLOOKUP(B235,'MASTER RECORD'!$B$5:$W$1000,3,0),"")</f>
        <v/>
      </c>
      <c r="F235" s="35" t="str">
        <f>IFERROR(VLOOKUP(E235,'MASTER RECORD'!$B$5:$W$1000,10,0) &amp;"."&amp;(VLOOKUP(E235,'MASTER RECORD'!$B$5:$W$1000,11,0)),"")</f>
        <v/>
      </c>
      <c r="G235" s="35" t="str">
        <f>IFERROR(VLOOKUP(E235,'MASTER RECORD'!$B$5:$W$1000,3,0),"")</f>
        <v/>
      </c>
      <c r="I235" s="36" t="str">
        <f t="shared" si="10"/>
        <v/>
      </c>
      <c r="N235" s="36" t="str">
        <f t="shared" si="11"/>
        <v/>
      </c>
    </row>
    <row r="236" spans="1:14">
      <c r="A236" s="6">
        <f t="shared" si="12"/>
        <v>231</v>
      </c>
      <c r="C236" s="35" t="str">
        <f>IFERROR(VLOOKUP(B236,'MASTER RECORD'!$B$5:$W$1000,10,0) &amp;"."&amp;(VLOOKUP(B236,'MASTER RECORD'!$B$5:$W$1000,11,0)),"")</f>
        <v/>
      </c>
      <c r="D236" s="35" t="str">
        <f>IFERROR(VLOOKUP(B236,'MASTER RECORD'!$B$5:$W$1000,3,0),"")</f>
        <v/>
      </c>
      <c r="F236" s="35" t="str">
        <f>IFERROR(VLOOKUP(E236,'MASTER RECORD'!$B$5:$W$1000,10,0) &amp;"."&amp;(VLOOKUP(E236,'MASTER RECORD'!$B$5:$W$1000,11,0)),"")</f>
        <v/>
      </c>
      <c r="G236" s="35" t="str">
        <f>IFERROR(VLOOKUP(E236,'MASTER RECORD'!$B$5:$W$1000,3,0),"")</f>
        <v/>
      </c>
      <c r="I236" s="36" t="str">
        <f t="shared" si="10"/>
        <v/>
      </c>
      <c r="N236" s="36" t="str">
        <f t="shared" si="11"/>
        <v/>
      </c>
    </row>
    <row r="237" spans="1:14">
      <c r="A237" s="6">
        <f t="shared" si="12"/>
        <v>232</v>
      </c>
      <c r="C237" s="35" t="str">
        <f>IFERROR(VLOOKUP(B237,'MASTER RECORD'!$B$5:$W$1000,10,0) &amp;"."&amp;(VLOOKUP(B237,'MASTER RECORD'!$B$5:$W$1000,11,0)),"")</f>
        <v/>
      </c>
      <c r="D237" s="35" t="str">
        <f>IFERROR(VLOOKUP(B237,'MASTER RECORD'!$B$5:$W$1000,3,0),"")</f>
        <v/>
      </c>
      <c r="F237" s="35" t="str">
        <f>IFERROR(VLOOKUP(E237,'MASTER RECORD'!$B$5:$W$1000,10,0) &amp;"."&amp;(VLOOKUP(E237,'MASTER RECORD'!$B$5:$W$1000,11,0)),"")</f>
        <v/>
      </c>
      <c r="G237" s="35" t="str">
        <f>IFERROR(VLOOKUP(E237,'MASTER RECORD'!$B$5:$W$1000,3,0),"")</f>
        <v/>
      </c>
      <c r="I237" s="36" t="str">
        <f t="shared" si="10"/>
        <v/>
      </c>
      <c r="N237" s="36" t="str">
        <f t="shared" si="11"/>
        <v/>
      </c>
    </row>
    <row r="238" spans="1:14">
      <c r="A238" s="6">
        <f t="shared" si="12"/>
        <v>233</v>
      </c>
      <c r="C238" s="35" t="str">
        <f>IFERROR(VLOOKUP(B238,'MASTER RECORD'!$B$5:$W$1000,10,0) &amp;"."&amp;(VLOOKUP(B238,'MASTER RECORD'!$B$5:$W$1000,11,0)),"")</f>
        <v/>
      </c>
      <c r="D238" s="35" t="str">
        <f>IFERROR(VLOOKUP(B238,'MASTER RECORD'!$B$5:$W$1000,3,0),"")</f>
        <v/>
      </c>
      <c r="F238" s="35" t="str">
        <f>IFERROR(VLOOKUP(E238,'MASTER RECORD'!$B$5:$W$1000,10,0) &amp;"."&amp;(VLOOKUP(E238,'MASTER RECORD'!$B$5:$W$1000,11,0)),"")</f>
        <v/>
      </c>
      <c r="G238" s="35" t="str">
        <f>IFERROR(VLOOKUP(E238,'MASTER RECORD'!$B$5:$W$1000,3,0),"")</f>
        <v/>
      </c>
      <c r="I238" s="36" t="str">
        <f t="shared" si="10"/>
        <v/>
      </c>
      <c r="N238" s="36" t="str">
        <f t="shared" si="11"/>
        <v/>
      </c>
    </row>
    <row r="239" spans="1:14">
      <c r="A239" s="6">
        <f t="shared" si="12"/>
        <v>234</v>
      </c>
      <c r="C239" s="35" t="str">
        <f>IFERROR(VLOOKUP(B239,'MASTER RECORD'!$B$5:$W$1000,10,0) &amp;"."&amp;(VLOOKUP(B239,'MASTER RECORD'!$B$5:$W$1000,11,0)),"")</f>
        <v/>
      </c>
      <c r="D239" s="35" t="str">
        <f>IFERROR(VLOOKUP(B239,'MASTER RECORD'!$B$5:$W$1000,3,0),"")</f>
        <v/>
      </c>
      <c r="F239" s="35" t="str">
        <f>IFERROR(VLOOKUP(E239,'MASTER RECORD'!$B$5:$W$1000,10,0) &amp;"."&amp;(VLOOKUP(E239,'MASTER RECORD'!$B$5:$W$1000,11,0)),"")</f>
        <v/>
      </c>
      <c r="G239" s="35" t="str">
        <f>IFERROR(VLOOKUP(E239,'MASTER RECORD'!$B$5:$W$1000,3,0),"")</f>
        <v/>
      </c>
      <c r="I239" s="36" t="str">
        <f t="shared" si="10"/>
        <v/>
      </c>
      <c r="N239" s="36" t="str">
        <f t="shared" si="11"/>
        <v/>
      </c>
    </row>
    <row r="240" spans="1:14">
      <c r="A240" s="6">
        <f t="shared" si="12"/>
        <v>235</v>
      </c>
      <c r="C240" s="35" t="str">
        <f>IFERROR(VLOOKUP(B240,'MASTER RECORD'!$B$5:$W$1000,10,0) &amp;"."&amp;(VLOOKUP(B240,'MASTER RECORD'!$B$5:$W$1000,11,0)),"")</f>
        <v/>
      </c>
      <c r="D240" s="35" t="str">
        <f>IFERROR(VLOOKUP(B240,'MASTER RECORD'!$B$5:$W$1000,3,0),"")</f>
        <v/>
      </c>
      <c r="F240" s="35" t="str">
        <f>IFERROR(VLOOKUP(E240,'MASTER RECORD'!$B$5:$W$1000,10,0) &amp;"."&amp;(VLOOKUP(E240,'MASTER RECORD'!$B$5:$W$1000,11,0)),"")</f>
        <v/>
      </c>
      <c r="G240" s="35" t="str">
        <f>IFERROR(VLOOKUP(E240,'MASTER RECORD'!$B$5:$W$1000,3,0),"")</f>
        <v/>
      </c>
      <c r="I240" s="36" t="str">
        <f t="shared" si="10"/>
        <v/>
      </c>
      <c r="N240" s="36" t="str">
        <f t="shared" si="11"/>
        <v/>
      </c>
    </row>
    <row r="241" spans="1:14">
      <c r="A241" s="6">
        <f t="shared" si="12"/>
        <v>236</v>
      </c>
      <c r="C241" s="35" t="str">
        <f>IFERROR(VLOOKUP(B241,'MASTER RECORD'!$B$5:$W$1000,10,0) &amp;"."&amp;(VLOOKUP(B241,'MASTER RECORD'!$B$5:$W$1000,11,0)),"")</f>
        <v/>
      </c>
      <c r="D241" s="35" t="str">
        <f>IFERROR(VLOOKUP(B241,'MASTER RECORD'!$B$5:$W$1000,3,0),"")</f>
        <v/>
      </c>
      <c r="F241" s="35" t="str">
        <f>IFERROR(VLOOKUP(E241,'MASTER RECORD'!$B$5:$W$1000,10,0) &amp;"."&amp;(VLOOKUP(E241,'MASTER RECORD'!$B$5:$W$1000,11,0)),"")</f>
        <v/>
      </c>
      <c r="G241" s="35" t="str">
        <f>IFERROR(VLOOKUP(E241,'MASTER RECORD'!$B$5:$W$1000,3,0),"")</f>
        <v/>
      </c>
      <c r="I241" s="36" t="str">
        <f t="shared" si="10"/>
        <v/>
      </c>
      <c r="N241" s="36" t="str">
        <f t="shared" si="11"/>
        <v/>
      </c>
    </row>
    <row r="242" spans="1:14">
      <c r="A242" s="6">
        <f t="shared" si="12"/>
        <v>237</v>
      </c>
      <c r="C242" s="35" t="str">
        <f>IFERROR(VLOOKUP(B242,'MASTER RECORD'!$B$5:$W$1000,10,0) &amp;"."&amp;(VLOOKUP(B242,'MASTER RECORD'!$B$5:$W$1000,11,0)),"")</f>
        <v/>
      </c>
      <c r="D242" s="35" t="str">
        <f>IFERROR(VLOOKUP(B242,'MASTER RECORD'!$B$5:$W$1000,3,0),"")</f>
        <v/>
      </c>
      <c r="F242" s="35" t="str">
        <f>IFERROR(VLOOKUP(E242,'MASTER RECORD'!$B$5:$W$1000,10,0) &amp;"."&amp;(VLOOKUP(E242,'MASTER RECORD'!$B$5:$W$1000,11,0)),"")</f>
        <v/>
      </c>
      <c r="G242" s="35" t="str">
        <f>IFERROR(VLOOKUP(E242,'MASTER RECORD'!$B$5:$W$1000,3,0),"")</f>
        <v/>
      </c>
      <c r="I242" s="36" t="str">
        <f t="shared" si="10"/>
        <v/>
      </c>
      <c r="N242" s="36" t="str">
        <f t="shared" si="11"/>
        <v/>
      </c>
    </row>
    <row r="243" spans="1:14">
      <c r="A243" s="6">
        <f t="shared" si="12"/>
        <v>238</v>
      </c>
      <c r="C243" s="35" t="str">
        <f>IFERROR(VLOOKUP(B243,'MASTER RECORD'!$B$5:$W$1000,10,0) &amp;"."&amp;(VLOOKUP(B243,'MASTER RECORD'!$B$5:$W$1000,11,0)),"")</f>
        <v/>
      </c>
      <c r="D243" s="35" t="str">
        <f>IFERROR(VLOOKUP(B243,'MASTER RECORD'!$B$5:$W$1000,3,0),"")</f>
        <v/>
      </c>
      <c r="F243" s="35" t="str">
        <f>IFERROR(VLOOKUP(E243,'MASTER RECORD'!$B$5:$W$1000,10,0) &amp;"."&amp;(VLOOKUP(E243,'MASTER RECORD'!$B$5:$W$1000,11,0)),"")</f>
        <v/>
      </c>
      <c r="G243" s="35" t="str">
        <f>IFERROR(VLOOKUP(E243,'MASTER RECORD'!$B$5:$W$1000,3,0),"")</f>
        <v/>
      </c>
      <c r="I243" s="36" t="str">
        <f t="shared" si="10"/>
        <v/>
      </c>
      <c r="N243" s="36" t="str">
        <f t="shared" si="11"/>
        <v/>
      </c>
    </row>
    <row r="244" spans="1:14">
      <c r="A244" s="6">
        <f t="shared" si="12"/>
        <v>239</v>
      </c>
      <c r="C244" s="35" t="str">
        <f>IFERROR(VLOOKUP(B244,'MASTER RECORD'!$B$5:$W$1000,10,0) &amp;"."&amp;(VLOOKUP(B244,'MASTER RECORD'!$B$5:$W$1000,11,0)),"")</f>
        <v/>
      </c>
      <c r="D244" s="35" t="str">
        <f>IFERROR(VLOOKUP(B244,'MASTER RECORD'!$B$5:$W$1000,3,0),"")</f>
        <v/>
      </c>
      <c r="F244" s="35" t="str">
        <f>IFERROR(VLOOKUP(E244,'MASTER RECORD'!$B$5:$W$1000,10,0) &amp;"."&amp;(VLOOKUP(E244,'MASTER RECORD'!$B$5:$W$1000,11,0)),"")</f>
        <v/>
      </c>
      <c r="G244" s="35" t="str">
        <f>IFERROR(VLOOKUP(E244,'MASTER RECORD'!$B$5:$W$1000,3,0),"")</f>
        <v/>
      </c>
      <c r="I244" s="36" t="str">
        <f t="shared" si="10"/>
        <v/>
      </c>
      <c r="N244" s="36" t="str">
        <f t="shared" si="11"/>
        <v/>
      </c>
    </row>
    <row r="245" spans="1:14">
      <c r="A245" s="6">
        <f t="shared" si="12"/>
        <v>240</v>
      </c>
      <c r="C245" s="35" t="str">
        <f>IFERROR(VLOOKUP(B245,'MASTER RECORD'!$B$5:$W$1000,10,0) &amp;"."&amp;(VLOOKUP(B245,'MASTER RECORD'!$B$5:$W$1000,11,0)),"")</f>
        <v/>
      </c>
      <c r="D245" s="35" t="str">
        <f>IFERROR(VLOOKUP(B245,'MASTER RECORD'!$B$5:$W$1000,3,0),"")</f>
        <v/>
      </c>
      <c r="F245" s="35" t="str">
        <f>IFERROR(VLOOKUP(E245,'MASTER RECORD'!$B$5:$W$1000,10,0) &amp;"."&amp;(VLOOKUP(E245,'MASTER RECORD'!$B$5:$W$1000,11,0)),"")</f>
        <v/>
      </c>
      <c r="G245" s="35" t="str">
        <f>IFERROR(VLOOKUP(E245,'MASTER RECORD'!$B$5:$W$1000,3,0),"")</f>
        <v/>
      </c>
      <c r="I245" s="36" t="str">
        <f t="shared" si="10"/>
        <v/>
      </c>
      <c r="N245" s="36" t="str">
        <f t="shared" si="11"/>
        <v/>
      </c>
    </row>
    <row r="246" spans="1:14">
      <c r="A246" s="6">
        <f t="shared" si="12"/>
        <v>241</v>
      </c>
      <c r="C246" s="35" t="str">
        <f>IFERROR(VLOOKUP(B246,'MASTER RECORD'!$B$5:$W$1000,10,0) &amp;"."&amp;(VLOOKUP(B246,'MASTER RECORD'!$B$5:$W$1000,11,0)),"")</f>
        <v/>
      </c>
      <c r="D246" s="35" t="str">
        <f>IFERROR(VLOOKUP(B246,'MASTER RECORD'!$B$5:$W$1000,3,0),"")</f>
        <v/>
      </c>
      <c r="F246" s="35" t="str">
        <f>IFERROR(VLOOKUP(E246,'MASTER RECORD'!$B$5:$W$1000,10,0) &amp;"."&amp;(VLOOKUP(E246,'MASTER RECORD'!$B$5:$W$1000,11,0)),"")</f>
        <v/>
      </c>
      <c r="G246" s="35" t="str">
        <f>IFERROR(VLOOKUP(E246,'MASTER RECORD'!$B$5:$W$1000,3,0),"")</f>
        <v/>
      </c>
      <c r="I246" s="36" t="str">
        <f t="shared" si="10"/>
        <v/>
      </c>
      <c r="N246" s="36" t="str">
        <f t="shared" si="11"/>
        <v/>
      </c>
    </row>
    <row r="247" spans="1:14">
      <c r="A247" s="6">
        <f t="shared" si="12"/>
        <v>242</v>
      </c>
      <c r="C247" s="35" t="str">
        <f>IFERROR(VLOOKUP(B247,'MASTER RECORD'!$B$5:$W$1000,10,0) &amp;"."&amp;(VLOOKUP(B247,'MASTER RECORD'!$B$5:$W$1000,11,0)),"")</f>
        <v/>
      </c>
      <c r="D247" s="35" t="str">
        <f>IFERROR(VLOOKUP(B247,'MASTER RECORD'!$B$5:$W$1000,3,0),"")</f>
        <v/>
      </c>
      <c r="F247" s="35" t="str">
        <f>IFERROR(VLOOKUP(E247,'MASTER RECORD'!$B$5:$W$1000,10,0) &amp;"."&amp;(VLOOKUP(E247,'MASTER RECORD'!$B$5:$W$1000,11,0)),"")</f>
        <v/>
      </c>
      <c r="G247" s="35" t="str">
        <f>IFERROR(VLOOKUP(E247,'MASTER RECORD'!$B$5:$W$1000,3,0),"")</f>
        <v/>
      </c>
      <c r="I247" s="36" t="str">
        <f t="shared" si="10"/>
        <v/>
      </c>
      <c r="N247" s="36" t="str">
        <f t="shared" si="11"/>
        <v/>
      </c>
    </row>
    <row r="248" spans="1:14">
      <c r="A248" s="6">
        <f t="shared" si="12"/>
        <v>243</v>
      </c>
      <c r="C248" s="35" t="str">
        <f>IFERROR(VLOOKUP(B248,'MASTER RECORD'!$B$5:$W$1000,10,0) &amp;"."&amp;(VLOOKUP(B248,'MASTER RECORD'!$B$5:$W$1000,11,0)),"")</f>
        <v/>
      </c>
      <c r="D248" s="35" t="str">
        <f>IFERROR(VLOOKUP(B248,'MASTER RECORD'!$B$5:$W$1000,3,0),"")</f>
        <v/>
      </c>
      <c r="F248" s="35" t="str">
        <f>IFERROR(VLOOKUP(E248,'MASTER RECORD'!$B$5:$W$1000,10,0) &amp;"."&amp;(VLOOKUP(E248,'MASTER RECORD'!$B$5:$W$1000,11,0)),"")</f>
        <v/>
      </c>
      <c r="G248" s="35" t="str">
        <f>IFERROR(VLOOKUP(E248,'MASTER RECORD'!$B$5:$W$1000,3,0),"")</f>
        <v/>
      </c>
      <c r="I248" s="36" t="str">
        <f t="shared" si="10"/>
        <v/>
      </c>
      <c r="N248" s="36" t="str">
        <f t="shared" si="11"/>
        <v/>
      </c>
    </row>
    <row r="249" spans="1:14">
      <c r="A249" s="6">
        <f t="shared" si="12"/>
        <v>244</v>
      </c>
      <c r="C249" s="35" t="str">
        <f>IFERROR(VLOOKUP(B249,'MASTER RECORD'!$B$5:$W$1000,10,0) &amp;"."&amp;(VLOOKUP(B249,'MASTER RECORD'!$B$5:$W$1000,11,0)),"")</f>
        <v/>
      </c>
      <c r="D249" s="35" t="str">
        <f>IFERROR(VLOOKUP(B249,'MASTER RECORD'!$B$5:$W$1000,3,0),"")</f>
        <v/>
      </c>
      <c r="F249" s="35" t="str">
        <f>IFERROR(VLOOKUP(E249,'MASTER RECORD'!$B$5:$W$1000,10,0) &amp;"."&amp;(VLOOKUP(E249,'MASTER RECORD'!$B$5:$W$1000,11,0)),"")</f>
        <v/>
      </c>
      <c r="G249" s="35" t="str">
        <f>IFERROR(VLOOKUP(E249,'MASTER RECORD'!$B$5:$W$1000,3,0),"")</f>
        <v/>
      </c>
      <c r="I249" s="36" t="str">
        <f t="shared" si="10"/>
        <v/>
      </c>
      <c r="N249" s="36" t="str">
        <f t="shared" si="11"/>
        <v/>
      </c>
    </row>
    <row r="250" spans="1:14">
      <c r="A250" s="6">
        <f t="shared" si="12"/>
        <v>245</v>
      </c>
      <c r="C250" s="35" t="str">
        <f>IFERROR(VLOOKUP(B250,'MASTER RECORD'!$B$5:$W$1000,10,0) &amp;"."&amp;(VLOOKUP(B250,'MASTER RECORD'!$B$5:$W$1000,11,0)),"")</f>
        <v/>
      </c>
      <c r="D250" s="35" t="str">
        <f>IFERROR(VLOOKUP(B250,'MASTER RECORD'!$B$5:$W$1000,3,0),"")</f>
        <v/>
      </c>
      <c r="F250" s="35" t="str">
        <f>IFERROR(VLOOKUP(E250,'MASTER RECORD'!$B$5:$W$1000,10,0) &amp;"."&amp;(VLOOKUP(E250,'MASTER RECORD'!$B$5:$W$1000,11,0)),"")</f>
        <v/>
      </c>
      <c r="G250" s="35" t="str">
        <f>IFERROR(VLOOKUP(E250,'MASTER RECORD'!$B$5:$W$1000,3,0),"")</f>
        <v/>
      </c>
      <c r="I250" s="36" t="str">
        <f t="shared" si="10"/>
        <v/>
      </c>
      <c r="N250" s="36" t="str">
        <f t="shared" si="11"/>
        <v/>
      </c>
    </row>
    <row r="251" spans="1:14">
      <c r="A251" s="6">
        <f t="shared" si="12"/>
        <v>246</v>
      </c>
      <c r="C251" s="35" t="str">
        <f>IFERROR(VLOOKUP(B251,'MASTER RECORD'!$B$5:$W$1000,10,0) &amp;"."&amp;(VLOOKUP(B251,'MASTER RECORD'!$B$5:$W$1000,11,0)),"")</f>
        <v/>
      </c>
      <c r="D251" s="35" t="str">
        <f>IFERROR(VLOOKUP(B251,'MASTER RECORD'!$B$5:$W$1000,3,0),"")</f>
        <v/>
      </c>
      <c r="F251" s="35" t="str">
        <f>IFERROR(VLOOKUP(E251,'MASTER RECORD'!$B$5:$W$1000,10,0) &amp;"."&amp;(VLOOKUP(E251,'MASTER RECORD'!$B$5:$W$1000,11,0)),"")</f>
        <v/>
      </c>
      <c r="G251" s="35" t="str">
        <f>IFERROR(VLOOKUP(E251,'MASTER RECORD'!$B$5:$W$1000,3,0),"")</f>
        <v/>
      </c>
      <c r="I251" s="36" t="str">
        <f t="shared" si="10"/>
        <v/>
      </c>
      <c r="N251" s="36" t="str">
        <f t="shared" si="11"/>
        <v/>
      </c>
    </row>
    <row r="252" spans="1:14">
      <c r="A252" s="6">
        <f t="shared" si="12"/>
        <v>247</v>
      </c>
      <c r="C252" s="35" t="str">
        <f>IFERROR(VLOOKUP(B252,'MASTER RECORD'!$B$5:$W$1000,10,0) &amp;"."&amp;(VLOOKUP(B252,'MASTER RECORD'!$B$5:$W$1000,11,0)),"")</f>
        <v/>
      </c>
      <c r="D252" s="35" t="str">
        <f>IFERROR(VLOOKUP(B252,'MASTER RECORD'!$B$5:$W$1000,3,0),"")</f>
        <v/>
      </c>
      <c r="F252" s="35" t="str">
        <f>IFERROR(VLOOKUP(E252,'MASTER RECORD'!$B$5:$W$1000,10,0) &amp;"."&amp;(VLOOKUP(E252,'MASTER RECORD'!$B$5:$W$1000,11,0)),"")</f>
        <v/>
      </c>
      <c r="G252" s="35" t="str">
        <f>IFERROR(VLOOKUP(E252,'MASTER RECORD'!$B$5:$W$1000,3,0),"")</f>
        <v/>
      </c>
      <c r="I252" s="36" t="str">
        <f t="shared" si="10"/>
        <v/>
      </c>
      <c r="N252" s="36" t="str">
        <f t="shared" si="11"/>
        <v/>
      </c>
    </row>
    <row r="253" spans="1:14">
      <c r="A253" s="6">
        <f t="shared" si="12"/>
        <v>248</v>
      </c>
      <c r="C253" s="35" t="str">
        <f>IFERROR(VLOOKUP(B253,'MASTER RECORD'!$B$5:$W$1000,10,0) &amp;"."&amp;(VLOOKUP(B253,'MASTER RECORD'!$B$5:$W$1000,11,0)),"")</f>
        <v/>
      </c>
      <c r="D253" s="35" t="str">
        <f>IFERROR(VLOOKUP(B253,'MASTER RECORD'!$B$5:$W$1000,3,0),"")</f>
        <v/>
      </c>
      <c r="F253" s="35" t="str">
        <f>IFERROR(VLOOKUP(E253,'MASTER RECORD'!$B$5:$W$1000,10,0) &amp;"."&amp;(VLOOKUP(E253,'MASTER RECORD'!$B$5:$W$1000,11,0)),"")</f>
        <v/>
      </c>
      <c r="G253" s="35" t="str">
        <f>IFERROR(VLOOKUP(E253,'MASTER RECORD'!$B$5:$W$1000,3,0),"")</f>
        <v/>
      </c>
      <c r="I253" s="36" t="str">
        <f t="shared" si="10"/>
        <v/>
      </c>
      <c r="N253" s="36" t="str">
        <f t="shared" si="11"/>
        <v/>
      </c>
    </row>
    <row r="254" spans="1:14">
      <c r="A254" s="6">
        <f t="shared" si="12"/>
        <v>249</v>
      </c>
      <c r="C254" s="35" t="str">
        <f>IFERROR(VLOOKUP(B254,'MASTER RECORD'!$B$5:$W$1000,10,0) &amp;"."&amp;(VLOOKUP(B254,'MASTER RECORD'!$B$5:$W$1000,11,0)),"")</f>
        <v/>
      </c>
      <c r="D254" s="35" t="str">
        <f>IFERROR(VLOOKUP(B254,'MASTER RECORD'!$B$5:$W$1000,3,0),"")</f>
        <v/>
      </c>
      <c r="F254" s="35" t="str">
        <f>IFERROR(VLOOKUP(E254,'MASTER RECORD'!$B$5:$W$1000,10,0) &amp;"."&amp;(VLOOKUP(E254,'MASTER RECORD'!$B$5:$W$1000,11,0)),"")</f>
        <v/>
      </c>
      <c r="G254" s="35" t="str">
        <f>IFERROR(VLOOKUP(E254,'MASTER RECORD'!$B$5:$W$1000,3,0),"")</f>
        <v/>
      </c>
      <c r="I254" s="36" t="str">
        <f t="shared" si="10"/>
        <v/>
      </c>
      <c r="N254" s="36" t="str">
        <f t="shared" si="11"/>
        <v/>
      </c>
    </row>
    <row r="255" spans="1:14">
      <c r="A255" s="6">
        <f t="shared" si="12"/>
        <v>250</v>
      </c>
      <c r="C255" s="35" t="str">
        <f>IFERROR(VLOOKUP(B255,'MASTER RECORD'!$B$5:$W$1000,10,0) &amp;"."&amp;(VLOOKUP(B255,'MASTER RECORD'!$B$5:$W$1000,11,0)),"")</f>
        <v/>
      </c>
      <c r="D255" s="35" t="str">
        <f>IFERROR(VLOOKUP(B255,'MASTER RECORD'!$B$5:$W$1000,3,0),"")</f>
        <v/>
      </c>
      <c r="F255" s="35" t="str">
        <f>IFERROR(VLOOKUP(E255,'MASTER RECORD'!$B$5:$W$1000,10,0) &amp;"."&amp;(VLOOKUP(E255,'MASTER RECORD'!$B$5:$W$1000,11,0)),"")</f>
        <v/>
      </c>
      <c r="G255" s="35" t="str">
        <f>IFERROR(VLOOKUP(E255,'MASTER RECORD'!$B$5:$W$1000,3,0),"")</f>
        <v/>
      </c>
      <c r="I255" s="36" t="str">
        <f t="shared" si="10"/>
        <v/>
      </c>
      <c r="N255" s="36" t="str">
        <f t="shared" si="11"/>
        <v/>
      </c>
    </row>
    <row r="256" spans="1:14">
      <c r="A256" s="6">
        <f t="shared" si="12"/>
        <v>251</v>
      </c>
      <c r="C256" s="35" t="str">
        <f>IFERROR(VLOOKUP(B256,'MASTER RECORD'!$B$5:$W$1000,10,0) &amp;"."&amp;(VLOOKUP(B256,'MASTER RECORD'!$B$5:$W$1000,11,0)),"")</f>
        <v/>
      </c>
      <c r="D256" s="35" t="str">
        <f>IFERROR(VLOOKUP(B256,'MASTER RECORD'!$B$5:$W$1000,3,0),"")</f>
        <v/>
      </c>
      <c r="F256" s="35" t="str">
        <f>IFERROR(VLOOKUP(E256,'MASTER RECORD'!$B$5:$W$1000,10,0) &amp;"."&amp;(VLOOKUP(E256,'MASTER RECORD'!$B$5:$W$1000,11,0)),"")</f>
        <v/>
      </c>
      <c r="G256" s="35" t="str">
        <f>IFERROR(VLOOKUP(E256,'MASTER RECORD'!$B$5:$W$1000,3,0),"")</f>
        <v/>
      </c>
      <c r="I256" s="36" t="str">
        <f t="shared" si="10"/>
        <v/>
      </c>
      <c r="N256" s="36" t="str">
        <f t="shared" si="11"/>
        <v/>
      </c>
    </row>
    <row r="257" spans="1:14">
      <c r="A257" s="6">
        <f t="shared" si="12"/>
        <v>252</v>
      </c>
      <c r="C257" s="35" t="str">
        <f>IFERROR(VLOOKUP(B257,'MASTER RECORD'!$B$5:$W$1000,10,0) &amp;"."&amp;(VLOOKUP(B257,'MASTER RECORD'!$B$5:$W$1000,11,0)),"")</f>
        <v/>
      </c>
      <c r="D257" s="35" t="str">
        <f>IFERROR(VLOOKUP(B257,'MASTER RECORD'!$B$5:$W$1000,3,0),"")</f>
        <v/>
      </c>
      <c r="F257" s="35" t="str">
        <f>IFERROR(VLOOKUP(E257,'MASTER RECORD'!$B$5:$W$1000,10,0) &amp;"."&amp;(VLOOKUP(E257,'MASTER RECORD'!$B$5:$W$1000,11,0)),"")</f>
        <v/>
      </c>
      <c r="G257" s="35" t="str">
        <f>IFERROR(VLOOKUP(E257,'MASTER RECORD'!$B$5:$W$1000,3,0),"")</f>
        <v/>
      </c>
      <c r="I257" s="36" t="str">
        <f t="shared" si="10"/>
        <v/>
      </c>
      <c r="N257" s="36" t="str">
        <f t="shared" si="11"/>
        <v/>
      </c>
    </row>
    <row r="258" spans="1:14">
      <c r="A258" s="6">
        <f t="shared" si="12"/>
        <v>253</v>
      </c>
      <c r="C258" s="35" t="str">
        <f>IFERROR(VLOOKUP(B258,'MASTER RECORD'!$B$5:$W$1000,10,0) &amp;"."&amp;(VLOOKUP(B258,'MASTER RECORD'!$B$5:$W$1000,11,0)),"")</f>
        <v/>
      </c>
      <c r="D258" s="35" t="str">
        <f>IFERROR(VLOOKUP(B258,'MASTER RECORD'!$B$5:$W$1000,3,0),"")</f>
        <v/>
      </c>
      <c r="F258" s="35" t="str">
        <f>IFERROR(VLOOKUP(E258,'MASTER RECORD'!$B$5:$W$1000,10,0) &amp;"."&amp;(VLOOKUP(E258,'MASTER RECORD'!$B$5:$W$1000,11,0)),"")</f>
        <v/>
      </c>
      <c r="G258" s="35" t="str">
        <f>IFERROR(VLOOKUP(E258,'MASTER RECORD'!$B$5:$W$1000,3,0),"")</f>
        <v/>
      </c>
      <c r="I258" s="36" t="str">
        <f t="shared" si="10"/>
        <v/>
      </c>
      <c r="N258" s="36" t="str">
        <f t="shared" si="11"/>
        <v/>
      </c>
    </row>
    <row r="259" spans="1:14">
      <c r="A259" s="6">
        <f t="shared" si="12"/>
        <v>254</v>
      </c>
      <c r="C259" s="35" t="str">
        <f>IFERROR(VLOOKUP(B259,'MASTER RECORD'!$B$5:$W$1000,10,0) &amp;"."&amp;(VLOOKUP(B259,'MASTER RECORD'!$B$5:$W$1000,11,0)),"")</f>
        <v/>
      </c>
      <c r="D259" s="35" t="str">
        <f>IFERROR(VLOOKUP(B259,'MASTER RECORD'!$B$5:$W$1000,3,0),"")</f>
        <v/>
      </c>
      <c r="F259" s="35" t="str">
        <f>IFERROR(VLOOKUP(E259,'MASTER RECORD'!$B$5:$W$1000,10,0) &amp;"."&amp;(VLOOKUP(E259,'MASTER RECORD'!$B$5:$W$1000,11,0)),"")</f>
        <v/>
      </c>
      <c r="G259" s="35" t="str">
        <f>IFERROR(VLOOKUP(E259,'MASTER RECORD'!$B$5:$W$1000,3,0),"")</f>
        <v/>
      </c>
      <c r="I259" s="36" t="str">
        <f t="shared" si="10"/>
        <v/>
      </c>
      <c r="N259" s="36" t="str">
        <f t="shared" si="11"/>
        <v/>
      </c>
    </row>
    <row r="260" spans="1:14">
      <c r="A260" s="6">
        <f t="shared" si="12"/>
        <v>255</v>
      </c>
      <c r="C260" s="35" t="str">
        <f>IFERROR(VLOOKUP(B260,'MASTER RECORD'!$B$5:$W$1000,10,0) &amp;"."&amp;(VLOOKUP(B260,'MASTER RECORD'!$B$5:$W$1000,11,0)),"")</f>
        <v/>
      </c>
      <c r="D260" s="35" t="str">
        <f>IFERROR(VLOOKUP(B260,'MASTER RECORD'!$B$5:$W$1000,3,0),"")</f>
        <v/>
      </c>
      <c r="F260" s="35" t="str">
        <f>IFERROR(VLOOKUP(E260,'MASTER RECORD'!$B$5:$W$1000,10,0) &amp;"."&amp;(VLOOKUP(E260,'MASTER RECORD'!$B$5:$W$1000,11,0)),"")</f>
        <v/>
      </c>
      <c r="G260" s="35" t="str">
        <f>IFERROR(VLOOKUP(E260,'MASTER RECORD'!$B$5:$W$1000,3,0),"")</f>
        <v/>
      </c>
      <c r="I260" s="36" t="str">
        <f t="shared" si="10"/>
        <v/>
      </c>
      <c r="N260" s="36" t="str">
        <f t="shared" si="11"/>
        <v/>
      </c>
    </row>
    <row r="261" spans="1:14">
      <c r="A261" s="6">
        <f t="shared" si="12"/>
        <v>256</v>
      </c>
      <c r="C261" s="35" t="str">
        <f>IFERROR(VLOOKUP(B261,'MASTER RECORD'!$B$5:$W$1000,10,0) &amp;"."&amp;(VLOOKUP(B261,'MASTER RECORD'!$B$5:$W$1000,11,0)),"")</f>
        <v/>
      </c>
      <c r="D261" s="35" t="str">
        <f>IFERROR(VLOOKUP(B261,'MASTER RECORD'!$B$5:$W$1000,3,0),"")</f>
        <v/>
      </c>
      <c r="F261" s="35" t="str">
        <f>IFERROR(VLOOKUP(E261,'MASTER RECORD'!$B$5:$W$1000,10,0) &amp;"."&amp;(VLOOKUP(E261,'MASTER RECORD'!$B$5:$W$1000,11,0)),"")</f>
        <v/>
      </c>
      <c r="G261" s="35" t="str">
        <f>IFERROR(VLOOKUP(E261,'MASTER RECORD'!$B$5:$W$1000,3,0),"")</f>
        <v/>
      </c>
      <c r="I261" s="36" t="str">
        <f t="shared" si="10"/>
        <v/>
      </c>
      <c r="N261" s="36" t="str">
        <f t="shared" si="11"/>
        <v/>
      </c>
    </row>
    <row r="262" spans="1:14">
      <c r="A262" s="6">
        <f t="shared" si="12"/>
        <v>257</v>
      </c>
      <c r="C262" s="35" t="str">
        <f>IFERROR(VLOOKUP(B262,'MASTER RECORD'!$B$5:$W$1000,10,0) &amp;"."&amp;(VLOOKUP(B262,'MASTER RECORD'!$B$5:$W$1000,11,0)),"")</f>
        <v/>
      </c>
      <c r="D262" s="35" t="str">
        <f>IFERROR(VLOOKUP(B262,'MASTER RECORD'!$B$5:$W$1000,3,0),"")</f>
        <v/>
      </c>
      <c r="F262" s="35" t="str">
        <f>IFERROR(VLOOKUP(E262,'MASTER RECORD'!$B$5:$W$1000,10,0) &amp;"."&amp;(VLOOKUP(E262,'MASTER RECORD'!$B$5:$W$1000,11,0)),"")</f>
        <v/>
      </c>
      <c r="G262" s="35" t="str">
        <f>IFERROR(VLOOKUP(E262,'MASTER RECORD'!$B$5:$W$1000,3,0),"")</f>
        <v/>
      </c>
      <c r="I262" s="36" t="str">
        <f t="shared" si="10"/>
        <v/>
      </c>
      <c r="N262" s="36" t="str">
        <f t="shared" si="11"/>
        <v/>
      </c>
    </row>
    <row r="263" spans="1:14">
      <c r="A263" s="6">
        <f t="shared" si="12"/>
        <v>258</v>
      </c>
      <c r="C263" s="35" t="str">
        <f>IFERROR(VLOOKUP(B263,'MASTER RECORD'!$B$5:$W$1000,10,0) &amp;"."&amp;(VLOOKUP(B263,'MASTER RECORD'!$B$5:$W$1000,11,0)),"")</f>
        <v/>
      </c>
      <c r="D263" s="35" t="str">
        <f>IFERROR(VLOOKUP(B263,'MASTER RECORD'!$B$5:$W$1000,3,0),"")</f>
        <v/>
      </c>
      <c r="F263" s="35" t="str">
        <f>IFERROR(VLOOKUP(E263,'MASTER RECORD'!$B$5:$W$1000,10,0) &amp;"."&amp;(VLOOKUP(E263,'MASTER RECORD'!$B$5:$W$1000,11,0)),"")</f>
        <v/>
      </c>
      <c r="G263" s="35" t="str">
        <f>IFERROR(VLOOKUP(E263,'MASTER RECORD'!$B$5:$W$1000,3,0),"")</f>
        <v/>
      </c>
      <c r="I263" s="36" t="str">
        <f t="shared" ref="I263:I326" si="13">IF(H263&gt;0,H263+150,"")</f>
        <v/>
      </c>
      <c r="N263" s="36" t="str">
        <f t="shared" ref="N263:N326" si="14">IF(J263&gt;0,J263+60,"")</f>
        <v/>
      </c>
    </row>
    <row r="264" spans="1:14">
      <c r="A264" s="6">
        <f t="shared" si="12"/>
        <v>259</v>
      </c>
      <c r="C264" s="35" t="str">
        <f>IFERROR(VLOOKUP(B264,'MASTER RECORD'!$B$5:$W$1000,10,0) &amp;"."&amp;(VLOOKUP(B264,'MASTER RECORD'!$B$5:$W$1000,11,0)),"")</f>
        <v/>
      </c>
      <c r="D264" s="35" t="str">
        <f>IFERROR(VLOOKUP(B264,'MASTER RECORD'!$B$5:$W$1000,3,0),"")</f>
        <v/>
      </c>
      <c r="F264" s="35" t="str">
        <f>IFERROR(VLOOKUP(E264,'MASTER RECORD'!$B$5:$W$1000,10,0) &amp;"."&amp;(VLOOKUP(E264,'MASTER RECORD'!$B$5:$W$1000,11,0)),"")</f>
        <v/>
      </c>
      <c r="G264" s="35" t="str">
        <f>IFERROR(VLOOKUP(E264,'MASTER RECORD'!$B$5:$W$1000,3,0),"")</f>
        <v/>
      </c>
      <c r="I264" s="36" t="str">
        <f t="shared" si="13"/>
        <v/>
      </c>
      <c r="N264" s="36" t="str">
        <f t="shared" si="14"/>
        <v/>
      </c>
    </row>
    <row r="265" spans="1:14">
      <c r="A265" s="6">
        <f t="shared" si="12"/>
        <v>260</v>
      </c>
      <c r="C265" s="35" t="str">
        <f>IFERROR(VLOOKUP(B265,'MASTER RECORD'!$B$5:$W$1000,10,0) &amp;"."&amp;(VLOOKUP(B265,'MASTER RECORD'!$B$5:$W$1000,11,0)),"")</f>
        <v/>
      </c>
      <c r="D265" s="35" t="str">
        <f>IFERROR(VLOOKUP(B265,'MASTER RECORD'!$B$5:$W$1000,3,0),"")</f>
        <v/>
      </c>
      <c r="F265" s="35" t="str">
        <f>IFERROR(VLOOKUP(E265,'MASTER RECORD'!$B$5:$W$1000,10,0) &amp;"."&amp;(VLOOKUP(E265,'MASTER RECORD'!$B$5:$W$1000,11,0)),"")</f>
        <v/>
      </c>
      <c r="G265" s="35" t="str">
        <f>IFERROR(VLOOKUP(E265,'MASTER RECORD'!$B$5:$W$1000,3,0),"")</f>
        <v/>
      </c>
      <c r="I265" s="36" t="str">
        <f t="shared" si="13"/>
        <v/>
      </c>
      <c r="N265" s="36" t="str">
        <f t="shared" si="14"/>
        <v/>
      </c>
    </row>
    <row r="266" spans="1:14">
      <c r="A266" s="6">
        <f t="shared" si="12"/>
        <v>261</v>
      </c>
      <c r="C266" s="35" t="str">
        <f>IFERROR(VLOOKUP(B266,'MASTER RECORD'!$B$5:$W$1000,10,0) &amp;"."&amp;(VLOOKUP(B266,'MASTER RECORD'!$B$5:$W$1000,11,0)),"")</f>
        <v/>
      </c>
      <c r="D266" s="35" t="str">
        <f>IFERROR(VLOOKUP(B266,'MASTER RECORD'!$B$5:$W$1000,3,0),"")</f>
        <v/>
      </c>
      <c r="F266" s="35" t="str">
        <f>IFERROR(VLOOKUP(E266,'MASTER RECORD'!$B$5:$W$1000,10,0) &amp;"."&amp;(VLOOKUP(E266,'MASTER RECORD'!$B$5:$W$1000,11,0)),"")</f>
        <v/>
      </c>
      <c r="G266" s="35" t="str">
        <f>IFERROR(VLOOKUP(E266,'MASTER RECORD'!$B$5:$W$1000,3,0),"")</f>
        <v/>
      </c>
      <c r="I266" s="36" t="str">
        <f t="shared" si="13"/>
        <v/>
      </c>
      <c r="N266" s="36" t="str">
        <f t="shared" si="14"/>
        <v/>
      </c>
    </row>
    <row r="267" spans="1:14">
      <c r="A267" s="6">
        <f t="shared" si="12"/>
        <v>262</v>
      </c>
      <c r="C267" s="35" t="str">
        <f>IFERROR(VLOOKUP(B267,'MASTER RECORD'!$B$5:$W$1000,10,0) &amp;"."&amp;(VLOOKUP(B267,'MASTER RECORD'!$B$5:$W$1000,11,0)),"")</f>
        <v/>
      </c>
      <c r="D267" s="35" t="str">
        <f>IFERROR(VLOOKUP(B267,'MASTER RECORD'!$B$5:$W$1000,3,0),"")</f>
        <v/>
      </c>
      <c r="F267" s="35" t="str">
        <f>IFERROR(VLOOKUP(E267,'MASTER RECORD'!$B$5:$W$1000,10,0) &amp;"."&amp;(VLOOKUP(E267,'MASTER RECORD'!$B$5:$W$1000,11,0)),"")</f>
        <v/>
      </c>
      <c r="G267" s="35" t="str">
        <f>IFERROR(VLOOKUP(E267,'MASTER RECORD'!$B$5:$W$1000,3,0),"")</f>
        <v/>
      </c>
      <c r="I267" s="36" t="str">
        <f t="shared" si="13"/>
        <v/>
      </c>
      <c r="N267" s="36" t="str">
        <f t="shared" si="14"/>
        <v/>
      </c>
    </row>
    <row r="268" spans="1:14">
      <c r="A268" s="6">
        <f t="shared" si="12"/>
        <v>263</v>
      </c>
      <c r="C268" s="35" t="str">
        <f>IFERROR(VLOOKUP(B268,'MASTER RECORD'!$B$5:$W$1000,10,0) &amp;"."&amp;(VLOOKUP(B268,'MASTER RECORD'!$B$5:$W$1000,11,0)),"")</f>
        <v/>
      </c>
      <c r="D268" s="35" t="str">
        <f>IFERROR(VLOOKUP(B268,'MASTER RECORD'!$B$5:$W$1000,3,0),"")</f>
        <v/>
      </c>
      <c r="F268" s="35" t="str">
        <f>IFERROR(VLOOKUP(E268,'MASTER RECORD'!$B$5:$W$1000,10,0) &amp;"."&amp;(VLOOKUP(E268,'MASTER RECORD'!$B$5:$W$1000,11,0)),"")</f>
        <v/>
      </c>
      <c r="G268" s="35" t="str">
        <f>IFERROR(VLOOKUP(E268,'MASTER RECORD'!$B$5:$W$1000,3,0),"")</f>
        <v/>
      </c>
      <c r="I268" s="36" t="str">
        <f t="shared" si="13"/>
        <v/>
      </c>
      <c r="N268" s="36" t="str">
        <f t="shared" si="14"/>
        <v/>
      </c>
    </row>
    <row r="269" spans="1:14">
      <c r="A269" s="6">
        <f t="shared" si="12"/>
        <v>264</v>
      </c>
      <c r="C269" s="35" t="str">
        <f>IFERROR(VLOOKUP(B269,'MASTER RECORD'!$B$5:$W$1000,10,0) &amp;"."&amp;(VLOOKUP(B269,'MASTER RECORD'!$B$5:$W$1000,11,0)),"")</f>
        <v/>
      </c>
      <c r="D269" s="35" t="str">
        <f>IFERROR(VLOOKUP(B269,'MASTER RECORD'!$B$5:$W$1000,3,0),"")</f>
        <v/>
      </c>
      <c r="F269" s="35" t="str">
        <f>IFERROR(VLOOKUP(E269,'MASTER RECORD'!$B$5:$W$1000,10,0) &amp;"."&amp;(VLOOKUP(E269,'MASTER RECORD'!$B$5:$W$1000,11,0)),"")</f>
        <v/>
      </c>
      <c r="G269" s="35" t="str">
        <f>IFERROR(VLOOKUP(E269,'MASTER RECORD'!$B$5:$W$1000,3,0),"")</f>
        <v/>
      </c>
      <c r="I269" s="36" t="str">
        <f t="shared" si="13"/>
        <v/>
      </c>
      <c r="N269" s="36" t="str">
        <f t="shared" si="14"/>
        <v/>
      </c>
    </row>
    <row r="270" spans="1:14">
      <c r="A270" s="6">
        <f t="shared" si="12"/>
        <v>265</v>
      </c>
      <c r="C270" s="35" t="str">
        <f>IFERROR(VLOOKUP(B270,'MASTER RECORD'!$B$5:$W$1000,10,0) &amp;"."&amp;(VLOOKUP(B270,'MASTER RECORD'!$B$5:$W$1000,11,0)),"")</f>
        <v/>
      </c>
      <c r="D270" s="35" t="str">
        <f>IFERROR(VLOOKUP(B270,'MASTER RECORD'!$B$5:$W$1000,3,0),"")</f>
        <v/>
      </c>
      <c r="F270" s="35" t="str">
        <f>IFERROR(VLOOKUP(E270,'MASTER RECORD'!$B$5:$W$1000,10,0) &amp;"."&amp;(VLOOKUP(E270,'MASTER RECORD'!$B$5:$W$1000,11,0)),"")</f>
        <v/>
      </c>
      <c r="G270" s="35" t="str">
        <f>IFERROR(VLOOKUP(E270,'MASTER RECORD'!$B$5:$W$1000,3,0),"")</f>
        <v/>
      </c>
      <c r="I270" s="36" t="str">
        <f t="shared" si="13"/>
        <v/>
      </c>
      <c r="N270" s="36" t="str">
        <f t="shared" si="14"/>
        <v/>
      </c>
    </row>
    <row r="271" spans="1:14">
      <c r="A271" s="6">
        <f t="shared" si="12"/>
        <v>266</v>
      </c>
      <c r="C271" s="35" t="str">
        <f>IFERROR(VLOOKUP(B271,'MASTER RECORD'!$B$5:$W$1000,10,0) &amp;"."&amp;(VLOOKUP(B271,'MASTER RECORD'!$B$5:$W$1000,11,0)),"")</f>
        <v/>
      </c>
      <c r="D271" s="35" t="str">
        <f>IFERROR(VLOOKUP(B271,'MASTER RECORD'!$B$5:$W$1000,3,0),"")</f>
        <v/>
      </c>
      <c r="F271" s="35" t="str">
        <f>IFERROR(VLOOKUP(E271,'MASTER RECORD'!$B$5:$W$1000,10,0) &amp;"."&amp;(VLOOKUP(E271,'MASTER RECORD'!$B$5:$W$1000,11,0)),"")</f>
        <v/>
      </c>
      <c r="G271" s="35" t="str">
        <f>IFERROR(VLOOKUP(E271,'MASTER RECORD'!$B$5:$W$1000,3,0),"")</f>
        <v/>
      </c>
      <c r="I271" s="36" t="str">
        <f t="shared" si="13"/>
        <v/>
      </c>
      <c r="N271" s="36" t="str">
        <f t="shared" si="14"/>
        <v/>
      </c>
    </row>
    <row r="272" spans="1:14">
      <c r="A272" s="6">
        <f t="shared" si="12"/>
        <v>267</v>
      </c>
      <c r="C272" s="35" t="str">
        <f>IFERROR(VLOOKUP(B272,'MASTER RECORD'!$B$5:$W$1000,10,0) &amp;"."&amp;(VLOOKUP(B272,'MASTER RECORD'!$B$5:$W$1000,11,0)),"")</f>
        <v/>
      </c>
      <c r="D272" s="35" t="str">
        <f>IFERROR(VLOOKUP(B272,'MASTER RECORD'!$B$5:$W$1000,3,0),"")</f>
        <v/>
      </c>
      <c r="F272" s="35" t="str">
        <f>IFERROR(VLOOKUP(E272,'MASTER RECORD'!$B$5:$W$1000,10,0) &amp;"."&amp;(VLOOKUP(E272,'MASTER RECORD'!$B$5:$W$1000,11,0)),"")</f>
        <v/>
      </c>
      <c r="G272" s="35" t="str">
        <f>IFERROR(VLOOKUP(E272,'MASTER RECORD'!$B$5:$W$1000,3,0),"")</f>
        <v/>
      </c>
      <c r="I272" s="36" t="str">
        <f t="shared" si="13"/>
        <v/>
      </c>
      <c r="N272" s="36" t="str">
        <f t="shared" si="14"/>
        <v/>
      </c>
    </row>
    <row r="273" spans="1:14">
      <c r="A273" s="6">
        <f t="shared" si="12"/>
        <v>268</v>
      </c>
      <c r="C273" s="35" t="str">
        <f>IFERROR(VLOOKUP(B273,'MASTER RECORD'!$B$5:$W$1000,10,0) &amp;"."&amp;(VLOOKUP(B273,'MASTER RECORD'!$B$5:$W$1000,11,0)),"")</f>
        <v/>
      </c>
      <c r="D273" s="35" t="str">
        <f>IFERROR(VLOOKUP(B273,'MASTER RECORD'!$B$5:$W$1000,3,0),"")</f>
        <v/>
      </c>
      <c r="F273" s="35" t="str">
        <f>IFERROR(VLOOKUP(E273,'MASTER RECORD'!$B$5:$W$1000,10,0) &amp;"."&amp;(VLOOKUP(E273,'MASTER RECORD'!$B$5:$W$1000,11,0)),"")</f>
        <v/>
      </c>
      <c r="G273" s="35" t="str">
        <f>IFERROR(VLOOKUP(E273,'MASTER RECORD'!$B$5:$W$1000,3,0),"")</f>
        <v/>
      </c>
      <c r="I273" s="36" t="str">
        <f t="shared" si="13"/>
        <v/>
      </c>
      <c r="N273" s="36" t="str">
        <f t="shared" si="14"/>
        <v/>
      </c>
    </row>
    <row r="274" spans="1:14">
      <c r="A274" s="6">
        <f t="shared" si="12"/>
        <v>269</v>
      </c>
      <c r="C274" s="35" t="str">
        <f>IFERROR(VLOOKUP(B274,'MASTER RECORD'!$B$5:$W$1000,10,0) &amp;"."&amp;(VLOOKUP(B274,'MASTER RECORD'!$B$5:$W$1000,11,0)),"")</f>
        <v/>
      </c>
      <c r="D274" s="35" t="str">
        <f>IFERROR(VLOOKUP(B274,'MASTER RECORD'!$B$5:$W$1000,3,0),"")</f>
        <v/>
      </c>
      <c r="F274" s="35" t="str">
        <f>IFERROR(VLOOKUP(E274,'MASTER RECORD'!$B$5:$W$1000,10,0) &amp;"."&amp;(VLOOKUP(E274,'MASTER RECORD'!$B$5:$W$1000,11,0)),"")</f>
        <v/>
      </c>
      <c r="G274" s="35" t="str">
        <f>IFERROR(VLOOKUP(E274,'MASTER RECORD'!$B$5:$W$1000,3,0),"")</f>
        <v/>
      </c>
      <c r="I274" s="36" t="str">
        <f t="shared" si="13"/>
        <v/>
      </c>
      <c r="N274" s="36" t="str">
        <f t="shared" si="14"/>
        <v/>
      </c>
    </row>
    <row r="275" spans="1:14">
      <c r="A275" s="6">
        <f t="shared" si="12"/>
        <v>270</v>
      </c>
      <c r="C275" s="35" t="str">
        <f>IFERROR(VLOOKUP(B275,'MASTER RECORD'!$B$5:$W$1000,10,0) &amp;"."&amp;(VLOOKUP(B275,'MASTER RECORD'!$B$5:$W$1000,11,0)),"")</f>
        <v/>
      </c>
      <c r="D275" s="35" t="str">
        <f>IFERROR(VLOOKUP(B275,'MASTER RECORD'!$B$5:$W$1000,3,0),"")</f>
        <v/>
      </c>
      <c r="F275" s="35" t="str">
        <f>IFERROR(VLOOKUP(E275,'MASTER RECORD'!$B$5:$W$1000,10,0) &amp;"."&amp;(VLOOKUP(E275,'MASTER RECORD'!$B$5:$W$1000,11,0)),"")</f>
        <v/>
      </c>
      <c r="G275" s="35" t="str">
        <f>IFERROR(VLOOKUP(E275,'MASTER RECORD'!$B$5:$W$1000,3,0),"")</f>
        <v/>
      </c>
      <c r="I275" s="36" t="str">
        <f t="shared" si="13"/>
        <v/>
      </c>
      <c r="N275" s="36" t="str">
        <f t="shared" si="14"/>
        <v/>
      </c>
    </row>
    <row r="276" spans="1:14">
      <c r="A276" s="6">
        <f t="shared" si="12"/>
        <v>271</v>
      </c>
      <c r="C276" s="35" t="str">
        <f>IFERROR(VLOOKUP(B276,'MASTER RECORD'!$B$5:$W$1000,10,0) &amp;"."&amp;(VLOOKUP(B276,'MASTER RECORD'!$B$5:$W$1000,11,0)),"")</f>
        <v/>
      </c>
      <c r="D276" s="35" t="str">
        <f>IFERROR(VLOOKUP(B276,'MASTER RECORD'!$B$5:$W$1000,3,0),"")</f>
        <v/>
      </c>
      <c r="F276" s="35" t="str">
        <f>IFERROR(VLOOKUP(E276,'MASTER RECORD'!$B$5:$W$1000,10,0) &amp;"."&amp;(VLOOKUP(E276,'MASTER RECORD'!$B$5:$W$1000,11,0)),"")</f>
        <v/>
      </c>
      <c r="G276" s="35" t="str">
        <f>IFERROR(VLOOKUP(E276,'MASTER RECORD'!$B$5:$W$1000,3,0),"")</f>
        <v/>
      </c>
      <c r="I276" s="36" t="str">
        <f t="shared" si="13"/>
        <v/>
      </c>
      <c r="N276" s="36" t="str">
        <f t="shared" si="14"/>
        <v/>
      </c>
    </row>
    <row r="277" spans="1:14">
      <c r="A277" s="6">
        <f t="shared" si="12"/>
        <v>272</v>
      </c>
      <c r="C277" s="35" t="str">
        <f>IFERROR(VLOOKUP(B277,'MASTER RECORD'!$B$5:$W$1000,10,0) &amp;"."&amp;(VLOOKUP(B277,'MASTER RECORD'!$B$5:$W$1000,11,0)),"")</f>
        <v/>
      </c>
      <c r="D277" s="35" t="str">
        <f>IFERROR(VLOOKUP(B277,'MASTER RECORD'!$B$5:$W$1000,3,0),"")</f>
        <v/>
      </c>
      <c r="F277" s="35" t="str">
        <f>IFERROR(VLOOKUP(E277,'MASTER RECORD'!$B$5:$W$1000,10,0) &amp;"."&amp;(VLOOKUP(E277,'MASTER RECORD'!$B$5:$W$1000,11,0)),"")</f>
        <v/>
      </c>
      <c r="G277" s="35" t="str">
        <f>IFERROR(VLOOKUP(E277,'MASTER RECORD'!$B$5:$W$1000,3,0),"")</f>
        <v/>
      </c>
      <c r="I277" s="36" t="str">
        <f t="shared" si="13"/>
        <v/>
      </c>
      <c r="N277" s="36" t="str">
        <f t="shared" si="14"/>
        <v/>
      </c>
    </row>
    <row r="278" spans="1:14">
      <c r="A278" s="6">
        <f t="shared" si="12"/>
        <v>273</v>
      </c>
      <c r="C278" s="35" t="str">
        <f>IFERROR(VLOOKUP(B278,'MASTER RECORD'!$B$5:$W$1000,10,0) &amp;"."&amp;(VLOOKUP(B278,'MASTER RECORD'!$B$5:$W$1000,11,0)),"")</f>
        <v/>
      </c>
      <c r="D278" s="35" t="str">
        <f>IFERROR(VLOOKUP(B278,'MASTER RECORD'!$B$5:$W$1000,3,0),"")</f>
        <v/>
      </c>
      <c r="F278" s="35" t="str">
        <f>IFERROR(VLOOKUP(E278,'MASTER RECORD'!$B$5:$W$1000,10,0) &amp;"."&amp;(VLOOKUP(E278,'MASTER RECORD'!$B$5:$W$1000,11,0)),"")</f>
        <v/>
      </c>
      <c r="G278" s="35" t="str">
        <f>IFERROR(VLOOKUP(E278,'MASTER RECORD'!$B$5:$W$1000,3,0),"")</f>
        <v/>
      </c>
      <c r="I278" s="36" t="str">
        <f t="shared" si="13"/>
        <v/>
      </c>
      <c r="N278" s="36" t="str">
        <f t="shared" si="14"/>
        <v/>
      </c>
    </row>
    <row r="279" spans="1:14">
      <c r="A279" s="6">
        <f t="shared" si="12"/>
        <v>274</v>
      </c>
      <c r="C279" s="35" t="str">
        <f>IFERROR(VLOOKUP(B279,'MASTER RECORD'!$B$5:$W$1000,10,0) &amp;"."&amp;(VLOOKUP(B279,'MASTER RECORD'!$B$5:$W$1000,11,0)),"")</f>
        <v/>
      </c>
      <c r="D279" s="35" t="str">
        <f>IFERROR(VLOOKUP(B279,'MASTER RECORD'!$B$5:$W$1000,3,0),"")</f>
        <v/>
      </c>
      <c r="F279" s="35" t="str">
        <f>IFERROR(VLOOKUP(E279,'MASTER RECORD'!$B$5:$W$1000,10,0) &amp;"."&amp;(VLOOKUP(E279,'MASTER RECORD'!$B$5:$W$1000,11,0)),"")</f>
        <v/>
      </c>
      <c r="G279" s="35" t="str">
        <f>IFERROR(VLOOKUP(E279,'MASTER RECORD'!$B$5:$W$1000,3,0),"")</f>
        <v/>
      </c>
      <c r="I279" s="36" t="str">
        <f t="shared" si="13"/>
        <v/>
      </c>
      <c r="N279" s="36" t="str">
        <f t="shared" si="14"/>
        <v/>
      </c>
    </row>
    <row r="280" spans="1:14">
      <c r="A280" s="6">
        <f t="shared" si="12"/>
        <v>275</v>
      </c>
      <c r="C280" s="35" t="str">
        <f>IFERROR(VLOOKUP(B280,'MASTER RECORD'!$B$5:$W$1000,10,0) &amp;"."&amp;(VLOOKUP(B280,'MASTER RECORD'!$B$5:$W$1000,11,0)),"")</f>
        <v/>
      </c>
      <c r="D280" s="35" t="str">
        <f>IFERROR(VLOOKUP(B280,'MASTER RECORD'!$B$5:$W$1000,3,0),"")</f>
        <v/>
      </c>
      <c r="F280" s="35" t="str">
        <f>IFERROR(VLOOKUP(E280,'MASTER RECORD'!$B$5:$W$1000,10,0) &amp;"."&amp;(VLOOKUP(E280,'MASTER RECORD'!$B$5:$W$1000,11,0)),"")</f>
        <v/>
      </c>
      <c r="G280" s="35" t="str">
        <f>IFERROR(VLOOKUP(E280,'MASTER RECORD'!$B$5:$W$1000,3,0),"")</f>
        <v/>
      </c>
      <c r="I280" s="36" t="str">
        <f t="shared" si="13"/>
        <v/>
      </c>
      <c r="N280" s="36" t="str">
        <f t="shared" si="14"/>
        <v/>
      </c>
    </row>
    <row r="281" spans="1:14">
      <c r="A281" s="6">
        <f t="shared" si="12"/>
        <v>276</v>
      </c>
      <c r="C281" s="35" t="str">
        <f>IFERROR(VLOOKUP(B281,'MASTER RECORD'!$B$5:$W$1000,10,0) &amp;"."&amp;(VLOOKUP(B281,'MASTER RECORD'!$B$5:$W$1000,11,0)),"")</f>
        <v/>
      </c>
      <c r="D281" s="35" t="str">
        <f>IFERROR(VLOOKUP(B281,'MASTER RECORD'!$B$5:$W$1000,3,0),"")</f>
        <v/>
      </c>
      <c r="F281" s="35" t="str">
        <f>IFERROR(VLOOKUP(E281,'MASTER RECORD'!$B$5:$W$1000,10,0) &amp;"."&amp;(VLOOKUP(E281,'MASTER RECORD'!$B$5:$W$1000,11,0)),"")</f>
        <v/>
      </c>
      <c r="G281" s="35" t="str">
        <f>IFERROR(VLOOKUP(E281,'MASTER RECORD'!$B$5:$W$1000,3,0),"")</f>
        <v/>
      </c>
      <c r="I281" s="36" t="str">
        <f t="shared" si="13"/>
        <v/>
      </c>
      <c r="N281" s="36" t="str">
        <f t="shared" si="14"/>
        <v/>
      </c>
    </row>
    <row r="282" spans="1:14">
      <c r="A282" s="6">
        <f t="shared" si="12"/>
        <v>277</v>
      </c>
      <c r="C282" s="35" t="str">
        <f>IFERROR(VLOOKUP(B282,'MASTER RECORD'!$B$5:$W$1000,10,0) &amp;"."&amp;(VLOOKUP(B282,'MASTER RECORD'!$B$5:$W$1000,11,0)),"")</f>
        <v/>
      </c>
      <c r="D282" s="35" t="str">
        <f>IFERROR(VLOOKUP(B282,'MASTER RECORD'!$B$5:$W$1000,3,0),"")</f>
        <v/>
      </c>
      <c r="F282" s="35" t="str">
        <f>IFERROR(VLOOKUP(E282,'MASTER RECORD'!$B$5:$W$1000,10,0) &amp;"."&amp;(VLOOKUP(E282,'MASTER RECORD'!$B$5:$W$1000,11,0)),"")</f>
        <v/>
      </c>
      <c r="G282" s="35" t="str">
        <f>IFERROR(VLOOKUP(E282,'MASTER RECORD'!$B$5:$W$1000,3,0),"")</f>
        <v/>
      </c>
      <c r="I282" s="36" t="str">
        <f t="shared" si="13"/>
        <v/>
      </c>
      <c r="N282" s="36" t="str">
        <f t="shared" si="14"/>
        <v/>
      </c>
    </row>
    <row r="283" spans="1:14">
      <c r="A283" s="6">
        <f t="shared" si="12"/>
        <v>278</v>
      </c>
      <c r="C283" s="35" t="str">
        <f>IFERROR(VLOOKUP(B283,'MASTER RECORD'!$B$5:$W$1000,10,0) &amp;"."&amp;(VLOOKUP(B283,'MASTER RECORD'!$B$5:$W$1000,11,0)),"")</f>
        <v/>
      </c>
      <c r="D283" s="35" t="str">
        <f>IFERROR(VLOOKUP(B283,'MASTER RECORD'!$B$5:$W$1000,3,0),"")</f>
        <v/>
      </c>
      <c r="F283" s="35" t="str">
        <f>IFERROR(VLOOKUP(E283,'MASTER RECORD'!$B$5:$W$1000,10,0) &amp;"."&amp;(VLOOKUP(E283,'MASTER RECORD'!$B$5:$W$1000,11,0)),"")</f>
        <v/>
      </c>
      <c r="G283" s="35" t="str">
        <f>IFERROR(VLOOKUP(E283,'MASTER RECORD'!$B$5:$W$1000,3,0),"")</f>
        <v/>
      </c>
      <c r="I283" s="36" t="str">
        <f t="shared" si="13"/>
        <v/>
      </c>
      <c r="N283" s="36" t="str">
        <f t="shared" si="14"/>
        <v/>
      </c>
    </row>
    <row r="284" spans="1:14">
      <c r="A284" s="6">
        <f t="shared" si="12"/>
        <v>279</v>
      </c>
      <c r="C284" s="35" t="str">
        <f>IFERROR(VLOOKUP(B284,'MASTER RECORD'!$B$5:$W$1000,10,0) &amp;"."&amp;(VLOOKUP(B284,'MASTER RECORD'!$B$5:$W$1000,11,0)),"")</f>
        <v/>
      </c>
      <c r="D284" s="35" t="str">
        <f>IFERROR(VLOOKUP(B284,'MASTER RECORD'!$B$5:$W$1000,3,0),"")</f>
        <v/>
      </c>
      <c r="F284" s="35" t="str">
        <f>IFERROR(VLOOKUP(E284,'MASTER RECORD'!$B$5:$W$1000,10,0) &amp;"."&amp;(VLOOKUP(E284,'MASTER RECORD'!$B$5:$W$1000,11,0)),"")</f>
        <v/>
      </c>
      <c r="G284" s="35" t="str">
        <f>IFERROR(VLOOKUP(E284,'MASTER RECORD'!$B$5:$W$1000,3,0),"")</f>
        <v/>
      </c>
      <c r="I284" s="36" t="str">
        <f t="shared" si="13"/>
        <v/>
      </c>
      <c r="N284" s="36" t="str">
        <f t="shared" si="14"/>
        <v/>
      </c>
    </row>
    <row r="285" spans="1:14">
      <c r="A285" s="6">
        <f t="shared" si="12"/>
        <v>280</v>
      </c>
      <c r="C285" s="35" t="str">
        <f>IFERROR(VLOOKUP(B285,'MASTER RECORD'!$B$5:$W$1000,10,0) &amp;"."&amp;(VLOOKUP(B285,'MASTER RECORD'!$B$5:$W$1000,11,0)),"")</f>
        <v/>
      </c>
      <c r="D285" s="35" t="str">
        <f>IFERROR(VLOOKUP(B285,'MASTER RECORD'!$B$5:$W$1000,3,0),"")</f>
        <v/>
      </c>
      <c r="F285" s="35" t="str">
        <f>IFERROR(VLOOKUP(E285,'MASTER RECORD'!$B$5:$W$1000,10,0) &amp;"."&amp;(VLOOKUP(E285,'MASTER RECORD'!$B$5:$W$1000,11,0)),"")</f>
        <v/>
      </c>
      <c r="G285" s="35" t="str">
        <f>IFERROR(VLOOKUP(E285,'MASTER RECORD'!$B$5:$W$1000,3,0),"")</f>
        <v/>
      </c>
      <c r="I285" s="36" t="str">
        <f t="shared" si="13"/>
        <v/>
      </c>
      <c r="N285" s="36" t="str">
        <f t="shared" si="14"/>
        <v/>
      </c>
    </row>
    <row r="286" spans="1:14">
      <c r="A286" s="6">
        <f t="shared" si="12"/>
        <v>281</v>
      </c>
      <c r="C286" s="35" t="str">
        <f>IFERROR(VLOOKUP(B286,'MASTER RECORD'!$B$5:$W$1000,10,0) &amp;"."&amp;(VLOOKUP(B286,'MASTER RECORD'!$B$5:$W$1000,11,0)),"")</f>
        <v/>
      </c>
      <c r="D286" s="35" t="str">
        <f>IFERROR(VLOOKUP(B286,'MASTER RECORD'!$B$5:$W$1000,3,0),"")</f>
        <v/>
      </c>
      <c r="F286" s="35" t="str">
        <f>IFERROR(VLOOKUP(E286,'MASTER RECORD'!$B$5:$W$1000,10,0) &amp;"."&amp;(VLOOKUP(E286,'MASTER RECORD'!$B$5:$W$1000,11,0)),"")</f>
        <v/>
      </c>
      <c r="G286" s="35" t="str">
        <f>IFERROR(VLOOKUP(E286,'MASTER RECORD'!$B$5:$W$1000,3,0),"")</f>
        <v/>
      </c>
      <c r="I286" s="36" t="str">
        <f t="shared" si="13"/>
        <v/>
      </c>
      <c r="N286" s="36" t="str">
        <f t="shared" si="14"/>
        <v/>
      </c>
    </row>
    <row r="287" spans="1:14">
      <c r="A287" s="6">
        <f t="shared" si="12"/>
        <v>282</v>
      </c>
      <c r="C287" s="35" t="str">
        <f>IFERROR(VLOOKUP(B287,'MASTER RECORD'!$B$5:$W$1000,10,0) &amp;"."&amp;(VLOOKUP(B287,'MASTER RECORD'!$B$5:$W$1000,11,0)),"")</f>
        <v/>
      </c>
      <c r="D287" s="35" t="str">
        <f>IFERROR(VLOOKUP(B287,'MASTER RECORD'!$B$5:$W$1000,3,0),"")</f>
        <v/>
      </c>
      <c r="F287" s="35" t="str">
        <f>IFERROR(VLOOKUP(E287,'MASTER RECORD'!$B$5:$W$1000,10,0) &amp;"."&amp;(VLOOKUP(E287,'MASTER RECORD'!$B$5:$W$1000,11,0)),"")</f>
        <v/>
      </c>
      <c r="G287" s="35" t="str">
        <f>IFERROR(VLOOKUP(E287,'MASTER RECORD'!$B$5:$W$1000,3,0),"")</f>
        <v/>
      </c>
      <c r="I287" s="36" t="str">
        <f t="shared" si="13"/>
        <v/>
      </c>
      <c r="N287" s="36" t="str">
        <f t="shared" si="14"/>
        <v/>
      </c>
    </row>
    <row r="288" spans="1:14">
      <c r="A288" s="6">
        <f t="shared" si="12"/>
        <v>283</v>
      </c>
      <c r="C288" s="35" t="str">
        <f>IFERROR(VLOOKUP(B288,'MASTER RECORD'!$B$5:$W$1000,10,0) &amp;"."&amp;(VLOOKUP(B288,'MASTER RECORD'!$B$5:$W$1000,11,0)),"")</f>
        <v/>
      </c>
      <c r="D288" s="35" t="str">
        <f>IFERROR(VLOOKUP(B288,'MASTER RECORD'!$B$5:$W$1000,3,0),"")</f>
        <v/>
      </c>
      <c r="F288" s="35" t="str">
        <f>IFERROR(VLOOKUP(E288,'MASTER RECORD'!$B$5:$W$1000,10,0) &amp;"."&amp;(VLOOKUP(E288,'MASTER RECORD'!$B$5:$W$1000,11,0)),"")</f>
        <v/>
      </c>
      <c r="G288" s="35" t="str">
        <f>IFERROR(VLOOKUP(E288,'MASTER RECORD'!$B$5:$W$1000,3,0),"")</f>
        <v/>
      </c>
      <c r="I288" s="36" t="str">
        <f t="shared" si="13"/>
        <v/>
      </c>
      <c r="N288" s="36" t="str">
        <f t="shared" si="14"/>
        <v/>
      </c>
    </row>
    <row r="289" spans="1:14">
      <c r="A289" s="6">
        <f t="shared" si="12"/>
        <v>284</v>
      </c>
      <c r="C289" s="35" t="str">
        <f>IFERROR(VLOOKUP(B289,'MASTER RECORD'!$B$5:$W$1000,10,0) &amp;"."&amp;(VLOOKUP(B289,'MASTER RECORD'!$B$5:$W$1000,11,0)),"")</f>
        <v/>
      </c>
      <c r="D289" s="35" t="str">
        <f>IFERROR(VLOOKUP(B289,'MASTER RECORD'!$B$5:$W$1000,3,0),"")</f>
        <v/>
      </c>
      <c r="F289" s="35" t="str">
        <f>IFERROR(VLOOKUP(E289,'MASTER RECORD'!$B$5:$W$1000,10,0) &amp;"."&amp;(VLOOKUP(E289,'MASTER RECORD'!$B$5:$W$1000,11,0)),"")</f>
        <v/>
      </c>
      <c r="G289" s="35" t="str">
        <f>IFERROR(VLOOKUP(E289,'MASTER RECORD'!$B$5:$W$1000,3,0),"")</f>
        <v/>
      </c>
      <c r="I289" s="36" t="str">
        <f t="shared" si="13"/>
        <v/>
      </c>
      <c r="N289" s="36" t="str">
        <f t="shared" si="14"/>
        <v/>
      </c>
    </row>
    <row r="290" spans="1:14">
      <c r="A290" s="6">
        <f t="shared" si="12"/>
        <v>285</v>
      </c>
      <c r="C290" s="35" t="str">
        <f>IFERROR(VLOOKUP(B290,'MASTER RECORD'!$B$5:$W$1000,10,0) &amp;"."&amp;(VLOOKUP(B290,'MASTER RECORD'!$B$5:$W$1000,11,0)),"")</f>
        <v/>
      </c>
      <c r="D290" s="35" t="str">
        <f>IFERROR(VLOOKUP(B290,'MASTER RECORD'!$B$5:$W$1000,3,0),"")</f>
        <v/>
      </c>
      <c r="F290" s="35" t="str">
        <f>IFERROR(VLOOKUP(E290,'MASTER RECORD'!$B$5:$W$1000,10,0) &amp;"."&amp;(VLOOKUP(E290,'MASTER RECORD'!$B$5:$W$1000,11,0)),"")</f>
        <v/>
      </c>
      <c r="G290" s="35" t="str">
        <f>IFERROR(VLOOKUP(E290,'MASTER RECORD'!$B$5:$W$1000,3,0),"")</f>
        <v/>
      </c>
      <c r="I290" s="36" t="str">
        <f t="shared" si="13"/>
        <v/>
      </c>
      <c r="N290" s="36" t="str">
        <f t="shared" si="14"/>
        <v/>
      </c>
    </row>
    <row r="291" spans="1:14">
      <c r="A291" s="6">
        <f t="shared" si="12"/>
        <v>286</v>
      </c>
      <c r="C291" s="35" t="str">
        <f>IFERROR(VLOOKUP(B291,'MASTER RECORD'!$B$5:$W$1000,10,0) &amp;"."&amp;(VLOOKUP(B291,'MASTER RECORD'!$B$5:$W$1000,11,0)),"")</f>
        <v/>
      </c>
      <c r="D291" s="35" t="str">
        <f>IFERROR(VLOOKUP(B291,'MASTER RECORD'!$B$5:$W$1000,3,0),"")</f>
        <v/>
      </c>
      <c r="F291" s="35" t="str">
        <f>IFERROR(VLOOKUP(E291,'MASTER RECORD'!$B$5:$W$1000,10,0) &amp;"."&amp;(VLOOKUP(E291,'MASTER RECORD'!$B$5:$W$1000,11,0)),"")</f>
        <v/>
      </c>
      <c r="G291" s="35" t="str">
        <f>IFERROR(VLOOKUP(E291,'MASTER RECORD'!$B$5:$W$1000,3,0),"")</f>
        <v/>
      </c>
      <c r="I291" s="36" t="str">
        <f t="shared" si="13"/>
        <v/>
      </c>
      <c r="N291" s="36" t="str">
        <f t="shared" si="14"/>
        <v/>
      </c>
    </row>
    <row r="292" spans="1:14">
      <c r="A292" s="6">
        <f t="shared" si="12"/>
        <v>287</v>
      </c>
      <c r="C292" s="35" t="str">
        <f>IFERROR(VLOOKUP(B292,'MASTER RECORD'!$B$5:$W$1000,10,0) &amp;"."&amp;(VLOOKUP(B292,'MASTER RECORD'!$B$5:$W$1000,11,0)),"")</f>
        <v/>
      </c>
      <c r="D292" s="35" t="str">
        <f>IFERROR(VLOOKUP(B292,'MASTER RECORD'!$B$5:$W$1000,3,0),"")</f>
        <v/>
      </c>
      <c r="F292" s="35" t="str">
        <f>IFERROR(VLOOKUP(E292,'MASTER RECORD'!$B$5:$W$1000,10,0) &amp;"."&amp;(VLOOKUP(E292,'MASTER RECORD'!$B$5:$W$1000,11,0)),"")</f>
        <v/>
      </c>
      <c r="G292" s="35" t="str">
        <f>IFERROR(VLOOKUP(E292,'MASTER RECORD'!$B$5:$W$1000,3,0),"")</f>
        <v/>
      </c>
      <c r="I292" s="36" t="str">
        <f t="shared" si="13"/>
        <v/>
      </c>
      <c r="N292" s="36" t="str">
        <f t="shared" si="14"/>
        <v/>
      </c>
    </row>
    <row r="293" spans="1:14">
      <c r="A293" s="6">
        <f t="shared" si="12"/>
        <v>288</v>
      </c>
      <c r="C293" s="35" t="str">
        <f>IFERROR(VLOOKUP(B293,'MASTER RECORD'!$B$5:$W$1000,10,0) &amp;"."&amp;(VLOOKUP(B293,'MASTER RECORD'!$B$5:$W$1000,11,0)),"")</f>
        <v/>
      </c>
      <c r="D293" s="35" t="str">
        <f>IFERROR(VLOOKUP(B293,'MASTER RECORD'!$B$5:$W$1000,3,0),"")</f>
        <v/>
      </c>
      <c r="F293" s="35" t="str">
        <f>IFERROR(VLOOKUP(E293,'MASTER RECORD'!$B$5:$W$1000,10,0) &amp;"."&amp;(VLOOKUP(E293,'MASTER RECORD'!$B$5:$W$1000,11,0)),"")</f>
        <v/>
      </c>
      <c r="G293" s="35" t="str">
        <f>IFERROR(VLOOKUP(E293,'MASTER RECORD'!$B$5:$W$1000,3,0),"")</f>
        <v/>
      </c>
      <c r="I293" s="36" t="str">
        <f t="shared" si="13"/>
        <v/>
      </c>
      <c r="N293" s="36" t="str">
        <f t="shared" si="14"/>
        <v/>
      </c>
    </row>
    <row r="294" spans="1:14">
      <c r="A294" s="6">
        <f t="shared" si="12"/>
        <v>289</v>
      </c>
      <c r="C294" s="35" t="str">
        <f>IFERROR(VLOOKUP(B294,'MASTER RECORD'!$B$5:$W$1000,10,0) &amp;"."&amp;(VLOOKUP(B294,'MASTER RECORD'!$B$5:$W$1000,11,0)),"")</f>
        <v/>
      </c>
      <c r="D294" s="35" t="str">
        <f>IFERROR(VLOOKUP(B294,'MASTER RECORD'!$B$5:$W$1000,3,0),"")</f>
        <v/>
      </c>
      <c r="F294" s="35" t="str">
        <f>IFERROR(VLOOKUP(E294,'MASTER RECORD'!$B$5:$W$1000,10,0) &amp;"."&amp;(VLOOKUP(E294,'MASTER RECORD'!$B$5:$W$1000,11,0)),"")</f>
        <v/>
      </c>
      <c r="G294" s="35" t="str">
        <f>IFERROR(VLOOKUP(E294,'MASTER RECORD'!$B$5:$W$1000,3,0),"")</f>
        <v/>
      </c>
      <c r="I294" s="36" t="str">
        <f t="shared" si="13"/>
        <v/>
      </c>
      <c r="N294" s="36" t="str">
        <f t="shared" si="14"/>
        <v/>
      </c>
    </row>
    <row r="295" spans="1:14">
      <c r="A295" s="6">
        <f t="shared" si="12"/>
        <v>290</v>
      </c>
      <c r="C295" s="35" t="str">
        <f>IFERROR(VLOOKUP(B295,'MASTER RECORD'!$B$5:$W$1000,10,0) &amp;"."&amp;(VLOOKUP(B295,'MASTER RECORD'!$B$5:$W$1000,11,0)),"")</f>
        <v/>
      </c>
      <c r="D295" s="35" t="str">
        <f>IFERROR(VLOOKUP(B295,'MASTER RECORD'!$B$5:$W$1000,3,0),"")</f>
        <v/>
      </c>
      <c r="F295" s="35" t="str">
        <f>IFERROR(VLOOKUP(E295,'MASTER RECORD'!$B$5:$W$1000,10,0) &amp;"."&amp;(VLOOKUP(E295,'MASTER RECORD'!$B$5:$W$1000,11,0)),"")</f>
        <v/>
      </c>
      <c r="G295" s="35" t="str">
        <f>IFERROR(VLOOKUP(E295,'MASTER RECORD'!$B$5:$W$1000,3,0),"")</f>
        <v/>
      </c>
      <c r="I295" s="36" t="str">
        <f t="shared" si="13"/>
        <v/>
      </c>
      <c r="N295" s="36" t="str">
        <f t="shared" si="14"/>
        <v/>
      </c>
    </row>
    <row r="296" spans="1:14">
      <c r="A296" s="6">
        <f t="shared" si="12"/>
        <v>291</v>
      </c>
      <c r="C296" s="35" t="str">
        <f>IFERROR(VLOOKUP(B296,'MASTER RECORD'!$B$5:$W$1000,10,0) &amp;"."&amp;(VLOOKUP(B296,'MASTER RECORD'!$B$5:$W$1000,11,0)),"")</f>
        <v/>
      </c>
      <c r="D296" s="35" t="str">
        <f>IFERROR(VLOOKUP(B296,'MASTER RECORD'!$B$5:$W$1000,3,0),"")</f>
        <v/>
      </c>
      <c r="F296" s="35" t="str">
        <f>IFERROR(VLOOKUP(E296,'MASTER RECORD'!$B$5:$W$1000,10,0) &amp;"."&amp;(VLOOKUP(E296,'MASTER RECORD'!$B$5:$W$1000,11,0)),"")</f>
        <v/>
      </c>
      <c r="G296" s="35" t="str">
        <f>IFERROR(VLOOKUP(E296,'MASTER RECORD'!$B$5:$W$1000,3,0),"")</f>
        <v/>
      </c>
      <c r="I296" s="36" t="str">
        <f t="shared" si="13"/>
        <v/>
      </c>
      <c r="N296" s="36" t="str">
        <f t="shared" si="14"/>
        <v/>
      </c>
    </row>
    <row r="297" spans="1:14">
      <c r="A297" s="6">
        <f t="shared" si="12"/>
        <v>292</v>
      </c>
      <c r="C297" s="35" t="str">
        <f>IFERROR(VLOOKUP(B297,'MASTER RECORD'!$B$5:$W$1000,10,0) &amp;"."&amp;(VLOOKUP(B297,'MASTER RECORD'!$B$5:$W$1000,11,0)),"")</f>
        <v/>
      </c>
      <c r="D297" s="35" t="str">
        <f>IFERROR(VLOOKUP(B297,'MASTER RECORD'!$B$5:$W$1000,3,0),"")</f>
        <v/>
      </c>
      <c r="F297" s="35" t="str">
        <f>IFERROR(VLOOKUP(E297,'MASTER RECORD'!$B$5:$W$1000,10,0) &amp;"."&amp;(VLOOKUP(E297,'MASTER RECORD'!$B$5:$W$1000,11,0)),"")</f>
        <v/>
      </c>
      <c r="G297" s="35" t="str">
        <f>IFERROR(VLOOKUP(E297,'MASTER RECORD'!$B$5:$W$1000,3,0),"")</f>
        <v/>
      </c>
      <c r="I297" s="36" t="str">
        <f t="shared" si="13"/>
        <v/>
      </c>
      <c r="N297" s="36" t="str">
        <f t="shared" si="14"/>
        <v/>
      </c>
    </row>
    <row r="298" spans="1:14">
      <c r="A298" s="6">
        <f t="shared" ref="A298:A361" si="15">ROW(A293)</f>
        <v>293</v>
      </c>
      <c r="C298" s="35" t="str">
        <f>IFERROR(VLOOKUP(B298,'MASTER RECORD'!$B$5:$W$1000,10,0) &amp;"."&amp;(VLOOKUP(B298,'MASTER RECORD'!$B$5:$W$1000,11,0)),"")</f>
        <v/>
      </c>
      <c r="D298" s="35" t="str">
        <f>IFERROR(VLOOKUP(B298,'MASTER RECORD'!$B$5:$W$1000,3,0),"")</f>
        <v/>
      </c>
      <c r="F298" s="35" t="str">
        <f>IFERROR(VLOOKUP(E298,'MASTER RECORD'!$B$5:$W$1000,10,0) &amp;"."&amp;(VLOOKUP(E298,'MASTER RECORD'!$B$5:$W$1000,11,0)),"")</f>
        <v/>
      </c>
      <c r="G298" s="35" t="str">
        <f>IFERROR(VLOOKUP(E298,'MASTER RECORD'!$B$5:$W$1000,3,0),"")</f>
        <v/>
      </c>
      <c r="I298" s="36" t="str">
        <f t="shared" si="13"/>
        <v/>
      </c>
      <c r="N298" s="36" t="str">
        <f t="shared" si="14"/>
        <v/>
      </c>
    </row>
    <row r="299" spans="1:14">
      <c r="A299" s="6">
        <f t="shared" si="15"/>
        <v>294</v>
      </c>
      <c r="C299" s="35" t="str">
        <f>IFERROR(VLOOKUP(B299,'MASTER RECORD'!$B$5:$W$1000,10,0) &amp;"."&amp;(VLOOKUP(B299,'MASTER RECORD'!$B$5:$W$1000,11,0)),"")</f>
        <v/>
      </c>
      <c r="D299" s="35" t="str">
        <f>IFERROR(VLOOKUP(B299,'MASTER RECORD'!$B$5:$W$1000,3,0),"")</f>
        <v/>
      </c>
      <c r="F299" s="35" t="str">
        <f>IFERROR(VLOOKUP(E299,'MASTER RECORD'!$B$5:$W$1000,10,0) &amp;"."&amp;(VLOOKUP(E299,'MASTER RECORD'!$B$5:$W$1000,11,0)),"")</f>
        <v/>
      </c>
      <c r="G299" s="35" t="str">
        <f>IFERROR(VLOOKUP(E299,'MASTER RECORD'!$B$5:$W$1000,3,0),"")</f>
        <v/>
      </c>
      <c r="I299" s="36" t="str">
        <f t="shared" si="13"/>
        <v/>
      </c>
      <c r="N299" s="36" t="str">
        <f t="shared" si="14"/>
        <v/>
      </c>
    </row>
    <row r="300" spans="1:14">
      <c r="A300" s="6">
        <f t="shared" si="15"/>
        <v>295</v>
      </c>
      <c r="C300" s="35" t="str">
        <f>IFERROR(VLOOKUP(B300,'MASTER RECORD'!$B$5:$W$1000,10,0) &amp;"."&amp;(VLOOKUP(B300,'MASTER RECORD'!$B$5:$W$1000,11,0)),"")</f>
        <v/>
      </c>
      <c r="D300" s="35" t="str">
        <f>IFERROR(VLOOKUP(B300,'MASTER RECORD'!$B$5:$W$1000,3,0),"")</f>
        <v/>
      </c>
      <c r="F300" s="35" t="str">
        <f>IFERROR(VLOOKUP(E300,'MASTER RECORD'!$B$5:$W$1000,10,0) &amp;"."&amp;(VLOOKUP(E300,'MASTER RECORD'!$B$5:$W$1000,11,0)),"")</f>
        <v/>
      </c>
      <c r="G300" s="35" t="str">
        <f>IFERROR(VLOOKUP(E300,'MASTER RECORD'!$B$5:$W$1000,3,0),"")</f>
        <v/>
      </c>
      <c r="I300" s="36" t="str">
        <f t="shared" si="13"/>
        <v/>
      </c>
      <c r="N300" s="36" t="str">
        <f t="shared" si="14"/>
        <v/>
      </c>
    </row>
    <row r="301" spans="1:14">
      <c r="A301" s="6">
        <f t="shared" si="15"/>
        <v>296</v>
      </c>
      <c r="C301" s="35" t="str">
        <f>IFERROR(VLOOKUP(B301,'MASTER RECORD'!$B$5:$W$1000,10,0) &amp;"."&amp;(VLOOKUP(B301,'MASTER RECORD'!$B$5:$W$1000,11,0)),"")</f>
        <v/>
      </c>
      <c r="D301" s="35" t="str">
        <f>IFERROR(VLOOKUP(B301,'MASTER RECORD'!$B$5:$W$1000,3,0),"")</f>
        <v/>
      </c>
      <c r="F301" s="35" t="str">
        <f>IFERROR(VLOOKUP(E301,'MASTER RECORD'!$B$5:$W$1000,10,0) &amp;"."&amp;(VLOOKUP(E301,'MASTER RECORD'!$B$5:$W$1000,11,0)),"")</f>
        <v/>
      </c>
      <c r="G301" s="35" t="str">
        <f>IFERROR(VLOOKUP(E301,'MASTER RECORD'!$B$5:$W$1000,3,0),"")</f>
        <v/>
      </c>
      <c r="I301" s="36" t="str">
        <f t="shared" si="13"/>
        <v/>
      </c>
      <c r="N301" s="36" t="str">
        <f t="shared" si="14"/>
        <v/>
      </c>
    </row>
    <row r="302" spans="1:14">
      <c r="A302" s="6">
        <f t="shared" si="15"/>
        <v>297</v>
      </c>
      <c r="C302" s="35" t="str">
        <f>IFERROR(VLOOKUP(B302,'MASTER RECORD'!$B$5:$W$1000,10,0) &amp;"."&amp;(VLOOKUP(B302,'MASTER RECORD'!$B$5:$W$1000,11,0)),"")</f>
        <v/>
      </c>
      <c r="D302" s="35" t="str">
        <f>IFERROR(VLOOKUP(B302,'MASTER RECORD'!$B$5:$W$1000,3,0),"")</f>
        <v/>
      </c>
      <c r="F302" s="35" t="str">
        <f>IFERROR(VLOOKUP(E302,'MASTER RECORD'!$B$5:$W$1000,10,0) &amp;"."&amp;(VLOOKUP(E302,'MASTER RECORD'!$B$5:$W$1000,11,0)),"")</f>
        <v/>
      </c>
      <c r="G302" s="35" t="str">
        <f>IFERROR(VLOOKUP(E302,'MASTER RECORD'!$B$5:$W$1000,3,0),"")</f>
        <v/>
      </c>
      <c r="I302" s="36" t="str">
        <f t="shared" si="13"/>
        <v/>
      </c>
      <c r="N302" s="36" t="str">
        <f t="shared" si="14"/>
        <v/>
      </c>
    </row>
    <row r="303" spans="1:14">
      <c r="A303" s="6">
        <f t="shared" si="15"/>
        <v>298</v>
      </c>
      <c r="C303" s="35" t="str">
        <f>IFERROR(VLOOKUP(B303,'MASTER RECORD'!$B$5:$W$1000,10,0) &amp;"."&amp;(VLOOKUP(B303,'MASTER RECORD'!$B$5:$W$1000,11,0)),"")</f>
        <v/>
      </c>
      <c r="D303" s="35" t="str">
        <f>IFERROR(VLOOKUP(B303,'MASTER RECORD'!$B$5:$W$1000,3,0),"")</f>
        <v/>
      </c>
      <c r="F303" s="35" t="str">
        <f>IFERROR(VLOOKUP(E303,'MASTER RECORD'!$B$5:$W$1000,10,0) &amp;"."&amp;(VLOOKUP(E303,'MASTER RECORD'!$B$5:$W$1000,11,0)),"")</f>
        <v/>
      </c>
      <c r="G303" s="35" t="str">
        <f>IFERROR(VLOOKUP(E303,'MASTER RECORD'!$B$5:$W$1000,3,0),"")</f>
        <v/>
      </c>
      <c r="I303" s="36" t="str">
        <f t="shared" si="13"/>
        <v/>
      </c>
      <c r="N303" s="36" t="str">
        <f t="shared" si="14"/>
        <v/>
      </c>
    </row>
    <row r="304" spans="1:14">
      <c r="A304" s="6">
        <f t="shared" si="15"/>
        <v>299</v>
      </c>
      <c r="C304" s="35" t="str">
        <f>IFERROR(VLOOKUP(B304,'MASTER RECORD'!$B$5:$W$1000,10,0) &amp;"."&amp;(VLOOKUP(B304,'MASTER RECORD'!$B$5:$W$1000,11,0)),"")</f>
        <v/>
      </c>
      <c r="D304" s="35" t="str">
        <f>IFERROR(VLOOKUP(B304,'MASTER RECORD'!$B$5:$W$1000,3,0),"")</f>
        <v/>
      </c>
      <c r="F304" s="35" t="str">
        <f>IFERROR(VLOOKUP(E304,'MASTER RECORD'!$B$5:$W$1000,10,0) &amp;"."&amp;(VLOOKUP(E304,'MASTER RECORD'!$B$5:$W$1000,11,0)),"")</f>
        <v/>
      </c>
      <c r="G304" s="35" t="str">
        <f>IFERROR(VLOOKUP(E304,'MASTER RECORD'!$B$5:$W$1000,3,0),"")</f>
        <v/>
      </c>
      <c r="I304" s="36" t="str">
        <f t="shared" si="13"/>
        <v/>
      </c>
      <c r="N304" s="36" t="str">
        <f t="shared" si="14"/>
        <v/>
      </c>
    </row>
    <row r="305" spans="1:14">
      <c r="A305" s="6">
        <f t="shared" si="15"/>
        <v>300</v>
      </c>
      <c r="C305" s="35" t="str">
        <f>IFERROR(VLOOKUP(B305,'MASTER RECORD'!$B$5:$W$1000,10,0) &amp;"."&amp;(VLOOKUP(B305,'MASTER RECORD'!$B$5:$W$1000,11,0)),"")</f>
        <v/>
      </c>
      <c r="D305" s="35" t="str">
        <f>IFERROR(VLOOKUP(B305,'MASTER RECORD'!$B$5:$W$1000,3,0),"")</f>
        <v/>
      </c>
      <c r="F305" s="35" t="str">
        <f>IFERROR(VLOOKUP(E305,'MASTER RECORD'!$B$5:$W$1000,10,0) &amp;"."&amp;(VLOOKUP(E305,'MASTER RECORD'!$B$5:$W$1000,11,0)),"")</f>
        <v/>
      </c>
      <c r="G305" s="35" t="str">
        <f>IFERROR(VLOOKUP(E305,'MASTER RECORD'!$B$5:$W$1000,3,0),"")</f>
        <v/>
      </c>
      <c r="I305" s="36" t="str">
        <f t="shared" si="13"/>
        <v/>
      </c>
      <c r="N305" s="36" t="str">
        <f t="shared" si="14"/>
        <v/>
      </c>
    </row>
    <row r="306" spans="1:14">
      <c r="A306" s="6">
        <f t="shared" si="15"/>
        <v>301</v>
      </c>
      <c r="C306" s="35" t="str">
        <f>IFERROR(VLOOKUP(B306,'MASTER RECORD'!$B$5:$W$1000,10,0) &amp;"."&amp;(VLOOKUP(B306,'MASTER RECORD'!$B$5:$W$1000,11,0)),"")</f>
        <v/>
      </c>
      <c r="D306" s="35" t="str">
        <f>IFERROR(VLOOKUP(B306,'MASTER RECORD'!$B$5:$W$1000,3,0),"")</f>
        <v/>
      </c>
      <c r="F306" s="35" t="str">
        <f>IFERROR(VLOOKUP(E306,'MASTER RECORD'!$B$5:$W$1000,10,0) &amp;"."&amp;(VLOOKUP(E306,'MASTER RECORD'!$B$5:$W$1000,11,0)),"")</f>
        <v/>
      </c>
      <c r="G306" s="35" t="str">
        <f>IFERROR(VLOOKUP(E306,'MASTER RECORD'!$B$5:$W$1000,3,0),"")</f>
        <v/>
      </c>
      <c r="I306" s="36" t="str">
        <f t="shared" si="13"/>
        <v/>
      </c>
      <c r="N306" s="36" t="str">
        <f t="shared" si="14"/>
        <v/>
      </c>
    </row>
    <row r="307" spans="1:14">
      <c r="A307" s="6">
        <f t="shared" si="15"/>
        <v>302</v>
      </c>
      <c r="C307" s="35" t="str">
        <f>IFERROR(VLOOKUP(B307,'MASTER RECORD'!$B$5:$W$1000,10,0) &amp;"."&amp;(VLOOKUP(B307,'MASTER RECORD'!$B$5:$W$1000,11,0)),"")</f>
        <v/>
      </c>
      <c r="D307" s="35" t="str">
        <f>IFERROR(VLOOKUP(B307,'MASTER RECORD'!$B$5:$W$1000,3,0),"")</f>
        <v/>
      </c>
      <c r="F307" s="35" t="str">
        <f>IFERROR(VLOOKUP(E307,'MASTER RECORD'!$B$5:$W$1000,10,0) &amp;"."&amp;(VLOOKUP(E307,'MASTER RECORD'!$B$5:$W$1000,11,0)),"")</f>
        <v/>
      </c>
      <c r="G307" s="35" t="str">
        <f>IFERROR(VLOOKUP(E307,'MASTER RECORD'!$B$5:$W$1000,3,0),"")</f>
        <v/>
      </c>
      <c r="I307" s="36" t="str">
        <f t="shared" si="13"/>
        <v/>
      </c>
      <c r="N307" s="36" t="str">
        <f t="shared" si="14"/>
        <v/>
      </c>
    </row>
    <row r="308" spans="1:14">
      <c r="A308" s="6">
        <f t="shared" si="15"/>
        <v>303</v>
      </c>
      <c r="C308" s="35" t="str">
        <f>IFERROR(VLOOKUP(B308,'MASTER RECORD'!$B$5:$W$1000,10,0) &amp;"."&amp;(VLOOKUP(B308,'MASTER RECORD'!$B$5:$W$1000,11,0)),"")</f>
        <v/>
      </c>
      <c r="D308" s="35" t="str">
        <f>IFERROR(VLOOKUP(B308,'MASTER RECORD'!$B$5:$W$1000,3,0),"")</f>
        <v/>
      </c>
      <c r="F308" s="35" t="str">
        <f>IFERROR(VLOOKUP(E308,'MASTER RECORD'!$B$5:$W$1000,10,0) &amp;"."&amp;(VLOOKUP(E308,'MASTER RECORD'!$B$5:$W$1000,11,0)),"")</f>
        <v/>
      </c>
      <c r="G308" s="35" t="str">
        <f>IFERROR(VLOOKUP(E308,'MASTER RECORD'!$B$5:$W$1000,3,0),"")</f>
        <v/>
      </c>
      <c r="I308" s="36" t="str">
        <f t="shared" si="13"/>
        <v/>
      </c>
      <c r="N308" s="36" t="str">
        <f t="shared" si="14"/>
        <v/>
      </c>
    </row>
    <row r="309" spans="1:14">
      <c r="A309" s="6">
        <f t="shared" si="15"/>
        <v>304</v>
      </c>
      <c r="C309" s="35" t="str">
        <f>IFERROR(VLOOKUP(B309,'MASTER RECORD'!$B$5:$W$1000,10,0) &amp;"."&amp;(VLOOKUP(B309,'MASTER RECORD'!$B$5:$W$1000,11,0)),"")</f>
        <v/>
      </c>
      <c r="D309" s="35" t="str">
        <f>IFERROR(VLOOKUP(B309,'MASTER RECORD'!$B$5:$W$1000,3,0),"")</f>
        <v/>
      </c>
      <c r="F309" s="35" t="str">
        <f>IFERROR(VLOOKUP(E309,'MASTER RECORD'!$B$5:$W$1000,10,0) &amp;"."&amp;(VLOOKUP(E309,'MASTER RECORD'!$B$5:$W$1000,11,0)),"")</f>
        <v/>
      </c>
      <c r="G309" s="35" t="str">
        <f>IFERROR(VLOOKUP(E309,'MASTER RECORD'!$B$5:$W$1000,3,0),"")</f>
        <v/>
      </c>
      <c r="I309" s="36" t="str">
        <f t="shared" si="13"/>
        <v/>
      </c>
      <c r="N309" s="36" t="str">
        <f t="shared" si="14"/>
        <v/>
      </c>
    </row>
    <row r="310" spans="1:14">
      <c r="A310" s="6">
        <f t="shared" si="15"/>
        <v>305</v>
      </c>
      <c r="C310" s="35" t="str">
        <f>IFERROR(VLOOKUP(B310,'MASTER RECORD'!$B$5:$W$1000,10,0) &amp;"."&amp;(VLOOKUP(B310,'MASTER RECORD'!$B$5:$W$1000,11,0)),"")</f>
        <v/>
      </c>
      <c r="D310" s="35" t="str">
        <f>IFERROR(VLOOKUP(B310,'MASTER RECORD'!$B$5:$W$1000,3,0),"")</f>
        <v/>
      </c>
      <c r="F310" s="35" t="str">
        <f>IFERROR(VLOOKUP(E310,'MASTER RECORD'!$B$5:$W$1000,10,0) &amp;"."&amp;(VLOOKUP(E310,'MASTER RECORD'!$B$5:$W$1000,11,0)),"")</f>
        <v/>
      </c>
      <c r="G310" s="35" t="str">
        <f>IFERROR(VLOOKUP(E310,'MASTER RECORD'!$B$5:$W$1000,3,0),"")</f>
        <v/>
      </c>
      <c r="I310" s="36" t="str">
        <f t="shared" si="13"/>
        <v/>
      </c>
      <c r="N310" s="36" t="str">
        <f t="shared" si="14"/>
        <v/>
      </c>
    </row>
    <row r="311" spans="1:14">
      <c r="A311" s="6">
        <f t="shared" si="15"/>
        <v>306</v>
      </c>
      <c r="C311" s="35" t="str">
        <f>IFERROR(VLOOKUP(B311,'MASTER RECORD'!$B$5:$W$1000,10,0) &amp;"."&amp;(VLOOKUP(B311,'MASTER RECORD'!$B$5:$W$1000,11,0)),"")</f>
        <v/>
      </c>
      <c r="D311" s="35" t="str">
        <f>IFERROR(VLOOKUP(B311,'MASTER RECORD'!$B$5:$W$1000,3,0),"")</f>
        <v/>
      </c>
      <c r="F311" s="35" t="str">
        <f>IFERROR(VLOOKUP(E311,'MASTER RECORD'!$B$5:$W$1000,10,0) &amp;"."&amp;(VLOOKUP(E311,'MASTER RECORD'!$B$5:$W$1000,11,0)),"")</f>
        <v/>
      </c>
      <c r="G311" s="35" t="str">
        <f>IFERROR(VLOOKUP(E311,'MASTER RECORD'!$B$5:$W$1000,3,0),"")</f>
        <v/>
      </c>
      <c r="I311" s="36" t="str">
        <f t="shared" si="13"/>
        <v/>
      </c>
      <c r="N311" s="36" t="str">
        <f t="shared" si="14"/>
        <v/>
      </c>
    </row>
    <row r="312" spans="1:14">
      <c r="A312" s="6">
        <f t="shared" si="15"/>
        <v>307</v>
      </c>
      <c r="C312" s="35" t="str">
        <f>IFERROR(VLOOKUP(B312,'MASTER RECORD'!$B$5:$W$1000,10,0) &amp;"."&amp;(VLOOKUP(B312,'MASTER RECORD'!$B$5:$W$1000,11,0)),"")</f>
        <v/>
      </c>
      <c r="D312" s="35" t="str">
        <f>IFERROR(VLOOKUP(B312,'MASTER RECORD'!$B$5:$W$1000,3,0),"")</f>
        <v/>
      </c>
      <c r="F312" s="35" t="str">
        <f>IFERROR(VLOOKUP(E312,'MASTER RECORD'!$B$5:$W$1000,10,0) &amp;"."&amp;(VLOOKUP(E312,'MASTER RECORD'!$B$5:$W$1000,11,0)),"")</f>
        <v/>
      </c>
      <c r="G312" s="35" t="str">
        <f>IFERROR(VLOOKUP(E312,'MASTER RECORD'!$B$5:$W$1000,3,0),"")</f>
        <v/>
      </c>
      <c r="I312" s="36" t="str">
        <f t="shared" si="13"/>
        <v/>
      </c>
      <c r="N312" s="36" t="str">
        <f t="shared" si="14"/>
        <v/>
      </c>
    </row>
    <row r="313" spans="1:14">
      <c r="A313" s="6">
        <f t="shared" si="15"/>
        <v>308</v>
      </c>
      <c r="C313" s="35" t="str">
        <f>IFERROR(VLOOKUP(B313,'MASTER RECORD'!$B$5:$W$1000,10,0) &amp;"."&amp;(VLOOKUP(B313,'MASTER RECORD'!$B$5:$W$1000,11,0)),"")</f>
        <v/>
      </c>
      <c r="D313" s="35" t="str">
        <f>IFERROR(VLOOKUP(B313,'MASTER RECORD'!$B$5:$W$1000,3,0),"")</f>
        <v/>
      </c>
      <c r="F313" s="35" t="str">
        <f>IFERROR(VLOOKUP(E313,'MASTER RECORD'!$B$5:$W$1000,10,0) &amp;"."&amp;(VLOOKUP(E313,'MASTER RECORD'!$B$5:$W$1000,11,0)),"")</f>
        <v/>
      </c>
      <c r="G313" s="35" t="str">
        <f>IFERROR(VLOOKUP(E313,'MASTER RECORD'!$B$5:$W$1000,3,0),"")</f>
        <v/>
      </c>
      <c r="I313" s="36" t="str">
        <f t="shared" si="13"/>
        <v/>
      </c>
      <c r="N313" s="36" t="str">
        <f t="shared" si="14"/>
        <v/>
      </c>
    </row>
    <row r="314" spans="1:14">
      <c r="A314" s="6">
        <f t="shared" si="15"/>
        <v>309</v>
      </c>
      <c r="C314" s="35" t="str">
        <f>IFERROR(VLOOKUP(B314,'MASTER RECORD'!$B$5:$W$1000,10,0) &amp;"."&amp;(VLOOKUP(B314,'MASTER RECORD'!$B$5:$W$1000,11,0)),"")</f>
        <v/>
      </c>
      <c r="D314" s="35" t="str">
        <f>IFERROR(VLOOKUP(B314,'MASTER RECORD'!$B$5:$W$1000,3,0),"")</f>
        <v/>
      </c>
      <c r="F314" s="35" t="str">
        <f>IFERROR(VLOOKUP(E314,'MASTER RECORD'!$B$5:$W$1000,10,0) &amp;"."&amp;(VLOOKUP(E314,'MASTER RECORD'!$B$5:$W$1000,11,0)),"")</f>
        <v/>
      </c>
      <c r="G314" s="35" t="str">
        <f>IFERROR(VLOOKUP(E314,'MASTER RECORD'!$B$5:$W$1000,3,0),"")</f>
        <v/>
      </c>
      <c r="I314" s="36" t="str">
        <f t="shared" si="13"/>
        <v/>
      </c>
      <c r="N314" s="36" t="str">
        <f t="shared" si="14"/>
        <v/>
      </c>
    </row>
    <row r="315" spans="1:14">
      <c r="A315" s="6">
        <f t="shared" si="15"/>
        <v>310</v>
      </c>
      <c r="C315" s="35" t="str">
        <f>IFERROR(VLOOKUP(B315,'MASTER RECORD'!$B$5:$W$1000,10,0) &amp;"."&amp;(VLOOKUP(B315,'MASTER RECORD'!$B$5:$W$1000,11,0)),"")</f>
        <v/>
      </c>
      <c r="D315" s="35" t="str">
        <f>IFERROR(VLOOKUP(B315,'MASTER RECORD'!$B$5:$W$1000,3,0),"")</f>
        <v/>
      </c>
      <c r="F315" s="35" t="str">
        <f>IFERROR(VLOOKUP(E315,'MASTER RECORD'!$B$5:$W$1000,10,0) &amp;"."&amp;(VLOOKUP(E315,'MASTER RECORD'!$B$5:$W$1000,11,0)),"")</f>
        <v/>
      </c>
      <c r="G315" s="35" t="str">
        <f>IFERROR(VLOOKUP(E315,'MASTER RECORD'!$B$5:$W$1000,3,0),"")</f>
        <v/>
      </c>
      <c r="I315" s="36" t="str">
        <f t="shared" si="13"/>
        <v/>
      </c>
      <c r="N315" s="36" t="str">
        <f t="shared" si="14"/>
        <v/>
      </c>
    </row>
    <row r="316" spans="1:14">
      <c r="A316" s="6">
        <f t="shared" si="15"/>
        <v>311</v>
      </c>
      <c r="C316" s="35" t="str">
        <f>IFERROR(VLOOKUP(B316,'MASTER RECORD'!$B$5:$W$1000,10,0) &amp;"."&amp;(VLOOKUP(B316,'MASTER RECORD'!$B$5:$W$1000,11,0)),"")</f>
        <v/>
      </c>
      <c r="D316" s="35" t="str">
        <f>IFERROR(VLOOKUP(B316,'MASTER RECORD'!$B$5:$W$1000,3,0),"")</f>
        <v/>
      </c>
      <c r="F316" s="35" t="str">
        <f>IFERROR(VLOOKUP(E316,'MASTER RECORD'!$B$5:$W$1000,10,0) &amp;"."&amp;(VLOOKUP(E316,'MASTER RECORD'!$B$5:$W$1000,11,0)),"")</f>
        <v/>
      </c>
      <c r="G316" s="35" t="str">
        <f>IFERROR(VLOOKUP(E316,'MASTER RECORD'!$B$5:$W$1000,3,0),"")</f>
        <v/>
      </c>
      <c r="I316" s="36" t="str">
        <f t="shared" si="13"/>
        <v/>
      </c>
      <c r="N316" s="36" t="str">
        <f t="shared" si="14"/>
        <v/>
      </c>
    </row>
    <row r="317" spans="1:14">
      <c r="A317" s="6">
        <f t="shared" si="15"/>
        <v>312</v>
      </c>
      <c r="C317" s="35" t="str">
        <f>IFERROR(VLOOKUP(B317,'MASTER RECORD'!$B$5:$W$1000,10,0) &amp;"."&amp;(VLOOKUP(B317,'MASTER RECORD'!$B$5:$W$1000,11,0)),"")</f>
        <v/>
      </c>
      <c r="D317" s="35" t="str">
        <f>IFERROR(VLOOKUP(B317,'MASTER RECORD'!$B$5:$W$1000,3,0),"")</f>
        <v/>
      </c>
      <c r="F317" s="35" t="str">
        <f>IFERROR(VLOOKUP(E317,'MASTER RECORD'!$B$5:$W$1000,10,0) &amp;"."&amp;(VLOOKUP(E317,'MASTER RECORD'!$B$5:$W$1000,11,0)),"")</f>
        <v/>
      </c>
      <c r="G317" s="35" t="str">
        <f>IFERROR(VLOOKUP(E317,'MASTER RECORD'!$B$5:$W$1000,3,0),"")</f>
        <v/>
      </c>
      <c r="I317" s="36" t="str">
        <f t="shared" si="13"/>
        <v/>
      </c>
      <c r="N317" s="36" t="str">
        <f t="shared" si="14"/>
        <v/>
      </c>
    </row>
    <row r="318" spans="1:14">
      <c r="A318" s="6">
        <f t="shared" si="15"/>
        <v>313</v>
      </c>
      <c r="C318" s="35" t="str">
        <f>IFERROR(VLOOKUP(B318,'MASTER RECORD'!$B$5:$W$1000,10,0) &amp;"."&amp;(VLOOKUP(B318,'MASTER RECORD'!$B$5:$W$1000,11,0)),"")</f>
        <v/>
      </c>
      <c r="D318" s="35" t="str">
        <f>IFERROR(VLOOKUP(B318,'MASTER RECORD'!$B$5:$W$1000,3,0),"")</f>
        <v/>
      </c>
      <c r="F318" s="35" t="str">
        <f>IFERROR(VLOOKUP(E318,'MASTER RECORD'!$B$5:$W$1000,10,0) &amp;"."&amp;(VLOOKUP(E318,'MASTER RECORD'!$B$5:$W$1000,11,0)),"")</f>
        <v/>
      </c>
      <c r="G318" s="35" t="str">
        <f>IFERROR(VLOOKUP(E318,'MASTER RECORD'!$B$5:$W$1000,3,0),"")</f>
        <v/>
      </c>
      <c r="I318" s="36" t="str">
        <f t="shared" si="13"/>
        <v/>
      </c>
      <c r="N318" s="36" t="str">
        <f t="shared" si="14"/>
        <v/>
      </c>
    </row>
    <row r="319" spans="1:14">
      <c r="A319" s="6">
        <f t="shared" si="15"/>
        <v>314</v>
      </c>
      <c r="C319" s="35" t="str">
        <f>IFERROR(VLOOKUP(B319,'MASTER RECORD'!$B$5:$W$1000,10,0) &amp;"."&amp;(VLOOKUP(B319,'MASTER RECORD'!$B$5:$W$1000,11,0)),"")</f>
        <v/>
      </c>
      <c r="D319" s="35" t="str">
        <f>IFERROR(VLOOKUP(B319,'MASTER RECORD'!$B$5:$W$1000,3,0),"")</f>
        <v/>
      </c>
      <c r="F319" s="35" t="str">
        <f>IFERROR(VLOOKUP(E319,'MASTER RECORD'!$B$5:$W$1000,10,0) &amp;"."&amp;(VLOOKUP(E319,'MASTER RECORD'!$B$5:$W$1000,11,0)),"")</f>
        <v/>
      </c>
      <c r="G319" s="35" t="str">
        <f>IFERROR(VLOOKUP(E319,'MASTER RECORD'!$B$5:$W$1000,3,0),"")</f>
        <v/>
      </c>
      <c r="I319" s="36" t="str">
        <f t="shared" si="13"/>
        <v/>
      </c>
      <c r="N319" s="36" t="str">
        <f t="shared" si="14"/>
        <v/>
      </c>
    </row>
    <row r="320" spans="1:14">
      <c r="A320" s="6">
        <f t="shared" si="15"/>
        <v>315</v>
      </c>
      <c r="C320" s="35" t="str">
        <f>IFERROR(VLOOKUP(B320,'MASTER RECORD'!$B$5:$W$1000,10,0) &amp;"."&amp;(VLOOKUP(B320,'MASTER RECORD'!$B$5:$W$1000,11,0)),"")</f>
        <v/>
      </c>
      <c r="D320" s="35" t="str">
        <f>IFERROR(VLOOKUP(B320,'MASTER RECORD'!$B$5:$W$1000,3,0),"")</f>
        <v/>
      </c>
      <c r="F320" s="35" t="str">
        <f>IFERROR(VLOOKUP(E320,'MASTER RECORD'!$B$5:$W$1000,10,0) &amp;"."&amp;(VLOOKUP(E320,'MASTER RECORD'!$B$5:$W$1000,11,0)),"")</f>
        <v/>
      </c>
      <c r="G320" s="35" t="str">
        <f>IFERROR(VLOOKUP(E320,'MASTER RECORD'!$B$5:$W$1000,3,0),"")</f>
        <v/>
      </c>
      <c r="I320" s="36" t="str">
        <f t="shared" si="13"/>
        <v/>
      </c>
      <c r="N320" s="36" t="str">
        <f t="shared" si="14"/>
        <v/>
      </c>
    </row>
    <row r="321" spans="1:14">
      <c r="A321" s="6">
        <f t="shared" si="15"/>
        <v>316</v>
      </c>
      <c r="C321" s="35" t="str">
        <f>IFERROR(VLOOKUP(B321,'MASTER RECORD'!$B$5:$W$1000,10,0) &amp;"."&amp;(VLOOKUP(B321,'MASTER RECORD'!$B$5:$W$1000,11,0)),"")</f>
        <v/>
      </c>
      <c r="D321" s="35" t="str">
        <f>IFERROR(VLOOKUP(B321,'MASTER RECORD'!$B$5:$W$1000,3,0),"")</f>
        <v/>
      </c>
      <c r="F321" s="35" t="str">
        <f>IFERROR(VLOOKUP(E321,'MASTER RECORD'!$B$5:$W$1000,10,0) &amp;"."&amp;(VLOOKUP(E321,'MASTER RECORD'!$B$5:$W$1000,11,0)),"")</f>
        <v/>
      </c>
      <c r="G321" s="35" t="str">
        <f>IFERROR(VLOOKUP(E321,'MASTER RECORD'!$B$5:$W$1000,3,0),"")</f>
        <v/>
      </c>
      <c r="I321" s="36" t="str">
        <f t="shared" si="13"/>
        <v/>
      </c>
      <c r="N321" s="36" t="str">
        <f t="shared" si="14"/>
        <v/>
      </c>
    </row>
    <row r="322" spans="1:14">
      <c r="A322" s="6">
        <f t="shared" si="15"/>
        <v>317</v>
      </c>
      <c r="C322" s="35" t="str">
        <f>IFERROR(VLOOKUP(B322,'MASTER RECORD'!$B$5:$W$1000,10,0) &amp;"."&amp;(VLOOKUP(B322,'MASTER RECORD'!$B$5:$W$1000,11,0)),"")</f>
        <v/>
      </c>
      <c r="D322" s="35" t="str">
        <f>IFERROR(VLOOKUP(B322,'MASTER RECORD'!$B$5:$W$1000,3,0),"")</f>
        <v/>
      </c>
      <c r="F322" s="35" t="str">
        <f>IFERROR(VLOOKUP(E322,'MASTER RECORD'!$B$5:$W$1000,10,0) &amp;"."&amp;(VLOOKUP(E322,'MASTER RECORD'!$B$5:$W$1000,11,0)),"")</f>
        <v/>
      </c>
      <c r="G322" s="35" t="str">
        <f>IFERROR(VLOOKUP(E322,'MASTER RECORD'!$B$5:$W$1000,3,0),"")</f>
        <v/>
      </c>
      <c r="I322" s="36" t="str">
        <f t="shared" si="13"/>
        <v/>
      </c>
      <c r="N322" s="36" t="str">
        <f t="shared" si="14"/>
        <v/>
      </c>
    </row>
    <row r="323" spans="1:14">
      <c r="A323" s="6">
        <f t="shared" si="15"/>
        <v>318</v>
      </c>
      <c r="C323" s="35" t="str">
        <f>IFERROR(VLOOKUP(B323,'MASTER RECORD'!$B$5:$W$1000,10,0) &amp;"."&amp;(VLOOKUP(B323,'MASTER RECORD'!$B$5:$W$1000,11,0)),"")</f>
        <v/>
      </c>
      <c r="D323" s="35" t="str">
        <f>IFERROR(VLOOKUP(B323,'MASTER RECORD'!$B$5:$W$1000,3,0),"")</f>
        <v/>
      </c>
      <c r="F323" s="35" t="str">
        <f>IFERROR(VLOOKUP(E323,'MASTER RECORD'!$B$5:$W$1000,10,0) &amp;"."&amp;(VLOOKUP(E323,'MASTER RECORD'!$B$5:$W$1000,11,0)),"")</f>
        <v/>
      </c>
      <c r="G323" s="35" t="str">
        <f>IFERROR(VLOOKUP(E323,'MASTER RECORD'!$B$5:$W$1000,3,0),"")</f>
        <v/>
      </c>
      <c r="I323" s="36" t="str">
        <f t="shared" si="13"/>
        <v/>
      </c>
      <c r="N323" s="36" t="str">
        <f t="shared" si="14"/>
        <v/>
      </c>
    </row>
    <row r="324" spans="1:14">
      <c r="A324" s="6">
        <f t="shared" si="15"/>
        <v>319</v>
      </c>
      <c r="C324" s="35" t="str">
        <f>IFERROR(VLOOKUP(B324,'MASTER RECORD'!$B$5:$W$1000,10,0) &amp;"."&amp;(VLOOKUP(B324,'MASTER RECORD'!$B$5:$W$1000,11,0)),"")</f>
        <v/>
      </c>
      <c r="D324" s="35" t="str">
        <f>IFERROR(VLOOKUP(B324,'MASTER RECORD'!$B$5:$W$1000,3,0),"")</f>
        <v/>
      </c>
      <c r="F324" s="35" t="str">
        <f>IFERROR(VLOOKUP(E324,'MASTER RECORD'!$B$5:$W$1000,10,0) &amp;"."&amp;(VLOOKUP(E324,'MASTER RECORD'!$B$5:$W$1000,11,0)),"")</f>
        <v/>
      </c>
      <c r="G324" s="35" t="str">
        <f>IFERROR(VLOOKUP(E324,'MASTER RECORD'!$B$5:$W$1000,3,0),"")</f>
        <v/>
      </c>
      <c r="I324" s="36" t="str">
        <f t="shared" si="13"/>
        <v/>
      </c>
      <c r="N324" s="36" t="str">
        <f t="shared" si="14"/>
        <v/>
      </c>
    </row>
    <row r="325" spans="1:14">
      <c r="A325" s="6">
        <f t="shared" si="15"/>
        <v>320</v>
      </c>
      <c r="C325" s="35" t="str">
        <f>IFERROR(VLOOKUP(B325,'MASTER RECORD'!$B$5:$W$1000,10,0) &amp;"."&amp;(VLOOKUP(B325,'MASTER RECORD'!$B$5:$W$1000,11,0)),"")</f>
        <v/>
      </c>
      <c r="D325" s="35" t="str">
        <f>IFERROR(VLOOKUP(B325,'MASTER RECORD'!$B$5:$W$1000,3,0),"")</f>
        <v/>
      </c>
      <c r="F325" s="35" t="str">
        <f>IFERROR(VLOOKUP(E325,'MASTER RECORD'!$B$5:$W$1000,10,0) &amp;"."&amp;(VLOOKUP(E325,'MASTER RECORD'!$B$5:$W$1000,11,0)),"")</f>
        <v/>
      </c>
      <c r="G325" s="35" t="str">
        <f>IFERROR(VLOOKUP(E325,'MASTER RECORD'!$B$5:$W$1000,3,0),"")</f>
        <v/>
      </c>
      <c r="I325" s="36" t="str">
        <f t="shared" si="13"/>
        <v/>
      </c>
      <c r="N325" s="36" t="str">
        <f t="shared" si="14"/>
        <v/>
      </c>
    </row>
    <row r="326" spans="1:14">
      <c r="A326" s="6">
        <f t="shared" si="15"/>
        <v>321</v>
      </c>
      <c r="C326" s="35" t="str">
        <f>IFERROR(VLOOKUP(B326,'MASTER RECORD'!$B$5:$W$1000,10,0) &amp;"."&amp;(VLOOKUP(B326,'MASTER RECORD'!$B$5:$W$1000,11,0)),"")</f>
        <v/>
      </c>
      <c r="D326" s="35" t="str">
        <f>IFERROR(VLOOKUP(B326,'MASTER RECORD'!$B$5:$W$1000,3,0),"")</f>
        <v/>
      </c>
      <c r="F326" s="35" t="str">
        <f>IFERROR(VLOOKUP(E326,'MASTER RECORD'!$B$5:$W$1000,10,0) &amp;"."&amp;(VLOOKUP(E326,'MASTER RECORD'!$B$5:$W$1000,11,0)),"")</f>
        <v/>
      </c>
      <c r="G326" s="35" t="str">
        <f>IFERROR(VLOOKUP(E326,'MASTER RECORD'!$B$5:$W$1000,3,0),"")</f>
        <v/>
      </c>
      <c r="I326" s="36" t="str">
        <f t="shared" si="13"/>
        <v/>
      </c>
      <c r="N326" s="36" t="str">
        <f t="shared" si="14"/>
        <v/>
      </c>
    </row>
    <row r="327" spans="1:14">
      <c r="A327" s="6">
        <f t="shared" si="15"/>
        <v>322</v>
      </c>
      <c r="C327" s="35" t="str">
        <f>IFERROR(VLOOKUP(B327,'MASTER RECORD'!$B$5:$W$1000,10,0) &amp;"."&amp;(VLOOKUP(B327,'MASTER RECORD'!$B$5:$W$1000,11,0)),"")</f>
        <v/>
      </c>
      <c r="D327" s="35" t="str">
        <f>IFERROR(VLOOKUP(B327,'MASTER RECORD'!$B$5:$W$1000,3,0),"")</f>
        <v/>
      </c>
      <c r="F327" s="35" t="str">
        <f>IFERROR(VLOOKUP(E327,'MASTER RECORD'!$B$5:$W$1000,10,0) &amp;"."&amp;(VLOOKUP(E327,'MASTER RECORD'!$B$5:$W$1000,11,0)),"")</f>
        <v/>
      </c>
      <c r="G327" s="35" t="str">
        <f>IFERROR(VLOOKUP(E327,'MASTER RECORD'!$B$5:$W$1000,3,0),"")</f>
        <v/>
      </c>
      <c r="I327" s="36" t="str">
        <f t="shared" ref="I327:I390" si="16">IF(H327&gt;0,H327+150,"")</f>
        <v/>
      </c>
      <c r="N327" s="36" t="str">
        <f t="shared" ref="N327:N390" si="17">IF(J327&gt;0,J327+60,"")</f>
        <v/>
      </c>
    </row>
    <row r="328" spans="1:14">
      <c r="A328" s="6">
        <f t="shared" si="15"/>
        <v>323</v>
      </c>
      <c r="C328" s="35" t="str">
        <f>IFERROR(VLOOKUP(B328,'MASTER RECORD'!$B$5:$W$1000,10,0) &amp;"."&amp;(VLOOKUP(B328,'MASTER RECORD'!$B$5:$W$1000,11,0)),"")</f>
        <v/>
      </c>
      <c r="D328" s="35" t="str">
        <f>IFERROR(VLOOKUP(B328,'MASTER RECORD'!$B$5:$W$1000,3,0),"")</f>
        <v/>
      </c>
      <c r="F328" s="35" t="str">
        <f>IFERROR(VLOOKUP(E328,'MASTER RECORD'!$B$5:$W$1000,10,0) &amp;"."&amp;(VLOOKUP(E328,'MASTER RECORD'!$B$5:$W$1000,11,0)),"")</f>
        <v/>
      </c>
      <c r="G328" s="35" t="str">
        <f>IFERROR(VLOOKUP(E328,'MASTER RECORD'!$B$5:$W$1000,3,0),"")</f>
        <v/>
      </c>
      <c r="I328" s="36" t="str">
        <f t="shared" si="16"/>
        <v/>
      </c>
      <c r="N328" s="36" t="str">
        <f t="shared" si="17"/>
        <v/>
      </c>
    </row>
    <row r="329" spans="1:14">
      <c r="A329" s="6">
        <f t="shared" si="15"/>
        <v>324</v>
      </c>
      <c r="C329" s="35" t="str">
        <f>IFERROR(VLOOKUP(B329,'MASTER RECORD'!$B$5:$W$1000,10,0) &amp;"."&amp;(VLOOKUP(B329,'MASTER RECORD'!$B$5:$W$1000,11,0)),"")</f>
        <v/>
      </c>
      <c r="D329" s="35" t="str">
        <f>IFERROR(VLOOKUP(B329,'MASTER RECORD'!$B$5:$W$1000,3,0),"")</f>
        <v/>
      </c>
      <c r="F329" s="35" t="str">
        <f>IFERROR(VLOOKUP(E329,'MASTER RECORD'!$B$5:$W$1000,10,0) &amp;"."&amp;(VLOOKUP(E329,'MASTER RECORD'!$B$5:$W$1000,11,0)),"")</f>
        <v/>
      </c>
      <c r="G329" s="35" t="str">
        <f>IFERROR(VLOOKUP(E329,'MASTER RECORD'!$B$5:$W$1000,3,0),"")</f>
        <v/>
      </c>
      <c r="I329" s="36" t="str">
        <f t="shared" si="16"/>
        <v/>
      </c>
      <c r="N329" s="36" t="str">
        <f t="shared" si="17"/>
        <v/>
      </c>
    </row>
    <row r="330" spans="1:14">
      <c r="A330" s="6">
        <f t="shared" si="15"/>
        <v>325</v>
      </c>
      <c r="C330" s="35" t="str">
        <f>IFERROR(VLOOKUP(B330,'MASTER RECORD'!$B$5:$W$1000,10,0) &amp;"."&amp;(VLOOKUP(B330,'MASTER RECORD'!$B$5:$W$1000,11,0)),"")</f>
        <v/>
      </c>
      <c r="D330" s="35" t="str">
        <f>IFERROR(VLOOKUP(B330,'MASTER RECORD'!$B$5:$W$1000,3,0),"")</f>
        <v/>
      </c>
      <c r="F330" s="35" t="str">
        <f>IFERROR(VLOOKUP(E330,'MASTER RECORD'!$B$5:$W$1000,10,0) &amp;"."&amp;(VLOOKUP(E330,'MASTER RECORD'!$B$5:$W$1000,11,0)),"")</f>
        <v/>
      </c>
      <c r="G330" s="35" t="str">
        <f>IFERROR(VLOOKUP(E330,'MASTER RECORD'!$B$5:$W$1000,3,0),"")</f>
        <v/>
      </c>
      <c r="I330" s="36" t="str">
        <f t="shared" si="16"/>
        <v/>
      </c>
      <c r="N330" s="36" t="str">
        <f t="shared" si="17"/>
        <v/>
      </c>
    </row>
    <row r="331" spans="1:14">
      <c r="A331" s="6">
        <f t="shared" si="15"/>
        <v>326</v>
      </c>
      <c r="C331" s="35" t="str">
        <f>IFERROR(VLOOKUP(B331,'MASTER RECORD'!$B$5:$W$1000,10,0) &amp;"."&amp;(VLOOKUP(B331,'MASTER RECORD'!$B$5:$W$1000,11,0)),"")</f>
        <v/>
      </c>
      <c r="D331" s="35" t="str">
        <f>IFERROR(VLOOKUP(B331,'MASTER RECORD'!$B$5:$W$1000,3,0),"")</f>
        <v/>
      </c>
      <c r="F331" s="35" t="str">
        <f>IFERROR(VLOOKUP(E331,'MASTER RECORD'!$B$5:$W$1000,10,0) &amp;"."&amp;(VLOOKUP(E331,'MASTER RECORD'!$B$5:$W$1000,11,0)),"")</f>
        <v/>
      </c>
      <c r="G331" s="35" t="str">
        <f>IFERROR(VLOOKUP(E331,'MASTER RECORD'!$B$5:$W$1000,3,0),"")</f>
        <v/>
      </c>
      <c r="I331" s="36" t="str">
        <f t="shared" si="16"/>
        <v/>
      </c>
      <c r="N331" s="36" t="str">
        <f t="shared" si="17"/>
        <v/>
      </c>
    </row>
    <row r="332" spans="1:14">
      <c r="A332" s="6">
        <f t="shared" si="15"/>
        <v>327</v>
      </c>
      <c r="C332" s="35" t="str">
        <f>IFERROR(VLOOKUP(B332,'MASTER RECORD'!$B$5:$W$1000,10,0) &amp;"."&amp;(VLOOKUP(B332,'MASTER RECORD'!$B$5:$W$1000,11,0)),"")</f>
        <v/>
      </c>
      <c r="D332" s="35" t="str">
        <f>IFERROR(VLOOKUP(B332,'MASTER RECORD'!$B$5:$W$1000,3,0),"")</f>
        <v/>
      </c>
      <c r="F332" s="35" t="str">
        <f>IFERROR(VLOOKUP(E332,'MASTER RECORD'!$B$5:$W$1000,10,0) &amp;"."&amp;(VLOOKUP(E332,'MASTER RECORD'!$B$5:$W$1000,11,0)),"")</f>
        <v/>
      </c>
      <c r="G332" s="35" t="str">
        <f>IFERROR(VLOOKUP(E332,'MASTER RECORD'!$B$5:$W$1000,3,0),"")</f>
        <v/>
      </c>
      <c r="I332" s="36" t="str">
        <f t="shared" si="16"/>
        <v/>
      </c>
      <c r="N332" s="36" t="str">
        <f t="shared" si="17"/>
        <v/>
      </c>
    </row>
    <row r="333" spans="1:14">
      <c r="A333" s="6">
        <f t="shared" si="15"/>
        <v>328</v>
      </c>
      <c r="C333" s="35" t="str">
        <f>IFERROR(VLOOKUP(B333,'MASTER RECORD'!$B$5:$W$1000,10,0) &amp;"."&amp;(VLOOKUP(B333,'MASTER RECORD'!$B$5:$W$1000,11,0)),"")</f>
        <v/>
      </c>
      <c r="D333" s="35" t="str">
        <f>IFERROR(VLOOKUP(B333,'MASTER RECORD'!$B$5:$W$1000,3,0),"")</f>
        <v/>
      </c>
      <c r="F333" s="35" t="str">
        <f>IFERROR(VLOOKUP(E333,'MASTER RECORD'!$B$5:$W$1000,10,0) &amp;"."&amp;(VLOOKUP(E333,'MASTER RECORD'!$B$5:$W$1000,11,0)),"")</f>
        <v/>
      </c>
      <c r="G333" s="35" t="str">
        <f>IFERROR(VLOOKUP(E333,'MASTER RECORD'!$B$5:$W$1000,3,0),"")</f>
        <v/>
      </c>
      <c r="I333" s="36" t="str">
        <f t="shared" si="16"/>
        <v/>
      </c>
      <c r="N333" s="36" t="str">
        <f t="shared" si="17"/>
        <v/>
      </c>
    </row>
    <row r="334" spans="1:14">
      <c r="A334" s="6">
        <f t="shared" si="15"/>
        <v>329</v>
      </c>
      <c r="C334" s="35" t="str">
        <f>IFERROR(VLOOKUP(B334,'MASTER RECORD'!$B$5:$W$1000,10,0) &amp;"."&amp;(VLOOKUP(B334,'MASTER RECORD'!$B$5:$W$1000,11,0)),"")</f>
        <v/>
      </c>
      <c r="D334" s="35" t="str">
        <f>IFERROR(VLOOKUP(B334,'MASTER RECORD'!$B$5:$W$1000,3,0),"")</f>
        <v/>
      </c>
      <c r="F334" s="35" t="str">
        <f>IFERROR(VLOOKUP(E334,'MASTER RECORD'!$B$5:$W$1000,10,0) &amp;"."&amp;(VLOOKUP(E334,'MASTER RECORD'!$B$5:$W$1000,11,0)),"")</f>
        <v/>
      </c>
      <c r="G334" s="35" t="str">
        <f>IFERROR(VLOOKUP(E334,'MASTER RECORD'!$B$5:$W$1000,3,0),"")</f>
        <v/>
      </c>
      <c r="I334" s="36" t="str">
        <f t="shared" si="16"/>
        <v/>
      </c>
      <c r="N334" s="36" t="str">
        <f t="shared" si="17"/>
        <v/>
      </c>
    </row>
    <row r="335" spans="1:14">
      <c r="A335" s="6">
        <f t="shared" si="15"/>
        <v>330</v>
      </c>
      <c r="C335" s="35" t="str">
        <f>IFERROR(VLOOKUP(B335,'MASTER RECORD'!$B$5:$W$1000,10,0) &amp;"."&amp;(VLOOKUP(B335,'MASTER RECORD'!$B$5:$W$1000,11,0)),"")</f>
        <v/>
      </c>
      <c r="D335" s="35" t="str">
        <f>IFERROR(VLOOKUP(B335,'MASTER RECORD'!$B$5:$W$1000,3,0),"")</f>
        <v/>
      </c>
      <c r="F335" s="35" t="str">
        <f>IFERROR(VLOOKUP(E335,'MASTER RECORD'!$B$5:$W$1000,10,0) &amp;"."&amp;(VLOOKUP(E335,'MASTER RECORD'!$B$5:$W$1000,11,0)),"")</f>
        <v/>
      </c>
      <c r="G335" s="35" t="str">
        <f>IFERROR(VLOOKUP(E335,'MASTER RECORD'!$B$5:$W$1000,3,0),"")</f>
        <v/>
      </c>
      <c r="I335" s="36" t="str">
        <f t="shared" si="16"/>
        <v/>
      </c>
      <c r="N335" s="36" t="str">
        <f t="shared" si="17"/>
        <v/>
      </c>
    </row>
    <row r="336" spans="1:14">
      <c r="A336" s="6">
        <f t="shared" si="15"/>
        <v>331</v>
      </c>
      <c r="C336" s="35" t="str">
        <f>IFERROR(VLOOKUP(B336,'MASTER RECORD'!$B$5:$W$1000,10,0) &amp;"."&amp;(VLOOKUP(B336,'MASTER RECORD'!$B$5:$W$1000,11,0)),"")</f>
        <v/>
      </c>
      <c r="D336" s="35" t="str">
        <f>IFERROR(VLOOKUP(B336,'MASTER RECORD'!$B$5:$W$1000,3,0),"")</f>
        <v/>
      </c>
      <c r="F336" s="35" t="str">
        <f>IFERROR(VLOOKUP(E336,'MASTER RECORD'!$B$5:$W$1000,10,0) &amp;"."&amp;(VLOOKUP(E336,'MASTER RECORD'!$B$5:$W$1000,11,0)),"")</f>
        <v/>
      </c>
      <c r="G336" s="35" t="str">
        <f>IFERROR(VLOOKUP(E336,'MASTER RECORD'!$B$5:$W$1000,3,0),"")</f>
        <v/>
      </c>
      <c r="I336" s="36" t="str">
        <f t="shared" si="16"/>
        <v/>
      </c>
      <c r="N336" s="36" t="str">
        <f t="shared" si="17"/>
        <v/>
      </c>
    </row>
    <row r="337" spans="1:14">
      <c r="A337" s="6">
        <f t="shared" si="15"/>
        <v>332</v>
      </c>
      <c r="C337" s="35" t="str">
        <f>IFERROR(VLOOKUP(B337,'MASTER RECORD'!$B$5:$W$1000,10,0) &amp;"."&amp;(VLOOKUP(B337,'MASTER RECORD'!$B$5:$W$1000,11,0)),"")</f>
        <v/>
      </c>
      <c r="D337" s="35" t="str">
        <f>IFERROR(VLOOKUP(B337,'MASTER RECORD'!$B$5:$W$1000,3,0),"")</f>
        <v/>
      </c>
      <c r="F337" s="35" t="str">
        <f>IFERROR(VLOOKUP(E337,'MASTER RECORD'!$B$5:$W$1000,10,0) &amp;"."&amp;(VLOOKUP(E337,'MASTER RECORD'!$B$5:$W$1000,11,0)),"")</f>
        <v/>
      </c>
      <c r="G337" s="35" t="str">
        <f>IFERROR(VLOOKUP(E337,'MASTER RECORD'!$B$5:$W$1000,3,0),"")</f>
        <v/>
      </c>
      <c r="I337" s="36" t="str">
        <f t="shared" si="16"/>
        <v/>
      </c>
      <c r="N337" s="36" t="str">
        <f t="shared" si="17"/>
        <v/>
      </c>
    </row>
    <row r="338" spans="1:14">
      <c r="A338" s="6">
        <f t="shared" si="15"/>
        <v>333</v>
      </c>
      <c r="C338" s="35" t="str">
        <f>IFERROR(VLOOKUP(B338,'MASTER RECORD'!$B$5:$W$1000,10,0) &amp;"."&amp;(VLOOKUP(B338,'MASTER RECORD'!$B$5:$W$1000,11,0)),"")</f>
        <v/>
      </c>
      <c r="D338" s="35" t="str">
        <f>IFERROR(VLOOKUP(B338,'MASTER RECORD'!$B$5:$W$1000,3,0),"")</f>
        <v/>
      </c>
      <c r="F338" s="35" t="str">
        <f>IFERROR(VLOOKUP(E338,'MASTER RECORD'!$B$5:$W$1000,10,0) &amp;"."&amp;(VLOOKUP(E338,'MASTER RECORD'!$B$5:$W$1000,11,0)),"")</f>
        <v/>
      </c>
      <c r="G338" s="35" t="str">
        <f>IFERROR(VLOOKUP(E338,'MASTER RECORD'!$B$5:$W$1000,3,0),"")</f>
        <v/>
      </c>
      <c r="I338" s="36" t="str">
        <f t="shared" si="16"/>
        <v/>
      </c>
      <c r="N338" s="36" t="str">
        <f t="shared" si="17"/>
        <v/>
      </c>
    </row>
    <row r="339" spans="1:14">
      <c r="A339" s="6">
        <f t="shared" si="15"/>
        <v>334</v>
      </c>
      <c r="C339" s="35" t="str">
        <f>IFERROR(VLOOKUP(B339,'MASTER RECORD'!$B$5:$W$1000,10,0) &amp;"."&amp;(VLOOKUP(B339,'MASTER RECORD'!$B$5:$W$1000,11,0)),"")</f>
        <v/>
      </c>
      <c r="D339" s="35" t="str">
        <f>IFERROR(VLOOKUP(B339,'MASTER RECORD'!$B$5:$W$1000,3,0),"")</f>
        <v/>
      </c>
      <c r="F339" s="35" t="str">
        <f>IFERROR(VLOOKUP(E339,'MASTER RECORD'!$B$5:$W$1000,10,0) &amp;"."&amp;(VLOOKUP(E339,'MASTER RECORD'!$B$5:$W$1000,11,0)),"")</f>
        <v/>
      </c>
      <c r="G339" s="35" t="str">
        <f>IFERROR(VLOOKUP(E339,'MASTER RECORD'!$B$5:$W$1000,3,0),"")</f>
        <v/>
      </c>
      <c r="I339" s="36" t="str">
        <f t="shared" si="16"/>
        <v/>
      </c>
      <c r="N339" s="36" t="str">
        <f t="shared" si="17"/>
        <v/>
      </c>
    </row>
    <row r="340" spans="1:14">
      <c r="A340" s="6">
        <f t="shared" si="15"/>
        <v>335</v>
      </c>
      <c r="C340" s="35" t="str">
        <f>IFERROR(VLOOKUP(B340,'MASTER RECORD'!$B$5:$W$1000,10,0) &amp;"."&amp;(VLOOKUP(B340,'MASTER RECORD'!$B$5:$W$1000,11,0)),"")</f>
        <v/>
      </c>
      <c r="D340" s="35" t="str">
        <f>IFERROR(VLOOKUP(B340,'MASTER RECORD'!$B$5:$W$1000,3,0),"")</f>
        <v/>
      </c>
      <c r="F340" s="35" t="str">
        <f>IFERROR(VLOOKUP(E340,'MASTER RECORD'!$B$5:$W$1000,10,0) &amp;"."&amp;(VLOOKUP(E340,'MASTER RECORD'!$B$5:$W$1000,11,0)),"")</f>
        <v/>
      </c>
      <c r="G340" s="35" t="str">
        <f>IFERROR(VLOOKUP(E340,'MASTER RECORD'!$B$5:$W$1000,3,0),"")</f>
        <v/>
      </c>
      <c r="I340" s="36" t="str">
        <f t="shared" si="16"/>
        <v/>
      </c>
      <c r="N340" s="36" t="str">
        <f t="shared" si="17"/>
        <v/>
      </c>
    </row>
    <row r="341" spans="1:14">
      <c r="A341" s="6">
        <f t="shared" si="15"/>
        <v>336</v>
      </c>
      <c r="C341" s="35" t="str">
        <f>IFERROR(VLOOKUP(B341,'MASTER RECORD'!$B$5:$W$1000,10,0) &amp;"."&amp;(VLOOKUP(B341,'MASTER RECORD'!$B$5:$W$1000,11,0)),"")</f>
        <v/>
      </c>
      <c r="D341" s="35" t="str">
        <f>IFERROR(VLOOKUP(B341,'MASTER RECORD'!$B$5:$W$1000,3,0),"")</f>
        <v/>
      </c>
      <c r="F341" s="35" t="str">
        <f>IFERROR(VLOOKUP(E341,'MASTER RECORD'!$B$5:$W$1000,10,0) &amp;"."&amp;(VLOOKUP(E341,'MASTER RECORD'!$B$5:$W$1000,11,0)),"")</f>
        <v/>
      </c>
      <c r="G341" s="35" t="str">
        <f>IFERROR(VLOOKUP(E341,'MASTER RECORD'!$B$5:$W$1000,3,0),"")</f>
        <v/>
      </c>
      <c r="I341" s="36" t="str">
        <f t="shared" si="16"/>
        <v/>
      </c>
      <c r="N341" s="36" t="str">
        <f t="shared" si="17"/>
        <v/>
      </c>
    </row>
    <row r="342" spans="1:14">
      <c r="A342" s="6">
        <f t="shared" si="15"/>
        <v>337</v>
      </c>
      <c r="C342" s="35" t="str">
        <f>IFERROR(VLOOKUP(B342,'MASTER RECORD'!$B$5:$W$1000,10,0) &amp;"."&amp;(VLOOKUP(B342,'MASTER RECORD'!$B$5:$W$1000,11,0)),"")</f>
        <v/>
      </c>
      <c r="D342" s="35" t="str">
        <f>IFERROR(VLOOKUP(B342,'MASTER RECORD'!$B$5:$W$1000,3,0),"")</f>
        <v/>
      </c>
      <c r="F342" s="35" t="str">
        <f>IFERROR(VLOOKUP(E342,'MASTER RECORD'!$B$5:$W$1000,10,0) &amp;"."&amp;(VLOOKUP(E342,'MASTER RECORD'!$B$5:$W$1000,11,0)),"")</f>
        <v/>
      </c>
      <c r="G342" s="35" t="str">
        <f>IFERROR(VLOOKUP(E342,'MASTER RECORD'!$B$5:$W$1000,3,0),"")</f>
        <v/>
      </c>
      <c r="I342" s="36" t="str">
        <f t="shared" si="16"/>
        <v/>
      </c>
      <c r="N342" s="36" t="str">
        <f t="shared" si="17"/>
        <v/>
      </c>
    </row>
    <row r="343" spans="1:14">
      <c r="A343" s="6">
        <f t="shared" si="15"/>
        <v>338</v>
      </c>
      <c r="C343" s="35" t="str">
        <f>IFERROR(VLOOKUP(B343,'MASTER RECORD'!$B$5:$W$1000,10,0) &amp;"."&amp;(VLOOKUP(B343,'MASTER RECORD'!$B$5:$W$1000,11,0)),"")</f>
        <v/>
      </c>
      <c r="D343" s="35" t="str">
        <f>IFERROR(VLOOKUP(B343,'MASTER RECORD'!$B$5:$W$1000,3,0),"")</f>
        <v/>
      </c>
      <c r="F343" s="35" t="str">
        <f>IFERROR(VLOOKUP(E343,'MASTER RECORD'!$B$5:$W$1000,10,0) &amp;"."&amp;(VLOOKUP(E343,'MASTER RECORD'!$B$5:$W$1000,11,0)),"")</f>
        <v/>
      </c>
      <c r="G343" s="35" t="str">
        <f>IFERROR(VLOOKUP(E343,'MASTER RECORD'!$B$5:$W$1000,3,0),"")</f>
        <v/>
      </c>
      <c r="I343" s="36" t="str">
        <f t="shared" si="16"/>
        <v/>
      </c>
      <c r="N343" s="36" t="str">
        <f t="shared" si="17"/>
        <v/>
      </c>
    </row>
    <row r="344" spans="1:14">
      <c r="A344" s="6">
        <f t="shared" si="15"/>
        <v>339</v>
      </c>
      <c r="C344" s="35" t="str">
        <f>IFERROR(VLOOKUP(B344,'MASTER RECORD'!$B$5:$W$1000,10,0) &amp;"."&amp;(VLOOKUP(B344,'MASTER RECORD'!$B$5:$W$1000,11,0)),"")</f>
        <v/>
      </c>
      <c r="D344" s="35" t="str">
        <f>IFERROR(VLOOKUP(B344,'MASTER RECORD'!$B$5:$W$1000,3,0),"")</f>
        <v/>
      </c>
      <c r="F344" s="35" t="str">
        <f>IFERROR(VLOOKUP(E344,'MASTER RECORD'!$B$5:$W$1000,10,0) &amp;"."&amp;(VLOOKUP(E344,'MASTER RECORD'!$B$5:$W$1000,11,0)),"")</f>
        <v/>
      </c>
      <c r="G344" s="35" t="str">
        <f>IFERROR(VLOOKUP(E344,'MASTER RECORD'!$B$5:$W$1000,3,0),"")</f>
        <v/>
      </c>
      <c r="I344" s="36" t="str">
        <f t="shared" si="16"/>
        <v/>
      </c>
      <c r="N344" s="36" t="str">
        <f t="shared" si="17"/>
        <v/>
      </c>
    </row>
    <row r="345" spans="1:14">
      <c r="A345" s="6">
        <f t="shared" si="15"/>
        <v>340</v>
      </c>
      <c r="C345" s="35" t="str">
        <f>IFERROR(VLOOKUP(B345,'MASTER RECORD'!$B$5:$W$1000,10,0) &amp;"."&amp;(VLOOKUP(B345,'MASTER RECORD'!$B$5:$W$1000,11,0)),"")</f>
        <v/>
      </c>
      <c r="D345" s="35" t="str">
        <f>IFERROR(VLOOKUP(B345,'MASTER RECORD'!$B$5:$W$1000,3,0),"")</f>
        <v/>
      </c>
      <c r="F345" s="35" t="str">
        <f>IFERROR(VLOOKUP(E345,'MASTER RECORD'!$B$5:$W$1000,10,0) &amp;"."&amp;(VLOOKUP(E345,'MASTER RECORD'!$B$5:$W$1000,11,0)),"")</f>
        <v/>
      </c>
      <c r="G345" s="35" t="str">
        <f>IFERROR(VLOOKUP(E345,'MASTER RECORD'!$B$5:$W$1000,3,0),"")</f>
        <v/>
      </c>
      <c r="I345" s="36" t="str">
        <f t="shared" si="16"/>
        <v/>
      </c>
      <c r="N345" s="36" t="str">
        <f t="shared" si="17"/>
        <v/>
      </c>
    </row>
    <row r="346" spans="1:14">
      <c r="A346" s="6">
        <f t="shared" si="15"/>
        <v>341</v>
      </c>
      <c r="C346" s="35" t="str">
        <f>IFERROR(VLOOKUP(B346,'MASTER RECORD'!$B$5:$W$1000,10,0) &amp;"."&amp;(VLOOKUP(B346,'MASTER RECORD'!$B$5:$W$1000,11,0)),"")</f>
        <v/>
      </c>
      <c r="D346" s="35" t="str">
        <f>IFERROR(VLOOKUP(B346,'MASTER RECORD'!$B$5:$W$1000,3,0),"")</f>
        <v/>
      </c>
      <c r="F346" s="35" t="str">
        <f>IFERROR(VLOOKUP(E346,'MASTER RECORD'!$B$5:$W$1000,10,0) &amp;"."&amp;(VLOOKUP(E346,'MASTER RECORD'!$B$5:$W$1000,11,0)),"")</f>
        <v/>
      </c>
      <c r="G346" s="35" t="str">
        <f>IFERROR(VLOOKUP(E346,'MASTER RECORD'!$B$5:$W$1000,3,0),"")</f>
        <v/>
      </c>
      <c r="I346" s="36" t="str">
        <f t="shared" si="16"/>
        <v/>
      </c>
      <c r="N346" s="36" t="str">
        <f t="shared" si="17"/>
        <v/>
      </c>
    </row>
    <row r="347" spans="1:14">
      <c r="A347" s="6">
        <f t="shared" si="15"/>
        <v>342</v>
      </c>
      <c r="C347" s="35" t="str">
        <f>IFERROR(VLOOKUP(B347,'MASTER RECORD'!$B$5:$W$1000,10,0) &amp;"."&amp;(VLOOKUP(B347,'MASTER RECORD'!$B$5:$W$1000,11,0)),"")</f>
        <v/>
      </c>
      <c r="D347" s="35" t="str">
        <f>IFERROR(VLOOKUP(B347,'MASTER RECORD'!$B$5:$W$1000,3,0),"")</f>
        <v/>
      </c>
      <c r="F347" s="35" t="str">
        <f>IFERROR(VLOOKUP(E347,'MASTER RECORD'!$B$5:$W$1000,10,0) &amp;"."&amp;(VLOOKUP(E347,'MASTER RECORD'!$B$5:$W$1000,11,0)),"")</f>
        <v/>
      </c>
      <c r="G347" s="35" t="str">
        <f>IFERROR(VLOOKUP(E347,'MASTER RECORD'!$B$5:$W$1000,3,0),"")</f>
        <v/>
      </c>
      <c r="I347" s="36" t="str">
        <f t="shared" si="16"/>
        <v/>
      </c>
      <c r="N347" s="36" t="str">
        <f t="shared" si="17"/>
        <v/>
      </c>
    </row>
    <row r="348" spans="1:14">
      <c r="A348" s="6">
        <f t="shared" si="15"/>
        <v>343</v>
      </c>
      <c r="C348" s="35" t="str">
        <f>IFERROR(VLOOKUP(B348,'MASTER RECORD'!$B$5:$W$1000,10,0) &amp;"."&amp;(VLOOKUP(B348,'MASTER RECORD'!$B$5:$W$1000,11,0)),"")</f>
        <v/>
      </c>
      <c r="D348" s="35" t="str">
        <f>IFERROR(VLOOKUP(B348,'MASTER RECORD'!$B$5:$W$1000,3,0),"")</f>
        <v/>
      </c>
      <c r="F348" s="35" t="str">
        <f>IFERROR(VLOOKUP(E348,'MASTER RECORD'!$B$5:$W$1000,10,0) &amp;"."&amp;(VLOOKUP(E348,'MASTER RECORD'!$B$5:$W$1000,11,0)),"")</f>
        <v/>
      </c>
      <c r="G348" s="35" t="str">
        <f>IFERROR(VLOOKUP(E348,'MASTER RECORD'!$B$5:$W$1000,3,0),"")</f>
        <v/>
      </c>
      <c r="I348" s="36" t="str">
        <f t="shared" si="16"/>
        <v/>
      </c>
      <c r="N348" s="36" t="str">
        <f t="shared" si="17"/>
        <v/>
      </c>
    </row>
    <row r="349" spans="1:14">
      <c r="A349" s="6">
        <f t="shared" si="15"/>
        <v>344</v>
      </c>
      <c r="C349" s="35" t="str">
        <f>IFERROR(VLOOKUP(B349,'MASTER RECORD'!$B$5:$W$1000,10,0) &amp;"."&amp;(VLOOKUP(B349,'MASTER RECORD'!$B$5:$W$1000,11,0)),"")</f>
        <v/>
      </c>
      <c r="D349" s="35" t="str">
        <f>IFERROR(VLOOKUP(B349,'MASTER RECORD'!$B$5:$W$1000,3,0),"")</f>
        <v/>
      </c>
      <c r="F349" s="35" t="str">
        <f>IFERROR(VLOOKUP(E349,'MASTER RECORD'!$B$5:$W$1000,10,0) &amp;"."&amp;(VLOOKUP(E349,'MASTER RECORD'!$B$5:$W$1000,11,0)),"")</f>
        <v/>
      </c>
      <c r="G349" s="35" t="str">
        <f>IFERROR(VLOOKUP(E349,'MASTER RECORD'!$B$5:$W$1000,3,0),"")</f>
        <v/>
      </c>
      <c r="I349" s="36" t="str">
        <f t="shared" si="16"/>
        <v/>
      </c>
      <c r="N349" s="36" t="str">
        <f t="shared" si="17"/>
        <v/>
      </c>
    </row>
    <row r="350" spans="1:14">
      <c r="A350" s="6">
        <f t="shared" si="15"/>
        <v>345</v>
      </c>
      <c r="C350" s="35" t="str">
        <f>IFERROR(VLOOKUP(B350,'MASTER RECORD'!$B$5:$W$1000,10,0) &amp;"."&amp;(VLOOKUP(B350,'MASTER RECORD'!$B$5:$W$1000,11,0)),"")</f>
        <v/>
      </c>
      <c r="D350" s="35" t="str">
        <f>IFERROR(VLOOKUP(B350,'MASTER RECORD'!$B$5:$W$1000,3,0),"")</f>
        <v/>
      </c>
      <c r="F350" s="35" t="str">
        <f>IFERROR(VLOOKUP(E350,'MASTER RECORD'!$B$5:$W$1000,10,0) &amp;"."&amp;(VLOOKUP(E350,'MASTER RECORD'!$B$5:$W$1000,11,0)),"")</f>
        <v/>
      </c>
      <c r="G350" s="35" t="str">
        <f>IFERROR(VLOOKUP(E350,'MASTER RECORD'!$B$5:$W$1000,3,0),"")</f>
        <v/>
      </c>
      <c r="I350" s="36" t="str">
        <f t="shared" si="16"/>
        <v/>
      </c>
      <c r="N350" s="36" t="str">
        <f t="shared" si="17"/>
        <v/>
      </c>
    </row>
    <row r="351" spans="1:14">
      <c r="A351" s="6">
        <f t="shared" si="15"/>
        <v>346</v>
      </c>
      <c r="C351" s="35" t="str">
        <f>IFERROR(VLOOKUP(B351,'MASTER RECORD'!$B$5:$W$1000,10,0) &amp;"."&amp;(VLOOKUP(B351,'MASTER RECORD'!$B$5:$W$1000,11,0)),"")</f>
        <v/>
      </c>
      <c r="D351" s="35" t="str">
        <f>IFERROR(VLOOKUP(B351,'MASTER RECORD'!$B$5:$W$1000,3,0),"")</f>
        <v/>
      </c>
      <c r="F351" s="35" t="str">
        <f>IFERROR(VLOOKUP(E351,'MASTER RECORD'!$B$5:$W$1000,10,0) &amp;"."&amp;(VLOOKUP(E351,'MASTER RECORD'!$B$5:$W$1000,11,0)),"")</f>
        <v/>
      </c>
      <c r="G351" s="35" t="str">
        <f>IFERROR(VLOOKUP(E351,'MASTER RECORD'!$B$5:$W$1000,3,0),"")</f>
        <v/>
      </c>
      <c r="I351" s="36" t="str">
        <f t="shared" si="16"/>
        <v/>
      </c>
      <c r="N351" s="36" t="str">
        <f t="shared" si="17"/>
        <v/>
      </c>
    </row>
    <row r="352" spans="1:14">
      <c r="A352" s="6">
        <f t="shared" si="15"/>
        <v>347</v>
      </c>
      <c r="C352" s="35" t="str">
        <f>IFERROR(VLOOKUP(B352,'MASTER RECORD'!$B$5:$W$1000,10,0) &amp;"."&amp;(VLOOKUP(B352,'MASTER RECORD'!$B$5:$W$1000,11,0)),"")</f>
        <v/>
      </c>
      <c r="D352" s="35" t="str">
        <f>IFERROR(VLOOKUP(B352,'MASTER RECORD'!$B$5:$W$1000,3,0),"")</f>
        <v/>
      </c>
      <c r="F352" s="35" t="str">
        <f>IFERROR(VLOOKUP(E352,'MASTER RECORD'!$B$5:$W$1000,10,0) &amp;"."&amp;(VLOOKUP(E352,'MASTER RECORD'!$B$5:$W$1000,11,0)),"")</f>
        <v/>
      </c>
      <c r="G352" s="35" t="str">
        <f>IFERROR(VLOOKUP(E352,'MASTER RECORD'!$B$5:$W$1000,3,0),"")</f>
        <v/>
      </c>
      <c r="I352" s="36" t="str">
        <f t="shared" si="16"/>
        <v/>
      </c>
      <c r="N352" s="36" t="str">
        <f t="shared" si="17"/>
        <v/>
      </c>
    </row>
    <row r="353" spans="1:14">
      <c r="A353" s="6">
        <f t="shared" si="15"/>
        <v>348</v>
      </c>
      <c r="C353" s="35" t="str">
        <f>IFERROR(VLOOKUP(B353,'MASTER RECORD'!$B$5:$W$1000,10,0) &amp;"."&amp;(VLOOKUP(B353,'MASTER RECORD'!$B$5:$W$1000,11,0)),"")</f>
        <v/>
      </c>
      <c r="D353" s="35" t="str">
        <f>IFERROR(VLOOKUP(B353,'MASTER RECORD'!$B$5:$W$1000,3,0),"")</f>
        <v/>
      </c>
      <c r="F353" s="35" t="str">
        <f>IFERROR(VLOOKUP(E353,'MASTER RECORD'!$B$5:$W$1000,10,0) &amp;"."&amp;(VLOOKUP(E353,'MASTER RECORD'!$B$5:$W$1000,11,0)),"")</f>
        <v/>
      </c>
      <c r="G353" s="35" t="str">
        <f>IFERROR(VLOOKUP(E353,'MASTER RECORD'!$B$5:$W$1000,3,0),"")</f>
        <v/>
      </c>
      <c r="I353" s="36" t="str">
        <f t="shared" si="16"/>
        <v/>
      </c>
      <c r="N353" s="36" t="str">
        <f t="shared" si="17"/>
        <v/>
      </c>
    </row>
    <row r="354" spans="1:14">
      <c r="A354" s="6">
        <f t="shared" si="15"/>
        <v>349</v>
      </c>
      <c r="C354" s="35" t="str">
        <f>IFERROR(VLOOKUP(B354,'MASTER RECORD'!$B$5:$W$1000,10,0) &amp;"."&amp;(VLOOKUP(B354,'MASTER RECORD'!$B$5:$W$1000,11,0)),"")</f>
        <v/>
      </c>
      <c r="D354" s="35" t="str">
        <f>IFERROR(VLOOKUP(B354,'MASTER RECORD'!$B$5:$W$1000,3,0),"")</f>
        <v/>
      </c>
      <c r="F354" s="35" t="str">
        <f>IFERROR(VLOOKUP(E354,'MASTER RECORD'!$B$5:$W$1000,10,0) &amp;"."&amp;(VLOOKUP(E354,'MASTER RECORD'!$B$5:$W$1000,11,0)),"")</f>
        <v/>
      </c>
      <c r="G354" s="35" t="str">
        <f>IFERROR(VLOOKUP(E354,'MASTER RECORD'!$B$5:$W$1000,3,0),"")</f>
        <v/>
      </c>
      <c r="I354" s="36" t="str">
        <f t="shared" si="16"/>
        <v/>
      </c>
      <c r="N354" s="36" t="str">
        <f t="shared" si="17"/>
        <v/>
      </c>
    </row>
    <row r="355" spans="1:14">
      <c r="A355" s="6">
        <f t="shared" si="15"/>
        <v>350</v>
      </c>
      <c r="C355" s="35" t="str">
        <f>IFERROR(VLOOKUP(B355,'MASTER RECORD'!$B$5:$W$1000,10,0) &amp;"."&amp;(VLOOKUP(B355,'MASTER RECORD'!$B$5:$W$1000,11,0)),"")</f>
        <v/>
      </c>
      <c r="D355" s="35" t="str">
        <f>IFERROR(VLOOKUP(B355,'MASTER RECORD'!$B$5:$W$1000,3,0),"")</f>
        <v/>
      </c>
      <c r="F355" s="35" t="str">
        <f>IFERROR(VLOOKUP(E355,'MASTER RECORD'!$B$5:$W$1000,10,0) &amp;"."&amp;(VLOOKUP(E355,'MASTER RECORD'!$B$5:$W$1000,11,0)),"")</f>
        <v/>
      </c>
      <c r="G355" s="35" t="str">
        <f>IFERROR(VLOOKUP(E355,'MASTER RECORD'!$B$5:$W$1000,3,0),"")</f>
        <v/>
      </c>
      <c r="I355" s="36" t="str">
        <f t="shared" si="16"/>
        <v/>
      </c>
      <c r="N355" s="36" t="str">
        <f t="shared" si="17"/>
        <v/>
      </c>
    </row>
    <row r="356" spans="1:14">
      <c r="A356" s="6">
        <f t="shared" si="15"/>
        <v>351</v>
      </c>
      <c r="C356" s="35" t="str">
        <f>IFERROR(VLOOKUP(B356,'MASTER RECORD'!$B$5:$W$1000,10,0) &amp;"."&amp;(VLOOKUP(B356,'MASTER RECORD'!$B$5:$W$1000,11,0)),"")</f>
        <v/>
      </c>
      <c r="D356" s="35" t="str">
        <f>IFERROR(VLOOKUP(B356,'MASTER RECORD'!$B$5:$W$1000,3,0),"")</f>
        <v/>
      </c>
      <c r="F356" s="35" t="str">
        <f>IFERROR(VLOOKUP(E356,'MASTER RECORD'!$B$5:$W$1000,10,0) &amp;"."&amp;(VLOOKUP(E356,'MASTER RECORD'!$B$5:$W$1000,11,0)),"")</f>
        <v/>
      </c>
      <c r="G356" s="35" t="str">
        <f>IFERROR(VLOOKUP(E356,'MASTER RECORD'!$B$5:$W$1000,3,0),"")</f>
        <v/>
      </c>
      <c r="I356" s="36" t="str">
        <f t="shared" si="16"/>
        <v/>
      </c>
      <c r="N356" s="36" t="str">
        <f t="shared" si="17"/>
        <v/>
      </c>
    </row>
    <row r="357" spans="1:14">
      <c r="A357" s="6">
        <f t="shared" si="15"/>
        <v>352</v>
      </c>
      <c r="C357" s="35" t="str">
        <f>IFERROR(VLOOKUP(B357,'MASTER RECORD'!$B$5:$W$1000,10,0) &amp;"."&amp;(VLOOKUP(B357,'MASTER RECORD'!$B$5:$W$1000,11,0)),"")</f>
        <v/>
      </c>
      <c r="D357" s="35" t="str">
        <f>IFERROR(VLOOKUP(B357,'MASTER RECORD'!$B$5:$W$1000,3,0),"")</f>
        <v/>
      </c>
      <c r="F357" s="35" t="str">
        <f>IFERROR(VLOOKUP(E357,'MASTER RECORD'!$B$5:$W$1000,10,0) &amp;"."&amp;(VLOOKUP(E357,'MASTER RECORD'!$B$5:$W$1000,11,0)),"")</f>
        <v/>
      </c>
      <c r="G357" s="35" t="str">
        <f>IFERROR(VLOOKUP(E357,'MASTER RECORD'!$B$5:$W$1000,3,0),"")</f>
        <v/>
      </c>
      <c r="I357" s="36" t="str">
        <f t="shared" si="16"/>
        <v/>
      </c>
      <c r="N357" s="36" t="str">
        <f t="shared" si="17"/>
        <v/>
      </c>
    </row>
    <row r="358" spans="1:14">
      <c r="A358" s="6">
        <f t="shared" si="15"/>
        <v>353</v>
      </c>
      <c r="C358" s="35" t="str">
        <f>IFERROR(VLOOKUP(B358,'MASTER RECORD'!$B$5:$W$1000,10,0) &amp;"."&amp;(VLOOKUP(B358,'MASTER RECORD'!$B$5:$W$1000,11,0)),"")</f>
        <v/>
      </c>
      <c r="D358" s="35" t="str">
        <f>IFERROR(VLOOKUP(B358,'MASTER RECORD'!$B$5:$W$1000,3,0),"")</f>
        <v/>
      </c>
      <c r="F358" s="35" t="str">
        <f>IFERROR(VLOOKUP(E358,'MASTER RECORD'!$B$5:$W$1000,10,0) &amp;"."&amp;(VLOOKUP(E358,'MASTER RECORD'!$B$5:$W$1000,11,0)),"")</f>
        <v/>
      </c>
      <c r="G358" s="35" t="str">
        <f>IFERROR(VLOOKUP(E358,'MASTER RECORD'!$B$5:$W$1000,3,0),"")</f>
        <v/>
      </c>
      <c r="I358" s="36" t="str">
        <f t="shared" si="16"/>
        <v/>
      </c>
      <c r="N358" s="36" t="str">
        <f t="shared" si="17"/>
        <v/>
      </c>
    </row>
    <row r="359" spans="1:14">
      <c r="A359" s="6">
        <f t="shared" si="15"/>
        <v>354</v>
      </c>
      <c r="C359" s="35" t="str">
        <f>IFERROR(VLOOKUP(B359,'MASTER RECORD'!$B$5:$W$1000,10,0) &amp;"."&amp;(VLOOKUP(B359,'MASTER RECORD'!$B$5:$W$1000,11,0)),"")</f>
        <v/>
      </c>
      <c r="D359" s="35" t="str">
        <f>IFERROR(VLOOKUP(B359,'MASTER RECORD'!$B$5:$W$1000,3,0),"")</f>
        <v/>
      </c>
      <c r="F359" s="35" t="str">
        <f>IFERROR(VLOOKUP(E359,'MASTER RECORD'!$B$5:$W$1000,10,0) &amp;"."&amp;(VLOOKUP(E359,'MASTER RECORD'!$B$5:$W$1000,11,0)),"")</f>
        <v/>
      </c>
      <c r="G359" s="35" t="str">
        <f>IFERROR(VLOOKUP(E359,'MASTER RECORD'!$B$5:$W$1000,3,0),"")</f>
        <v/>
      </c>
      <c r="I359" s="36" t="str">
        <f t="shared" si="16"/>
        <v/>
      </c>
      <c r="N359" s="36" t="str">
        <f t="shared" si="17"/>
        <v/>
      </c>
    </row>
    <row r="360" spans="1:14">
      <c r="A360" s="6">
        <f t="shared" si="15"/>
        <v>355</v>
      </c>
      <c r="C360" s="35" t="str">
        <f>IFERROR(VLOOKUP(B360,'MASTER RECORD'!$B$5:$W$1000,10,0) &amp;"."&amp;(VLOOKUP(B360,'MASTER RECORD'!$B$5:$W$1000,11,0)),"")</f>
        <v/>
      </c>
      <c r="D360" s="35" t="str">
        <f>IFERROR(VLOOKUP(B360,'MASTER RECORD'!$B$5:$W$1000,3,0),"")</f>
        <v/>
      </c>
      <c r="F360" s="35" t="str">
        <f>IFERROR(VLOOKUP(E360,'MASTER RECORD'!$B$5:$W$1000,10,0) &amp;"."&amp;(VLOOKUP(E360,'MASTER RECORD'!$B$5:$W$1000,11,0)),"")</f>
        <v/>
      </c>
      <c r="G360" s="35" t="str">
        <f>IFERROR(VLOOKUP(E360,'MASTER RECORD'!$B$5:$W$1000,3,0),"")</f>
        <v/>
      </c>
      <c r="I360" s="36" t="str">
        <f t="shared" si="16"/>
        <v/>
      </c>
      <c r="N360" s="36" t="str">
        <f t="shared" si="17"/>
        <v/>
      </c>
    </row>
    <row r="361" spans="1:14">
      <c r="A361" s="6">
        <f t="shared" si="15"/>
        <v>356</v>
      </c>
      <c r="C361" s="35" t="str">
        <f>IFERROR(VLOOKUP(B361,'MASTER RECORD'!$B$5:$W$1000,10,0) &amp;"."&amp;(VLOOKUP(B361,'MASTER RECORD'!$B$5:$W$1000,11,0)),"")</f>
        <v/>
      </c>
      <c r="D361" s="35" t="str">
        <f>IFERROR(VLOOKUP(B361,'MASTER RECORD'!$B$5:$W$1000,3,0),"")</f>
        <v/>
      </c>
      <c r="F361" s="35" t="str">
        <f>IFERROR(VLOOKUP(E361,'MASTER RECORD'!$B$5:$W$1000,10,0) &amp;"."&amp;(VLOOKUP(E361,'MASTER RECORD'!$B$5:$W$1000,11,0)),"")</f>
        <v/>
      </c>
      <c r="G361" s="35" t="str">
        <f>IFERROR(VLOOKUP(E361,'MASTER RECORD'!$B$5:$W$1000,3,0),"")</f>
        <v/>
      </c>
      <c r="I361" s="36" t="str">
        <f t="shared" si="16"/>
        <v/>
      </c>
      <c r="N361" s="36" t="str">
        <f t="shared" si="17"/>
        <v/>
      </c>
    </row>
    <row r="362" spans="1:14">
      <c r="A362" s="6">
        <f t="shared" ref="A362:A425" si="18">ROW(A357)</f>
        <v>357</v>
      </c>
      <c r="C362" s="35" t="str">
        <f>IFERROR(VLOOKUP(B362,'MASTER RECORD'!$B$5:$W$1000,10,0) &amp;"."&amp;(VLOOKUP(B362,'MASTER RECORD'!$B$5:$W$1000,11,0)),"")</f>
        <v/>
      </c>
      <c r="D362" s="35" t="str">
        <f>IFERROR(VLOOKUP(B362,'MASTER RECORD'!$B$5:$W$1000,3,0),"")</f>
        <v/>
      </c>
      <c r="F362" s="35" t="str">
        <f>IFERROR(VLOOKUP(E362,'MASTER RECORD'!$B$5:$W$1000,10,0) &amp;"."&amp;(VLOOKUP(E362,'MASTER RECORD'!$B$5:$W$1000,11,0)),"")</f>
        <v/>
      </c>
      <c r="G362" s="35" t="str">
        <f>IFERROR(VLOOKUP(E362,'MASTER RECORD'!$B$5:$W$1000,3,0),"")</f>
        <v/>
      </c>
      <c r="I362" s="36" t="str">
        <f t="shared" si="16"/>
        <v/>
      </c>
      <c r="N362" s="36" t="str">
        <f t="shared" si="17"/>
        <v/>
      </c>
    </row>
    <row r="363" spans="1:14">
      <c r="A363" s="6">
        <f t="shared" si="18"/>
        <v>358</v>
      </c>
      <c r="C363" s="35" t="str">
        <f>IFERROR(VLOOKUP(B363,'MASTER RECORD'!$B$5:$W$1000,10,0) &amp;"."&amp;(VLOOKUP(B363,'MASTER RECORD'!$B$5:$W$1000,11,0)),"")</f>
        <v/>
      </c>
      <c r="D363" s="35" t="str">
        <f>IFERROR(VLOOKUP(B363,'MASTER RECORD'!$B$5:$W$1000,3,0),"")</f>
        <v/>
      </c>
      <c r="F363" s="35" t="str">
        <f>IFERROR(VLOOKUP(E363,'MASTER RECORD'!$B$5:$W$1000,10,0) &amp;"."&amp;(VLOOKUP(E363,'MASTER RECORD'!$B$5:$W$1000,11,0)),"")</f>
        <v/>
      </c>
      <c r="G363" s="35" t="str">
        <f>IFERROR(VLOOKUP(E363,'MASTER RECORD'!$B$5:$W$1000,3,0),"")</f>
        <v/>
      </c>
      <c r="I363" s="36" t="str">
        <f t="shared" si="16"/>
        <v/>
      </c>
      <c r="N363" s="36" t="str">
        <f t="shared" si="17"/>
        <v/>
      </c>
    </row>
    <row r="364" spans="1:14">
      <c r="A364" s="6">
        <f t="shared" si="18"/>
        <v>359</v>
      </c>
      <c r="C364" s="35" t="str">
        <f>IFERROR(VLOOKUP(B364,'MASTER RECORD'!$B$5:$W$1000,10,0) &amp;"."&amp;(VLOOKUP(B364,'MASTER RECORD'!$B$5:$W$1000,11,0)),"")</f>
        <v/>
      </c>
      <c r="D364" s="35" t="str">
        <f>IFERROR(VLOOKUP(B364,'MASTER RECORD'!$B$5:$W$1000,3,0),"")</f>
        <v/>
      </c>
      <c r="F364" s="35" t="str">
        <f>IFERROR(VLOOKUP(E364,'MASTER RECORD'!$B$5:$W$1000,10,0) &amp;"."&amp;(VLOOKUP(E364,'MASTER RECORD'!$B$5:$W$1000,11,0)),"")</f>
        <v/>
      </c>
      <c r="G364" s="35" t="str">
        <f>IFERROR(VLOOKUP(E364,'MASTER RECORD'!$B$5:$W$1000,3,0),"")</f>
        <v/>
      </c>
      <c r="I364" s="36" t="str">
        <f t="shared" si="16"/>
        <v/>
      </c>
      <c r="N364" s="36" t="str">
        <f t="shared" si="17"/>
        <v/>
      </c>
    </row>
    <row r="365" spans="1:14">
      <c r="A365" s="6">
        <f t="shared" si="18"/>
        <v>360</v>
      </c>
      <c r="C365" s="35" t="str">
        <f>IFERROR(VLOOKUP(B365,'MASTER RECORD'!$B$5:$W$1000,10,0) &amp;"."&amp;(VLOOKUP(B365,'MASTER RECORD'!$B$5:$W$1000,11,0)),"")</f>
        <v/>
      </c>
      <c r="D365" s="35" t="str">
        <f>IFERROR(VLOOKUP(B365,'MASTER RECORD'!$B$5:$W$1000,3,0),"")</f>
        <v/>
      </c>
      <c r="F365" s="35" t="str">
        <f>IFERROR(VLOOKUP(E365,'MASTER RECORD'!$B$5:$W$1000,10,0) &amp;"."&amp;(VLOOKUP(E365,'MASTER RECORD'!$B$5:$W$1000,11,0)),"")</f>
        <v/>
      </c>
      <c r="G365" s="35" t="str">
        <f>IFERROR(VLOOKUP(E365,'MASTER RECORD'!$B$5:$W$1000,3,0),"")</f>
        <v/>
      </c>
      <c r="I365" s="36" t="str">
        <f t="shared" si="16"/>
        <v/>
      </c>
      <c r="N365" s="36" t="str">
        <f t="shared" si="17"/>
        <v/>
      </c>
    </row>
    <row r="366" spans="1:14">
      <c r="A366" s="6">
        <f t="shared" si="18"/>
        <v>361</v>
      </c>
      <c r="C366" s="35" t="str">
        <f>IFERROR(VLOOKUP(B366,'MASTER RECORD'!$B$5:$W$1000,10,0) &amp;"."&amp;(VLOOKUP(B366,'MASTER RECORD'!$B$5:$W$1000,11,0)),"")</f>
        <v/>
      </c>
      <c r="D366" s="35" t="str">
        <f>IFERROR(VLOOKUP(B366,'MASTER RECORD'!$B$5:$W$1000,3,0),"")</f>
        <v/>
      </c>
      <c r="F366" s="35" t="str">
        <f>IFERROR(VLOOKUP(E366,'MASTER RECORD'!$B$5:$W$1000,10,0) &amp;"."&amp;(VLOOKUP(E366,'MASTER RECORD'!$B$5:$W$1000,11,0)),"")</f>
        <v/>
      </c>
      <c r="G366" s="35" t="str">
        <f>IFERROR(VLOOKUP(E366,'MASTER RECORD'!$B$5:$W$1000,3,0),"")</f>
        <v/>
      </c>
      <c r="I366" s="36" t="str">
        <f t="shared" si="16"/>
        <v/>
      </c>
      <c r="N366" s="36" t="str">
        <f t="shared" si="17"/>
        <v/>
      </c>
    </row>
    <row r="367" spans="1:14">
      <c r="A367" s="6">
        <f t="shared" si="18"/>
        <v>362</v>
      </c>
      <c r="C367" s="35" t="str">
        <f>IFERROR(VLOOKUP(B367,'MASTER RECORD'!$B$5:$W$1000,10,0) &amp;"."&amp;(VLOOKUP(B367,'MASTER RECORD'!$B$5:$W$1000,11,0)),"")</f>
        <v/>
      </c>
      <c r="D367" s="35" t="str">
        <f>IFERROR(VLOOKUP(B367,'MASTER RECORD'!$B$5:$W$1000,3,0),"")</f>
        <v/>
      </c>
      <c r="F367" s="35" t="str">
        <f>IFERROR(VLOOKUP(E367,'MASTER RECORD'!$B$5:$W$1000,10,0) &amp;"."&amp;(VLOOKUP(E367,'MASTER RECORD'!$B$5:$W$1000,11,0)),"")</f>
        <v/>
      </c>
      <c r="G367" s="35" t="str">
        <f>IFERROR(VLOOKUP(E367,'MASTER RECORD'!$B$5:$W$1000,3,0),"")</f>
        <v/>
      </c>
      <c r="I367" s="36" t="str">
        <f t="shared" si="16"/>
        <v/>
      </c>
      <c r="N367" s="36" t="str">
        <f t="shared" si="17"/>
        <v/>
      </c>
    </row>
    <row r="368" spans="1:14">
      <c r="A368" s="6">
        <f t="shared" si="18"/>
        <v>363</v>
      </c>
      <c r="C368" s="35" t="str">
        <f>IFERROR(VLOOKUP(B368,'MASTER RECORD'!$B$5:$W$1000,10,0) &amp;"."&amp;(VLOOKUP(B368,'MASTER RECORD'!$B$5:$W$1000,11,0)),"")</f>
        <v/>
      </c>
      <c r="D368" s="35" t="str">
        <f>IFERROR(VLOOKUP(B368,'MASTER RECORD'!$B$5:$W$1000,3,0),"")</f>
        <v/>
      </c>
      <c r="F368" s="35" t="str">
        <f>IFERROR(VLOOKUP(E368,'MASTER RECORD'!$B$5:$W$1000,10,0) &amp;"."&amp;(VLOOKUP(E368,'MASTER RECORD'!$B$5:$W$1000,11,0)),"")</f>
        <v/>
      </c>
      <c r="G368" s="35" t="str">
        <f>IFERROR(VLOOKUP(E368,'MASTER RECORD'!$B$5:$W$1000,3,0),"")</f>
        <v/>
      </c>
      <c r="I368" s="36" t="str">
        <f t="shared" si="16"/>
        <v/>
      </c>
      <c r="N368" s="36" t="str">
        <f t="shared" si="17"/>
        <v/>
      </c>
    </row>
    <row r="369" spans="1:14">
      <c r="A369" s="6">
        <f t="shared" si="18"/>
        <v>364</v>
      </c>
      <c r="C369" s="35" t="str">
        <f>IFERROR(VLOOKUP(B369,'MASTER RECORD'!$B$5:$W$1000,10,0) &amp;"."&amp;(VLOOKUP(B369,'MASTER RECORD'!$B$5:$W$1000,11,0)),"")</f>
        <v/>
      </c>
      <c r="D369" s="35" t="str">
        <f>IFERROR(VLOOKUP(B369,'MASTER RECORD'!$B$5:$W$1000,3,0),"")</f>
        <v/>
      </c>
      <c r="F369" s="35" t="str">
        <f>IFERROR(VLOOKUP(E369,'MASTER RECORD'!$B$5:$W$1000,10,0) &amp;"."&amp;(VLOOKUP(E369,'MASTER RECORD'!$B$5:$W$1000,11,0)),"")</f>
        <v/>
      </c>
      <c r="G369" s="35" t="str">
        <f>IFERROR(VLOOKUP(E369,'MASTER RECORD'!$B$5:$W$1000,3,0),"")</f>
        <v/>
      </c>
      <c r="I369" s="36" t="str">
        <f t="shared" si="16"/>
        <v/>
      </c>
      <c r="N369" s="36" t="str">
        <f t="shared" si="17"/>
        <v/>
      </c>
    </row>
    <row r="370" spans="1:14">
      <c r="A370" s="6">
        <f t="shared" si="18"/>
        <v>365</v>
      </c>
      <c r="C370" s="35" t="str">
        <f>IFERROR(VLOOKUP(B370,'MASTER RECORD'!$B$5:$W$1000,10,0) &amp;"."&amp;(VLOOKUP(B370,'MASTER RECORD'!$B$5:$W$1000,11,0)),"")</f>
        <v/>
      </c>
      <c r="D370" s="35" t="str">
        <f>IFERROR(VLOOKUP(B370,'MASTER RECORD'!$B$5:$W$1000,3,0),"")</f>
        <v/>
      </c>
      <c r="F370" s="35" t="str">
        <f>IFERROR(VLOOKUP(E370,'MASTER RECORD'!$B$5:$W$1000,10,0) &amp;"."&amp;(VLOOKUP(E370,'MASTER RECORD'!$B$5:$W$1000,11,0)),"")</f>
        <v/>
      </c>
      <c r="G370" s="35" t="str">
        <f>IFERROR(VLOOKUP(E370,'MASTER RECORD'!$B$5:$W$1000,3,0),"")</f>
        <v/>
      </c>
      <c r="I370" s="36" t="str">
        <f t="shared" si="16"/>
        <v/>
      </c>
      <c r="N370" s="36" t="str">
        <f t="shared" si="17"/>
        <v/>
      </c>
    </row>
    <row r="371" spans="1:14">
      <c r="A371" s="6">
        <f t="shared" si="18"/>
        <v>366</v>
      </c>
      <c r="C371" s="35" t="str">
        <f>IFERROR(VLOOKUP(B371,'MASTER RECORD'!$B$5:$W$1000,10,0) &amp;"."&amp;(VLOOKUP(B371,'MASTER RECORD'!$B$5:$W$1000,11,0)),"")</f>
        <v/>
      </c>
      <c r="D371" s="35" t="str">
        <f>IFERROR(VLOOKUP(B371,'MASTER RECORD'!$B$5:$W$1000,3,0),"")</f>
        <v/>
      </c>
      <c r="F371" s="35" t="str">
        <f>IFERROR(VLOOKUP(E371,'MASTER RECORD'!$B$5:$W$1000,10,0) &amp;"."&amp;(VLOOKUP(E371,'MASTER RECORD'!$B$5:$W$1000,11,0)),"")</f>
        <v/>
      </c>
      <c r="G371" s="35" t="str">
        <f>IFERROR(VLOOKUP(E371,'MASTER RECORD'!$B$5:$W$1000,3,0),"")</f>
        <v/>
      </c>
      <c r="I371" s="36" t="str">
        <f t="shared" si="16"/>
        <v/>
      </c>
      <c r="N371" s="36" t="str">
        <f t="shared" si="17"/>
        <v/>
      </c>
    </row>
    <row r="372" spans="1:14">
      <c r="A372" s="6">
        <f t="shared" si="18"/>
        <v>367</v>
      </c>
      <c r="C372" s="35" t="str">
        <f>IFERROR(VLOOKUP(B372,'MASTER RECORD'!$B$5:$W$1000,10,0) &amp;"."&amp;(VLOOKUP(B372,'MASTER RECORD'!$B$5:$W$1000,11,0)),"")</f>
        <v/>
      </c>
      <c r="D372" s="35" t="str">
        <f>IFERROR(VLOOKUP(B372,'MASTER RECORD'!$B$5:$W$1000,3,0),"")</f>
        <v/>
      </c>
      <c r="F372" s="35" t="str">
        <f>IFERROR(VLOOKUP(E372,'MASTER RECORD'!$B$5:$W$1000,10,0) &amp;"."&amp;(VLOOKUP(E372,'MASTER RECORD'!$B$5:$W$1000,11,0)),"")</f>
        <v/>
      </c>
      <c r="G372" s="35" t="str">
        <f>IFERROR(VLOOKUP(E372,'MASTER RECORD'!$B$5:$W$1000,3,0),"")</f>
        <v/>
      </c>
      <c r="I372" s="36" t="str">
        <f t="shared" si="16"/>
        <v/>
      </c>
      <c r="N372" s="36" t="str">
        <f t="shared" si="17"/>
        <v/>
      </c>
    </row>
    <row r="373" spans="1:14">
      <c r="A373" s="6">
        <f t="shared" si="18"/>
        <v>368</v>
      </c>
      <c r="C373" s="35" t="str">
        <f>IFERROR(VLOOKUP(B373,'MASTER RECORD'!$B$5:$W$1000,10,0) &amp;"."&amp;(VLOOKUP(B373,'MASTER RECORD'!$B$5:$W$1000,11,0)),"")</f>
        <v/>
      </c>
      <c r="D373" s="35" t="str">
        <f>IFERROR(VLOOKUP(B373,'MASTER RECORD'!$B$5:$W$1000,3,0),"")</f>
        <v/>
      </c>
      <c r="F373" s="35" t="str">
        <f>IFERROR(VLOOKUP(E373,'MASTER RECORD'!$B$5:$W$1000,10,0) &amp;"."&amp;(VLOOKUP(E373,'MASTER RECORD'!$B$5:$W$1000,11,0)),"")</f>
        <v/>
      </c>
      <c r="G373" s="35" t="str">
        <f>IFERROR(VLOOKUP(E373,'MASTER RECORD'!$B$5:$W$1000,3,0),"")</f>
        <v/>
      </c>
      <c r="I373" s="36" t="str">
        <f t="shared" si="16"/>
        <v/>
      </c>
      <c r="N373" s="36" t="str">
        <f t="shared" si="17"/>
        <v/>
      </c>
    </row>
    <row r="374" spans="1:14">
      <c r="A374" s="6">
        <f t="shared" si="18"/>
        <v>369</v>
      </c>
      <c r="C374" s="35" t="str">
        <f>IFERROR(VLOOKUP(B374,'MASTER RECORD'!$B$5:$W$1000,10,0) &amp;"."&amp;(VLOOKUP(B374,'MASTER RECORD'!$B$5:$W$1000,11,0)),"")</f>
        <v/>
      </c>
      <c r="D374" s="35" t="str">
        <f>IFERROR(VLOOKUP(B374,'MASTER RECORD'!$B$5:$W$1000,3,0),"")</f>
        <v/>
      </c>
      <c r="F374" s="35" t="str">
        <f>IFERROR(VLOOKUP(E374,'MASTER RECORD'!$B$5:$W$1000,10,0) &amp;"."&amp;(VLOOKUP(E374,'MASTER RECORD'!$B$5:$W$1000,11,0)),"")</f>
        <v/>
      </c>
      <c r="G374" s="35" t="str">
        <f>IFERROR(VLOOKUP(E374,'MASTER RECORD'!$B$5:$W$1000,3,0),"")</f>
        <v/>
      </c>
      <c r="I374" s="36" t="str">
        <f t="shared" si="16"/>
        <v/>
      </c>
      <c r="N374" s="36" t="str">
        <f t="shared" si="17"/>
        <v/>
      </c>
    </row>
    <row r="375" spans="1:14">
      <c r="A375" s="6">
        <f t="shared" si="18"/>
        <v>370</v>
      </c>
      <c r="C375" s="35" t="str">
        <f>IFERROR(VLOOKUP(B375,'MASTER RECORD'!$B$5:$W$1000,10,0) &amp;"."&amp;(VLOOKUP(B375,'MASTER RECORD'!$B$5:$W$1000,11,0)),"")</f>
        <v/>
      </c>
      <c r="D375" s="35" t="str">
        <f>IFERROR(VLOOKUP(B375,'MASTER RECORD'!$B$5:$W$1000,3,0),"")</f>
        <v/>
      </c>
      <c r="F375" s="35" t="str">
        <f>IFERROR(VLOOKUP(E375,'MASTER RECORD'!$B$5:$W$1000,10,0) &amp;"."&amp;(VLOOKUP(E375,'MASTER RECORD'!$B$5:$W$1000,11,0)),"")</f>
        <v/>
      </c>
      <c r="G375" s="35" t="str">
        <f>IFERROR(VLOOKUP(E375,'MASTER RECORD'!$B$5:$W$1000,3,0),"")</f>
        <v/>
      </c>
      <c r="I375" s="36" t="str">
        <f t="shared" si="16"/>
        <v/>
      </c>
      <c r="N375" s="36" t="str">
        <f t="shared" si="17"/>
        <v/>
      </c>
    </row>
    <row r="376" spans="1:14">
      <c r="A376" s="6">
        <f t="shared" si="18"/>
        <v>371</v>
      </c>
      <c r="C376" s="35" t="str">
        <f>IFERROR(VLOOKUP(B376,'MASTER RECORD'!$B$5:$W$1000,10,0) &amp;"."&amp;(VLOOKUP(B376,'MASTER RECORD'!$B$5:$W$1000,11,0)),"")</f>
        <v/>
      </c>
      <c r="D376" s="35" t="str">
        <f>IFERROR(VLOOKUP(B376,'MASTER RECORD'!$B$5:$W$1000,3,0),"")</f>
        <v/>
      </c>
      <c r="F376" s="35" t="str">
        <f>IFERROR(VLOOKUP(E376,'MASTER RECORD'!$B$5:$W$1000,10,0) &amp;"."&amp;(VLOOKUP(E376,'MASTER RECORD'!$B$5:$W$1000,11,0)),"")</f>
        <v/>
      </c>
      <c r="G376" s="35" t="str">
        <f>IFERROR(VLOOKUP(E376,'MASTER RECORD'!$B$5:$W$1000,3,0),"")</f>
        <v/>
      </c>
      <c r="I376" s="36" t="str">
        <f t="shared" si="16"/>
        <v/>
      </c>
      <c r="N376" s="36" t="str">
        <f t="shared" si="17"/>
        <v/>
      </c>
    </row>
    <row r="377" spans="1:14">
      <c r="A377" s="6">
        <f t="shared" si="18"/>
        <v>372</v>
      </c>
      <c r="C377" s="35" t="str">
        <f>IFERROR(VLOOKUP(B377,'MASTER RECORD'!$B$5:$W$1000,10,0) &amp;"."&amp;(VLOOKUP(B377,'MASTER RECORD'!$B$5:$W$1000,11,0)),"")</f>
        <v/>
      </c>
      <c r="D377" s="35" t="str">
        <f>IFERROR(VLOOKUP(B377,'MASTER RECORD'!$B$5:$W$1000,3,0),"")</f>
        <v/>
      </c>
      <c r="F377" s="35" t="str">
        <f>IFERROR(VLOOKUP(E377,'MASTER RECORD'!$B$5:$W$1000,10,0) &amp;"."&amp;(VLOOKUP(E377,'MASTER RECORD'!$B$5:$W$1000,11,0)),"")</f>
        <v/>
      </c>
      <c r="G377" s="35" t="str">
        <f>IFERROR(VLOOKUP(E377,'MASTER RECORD'!$B$5:$W$1000,3,0),"")</f>
        <v/>
      </c>
      <c r="I377" s="36" t="str">
        <f t="shared" si="16"/>
        <v/>
      </c>
      <c r="N377" s="36" t="str">
        <f t="shared" si="17"/>
        <v/>
      </c>
    </row>
    <row r="378" spans="1:14">
      <c r="A378" s="6">
        <f t="shared" si="18"/>
        <v>373</v>
      </c>
      <c r="C378" s="35" t="str">
        <f>IFERROR(VLOOKUP(B378,'MASTER RECORD'!$B$5:$W$1000,10,0) &amp;"."&amp;(VLOOKUP(B378,'MASTER RECORD'!$B$5:$W$1000,11,0)),"")</f>
        <v/>
      </c>
      <c r="D378" s="35" t="str">
        <f>IFERROR(VLOOKUP(B378,'MASTER RECORD'!$B$5:$W$1000,3,0),"")</f>
        <v/>
      </c>
      <c r="F378" s="35" t="str">
        <f>IFERROR(VLOOKUP(E378,'MASTER RECORD'!$B$5:$W$1000,10,0) &amp;"."&amp;(VLOOKUP(E378,'MASTER RECORD'!$B$5:$W$1000,11,0)),"")</f>
        <v/>
      </c>
      <c r="G378" s="35" t="str">
        <f>IFERROR(VLOOKUP(E378,'MASTER RECORD'!$B$5:$W$1000,3,0),"")</f>
        <v/>
      </c>
      <c r="I378" s="36" t="str">
        <f t="shared" si="16"/>
        <v/>
      </c>
      <c r="N378" s="36" t="str">
        <f t="shared" si="17"/>
        <v/>
      </c>
    </row>
    <row r="379" spans="1:14">
      <c r="A379" s="6">
        <f t="shared" si="18"/>
        <v>374</v>
      </c>
      <c r="C379" s="35" t="str">
        <f>IFERROR(VLOOKUP(B379,'MASTER RECORD'!$B$5:$W$1000,10,0) &amp;"."&amp;(VLOOKUP(B379,'MASTER RECORD'!$B$5:$W$1000,11,0)),"")</f>
        <v/>
      </c>
      <c r="D379" s="35" t="str">
        <f>IFERROR(VLOOKUP(B379,'MASTER RECORD'!$B$5:$W$1000,3,0),"")</f>
        <v/>
      </c>
      <c r="F379" s="35" t="str">
        <f>IFERROR(VLOOKUP(E379,'MASTER RECORD'!$B$5:$W$1000,10,0) &amp;"."&amp;(VLOOKUP(E379,'MASTER RECORD'!$B$5:$W$1000,11,0)),"")</f>
        <v/>
      </c>
      <c r="G379" s="35" t="str">
        <f>IFERROR(VLOOKUP(E379,'MASTER RECORD'!$B$5:$W$1000,3,0),"")</f>
        <v/>
      </c>
      <c r="I379" s="36" t="str">
        <f t="shared" si="16"/>
        <v/>
      </c>
      <c r="N379" s="36" t="str">
        <f t="shared" si="17"/>
        <v/>
      </c>
    </row>
    <row r="380" spans="1:14">
      <c r="A380" s="6">
        <f t="shared" si="18"/>
        <v>375</v>
      </c>
      <c r="C380" s="35" t="str">
        <f>IFERROR(VLOOKUP(B380,'MASTER RECORD'!$B$5:$W$1000,10,0) &amp;"."&amp;(VLOOKUP(B380,'MASTER RECORD'!$B$5:$W$1000,11,0)),"")</f>
        <v/>
      </c>
      <c r="D380" s="35" t="str">
        <f>IFERROR(VLOOKUP(B380,'MASTER RECORD'!$B$5:$W$1000,3,0),"")</f>
        <v/>
      </c>
      <c r="F380" s="35" t="str">
        <f>IFERROR(VLOOKUP(E380,'MASTER RECORD'!$B$5:$W$1000,10,0) &amp;"."&amp;(VLOOKUP(E380,'MASTER RECORD'!$B$5:$W$1000,11,0)),"")</f>
        <v/>
      </c>
      <c r="G380" s="35" t="str">
        <f>IFERROR(VLOOKUP(E380,'MASTER RECORD'!$B$5:$W$1000,3,0),"")</f>
        <v/>
      </c>
      <c r="I380" s="36" t="str">
        <f t="shared" si="16"/>
        <v/>
      </c>
      <c r="N380" s="36" t="str">
        <f t="shared" si="17"/>
        <v/>
      </c>
    </row>
    <row r="381" spans="1:14">
      <c r="A381" s="6">
        <f t="shared" si="18"/>
        <v>376</v>
      </c>
      <c r="C381" s="35" t="str">
        <f>IFERROR(VLOOKUP(B381,'MASTER RECORD'!$B$5:$W$1000,10,0) &amp;"."&amp;(VLOOKUP(B381,'MASTER RECORD'!$B$5:$W$1000,11,0)),"")</f>
        <v/>
      </c>
      <c r="D381" s="35" t="str">
        <f>IFERROR(VLOOKUP(B381,'MASTER RECORD'!$B$5:$W$1000,3,0),"")</f>
        <v/>
      </c>
      <c r="F381" s="35" t="str">
        <f>IFERROR(VLOOKUP(E381,'MASTER RECORD'!$B$5:$W$1000,10,0) &amp;"."&amp;(VLOOKUP(E381,'MASTER RECORD'!$B$5:$W$1000,11,0)),"")</f>
        <v/>
      </c>
      <c r="G381" s="35" t="str">
        <f>IFERROR(VLOOKUP(E381,'MASTER RECORD'!$B$5:$W$1000,3,0),"")</f>
        <v/>
      </c>
      <c r="I381" s="36" t="str">
        <f t="shared" si="16"/>
        <v/>
      </c>
      <c r="N381" s="36" t="str">
        <f t="shared" si="17"/>
        <v/>
      </c>
    </row>
    <row r="382" spans="1:14">
      <c r="A382" s="6">
        <f t="shared" si="18"/>
        <v>377</v>
      </c>
      <c r="C382" s="35" t="str">
        <f>IFERROR(VLOOKUP(B382,'MASTER RECORD'!$B$5:$W$1000,10,0) &amp;"."&amp;(VLOOKUP(B382,'MASTER RECORD'!$B$5:$W$1000,11,0)),"")</f>
        <v/>
      </c>
      <c r="D382" s="35" t="str">
        <f>IFERROR(VLOOKUP(B382,'MASTER RECORD'!$B$5:$W$1000,3,0),"")</f>
        <v/>
      </c>
      <c r="F382" s="35" t="str">
        <f>IFERROR(VLOOKUP(E382,'MASTER RECORD'!$B$5:$W$1000,10,0) &amp;"."&amp;(VLOOKUP(E382,'MASTER RECORD'!$B$5:$W$1000,11,0)),"")</f>
        <v/>
      </c>
      <c r="G382" s="35" t="str">
        <f>IFERROR(VLOOKUP(E382,'MASTER RECORD'!$B$5:$W$1000,3,0),"")</f>
        <v/>
      </c>
      <c r="I382" s="36" t="str">
        <f t="shared" si="16"/>
        <v/>
      </c>
      <c r="N382" s="36" t="str">
        <f t="shared" si="17"/>
        <v/>
      </c>
    </row>
    <row r="383" spans="1:14">
      <c r="A383" s="6">
        <f t="shared" si="18"/>
        <v>378</v>
      </c>
      <c r="C383" s="35" t="str">
        <f>IFERROR(VLOOKUP(B383,'MASTER RECORD'!$B$5:$W$1000,10,0) &amp;"."&amp;(VLOOKUP(B383,'MASTER RECORD'!$B$5:$W$1000,11,0)),"")</f>
        <v/>
      </c>
      <c r="D383" s="35" t="str">
        <f>IFERROR(VLOOKUP(B383,'MASTER RECORD'!$B$5:$W$1000,3,0),"")</f>
        <v/>
      </c>
      <c r="F383" s="35" t="str">
        <f>IFERROR(VLOOKUP(E383,'MASTER RECORD'!$B$5:$W$1000,10,0) &amp;"."&amp;(VLOOKUP(E383,'MASTER RECORD'!$B$5:$W$1000,11,0)),"")</f>
        <v/>
      </c>
      <c r="G383" s="35" t="str">
        <f>IFERROR(VLOOKUP(E383,'MASTER RECORD'!$B$5:$W$1000,3,0),"")</f>
        <v/>
      </c>
      <c r="I383" s="36" t="str">
        <f t="shared" si="16"/>
        <v/>
      </c>
      <c r="N383" s="36" t="str">
        <f t="shared" si="17"/>
        <v/>
      </c>
    </row>
    <row r="384" spans="1:14">
      <c r="A384" s="6">
        <f t="shared" si="18"/>
        <v>379</v>
      </c>
      <c r="C384" s="35" t="str">
        <f>IFERROR(VLOOKUP(B384,'MASTER RECORD'!$B$5:$W$1000,10,0) &amp;"."&amp;(VLOOKUP(B384,'MASTER RECORD'!$B$5:$W$1000,11,0)),"")</f>
        <v/>
      </c>
      <c r="D384" s="35" t="str">
        <f>IFERROR(VLOOKUP(B384,'MASTER RECORD'!$B$5:$W$1000,3,0),"")</f>
        <v/>
      </c>
      <c r="F384" s="35" t="str">
        <f>IFERROR(VLOOKUP(E384,'MASTER RECORD'!$B$5:$W$1000,10,0) &amp;"."&amp;(VLOOKUP(E384,'MASTER RECORD'!$B$5:$W$1000,11,0)),"")</f>
        <v/>
      </c>
      <c r="G384" s="35" t="str">
        <f>IFERROR(VLOOKUP(E384,'MASTER RECORD'!$B$5:$W$1000,3,0),"")</f>
        <v/>
      </c>
      <c r="I384" s="36" t="str">
        <f t="shared" si="16"/>
        <v/>
      </c>
      <c r="N384" s="36" t="str">
        <f t="shared" si="17"/>
        <v/>
      </c>
    </row>
    <row r="385" spans="1:14">
      <c r="A385" s="6">
        <f t="shared" si="18"/>
        <v>380</v>
      </c>
      <c r="C385" s="35" t="str">
        <f>IFERROR(VLOOKUP(B385,'MASTER RECORD'!$B$5:$W$1000,10,0) &amp;"."&amp;(VLOOKUP(B385,'MASTER RECORD'!$B$5:$W$1000,11,0)),"")</f>
        <v/>
      </c>
      <c r="D385" s="35" t="str">
        <f>IFERROR(VLOOKUP(B385,'MASTER RECORD'!$B$5:$W$1000,3,0),"")</f>
        <v/>
      </c>
      <c r="F385" s="35" t="str">
        <f>IFERROR(VLOOKUP(E385,'MASTER RECORD'!$B$5:$W$1000,10,0) &amp;"."&amp;(VLOOKUP(E385,'MASTER RECORD'!$B$5:$W$1000,11,0)),"")</f>
        <v/>
      </c>
      <c r="G385" s="35" t="str">
        <f>IFERROR(VLOOKUP(E385,'MASTER RECORD'!$B$5:$W$1000,3,0),"")</f>
        <v/>
      </c>
      <c r="I385" s="36" t="str">
        <f t="shared" si="16"/>
        <v/>
      </c>
      <c r="N385" s="36" t="str">
        <f t="shared" si="17"/>
        <v/>
      </c>
    </row>
    <row r="386" spans="1:14">
      <c r="A386" s="6">
        <f t="shared" si="18"/>
        <v>381</v>
      </c>
      <c r="C386" s="35" t="str">
        <f>IFERROR(VLOOKUP(B386,'MASTER RECORD'!$B$5:$W$1000,10,0) &amp;"."&amp;(VLOOKUP(B386,'MASTER RECORD'!$B$5:$W$1000,11,0)),"")</f>
        <v/>
      </c>
      <c r="D386" s="35" t="str">
        <f>IFERROR(VLOOKUP(B386,'MASTER RECORD'!$B$5:$W$1000,3,0),"")</f>
        <v/>
      </c>
      <c r="F386" s="35" t="str">
        <f>IFERROR(VLOOKUP(E386,'MASTER RECORD'!$B$5:$W$1000,10,0) &amp;"."&amp;(VLOOKUP(E386,'MASTER RECORD'!$B$5:$W$1000,11,0)),"")</f>
        <v/>
      </c>
      <c r="G386" s="35" t="str">
        <f>IFERROR(VLOOKUP(E386,'MASTER RECORD'!$B$5:$W$1000,3,0),"")</f>
        <v/>
      </c>
      <c r="I386" s="36" t="str">
        <f t="shared" si="16"/>
        <v/>
      </c>
      <c r="N386" s="36" t="str">
        <f t="shared" si="17"/>
        <v/>
      </c>
    </row>
    <row r="387" spans="1:14">
      <c r="A387" s="6">
        <f t="shared" si="18"/>
        <v>382</v>
      </c>
      <c r="C387" s="35" t="str">
        <f>IFERROR(VLOOKUP(B387,'MASTER RECORD'!$B$5:$W$1000,10,0) &amp;"."&amp;(VLOOKUP(B387,'MASTER RECORD'!$B$5:$W$1000,11,0)),"")</f>
        <v/>
      </c>
      <c r="D387" s="35" t="str">
        <f>IFERROR(VLOOKUP(B387,'MASTER RECORD'!$B$5:$W$1000,3,0),"")</f>
        <v/>
      </c>
      <c r="F387" s="35" t="str">
        <f>IFERROR(VLOOKUP(E387,'MASTER RECORD'!$B$5:$W$1000,10,0) &amp;"."&amp;(VLOOKUP(E387,'MASTER RECORD'!$B$5:$W$1000,11,0)),"")</f>
        <v/>
      </c>
      <c r="G387" s="35" t="str">
        <f>IFERROR(VLOOKUP(E387,'MASTER RECORD'!$B$5:$W$1000,3,0),"")</f>
        <v/>
      </c>
      <c r="I387" s="36" t="str">
        <f t="shared" si="16"/>
        <v/>
      </c>
      <c r="N387" s="36" t="str">
        <f t="shared" si="17"/>
        <v/>
      </c>
    </row>
    <row r="388" spans="1:14">
      <c r="A388" s="6">
        <f t="shared" si="18"/>
        <v>383</v>
      </c>
      <c r="C388" s="35" t="str">
        <f>IFERROR(VLOOKUP(B388,'MASTER RECORD'!$B$5:$W$1000,10,0) &amp;"."&amp;(VLOOKUP(B388,'MASTER RECORD'!$B$5:$W$1000,11,0)),"")</f>
        <v/>
      </c>
      <c r="D388" s="35" t="str">
        <f>IFERROR(VLOOKUP(B388,'MASTER RECORD'!$B$5:$W$1000,3,0),"")</f>
        <v/>
      </c>
      <c r="F388" s="35" t="str">
        <f>IFERROR(VLOOKUP(E388,'MASTER RECORD'!$B$5:$W$1000,10,0) &amp;"."&amp;(VLOOKUP(E388,'MASTER RECORD'!$B$5:$W$1000,11,0)),"")</f>
        <v/>
      </c>
      <c r="G388" s="35" t="str">
        <f>IFERROR(VLOOKUP(E388,'MASTER RECORD'!$B$5:$W$1000,3,0),"")</f>
        <v/>
      </c>
      <c r="I388" s="36" t="str">
        <f t="shared" si="16"/>
        <v/>
      </c>
      <c r="N388" s="36" t="str">
        <f t="shared" si="17"/>
        <v/>
      </c>
    </row>
    <row r="389" spans="1:14">
      <c r="A389" s="6">
        <f t="shared" si="18"/>
        <v>384</v>
      </c>
      <c r="C389" s="35" t="str">
        <f>IFERROR(VLOOKUP(B389,'MASTER RECORD'!$B$5:$W$1000,10,0) &amp;"."&amp;(VLOOKUP(B389,'MASTER RECORD'!$B$5:$W$1000,11,0)),"")</f>
        <v/>
      </c>
      <c r="D389" s="35" t="str">
        <f>IFERROR(VLOOKUP(B389,'MASTER RECORD'!$B$5:$W$1000,3,0),"")</f>
        <v/>
      </c>
      <c r="F389" s="35" t="str">
        <f>IFERROR(VLOOKUP(E389,'MASTER RECORD'!$B$5:$W$1000,10,0) &amp;"."&amp;(VLOOKUP(E389,'MASTER RECORD'!$B$5:$W$1000,11,0)),"")</f>
        <v/>
      </c>
      <c r="G389" s="35" t="str">
        <f>IFERROR(VLOOKUP(E389,'MASTER RECORD'!$B$5:$W$1000,3,0),"")</f>
        <v/>
      </c>
      <c r="I389" s="36" t="str">
        <f t="shared" si="16"/>
        <v/>
      </c>
      <c r="N389" s="36" t="str">
        <f t="shared" si="17"/>
        <v/>
      </c>
    </row>
    <row r="390" spans="1:14">
      <c r="A390" s="6">
        <f t="shared" si="18"/>
        <v>385</v>
      </c>
      <c r="C390" s="35" t="str">
        <f>IFERROR(VLOOKUP(B390,'MASTER RECORD'!$B$5:$W$1000,10,0) &amp;"."&amp;(VLOOKUP(B390,'MASTER RECORD'!$B$5:$W$1000,11,0)),"")</f>
        <v/>
      </c>
      <c r="D390" s="35" t="str">
        <f>IFERROR(VLOOKUP(B390,'MASTER RECORD'!$B$5:$W$1000,3,0),"")</f>
        <v/>
      </c>
      <c r="F390" s="35" t="str">
        <f>IFERROR(VLOOKUP(E390,'MASTER RECORD'!$B$5:$W$1000,10,0) &amp;"."&amp;(VLOOKUP(E390,'MASTER RECORD'!$B$5:$W$1000,11,0)),"")</f>
        <v/>
      </c>
      <c r="G390" s="35" t="str">
        <f>IFERROR(VLOOKUP(E390,'MASTER RECORD'!$B$5:$W$1000,3,0),"")</f>
        <v/>
      </c>
      <c r="I390" s="36" t="str">
        <f t="shared" si="16"/>
        <v/>
      </c>
      <c r="N390" s="36" t="str">
        <f t="shared" si="17"/>
        <v/>
      </c>
    </row>
    <row r="391" spans="1:14">
      <c r="A391" s="6">
        <f t="shared" si="18"/>
        <v>386</v>
      </c>
      <c r="C391" s="35" t="str">
        <f>IFERROR(VLOOKUP(B391,'MASTER RECORD'!$B$5:$W$1000,10,0) &amp;"."&amp;(VLOOKUP(B391,'MASTER RECORD'!$B$5:$W$1000,11,0)),"")</f>
        <v/>
      </c>
      <c r="D391" s="35" t="str">
        <f>IFERROR(VLOOKUP(B391,'MASTER RECORD'!$B$5:$W$1000,3,0),"")</f>
        <v/>
      </c>
      <c r="F391" s="35" t="str">
        <f>IFERROR(VLOOKUP(E391,'MASTER RECORD'!$B$5:$W$1000,10,0) &amp;"."&amp;(VLOOKUP(E391,'MASTER RECORD'!$B$5:$W$1000,11,0)),"")</f>
        <v/>
      </c>
      <c r="G391" s="35" t="str">
        <f>IFERROR(VLOOKUP(E391,'MASTER RECORD'!$B$5:$W$1000,3,0),"")</f>
        <v/>
      </c>
      <c r="I391" s="36" t="str">
        <f t="shared" ref="I391:I454" si="19">IF(H391&gt;0,H391+150,"")</f>
        <v/>
      </c>
      <c r="N391" s="36" t="str">
        <f t="shared" ref="N391:N454" si="20">IF(J391&gt;0,J391+60,"")</f>
        <v/>
      </c>
    </row>
    <row r="392" spans="1:14">
      <c r="A392" s="6">
        <f t="shared" si="18"/>
        <v>387</v>
      </c>
      <c r="C392" s="35" t="str">
        <f>IFERROR(VLOOKUP(B392,'MASTER RECORD'!$B$5:$W$1000,10,0) &amp;"."&amp;(VLOOKUP(B392,'MASTER RECORD'!$B$5:$W$1000,11,0)),"")</f>
        <v/>
      </c>
      <c r="D392" s="35" t="str">
        <f>IFERROR(VLOOKUP(B392,'MASTER RECORD'!$B$5:$W$1000,3,0),"")</f>
        <v/>
      </c>
      <c r="F392" s="35" t="str">
        <f>IFERROR(VLOOKUP(E392,'MASTER RECORD'!$B$5:$W$1000,10,0) &amp;"."&amp;(VLOOKUP(E392,'MASTER RECORD'!$B$5:$W$1000,11,0)),"")</f>
        <v/>
      </c>
      <c r="G392" s="35" t="str">
        <f>IFERROR(VLOOKUP(E392,'MASTER RECORD'!$B$5:$W$1000,3,0),"")</f>
        <v/>
      </c>
      <c r="I392" s="36" t="str">
        <f t="shared" si="19"/>
        <v/>
      </c>
      <c r="N392" s="36" t="str">
        <f t="shared" si="20"/>
        <v/>
      </c>
    </row>
    <row r="393" spans="1:14">
      <c r="A393" s="6">
        <f t="shared" si="18"/>
        <v>388</v>
      </c>
      <c r="C393" s="35" t="str">
        <f>IFERROR(VLOOKUP(B393,'MASTER RECORD'!$B$5:$W$1000,10,0) &amp;"."&amp;(VLOOKUP(B393,'MASTER RECORD'!$B$5:$W$1000,11,0)),"")</f>
        <v/>
      </c>
      <c r="D393" s="35" t="str">
        <f>IFERROR(VLOOKUP(B393,'MASTER RECORD'!$B$5:$W$1000,3,0),"")</f>
        <v/>
      </c>
      <c r="F393" s="35" t="str">
        <f>IFERROR(VLOOKUP(E393,'MASTER RECORD'!$B$5:$W$1000,10,0) &amp;"."&amp;(VLOOKUP(E393,'MASTER RECORD'!$B$5:$W$1000,11,0)),"")</f>
        <v/>
      </c>
      <c r="G393" s="35" t="str">
        <f>IFERROR(VLOOKUP(E393,'MASTER RECORD'!$B$5:$W$1000,3,0),"")</f>
        <v/>
      </c>
      <c r="I393" s="36" t="str">
        <f t="shared" si="19"/>
        <v/>
      </c>
      <c r="N393" s="36" t="str">
        <f t="shared" si="20"/>
        <v/>
      </c>
    </row>
    <row r="394" spans="1:14">
      <c r="A394" s="6">
        <f t="shared" si="18"/>
        <v>389</v>
      </c>
      <c r="C394" s="35" t="str">
        <f>IFERROR(VLOOKUP(B394,'MASTER RECORD'!$B$5:$W$1000,10,0) &amp;"."&amp;(VLOOKUP(B394,'MASTER RECORD'!$B$5:$W$1000,11,0)),"")</f>
        <v/>
      </c>
      <c r="D394" s="35" t="str">
        <f>IFERROR(VLOOKUP(B394,'MASTER RECORD'!$B$5:$W$1000,3,0),"")</f>
        <v/>
      </c>
      <c r="F394" s="35" t="str">
        <f>IFERROR(VLOOKUP(E394,'MASTER RECORD'!$B$5:$W$1000,10,0) &amp;"."&amp;(VLOOKUP(E394,'MASTER RECORD'!$B$5:$W$1000,11,0)),"")</f>
        <v/>
      </c>
      <c r="G394" s="35" t="str">
        <f>IFERROR(VLOOKUP(E394,'MASTER RECORD'!$B$5:$W$1000,3,0),"")</f>
        <v/>
      </c>
      <c r="I394" s="36" t="str">
        <f t="shared" si="19"/>
        <v/>
      </c>
      <c r="N394" s="36" t="str">
        <f t="shared" si="20"/>
        <v/>
      </c>
    </row>
    <row r="395" spans="1:14">
      <c r="A395" s="6">
        <f t="shared" si="18"/>
        <v>390</v>
      </c>
      <c r="C395" s="35" t="str">
        <f>IFERROR(VLOOKUP(B395,'MASTER RECORD'!$B$5:$W$1000,10,0) &amp;"."&amp;(VLOOKUP(B395,'MASTER RECORD'!$B$5:$W$1000,11,0)),"")</f>
        <v/>
      </c>
      <c r="D395" s="35" t="str">
        <f>IFERROR(VLOOKUP(B395,'MASTER RECORD'!$B$5:$W$1000,3,0),"")</f>
        <v/>
      </c>
      <c r="F395" s="35" t="str">
        <f>IFERROR(VLOOKUP(E395,'MASTER RECORD'!$B$5:$W$1000,10,0) &amp;"."&amp;(VLOOKUP(E395,'MASTER RECORD'!$B$5:$W$1000,11,0)),"")</f>
        <v/>
      </c>
      <c r="G395" s="35" t="str">
        <f>IFERROR(VLOOKUP(E395,'MASTER RECORD'!$B$5:$W$1000,3,0),"")</f>
        <v/>
      </c>
      <c r="I395" s="36" t="str">
        <f t="shared" si="19"/>
        <v/>
      </c>
      <c r="N395" s="36" t="str">
        <f t="shared" si="20"/>
        <v/>
      </c>
    </row>
    <row r="396" spans="1:14">
      <c r="A396" s="6">
        <f t="shared" si="18"/>
        <v>391</v>
      </c>
      <c r="C396" s="35" t="str">
        <f>IFERROR(VLOOKUP(B396,'MASTER RECORD'!$B$5:$W$1000,10,0) &amp;"."&amp;(VLOOKUP(B396,'MASTER RECORD'!$B$5:$W$1000,11,0)),"")</f>
        <v/>
      </c>
      <c r="D396" s="35" t="str">
        <f>IFERROR(VLOOKUP(B396,'MASTER RECORD'!$B$5:$W$1000,3,0),"")</f>
        <v/>
      </c>
      <c r="F396" s="35" t="str">
        <f>IFERROR(VLOOKUP(E396,'MASTER RECORD'!$B$5:$W$1000,10,0) &amp;"."&amp;(VLOOKUP(E396,'MASTER RECORD'!$B$5:$W$1000,11,0)),"")</f>
        <v/>
      </c>
      <c r="G396" s="35" t="str">
        <f>IFERROR(VLOOKUP(E396,'MASTER RECORD'!$B$5:$W$1000,3,0),"")</f>
        <v/>
      </c>
      <c r="I396" s="36" t="str">
        <f t="shared" si="19"/>
        <v/>
      </c>
      <c r="N396" s="36" t="str">
        <f t="shared" si="20"/>
        <v/>
      </c>
    </row>
    <row r="397" spans="1:14">
      <c r="A397" s="6">
        <f t="shared" si="18"/>
        <v>392</v>
      </c>
      <c r="C397" s="35" t="str">
        <f>IFERROR(VLOOKUP(B397,'MASTER RECORD'!$B$5:$W$1000,10,0) &amp;"."&amp;(VLOOKUP(B397,'MASTER RECORD'!$B$5:$W$1000,11,0)),"")</f>
        <v/>
      </c>
      <c r="D397" s="35" t="str">
        <f>IFERROR(VLOOKUP(B397,'MASTER RECORD'!$B$5:$W$1000,3,0),"")</f>
        <v/>
      </c>
      <c r="F397" s="35" t="str">
        <f>IFERROR(VLOOKUP(E397,'MASTER RECORD'!$B$5:$W$1000,10,0) &amp;"."&amp;(VLOOKUP(E397,'MASTER RECORD'!$B$5:$W$1000,11,0)),"")</f>
        <v/>
      </c>
      <c r="G397" s="35" t="str">
        <f>IFERROR(VLOOKUP(E397,'MASTER RECORD'!$B$5:$W$1000,3,0),"")</f>
        <v/>
      </c>
      <c r="I397" s="36" t="str">
        <f t="shared" si="19"/>
        <v/>
      </c>
      <c r="N397" s="36" t="str">
        <f t="shared" si="20"/>
        <v/>
      </c>
    </row>
    <row r="398" spans="1:14">
      <c r="A398" s="6">
        <f t="shared" si="18"/>
        <v>393</v>
      </c>
      <c r="C398" s="35" t="str">
        <f>IFERROR(VLOOKUP(B398,'MASTER RECORD'!$B$5:$W$1000,10,0) &amp;"."&amp;(VLOOKUP(B398,'MASTER RECORD'!$B$5:$W$1000,11,0)),"")</f>
        <v/>
      </c>
      <c r="D398" s="35" t="str">
        <f>IFERROR(VLOOKUP(B398,'MASTER RECORD'!$B$5:$W$1000,3,0),"")</f>
        <v/>
      </c>
      <c r="F398" s="35" t="str">
        <f>IFERROR(VLOOKUP(E398,'MASTER RECORD'!$B$5:$W$1000,10,0) &amp;"."&amp;(VLOOKUP(E398,'MASTER RECORD'!$B$5:$W$1000,11,0)),"")</f>
        <v/>
      </c>
      <c r="G398" s="35" t="str">
        <f>IFERROR(VLOOKUP(E398,'MASTER RECORD'!$B$5:$W$1000,3,0),"")</f>
        <v/>
      </c>
      <c r="I398" s="36" t="str">
        <f t="shared" si="19"/>
        <v/>
      </c>
      <c r="N398" s="36" t="str">
        <f t="shared" si="20"/>
        <v/>
      </c>
    </row>
    <row r="399" spans="1:14">
      <c r="A399" s="6">
        <f t="shared" si="18"/>
        <v>394</v>
      </c>
      <c r="C399" s="35" t="str">
        <f>IFERROR(VLOOKUP(B399,'MASTER RECORD'!$B$5:$W$1000,10,0) &amp;"."&amp;(VLOOKUP(B399,'MASTER RECORD'!$B$5:$W$1000,11,0)),"")</f>
        <v/>
      </c>
      <c r="D399" s="35" t="str">
        <f>IFERROR(VLOOKUP(B399,'MASTER RECORD'!$B$5:$W$1000,3,0),"")</f>
        <v/>
      </c>
      <c r="F399" s="35" t="str">
        <f>IFERROR(VLOOKUP(E399,'MASTER RECORD'!$B$5:$W$1000,10,0) &amp;"."&amp;(VLOOKUP(E399,'MASTER RECORD'!$B$5:$W$1000,11,0)),"")</f>
        <v/>
      </c>
      <c r="G399" s="35" t="str">
        <f>IFERROR(VLOOKUP(E399,'MASTER RECORD'!$B$5:$W$1000,3,0),"")</f>
        <v/>
      </c>
      <c r="I399" s="36" t="str">
        <f t="shared" si="19"/>
        <v/>
      </c>
      <c r="N399" s="36" t="str">
        <f t="shared" si="20"/>
        <v/>
      </c>
    </row>
    <row r="400" spans="1:14">
      <c r="A400" s="6">
        <f t="shared" si="18"/>
        <v>395</v>
      </c>
      <c r="C400" s="35" t="str">
        <f>IFERROR(VLOOKUP(B400,'MASTER RECORD'!$B$5:$W$1000,10,0) &amp;"."&amp;(VLOOKUP(B400,'MASTER RECORD'!$B$5:$W$1000,11,0)),"")</f>
        <v/>
      </c>
      <c r="D400" s="35" t="str">
        <f>IFERROR(VLOOKUP(B400,'MASTER RECORD'!$B$5:$W$1000,3,0),"")</f>
        <v/>
      </c>
      <c r="F400" s="35" t="str">
        <f>IFERROR(VLOOKUP(E400,'MASTER RECORD'!$B$5:$W$1000,10,0) &amp;"."&amp;(VLOOKUP(E400,'MASTER RECORD'!$B$5:$W$1000,11,0)),"")</f>
        <v/>
      </c>
      <c r="G400" s="35" t="str">
        <f>IFERROR(VLOOKUP(E400,'MASTER RECORD'!$B$5:$W$1000,3,0),"")</f>
        <v/>
      </c>
      <c r="I400" s="36" t="str">
        <f t="shared" si="19"/>
        <v/>
      </c>
      <c r="N400" s="36" t="str">
        <f t="shared" si="20"/>
        <v/>
      </c>
    </row>
    <row r="401" spans="1:14">
      <c r="A401" s="6">
        <f t="shared" si="18"/>
        <v>396</v>
      </c>
      <c r="C401" s="35" t="str">
        <f>IFERROR(VLOOKUP(B401,'MASTER RECORD'!$B$5:$W$1000,10,0) &amp;"."&amp;(VLOOKUP(B401,'MASTER RECORD'!$B$5:$W$1000,11,0)),"")</f>
        <v/>
      </c>
      <c r="D401" s="35" t="str">
        <f>IFERROR(VLOOKUP(B401,'MASTER RECORD'!$B$5:$W$1000,3,0),"")</f>
        <v/>
      </c>
      <c r="F401" s="35" t="str">
        <f>IFERROR(VLOOKUP(E401,'MASTER RECORD'!$B$5:$W$1000,10,0) &amp;"."&amp;(VLOOKUP(E401,'MASTER RECORD'!$B$5:$W$1000,11,0)),"")</f>
        <v/>
      </c>
      <c r="G401" s="35" t="str">
        <f>IFERROR(VLOOKUP(E401,'MASTER RECORD'!$B$5:$W$1000,3,0),"")</f>
        <v/>
      </c>
      <c r="I401" s="36" t="str">
        <f t="shared" si="19"/>
        <v/>
      </c>
      <c r="N401" s="36" t="str">
        <f t="shared" si="20"/>
        <v/>
      </c>
    </row>
    <row r="402" spans="1:14">
      <c r="A402" s="6">
        <f t="shared" si="18"/>
        <v>397</v>
      </c>
      <c r="C402" s="35" t="str">
        <f>IFERROR(VLOOKUP(B402,'MASTER RECORD'!$B$5:$W$1000,10,0) &amp;"."&amp;(VLOOKUP(B402,'MASTER RECORD'!$B$5:$W$1000,11,0)),"")</f>
        <v/>
      </c>
      <c r="D402" s="35" t="str">
        <f>IFERROR(VLOOKUP(B402,'MASTER RECORD'!$B$5:$W$1000,3,0),"")</f>
        <v/>
      </c>
      <c r="F402" s="35" t="str">
        <f>IFERROR(VLOOKUP(E402,'MASTER RECORD'!$B$5:$W$1000,10,0) &amp;"."&amp;(VLOOKUP(E402,'MASTER RECORD'!$B$5:$W$1000,11,0)),"")</f>
        <v/>
      </c>
      <c r="G402" s="35" t="str">
        <f>IFERROR(VLOOKUP(E402,'MASTER RECORD'!$B$5:$W$1000,3,0),"")</f>
        <v/>
      </c>
      <c r="I402" s="36" t="str">
        <f t="shared" si="19"/>
        <v/>
      </c>
      <c r="N402" s="36" t="str">
        <f t="shared" si="20"/>
        <v/>
      </c>
    </row>
    <row r="403" spans="1:14">
      <c r="A403" s="6">
        <f t="shared" si="18"/>
        <v>398</v>
      </c>
      <c r="C403" s="35" t="str">
        <f>IFERROR(VLOOKUP(B403,'MASTER RECORD'!$B$5:$W$1000,10,0) &amp;"."&amp;(VLOOKUP(B403,'MASTER RECORD'!$B$5:$W$1000,11,0)),"")</f>
        <v/>
      </c>
      <c r="D403" s="35" t="str">
        <f>IFERROR(VLOOKUP(B403,'MASTER RECORD'!$B$5:$W$1000,3,0),"")</f>
        <v/>
      </c>
      <c r="F403" s="35" t="str">
        <f>IFERROR(VLOOKUP(E403,'MASTER RECORD'!$B$5:$W$1000,10,0) &amp;"."&amp;(VLOOKUP(E403,'MASTER RECORD'!$B$5:$W$1000,11,0)),"")</f>
        <v/>
      </c>
      <c r="G403" s="35" t="str">
        <f>IFERROR(VLOOKUP(E403,'MASTER RECORD'!$B$5:$W$1000,3,0),"")</f>
        <v/>
      </c>
      <c r="I403" s="36" t="str">
        <f t="shared" si="19"/>
        <v/>
      </c>
      <c r="N403" s="36" t="str">
        <f t="shared" si="20"/>
        <v/>
      </c>
    </row>
    <row r="404" spans="1:14">
      <c r="A404" s="6">
        <f t="shared" si="18"/>
        <v>399</v>
      </c>
      <c r="C404" s="35" t="str">
        <f>IFERROR(VLOOKUP(B404,'MASTER RECORD'!$B$5:$W$1000,10,0) &amp;"."&amp;(VLOOKUP(B404,'MASTER RECORD'!$B$5:$W$1000,11,0)),"")</f>
        <v/>
      </c>
      <c r="D404" s="35" t="str">
        <f>IFERROR(VLOOKUP(B404,'MASTER RECORD'!$B$5:$W$1000,3,0),"")</f>
        <v/>
      </c>
      <c r="F404" s="35" t="str">
        <f>IFERROR(VLOOKUP(E404,'MASTER RECORD'!$B$5:$W$1000,10,0) &amp;"."&amp;(VLOOKUP(E404,'MASTER RECORD'!$B$5:$W$1000,11,0)),"")</f>
        <v/>
      </c>
      <c r="G404" s="35" t="str">
        <f>IFERROR(VLOOKUP(E404,'MASTER RECORD'!$B$5:$W$1000,3,0),"")</f>
        <v/>
      </c>
      <c r="I404" s="36" t="str">
        <f t="shared" si="19"/>
        <v/>
      </c>
      <c r="N404" s="36" t="str">
        <f t="shared" si="20"/>
        <v/>
      </c>
    </row>
    <row r="405" spans="1:14">
      <c r="A405" s="6">
        <f t="shared" si="18"/>
        <v>400</v>
      </c>
      <c r="C405" s="35" t="str">
        <f>IFERROR(VLOOKUP(B405,'MASTER RECORD'!$B$5:$W$1000,10,0) &amp;"."&amp;(VLOOKUP(B405,'MASTER RECORD'!$B$5:$W$1000,11,0)),"")</f>
        <v/>
      </c>
      <c r="D405" s="35" t="str">
        <f>IFERROR(VLOOKUP(B405,'MASTER RECORD'!$B$5:$W$1000,3,0),"")</f>
        <v/>
      </c>
      <c r="F405" s="35" t="str">
        <f>IFERROR(VLOOKUP(E405,'MASTER RECORD'!$B$5:$W$1000,10,0) &amp;"."&amp;(VLOOKUP(E405,'MASTER RECORD'!$B$5:$W$1000,11,0)),"")</f>
        <v/>
      </c>
      <c r="G405" s="35" t="str">
        <f>IFERROR(VLOOKUP(E405,'MASTER RECORD'!$B$5:$W$1000,3,0),"")</f>
        <v/>
      </c>
      <c r="I405" s="36" t="str">
        <f t="shared" si="19"/>
        <v/>
      </c>
      <c r="N405" s="36" t="str">
        <f t="shared" si="20"/>
        <v/>
      </c>
    </row>
    <row r="406" spans="1:14">
      <c r="A406" s="6">
        <f t="shared" si="18"/>
        <v>401</v>
      </c>
      <c r="C406" s="35" t="str">
        <f>IFERROR(VLOOKUP(B406,'MASTER RECORD'!$B$5:$W$1000,10,0) &amp;"."&amp;(VLOOKUP(B406,'MASTER RECORD'!$B$5:$W$1000,11,0)),"")</f>
        <v/>
      </c>
      <c r="D406" s="35" t="str">
        <f>IFERROR(VLOOKUP(B406,'MASTER RECORD'!$B$5:$W$1000,3,0),"")</f>
        <v/>
      </c>
      <c r="F406" s="35" t="str">
        <f>IFERROR(VLOOKUP(E406,'MASTER RECORD'!$B$5:$W$1000,10,0) &amp;"."&amp;(VLOOKUP(E406,'MASTER RECORD'!$B$5:$W$1000,11,0)),"")</f>
        <v/>
      </c>
      <c r="G406" s="35" t="str">
        <f>IFERROR(VLOOKUP(E406,'MASTER RECORD'!$B$5:$W$1000,3,0),"")</f>
        <v/>
      </c>
      <c r="I406" s="36" t="str">
        <f t="shared" si="19"/>
        <v/>
      </c>
      <c r="N406" s="36" t="str">
        <f t="shared" si="20"/>
        <v/>
      </c>
    </row>
    <row r="407" spans="1:14">
      <c r="A407" s="6">
        <f t="shared" si="18"/>
        <v>402</v>
      </c>
      <c r="C407" s="35" t="str">
        <f>IFERROR(VLOOKUP(B407,'MASTER RECORD'!$B$5:$W$1000,10,0) &amp;"."&amp;(VLOOKUP(B407,'MASTER RECORD'!$B$5:$W$1000,11,0)),"")</f>
        <v/>
      </c>
      <c r="D407" s="35" t="str">
        <f>IFERROR(VLOOKUP(B407,'MASTER RECORD'!$B$5:$W$1000,3,0),"")</f>
        <v/>
      </c>
      <c r="F407" s="35" t="str">
        <f>IFERROR(VLOOKUP(E407,'MASTER RECORD'!$B$5:$W$1000,10,0) &amp;"."&amp;(VLOOKUP(E407,'MASTER RECORD'!$B$5:$W$1000,11,0)),"")</f>
        <v/>
      </c>
      <c r="G407" s="35" t="str">
        <f>IFERROR(VLOOKUP(E407,'MASTER RECORD'!$B$5:$W$1000,3,0),"")</f>
        <v/>
      </c>
      <c r="I407" s="36" t="str">
        <f t="shared" si="19"/>
        <v/>
      </c>
      <c r="N407" s="36" t="str">
        <f t="shared" si="20"/>
        <v/>
      </c>
    </row>
    <row r="408" spans="1:14">
      <c r="A408" s="6">
        <f t="shared" si="18"/>
        <v>403</v>
      </c>
      <c r="C408" s="35" t="str">
        <f>IFERROR(VLOOKUP(B408,'MASTER RECORD'!$B$5:$W$1000,10,0) &amp;"."&amp;(VLOOKUP(B408,'MASTER RECORD'!$B$5:$W$1000,11,0)),"")</f>
        <v/>
      </c>
      <c r="D408" s="35" t="str">
        <f>IFERROR(VLOOKUP(B408,'MASTER RECORD'!$B$5:$W$1000,3,0),"")</f>
        <v/>
      </c>
      <c r="F408" s="35" t="str">
        <f>IFERROR(VLOOKUP(E408,'MASTER RECORD'!$B$5:$W$1000,10,0) &amp;"."&amp;(VLOOKUP(E408,'MASTER RECORD'!$B$5:$W$1000,11,0)),"")</f>
        <v/>
      </c>
      <c r="G408" s="35" t="str">
        <f>IFERROR(VLOOKUP(E408,'MASTER RECORD'!$B$5:$W$1000,3,0),"")</f>
        <v/>
      </c>
      <c r="I408" s="36" t="str">
        <f t="shared" si="19"/>
        <v/>
      </c>
      <c r="N408" s="36" t="str">
        <f t="shared" si="20"/>
        <v/>
      </c>
    </row>
    <row r="409" spans="1:14">
      <c r="A409" s="6">
        <f t="shared" si="18"/>
        <v>404</v>
      </c>
      <c r="C409" s="35" t="str">
        <f>IFERROR(VLOOKUP(B409,'MASTER RECORD'!$B$5:$W$1000,10,0) &amp;"."&amp;(VLOOKUP(B409,'MASTER RECORD'!$B$5:$W$1000,11,0)),"")</f>
        <v/>
      </c>
      <c r="D409" s="35" t="str">
        <f>IFERROR(VLOOKUP(B409,'MASTER RECORD'!$B$5:$W$1000,3,0),"")</f>
        <v/>
      </c>
      <c r="F409" s="35" t="str">
        <f>IFERROR(VLOOKUP(E409,'MASTER RECORD'!$B$5:$W$1000,10,0) &amp;"."&amp;(VLOOKUP(E409,'MASTER RECORD'!$B$5:$W$1000,11,0)),"")</f>
        <v/>
      </c>
      <c r="G409" s="35" t="str">
        <f>IFERROR(VLOOKUP(E409,'MASTER RECORD'!$B$5:$W$1000,3,0),"")</f>
        <v/>
      </c>
      <c r="I409" s="36" t="str">
        <f t="shared" si="19"/>
        <v/>
      </c>
      <c r="N409" s="36" t="str">
        <f t="shared" si="20"/>
        <v/>
      </c>
    </row>
    <row r="410" spans="1:14">
      <c r="A410" s="6">
        <f t="shared" si="18"/>
        <v>405</v>
      </c>
      <c r="C410" s="35" t="str">
        <f>IFERROR(VLOOKUP(B410,'MASTER RECORD'!$B$5:$W$1000,10,0) &amp;"."&amp;(VLOOKUP(B410,'MASTER RECORD'!$B$5:$W$1000,11,0)),"")</f>
        <v/>
      </c>
      <c r="D410" s="35" t="str">
        <f>IFERROR(VLOOKUP(B410,'MASTER RECORD'!$B$5:$W$1000,3,0),"")</f>
        <v/>
      </c>
      <c r="F410" s="35" t="str">
        <f>IFERROR(VLOOKUP(E410,'MASTER RECORD'!$B$5:$W$1000,10,0) &amp;"."&amp;(VLOOKUP(E410,'MASTER RECORD'!$B$5:$W$1000,11,0)),"")</f>
        <v/>
      </c>
      <c r="G410" s="35" t="str">
        <f>IFERROR(VLOOKUP(E410,'MASTER RECORD'!$B$5:$W$1000,3,0),"")</f>
        <v/>
      </c>
      <c r="I410" s="36" t="str">
        <f t="shared" si="19"/>
        <v/>
      </c>
      <c r="N410" s="36" t="str">
        <f t="shared" si="20"/>
        <v/>
      </c>
    </row>
    <row r="411" spans="1:14">
      <c r="A411" s="6">
        <f t="shared" si="18"/>
        <v>406</v>
      </c>
      <c r="C411" s="35" t="str">
        <f>IFERROR(VLOOKUP(B411,'MASTER RECORD'!$B$5:$W$1000,10,0) &amp;"."&amp;(VLOOKUP(B411,'MASTER RECORD'!$B$5:$W$1000,11,0)),"")</f>
        <v/>
      </c>
      <c r="D411" s="35" t="str">
        <f>IFERROR(VLOOKUP(B411,'MASTER RECORD'!$B$5:$W$1000,3,0),"")</f>
        <v/>
      </c>
      <c r="F411" s="35" t="str">
        <f>IFERROR(VLOOKUP(E411,'MASTER RECORD'!$B$5:$W$1000,10,0) &amp;"."&amp;(VLOOKUP(E411,'MASTER RECORD'!$B$5:$W$1000,11,0)),"")</f>
        <v/>
      </c>
      <c r="G411" s="35" t="str">
        <f>IFERROR(VLOOKUP(E411,'MASTER RECORD'!$B$5:$W$1000,3,0),"")</f>
        <v/>
      </c>
      <c r="I411" s="36" t="str">
        <f t="shared" si="19"/>
        <v/>
      </c>
      <c r="N411" s="36" t="str">
        <f t="shared" si="20"/>
        <v/>
      </c>
    </row>
    <row r="412" spans="1:14">
      <c r="A412" s="6">
        <f t="shared" si="18"/>
        <v>407</v>
      </c>
      <c r="C412" s="35" t="str">
        <f>IFERROR(VLOOKUP(B412,'MASTER RECORD'!$B$5:$W$1000,10,0) &amp;"."&amp;(VLOOKUP(B412,'MASTER RECORD'!$B$5:$W$1000,11,0)),"")</f>
        <v/>
      </c>
      <c r="D412" s="35" t="str">
        <f>IFERROR(VLOOKUP(B412,'MASTER RECORD'!$B$5:$W$1000,3,0),"")</f>
        <v/>
      </c>
      <c r="F412" s="35" t="str">
        <f>IFERROR(VLOOKUP(E412,'MASTER RECORD'!$B$5:$W$1000,10,0) &amp;"."&amp;(VLOOKUP(E412,'MASTER RECORD'!$B$5:$W$1000,11,0)),"")</f>
        <v/>
      </c>
      <c r="G412" s="35" t="str">
        <f>IFERROR(VLOOKUP(E412,'MASTER RECORD'!$B$5:$W$1000,3,0),"")</f>
        <v/>
      </c>
      <c r="I412" s="36" t="str">
        <f t="shared" si="19"/>
        <v/>
      </c>
      <c r="N412" s="36" t="str">
        <f t="shared" si="20"/>
        <v/>
      </c>
    </row>
    <row r="413" spans="1:14">
      <c r="A413" s="6">
        <f t="shared" si="18"/>
        <v>408</v>
      </c>
      <c r="C413" s="35" t="str">
        <f>IFERROR(VLOOKUP(B413,'MASTER RECORD'!$B$5:$W$1000,10,0) &amp;"."&amp;(VLOOKUP(B413,'MASTER RECORD'!$B$5:$W$1000,11,0)),"")</f>
        <v/>
      </c>
      <c r="D413" s="35" t="str">
        <f>IFERROR(VLOOKUP(B413,'MASTER RECORD'!$B$5:$W$1000,3,0),"")</f>
        <v/>
      </c>
      <c r="F413" s="35" t="str">
        <f>IFERROR(VLOOKUP(E413,'MASTER RECORD'!$B$5:$W$1000,10,0) &amp;"."&amp;(VLOOKUP(E413,'MASTER RECORD'!$B$5:$W$1000,11,0)),"")</f>
        <v/>
      </c>
      <c r="G413" s="35" t="str">
        <f>IFERROR(VLOOKUP(E413,'MASTER RECORD'!$B$5:$W$1000,3,0),"")</f>
        <v/>
      </c>
      <c r="I413" s="36" t="str">
        <f t="shared" si="19"/>
        <v/>
      </c>
      <c r="N413" s="36" t="str">
        <f t="shared" si="20"/>
        <v/>
      </c>
    </row>
    <row r="414" spans="1:14">
      <c r="A414" s="6">
        <f t="shared" si="18"/>
        <v>409</v>
      </c>
      <c r="C414" s="35" t="str">
        <f>IFERROR(VLOOKUP(B414,'MASTER RECORD'!$B$5:$W$1000,10,0) &amp;"."&amp;(VLOOKUP(B414,'MASTER RECORD'!$B$5:$W$1000,11,0)),"")</f>
        <v/>
      </c>
      <c r="D414" s="35" t="str">
        <f>IFERROR(VLOOKUP(B414,'MASTER RECORD'!$B$5:$W$1000,3,0),"")</f>
        <v/>
      </c>
      <c r="F414" s="35" t="str">
        <f>IFERROR(VLOOKUP(E414,'MASTER RECORD'!$B$5:$W$1000,10,0) &amp;"."&amp;(VLOOKUP(E414,'MASTER RECORD'!$B$5:$W$1000,11,0)),"")</f>
        <v/>
      </c>
      <c r="G414" s="35" t="str">
        <f>IFERROR(VLOOKUP(E414,'MASTER RECORD'!$B$5:$W$1000,3,0),"")</f>
        <v/>
      </c>
      <c r="I414" s="36" t="str">
        <f t="shared" si="19"/>
        <v/>
      </c>
      <c r="N414" s="36" t="str">
        <f t="shared" si="20"/>
        <v/>
      </c>
    </row>
    <row r="415" spans="1:14">
      <c r="A415" s="6">
        <f t="shared" si="18"/>
        <v>410</v>
      </c>
      <c r="C415" s="35" t="str">
        <f>IFERROR(VLOOKUP(B415,'MASTER RECORD'!$B$5:$W$1000,10,0) &amp;"."&amp;(VLOOKUP(B415,'MASTER RECORD'!$B$5:$W$1000,11,0)),"")</f>
        <v/>
      </c>
      <c r="D415" s="35" t="str">
        <f>IFERROR(VLOOKUP(B415,'MASTER RECORD'!$B$5:$W$1000,3,0),"")</f>
        <v/>
      </c>
      <c r="F415" s="35" t="str">
        <f>IFERROR(VLOOKUP(E415,'MASTER RECORD'!$B$5:$W$1000,10,0) &amp;"."&amp;(VLOOKUP(E415,'MASTER RECORD'!$B$5:$W$1000,11,0)),"")</f>
        <v/>
      </c>
      <c r="G415" s="35" t="str">
        <f>IFERROR(VLOOKUP(E415,'MASTER RECORD'!$B$5:$W$1000,3,0),"")</f>
        <v/>
      </c>
      <c r="I415" s="36" t="str">
        <f t="shared" si="19"/>
        <v/>
      </c>
      <c r="N415" s="36" t="str">
        <f t="shared" si="20"/>
        <v/>
      </c>
    </row>
    <row r="416" spans="1:14">
      <c r="A416" s="6">
        <f t="shared" si="18"/>
        <v>411</v>
      </c>
      <c r="C416" s="35" t="str">
        <f>IFERROR(VLOOKUP(B416,'MASTER RECORD'!$B$5:$W$1000,10,0) &amp;"."&amp;(VLOOKUP(B416,'MASTER RECORD'!$B$5:$W$1000,11,0)),"")</f>
        <v/>
      </c>
      <c r="D416" s="35" t="str">
        <f>IFERROR(VLOOKUP(B416,'MASTER RECORD'!$B$5:$W$1000,3,0),"")</f>
        <v/>
      </c>
      <c r="F416" s="35" t="str">
        <f>IFERROR(VLOOKUP(E416,'MASTER RECORD'!$B$5:$W$1000,10,0) &amp;"."&amp;(VLOOKUP(E416,'MASTER RECORD'!$B$5:$W$1000,11,0)),"")</f>
        <v/>
      </c>
      <c r="G416" s="35" t="str">
        <f>IFERROR(VLOOKUP(E416,'MASTER RECORD'!$B$5:$W$1000,3,0),"")</f>
        <v/>
      </c>
      <c r="I416" s="36" t="str">
        <f t="shared" si="19"/>
        <v/>
      </c>
      <c r="N416" s="36" t="str">
        <f t="shared" si="20"/>
        <v/>
      </c>
    </row>
    <row r="417" spans="1:14">
      <c r="A417" s="6">
        <f t="shared" si="18"/>
        <v>412</v>
      </c>
      <c r="C417" s="35" t="str">
        <f>IFERROR(VLOOKUP(B417,'MASTER RECORD'!$B$5:$W$1000,10,0) &amp;"."&amp;(VLOOKUP(B417,'MASTER RECORD'!$B$5:$W$1000,11,0)),"")</f>
        <v/>
      </c>
      <c r="D417" s="35" t="str">
        <f>IFERROR(VLOOKUP(B417,'MASTER RECORD'!$B$5:$W$1000,3,0),"")</f>
        <v/>
      </c>
      <c r="F417" s="35" t="str">
        <f>IFERROR(VLOOKUP(E417,'MASTER RECORD'!$B$5:$W$1000,10,0) &amp;"."&amp;(VLOOKUP(E417,'MASTER RECORD'!$B$5:$W$1000,11,0)),"")</f>
        <v/>
      </c>
      <c r="G417" s="35" t="str">
        <f>IFERROR(VLOOKUP(E417,'MASTER RECORD'!$B$5:$W$1000,3,0),"")</f>
        <v/>
      </c>
      <c r="I417" s="36" t="str">
        <f t="shared" si="19"/>
        <v/>
      </c>
      <c r="N417" s="36" t="str">
        <f t="shared" si="20"/>
        <v/>
      </c>
    </row>
    <row r="418" spans="1:14">
      <c r="A418" s="6">
        <f t="shared" si="18"/>
        <v>413</v>
      </c>
      <c r="C418" s="35" t="str">
        <f>IFERROR(VLOOKUP(B418,'MASTER RECORD'!$B$5:$W$1000,10,0) &amp;"."&amp;(VLOOKUP(B418,'MASTER RECORD'!$B$5:$W$1000,11,0)),"")</f>
        <v/>
      </c>
      <c r="D418" s="35" t="str">
        <f>IFERROR(VLOOKUP(B418,'MASTER RECORD'!$B$5:$W$1000,3,0),"")</f>
        <v/>
      </c>
      <c r="F418" s="35" t="str">
        <f>IFERROR(VLOOKUP(E418,'MASTER RECORD'!$B$5:$W$1000,10,0) &amp;"."&amp;(VLOOKUP(E418,'MASTER RECORD'!$B$5:$W$1000,11,0)),"")</f>
        <v/>
      </c>
      <c r="G418" s="35" t="str">
        <f>IFERROR(VLOOKUP(E418,'MASTER RECORD'!$B$5:$W$1000,3,0),"")</f>
        <v/>
      </c>
      <c r="I418" s="36" t="str">
        <f t="shared" si="19"/>
        <v/>
      </c>
      <c r="N418" s="36" t="str">
        <f t="shared" si="20"/>
        <v/>
      </c>
    </row>
    <row r="419" spans="1:14">
      <c r="A419" s="6">
        <f t="shared" si="18"/>
        <v>414</v>
      </c>
      <c r="C419" s="35" t="str">
        <f>IFERROR(VLOOKUP(B419,'MASTER RECORD'!$B$5:$W$1000,10,0) &amp;"."&amp;(VLOOKUP(B419,'MASTER RECORD'!$B$5:$W$1000,11,0)),"")</f>
        <v/>
      </c>
      <c r="D419" s="35" t="str">
        <f>IFERROR(VLOOKUP(B419,'MASTER RECORD'!$B$5:$W$1000,3,0),"")</f>
        <v/>
      </c>
      <c r="F419" s="35" t="str">
        <f>IFERROR(VLOOKUP(E419,'MASTER RECORD'!$B$5:$W$1000,10,0) &amp;"."&amp;(VLOOKUP(E419,'MASTER RECORD'!$B$5:$W$1000,11,0)),"")</f>
        <v/>
      </c>
      <c r="G419" s="35" t="str">
        <f>IFERROR(VLOOKUP(E419,'MASTER RECORD'!$B$5:$W$1000,3,0),"")</f>
        <v/>
      </c>
      <c r="I419" s="36" t="str">
        <f t="shared" si="19"/>
        <v/>
      </c>
      <c r="N419" s="36" t="str">
        <f t="shared" si="20"/>
        <v/>
      </c>
    </row>
    <row r="420" spans="1:14">
      <c r="A420" s="6">
        <f t="shared" si="18"/>
        <v>415</v>
      </c>
      <c r="C420" s="35" t="str">
        <f>IFERROR(VLOOKUP(B420,'MASTER RECORD'!$B$5:$W$1000,10,0) &amp;"."&amp;(VLOOKUP(B420,'MASTER RECORD'!$B$5:$W$1000,11,0)),"")</f>
        <v/>
      </c>
      <c r="D420" s="35" t="str">
        <f>IFERROR(VLOOKUP(B420,'MASTER RECORD'!$B$5:$W$1000,3,0),"")</f>
        <v/>
      </c>
      <c r="F420" s="35" t="str">
        <f>IFERROR(VLOOKUP(E420,'MASTER RECORD'!$B$5:$W$1000,10,0) &amp;"."&amp;(VLOOKUP(E420,'MASTER RECORD'!$B$5:$W$1000,11,0)),"")</f>
        <v/>
      </c>
      <c r="G420" s="35" t="str">
        <f>IFERROR(VLOOKUP(E420,'MASTER RECORD'!$B$5:$W$1000,3,0),"")</f>
        <v/>
      </c>
      <c r="I420" s="36" t="str">
        <f t="shared" si="19"/>
        <v/>
      </c>
      <c r="N420" s="36" t="str">
        <f t="shared" si="20"/>
        <v/>
      </c>
    </row>
    <row r="421" spans="1:14">
      <c r="A421" s="6">
        <f t="shared" si="18"/>
        <v>416</v>
      </c>
      <c r="C421" s="35" t="str">
        <f>IFERROR(VLOOKUP(B421,'MASTER RECORD'!$B$5:$W$1000,10,0) &amp;"."&amp;(VLOOKUP(B421,'MASTER RECORD'!$B$5:$W$1000,11,0)),"")</f>
        <v/>
      </c>
      <c r="D421" s="35" t="str">
        <f>IFERROR(VLOOKUP(B421,'MASTER RECORD'!$B$5:$W$1000,3,0),"")</f>
        <v/>
      </c>
      <c r="F421" s="35" t="str">
        <f>IFERROR(VLOOKUP(E421,'MASTER RECORD'!$B$5:$W$1000,10,0) &amp;"."&amp;(VLOOKUP(E421,'MASTER RECORD'!$B$5:$W$1000,11,0)),"")</f>
        <v/>
      </c>
      <c r="G421" s="35" t="str">
        <f>IFERROR(VLOOKUP(E421,'MASTER RECORD'!$B$5:$W$1000,3,0),"")</f>
        <v/>
      </c>
      <c r="I421" s="36" t="str">
        <f t="shared" si="19"/>
        <v/>
      </c>
      <c r="N421" s="36" t="str">
        <f t="shared" si="20"/>
        <v/>
      </c>
    </row>
    <row r="422" spans="1:14">
      <c r="A422" s="6">
        <f t="shared" si="18"/>
        <v>417</v>
      </c>
      <c r="C422" s="35" t="str">
        <f>IFERROR(VLOOKUP(B422,'MASTER RECORD'!$B$5:$W$1000,10,0) &amp;"."&amp;(VLOOKUP(B422,'MASTER RECORD'!$B$5:$W$1000,11,0)),"")</f>
        <v/>
      </c>
      <c r="D422" s="35" t="str">
        <f>IFERROR(VLOOKUP(B422,'MASTER RECORD'!$B$5:$W$1000,3,0),"")</f>
        <v/>
      </c>
      <c r="F422" s="35" t="str">
        <f>IFERROR(VLOOKUP(E422,'MASTER RECORD'!$B$5:$W$1000,10,0) &amp;"."&amp;(VLOOKUP(E422,'MASTER RECORD'!$B$5:$W$1000,11,0)),"")</f>
        <v/>
      </c>
      <c r="G422" s="35" t="str">
        <f>IFERROR(VLOOKUP(E422,'MASTER RECORD'!$B$5:$W$1000,3,0),"")</f>
        <v/>
      </c>
      <c r="I422" s="36" t="str">
        <f t="shared" si="19"/>
        <v/>
      </c>
      <c r="N422" s="36" t="str">
        <f t="shared" si="20"/>
        <v/>
      </c>
    </row>
    <row r="423" spans="1:14">
      <c r="A423" s="6">
        <f t="shared" si="18"/>
        <v>418</v>
      </c>
      <c r="C423" s="35" t="str">
        <f>IFERROR(VLOOKUP(B423,'MASTER RECORD'!$B$5:$W$1000,10,0) &amp;"."&amp;(VLOOKUP(B423,'MASTER RECORD'!$B$5:$W$1000,11,0)),"")</f>
        <v/>
      </c>
      <c r="D423" s="35" t="str">
        <f>IFERROR(VLOOKUP(B423,'MASTER RECORD'!$B$5:$W$1000,3,0),"")</f>
        <v/>
      </c>
      <c r="F423" s="35" t="str">
        <f>IFERROR(VLOOKUP(E423,'MASTER RECORD'!$B$5:$W$1000,10,0) &amp;"."&amp;(VLOOKUP(E423,'MASTER RECORD'!$B$5:$W$1000,11,0)),"")</f>
        <v/>
      </c>
      <c r="G423" s="35" t="str">
        <f>IFERROR(VLOOKUP(E423,'MASTER RECORD'!$B$5:$W$1000,3,0),"")</f>
        <v/>
      </c>
      <c r="I423" s="36" t="str">
        <f t="shared" si="19"/>
        <v/>
      </c>
      <c r="N423" s="36" t="str">
        <f t="shared" si="20"/>
        <v/>
      </c>
    </row>
    <row r="424" spans="1:14">
      <c r="A424" s="6">
        <f t="shared" si="18"/>
        <v>419</v>
      </c>
      <c r="C424" s="35" t="str">
        <f>IFERROR(VLOOKUP(B424,'MASTER RECORD'!$B$5:$W$1000,10,0) &amp;"."&amp;(VLOOKUP(B424,'MASTER RECORD'!$B$5:$W$1000,11,0)),"")</f>
        <v/>
      </c>
      <c r="D424" s="35" t="str">
        <f>IFERROR(VLOOKUP(B424,'MASTER RECORD'!$B$5:$W$1000,3,0),"")</f>
        <v/>
      </c>
      <c r="F424" s="35" t="str">
        <f>IFERROR(VLOOKUP(E424,'MASTER RECORD'!$B$5:$W$1000,10,0) &amp;"."&amp;(VLOOKUP(E424,'MASTER RECORD'!$B$5:$W$1000,11,0)),"")</f>
        <v/>
      </c>
      <c r="G424" s="35" t="str">
        <f>IFERROR(VLOOKUP(E424,'MASTER RECORD'!$B$5:$W$1000,3,0),"")</f>
        <v/>
      </c>
      <c r="I424" s="36" t="str">
        <f t="shared" si="19"/>
        <v/>
      </c>
      <c r="N424" s="36" t="str">
        <f t="shared" si="20"/>
        <v/>
      </c>
    </row>
    <row r="425" spans="1:14">
      <c r="A425" s="6">
        <f t="shared" si="18"/>
        <v>420</v>
      </c>
      <c r="C425" s="35" t="str">
        <f>IFERROR(VLOOKUP(B425,'MASTER RECORD'!$B$5:$W$1000,10,0) &amp;"."&amp;(VLOOKUP(B425,'MASTER RECORD'!$B$5:$W$1000,11,0)),"")</f>
        <v/>
      </c>
      <c r="D425" s="35" t="str">
        <f>IFERROR(VLOOKUP(B425,'MASTER RECORD'!$B$5:$W$1000,3,0),"")</f>
        <v/>
      </c>
      <c r="F425" s="35" t="str">
        <f>IFERROR(VLOOKUP(E425,'MASTER RECORD'!$B$5:$W$1000,10,0) &amp;"."&amp;(VLOOKUP(E425,'MASTER RECORD'!$B$5:$W$1000,11,0)),"")</f>
        <v/>
      </c>
      <c r="G425" s="35" t="str">
        <f>IFERROR(VLOOKUP(E425,'MASTER RECORD'!$B$5:$W$1000,3,0),"")</f>
        <v/>
      </c>
      <c r="I425" s="36" t="str">
        <f t="shared" si="19"/>
        <v/>
      </c>
      <c r="N425" s="36" t="str">
        <f t="shared" si="20"/>
        <v/>
      </c>
    </row>
    <row r="426" spans="1:14">
      <c r="A426" s="6">
        <f t="shared" ref="A426:A489" si="21">ROW(A421)</f>
        <v>421</v>
      </c>
      <c r="C426" s="35" t="str">
        <f>IFERROR(VLOOKUP(B426,'MASTER RECORD'!$B$5:$W$1000,10,0) &amp;"."&amp;(VLOOKUP(B426,'MASTER RECORD'!$B$5:$W$1000,11,0)),"")</f>
        <v/>
      </c>
      <c r="D426" s="35" t="str">
        <f>IFERROR(VLOOKUP(B426,'MASTER RECORD'!$B$5:$W$1000,3,0),"")</f>
        <v/>
      </c>
      <c r="F426" s="35" t="str">
        <f>IFERROR(VLOOKUP(E426,'MASTER RECORD'!$B$5:$W$1000,10,0) &amp;"."&amp;(VLOOKUP(E426,'MASTER RECORD'!$B$5:$W$1000,11,0)),"")</f>
        <v/>
      </c>
      <c r="G426" s="35" t="str">
        <f>IFERROR(VLOOKUP(E426,'MASTER RECORD'!$B$5:$W$1000,3,0),"")</f>
        <v/>
      </c>
      <c r="I426" s="36" t="str">
        <f t="shared" si="19"/>
        <v/>
      </c>
      <c r="N426" s="36" t="str">
        <f t="shared" si="20"/>
        <v/>
      </c>
    </row>
    <row r="427" spans="1:14">
      <c r="A427" s="6">
        <f t="shared" si="21"/>
        <v>422</v>
      </c>
      <c r="C427" s="35" t="str">
        <f>IFERROR(VLOOKUP(B427,'MASTER RECORD'!$B$5:$W$1000,10,0) &amp;"."&amp;(VLOOKUP(B427,'MASTER RECORD'!$B$5:$W$1000,11,0)),"")</f>
        <v/>
      </c>
      <c r="D427" s="35" t="str">
        <f>IFERROR(VLOOKUP(B427,'MASTER RECORD'!$B$5:$W$1000,3,0),"")</f>
        <v/>
      </c>
      <c r="F427" s="35" t="str">
        <f>IFERROR(VLOOKUP(E427,'MASTER RECORD'!$B$5:$W$1000,10,0) &amp;"."&amp;(VLOOKUP(E427,'MASTER RECORD'!$B$5:$W$1000,11,0)),"")</f>
        <v/>
      </c>
      <c r="G427" s="35" t="str">
        <f>IFERROR(VLOOKUP(E427,'MASTER RECORD'!$B$5:$W$1000,3,0),"")</f>
        <v/>
      </c>
      <c r="I427" s="36" t="str">
        <f t="shared" si="19"/>
        <v/>
      </c>
      <c r="N427" s="36" t="str">
        <f t="shared" si="20"/>
        <v/>
      </c>
    </row>
    <row r="428" spans="1:14">
      <c r="A428" s="6">
        <f t="shared" si="21"/>
        <v>423</v>
      </c>
      <c r="C428" s="35" t="str">
        <f>IFERROR(VLOOKUP(B428,'MASTER RECORD'!$B$5:$W$1000,10,0) &amp;"."&amp;(VLOOKUP(B428,'MASTER RECORD'!$B$5:$W$1000,11,0)),"")</f>
        <v/>
      </c>
      <c r="D428" s="35" t="str">
        <f>IFERROR(VLOOKUP(B428,'MASTER RECORD'!$B$5:$W$1000,3,0),"")</f>
        <v/>
      </c>
      <c r="F428" s="35" t="str">
        <f>IFERROR(VLOOKUP(E428,'MASTER RECORD'!$B$5:$W$1000,10,0) &amp;"."&amp;(VLOOKUP(E428,'MASTER RECORD'!$B$5:$W$1000,11,0)),"")</f>
        <v/>
      </c>
      <c r="G428" s="35" t="str">
        <f>IFERROR(VLOOKUP(E428,'MASTER RECORD'!$B$5:$W$1000,3,0),"")</f>
        <v/>
      </c>
      <c r="I428" s="36" t="str">
        <f t="shared" si="19"/>
        <v/>
      </c>
      <c r="N428" s="36" t="str">
        <f t="shared" si="20"/>
        <v/>
      </c>
    </row>
    <row r="429" spans="1:14">
      <c r="A429" s="6">
        <f t="shared" si="21"/>
        <v>424</v>
      </c>
      <c r="C429" s="35" t="str">
        <f>IFERROR(VLOOKUP(B429,'MASTER RECORD'!$B$5:$W$1000,10,0) &amp;"."&amp;(VLOOKUP(B429,'MASTER RECORD'!$B$5:$W$1000,11,0)),"")</f>
        <v/>
      </c>
      <c r="D429" s="35" t="str">
        <f>IFERROR(VLOOKUP(B429,'MASTER RECORD'!$B$5:$W$1000,3,0),"")</f>
        <v/>
      </c>
      <c r="F429" s="35" t="str">
        <f>IFERROR(VLOOKUP(E429,'MASTER RECORD'!$B$5:$W$1000,10,0) &amp;"."&amp;(VLOOKUP(E429,'MASTER RECORD'!$B$5:$W$1000,11,0)),"")</f>
        <v/>
      </c>
      <c r="G429" s="35" t="str">
        <f>IFERROR(VLOOKUP(E429,'MASTER RECORD'!$B$5:$W$1000,3,0),"")</f>
        <v/>
      </c>
      <c r="I429" s="36" t="str">
        <f t="shared" si="19"/>
        <v/>
      </c>
      <c r="N429" s="36" t="str">
        <f t="shared" si="20"/>
        <v/>
      </c>
    </row>
    <row r="430" spans="1:14">
      <c r="A430" s="6">
        <f t="shared" si="21"/>
        <v>425</v>
      </c>
      <c r="C430" s="35" t="str">
        <f>IFERROR(VLOOKUP(B430,'MASTER RECORD'!$B$5:$W$1000,10,0) &amp;"."&amp;(VLOOKUP(B430,'MASTER RECORD'!$B$5:$W$1000,11,0)),"")</f>
        <v/>
      </c>
      <c r="D430" s="35" t="str">
        <f>IFERROR(VLOOKUP(B430,'MASTER RECORD'!$B$5:$W$1000,3,0),"")</f>
        <v/>
      </c>
      <c r="F430" s="35" t="str">
        <f>IFERROR(VLOOKUP(E430,'MASTER RECORD'!$B$5:$W$1000,10,0) &amp;"."&amp;(VLOOKUP(E430,'MASTER RECORD'!$B$5:$W$1000,11,0)),"")</f>
        <v/>
      </c>
      <c r="G430" s="35" t="str">
        <f>IFERROR(VLOOKUP(E430,'MASTER RECORD'!$B$5:$W$1000,3,0),"")</f>
        <v/>
      </c>
      <c r="I430" s="36" t="str">
        <f t="shared" si="19"/>
        <v/>
      </c>
      <c r="N430" s="36" t="str">
        <f t="shared" si="20"/>
        <v/>
      </c>
    </row>
    <row r="431" spans="1:14">
      <c r="A431" s="6">
        <f t="shared" si="21"/>
        <v>426</v>
      </c>
      <c r="C431" s="35" t="str">
        <f>IFERROR(VLOOKUP(B431,'MASTER RECORD'!$B$5:$W$1000,10,0) &amp;"."&amp;(VLOOKUP(B431,'MASTER RECORD'!$B$5:$W$1000,11,0)),"")</f>
        <v/>
      </c>
      <c r="D431" s="35" t="str">
        <f>IFERROR(VLOOKUP(B431,'MASTER RECORD'!$B$5:$W$1000,3,0),"")</f>
        <v/>
      </c>
      <c r="F431" s="35" t="str">
        <f>IFERROR(VLOOKUP(E431,'MASTER RECORD'!$B$5:$W$1000,10,0) &amp;"."&amp;(VLOOKUP(E431,'MASTER RECORD'!$B$5:$W$1000,11,0)),"")</f>
        <v/>
      </c>
      <c r="G431" s="35" t="str">
        <f>IFERROR(VLOOKUP(E431,'MASTER RECORD'!$B$5:$W$1000,3,0),"")</f>
        <v/>
      </c>
      <c r="I431" s="36" t="str">
        <f t="shared" si="19"/>
        <v/>
      </c>
      <c r="N431" s="36" t="str">
        <f t="shared" si="20"/>
        <v/>
      </c>
    </row>
    <row r="432" spans="1:14">
      <c r="A432" s="6">
        <f t="shared" si="21"/>
        <v>427</v>
      </c>
      <c r="C432" s="35" t="str">
        <f>IFERROR(VLOOKUP(B432,'MASTER RECORD'!$B$5:$W$1000,10,0) &amp;"."&amp;(VLOOKUP(B432,'MASTER RECORD'!$B$5:$W$1000,11,0)),"")</f>
        <v/>
      </c>
      <c r="D432" s="35" t="str">
        <f>IFERROR(VLOOKUP(B432,'MASTER RECORD'!$B$5:$W$1000,3,0),"")</f>
        <v/>
      </c>
      <c r="F432" s="35" t="str">
        <f>IFERROR(VLOOKUP(E432,'MASTER RECORD'!$B$5:$W$1000,10,0) &amp;"."&amp;(VLOOKUP(E432,'MASTER RECORD'!$B$5:$W$1000,11,0)),"")</f>
        <v/>
      </c>
      <c r="G432" s="35" t="str">
        <f>IFERROR(VLOOKUP(E432,'MASTER RECORD'!$B$5:$W$1000,3,0),"")</f>
        <v/>
      </c>
      <c r="I432" s="36" t="str">
        <f t="shared" si="19"/>
        <v/>
      </c>
      <c r="N432" s="36" t="str">
        <f t="shared" si="20"/>
        <v/>
      </c>
    </row>
    <row r="433" spans="1:14">
      <c r="A433" s="6">
        <f t="shared" si="21"/>
        <v>428</v>
      </c>
      <c r="C433" s="35" t="str">
        <f>IFERROR(VLOOKUP(B433,'MASTER RECORD'!$B$5:$W$1000,10,0) &amp;"."&amp;(VLOOKUP(B433,'MASTER RECORD'!$B$5:$W$1000,11,0)),"")</f>
        <v/>
      </c>
      <c r="D433" s="35" t="str">
        <f>IFERROR(VLOOKUP(B433,'MASTER RECORD'!$B$5:$W$1000,3,0),"")</f>
        <v/>
      </c>
      <c r="F433" s="35" t="str">
        <f>IFERROR(VLOOKUP(E433,'MASTER RECORD'!$B$5:$W$1000,10,0) &amp;"."&amp;(VLOOKUP(E433,'MASTER RECORD'!$B$5:$W$1000,11,0)),"")</f>
        <v/>
      </c>
      <c r="G433" s="35" t="str">
        <f>IFERROR(VLOOKUP(E433,'MASTER RECORD'!$B$5:$W$1000,3,0),"")</f>
        <v/>
      </c>
      <c r="I433" s="36" t="str">
        <f t="shared" si="19"/>
        <v/>
      </c>
      <c r="N433" s="36" t="str">
        <f t="shared" si="20"/>
        <v/>
      </c>
    </row>
    <row r="434" spans="1:14">
      <c r="A434" s="6">
        <f t="shared" si="21"/>
        <v>429</v>
      </c>
      <c r="C434" s="35" t="str">
        <f>IFERROR(VLOOKUP(B434,'MASTER RECORD'!$B$5:$W$1000,10,0) &amp;"."&amp;(VLOOKUP(B434,'MASTER RECORD'!$B$5:$W$1000,11,0)),"")</f>
        <v/>
      </c>
      <c r="D434" s="35" t="str">
        <f>IFERROR(VLOOKUP(B434,'MASTER RECORD'!$B$5:$W$1000,3,0),"")</f>
        <v/>
      </c>
      <c r="F434" s="35" t="str">
        <f>IFERROR(VLOOKUP(E434,'MASTER RECORD'!$B$5:$W$1000,10,0) &amp;"."&amp;(VLOOKUP(E434,'MASTER RECORD'!$B$5:$W$1000,11,0)),"")</f>
        <v/>
      </c>
      <c r="G434" s="35" t="str">
        <f>IFERROR(VLOOKUP(E434,'MASTER RECORD'!$B$5:$W$1000,3,0),"")</f>
        <v/>
      </c>
      <c r="I434" s="36" t="str">
        <f t="shared" si="19"/>
        <v/>
      </c>
      <c r="N434" s="36" t="str">
        <f t="shared" si="20"/>
        <v/>
      </c>
    </row>
    <row r="435" spans="1:14">
      <c r="A435" s="6">
        <f t="shared" si="21"/>
        <v>430</v>
      </c>
      <c r="C435" s="35" t="str">
        <f>IFERROR(VLOOKUP(B435,'MASTER RECORD'!$B$5:$W$1000,10,0) &amp;"."&amp;(VLOOKUP(B435,'MASTER RECORD'!$B$5:$W$1000,11,0)),"")</f>
        <v/>
      </c>
      <c r="D435" s="35" t="str">
        <f>IFERROR(VLOOKUP(B435,'MASTER RECORD'!$B$5:$W$1000,3,0),"")</f>
        <v/>
      </c>
      <c r="F435" s="35" t="str">
        <f>IFERROR(VLOOKUP(E435,'MASTER RECORD'!$B$5:$W$1000,10,0) &amp;"."&amp;(VLOOKUP(E435,'MASTER RECORD'!$B$5:$W$1000,11,0)),"")</f>
        <v/>
      </c>
      <c r="G435" s="35" t="str">
        <f>IFERROR(VLOOKUP(E435,'MASTER RECORD'!$B$5:$W$1000,3,0),"")</f>
        <v/>
      </c>
      <c r="I435" s="36" t="str">
        <f t="shared" si="19"/>
        <v/>
      </c>
      <c r="N435" s="36" t="str">
        <f t="shared" si="20"/>
        <v/>
      </c>
    </row>
    <row r="436" spans="1:14">
      <c r="A436" s="6">
        <f t="shared" si="21"/>
        <v>431</v>
      </c>
      <c r="C436" s="35" t="str">
        <f>IFERROR(VLOOKUP(B436,'MASTER RECORD'!$B$5:$W$1000,10,0) &amp;"."&amp;(VLOOKUP(B436,'MASTER RECORD'!$B$5:$W$1000,11,0)),"")</f>
        <v/>
      </c>
      <c r="D436" s="35" t="str">
        <f>IFERROR(VLOOKUP(B436,'MASTER RECORD'!$B$5:$W$1000,3,0),"")</f>
        <v/>
      </c>
      <c r="F436" s="35" t="str">
        <f>IFERROR(VLOOKUP(E436,'MASTER RECORD'!$B$5:$W$1000,10,0) &amp;"."&amp;(VLOOKUP(E436,'MASTER RECORD'!$B$5:$W$1000,11,0)),"")</f>
        <v/>
      </c>
      <c r="G436" s="35" t="str">
        <f>IFERROR(VLOOKUP(E436,'MASTER RECORD'!$B$5:$W$1000,3,0),"")</f>
        <v/>
      </c>
      <c r="I436" s="36" t="str">
        <f t="shared" si="19"/>
        <v/>
      </c>
      <c r="N436" s="36" t="str">
        <f t="shared" si="20"/>
        <v/>
      </c>
    </row>
    <row r="437" spans="1:14">
      <c r="A437" s="6">
        <f t="shared" si="21"/>
        <v>432</v>
      </c>
      <c r="C437" s="35" t="str">
        <f>IFERROR(VLOOKUP(B437,'MASTER RECORD'!$B$5:$W$1000,10,0) &amp;"."&amp;(VLOOKUP(B437,'MASTER RECORD'!$B$5:$W$1000,11,0)),"")</f>
        <v/>
      </c>
      <c r="D437" s="35" t="str">
        <f>IFERROR(VLOOKUP(B437,'MASTER RECORD'!$B$5:$W$1000,3,0),"")</f>
        <v/>
      </c>
      <c r="F437" s="35" t="str">
        <f>IFERROR(VLOOKUP(E437,'MASTER RECORD'!$B$5:$W$1000,10,0) &amp;"."&amp;(VLOOKUP(E437,'MASTER RECORD'!$B$5:$W$1000,11,0)),"")</f>
        <v/>
      </c>
      <c r="G437" s="35" t="str">
        <f>IFERROR(VLOOKUP(E437,'MASTER RECORD'!$B$5:$W$1000,3,0),"")</f>
        <v/>
      </c>
      <c r="I437" s="36" t="str">
        <f t="shared" si="19"/>
        <v/>
      </c>
      <c r="N437" s="36" t="str">
        <f t="shared" si="20"/>
        <v/>
      </c>
    </row>
    <row r="438" spans="1:14">
      <c r="A438" s="6">
        <f t="shared" si="21"/>
        <v>433</v>
      </c>
      <c r="C438" s="35" t="str">
        <f>IFERROR(VLOOKUP(B438,'MASTER RECORD'!$B$5:$W$1000,10,0) &amp;"."&amp;(VLOOKUP(B438,'MASTER RECORD'!$B$5:$W$1000,11,0)),"")</f>
        <v/>
      </c>
      <c r="D438" s="35" t="str">
        <f>IFERROR(VLOOKUP(B438,'MASTER RECORD'!$B$5:$W$1000,3,0),"")</f>
        <v/>
      </c>
      <c r="F438" s="35" t="str">
        <f>IFERROR(VLOOKUP(E438,'MASTER RECORD'!$B$5:$W$1000,10,0) &amp;"."&amp;(VLOOKUP(E438,'MASTER RECORD'!$B$5:$W$1000,11,0)),"")</f>
        <v/>
      </c>
      <c r="G438" s="35" t="str">
        <f>IFERROR(VLOOKUP(E438,'MASTER RECORD'!$B$5:$W$1000,3,0),"")</f>
        <v/>
      </c>
      <c r="I438" s="36" t="str">
        <f t="shared" si="19"/>
        <v/>
      </c>
      <c r="N438" s="36" t="str">
        <f t="shared" si="20"/>
        <v/>
      </c>
    </row>
    <row r="439" spans="1:14">
      <c r="A439" s="6">
        <f t="shared" si="21"/>
        <v>434</v>
      </c>
      <c r="C439" s="35" t="str">
        <f>IFERROR(VLOOKUP(B439,'MASTER RECORD'!$B$5:$W$1000,10,0) &amp;"."&amp;(VLOOKUP(B439,'MASTER RECORD'!$B$5:$W$1000,11,0)),"")</f>
        <v/>
      </c>
      <c r="D439" s="35" t="str">
        <f>IFERROR(VLOOKUP(B439,'MASTER RECORD'!$B$5:$W$1000,3,0),"")</f>
        <v/>
      </c>
      <c r="F439" s="35" t="str">
        <f>IFERROR(VLOOKUP(E439,'MASTER RECORD'!$B$5:$W$1000,10,0) &amp;"."&amp;(VLOOKUP(E439,'MASTER RECORD'!$B$5:$W$1000,11,0)),"")</f>
        <v/>
      </c>
      <c r="G439" s="35" t="str">
        <f>IFERROR(VLOOKUP(E439,'MASTER RECORD'!$B$5:$W$1000,3,0),"")</f>
        <v/>
      </c>
      <c r="I439" s="36" t="str">
        <f t="shared" si="19"/>
        <v/>
      </c>
      <c r="N439" s="36" t="str">
        <f t="shared" si="20"/>
        <v/>
      </c>
    </row>
    <row r="440" spans="1:14">
      <c r="A440" s="6">
        <f t="shared" si="21"/>
        <v>435</v>
      </c>
      <c r="C440" s="35" t="str">
        <f>IFERROR(VLOOKUP(B440,'MASTER RECORD'!$B$5:$W$1000,10,0) &amp;"."&amp;(VLOOKUP(B440,'MASTER RECORD'!$B$5:$W$1000,11,0)),"")</f>
        <v/>
      </c>
      <c r="D440" s="35" t="str">
        <f>IFERROR(VLOOKUP(B440,'MASTER RECORD'!$B$5:$W$1000,3,0),"")</f>
        <v/>
      </c>
      <c r="F440" s="35" t="str">
        <f>IFERROR(VLOOKUP(E440,'MASTER RECORD'!$B$5:$W$1000,10,0) &amp;"."&amp;(VLOOKUP(E440,'MASTER RECORD'!$B$5:$W$1000,11,0)),"")</f>
        <v/>
      </c>
      <c r="G440" s="35" t="str">
        <f>IFERROR(VLOOKUP(E440,'MASTER RECORD'!$B$5:$W$1000,3,0),"")</f>
        <v/>
      </c>
      <c r="I440" s="36" t="str">
        <f t="shared" si="19"/>
        <v/>
      </c>
      <c r="N440" s="36" t="str">
        <f t="shared" si="20"/>
        <v/>
      </c>
    </row>
    <row r="441" spans="1:14">
      <c r="A441" s="6">
        <f t="shared" si="21"/>
        <v>436</v>
      </c>
      <c r="C441" s="35" t="str">
        <f>IFERROR(VLOOKUP(B441,'MASTER RECORD'!$B$5:$W$1000,10,0) &amp;"."&amp;(VLOOKUP(B441,'MASTER RECORD'!$B$5:$W$1000,11,0)),"")</f>
        <v/>
      </c>
      <c r="D441" s="35" t="str">
        <f>IFERROR(VLOOKUP(B441,'MASTER RECORD'!$B$5:$W$1000,3,0),"")</f>
        <v/>
      </c>
      <c r="F441" s="35" t="str">
        <f>IFERROR(VLOOKUP(E441,'MASTER RECORD'!$B$5:$W$1000,10,0) &amp;"."&amp;(VLOOKUP(E441,'MASTER RECORD'!$B$5:$W$1000,11,0)),"")</f>
        <v/>
      </c>
      <c r="G441" s="35" t="str">
        <f>IFERROR(VLOOKUP(E441,'MASTER RECORD'!$B$5:$W$1000,3,0),"")</f>
        <v/>
      </c>
      <c r="I441" s="36" t="str">
        <f t="shared" si="19"/>
        <v/>
      </c>
      <c r="N441" s="36" t="str">
        <f t="shared" si="20"/>
        <v/>
      </c>
    </row>
    <row r="442" spans="1:14">
      <c r="A442" s="6">
        <f t="shared" si="21"/>
        <v>437</v>
      </c>
      <c r="C442" s="35" t="str">
        <f>IFERROR(VLOOKUP(B442,'MASTER RECORD'!$B$5:$W$1000,10,0) &amp;"."&amp;(VLOOKUP(B442,'MASTER RECORD'!$B$5:$W$1000,11,0)),"")</f>
        <v/>
      </c>
      <c r="D442" s="35" t="str">
        <f>IFERROR(VLOOKUP(B442,'MASTER RECORD'!$B$5:$W$1000,3,0),"")</f>
        <v/>
      </c>
      <c r="F442" s="35" t="str">
        <f>IFERROR(VLOOKUP(E442,'MASTER RECORD'!$B$5:$W$1000,10,0) &amp;"."&amp;(VLOOKUP(E442,'MASTER RECORD'!$B$5:$W$1000,11,0)),"")</f>
        <v/>
      </c>
      <c r="G442" s="35" t="str">
        <f>IFERROR(VLOOKUP(E442,'MASTER RECORD'!$B$5:$W$1000,3,0),"")</f>
        <v/>
      </c>
      <c r="I442" s="36" t="str">
        <f t="shared" si="19"/>
        <v/>
      </c>
      <c r="N442" s="36" t="str">
        <f t="shared" si="20"/>
        <v/>
      </c>
    </row>
    <row r="443" spans="1:14">
      <c r="A443" s="6">
        <f t="shared" si="21"/>
        <v>438</v>
      </c>
      <c r="C443" s="35" t="str">
        <f>IFERROR(VLOOKUP(B443,'MASTER RECORD'!$B$5:$W$1000,10,0) &amp;"."&amp;(VLOOKUP(B443,'MASTER RECORD'!$B$5:$W$1000,11,0)),"")</f>
        <v/>
      </c>
      <c r="D443" s="35" t="str">
        <f>IFERROR(VLOOKUP(B443,'MASTER RECORD'!$B$5:$W$1000,3,0),"")</f>
        <v/>
      </c>
      <c r="F443" s="35" t="str">
        <f>IFERROR(VLOOKUP(E443,'MASTER RECORD'!$B$5:$W$1000,10,0) &amp;"."&amp;(VLOOKUP(E443,'MASTER RECORD'!$B$5:$W$1000,11,0)),"")</f>
        <v/>
      </c>
      <c r="G443" s="35" t="str">
        <f>IFERROR(VLOOKUP(E443,'MASTER RECORD'!$B$5:$W$1000,3,0),"")</f>
        <v/>
      </c>
      <c r="I443" s="36" t="str">
        <f t="shared" si="19"/>
        <v/>
      </c>
      <c r="N443" s="36" t="str">
        <f t="shared" si="20"/>
        <v/>
      </c>
    </row>
    <row r="444" spans="1:14">
      <c r="A444" s="6">
        <f t="shared" si="21"/>
        <v>439</v>
      </c>
      <c r="C444" s="35" t="str">
        <f>IFERROR(VLOOKUP(B444,'MASTER RECORD'!$B$5:$W$1000,10,0) &amp;"."&amp;(VLOOKUP(B444,'MASTER RECORD'!$B$5:$W$1000,11,0)),"")</f>
        <v/>
      </c>
      <c r="D444" s="35" t="str">
        <f>IFERROR(VLOOKUP(B444,'MASTER RECORD'!$B$5:$W$1000,3,0),"")</f>
        <v/>
      </c>
      <c r="F444" s="35" t="str">
        <f>IFERROR(VLOOKUP(E444,'MASTER RECORD'!$B$5:$W$1000,10,0) &amp;"."&amp;(VLOOKUP(E444,'MASTER RECORD'!$B$5:$W$1000,11,0)),"")</f>
        <v/>
      </c>
      <c r="G444" s="35" t="str">
        <f>IFERROR(VLOOKUP(E444,'MASTER RECORD'!$B$5:$W$1000,3,0),"")</f>
        <v/>
      </c>
      <c r="I444" s="36" t="str">
        <f t="shared" si="19"/>
        <v/>
      </c>
      <c r="N444" s="36" t="str">
        <f t="shared" si="20"/>
        <v/>
      </c>
    </row>
    <row r="445" spans="1:14">
      <c r="A445" s="6">
        <f t="shared" si="21"/>
        <v>440</v>
      </c>
      <c r="C445" s="35" t="str">
        <f>IFERROR(VLOOKUP(B445,'MASTER RECORD'!$B$5:$W$1000,10,0) &amp;"."&amp;(VLOOKUP(B445,'MASTER RECORD'!$B$5:$W$1000,11,0)),"")</f>
        <v/>
      </c>
      <c r="D445" s="35" t="str">
        <f>IFERROR(VLOOKUP(B445,'MASTER RECORD'!$B$5:$W$1000,3,0),"")</f>
        <v/>
      </c>
      <c r="F445" s="35" t="str">
        <f>IFERROR(VLOOKUP(E445,'MASTER RECORD'!$B$5:$W$1000,10,0) &amp;"."&amp;(VLOOKUP(E445,'MASTER RECORD'!$B$5:$W$1000,11,0)),"")</f>
        <v/>
      </c>
      <c r="G445" s="35" t="str">
        <f>IFERROR(VLOOKUP(E445,'MASTER RECORD'!$B$5:$W$1000,3,0),"")</f>
        <v/>
      </c>
      <c r="I445" s="36" t="str">
        <f t="shared" si="19"/>
        <v/>
      </c>
      <c r="N445" s="36" t="str">
        <f t="shared" si="20"/>
        <v/>
      </c>
    </row>
    <row r="446" spans="1:14">
      <c r="A446" s="6">
        <f t="shared" si="21"/>
        <v>441</v>
      </c>
      <c r="C446" s="35" t="str">
        <f>IFERROR(VLOOKUP(B446,'MASTER RECORD'!$B$5:$W$1000,10,0) &amp;"."&amp;(VLOOKUP(B446,'MASTER RECORD'!$B$5:$W$1000,11,0)),"")</f>
        <v/>
      </c>
      <c r="D446" s="35" t="str">
        <f>IFERROR(VLOOKUP(B446,'MASTER RECORD'!$B$5:$W$1000,3,0),"")</f>
        <v/>
      </c>
      <c r="F446" s="35" t="str">
        <f>IFERROR(VLOOKUP(E446,'MASTER RECORD'!$B$5:$W$1000,10,0) &amp;"."&amp;(VLOOKUP(E446,'MASTER RECORD'!$B$5:$W$1000,11,0)),"")</f>
        <v/>
      </c>
      <c r="G446" s="35" t="str">
        <f>IFERROR(VLOOKUP(E446,'MASTER RECORD'!$B$5:$W$1000,3,0),"")</f>
        <v/>
      </c>
      <c r="I446" s="36" t="str">
        <f t="shared" si="19"/>
        <v/>
      </c>
      <c r="N446" s="36" t="str">
        <f t="shared" si="20"/>
        <v/>
      </c>
    </row>
    <row r="447" spans="1:14">
      <c r="A447" s="6">
        <f t="shared" si="21"/>
        <v>442</v>
      </c>
      <c r="C447" s="35" t="str">
        <f>IFERROR(VLOOKUP(B447,'MASTER RECORD'!$B$5:$W$1000,10,0) &amp;"."&amp;(VLOOKUP(B447,'MASTER RECORD'!$B$5:$W$1000,11,0)),"")</f>
        <v/>
      </c>
      <c r="D447" s="35" t="str">
        <f>IFERROR(VLOOKUP(B447,'MASTER RECORD'!$B$5:$W$1000,3,0),"")</f>
        <v/>
      </c>
      <c r="F447" s="35" t="str">
        <f>IFERROR(VLOOKUP(E447,'MASTER RECORD'!$B$5:$W$1000,10,0) &amp;"."&amp;(VLOOKUP(E447,'MASTER RECORD'!$B$5:$W$1000,11,0)),"")</f>
        <v/>
      </c>
      <c r="G447" s="35" t="str">
        <f>IFERROR(VLOOKUP(E447,'MASTER RECORD'!$B$5:$W$1000,3,0),"")</f>
        <v/>
      </c>
      <c r="I447" s="36" t="str">
        <f t="shared" si="19"/>
        <v/>
      </c>
      <c r="N447" s="36" t="str">
        <f t="shared" si="20"/>
        <v/>
      </c>
    </row>
    <row r="448" spans="1:14">
      <c r="A448" s="6">
        <f t="shared" si="21"/>
        <v>443</v>
      </c>
      <c r="C448" s="35" t="str">
        <f>IFERROR(VLOOKUP(B448,'MASTER RECORD'!$B$5:$W$1000,10,0) &amp;"."&amp;(VLOOKUP(B448,'MASTER RECORD'!$B$5:$W$1000,11,0)),"")</f>
        <v/>
      </c>
      <c r="D448" s="35" t="str">
        <f>IFERROR(VLOOKUP(B448,'MASTER RECORD'!$B$5:$W$1000,3,0),"")</f>
        <v/>
      </c>
      <c r="F448" s="35" t="str">
        <f>IFERROR(VLOOKUP(E448,'MASTER RECORD'!$B$5:$W$1000,10,0) &amp;"."&amp;(VLOOKUP(E448,'MASTER RECORD'!$B$5:$W$1000,11,0)),"")</f>
        <v/>
      </c>
      <c r="G448" s="35" t="str">
        <f>IFERROR(VLOOKUP(E448,'MASTER RECORD'!$B$5:$W$1000,3,0),"")</f>
        <v/>
      </c>
      <c r="I448" s="36" t="str">
        <f t="shared" si="19"/>
        <v/>
      </c>
      <c r="N448" s="36" t="str">
        <f t="shared" si="20"/>
        <v/>
      </c>
    </row>
    <row r="449" spans="1:14">
      <c r="A449" s="6">
        <f t="shared" si="21"/>
        <v>444</v>
      </c>
      <c r="C449" s="35" t="str">
        <f>IFERROR(VLOOKUP(B449,'MASTER RECORD'!$B$5:$W$1000,10,0) &amp;"."&amp;(VLOOKUP(B449,'MASTER RECORD'!$B$5:$W$1000,11,0)),"")</f>
        <v/>
      </c>
      <c r="D449" s="35" t="str">
        <f>IFERROR(VLOOKUP(B449,'MASTER RECORD'!$B$5:$W$1000,3,0),"")</f>
        <v/>
      </c>
      <c r="F449" s="35" t="str">
        <f>IFERROR(VLOOKUP(E449,'MASTER RECORD'!$B$5:$W$1000,10,0) &amp;"."&amp;(VLOOKUP(E449,'MASTER RECORD'!$B$5:$W$1000,11,0)),"")</f>
        <v/>
      </c>
      <c r="G449" s="35" t="str">
        <f>IFERROR(VLOOKUP(E449,'MASTER RECORD'!$B$5:$W$1000,3,0),"")</f>
        <v/>
      </c>
      <c r="I449" s="36" t="str">
        <f t="shared" si="19"/>
        <v/>
      </c>
      <c r="N449" s="36" t="str">
        <f t="shared" si="20"/>
        <v/>
      </c>
    </row>
    <row r="450" spans="1:14">
      <c r="A450" s="6">
        <f t="shared" si="21"/>
        <v>445</v>
      </c>
      <c r="C450" s="35" t="str">
        <f>IFERROR(VLOOKUP(B450,'MASTER RECORD'!$B$5:$W$1000,10,0) &amp;"."&amp;(VLOOKUP(B450,'MASTER RECORD'!$B$5:$W$1000,11,0)),"")</f>
        <v/>
      </c>
      <c r="D450" s="35" t="str">
        <f>IFERROR(VLOOKUP(B450,'MASTER RECORD'!$B$5:$W$1000,3,0),"")</f>
        <v/>
      </c>
      <c r="F450" s="35" t="str">
        <f>IFERROR(VLOOKUP(E450,'MASTER RECORD'!$B$5:$W$1000,10,0) &amp;"."&amp;(VLOOKUP(E450,'MASTER RECORD'!$B$5:$W$1000,11,0)),"")</f>
        <v/>
      </c>
      <c r="G450" s="35" t="str">
        <f>IFERROR(VLOOKUP(E450,'MASTER RECORD'!$B$5:$W$1000,3,0),"")</f>
        <v/>
      </c>
      <c r="I450" s="36" t="str">
        <f t="shared" si="19"/>
        <v/>
      </c>
      <c r="N450" s="36" t="str">
        <f t="shared" si="20"/>
        <v/>
      </c>
    </row>
    <row r="451" spans="1:14">
      <c r="A451" s="6">
        <f t="shared" si="21"/>
        <v>446</v>
      </c>
      <c r="C451" s="35" t="str">
        <f>IFERROR(VLOOKUP(B451,'MASTER RECORD'!$B$5:$W$1000,10,0) &amp;"."&amp;(VLOOKUP(B451,'MASTER RECORD'!$B$5:$W$1000,11,0)),"")</f>
        <v/>
      </c>
      <c r="D451" s="35" t="str">
        <f>IFERROR(VLOOKUP(B451,'MASTER RECORD'!$B$5:$W$1000,3,0),"")</f>
        <v/>
      </c>
      <c r="F451" s="35" t="str">
        <f>IFERROR(VLOOKUP(E451,'MASTER RECORD'!$B$5:$W$1000,10,0) &amp;"."&amp;(VLOOKUP(E451,'MASTER RECORD'!$B$5:$W$1000,11,0)),"")</f>
        <v/>
      </c>
      <c r="G451" s="35" t="str">
        <f>IFERROR(VLOOKUP(E451,'MASTER RECORD'!$B$5:$W$1000,3,0),"")</f>
        <v/>
      </c>
      <c r="I451" s="36" t="str">
        <f t="shared" si="19"/>
        <v/>
      </c>
      <c r="N451" s="36" t="str">
        <f t="shared" si="20"/>
        <v/>
      </c>
    </row>
    <row r="452" spans="1:14">
      <c r="A452" s="6">
        <f t="shared" si="21"/>
        <v>447</v>
      </c>
      <c r="C452" s="35" t="str">
        <f>IFERROR(VLOOKUP(B452,'MASTER RECORD'!$B$5:$W$1000,10,0) &amp;"."&amp;(VLOOKUP(B452,'MASTER RECORD'!$B$5:$W$1000,11,0)),"")</f>
        <v/>
      </c>
      <c r="D452" s="35" t="str">
        <f>IFERROR(VLOOKUP(B452,'MASTER RECORD'!$B$5:$W$1000,3,0),"")</f>
        <v/>
      </c>
      <c r="F452" s="35" t="str">
        <f>IFERROR(VLOOKUP(E452,'MASTER RECORD'!$B$5:$W$1000,10,0) &amp;"."&amp;(VLOOKUP(E452,'MASTER RECORD'!$B$5:$W$1000,11,0)),"")</f>
        <v/>
      </c>
      <c r="G452" s="35" t="str">
        <f>IFERROR(VLOOKUP(E452,'MASTER RECORD'!$B$5:$W$1000,3,0),"")</f>
        <v/>
      </c>
      <c r="I452" s="36" t="str">
        <f t="shared" si="19"/>
        <v/>
      </c>
      <c r="N452" s="36" t="str">
        <f t="shared" si="20"/>
        <v/>
      </c>
    </row>
    <row r="453" spans="1:14">
      <c r="A453" s="6">
        <f t="shared" si="21"/>
        <v>448</v>
      </c>
      <c r="C453" s="35" t="str">
        <f>IFERROR(VLOOKUP(B453,'MASTER RECORD'!$B$5:$W$1000,10,0) &amp;"."&amp;(VLOOKUP(B453,'MASTER RECORD'!$B$5:$W$1000,11,0)),"")</f>
        <v/>
      </c>
      <c r="D453" s="35" t="str">
        <f>IFERROR(VLOOKUP(B453,'MASTER RECORD'!$B$5:$W$1000,3,0),"")</f>
        <v/>
      </c>
      <c r="F453" s="35" t="str">
        <f>IFERROR(VLOOKUP(E453,'MASTER RECORD'!$B$5:$W$1000,10,0) &amp;"."&amp;(VLOOKUP(E453,'MASTER RECORD'!$B$5:$W$1000,11,0)),"")</f>
        <v/>
      </c>
      <c r="G453" s="35" t="str">
        <f>IFERROR(VLOOKUP(E453,'MASTER RECORD'!$B$5:$W$1000,3,0),"")</f>
        <v/>
      </c>
      <c r="I453" s="36" t="str">
        <f t="shared" si="19"/>
        <v/>
      </c>
      <c r="N453" s="36" t="str">
        <f t="shared" si="20"/>
        <v/>
      </c>
    </row>
    <row r="454" spans="1:14">
      <c r="A454" s="6">
        <f t="shared" si="21"/>
        <v>449</v>
      </c>
      <c r="C454" s="35" t="str">
        <f>IFERROR(VLOOKUP(B454,'MASTER RECORD'!$B$5:$W$1000,10,0) &amp;"."&amp;(VLOOKUP(B454,'MASTER RECORD'!$B$5:$W$1000,11,0)),"")</f>
        <v/>
      </c>
      <c r="D454" s="35" t="str">
        <f>IFERROR(VLOOKUP(B454,'MASTER RECORD'!$B$5:$W$1000,3,0),"")</f>
        <v/>
      </c>
      <c r="F454" s="35" t="str">
        <f>IFERROR(VLOOKUP(E454,'MASTER RECORD'!$B$5:$W$1000,10,0) &amp;"."&amp;(VLOOKUP(E454,'MASTER RECORD'!$B$5:$W$1000,11,0)),"")</f>
        <v/>
      </c>
      <c r="G454" s="35" t="str">
        <f>IFERROR(VLOOKUP(E454,'MASTER RECORD'!$B$5:$W$1000,3,0),"")</f>
        <v/>
      </c>
      <c r="I454" s="36" t="str">
        <f t="shared" si="19"/>
        <v/>
      </c>
      <c r="N454" s="36" t="str">
        <f t="shared" si="20"/>
        <v/>
      </c>
    </row>
    <row r="455" spans="1:14">
      <c r="A455" s="6">
        <f t="shared" si="21"/>
        <v>450</v>
      </c>
      <c r="C455" s="35" t="str">
        <f>IFERROR(VLOOKUP(B455,'MASTER RECORD'!$B$5:$W$1000,10,0) &amp;"."&amp;(VLOOKUP(B455,'MASTER RECORD'!$B$5:$W$1000,11,0)),"")</f>
        <v/>
      </c>
      <c r="D455" s="35" t="str">
        <f>IFERROR(VLOOKUP(B455,'MASTER RECORD'!$B$5:$W$1000,3,0),"")</f>
        <v/>
      </c>
      <c r="F455" s="35" t="str">
        <f>IFERROR(VLOOKUP(E455,'MASTER RECORD'!$B$5:$W$1000,10,0) &amp;"."&amp;(VLOOKUP(E455,'MASTER RECORD'!$B$5:$W$1000,11,0)),"")</f>
        <v/>
      </c>
      <c r="G455" s="35" t="str">
        <f>IFERROR(VLOOKUP(E455,'MASTER RECORD'!$B$5:$W$1000,3,0),"")</f>
        <v/>
      </c>
      <c r="I455" s="36" t="str">
        <f t="shared" ref="I455:I505" si="22">IF(H455&gt;0,H455+150,"")</f>
        <v/>
      </c>
      <c r="N455" s="36" t="str">
        <f t="shared" ref="N455:N505" si="23">IF(J455&gt;0,J455+60,"")</f>
        <v/>
      </c>
    </row>
    <row r="456" spans="1:14">
      <c r="A456" s="6">
        <f t="shared" si="21"/>
        <v>451</v>
      </c>
      <c r="C456" s="35" t="str">
        <f>IFERROR(VLOOKUP(B456,'MASTER RECORD'!$B$5:$W$1000,10,0) &amp;"."&amp;(VLOOKUP(B456,'MASTER RECORD'!$B$5:$W$1000,11,0)),"")</f>
        <v/>
      </c>
      <c r="D456" s="35" t="str">
        <f>IFERROR(VLOOKUP(B456,'MASTER RECORD'!$B$5:$W$1000,3,0),"")</f>
        <v/>
      </c>
      <c r="F456" s="35" t="str">
        <f>IFERROR(VLOOKUP(E456,'MASTER RECORD'!$B$5:$W$1000,10,0) &amp;"."&amp;(VLOOKUP(E456,'MASTER RECORD'!$B$5:$W$1000,11,0)),"")</f>
        <v/>
      </c>
      <c r="G456" s="35" t="str">
        <f>IFERROR(VLOOKUP(E456,'MASTER RECORD'!$B$5:$W$1000,3,0),"")</f>
        <v/>
      </c>
      <c r="I456" s="36" t="str">
        <f t="shared" si="22"/>
        <v/>
      </c>
      <c r="N456" s="36" t="str">
        <f t="shared" si="23"/>
        <v/>
      </c>
    </row>
    <row r="457" spans="1:14">
      <c r="A457" s="6">
        <f t="shared" si="21"/>
        <v>452</v>
      </c>
      <c r="C457" s="35" t="str">
        <f>IFERROR(VLOOKUP(B457,'MASTER RECORD'!$B$5:$W$1000,10,0) &amp;"."&amp;(VLOOKUP(B457,'MASTER RECORD'!$B$5:$W$1000,11,0)),"")</f>
        <v/>
      </c>
      <c r="D457" s="35" t="str">
        <f>IFERROR(VLOOKUP(B457,'MASTER RECORD'!$B$5:$W$1000,3,0),"")</f>
        <v/>
      </c>
      <c r="F457" s="35" t="str">
        <f>IFERROR(VLOOKUP(E457,'MASTER RECORD'!$B$5:$W$1000,10,0) &amp;"."&amp;(VLOOKUP(E457,'MASTER RECORD'!$B$5:$W$1000,11,0)),"")</f>
        <v/>
      </c>
      <c r="G457" s="35" t="str">
        <f>IFERROR(VLOOKUP(E457,'MASTER RECORD'!$B$5:$W$1000,3,0),"")</f>
        <v/>
      </c>
      <c r="I457" s="36" t="str">
        <f t="shared" si="22"/>
        <v/>
      </c>
      <c r="N457" s="36" t="str">
        <f t="shared" si="23"/>
        <v/>
      </c>
    </row>
    <row r="458" spans="1:14">
      <c r="A458" s="6">
        <f t="shared" si="21"/>
        <v>453</v>
      </c>
      <c r="C458" s="35" t="str">
        <f>IFERROR(VLOOKUP(B458,'MASTER RECORD'!$B$5:$W$1000,10,0) &amp;"."&amp;(VLOOKUP(B458,'MASTER RECORD'!$B$5:$W$1000,11,0)),"")</f>
        <v/>
      </c>
      <c r="D458" s="35" t="str">
        <f>IFERROR(VLOOKUP(B458,'MASTER RECORD'!$B$5:$W$1000,3,0),"")</f>
        <v/>
      </c>
      <c r="F458" s="35" t="str">
        <f>IFERROR(VLOOKUP(E458,'MASTER RECORD'!$B$5:$W$1000,10,0) &amp;"."&amp;(VLOOKUP(E458,'MASTER RECORD'!$B$5:$W$1000,11,0)),"")</f>
        <v/>
      </c>
      <c r="G458" s="35" t="str">
        <f>IFERROR(VLOOKUP(E458,'MASTER RECORD'!$B$5:$W$1000,3,0),"")</f>
        <v/>
      </c>
      <c r="I458" s="36" t="str">
        <f t="shared" si="22"/>
        <v/>
      </c>
      <c r="N458" s="36" t="str">
        <f t="shared" si="23"/>
        <v/>
      </c>
    </row>
    <row r="459" spans="1:14">
      <c r="A459" s="6">
        <f t="shared" si="21"/>
        <v>454</v>
      </c>
      <c r="C459" s="35" t="str">
        <f>IFERROR(VLOOKUP(B459,'MASTER RECORD'!$B$5:$W$1000,10,0) &amp;"."&amp;(VLOOKUP(B459,'MASTER RECORD'!$B$5:$W$1000,11,0)),"")</f>
        <v/>
      </c>
      <c r="D459" s="35" t="str">
        <f>IFERROR(VLOOKUP(B459,'MASTER RECORD'!$B$5:$W$1000,3,0),"")</f>
        <v/>
      </c>
      <c r="F459" s="35" t="str">
        <f>IFERROR(VLOOKUP(E459,'MASTER RECORD'!$B$5:$W$1000,10,0) &amp;"."&amp;(VLOOKUP(E459,'MASTER RECORD'!$B$5:$W$1000,11,0)),"")</f>
        <v/>
      </c>
      <c r="G459" s="35" t="str">
        <f>IFERROR(VLOOKUP(E459,'MASTER RECORD'!$B$5:$W$1000,3,0),"")</f>
        <v/>
      </c>
      <c r="I459" s="36" t="str">
        <f t="shared" si="22"/>
        <v/>
      </c>
      <c r="N459" s="36" t="str">
        <f t="shared" si="23"/>
        <v/>
      </c>
    </row>
    <row r="460" spans="1:14">
      <c r="A460" s="6">
        <f t="shared" si="21"/>
        <v>455</v>
      </c>
      <c r="C460" s="35" t="str">
        <f>IFERROR(VLOOKUP(B460,'MASTER RECORD'!$B$5:$W$1000,10,0) &amp;"."&amp;(VLOOKUP(B460,'MASTER RECORD'!$B$5:$W$1000,11,0)),"")</f>
        <v/>
      </c>
      <c r="D460" s="35" t="str">
        <f>IFERROR(VLOOKUP(B460,'MASTER RECORD'!$B$5:$W$1000,3,0),"")</f>
        <v/>
      </c>
      <c r="F460" s="35" t="str">
        <f>IFERROR(VLOOKUP(E460,'MASTER RECORD'!$B$5:$W$1000,10,0) &amp;"."&amp;(VLOOKUP(E460,'MASTER RECORD'!$B$5:$W$1000,11,0)),"")</f>
        <v/>
      </c>
      <c r="G460" s="35" t="str">
        <f>IFERROR(VLOOKUP(E460,'MASTER RECORD'!$B$5:$W$1000,3,0),"")</f>
        <v/>
      </c>
      <c r="I460" s="36" t="str">
        <f t="shared" si="22"/>
        <v/>
      </c>
      <c r="N460" s="36" t="str">
        <f t="shared" si="23"/>
        <v/>
      </c>
    </row>
    <row r="461" spans="1:14">
      <c r="A461" s="6">
        <f t="shared" si="21"/>
        <v>456</v>
      </c>
      <c r="C461" s="35" t="str">
        <f>IFERROR(VLOOKUP(B461,'MASTER RECORD'!$B$5:$W$1000,10,0) &amp;"."&amp;(VLOOKUP(B461,'MASTER RECORD'!$B$5:$W$1000,11,0)),"")</f>
        <v/>
      </c>
      <c r="D461" s="35" t="str">
        <f>IFERROR(VLOOKUP(B461,'MASTER RECORD'!$B$5:$W$1000,3,0),"")</f>
        <v/>
      </c>
      <c r="F461" s="35" t="str">
        <f>IFERROR(VLOOKUP(E461,'MASTER RECORD'!$B$5:$W$1000,10,0) &amp;"."&amp;(VLOOKUP(E461,'MASTER RECORD'!$B$5:$W$1000,11,0)),"")</f>
        <v/>
      </c>
      <c r="G461" s="35" t="str">
        <f>IFERROR(VLOOKUP(E461,'MASTER RECORD'!$B$5:$W$1000,3,0),"")</f>
        <v/>
      </c>
      <c r="I461" s="36" t="str">
        <f t="shared" si="22"/>
        <v/>
      </c>
      <c r="N461" s="36" t="str">
        <f t="shared" si="23"/>
        <v/>
      </c>
    </row>
    <row r="462" spans="1:14">
      <c r="A462" s="6">
        <f t="shared" si="21"/>
        <v>457</v>
      </c>
      <c r="C462" s="35" t="str">
        <f>IFERROR(VLOOKUP(B462,'MASTER RECORD'!$B$5:$W$1000,10,0) &amp;"."&amp;(VLOOKUP(B462,'MASTER RECORD'!$B$5:$W$1000,11,0)),"")</f>
        <v/>
      </c>
      <c r="D462" s="35" t="str">
        <f>IFERROR(VLOOKUP(B462,'MASTER RECORD'!$B$5:$W$1000,3,0),"")</f>
        <v/>
      </c>
      <c r="F462" s="35" t="str">
        <f>IFERROR(VLOOKUP(E462,'MASTER RECORD'!$B$5:$W$1000,10,0) &amp;"."&amp;(VLOOKUP(E462,'MASTER RECORD'!$B$5:$W$1000,11,0)),"")</f>
        <v/>
      </c>
      <c r="G462" s="35" t="str">
        <f>IFERROR(VLOOKUP(E462,'MASTER RECORD'!$B$5:$W$1000,3,0),"")</f>
        <v/>
      </c>
      <c r="I462" s="36" t="str">
        <f t="shared" si="22"/>
        <v/>
      </c>
      <c r="N462" s="36" t="str">
        <f t="shared" si="23"/>
        <v/>
      </c>
    </row>
    <row r="463" spans="1:14">
      <c r="A463" s="6">
        <f t="shared" si="21"/>
        <v>458</v>
      </c>
      <c r="C463" s="35" t="str">
        <f>IFERROR(VLOOKUP(B463,'MASTER RECORD'!$B$5:$W$1000,10,0) &amp;"."&amp;(VLOOKUP(B463,'MASTER RECORD'!$B$5:$W$1000,11,0)),"")</f>
        <v/>
      </c>
      <c r="D463" s="35" t="str">
        <f>IFERROR(VLOOKUP(B463,'MASTER RECORD'!$B$5:$W$1000,3,0),"")</f>
        <v/>
      </c>
      <c r="F463" s="35" t="str">
        <f>IFERROR(VLOOKUP(E463,'MASTER RECORD'!$B$5:$W$1000,10,0) &amp;"."&amp;(VLOOKUP(E463,'MASTER RECORD'!$B$5:$W$1000,11,0)),"")</f>
        <v/>
      </c>
      <c r="G463" s="35" t="str">
        <f>IFERROR(VLOOKUP(E463,'MASTER RECORD'!$B$5:$W$1000,3,0),"")</f>
        <v/>
      </c>
      <c r="I463" s="36" t="str">
        <f t="shared" si="22"/>
        <v/>
      </c>
      <c r="N463" s="36" t="str">
        <f t="shared" si="23"/>
        <v/>
      </c>
    </row>
    <row r="464" spans="1:14">
      <c r="A464" s="6">
        <f t="shared" si="21"/>
        <v>459</v>
      </c>
      <c r="C464" s="35" t="str">
        <f>IFERROR(VLOOKUP(B464,'MASTER RECORD'!$B$5:$W$1000,10,0) &amp;"."&amp;(VLOOKUP(B464,'MASTER RECORD'!$B$5:$W$1000,11,0)),"")</f>
        <v/>
      </c>
      <c r="D464" s="35" t="str">
        <f>IFERROR(VLOOKUP(B464,'MASTER RECORD'!$B$5:$W$1000,3,0),"")</f>
        <v/>
      </c>
      <c r="F464" s="35" t="str">
        <f>IFERROR(VLOOKUP(E464,'MASTER RECORD'!$B$5:$W$1000,10,0) &amp;"."&amp;(VLOOKUP(E464,'MASTER RECORD'!$B$5:$W$1000,11,0)),"")</f>
        <v/>
      </c>
      <c r="G464" s="35" t="str">
        <f>IFERROR(VLOOKUP(E464,'MASTER RECORD'!$B$5:$W$1000,3,0),"")</f>
        <v/>
      </c>
      <c r="I464" s="36" t="str">
        <f t="shared" si="22"/>
        <v/>
      </c>
      <c r="N464" s="36" t="str">
        <f t="shared" si="23"/>
        <v/>
      </c>
    </row>
    <row r="465" spans="1:14">
      <c r="A465" s="6">
        <f t="shared" si="21"/>
        <v>460</v>
      </c>
      <c r="C465" s="35" t="str">
        <f>IFERROR(VLOOKUP(B465,'MASTER RECORD'!$B$5:$W$1000,10,0) &amp;"."&amp;(VLOOKUP(B465,'MASTER RECORD'!$B$5:$W$1000,11,0)),"")</f>
        <v/>
      </c>
      <c r="D465" s="35" t="str">
        <f>IFERROR(VLOOKUP(B465,'MASTER RECORD'!$B$5:$W$1000,3,0),"")</f>
        <v/>
      </c>
      <c r="F465" s="35" t="str">
        <f>IFERROR(VLOOKUP(E465,'MASTER RECORD'!$B$5:$W$1000,10,0) &amp;"."&amp;(VLOOKUP(E465,'MASTER RECORD'!$B$5:$W$1000,11,0)),"")</f>
        <v/>
      </c>
      <c r="G465" s="35" t="str">
        <f>IFERROR(VLOOKUP(E465,'MASTER RECORD'!$B$5:$W$1000,3,0),"")</f>
        <v/>
      </c>
      <c r="I465" s="36" t="str">
        <f t="shared" si="22"/>
        <v/>
      </c>
      <c r="N465" s="36" t="str">
        <f t="shared" si="23"/>
        <v/>
      </c>
    </row>
    <row r="466" spans="1:14">
      <c r="A466" s="6">
        <f t="shared" si="21"/>
        <v>461</v>
      </c>
      <c r="C466" s="35" t="str">
        <f>IFERROR(VLOOKUP(B466,'MASTER RECORD'!$B$5:$W$1000,10,0) &amp;"."&amp;(VLOOKUP(B466,'MASTER RECORD'!$B$5:$W$1000,11,0)),"")</f>
        <v/>
      </c>
      <c r="D466" s="35" t="str">
        <f>IFERROR(VLOOKUP(B466,'MASTER RECORD'!$B$5:$W$1000,3,0),"")</f>
        <v/>
      </c>
      <c r="F466" s="35" t="str">
        <f>IFERROR(VLOOKUP(E466,'MASTER RECORD'!$B$5:$W$1000,10,0) &amp;"."&amp;(VLOOKUP(E466,'MASTER RECORD'!$B$5:$W$1000,11,0)),"")</f>
        <v/>
      </c>
      <c r="G466" s="35" t="str">
        <f>IFERROR(VLOOKUP(E466,'MASTER RECORD'!$B$5:$W$1000,3,0),"")</f>
        <v/>
      </c>
      <c r="I466" s="36" t="str">
        <f t="shared" si="22"/>
        <v/>
      </c>
      <c r="N466" s="36" t="str">
        <f t="shared" si="23"/>
        <v/>
      </c>
    </row>
    <row r="467" spans="1:14">
      <c r="A467" s="6">
        <f t="shared" si="21"/>
        <v>462</v>
      </c>
      <c r="C467" s="35" t="str">
        <f>IFERROR(VLOOKUP(B467,'MASTER RECORD'!$B$5:$W$1000,10,0) &amp;"."&amp;(VLOOKUP(B467,'MASTER RECORD'!$B$5:$W$1000,11,0)),"")</f>
        <v/>
      </c>
      <c r="D467" s="35" t="str">
        <f>IFERROR(VLOOKUP(B467,'MASTER RECORD'!$B$5:$W$1000,3,0),"")</f>
        <v/>
      </c>
      <c r="F467" s="35" t="str">
        <f>IFERROR(VLOOKUP(E467,'MASTER RECORD'!$B$5:$W$1000,10,0) &amp;"."&amp;(VLOOKUP(E467,'MASTER RECORD'!$B$5:$W$1000,11,0)),"")</f>
        <v/>
      </c>
      <c r="G467" s="35" t="str">
        <f>IFERROR(VLOOKUP(E467,'MASTER RECORD'!$B$5:$W$1000,3,0),"")</f>
        <v/>
      </c>
      <c r="I467" s="36" t="str">
        <f t="shared" si="22"/>
        <v/>
      </c>
      <c r="N467" s="36" t="str">
        <f t="shared" si="23"/>
        <v/>
      </c>
    </row>
    <row r="468" spans="1:14">
      <c r="A468" s="6">
        <f t="shared" si="21"/>
        <v>463</v>
      </c>
      <c r="C468" s="35" t="str">
        <f>IFERROR(VLOOKUP(B468,'MASTER RECORD'!$B$5:$W$1000,10,0) &amp;"."&amp;(VLOOKUP(B468,'MASTER RECORD'!$B$5:$W$1000,11,0)),"")</f>
        <v/>
      </c>
      <c r="D468" s="35" t="str">
        <f>IFERROR(VLOOKUP(B468,'MASTER RECORD'!$B$5:$W$1000,3,0),"")</f>
        <v/>
      </c>
      <c r="F468" s="35" t="str">
        <f>IFERROR(VLOOKUP(E468,'MASTER RECORD'!$B$5:$W$1000,10,0) &amp;"."&amp;(VLOOKUP(E468,'MASTER RECORD'!$B$5:$W$1000,11,0)),"")</f>
        <v/>
      </c>
      <c r="G468" s="35" t="str">
        <f>IFERROR(VLOOKUP(E468,'MASTER RECORD'!$B$5:$W$1000,3,0),"")</f>
        <v/>
      </c>
      <c r="I468" s="36" t="str">
        <f t="shared" si="22"/>
        <v/>
      </c>
      <c r="N468" s="36" t="str">
        <f t="shared" si="23"/>
        <v/>
      </c>
    </row>
    <row r="469" spans="1:14">
      <c r="A469" s="6">
        <f t="shared" si="21"/>
        <v>464</v>
      </c>
      <c r="C469" s="35" t="str">
        <f>IFERROR(VLOOKUP(B469,'MASTER RECORD'!$B$5:$W$1000,10,0) &amp;"."&amp;(VLOOKUP(B469,'MASTER RECORD'!$B$5:$W$1000,11,0)),"")</f>
        <v/>
      </c>
      <c r="D469" s="35" t="str">
        <f>IFERROR(VLOOKUP(B469,'MASTER RECORD'!$B$5:$W$1000,3,0),"")</f>
        <v/>
      </c>
      <c r="F469" s="35" t="str">
        <f>IFERROR(VLOOKUP(E469,'MASTER RECORD'!$B$5:$W$1000,10,0) &amp;"."&amp;(VLOOKUP(E469,'MASTER RECORD'!$B$5:$W$1000,11,0)),"")</f>
        <v/>
      </c>
      <c r="G469" s="35" t="str">
        <f>IFERROR(VLOOKUP(E469,'MASTER RECORD'!$B$5:$W$1000,3,0),"")</f>
        <v/>
      </c>
      <c r="I469" s="36" t="str">
        <f t="shared" si="22"/>
        <v/>
      </c>
      <c r="N469" s="36" t="str">
        <f t="shared" si="23"/>
        <v/>
      </c>
    </row>
    <row r="470" spans="1:14">
      <c r="A470" s="6">
        <f t="shared" si="21"/>
        <v>465</v>
      </c>
      <c r="C470" s="35" t="str">
        <f>IFERROR(VLOOKUP(B470,'MASTER RECORD'!$B$5:$W$1000,10,0) &amp;"."&amp;(VLOOKUP(B470,'MASTER RECORD'!$B$5:$W$1000,11,0)),"")</f>
        <v/>
      </c>
      <c r="D470" s="35" t="str">
        <f>IFERROR(VLOOKUP(B470,'MASTER RECORD'!$B$5:$W$1000,3,0),"")</f>
        <v/>
      </c>
      <c r="F470" s="35" t="str">
        <f>IFERROR(VLOOKUP(E470,'MASTER RECORD'!$B$5:$W$1000,10,0) &amp;"."&amp;(VLOOKUP(E470,'MASTER RECORD'!$B$5:$W$1000,11,0)),"")</f>
        <v/>
      </c>
      <c r="G470" s="35" t="str">
        <f>IFERROR(VLOOKUP(E470,'MASTER RECORD'!$B$5:$W$1000,3,0),"")</f>
        <v/>
      </c>
      <c r="I470" s="36" t="str">
        <f t="shared" si="22"/>
        <v/>
      </c>
      <c r="N470" s="36" t="str">
        <f t="shared" si="23"/>
        <v/>
      </c>
    </row>
    <row r="471" spans="1:14">
      <c r="A471" s="6">
        <f t="shared" si="21"/>
        <v>466</v>
      </c>
      <c r="C471" s="35" t="str">
        <f>IFERROR(VLOOKUP(B471,'MASTER RECORD'!$B$5:$W$1000,10,0) &amp;"."&amp;(VLOOKUP(B471,'MASTER RECORD'!$B$5:$W$1000,11,0)),"")</f>
        <v/>
      </c>
      <c r="D471" s="35" t="str">
        <f>IFERROR(VLOOKUP(B471,'MASTER RECORD'!$B$5:$W$1000,3,0),"")</f>
        <v/>
      </c>
      <c r="F471" s="35" t="str">
        <f>IFERROR(VLOOKUP(E471,'MASTER RECORD'!$B$5:$W$1000,10,0) &amp;"."&amp;(VLOOKUP(E471,'MASTER RECORD'!$B$5:$W$1000,11,0)),"")</f>
        <v/>
      </c>
      <c r="G471" s="35" t="str">
        <f>IFERROR(VLOOKUP(E471,'MASTER RECORD'!$B$5:$W$1000,3,0),"")</f>
        <v/>
      </c>
      <c r="I471" s="36" t="str">
        <f t="shared" si="22"/>
        <v/>
      </c>
      <c r="N471" s="36" t="str">
        <f t="shared" si="23"/>
        <v/>
      </c>
    </row>
    <row r="472" spans="1:14">
      <c r="A472" s="6">
        <f t="shared" si="21"/>
        <v>467</v>
      </c>
      <c r="C472" s="35" t="str">
        <f>IFERROR(VLOOKUP(B472,'MASTER RECORD'!$B$5:$W$1000,10,0) &amp;"."&amp;(VLOOKUP(B472,'MASTER RECORD'!$B$5:$W$1000,11,0)),"")</f>
        <v/>
      </c>
      <c r="D472" s="35" t="str">
        <f>IFERROR(VLOOKUP(B472,'MASTER RECORD'!$B$5:$W$1000,3,0),"")</f>
        <v/>
      </c>
      <c r="F472" s="35" t="str">
        <f>IFERROR(VLOOKUP(E472,'MASTER RECORD'!$B$5:$W$1000,10,0) &amp;"."&amp;(VLOOKUP(E472,'MASTER RECORD'!$B$5:$W$1000,11,0)),"")</f>
        <v/>
      </c>
      <c r="G472" s="35" t="str">
        <f>IFERROR(VLOOKUP(E472,'MASTER RECORD'!$B$5:$W$1000,3,0),"")</f>
        <v/>
      </c>
      <c r="I472" s="36" t="str">
        <f t="shared" si="22"/>
        <v/>
      </c>
      <c r="N472" s="36" t="str">
        <f t="shared" si="23"/>
        <v/>
      </c>
    </row>
    <row r="473" spans="1:14">
      <c r="A473" s="6">
        <f t="shared" si="21"/>
        <v>468</v>
      </c>
      <c r="C473" s="35" t="str">
        <f>IFERROR(VLOOKUP(B473,'MASTER RECORD'!$B$5:$W$1000,10,0) &amp;"."&amp;(VLOOKUP(B473,'MASTER RECORD'!$B$5:$W$1000,11,0)),"")</f>
        <v/>
      </c>
      <c r="D473" s="35" t="str">
        <f>IFERROR(VLOOKUP(B473,'MASTER RECORD'!$B$5:$W$1000,3,0),"")</f>
        <v/>
      </c>
      <c r="F473" s="35" t="str">
        <f>IFERROR(VLOOKUP(E473,'MASTER RECORD'!$B$5:$W$1000,10,0) &amp;"."&amp;(VLOOKUP(E473,'MASTER RECORD'!$B$5:$W$1000,11,0)),"")</f>
        <v/>
      </c>
      <c r="G473" s="35" t="str">
        <f>IFERROR(VLOOKUP(E473,'MASTER RECORD'!$B$5:$W$1000,3,0),"")</f>
        <v/>
      </c>
      <c r="I473" s="36" t="str">
        <f t="shared" si="22"/>
        <v/>
      </c>
      <c r="N473" s="36" t="str">
        <f t="shared" si="23"/>
        <v/>
      </c>
    </row>
    <row r="474" spans="1:14">
      <c r="A474" s="6">
        <f t="shared" si="21"/>
        <v>469</v>
      </c>
      <c r="C474" s="35" t="str">
        <f>IFERROR(VLOOKUP(B474,'MASTER RECORD'!$B$5:$W$1000,10,0) &amp;"."&amp;(VLOOKUP(B474,'MASTER RECORD'!$B$5:$W$1000,11,0)),"")</f>
        <v/>
      </c>
      <c r="D474" s="35" t="str">
        <f>IFERROR(VLOOKUP(B474,'MASTER RECORD'!$B$5:$W$1000,3,0),"")</f>
        <v/>
      </c>
      <c r="F474" s="35" t="str">
        <f>IFERROR(VLOOKUP(E474,'MASTER RECORD'!$B$5:$W$1000,10,0) &amp;"."&amp;(VLOOKUP(E474,'MASTER RECORD'!$B$5:$W$1000,11,0)),"")</f>
        <v/>
      </c>
      <c r="G474" s="35" t="str">
        <f>IFERROR(VLOOKUP(E474,'MASTER RECORD'!$B$5:$W$1000,3,0),"")</f>
        <v/>
      </c>
      <c r="I474" s="36" t="str">
        <f t="shared" si="22"/>
        <v/>
      </c>
      <c r="N474" s="36" t="str">
        <f t="shared" si="23"/>
        <v/>
      </c>
    </row>
    <row r="475" spans="1:14">
      <c r="A475" s="6">
        <f t="shared" si="21"/>
        <v>470</v>
      </c>
      <c r="C475" s="35" t="str">
        <f>IFERROR(VLOOKUP(B475,'MASTER RECORD'!$B$5:$W$1000,10,0) &amp;"."&amp;(VLOOKUP(B475,'MASTER RECORD'!$B$5:$W$1000,11,0)),"")</f>
        <v/>
      </c>
      <c r="D475" s="35" t="str">
        <f>IFERROR(VLOOKUP(B475,'MASTER RECORD'!$B$5:$W$1000,3,0),"")</f>
        <v/>
      </c>
      <c r="F475" s="35" t="str">
        <f>IFERROR(VLOOKUP(E475,'MASTER RECORD'!$B$5:$W$1000,10,0) &amp;"."&amp;(VLOOKUP(E475,'MASTER RECORD'!$B$5:$W$1000,11,0)),"")</f>
        <v/>
      </c>
      <c r="G475" s="35" t="str">
        <f>IFERROR(VLOOKUP(E475,'MASTER RECORD'!$B$5:$W$1000,3,0),"")</f>
        <v/>
      </c>
      <c r="I475" s="36" t="str">
        <f t="shared" si="22"/>
        <v/>
      </c>
      <c r="N475" s="36" t="str">
        <f t="shared" si="23"/>
        <v/>
      </c>
    </row>
    <row r="476" spans="1:14">
      <c r="A476" s="6">
        <f t="shared" si="21"/>
        <v>471</v>
      </c>
      <c r="C476" s="35" t="str">
        <f>IFERROR(VLOOKUP(B476,'MASTER RECORD'!$B$5:$W$1000,10,0) &amp;"."&amp;(VLOOKUP(B476,'MASTER RECORD'!$B$5:$W$1000,11,0)),"")</f>
        <v/>
      </c>
      <c r="D476" s="35" t="str">
        <f>IFERROR(VLOOKUP(B476,'MASTER RECORD'!$B$5:$W$1000,3,0),"")</f>
        <v/>
      </c>
      <c r="F476" s="35" t="str">
        <f>IFERROR(VLOOKUP(E476,'MASTER RECORD'!$B$5:$W$1000,10,0) &amp;"."&amp;(VLOOKUP(E476,'MASTER RECORD'!$B$5:$W$1000,11,0)),"")</f>
        <v/>
      </c>
      <c r="G476" s="35" t="str">
        <f>IFERROR(VLOOKUP(E476,'MASTER RECORD'!$B$5:$W$1000,3,0),"")</f>
        <v/>
      </c>
      <c r="I476" s="36" t="str">
        <f t="shared" si="22"/>
        <v/>
      </c>
      <c r="N476" s="36" t="str">
        <f t="shared" si="23"/>
        <v/>
      </c>
    </row>
    <row r="477" spans="1:14">
      <c r="A477" s="6">
        <f t="shared" si="21"/>
        <v>472</v>
      </c>
      <c r="C477" s="35" t="str">
        <f>IFERROR(VLOOKUP(B477,'MASTER RECORD'!$B$5:$W$1000,10,0) &amp;"."&amp;(VLOOKUP(B477,'MASTER RECORD'!$B$5:$W$1000,11,0)),"")</f>
        <v/>
      </c>
      <c r="D477" s="35" t="str">
        <f>IFERROR(VLOOKUP(B477,'MASTER RECORD'!$B$5:$W$1000,3,0),"")</f>
        <v/>
      </c>
      <c r="F477" s="35" t="str">
        <f>IFERROR(VLOOKUP(E477,'MASTER RECORD'!$B$5:$W$1000,10,0) &amp;"."&amp;(VLOOKUP(E477,'MASTER RECORD'!$B$5:$W$1000,11,0)),"")</f>
        <v/>
      </c>
      <c r="G477" s="35" t="str">
        <f>IFERROR(VLOOKUP(E477,'MASTER RECORD'!$B$5:$W$1000,3,0),"")</f>
        <v/>
      </c>
      <c r="I477" s="36" t="str">
        <f t="shared" si="22"/>
        <v/>
      </c>
      <c r="N477" s="36" t="str">
        <f t="shared" si="23"/>
        <v/>
      </c>
    </row>
    <row r="478" spans="1:14">
      <c r="A478" s="6">
        <f t="shared" si="21"/>
        <v>473</v>
      </c>
      <c r="C478" s="35" t="str">
        <f>IFERROR(VLOOKUP(B478,'MASTER RECORD'!$B$5:$W$1000,10,0) &amp;"."&amp;(VLOOKUP(B478,'MASTER RECORD'!$B$5:$W$1000,11,0)),"")</f>
        <v/>
      </c>
      <c r="D478" s="35" t="str">
        <f>IFERROR(VLOOKUP(B478,'MASTER RECORD'!$B$5:$W$1000,3,0),"")</f>
        <v/>
      </c>
      <c r="F478" s="35" t="str">
        <f>IFERROR(VLOOKUP(E478,'MASTER RECORD'!$B$5:$W$1000,10,0) &amp;"."&amp;(VLOOKUP(E478,'MASTER RECORD'!$B$5:$W$1000,11,0)),"")</f>
        <v/>
      </c>
      <c r="G478" s="35" t="str">
        <f>IFERROR(VLOOKUP(E478,'MASTER RECORD'!$B$5:$W$1000,3,0),"")</f>
        <v/>
      </c>
      <c r="I478" s="36" t="str">
        <f t="shared" si="22"/>
        <v/>
      </c>
      <c r="N478" s="36" t="str">
        <f t="shared" si="23"/>
        <v/>
      </c>
    </row>
    <row r="479" spans="1:14">
      <c r="A479" s="6">
        <f t="shared" si="21"/>
        <v>474</v>
      </c>
      <c r="C479" s="35" t="str">
        <f>IFERROR(VLOOKUP(B479,'MASTER RECORD'!$B$5:$W$1000,10,0) &amp;"."&amp;(VLOOKUP(B479,'MASTER RECORD'!$B$5:$W$1000,11,0)),"")</f>
        <v/>
      </c>
      <c r="D479" s="35" t="str">
        <f>IFERROR(VLOOKUP(B479,'MASTER RECORD'!$B$5:$W$1000,3,0),"")</f>
        <v/>
      </c>
      <c r="F479" s="35" t="str">
        <f>IFERROR(VLOOKUP(E479,'MASTER RECORD'!$B$5:$W$1000,10,0) &amp;"."&amp;(VLOOKUP(E479,'MASTER RECORD'!$B$5:$W$1000,11,0)),"")</f>
        <v/>
      </c>
      <c r="G479" s="35" t="str">
        <f>IFERROR(VLOOKUP(E479,'MASTER RECORD'!$B$5:$W$1000,3,0),"")</f>
        <v/>
      </c>
      <c r="I479" s="36" t="str">
        <f t="shared" si="22"/>
        <v/>
      </c>
      <c r="N479" s="36" t="str">
        <f t="shared" si="23"/>
        <v/>
      </c>
    </row>
    <row r="480" spans="1:14">
      <c r="A480" s="6">
        <f t="shared" si="21"/>
        <v>475</v>
      </c>
      <c r="C480" s="35" t="str">
        <f>IFERROR(VLOOKUP(B480,'MASTER RECORD'!$B$5:$W$1000,10,0) &amp;"."&amp;(VLOOKUP(B480,'MASTER RECORD'!$B$5:$W$1000,11,0)),"")</f>
        <v/>
      </c>
      <c r="D480" s="35" t="str">
        <f>IFERROR(VLOOKUP(B480,'MASTER RECORD'!$B$5:$W$1000,3,0),"")</f>
        <v/>
      </c>
      <c r="F480" s="35" t="str">
        <f>IFERROR(VLOOKUP(E480,'MASTER RECORD'!$B$5:$W$1000,10,0) &amp;"."&amp;(VLOOKUP(E480,'MASTER RECORD'!$B$5:$W$1000,11,0)),"")</f>
        <v/>
      </c>
      <c r="G480" s="35" t="str">
        <f>IFERROR(VLOOKUP(E480,'MASTER RECORD'!$B$5:$W$1000,3,0),"")</f>
        <v/>
      </c>
      <c r="I480" s="36" t="str">
        <f t="shared" si="22"/>
        <v/>
      </c>
      <c r="N480" s="36" t="str">
        <f t="shared" si="23"/>
        <v/>
      </c>
    </row>
    <row r="481" spans="1:14">
      <c r="A481" s="6">
        <f t="shared" si="21"/>
        <v>476</v>
      </c>
      <c r="C481" s="35" t="str">
        <f>IFERROR(VLOOKUP(B481,'MASTER RECORD'!$B$5:$W$1000,10,0) &amp;"."&amp;(VLOOKUP(B481,'MASTER RECORD'!$B$5:$W$1000,11,0)),"")</f>
        <v/>
      </c>
      <c r="D481" s="35" t="str">
        <f>IFERROR(VLOOKUP(B481,'MASTER RECORD'!$B$5:$W$1000,3,0),"")</f>
        <v/>
      </c>
      <c r="F481" s="35" t="str">
        <f>IFERROR(VLOOKUP(E481,'MASTER RECORD'!$B$5:$W$1000,10,0) &amp;"."&amp;(VLOOKUP(E481,'MASTER RECORD'!$B$5:$W$1000,11,0)),"")</f>
        <v/>
      </c>
      <c r="G481" s="35" t="str">
        <f>IFERROR(VLOOKUP(E481,'MASTER RECORD'!$B$5:$W$1000,3,0),"")</f>
        <v/>
      </c>
      <c r="I481" s="36" t="str">
        <f t="shared" si="22"/>
        <v/>
      </c>
      <c r="N481" s="36" t="str">
        <f t="shared" si="23"/>
        <v/>
      </c>
    </row>
    <row r="482" spans="1:14">
      <c r="A482" s="6">
        <f t="shared" si="21"/>
        <v>477</v>
      </c>
      <c r="C482" s="35" t="str">
        <f>IFERROR(VLOOKUP(B482,'MASTER RECORD'!$B$5:$W$1000,10,0) &amp;"."&amp;(VLOOKUP(B482,'MASTER RECORD'!$B$5:$W$1000,11,0)),"")</f>
        <v/>
      </c>
      <c r="D482" s="35" t="str">
        <f>IFERROR(VLOOKUP(B482,'MASTER RECORD'!$B$5:$W$1000,3,0),"")</f>
        <v/>
      </c>
      <c r="F482" s="35" t="str">
        <f>IFERROR(VLOOKUP(E482,'MASTER RECORD'!$B$5:$W$1000,10,0) &amp;"."&amp;(VLOOKUP(E482,'MASTER RECORD'!$B$5:$W$1000,11,0)),"")</f>
        <v/>
      </c>
      <c r="G482" s="35" t="str">
        <f>IFERROR(VLOOKUP(E482,'MASTER RECORD'!$B$5:$W$1000,3,0),"")</f>
        <v/>
      </c>
      <c r="I482" s="36" t="str">
        <f t="shared" si="22"/>
        <v/>
      </c>
      <c r="N482" s="36" t="str">
        <f t="shared" si="23"/>
        <v/>
      </c>
    </row>
    <row r="483" spans="1:14">
      <c r="A483" s="6">
        <f t="shared" si="21"/>
        <v>478</v>
      </c>
      <c r="C483" s="35" t="str">
        <f>IFERROR(VLOOKUP(B483,'MASTER RECORD'!$B$5:$W$1000,10,0) &amp;"."&amp;(VLOOKUP(B483,'MASTER RECORD'!$B$5:$W$1000,11,0)),"")</f>
        <v/>
      </c>
      <c r="D483" s="35" t="str">
        <f>IFERROR(VLOOKUP(B483,'MASTER RECORD'!$B$5:$W$1000,3,0),"")</f>
        <v/>
      </c>
      <c r="F483" s="35" t="str">
        <f>IFERROR(VLOOKUP(E483,'MASTER RECORD'!$B$5:$W$1000,10,0) &amp;"."&amp;(VLOOKUP(E483,'MASTER RECORD'!$B$5:$W$1000,11,0)),"")</f>
        <v/>
      </c>
      <c r="G483" s="35" t="str">
        <f>IFERROR(VLOOKUP(E483,'MASTER RECORD'!$B$5:$W$1000,3,0),"")</f>
        <v/>
      </c>
      <c r="I483" s="36" t="str">
        <f t="shared" si="22"/>
        <v/>
      </c>
      <c r="N483" s="36" t="str">
        <f t="shared" si="23"/>
        <v/>
      </c>
    </row>
    <row r="484" spans="1:14">
      <c r="A484" s="6">
        <f t="shared" si="21"/>
        <v>479</v>
      </c>
      <c r="C484" s="35" t="str">
        <f>IFERROR(VLOOKUP(B484,'MASTER RECORD'!$B$5:$W$1000,10,0) &amp;"."&amp;(VLOOKUP(B484,'MASTER RECORD'!$B$5:$W$1000,11,0)),"")</f>
        <v/>
      </c>
      <c r="D484" s="35" t="str">
        <f>IFERROR(VLOOKUP(B484,'MASTER RECORD'!$B$5:$W$1000,3,0),"")</f>
        <v/>
      </c>
      <c r="F484" s="35" t="str">
        <f>IFERROR(VLOOKUP(E484,'MASTER RECORD'!$B$5:$W$1000,10,0) &amp;"."&amp;(VLOOKUP(E484,'MASTER RECORD'!$B$5:$W$1000,11,0)),"")</f>
        <v/>
      </c>
      <c r="G484" s="35" t="str">
        <f>IFERROR(VLOOKUP(E484,'MASTER RECORD'!$B$5:$W$1000,3,0),"")</f>
        <v/>
      </c>
      <c r="I484" s="36" t="str">
        <f t="shared" si="22"/>
        <v/>
      </c>
      <c r="N484" s="36" t="str">
        <f t="shared" si="23"/>
        <v/>
      </c>
    </row>
    <row r="485" spans="1:14">
      <c r="A485" s="6">
        <f t="shared" si="21"/>
        <v>480</v>
      </c>
      <c r="C485" s="35" t="str">
        <f>IFERROR(VLOOKUP(B485,'MASTER RECORD'!$B$5:$W$1000,10,0) &amp;"."&amp;(VLOOKUP(B485,'MASTER RECORD'!$B$5:$W$1000,11,0)),"")</f>
        <v/>
      </c>
      <c r="D485" s="35" t="str">
        <f>IFERROR(VLOOKUP(B485,'MASTER RECORD'!$B$5:$W$1000,3,0),"")</f>
        <v/>
      </c>
      <c r="F485" s="35" t="str">
        <f>IFERROR(VLOOKUP(E485,'MASTER RECORD'!$B$5:$W$1000,10,0) &amp;"."&amp;(VLOOKUP(E485,'MASTER RECORD'!$B$5:$W$1000,11,0)),"")</f>
        <v/>
      </c>
      <c r="G485" s="35" t="str">
        <f>IFERROR(VLOOKUP(E485,'MASTER RECORD'!$B$5:$W$1000,3,0),"")</f>
        <v/>
      </c>
      <c r="I485" s="36" t="str">
        <f t="shared" si="22"/>
        <v/>
      </c>
      <c r="N485" s="36" t="str">
        <f t="shared" si="23"/>
        <v/>
      </c>
    </row>
    <row r="486" spans="1:14">
      <c r="A486" s="6">
        <f t="shared" si="21"/>
        <v>481</v>
      </c>
      <c r="C486" s="35" t="str">
        <f>IFERROR(VLOOKUP(B486,'MASTER RECORD'!$B$5:$W$1000,10,0) &amp;"."&amp;(VLOOKUP(B486,'MASTER RECORD'!$B$5:$W$1000,11,0)),"")</f>
        <v/>
      </c>
      <c r="D486" s="35" t="str">
        <f>IFERROR(VLOOKUP(B486,'MASTER RECORD'!$B$5:$W$1000,3,0),"")</f>
        <v/>
      </c>
      <c r="F486" s="35" t="str">
        <f>IFERROR(VLOOKUP(E486,'MASTER RECORD'!$B$5:$W$1000,10,0) &amp;"."&amp;(VLOOKUP(E486,'MASTER RECORD'!$B$5:$W$1000,11,0)),"")</f>
        <v/>
      </c>
      <c r="G486" s="35" t="str">
        <f>IFERROR(VLOOKUP(E486,'MASTER RECORD'!$B$5:$W$1000,3,0),"")</f>
        <v/>
      </c>
      <c r="I486" s="36" t="str">
        <f t="shared" si="22"/>
        <v/>
      </c>
      <c r="N486" s="36" t="str">
        <f t="shared" si="23"/>
        <v/>
      </c>
    </row>
    <row r="487" spans="1:14">
      <c r="A487" s="6">
        <f t="shared" si="21"/>
        <v>482</v>
      </c>
      <c r="C487" s="35" t="str">
        <f>IFERROR(VLOOKUP(B487,'MASTER RECORD'!$B$5:$W$1000,10,0) &amp;"."&amp;(VLOOKUP(B487,'MASTER RECORD'!$B$5:$W$1000,11,0)),"")</f>
        <v/>
      </c>
      <c r="D487" s="35" t="str">
        <f>IFERROR(VLOOKUP(B487,'MASTER RECORD'!$B$5:$W$1000,3,0),"")</f>
        <v/>
      </c>
      <c r="F487" s="35" t="str">
        <f>IFERROR(VLOOKUP(E487,'MASTER RECORD'!$B$5:$W$1000,10,0) &amp;"."&amp;(VLOOKUP(E487,'MASTER RECORD'!$B$5:$W$1000,11,0)),"")</f>
        <v/>
      </c>
      <c r="G487" s="35" t="str">
        <f>IFERROR(VLOOKUP(E487,'MASTER RECORD'!$B$5:$W$1000,3,0),"")</f>
        <v/>
      </c>
      <c r="I487" s="36" t="str">
        <f t="shared" si="22"/>
        <v/>
      </c>
      <c r="N487" s="36" t="str">
        <f t="shared" si="23"/>
        <v/>
      </c>
    </row>
    <row r="488" spans="1:14">
      <c r="A488" s="6">
        <f t="shared" si="21"/>
        <v>483</v>
      </c>
      <c r="C488" s="35" t="str">
        <f>IFERROR(VLOOKUP(B488,'MASTER RECORD'!$B$5:$W$1000,10,0) &amp;"."&amp;(VLOOKUP(B488,'MASTER RECORD'!$B$5:$W$1000,11,0)),"")</f>
        <v/>
      </c>
      <c r="D488" s="35" t="str">
        <f>IFERROR(VLOOKUP(B488,'MASTER RECORD'!$B$5:$W$1000,3,0),"")</f>
        <v/>
      </c>
      <c r="F488" s="35" t="str">
        <f>IFERROR(VLOOKUP(E488,'MASTER RECORD'!$B$5:$W$1000,10,0) &amp;"."&amp;(VLOOKUP(E488,'MASTER RECORD'!$B$5:$W$1000,11,0)),"")</f>
        <v/>
      </c>
      <c r="G488" s="35" t="str">
        <f>IFERROR(VLOOKUP(E488,'MASTER RECORD'!$B$5:$W$1000,3,0),"")</f>
        <v/>
      </c>
      <c r="I488" s="36" t="str">
        <f t="shared" si="22"/>
        <v/>
      </c>
      <c r="N488" s="36" t="str">
        <f t="shared" si="23"/>
        <v/>
      </c>
    </row>
    <row r="489" spans="1:14">
      <c r="A489" s="6">
        <f t="shared" si="21"/>
        <v>484</v>
      </c>
      <c r="C489" s="35" t="str">
        <f>IFERROR(VLOOKUP(B489,'MASTER RECORD'!$B$5:$W$1000,10,0) &amp;"."&amp;(VLOOKUP(B489,'MASTER RECORD'!$B$5:$W$1000,11,0)),"")</f>
        <v/>
      </c>
      <c r="D489" s="35" t="str">
        <f>IFERROR(VLOOKUP(B489,'MASTER RECORD'!$B$5:$W$1000,3,0),"")</f>
        <v/>
      </c>
      <c r="F489" s="35" t="str">
        <f>IFERROR(VLOOKUP(E489,'MASTER RECORD'!$B$5:$W$1000,10,0) &amp;"."&amp;(VLOOKUP(E489,'MASTER RECORD'!$B$5:$W$1000,11,0)),"")</f>
        <v/>
      </c>
      <c r="G489" s="35" t="str">
        <f>IFERROR(VLOOKUP(E489,'MASTER RECORD'!$B$5:$W$1000,3,0),"")</f>
        <v/>
      </c>
      <c r="I489" s="36" t="str">
        <f t="shared" si="22"/>
        <v/>
      </c>
      <c r="N489" s="36" t="str">
        <f t="shared" si="23"/>
        <v/>
      </c>
    </row>
    <row r="490" spans="1:14">
      <c r="A490" s="6">
        <f t="shared" ref="A490:A504" si="24">ROW(A485)</f>
        <v>485</v>
      </c>
      <c r="C490" s="35" t="str">
        <f>IFERROR(VLOOKUP(B490,'MASTER RECORD'!$B$5:$W$1000,10,0) &amp;"."&amp;(VLOOKUP(B490,'MASTER RECORD'!$B$5:$W$1000,11,0)),"")</f>
        <v/>
      </c>
      <c r="D490" s="35" t="str">
        <f>IFERROR(VLOOKUP(B490,'MASTER RECORD'!$B$5:$W$1000,3,0),"")</f>
        <v/>
      </c>
      <c r="F490" s="35" t="str">
        <f>IFERROR(VLOOKUP(E490,'MASTER RECORD'!$B$5:$W$1000,10,0) &amp;"."&amp;(VLOOKUP(E490,'MASTER RECORD'!$B$5:$W$1000,11,0)),"")</f>
        <v/>
      </c>
      <c r="G490" s="35" t="str">
        <f>IFERROR(VLOOKUP(E490,'MASTER RECORD'!$B$5:$W$1000,3,0),"")</f>
        <v/>
      </c>
      <c r="I490" s="36" t="str">
        <f t="shared" si="22"/>
        <v/>
      </c>
      <c r="N490" s="36" t="str">
        <f t="shared" si="23"/>
        <v/>
      </c>
    </row>
    <row r="491" spans="1:14">
      <c r="A491" s="6">
        <f t="shared" si="24"/>
        <v>486</v>
      </c>
      <c r="C491" s="35" t="str">
        <f>IFERROR(VLOOKUP(B491,'MASTER RECORD'!$B$5:$W$1000,10,0) &amp;"."&amp;(VLOOKUP(B491,'MASTER RECORD'!$B$5:$W$1000,11,0)),"")</f>
        <v/>
      </c>
      <c r="D491" s="35" t="str">
        <f>IFERROR(VLOOKUP(B491,'MASTER RECORD'!$B$5:$W$1000,3,0),"")</f>
        <v/>
      </c>
      <c r="F491" s="35" t="str">
        <f>IFERROR(VLOOKUP(E491,'MASTER RECORD'!$B$5:$W$1000,10,0) &amp;"."&amp;(VLOOKUP(E491,'MASTER RECORD'!$B$5:$W$1000,11,0)),"")</f>
        <v/>
      </c>
      <c r="G491" s="35" t="str">
        <f>IFERROR(VLOOKUP(E491,'MASTER RECORD'!$B$5:$W$1000,3,0),"")</f>
        <v/>
      </c>
      <c r="I491" s="36" t="str">
        <f t="shared" si="22"/>
        <v/>
      </c>
      <c r="N491" s="36" t="str">
        <f t="shared" si="23"/>
        <v/>
      </c>
    </row>
    <row r="492" spans="1:14">
      <c r="A492" s="6">
        <f t="shared" si="24"/>
        <v>487</v>
      </c>
      <c r="C492" s="35" t="str">
        <f>IFERROR(VLOOKUP(B492,'MASTER RECORD'!$B$5:$W$1000,10,0) &amp;"."&amp;(VLOOKUP(B492,'MASTER RECORD'!$B$5:$W$1000,11,0)),"")</f>
        <v/>
      </c>
      <c r="D492" s="35" t="str">
        <f>IFERROR(VLOOKUP(B492,'MASTER RECORD'!$B$5:$W$1000,3,0),"")</f>
        <v/>
      </c>
      <c r="F492" s="35" t="str">
        <f>IFERROR(VLOOKUP(E492,'MASTER RECORD'!$B$5:$W$1000,10,0) &amp;"."&amp;(VLOOKUP(E492,'MASTER RECORD'!$B$5:$W$1000,11,0)),"")</f>
        <v/>
      </c>
      <c r="G492" s="35" t="str">
        <f>IFERROR(VLOOKUP(E492,'MASTER RECORD'!$B$5:$W$1000,3,0),"")</f>
        <v/>
      </c>
      <c r="I492" s="36" t="str">
        <f t="shared" si="22"/>
        <v/>
      </c>
      <c r="N492" s="36" t="str">
        <f t="shared" si="23"/>
        <v/>
      </c>
    </row>
    <row r="493" spans="1:14">
      <c r="A493" s="6">
        <f t="shared" si="24"/>
        <v>488</v>
      </c>
      <c r="C493" s="35" t="str">
        <f>IFERROR(VLOOKUP(B493,'MASTER RECORD'!$B$5:$W$1000,10,0) &amp;"."&amp;(VLOOKUP(B493,'MASTER RECORD'!$B$5:$W$1000,11,0)),"")</f>
        <v/>
      </c>
      <c r="D493" s="35" t="str">
        <f>IFERROR(VLOOKUP(B493,'MASTER RECORD'!$B$5:$W$1000,3,0),"")</f>
        <v/>
      </c>
      <c r="F493" s="35" t="str">
        <f>IFERROR(VLOOKUP(E493,'MASTER RECORD'!$B$5:$W$1000,10,0) &amp;"."&amp;(VLOOKUP(E493,'MASTER RECORD'!$B$5:$W$1000,11,0)),"")</f>
        <v/>
      </c>
      <c r="G493" s="35" t="str">
        <f>IFERROR(VLOOKUP(E493,'MASTER RECORD'!$B$5:$W$1000,3,0),"")</f>
        <v/>
      </c>
      <c r="I493" s="36" t="str">
        <f t="shared" si="22"/>
        <v/>
      </c>
      <c r="N493" s="36" t="str">
        <f t="shared" si="23"/>
        <v/>
      </c>
    </row>
    <row r="494" spans="1:14">
      <c r="A494" s="6">
        <f t="shared" si="24"/>
        <v>489</v>
      </c>
      <c r="C494" s="35" t="str">
        <f>IFERROR(VLOOKUP(B494,'MASTER RECORD'!$B$5:$W$1000,10,0) &amp;"."&amp;(VLOOKUP(B494,'MASTER RECORD'!$B$5:$W$1000,11,0)),"")</f>
        <v/>
      </c>
      <c r="D494" s="35" t="str">
        <f>IFERROR(VLOOKUP(B494,'MASTER RECORD'!$B$5:$W$1000,3,0),"")</f>
        <v/>
      </c>
      <c r="F494" s="35" t="str">
        <f>IFERROR(VLOOKUP(E494,'MASTER RECORD'!$B$5:$W$1000,10,0) &amp;"."&amp;(VLOOKUP(E494,'MASTER RECORD'!$B$5:$W$1000,11,0)),"")</f>
        <v/>
      </c>
      <c r="G494" s="35" t="str">
        <f>IFERROR(VLOOKUP(E494,'MASTER RECORD'!$B$5:$W$1000,3,0),"")</f>
        <v/>
      </c>
      <c r="I494" s="36" t="str">
        <f t="shared" si="22"/>
        <v/>
      </c>
      <c r="N494" s="36" t="str">
        <f t="shared" si="23"/>
        <v/>
      </c>
    </row>
    <row r="495" spans="1:14">
      <c r="A495" s="6">
        <f t="shared" si="24"/>
        <v>490</v>
      </c>
      <c r="C495" s="35" t="str">
        <f>IFERROR(VLOOKUP(B495,'MASTER RECORD'!$B$5:$W$1000,10,0) &amp;"."&amp;(VLOOKUP(B495,'MASTER RECORD'!$B$5:$W$1000,11,0)),"")</f>
        <v/>
      </c>
      <c r="D495" s="35" t="str">
        <f>IFERROR(VLOOKUP(B495,'MASTER RECORD'!$B$5:$W$1000,3,0),"")</f>
        <v/>
      </c>
      <c r="F495" s="35" t="str">
        <f>IFERROR(VLOOKUP(E495,'MASTER RECORD'!$B$5:$W$1000,10,0) &amp;"."&amp;(VLOOKUP(E495,'MASTER RECORD'!$B$5:$W$1000,11,0)),"")</f>
        <v/>
      </c>
      <c r="G495" s="35" t="str">
        <f>IFERROR(VLOOKUP(E495,'MASTER RECORD'!$B$5:$W$1000,3,0),"")</f>
        <v/>
      </c>
      <c r="I495" s="36" t="str">
        <f t="shared" si="22"/>
        <v/>
      </c>
      <c r="N495" s="36" t="str">
        <f t="shared" si="23"/>
        <v/>
      </c>
    </row>
    <row r="496" spans="1:14">
      <c r="A496" s="6">
        <f t="shared" si="24"/>
        <v>491</v>
      </c>
      <c r="C496" s="35" t="str">
        <f>IFERROR(VLOOKUP(B496,'MASTER RECORD'!$B$5:$W$1000,10,0) &amp;"."&amp;(VLOOKUP(B496,'MASTER RECORD'!$B$5:$W$1000,11,0)),"")</f>
        <v/>
      </c>
      <c r="D496" s="35" t="str">
        <f>IFERROR(VLOOKUP(B496,'MASTER RECORD'!$B$5:$W$1000,3,0),"")</f>
        <v/>
      </c>
      <c r="F496" s="35" t="str">
        <f>IFERROR(VLOOKUP(E496,'MASTER RECORD'!$B$5:$W$1000,10,0) &amp;"."&amp;(VLOOKUP(E496,'MASTER RECORD'!$B$5:$W$1000,11,0)),"")</f>
        <v/>
      </c>
      <c r="G496" s="35" t="str">
        <f>IFERROR(VLOOKUP(E496,'MASTER RECORD'!$B$5:$W$1000,3,0),"")</f>
        <v/>
      </c>
      <c r="I496" s="36" t="str">
        <f t="shared" si="22"/>
        <v/>
      </c>
      <c r="N496" s="36" t="str">
        <f t="shared" si="23"/>
        <v/>
      </c>
    </row>
    <row r="497" spans="1:14">
      <c r="A497" s="6">
        <f t="shared" si="24"/>
        <v>492</v>
      </c>
      <c r="C497" s="35" t="str">
        <f>IFERROR(VLOOKUP(B497,'MASTER RECORD'!$B$5:$W$1000,10,0) &amp;"."&amp;(VLOOKUP(B497,'MASTER RECORD'!$B$5:$W$1000,11,0)),"")</f>
        <v/>
      </c>
      <c r="D497" s="35" t="str">
        <f>IFERROR(VLOOKUP(B497,'MASTER RECORD'!$B$5:$W$1000,3,0),"")</f>
        <v/>
      </c>
      <c r="F497" s="35" t="str">
        <f>IFERROR(VLOOKUP(E497,'MASTER RECORD'!$B$5:$W$1000,10,0) &amp;"."&amp;(VLOOKUP(E497,'MASTER RECORD'!$B$5:$W$1000,11,0)),"")</f>
        <v/>
      </c>
      <c r="G497" s="35" t="str">
        <f>IFERROR(VLOOKUP(E497,'MASTER RECORD'!$B$5:$W$1000,3,0),"")</f>
        <v/>
      </c>
      <c r="I497" s="36" t="str">
        <f t="shared" si="22"/>
        <v/>
      </c>
      <c r="N497" s="36" t="str">
        <f t="shared" si="23"/>
        <v/>
      </c>
    </row>
    <row r="498" spans="1:14">
      <c r="A498" s="6">
        <f t="shared" si="24"/>
        <v>493</v>
      </c>
      <c r="C498" s="35" t="str">
        <f>IFERROR(VLOOKUP(B498,'MASTER RECORD'!$B$5:$W$1000,10,0) &amp;"."&amp;(VLOOKUP(B498,'MASTER RECORD'!$B$5:$W$1000,11,0)),"")</f>
        <v/>
      </c>
      <c r="D498" s="35" t="str">
        <f>IFERROR(VLOOKUP(B498,'MASTER RECORD'!$B$5:$W$1000,3,0),"")</f>
        <v/>
      </c>
      <c r="F498" s="35" t="str">
        <f>IFERROR(VLOOKUP(E498,'MASTER RECORD'!$B$5:$W$1000,10,0) &amp;"."&amp;(VLOOKUP(E498,'MASTER RECORD'!$B$5:$W$1000,11,0)),"")</f>
        <v/>
      </c>
      <c r="G498" s="35" t="str">
        <f>IFERROR(VLOOKUP(E498,'MASTER RECORD'!$B$5:$W$1000,3,0),"")</f>
        <v/>
      </c>
      <c r="I498" s="36" t="str">
        <f t="shared" si="22"/>
        <v/>
      </c>
      <c r="N498" s="36" t="str">
        <f t="shared" si="23"/>
        <v/>
      </c>
    </row>
    <row r="499" spans="1:14">
      <c r="A499" s="6">
        <f t="shared" si="24"/>
        <v>494</v>
      </c>
      <c r="C499" s="35" t="str">
        <f>IFERROR(VLOOKUP(B499,'MASTER RECORD'!$B$5:$W$1000,10,0) &amp;"."&amp;(VLOOKUP(B499,'MASTER RECORD'!$B$5:$W$1000,11,0)),"")</f>
        <v/>
      </c>
      <c r="D499" s="35" t="str">
        <f>IFERROR(VLOOKUP(B499,'MASTER RECORD'!$B$5:$W$1000,3,0),"")</f>
        <v/>
      </c>
      <c r="F499" s="35" t="str">
        <f>IFERROR(VLOOKUP(E499,'MASTER RECORD'!$B$5:$W$1000,10,0) &amp;"."&amp;(VLOOKUP(E499,'MASTER RECORD'!$B$5:$W$1000,11,0)),"")</f>
        <v/>
      </c>
      <c r="G499" s="35" t="str">
        <f>IFERROR(VLOOKUP(E499,'MASTER RECORD'!$B$5:$W$1000,3,0),"")</f>
        <v/>
      </c>
      <c r="I499" s="36" t="str">
        <f t="shared" si="22"/>
        <v/>
      </c>
      <c r="N499" s="36" t="str">
        <f t="shared" si="23"/>
        <v/>
      </c>
    </row>
    <row r="500" spans="1:14">
      <c r="A500" s="6">
        <f t="shared" si="24"/>
        <v>495</v>
      </c>
      <c r="C500" s="35" t="str">
        <f>IFERROR(VLOOKUP(B500,'MASTER RECORD'!$B$5:$W$1000,10,0) &amp;"."&amp;(VLOOKUP(B500,'MASTER RECORD'!$B$5:$W$1000,11,0)),"")</f>
        <v/>
      </c>
      <c r="D500" s="35" t="str">
        <f>IFERROR(VLOOKUP(B500,'MASTER RECORD'!$B$5:$W$1000,3,0),"")</f>
        <v/>
      </c>
      <c r="F500" s="35" t="str">
        <f>IFERROR(VLOOKUP(E500,'MASTER RECORD'!$B$5:$W$1000,10,0) &amp;"."&amp;(VLOOKUP(E500,'MASTER RECORD'!$B$5:$W$1000,11,0)),"")</f>
        <v/>
      </c>
      <c r="G500" s="35" t="str">
        <f>IFERROR(VLOOKUP(E500,'MASTER RECORD'!$B$5:$W$1000,3,0),"")</f>
        <v/>
      </c>
      <c r="I500" s="36" t="str">
        <f t="shared" si="22"/>
        <v/>
      </c>
      <c r="N500" s="36" t="str">
        <f t="shared" si="23"/>
        <v/>
      </c>
    </row>
    <row r="501" spans="1:14">
      <c r="A501" s="6">
        <f t="shared" si="24"/>
        <v>496</v>
      </c>
      <c r="C501" s="35" t="str">
        <f>IFERROR(VLOOKUP(B501,'MASTER RECORD'!$B$5:$W$1000,10,0) &amp;"."&amp;(VLOOKUP(B501,'MASTER RECORD'!$B$5:$W$1000,11,0)),"")</f>
        <v/>
      </c>
      <c r="D501" s="35" t="str">
        <f>IFERROR(VLOOKUP(B501,'MASTER RECORD'!$B$5:$W$1000,3,0),"")</f>
        <v/>
      </c>
      <c r="F501" s="35" t="str">
        <f>IFERROR(VLOOKUP(E501,'MASTER RECORD'!$B$5:$W$1000,10,0) &amp;"."&amp;(VLOOKUP(E501,'MASTER RECORD'!$B$5:$W$1000,11,0)),"")</f>
        <v/>
      </c>
      <c r="G501" s="35" t="str">
        <f>IFERROR(VLOOKUP(E501,'MASTER RECORD'!$B$5:$W$1000,3,0),"")</f>
        <v/>
      </c>
      <c r="I501" s="36" t="str">
        <f t="shared" si="22"/>
        <v/>
      </c>
      <c r="N501" s="36" t="str">
        <f t="shared" si="23"/>
        <v/>
      </c>
    </row>
    <row r="502" spans="1:14">
      <c r="A502" s="6">
        <f t="shared" si="24"/>
        <v>497</v>
      </c>
      <c r="C502" s="35" t="str">
        <f>IFERROR(VLOOKUP(B502,'MASTER RECORD'!$B$5:$W$1000,10,0) &amp;"."&amp;(VLOOKUP(B502,'MASTER RECORD'!$B$5:$W$1000,11,0)),"")</f>
        <v/>
      </c>
      <c r="D502" s="35" t="str">
        <f>IFERROR(VLOOKUP(B502,'MASTER RECORD'!$B$5:$W$1000,3,0),"")</f>
        <v/>
      </c>
      <c r="F502" s="35" t="str">
        <f>IFERROR(VLOOKUP(E502,'MASTER RECORD'!$B$5:$W$1000,10,0) &amp;"."&amp;(VLOOKUP(E502,'MASTER RECORD'!$B$5:$W$1000,11,0)),"")</f>
        <v/>
      </c>
      <c r="G502" s="35" t="str">
        <f>IFERROR(VLOOKUP(E502,'MASTER RECORD'!$B$5:$W$1000,3,0),"")</f>
        <v/>
      </c>
      <c r="I502" s="36" t="str">
        <f t="shared" si="22"/>
        <v/>
      </c>
      <c r="N502" s="36" t="str">
        <f t="shared" si="23"/>
        <v/>
      </c>
    </row>
    <row r="503" spans="1:14">
      <c r="A503" s="6">
        <f t="shared" si="24"/>
        <v>498</v>
      </c>
      <c r="C503" s="35" t="str">
        <f>IFERROR(VLOOKUP(B503,'MASTER RECORD'!$B$5:$W$1000,10,0) &amp;"."&amp;(VLOOKUP(B503,'MASTER RECORD'!$B$5:$W$1000,11,0)),"")</f>
        <v/>
      </c>
      <c r="D503" s="35" t="str">
        <f>IFERROR(VLOOKUP(B503,'MASTER RECORD'!$B$5:$W$1000,3,0),"")</f>
        <v/>
      </c>
      <c r="F503" s="35" t="str">
        <f>IFERROR(VLOOKUP(E503,'MASTER RECORD'!$B$5:$W$1000,10,0) &amp;"."&amp;(VLOOKUP(E503,'MASTER RECORD'!$B$5:$W$1000,11,0)),"")</f>
        <v/>
      </c>
      <c r="G503" s="35" t="str">
        <f>IFERROR(VLOOKUP(E503,'MASTER RECORD'!$B$5:$W$1000,3,0),"")</f>
        <v/>
      </c>
      <c r="I503" s="36" t="str">
        <f t="shared" si="22"/>
        <v/>
      </c>
      <c r="N503" s="36" t="str">
        <f t="shared" si="23"/>
        <v/>
      </c>
    </row>
    <row r="504" spans="1:14">
      <c r="A504" s="6">
        <f t="shared" si="24"/>
        <v>499</v>
      </c>
      <c r="C504" s="35" t="str">
        <f>IFERROR(VLOOKUP(B504,'MASTER RECORD'!$B$5:$W$1000,10,0) &amp;"."&amp;(VLOOKUP(B504,'MASTER RECORD'!$B$5:$W$1000,11,0)),"")</f>
        <v/>
      </c>
      <c r="D504" s="35" t="str">
        <f>IFERROR(VLOOKUP(B504,'MASTER RECORD'!$B$5:$W$1000,3,0),"")</f>
        <v/>
      </c>
      <c r="F504" s="35" t="str">
        <f>IFERROR(VLOOKUP(E504,'MASTER RECORD'!$B$5:$W$1000,10,0) &amp;"."&amp;(VLOOKUP(E504,'MASTER RECORD'!$B$5:$W$1000,11,0)),"")</f>
        <v/>
      </c>
      <c r="G504" s="35" t="str">
        <f>IFERROR(VLOOKUP(E504,'MASTER RECORD'!$B$5:$W$1000,3,0),"")</f>
        <v/>
      </c>
      <c r="I504" s="36" t="str">
        <f t="shared" si="22"/>
        <v/>
      </c>
      <c r="N504" s="36" t="str">
        <f t="shared" si="23"/>
        <v/>
      </c>
    </row>
    <row r="505" spans="1:14">
      <c r="A505" s="6">
        <f>ROW(A500)</f>
        <v>500</v>
      </c>
      <c r="C505" s="35" t="str">
        <f>IFERROR(VLOOKUP(B505,'MASTER RECORD'!$B$5:$W$1000,10,0) &amp;"."&amp;(VLOOKUP(B505,'MASTER RECORD'!$B$5:$W$1000,11,0)),"")</f>
        <v/>
      </c>
      <c r="D505" s="35" t="str">
        <f>IFERROR(VLOOKUP(B505,'MASTER RECORD'!$B$5:$W$1000,3,0),"")</f>
        <v/>
      </c>
      <c r="F505" s="35" t="str">
        <f>IFERROR(VLOOKUP(E505,'MASTER RECORD'!$B$5:$W$1000,10,0) &amp;"."&amp;(VLOOKUP(E505,'MASTER RECORD'!$B$5:$W$1000,11,0)),"")</f>
        <v/>
      </c>
      <c r="G505" s="35" t="str">
        <f>IFERROR(VLOOKUP(E505,'MASTER RECORD'!$B$5:$W$1000,3,0),"")</f>
        <v/>
      </c>
      <c r="I505" s="36" t="str">
        <f t="shared" si="22"/>
        <v/>
      </c>
      <c r="N505" s="36" t="str">
        <f t="shared" si="23"/>
        <v/>
      </c>
    </row>
  </sheetData>
  <mergeCells count="2">
    <mergeCell ref="A1:O2"/>
    <mergeCell ref="A4:O4"/>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A207B4-55E4-334E-A851-31423851C9FE}">
          <x14:formula1>
            <xm:f>'MASTER RECORD'!$B$8:$B$504</xm:f>
          </x14:formula1>
          <xm:sqref>B6:B505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A16E-550A-5E46-BFF7-248436BF5FC7}">
  <sheetPr codeName="Sheet3">
    <tabColor rgb="FF8C8787"/>
  </sheetPr>
  <dimension ref="A1:AS505"/>
  <sheetViews>
    <sheetView showGridLines="0" workbookViewId="0">
      <pane xSplit="9" ySplit="5" topLeftCell="AF6" activePane="bottomRight" state="frozen"/>
      <selection pane="topRight" activeCell="J1" sqref="J1"/>
      <selection pane="bottomLeft" activeCell="A6" sqref="A6"/>
      <selection pane="bottomRight" activeCell="G7" sqref="G7"/>
    </sheetView>
  </sheetViews>
  <sheetFormatPr baseColWidth="10" defaultColWidth="0" defaultRowHeight="16"/>
  <cols>
    <col min="1" max="1" width="4.1640625" style="21" bestFit="1" customWidth="1"/>
    <col min="2" max="4" width="10.83203125" customWidth="1"/>
    <col min="5" max="5" width="10.83203125" style="2" customWidth="1"/>
    <col min="6" max="6" width="10.83203125" customWidth="1"/>
    <col min="7" max="7" width="10.83203125" style="2" customWidth="1"/>
    <col min="8" max="8" width="10.83203125" customWidth="1"/>
    <col min="9" max="45" width="10.83203125" style="27" customWidth="1"/>
    <col min="46" max="16384" width="10.83203125" hidden="1"/>
  </cols>
  <sheetData>
    <row r="1" spans="1:45">
      <c r="A1" s="130" t="s">
        <v>21</v>
      </c>
      <c r="B1" s="131"/>
      <c r="C1" s="131"/>
      <c r="D1" s="131"/>
      <c r="E1" s="131"/>
      <c r="F1" s="131"/>
      <c r="G1" s="131"/>
      <c r="H1" s="131"/>
      <c r="I1" s="131"/>
      <c r="J1" s="131"/>
      <c r="K1" s="131"/>
      <c r="L1" s="131"/>
      <c r="M1" s="131"/>
      <c r="N1" s="131"/>
      <c r="O1" s="131"/>
      <c r="P1" s="131"/>
      <c r="Q1" s="131"/>
      <c r="R1" s="131"/>
      <c r="S1" s="131"/>
      <c r="T1" s="131"/>
      <c r="U1" s="24"/>
      <c r="V1" s="23"/>
      <c r="W1" s="23"/>
      <c r="X1" s="23"/>
      <c r="Y1" s="23"/>
      <c r="Z1" s="23"/>
      <c r="AA1" s="23"/>
      <c r="AB1" s="23"/>
      <c r="AC1" s="23"/>
      <c r="AD1" s="23"/>
      <c r="AE1" s="23"/>
      <c r="AF1" s="23"/>
      <c r="AG1" s="23"/>
      <c r="AH1" s="23"/>
      <c r="AI1" s="23"/>
      <c r="AJ1" s="23"/>
      <c r="AK1" s="23"/>
      <c r="AL1" s="23"/>
      <c r="AM1" s="23"/>
      <c r="AN1" s="23"/>
      <c r="AO1" s="23"/>
      <c r="AP1" s="23"/>
      <c r="AQ1" s="23"/>
      <c r="AR1" s="23"/>
      <c r="AS1" s="23"/>
    </row>
    <row r="2" spans="1:45">
      <c r="A2" s="132"/>
      <c r="B2" s="133"/>
      <c r="C2" s="133"/>
      <c r="D2" s="133"/>
      <c r="E2" s="133"/>
      <c r="F2" s="133"/>
      <c r="G2" s="133"/>
      <c r="H2" s="133"/>
      <c r="I2" s="133"/>
      <c r="J2" s="133"/>
      <c r="K2" s="133"/>
      <c r="L2" s="133"/>
      <c r="M2" s="133"/>
      <c r="N2" s="133"/>
      <c r="O2" s="133"/>
      <c r="P2" s="133"/>
      <c r="Q2" s="133"/>
      <c r="R2" s="133"/>
      <c r="S2" s="133"/>
      <c r="T2" s="133"/>
      <c r="U2" s="24"/>
      <c r="V2" s="23"/>
      <c r="W2" s="23"/>
      <c r="X2" s="23"/>
      <c r="Y2" s="23"/>
      <c r="Z2" s="23"/>
      <c r="AA2" s="23"/>
      <c r="AB2" s="23"/>
      <c r="AC2" s="23"/>
      <c r="AD2" s="23"/>
      <c r="AE2" s="23"/>
      <c r="AF2" s="23"/>
      <c r="AG2" s="23"/>
      <c r="AH2" s="23"/>
      <c r="AI2" s="23"/>
      <c r="AJ2" s="23"/>
      <c r="AK2" s="23"/>
      <c r="AL2" s="23"/>
      <c r="AM2" s="23"/>
      <c r="AN2" s="23"/>
      <c r="AO2" s="23"/>
      <c r="AP2" s="23"/>
      <c r="AQ2" s="23"/>
      <c r="AR2" s="23"/>
      <c r="AS2" s="23"/>
    </row>
    <row r="3" spans="1:45" ht="5" customHeight="1">
      <c r="A3" s="20"/>
      <c r="B3" s="4"/>
      <c r="C3" s="4"/>
      <c r="D3" s="4"/>
      <c r="E3" s="4"/>
      <c r="F3" s="4"/>
      <c r="G3" s="4"/>
      <c r="H3" s="4"/>
      <c r="I3" s="4"/>
      <c r="J3" s="4"/>
      <c r="K3" s="4"/>
      <c r="L3" s="4"/>
      <c r="M3" s="4"/>
      <c r="N3" s="4"/>
      <c r="O3" s="4"/>
      <c r="P3" s="4"/>
      <c r="Q3" s="4"/>
      <c r="R3" s="4"/>
      <c r="S3" s="4"/>
      <c r="T3" s="5"/>
      <c r="U3" s="25"/>
      <c r="V3" s="25"/>
      <c r="W3" s="25"/>
      <c r="X3" s="25"/>
      <c r="Y3" s="25"/>
      <c r="Z3" s="25"/>
      <c r="AA3" s="25"/>
      <c r="AB3" s="25"/>
      <c r="AC3" s="25"/>
      <c r="AD3" s="25"/>
      <c r="AE3" s="25"/>
      <c r="AF3" s="25"/>
      <c r="AG3" s="25"/>
      <c r="AH3" s="25"/>
      <c r="AI3" s="25"/>
      <c r="AJ3" s="25"/>
      <c r="AK3" s="25"/>
      <c r="AL3" s="25"/>
      <c r="AM3" s="25"/>
      <c r="AN3" s="25"/>
      <c r="AO3" s="25"/>
      <c r="AP3" s="25"/>
      <c r="AQ3" s="25"/>
      <c r="AR3" s="25"/>
      <c r="AS3" s="25"/>
    </row>
    <row r="4" spans="1:45">
      <c r="A4" s="134" t="s">
        <v>83</v>
      </c>
      <c r="B4" s="135"/>
      <c r="C4" s="135"/>
      <c r="D4" s="135"/>
      <c r="E4" s="135"/>
      <c r="F4" s="135"/>
      <c r="G4" s="135"/>
      <c r="H4" s="135"/>
      <c r="I4" s="135"/>
      <c r="J4" s="135"/>
      <c r="K4" s="135"/>
      <c r="L4" s="135"/>
      <c r="M4" s="135"/>
      <c r="N4" s="135"/>
      <c r="O4" s="135"/>
      <c r="P4" s="135"/>
      <c r="Q4" s="135"/>
      <c r="R4" s="135"/>
      <c r="S4" s="135"/>
      <c r="T4" s="136"/>
      <c r="U4" s="23"/>
      <c r="V4" s="23"/>
      <c r="W4" s="23"/>
      <c r="X4" s="23"/>
      <c r="Y4" s="23"/>
      <c r="Z4" s="23"/>
      <c r="AA4" s="23"/>
      <c r="AB4" s="23"/>
      <c r="AC4" s="23"/>
      <c r="AD4" s="23"/>
      <c r="AE4" s="23"/>
      <c r="AF4" s="23"/>
      <c r="AG4" s="23"/>
      <c r="AH4" s="23"/>
      <c r="AI4" s="23"/>
      <c r="AJ4" s="23"/>
      <c r="AK4" s="23"/>
      <c r="AL4" s="23"/>
      <c r="AM4" s="23"/>
      <c r="AN4" s="23"/>
      <c r="AO4" s="23"/>
      <c r="AP4" s="23"/>
      <c r="AQ4" s="23"/>
      <c r="AR4" s="23"/>
      <c r="AS4" s="23"/>
    </row>
    <row r="5" spans="1:45" ht="26">
      <c r="A5" s="22" t="s">
        <v>13</v>
      </c>
      <c r="B5" s="22" t="s">
        <v>0</v>
      </c>
      <c r="C5" s="22" t="s">
        <v>2</v>
      </c>
      <c r="D5" s="22" t="s">
        <v>1</v>
      </c>
      <c r="E5" s="22" t="s">
        <v>44</v>
      </c>
      <c r="F5" s="22" t="s">
        <v>35</v>
      </c>
      <c r="G5" s="22" t="s">
        <v>84</v>
      </c>
      <c r="H5" s="19" t="s">
        <v>45</v>
      </c>
      <c r="I5" s="22" t="s">
        <v>46</v>
      </c>
      <c r="J5" s="22" t="s">
        <v>47</v>
      </c>
      <c r="K5" s="22" t="s">
        <v>48</v>
      </c>
      <c r="L5" s="22" t="s">
        <v>49</v>
      </c>
      <c r="M5" s="22" t="s">
        <v>50</v>
      </c>
      <c r="N5" s="22" t="s">
        <v>51</v>
      </c>
      <c r="O5" s="22" t="s">
        <v>52</v>
      </c>
      <c r="P5" s="22" t="s">
        <v>53</v>
      </c>
      <c r="Q5" s="22" t="s">
        <v>54</v>
      </c>
      <c r="R5" s="22" t="s">
        <v>55</v>
      </c>
      <c r="S5" s="22" t="s">
        <v>56</v>
      </c>
      <c r="T5" s="22" t="s">
        <v>57</v>
      </c>
      <c r="U5" s="22" t="s">
        <v>58</v>
      </c>
      <c r="V5" s="22" t="s">
        <v>59</v>
      </c>
      <c r="W5" s="22" t="s">
        <v>60</v>
      </c>
      <c r="X5" s="22" t="s">
        <v>61</v>
      </c>
      <c r="Y5" s="22" t="s">
        <v>62</v>
      </c>
      <c r="Z5" s="22" t="s">
        <v>63</v>
      </c>
      <c r="AA5" s="22" t="s">
        <v>64</v>
      </c>
      <c r="AB5" s="22" t="s">
        <v>65</v>
      </c>
      <c r="AC5" s="22" t="s">
        <v>66</v>
      </c>
      <c r="AD5" s="22" t="s">
        <v>67</v>
      </c>
      <c r="AE5" s="22" t="s">
        <v>68</v>
      </c>
      <c r="AF5" s="22" t="s">
        <v>69</v>
      </c>
      <c r="AG5" s="22" t="s">
        <v>70</v>
      </c>
      <c r="AH5" s="22" t="s">
        <v>71</v>
      </c>
      <c r="AI5" s="22" t="s">
        <v>72</v>
      </c>
      <c r="AJ5" s="22" t="s">
        <v>73</v>
      </c>
      <c r="AK5" s="22" t="s">
        <v>74</v>
      </c>
      <c r="AL5" s="22" t="s">
        <v>75</v>
      </c>
      <c r="AM5" s="22" t="s">
        <v>76</v>
      </c>
      <c r="AN5" s="22" t="s">
        <v>77</v>
      </c>
      <c r="AO5" s="22" t="s">
        <v>78</v>
      </c>
      <c r="AP5" s="22" t="s">
        <v>79</v>
      </c>
      <c r="AQ5" s="22" t="s">
        <v>80</v>
      </c>
      <c r="AR5" s="22" t="s">
        <v>81</v>
      </c>
      <c r="AS5" s="22" t="s">
        <v>82</v>
      </c>
    </row>
    <row r="6" spans="1:45">
      <c r="A6" s="28">
        <f t="shared" ref="A6:A69" si="0">ROW(A1)</f>
        <v>1</v>
      </c>
      <c r="B6" s="7" t="s">
        <v>184</v>
      </c>
      <c r="C6" s="35" t="str">
        <f>IFERROR(VLOOKUP(B6,'MASTER RECORD'!$B$5:$W$1000,3,0),"")</f>
        <v/>
      </c>
      <c r="D6" s="35" t="str">
        <f>IFERROR(VLOOKUP(B6,'MASTER RECORD'!$B$5:$W$1000,2,0),"")</f>
        <v/>
      </c>
      <c r="E6" s="36" t="str">
        <f>IFERROR(VLOOKUP(B6,'MASTER RECORD'!$B$5:$W$1000,9,0),"")</f>
        <v/>
      </c>
      <c r="F6" s="35" t="str">
        <f>IFERROR(VLOOKUP(B6,'MASTER RECORD'!$B$5:$W$1000,10,0) &amp;"."&amp;(VLOOKUP(B6,'MASTER RECORD'!$B$5:$W$1000,11,0)),"")</f>
        <v/>
      </c>
      <c r="G6" s="36" t="str">
        <f>IFERROR(IF(J6="",E6+30.41667,IF(K6="",E6+60.8333,IF(L6="",E6+91.25,IF(M6="",E6+121.667,IF(N6="",E6+152.083,IF(O6="",E6+182.5,IF(P6="",E6+212.917,IF(Q6="",E6+243.333,IF(R6="",E6+273.75,IF(S6="",E6+304.167,IF(T6="",E6+334.583,IF(U6="",E6+365,IF(V6="",E6+395.417,IF(W6="",E6+425.883,IF(X6="",E6+456.25,IF(Y6="",E6+486.667,IF(Z6="",E6+517.083,IF(AA6="",E6+547.5,IF(AB6="",E6+577.917,IF(AC6="",E6+608.333,IF(AD6="",E6+638.75,IF(AE6="",E6+669.167,IF(AF6="",E6+699.583,IF(AG6="",E6+730,IF(AH6="",E6+760.417,IF(AI6="",E6+790.833,IF(AJ6="",E6+821.25,IF(AK6="",E6+851.667,IF(AL6="",E6+882.083,IF(AM6="",E6+912.5,IF(AN6="",E6+942.917,IF(AO6="",E6+973.333,IF(AP6="",E6+1003.75,IF(AQ6="",E6+1034.17,IF(AR6="",E6+1064.58,IF(AS6="",E6+1095,"")))))))))))))))))))))))))))))))))))),"")</f>
        <v/>
      </c>
      <c r="H6" s="35">
        <f>IF(SUM(I6:AS6)=0,"",SUM(I6:AS6))</f>
        <v>108</v>
      </c>
      <c r="I6" s="35" t="str">
        <f>IFERROR(VLOOKUP(B6,'MASTER RECORD'!$B$5:$W$1000,14,0),"")</f>
        <v/>
      </c>
      <c r="J6" s="17">
        <v>2</v>
      </c>
      <c r="K6" s="17">
        <v>4</v>
      </c>
      <c r="L6" s="17">
        <v>3</v>
      </c>
      <c r="M6" s="17">
        <v>3</v>
      </c>
      <c r="N6" s="17">
        <v>3</v>
      </c>
      <c r="O6" s="17">
        <v>3</v>
      </c>
      <c r="P6" s="17">
        <v>3</v>
      </c>
      <c r="Q6" s="17">
        <v>3</v>
      </c>
      <c r="R6" s="17">
        <v>3</v>
      </c>
      <c r="S6" s="17">
        <v>3</v>
      </c>
      <c r="T6" s="17">
        <v>3</v>
      </c>
      <c r="U6" s="17">
        <v>3</v>
      </c>
      <c r="V6" s="17">
        <v>3</v>
      </c>
      <c r="W6" s="17">
        <v>3</v>
      </c>
      <c r="X6" s="17">
        <v>3</v>
      </c>
      <c r="Y6" s="17">
        <v>3</v>
      </c>
      <c r="Z6" s="17">
        <v>3</v>
      </c>
      <c r="AA6" s="17">
        <v>3</v>
      </c>
      <c r="AB6" s="17">
        <v>3</v>
      </c>
      <c r="AC6" s="17">
        <v>3</v>
      </c>
      <c r="AD6" s="17">
        <v>3</v>
      </c>
      <c r="AE6" s="17">
        <v>3</v>
      </c>
      <c r="AF6" s="17">
        <v>3</v>
      </c>
      <c r="AG6" s="17">
        <v>3</v>
      </c>
      <c r="AH6" s="17">
        <v>3</v>
      </c>
      <c r="AI6" s="17">
        <v>3</v>
      </c>
      <c r="AJ6" s="17">
        <v>3</v>
      </c>
      <c r="AK6" s="17">
        <v>3</v>
      </c>
      <c r="AL6" s="17">
        <v>3</v>
      </c>
      <c r="AM6" s="17">
        <v>3</v>
      </c>
      <c r="AN6" s="17">
        <v>3</v>
      </c>
      <c r="AO6" s="17">
        <v>3</v>
      </c>
      <c r="AP6" s="17">
        <v>3</v>
      </c>
      <c r="AQ6" s="17">
        <v>3</v>
      </c>
      <c r="AR6" s="17">
        <v>3</v>
      </c>
      <c r="AS6" s="17">
        <v>3</v>
      </c>
    </row>
    <row r="7" spans="1:45">
      <c r="A7" s="28">
        <f t="shared" si="0"/>
        <v>2</v>
      </c>
      <c r="B7" s="7"/>
      <c r="C7" s="35" t="str">
        <f>IFERROR(VLOOKUP(B7,'MASTER RECORD'!$B$5:$W$1000,3,0),"")</f>
        <v/>
      </c>
      <c r="D7" s="35" t="str">
        <f>IFERROR(VLOOKUP(B7,'MASTER RECORD'!$B$5:$W$1000,2,0),"")</f>
        <v/>
      </c>
      <c r="E7" s="36" t="str">
        <f>IFERROR(VLOOKUP(B7,'MASTER RECORD'!$B$5:$W$1000,9,0),"")</f>
        <v/>
      </c>
      <c r="F7" s="35" t="str">
        <f>IFERROR(VLOOKUP(B7,'MASTER RECORD'!$B$5:$W$1000,10,0) &amp;"."&amp;(VLOOKUP(B7,'MASTER RECORD'!$B$5:$W$1000,11,0)),"")</f>
        <v/>
      </c>
      <c r="G7" s="36" t="str">
        <f t="shared" ref="G7:G70" si="1">IFERROR(IF(J7="",E7+30.41667,IF(K7="",E7+60.8333,IF(L7="",E7+91.25,IF(M7="",E7+121.667,IF(N7="",E7+152.083,IF(O7="",E7+182.5,IF(P7="",E7+212.917,IF(Q7="",E7+243.333,IF(R7="",E7+273.75,IF(S7="",E7+304.167,IF(T7="",E7+334.583,IF(U7="",E7+365,IF(V7="",E7+395.417,IF(W7="",E7+425.883,IF(X7="",E7+456.25,IF(Y7="",E7+486.667,IF(Z7="",E7+517.083,IF(AA7="",E7+547.5,IF(AB7="",E7+577.917,IF(AC7="",E7+608.333,IF(AD7="",E7+638.75,IF(AE7="",E7+669.167,IF(AF7="",E7+699.583,IF(AG7="",E7+730,IF(AH7="",E7+760.417,IF(AI7="",E7+790.833,IF(AJ7="",E7+821.25,IF(AK7="",E7+851.667,IF(AL7="",E7+882.083,IF(AM7="",E7+912.5,IF(AN7="",E7+942.917,IF(AO7="",E7+973.333,IF(AP7="",E7+1003.75,IF(AQ7="",E7+1034.17,IF(AR7="",E7+1064.58,IF(AS7="",E7+1095,"")))))))))))))))))))))))))))))))))))),"")</f>
        <v/>
      </c>
      <c r="H7" s="35" t="str">
        <f>IF(SUM(I7:AS7)=0,"",SUM(I7:AS7))</f>
        <v/>
      </c>
      <c r="I7" s="35" t="str">
        <f>IFERROR(VLOOKUP(B7,'MASTER RECORD'!$B$5:$W$1000,14,0),"")</f>
        <v/>
      </c>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row>
    <row r="8" spans="1:45">
      <c r="A8" s="28">
        <f t="shared" si="0"/>
        <v>3</v>
      </c>
      <c r="B8" s="7"/>
      <c r="C8" s="35" t="str">
        <f>IFERROR(VLOOKUP(B8,'MASTER RECORD'!$B$5:$W$1000,3,0),"")</f>
        <v/>
      </c>
      <c r="D8" s="35" t="str">
        <f>IFERROR(VLOOKUP(B8,'MASTER RECORD'!$B$5:$W$1000,2,0),"")</f>
        <v/>
      </c>
      <c r="E8" s="36" t="str">
        <f>IFERROR(VLOOKUP(B8,'MASTER RECORD'!$B$5:$W$1000,9,0),"")</f>
        <v/>
      </c>
      <c r="F8" s="35" t="str">
        <f>IFERROR(VLOOKUP(B8,'MASTER RECORD'!$B$5:$W$1000,10,0) &amp;"."&amp;(VLOOKUP(B8,'MASTER RECORD'!$B$5:$W$1000,11,0)),"")</f>
        <v/>
      </c>
      <c r="G8" s="36" t="str">
        <f t="shared" si="1"/>
        <v/>
      </c>
      <c r="H8" s="35" t="str">
        <f t="shared" ref="H8:H71" si="2">IF(SUM(I8:AS8)=0,"",SUM(I8:AS8))</f>
        <v/>
      </c>
      <c r="I8" s="35" t="str">
        <f>IFERROR(VLOOKUP(B8,'MASTER RECORD'!$B$5:$W$1000,14,0),"")</f>
        <v/>
      </c>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row>
    <row r="9" spans="1:45">
      <c r="A9" s="28">
        <f t="shared" si="0"/>
        <v>4</v>
      </c>
      <c r="B9" s="7"/>
      <c r="C9" s="35" t="str">
        <f>IFERROR(VLOOKUP(B9,'MASTER RECORD'!$B$5:$W$1000,3,0),"")</f>
        <v/>
      </c>
      <c r="D9" s="35" t="str">
        <f>IFERROR(VLOOKUP(B9,'MASTER RECORD'!$B$5:$W$1000,2,0),"")</f>
        <v/>
      </c>
      <c r="E9" s="36" t="str">
        <f>IFERROR(VLOOKUP(B9,'MASTER RECORD'!$B$5:$W$1000,9,0),"")</f>
        <v/>
      </c>
      <c r="F9" s="35" t="str">
        <f>IFERROR(VLOOKUP(B9,'MASTER RECORD'!$B$5:$W$1000,10,0) &amp;"."&amp;(VLOOKUP(B9,'MASTER RECORD'!$B$5:$W$1000,11,0)),"")</f>
        <v/>
      </c>
      <c r="G9" s="36" t="str">
        <f t="shared" si="1"/>
        <v/>
      </c>
      <c r="H9" s="35" t="str">
        <f t="shared" si="2"/>
        <v/>
      </c>
      <c r="I9" s="35" t="str">
        <f>IFERROR(VLOOKUP(B9,'MASTER RECORD'!$B$5:$W$1000,14,0),"")</f>
        <v/>
      </c>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row>
    <row r="10" spans="1:45">
      <c r="A10" s="28">
        <f t="shared" si="0"/>
        <v>5</v>
      </c>
      <c r="B10" s="7"/>
      <c r="C10" s="35" t="str">
        <f>IFERROR(VLOOKUP(B10,'MASTER RECORD'!$B$5:$W$1000,3,0),"")</f>
        <v/>
      </c>
      <c r="D10" s="35" t="str">
        <f>IFERROR(VLOOKUP(B10,'MASTER RECORD'!$B$5:$W$1000,2,0),"")</f>
        <v/>
      </c>
      <c r="E10" s="36" t="str">
        <f>IFERROR(VLOOKUP(B10,'MASTER RECORD'!$B$5:$W$1000,9,0),"")</f>
        <v/>
      </c>
      <c r="F10" s="35" t="str">
        <f>IFERROR(VLOOKUP(B10,'MASTER RECORD'!$B$5:$W$1000,10,0) &amp;"."&amp;(VLOOKUP(B10,'MASTER RECORD'!$B$5:$W$1000,11,0)),"")</f>
        <v/>
      </c>
      <c r="G10" s="36" t="str">
        <f t="shared" si="1"/>
        <v/>
      </c>
      <c r="H10" s="35" t="str">
        <f t="shared" si="2"/>
        <v/>
      </c>
      <c r="I10" s="35" t="str">
        <f>IFERROR(VLOOKUP(B10,'MASTER RECORD'!$B$5:$W$1000,14,0),"")</f>
        <v/>
      </c>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row>
    <row r="11" spans="1:45">
      <c r="A11" s="28">
        <f t="shared" si="0"/>
        <v>6</v>
      </c>
      <c r="B11" s="7"/>
      <c r="C11" s="35" t="str">
        <f>IFERROR(VLOOKUP(B11,'MASTER RECORD'!$B$5:$W$1000,3,0),"")</f>
        <v/>
      </c>
      <c r="D11" s="35" t="str">
        <f>IFERROR(VLOOKUP(B11,'MASTER RECORD'!$B$5:$W$1000,2,0),"")</f>
        <v/>
      </c>
      <c r="E11" s="36" t="str">
        <f>IFERROR(VLOOKUP(B11,'MASTER RECORD'!$B$5:$W$1000,9,0),"")</f>
        <v/>
      </c>
      <c r="F11" s="35" t="str">
        <f>IFERROR(VLOOKUP(B11,'MASTER RECORD'!$B$5:$W$1000,10,0) &amp;"."&amp;(VLOOKUP(B11,'MASTER RECORD'!$B$5:$W$1000,11,0)),"")</f>
        <v/>
      </c>
      <c r="G11" s="36" t="str">
        <f t="shared" si="1"/>
        <v/>
      </c>
      <c r="H11" s="35" t="str">
        <f t="shared" si="2"/>
        <v/>
      </c>
      <c r="I11" s="35" t="str">
        <f>IFERROR(VLOOKUP(B11,'MASTER RECORD'!$B$5:$W$1000,14,0),"")</f>
        <v/>
      </c>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row>
    <row r="12" spans="1:45">
      <c r="A12" s="28">
        <f t="shared" si="0"/>
        <v>7</v>
      </c>
      <c r="B12" s="7"/>
      <c r="C12" s="35" t="str">
        <f>IFERROR(VLOOKUP(B12,'MASTER RECORD'!$B$5:$W$1000,3,0),"")</f>
        <v/>
      </c>
      <c r="D12" s="35" t="str">
        <f>IFERROR(VLOOKUP(B12,'MASTER RECORD'!$B$5:$W$1000,2,0),"")</f>
        <v/>
      </c>
      <c r="E12" s="36" t="str">
        <f>IFERROR(VLOOKUP(B12,'MASTER RECORD'!$B$5:$W$1000,9,0),"")</f>
        <v/>
      </c>
      <c r="F12" s="35" t="str">
        <f>IFERROR(VLOOKUP(B12,'MASTER RECORD'!$B$5:$W$1000,10,0) &amp;"."&amp;(VLOOKUP(B12,'MASTER RECORD'!$B$5:$W$1000,11,0)),"")</f>
        <v/>
      </c>
      <c r="G12" s="36" t="str">
        <f t="shared" si="1"/>
        <v/>
      </c>
      <c r="H12" s="35" t="str">
        <f t="shared" si="2"/>
        <v/>
      </c>
      <c r="I12" s="35" t="str">
        <f>IFERROR(VLOOKUP(B12,'MASTER RECORD'!$B$5:$W$1000,14,0),"")</f>
        <v/>
      </c>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row>
    <row r="13" spans="1:45">
      <c r="A13" s="28">
        <f t="shared" si="0"/>
        <v>8</v>
      </c>
      <c r="B13" s="7"/>
      <c r="C13" s="35" t="str">
        <f>IFERROR(VLOOKUP(B13,'MASTER RECORD'!$B$5:$W$1000,3,0),"")</f>
        <v/>
      </c>
      <c r="D13" s="35" t="str">
        <f>IFERROR(VLOOKUP(B13,'MASTER RECORD'!$B$5:$W$1000,2,0),"")</f>
        <v/>
      </c>
      <c r="E13" s="36" t="str">
        <f>IFERROR(VLOOKUP(B13,'MASTER RECORD'!$B$5:$W$1000,9,0),"")</f>
        <v/>
      </c>
      <c r="F13" s="35" t="str">
        <f>IFERROR(VLOOKUP(B13,'MASTER RECORD'!$B$5:$W$1000,10,0) &amp;"."&amp;(VLOOKUP(B13,'MASTER RECORD'!$B$5:$W$1000,11,0)),"")</f>
        <v/>
      </c>
      <c r="G13" s="36" t="str">
        <f t="shared" si="1"/>
        <v/>
      </c>
      <c r="H13" s="35" t="str">
        <f t="shared" si="2"/>
        <v/>
      </c>
      <c r="I13" s="35" t="str">
        <f>IFERROR(VLOOKUP(B13,'MASTER RECORD'!$B$5:$W$1000,14,0),"")</f>
        <v/>
      </c>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row>
    <row r="14" spans="1:45">
      <c r="A14" s="28">
        <f t="shared" si="0"/>
        <v>9</v>
      </c>
      <c r="B14" s="7"/>
      <c r="C14" s="35" t="str">
        <f>IFERROR(VLOOKUP(B14,'MASTER RECORD'!$B$5:$W$1000,3,0),"")</f>
        <v/>
      </c>
      <c r="D14" s="35" t="str">
        <f>IFERROR(VLOOKUP(B14,'MASTER RECORD'!$B$5:$W$1000,2,0),"")</f>
        <v/>
      </c>
      <c r="E14" s="36" t="str">
        <f>IFERROR(VLOOKUP(B14,'MASTER RECORD'!$B$5:$W$1000,9,0),"")</f>
        <v/>
      </c>
      <c r="F14" s="35" t="str">
        <f>IFERROR(VLOOKUP(B14,'MASTER RECORD'!$B$5:$W$1000,10,0) &amp;"."&amp;(VLOOKUP(B14,'MASTER RECORD'!$B$5:$W$1000,11,0)),"")</f>
        <v/>
      </c>
      <c r="G14" s="36" t="str">
        <f t="shared" si="1"/>
        <v/>
      </c>
      <c r="H14" s="35" t="str">
        <f t="shared" si="2"/>
        <v/>
      </c>
      <c r="I14" s="35" t="str">
        <f>IFERROR(VLOOKUP(B14,'MASTER RECORD'!$B$5:$W$1000,14,0),"")</f>
        <v/>
      </c>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row>
    <row r="15" spans="1:45">
      <c r="A15" s="28">
        <f t="shared" si="0"/>
        <v>10</v>
      </c>
      <c r="B15" s="7"/>
      <c r="C15" s="35" t="str">
        <f>IFERROR(VLOOKUP(B15,'MASTER RECORD'!$B$5:$W$1000,3,0),"")</f>
        <v/>
      </c>
      <c r="D15" s="35" t="str">
        <f>IFERROR(VLOOKUP(B15,'MASTER RECORD'!$B$5:$W$1000,2,0),"")</f>
        <v/>
      </c>
      <c r="E15" s="36" t="str">
        <f>IFERROR(VLOOKUP(B15,'MASTER RECORD'!$B$5:$W$1000,9,0),"")</f>
        <v/>
      </c>
      <c r="F15" s="35" t="str">
        <f>IFERROR(VLOOKUP(B15,'MASTER RECORD'!$B$5:$W$1000,10,0) &amp;"."&amp;(VLOOKUP(B15,'MASTER RECORD'!$B$5:$W$1000,11,0)),"")</f>
        <v/>
      </c>
      <c r="G15" s="36" t="str">
        <f t="shared" si="1"/>
        <v/>
      </c>
      <c r="H15" s="35" t="str">
        <f t="shared" si="2"/>
        <v/>
      </c>
      <c r="I15" s="35" t="str">
        <f>IFERROR(VLOOKUP(B15,'MASTER RECORD'!$B$5:$W$1000,14,0),"")</f>
        <v/>
      </c>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row>
    <row r="16" spans="1:45">
      <c r="A16" s="28">
        <f t="shared" si="0"/>
        <v>11</v>
      </c>
      <c r="B16" s="7"/>
      <c r="C16" s="35" t="str">
        <f>IFERROR(VLOOKUP(B16,'MASTER RECORD'!$B$5:$W$1000,3,0),"")</f>
        <v/>
      </c>
      <c r="D16" s="35" t="str">
        <f>IFERROR(VLOOKUP(B16,'MASTER RECORD'!$B$5:$W$1000,2,0),"")</f>
        <v/>
      </c>
      <c r="E16" s="36" t="str">
        <f>IFERROR(VLOOKUP(B16,'MASTER RECORD'!$B$5:$W$1000,9,0),"")</f>
        <v/>
      </c>
      <c r="F16" s="35" t="str">
        <f>IFERROR(VLOOKUP(B16,'MASTER RECORD'!$B$5:$W$1000,10,0) &amp;"."&amp;(VLOOKUP(B16,'MASTER RECORD'!$B$5:$W$1000,11,0)),"")</f>
        <v/>
      </c>
      <c r="G16" s="36" t="str">
        <f t="shared" si="1"/>
        <v/>
      </c>
      <c r="H16" s="35" t="str">
        <f t="shared" si="2"/>
        <v/>
      </c>
      <c r="I16" s="35" t="str">
        <f>IFERROR(VLOOKUP(B16,'MASTER RECORD'!$B$5:$W$1000,14,0),"")</f>
        <v/>
      </c>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row>
    <row r="17" spans="1:45">
      <c r="A17" s="28">
        <f t="shared" si="0"/>
        <v>12</v>
      </c>
      <c r="B17" s="7"/>
      <c r="C17" s="35" t="str">
        <f>IFERROR(VLOOKUP(B17,'MASTER RECORD'!$B$5:$W$1000,3,0),"")</f>
        <v/>
      </c>
      <c r="D17" s="35" t="str">
        <f>IFERROR(VLOOKUP(B17,'MASTER RECORD'!$B$5:$W$1000,2,0),"")</f>
        <v/>
      </c>
      <c r="E17" s="36" t="str">
        <f>IFERROR(VLOOKUP(B17,'MASTER RECORD'!$B$5:$W$1000,9,0),"")</f>
        <v/>
      </c>
      <c r="F17" s="35" t="str">
        <f>IFERROR(VLOOKUP(B17,'MASTER RECORD'!$B$5:$W$1000,10,0) &amp;"."&amp;(VLOOKUP(B17,'MASTER RECORD'!$B$5:$W$1000,11,0)),"")</f>
        <v/>
      </c>
      <c r="G17" s="36" t="str">
        <f t="shared" si="1"/>
        <v/>
      </c>
      <c r="H17" s="35" t="str">
        <f t="shared" si="2"/>
        <v/>
      </c>
      <c r="I17" s="35" t="str">
        <f>IFERROR(VLOOKUP(B17,'MASTER RECORD'!$B$5:$W$1000,14,0),"")</f>
        <v/>
      </c>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row>
    <row r="18" spans="1:45">
      <c r="A18" s="28">
        <f t="shared" si="0"/>
        <v>13</v>
      </c>
      <c r="B18" s="7"/>
      <c r="C18" s="35" t="str">
        <f>IFERROR(VLOOKUP(B18,'MASTER RECORD'!$B$5:$W$1000,3,0),"")</f>
        <v/>
      </c>
      <c r="D18" s="35" t="str">
        <f>IFERROR(VLOOKUP(B18,'MASTER RECORD'!$B$5:$W$1000,2,0),"")</f>
        <v/>
      </c>
      <c r="E18" s="36" t="str">
        <f>IFERROR(VLOOKUP(B18,'MASTER RECORD'!$B$5:$W$1000,9,0),"")</f>
        <v/>
      </c>
      <c r="F18" s="35" t="str">
        <f>IFERROR(VLOOKUP(B18,'MASTER RECORD'!$B$5:$W$1000,10,0) &amp;"."&amp;(VLOOKUP(B18,'MASTER RECORD'!$B$5:$W$1000,11,0)),"")</f>
        <v/>
      </c>
      <c r="G18" s="36" t="str">
        <f t="shared" si="1"/>
        <v/>
      </c>
      <c r="H18" s="35" t="str">
        <f t="shared" si="2"/>
        <v/>
      </c>
      <c r="I18" s="35" t="str">
        <f>IFERROR(VLOOKUP(B18,'MASTER RECORD'!$B$5:$W$1000,14,0),"")</f>
        <v/>
      </c>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row>
    <row r="19" spans="1:45">
      <c r="A19" s="28">
        <f t="shared" si="0"/>
        <v>14</v>
      </c>
      <c r="B19" s="7"/>
      <c r="C19" s="35" t="str">
        <f>IFERROR(VLOOKUP(B19,'MASTER RECORD'!$B$5:$W$1000,3,0),"")</f>
        <v/>
      </c>
      <c r="D19" s="35" t="str">
        <f>IFERROR(VLOOKUP(B19,'MASTER RECORD'!$B$5:$W$1000,2,0),"")</f>
        <v/>
      </c>
      <c r="E19" s="36" t="str">
        <f>IFERROR(VLOOKUP(B19,'MASTER RECORD'!$B$5:$W$1000,9,0),"")</f>
        <v/>
      </c>
      <c r="F19" s="35" t="str">
        <f>IFERROR(VLOOKUP(B19,'MASTER RECORD'!$B$5:$W$1000,10,0) &amp;"."&amp;(VLOOKUP(B19,'MASTER RECORD'!$B$5:$W$1000,11,0)),"")</f>
        <v/>
      </c>
      <c r="G19" s="36" t="str">
        <f t="shared" si="1"/>
        <v/>
      </c>
      <c r="H19" s="35" t="str">
        <f t="shared" si="2"/>
        <v/>
      </c>
      <c r="I19" s="35" t="str">
        <f>IFERROR(VLOOKUP(B19,'MASTER RECORD'!$B$5:$W$1000,14,0),"")</f>
        <v/>
      </c>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row>
    <row r="20" spans="1:45">
      <c r="A20" s="28">
        <f t="shared" si="0"/>
        <v>15</v>
      </c>
      <c r="B20" s="7"/>
      <c r="C20" s="35" t="str">
        <f>IFERROR(VLOOKUP(B20,'MASTER RECORD'!$B$5:$W$1000,3,0),"")</f>
        <v/>
      </c>
      <c r="D20" s="35" t="str">
        <f>IFERROR(VLOOKUP(B20,'MASTER RECORD'!$B$5:$W$1000,2,0),"")</f>
        <v/>
      </c>
      <c r="E20" s="36" t="str">
        <f>IFERROR(VLOOKUP(B20,'MASTER RECORD'!$B$5:$W$1000,9,0),"")</f>
        <v/>
      </c>
      <c r="F20" s="35" t="str">
        <f>IFERROR(VLOOKUP(B20,'MASTER RECORD'!$B$5:$W$1000,10,0) &amp;"."&amp;(VLOOKUP(B20,'MASTER RECORD'!$B$5:$W$1000,11,0)),"")</f>
        <v/>
      </c>
      <c r="G20" s="36" t="str">
        <f t="shared" si="1"/>
        <v/>
      </c>
      <c r="H20" s="35" t="str">
        <f t="shared" si="2"/>
        <v/>
      </c>
      <c r="I20" s="35" t="str">
        <f>IFERROR(VLOOKUP(B20,'MASTER RECORD'!$B$5:$W$1000,14,0),"")</f>
        <v/>
      </c>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row>
    <row r="21" spans="1:45">
      <c r="A21" s="28">
        <f t="shared" si="0"/>
        <v>16</v>
      </c>
      <c r="B21" s="7"/>
      <c r="C21" s="35" t="str">
        <f>IFERROR(VLOOKUP(B21,'MASTER RECORD'!$B$5:$W$1000,3,0),"")</f>
        <v/>
      </c>
      <c r="D21" s="35" t="str">
        <f>IFERROR(VLOOKUP(B21,'MASTER RECORD'!$B$5:$W$1000,2,0),"")</f>
        <v/>
      </c>
      <c r="E21" s="36" t="str">
        <f>IFERROR(VLOOKUP(B21,'MASTER RECORD'!$B$5:$W$1000,9,0),"")</f>
        <v/>
      </c>
      <c r="F21" s="35" t="str">
        <f>IFERROR(VLOOKUP(B21,'MASTER RECORD'!$B$5:$W$1000,10,0) &amp;"."&amp;(VLOOKUP(B21,'MASTER RECORD'!$B$5:$W$1000,11,0)),"")</f>
        <v/>
      </c>
      <c r="G21" s="36" t="str">
        <f t="shared" si="1"/>
        <v/>
      </c>
      <c r="H21" s="35" t="str">
        <f t="shared" si="2"/>
        <v/>
      </c>
      <c r="I21" s="35" t="str">
        <f>IFERROR(VLOOKUP(B21,'MASTER RECORD'!$B$5:$W$1000,14,0),"")</f>
        <v/>
      </c>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row>
    <row r="22" spans="1:45">
      <c r="A22" s="28">
        <f t="shared" si="0"/>
        <v>17</v>
      </c>
      <c r="B22" s="7"/>
      <c r="C22" s="35" t="str">
        <f>IFERROR(VLOOKUP(B22,'MASTER RECORD'!$B$5:$W$1000,3,0),"")</f>
        <v/>
      </c>
      <c r="D22" s="35" t="str">
        <f>IFERROR(VLOOKUP(B22,'MASTER RECORD'!$B$5:$W$1000,2,0),"")</f>
        <v/>
      </c>
      <c r="E22" s="36" t="str">
        <f>IFERROR(VLOOKUP(B22,'MASTER RECORD'!$B$5:$W$1000,9,0),"")</f>
        <v/>
      </c>
      <c r="F22" s="35" t="str">
        <f>IFERROR(VLOOKUP(B22,'MASTER RECORD'!$B$5:$W$1000,10,0) &amp;"."&amp;(VLOOKUP(B22,'MASTER RECORD'!$B$5:$W$1000,11,0)),"")</f>
        <v/>
      </c>
      <c r="G22" s="36" t="str">
        <f t="shared" si="1"/>
        <v/>
      </c>
      <c r="H22" s="35" t="str">
        <f t="shared" si="2"/>
        <v/>
      </c>
      <c r="I22" s="35" t="str">
        <f>IFERROR(VLOOKUP(B22,'MASTER RECORD'!$B$5:$W$1000,14,0),"")</f>
        <v/>
      </c>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row>
    <row r="23" spans="1:45">
      <c r="A23" s="28">
        <f t="shared" si="0"/>
        <v>18</v>
      </c>
      <c r="B23" s="7"/>
      <c r="C23" s="35" t="str">
        <f>IFERROR(VLOOKUP(B23,'MASTER RECORD'!$B$5:$W$1000,3,0),"")</f>
        <v/>
      </c>
      <c r="D23" s="35" t="str">
        <f>IFERROR(VLOOKUP(B23,'MASTER RECORD'!$B$5:$W$1000,2,0),"")</f>
        <v/>
      </c>
      <c r="E23" s="36" t="str">
        <f>IFERROR(VLOOKUP(B23,'MASTER RECORD'!$B$5:$W$1000,9,0),"")</f>
        <v/>
      </c>
      <c r="F23" s="35" t="str">
        <f>IFERROR(VLOOKUP(B23,'MASTER RECORD'!$B$5:$W$1000,10,0) &amp;"."&amp;(VLOOKUP(B23,'MASTER RECORD'!$B$5:$W$1000,11,0)),"")</f>
        <v/>
      </c>
      <c r="G23" s="36" t="str">
        <f t="shared" si="1"/>
        <v/>
      </c>
      <c r="H23" s="35" t="str">
        <f t="shared" si="2"/>
        <v/>
      </c>
      <c r="I23" s="35" t="str">
        <f>IFERROR(VLOOKUP(B23,'MASTER RECORD'!$B$5:$W$1000,14,0),"")</f>
        <v/>
      </c>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row>
    <row r="24" spans="1:45">
      <c r="A24" s="28">
        <f t="shared" si="0"/>
        <v>19</v>
      </c>
      <c r="B24" s="7"/>
      <c r="C24" s="35" t="str">
        <f>IFERROR(VLOOKUP(B24,'MASTER RECORD'!$B$5:$W$1000,3,0),"")</f>
        <v/>
      </c>
      <c r="D24" s="35" t="str">
        <f>IFERROR(VLOOKUP(B24,'MASTER RECORD'!$B$5:$W$1000,2,0),"")</f>
        <v/>
      </c>
      <c r="E24" s="36" t="str">
        <f>IFERROR(VLOOKUP(B24,'MASTER RECORD'!$B$5:$W$1000,9,0),"")</f>
        <v/>
      </c>
      <c r="F24" s="35" t="str">
        <f>IFERROR(VLOOKUP(B24,'MASTER RECORD'!$B$5:$W$1000,10,0) &amp;"."&amp;(VLOOKUP(B24,'MASTER RECORD'!$B$5:$W$1000,11,0)),"")</f>
        <v/>
      </c>
      <c r="G24" s="36" t="str">
        <f t="shared" si="1"/>
        <v/>
      </c>
      <c r="H24" s="35" t="str">
        <f t="shared" si="2"/>
        <v/>
      </c>
      <c r="I24" s="35" t="str">
        <f>IFERROR(VLOOKUP(B24,'MASTER RECORD'!$B$5:$W$1000,14,0),"")</f>
        <v/>
      </c>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row>
    <row r="25" spans="1:45">
      <c r="A25" s="28">
        <f t="shared" si="0"/>
        <v>20</v>
      </c>
      <c r="B25" s="7"/>
      <c r="C25" s="35" t="str">
        <f>IFERROR(VLOOKUP(B25,'MASTER RECORD'!$B$5:$W$1000,3,0),"")</f>
        <v/>
      </c>
      <c r="D25" s="35" t="str">
        <f>IFERROR(VLOOKUP(B25,'MASTER RECORD'!$B$5:$W$1000,2,0),"")</f>
        <v/>
      </c>
      <c r="E25" s="36" t="str">
        <f>IFERROR(VLOOKUP(B25,'MASTER RECORD'!$B$5:$W$1000,9,0),"")</f>
        <v/>
      </c>
      <c r="F25" s="35" t="str">
        <f>IFERROR(VLOOKUP(B25,'MASTER RECORD'!$B$5:$W$1000,10,0) &amp;"."&amp;(VLOOKUP(B25,'MASTER RECORD'!$B$5:$W$1000,11,0)),"")</f>
        <v/>
      </c>
      <c r="G25" s="36" t="str">
        <f t="shared" si="1"/>
        <v/>
      </c>
      <c r="H25" s="35" t="str">
        <f t="shared" si="2"/>
        <v/>
      </c>
      <c r="I25" s="35" t="str">
        <f>IFERROR(VLOOKUP(B25,'MASTER RECORD'!$B$5:$W$1000,14,0),"")</f>
        <v/>
      </c>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row>
    <row r="26" spans="1:45">
      <c r="A26" s="28">
        <f t="shared" si="0"/>
        <v>21</v>
      </c>
      <c r="B26" s="7"/>
      <c r="C26" s="35" t="str">
        <f>IFERROR(VLOOKUP(B26,'MASTER RECORD'!$B$5:$W$1000,3,0),"")</f>
        <v/>
      </c>
      <c r="D26" s="35" t="str">
        <f>IFERROR(VLOOKUP(B26,'MASTER RECORD'!$B$5:$W$1000,2,0),"")</f>
        <v/>
      </c>
      <c r="E26" s="36" t="str">
        <f>IFERROR(VLOOKUP(B26,'MASTER RECORD'!$B$5:$W$1000,9,0),"")</f>
        <v/>
      </c>
      <c r="F26" s="35" t="str">
        <f>IFERROR(VLOOKUP(B26,'MASTER RECORD'!$B$5:$W$1000,10,0) &amp;"."&amp;(VLOOKUP(B26,'MASTER RECORD'!$B$5:$W$1000,11,0)),"")</f>
        <v/>
      </c>
      <c r="G26" s="36" t="str">
        <f t="shared" si="1"/>
        <v/>
      </c>
      <c r="H26" s="35" t="str">
        <f t="shared" si="2"/>
        <v/>
      </c>
      <c r="I26" s="35" t="str">
        <f>IFERROR(VLOOKUP(B26,'MASTER RECORD'!$B$5:$W$1000,14,0),"")</f>
        <v/>
      </c>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row>
    <row r="27" spans="1:45">
      <c r="A27" s="28">
        <f t="shared" si="0"/>
        <v>22</v>
      </c>
      <c r="B27" s="7"/>
      <c r="C27" s="35" t="str">
        <f>IFERROR(VLOOKUP(B27,'MASTER RECORD'!$B$5:$W$1000,3,0),"")</f>
        <v/>
      </c>
      <c r="D27" s="35" t="str">
        <f>IFERROR(VLOOKUP(B27,'MASTER RECORD'!$B$5:$W$1000,2,0),"")</f>
        <v/>
      </c>
      <c r="E27" s="36" t="str">
        <f>IFERROR(VLOOKUP(B27,'MASTER RECORD'!$B$5:$W$1000,9,0),"")</f>
        <v/>
      </c>
      <c r="F27" s="35" t="str">
        <f>IFERROR(VLOOKUP(B27,'MASTER RECORD'!$B$5:$W$1000,10,0) &amp;"."&amp;(VLOOKUP(B27,'MASTER RECORD'!$B$5:$W$1000,11,0)),"")</f>
        <v/>
      </c>
      <c r="G27" s="36" t="str">
        <f t="shared" si="1"/>
        <v/>
      </c>
      <c r="H27" s="35" t="str">
        <f t="shared" si="2"/>
        <v/>
      </c>
      <c r="I27" s="35" t="str">
        <f>IFERROR(VLOOKUP(B27,'MASTER RECORD'!$B$5:$W$1000,14,0),"")</f>
        <v/>
      </c>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row>
    <row r="28" spans="1:45">
      <c r="A28" s="28">
        <f t="shared" si="0"/>
        <v>23</v>
      </c>
      <c r="B28" s="7"/>
      <c r="C28" s="35" t="str">
        <f>IFERROR(VLOOKUP(B28,'MASTER RECORD'!$B$5:$W$1000,3,0),"")</f>
        <v/>
      </c>
      <c r="D28" s="35" t="str">
        <f>IFERROR(VLOOKUP(B28,'MASTER RECORD'!$B$5:$W$1000,2,0),"")</f>
        <v/>
      </c>
      <c r="E28" s="36" t="str">
        <f>IFERROR(VLOOKUP(B28,'MASTER RECORD'!$B$5:$W$1000,9,0),"")</f>
        <v/>
      </c>
      <c r="F28" s="35" t="str">
        <f>IFERROR(VLOOKUP(B28,'MASTER RECORD'!$B$5:$W$1000,10,0) &amp;"."&amp;(VLOOKUP(B28,'MASTER RECORD'!$B$5:$W$1000,11,0)),"")</f>
        <v/>
      </c>
      <c r="G28" s="36" t="str">
        <f t="shared" si="1"/>
        <v/>
      </c>
      <c r="H28" s="35" t="str">
        <f t="shared" si="2"/>
        <v/>
      </c>
      <c r="I28" s="35" t="str">
        <f>IFERROR(VLOOKUP(B28,'MASTER RECORD'!$B$5:$W$1000,14,0),"")</f>
        <v/>
      </c>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row>
    <row r="29" spans="1:45">
      <c r="A29" s="28">
        <f t="shared" si="0"/>
        <v>24</v>
      </c>
      <c r="B29" s="7"/>
      <c r="C29" s="35" t="str">
        <f>IFERROR(VLOOKUP(B29,'MASTER RECORD'!$B$5:$W$1000,3,0),"")</f>
        <v/>
      </c>
      <c r="D29" s="35" t="str">
        <f>IFERROR(VLOOKUP(B29,'MASTER RECORD'!$B$5:$W$1000,2,0),"")</f>
        <v/>
      </c>
      <c r="E29" s="36" t="str">
        <f>IFERROR(VLOOKUP(B29,'MASTER RECORD'!$B$5:$W$1000,9,0),"")</f>
        <v/>
      </c>
      <c r="F29" s="35" t="str">
        <f>IFERROR(VLOOKUP(B29,'MASTER RECORD'!$B$5:$W$1000,10,0) &amp;"."&amp;(VLOOKUP(B29,'MASTER RECORD'!$B$5:$W$1000,11,0)),"")</f>
        <v/>
      </c>
      <c r="G29" s="36" t="str">
        <f t="shared" si="1"/>
        <v/>
      </c>
      <c r="H29" s="35" t="str">
        <f t="shared" si="2"/>
        <v/>
      </c>
      <c r="I29" s="35" t="str">
        <f>IFERROR(VLOOKUP(B29,'MASTER RECORD'!$B$5:$W$1000,14,0),"")</f>
        <v/>
      </c>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row>
    <row r="30" spans="1:45">
      <c r="A30" s="28">
        <f t="shared" si="0"/>
        <v>25</v>
      </c>
      <c r="B30" s="7"/>
      <c r="C30" s="35" t="str">
        <f>IFERROR(VLOOKUP(B30,'MASTER RECORD'!$B$5:$W$1000,3,0),"")</f>
        <v/>
      </c>
      <c r="D30" s="35" t="str">
        <f>IFERROR(VLOOKUP(B30,'MASTER RECORD'!$B$5:$W$1000,2,0),"")</f>
        <v/>
      </c>
      <c r="E30" s="36" t="str">
        <f>IFERROR(VLOOKUP(B30,'MASTER RECORD'!$B$5:$W$1000,9,0),"")</f>
        <v/>
      </c>
      <c r="F30" s="35" t="str">
        <f>IFERROR(VLOOKUP(B30,'MASTER RECORD'!$B$5:$W$1000,10,0) &amp;"."&amp;(VLOOKUP(B30,'MASTER RECORD'!$B$5:$W$1000,11,0)),"")</f>
        <v/>
      </c>
      <c r="G30" s="36" t="str">
        <f t="shared" si="1"/>
        <v/>
      </c>
      <c r="H30" s="35" t="str">
        <f t="shared" si="2"/>
        <v/>
      </c>
      <c r="I30" s="35" t="str">
        <f>IFERROR(VLOOKUP(B30,'MASTER RECORD'!$B$5:$W$1000,14,0),"")</f>
        <v/>
      </c>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row>
    <row r="31" spans="1:45">
      <c r="A31" s="28">
        <f t="shared" si="0"/>
        <v>26</v>
      </c>
      <c r="B31" s="7"/>
      <c r="C31" s="35" t="str">
        <f>IFERROR(VLOOKUP(B31,'MASTER RECORD'!$B$5:$W$1000,3,0),"")</f>
        <v/>
      </c>
      <c r="D31" s="35" t="str">
        <f>IFERROR(VLOOKUP(B31,'MASTER RECORD'!$B$5:$W$1000,2,0),"")</f>
        <v/>
      </c>
      <c r="E31" s="36" t="str">
        <f>IFERROR(VLOOKUP(B31,'MASTER RECORD'!$B$5:$W$1000,9,0),"")</f>
        <v/>
      </c>
      <c r="F31" s="35" t="str">
        <f>IFERROR(VLOOKUP(B31,'MASTER RECORD'!$B$5:$W$1000,10,0) &amp;"."&amp;(VLOOKUP(B31,'MASTER RECORD'!$B$5:$W$1000,11,0)),"")</f>
        <v/>
      </c>
      <c r="G31" s="36" t="str">
        <f t="shared" si="1"/>
        <v/>
      </c>
      <c r="H31" s="35" t="str">
        <f t="shared" si="2"/>
        <v/>
      </c>
      <c r="I31" s="35" t="str">
        <f>IFERROR(VLOOKUP(B31,'MASTER RECORD'!$B$5:$W$1000,14,0),"")</f>
        <v/>
      </c>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row>
    <row r="32" spans="1:45">
      <c r="A32" s="28">
        <f t="shared" si="0"/>
        <v>27</v>
      </c>
      <c r="B32" s="7"/>
      <c r="C32" s="35" t="str">
        <f>IFERROR(VLOOKUP(B32,'MASTER RECORD'!$B$5:$W$1000,3,0),"")</f>
        <v/>
      </c>
      <c r="D32" s="35" t="str">
        <f>IFERROR(VLOOKUP(B32,'MASTER RECORD'!$B$5:$W$1000,2,0),"")</f>
        <v/>
      </c>
      <c r="E32" s="36" t="str">
        <f>IFERROR(VLOOKUP(B32,'MASTER RECORD'!$B$5:$W$1000,9,0),"")</f>
        <v/>
      </c>
      <c r="F32" s="35" t="str">
        <f>IFERROR(VLOOKUP(B32,'MASTER RECORD'!$B$5:$W$1000,10,0) &amp;"."&amp;(VLOOKUP(B32,'MASTER RECORD'!$B$5:$W$1000,11,0)),"")</f>
        <v/>
      </c>
      <c r="G32" s="36" t="str">
        <f t="shared" si="1"/>
        <v/>
      </c>
      <c r="H32" s="35" t="str">
        <f t="shared" si="2"/>
        <v/>
      </c>
      <c r="I32" s="35" t="str">
        <f>IFERROR(VLOOKUP(B32,'MASTER RECORD'!$B$5:$W$1000,14,0),"")</f>
        <v/>
      </c>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row>
    <row r="33" spans="1:45">
      <c r="A33" s="28">
        <f t="shared" si="0"/>
        <v>28</v>
      </c>
      <c r="B33" s="7"/>
      <c r="C33" s="35" t="str">
        <f>IFERROR(VLOOKUP(B33,'MASTER RECORD'!$B$5:$W$1000,3,0),"")</f>
        <v/>
      </c>
      <c r="D33" s="35" t="str">
        <f>IFERROR(VLOOKUP(B33,'MASTER RECORD'!$B$5:$W$1000,2,0),"")</f>
        <v/>
      </c>
      <c r="E33" s="36" t="str">
        <f>IFERROR(VLOOKUP(B33,'MASTER RECORD'!$B$5:$W$1000,9,0),"")</f>
        <v/>
      </c>
      <c r="F33" s="35" t="str">
        <f>IFERROR(VLOOKUP(B33,'MASTER RECORD'!$B$5:$W$1000,10,0) &amp;"."&amp;(VLOOKUP(B33,'MASTER RECORD'!$B$5:$W$1000,11,0)),"")</f>
        <v/>
      </c>
      <c r="G33" s="36" t="str">
        <f t="shared" si="1"/>
        <v/>
      </c>
      <c r="H33" s="35" t="str">
        <f t="shared" si="2"/>
        <v/>
      </c>
      <c r="I33" s="35" t="str">
        <f>IFERROR(VLOOKUP(B33,'MASTER RECORD'!$B$5:$W$1000,14,0),"")</f>
        <v/>
      </c>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row>
    <row r="34" spans="1:45">
      <c r="A34" s="28">
        <f t="shared" si="0"/>
        <v>29</v>
      </c>
      <c r="B34" s="7"/>
      <c r="C34" s="35" t="str">
        <f>IFERROR(VLOOKUP(B34,'MASTER RECORD'!$B$5:$W$1000,3,0),"")</f>
        <v/>
      </c>
      <c r="D34" s="35" t="str">
        <f>IFERROR(VLOOKUP(B34,'MASTER RECORD'!$B$5:$W$1000,2,0),"")</f>
        <v/>
      </c>
      <c r="E34" s="36" t="str">
        <f>IFERROR(VLOOKUP(B34,'MASTER RECORD'!$B$5:$W$1000,9,0),"")</f>
        <v/>
      </c>
      <c r="F34" s="35" t="str">
        <f>IFERROR(VLOOKUP(B34,'MASTER RECORD'!$B$5:$W$1000,10,0) &amp;"."&amp;(VLOOKUP(B34,'MASTER RECORD'!$B$5:$W$1000,11,0)),"")</f>
        <v/>
      </c>
      <c r="G34" s="36" t="str">
        <f t="shared" si="1"/>
        <v/>
      </c>
      <c r="H34" s="35" t="str">
        <f t="shared" si="2"/>
        <v/>
      </c>
      <c r="I34" s="35" t="str">
        <f>IFERROR(VLOOKUP(B34,'MASTER RECORD'!$B$5:$W$1000,14,0),"")</f>
        <v/>
      </c>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row>
    <row r="35" spans="1:45">
      <c r="A35" s="28">
        <f t="shared" si="0"/>
        <v>30</v>
      </c>
      <c r="B35" s="7"/>
      <c r="C35" s="35" t="str">
        <f>IFERROR(VLOOKUP(B35,'MASTER RECORD'!$B$5:$W$1000,3,0),"")</f>
        <v/>
      </c>
      <c r="D35" s="35" t="str">
        <f>IFERROR(VLOOKUP(B35,'MASTER RECORD'!$B$5:$W$1000,2,0),"")</f>
        <v/>
      </c>
      <c r="E35" s="36" t="str">
        <f>IFERROR(VLOOKUP(B35,'MASTER RECORD'!$B$5:$W$1000,9,0),"")</f>
        <v/>
      </c>
      <c r="F35" s="35" t="str">
        <f>IFERROR(VLOOKUP(B35,'MASTER RECORD'!$B$5:$W$1000,10,0) &amp;"."&amp;(VLOOKUP(B35,'MASTER RECORD'!$B$5:$W$1000,11,0)),"")</f>
        <v/>
      </c>
      <c r="G35" s="36" t="str">
        <f t="shared" si="1"/>
        <v/>
      </c>
      <c r="H35" s="35" t="str">
        <f t="shared" si="2"/>
        <v/>
      </c>
      <c r="I35" s="35" t="str">
        <f>IFERROR(VLOOKUP(B35,'MASTER RECORD'!$B$5:$W$1000,14,0),"")</f>
        <v/>
      </c>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row>
    <row r="36" spans="1:45">
      <c r="A36" s="28">
        <f t="shared" si="0"/>
        <v>31</v>
      </c>
      <c r="B36" s="7"/>
      <c r="C36" s="35" t="str">
        <f>IFERROR(VLOOKUP(B36,'MASTER RECORD'!$B$5:$W$1000,3,0),"")</f>
        <v/>
      </c>
      <c r="D36" s="35" t="str">
        <f>IFERROR(VLOOKUP(B36,'MASTER RECORD'!$B$5:$W$1000,2,0),"")</f>
        <v/>
      </c>
      <c r="E36" s="36" t="str">
        <f>IFERROR(VLOOKUP(B36,'MASTER RECORD'!$B$5:$W$1000,9,0),"")</f>
        <v/>
      </c>
      <c r="F36" s="35" t="str">
        <f>IFERROR(VLOOKUP(B36,'MASTER RECORD'!$B$5:$W$1000,10,0) &amp;"."&amp;(VLOOKUP(B36,'MASTER RECORD'!$B$5:$W$1000,11,0)),"")</f>
        <v/>
      </c>
      <c r="G36" s="36" t="str">
        <f t="shared" si="1"/>
        <v/>
      </c>
      <c r="H36" s="35" t="str">
        <f t="shared" si="2"/>
        <v/>
      </c>
      <c r="I36" s="35" t="str">
        <f>IFERROR(VLOOKUP(B36,'MASTER RECORD'!$B$5:$W$1000,14,0),"")</f>
        <v/>
      </c>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row>
    <row r="37" spans="1:45">
      <c r="A37" s="28">
        <f t="shared" si="0"/>
        <v>32</v>
      </c>
      <c r="B37" s="7"/>
      <c r="C37" s="35" t="str">
        <f>IFERROR(VLOOKUP(B37,'MASTER RECORD'!$B$5:$W$1000,3,0),"")</f>
        <v/>
      </c>
      <c r="D37" s="35" t="str">
        <f>IFERROR(VLOOKUP(B37,'MASTER RECORD'!$B$5:$W$1000,2,0),"")</f>
        <v/>
      </c>
      <c r="E37" s="36" t="str">
        <f>IFERROR(VLOOKUP(B37,'MASTER RECORD'!$B$5:$W$1000,9,0),"")</f>
        <v/>
      </c>
      <c r="F37" s="35" t="str">
        <f>IFERROR(VLOOKUP(B37,'MASTER RECORD'!$B$5:$W$1000,10,0) &amp;"."&amp;(VLOOKUP(B37,'MASTER RECORD'!$B$5:$W$1000,11,0)),"")</f>
        <v/>
      </c>
      <c r="G37" s="36" t="str">
        <f t="shared" si="1"/>
        <v/>
      </c>
      <c r="H37" s="35" t="str">
        <f t="shared" si="2"/>
        <v/>
      </c>
      <c r="I37" s="35" t="str">
        <f>IFERROR(VLOOKUP(B37,'MASTER RECORD'!$B$5:$W$1000,14,0),"")</f>
        <v/>
      </c>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row>
    <row r="38" spans="1:45">
      <c r="A38" s="28">
        <f t="shared" si="0"/>
        <v>33</v>
      </c>
      <c r="B38" s="7"/>
      <c r="C38" s="35" t="str">
        <f>IFERROR(VLOOKUP(B38,'MASTER RECORD'!$B$5:$W$1000,3,0),"")</f>
        <v/>
      </c>
      <c r="D38" s="35" t="str">
        <f>IFERROR(VLOOKUP(B38,'MASTER RECORD'!$B$5:$W$1000,2,0),"")</f>
        <v/>
      </c>
      <c r="E38" s="36" t="str">
        <f>IFERROR(VLOOKUP(B38,'MASTER RECORD'!$B$5:$W$1000,9,0),"")</f>
        <v/>
      </c>
      <c r="F38" s="35" t="str">
        <f>IFERROR(VLOOKUP(B38,'MASTER RECORD'!$B$5:$W$1000,10,0) &amp;"."&amp;(VLOOKUP(B38,'MASTER RECORD'!$B$5:$W$1000,11,0)),"")</f>
        <v/>
      </c>
      <c r="G38" s="36" t="str">
        <f t="shared" si="1"/>
        <v/>
      </c>
      <c r="H38" s="35" t="str">
        <f t="shared" si="2"/>
        <v/>
      </c>
      <c r="I38" s="35" t="str">
        <f>IFERROR(VLOOKUP(B38,'MASTER RECORD'!$B$5:$W$1000,14,0),"")</f>
        <v/>
      </c>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row>
    <row r="39" spans="1:45">
      <c r="A39" s="28">
        <f t="shared" si="0"/>
        <v>34</v>
      </c>
      <c r="B39" s="7"/>
      <c r="C39" s="35" t="str">
        <f>IFERROR(VLOOKUP(B39,'MASTER RECORD'!$B$5:$W$1000,3,0),"")</f>
        <v/>
      </c>
      <c r="D39" s="35" t="str">
        <f>IFERROR(VLOOKUP(B39,'MASTER RECORD'!$B$5:$W$1000,2,0),"")</f>
        <v/>
      </c>
      <c r="E39" s="36" t="str">
        <f>IFERROR(VLOOKUP(B39,'MASTER RECORD'!$B$5:$W$1000,9,0),"")</f>
        <v/>
      </c>
      <c r="F39" s="35" t="str">
        <f>IFERROR(VLOOKUP(B39,'MASTER RECORD'!$B$5:$W$1000,10,0) &amp;"."&amp;(VLOOKUP(B39,'MASTER RECORD'!$B$5:$W$1000,11,0)),"")</f>
        <v/>
      </c>
      <c r="G39" s="36" t="str">
        <f t="shared" si="1"/>
        <v/>
      </c>
      <c r="H39" s="35" t="str">
        <f t="shared" si="2"/>
        <v/>
      </c>
      <c r="I39" s="35" t="str">
        <f>IFERROR(VLOOKUP(B39,'MASTER RECORD'!$B$5:$W$1000,14,0),"")</f>
        <v/>
      </c>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row>
    <row r="40" spans="1:45">
      <c r="A40" s="28">
        <f t="shared" si="0"/>
        <v>35</v>
      </c>
      <c r="B40" s="7"/>
      <c r="C40" s="35" t="str">
        <f>IFERROR(VLOOKUP(B40,'MASTER RECORD'!$B$5:$W$1000,3,0),"")</f>
        <v/>
      </c>
      <c r="D40" s="35" t="str">
        <f>IFERROR(VLOOKUP(B40,'MASTER RECORD'!$B$5:$W$1000,2,0),"")</f>
        <v/>
      </c>
      <c r="E40" s="36" t="str">
        <f>IFERROR(VLOOKUP(B40,'MASTER RECORD'!$B$5:$W$1000,9,0),"")</f>
        <v/>
      </c>
      <c r="F40" s="35" t="str">
        <f>IFERROR(VLOOKUP(B40,'MASTER RECORD'!$B$5:$W$1000,10,0) &amp;"."&amp;(VLOOKUP(B40,'MASTER RECORD'!$B$5:$W$1000,11,0)),"")</f>
        <v/>
      </c>
      <c r="G40" s="36" t="str">
        <f t="shared" si="1"/>
        <v/>
      </c>
      <c r="H40" s="35" t="str">
        <f t="shared" si="2"/>
        <v/>
      </c>
      <c r="I40" s="35" t="str">
        <f>IFERROR(VLOOKUP(B40,'MASTER RECORD'!$B$5:$W$1000,14,0),"")</f>
        <v/>
      </c>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row>
    <row r="41" spans="1:45">
      <c r="A41" s="28">
        <f t="shared" si="0"/>
        <v>36</v>
      </c>
      <c r="B41" s="7"/>
      <c r="C41" s="35" t="str">
        <f>IFERROR(VLOOKUP(B41,'MASTER RECORD'!$B$5:$W$1000,3,0),"")</f>
        <v/>
      </c>
      <c r="D41" s="35" t="str">
        <f>IFERROR(VLOOKUP(B41,'MASTER RECORD'!$B$5:$W$1000,2,0),"")</f>
        <v/>
      </c>
      <c r="E41" s="36" t="str">
        <f>IFERROR(VLOOKUP(B41,'MASTER RECORD'!$B$5:$W$1000,9,0),"")</f>
        <v/>
      </c>
      <c r="F41" s="35" t="str">
        <f>IFERROR(VLOOKUP(B41,'MASTER RECORD'!$B$5:$W$1000,10,0) &amp;"."&amp;(VLOOKUP(B41,'MASTER RECORD'!$B$5:$W$1000,11,0)),"")</f>
        <v/>
      </c>
      <c r="G41" s="36" t="str">
        <f t="shared" si="1"/>
        <v/>
      </c>
      <c r="H41" s="35" t="str">
        <f t="shared" si="2"/>
        <v/>
      </c>
      <c r="I41" s="35" t="str">
        <f>IFERROR(VLOOKUP(B41,'MASTER RECORD'!$B$5:$W$1000,14,0),"")</f>
        <v/>
      </c>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row>
    <row r="42" spans="1:45">
      <c r="A42" s="28">
        <f t="shared" si="0"/>
        <v>37</v>
      </c>
      <c r="B42" s="7"/>
      <c r="C42" s="35" t="str">
        <f>IFERROR(VLOOKUP(B42,'MASTER RECORD'!$B$5:$W$1000,3,0),"")</f>
        <v/>
      </c>
      <c r="D42" s="35" t="str">
        <f>IFERROR(VLOOKUP(B42,'MASTER RECORD'!$B$5:$W$1000,2,0),"")</f>
        <v/>
      </c>
      <c r="E42" s="36" t="str">
        <f>IFERROR(VLOOKUP(B42,'MASTER RECORD'!$B$5:$W$1000,9,0),"")</f>
        <v/>
      </c>
      <c r="F42" s="35" t="str">
        <f>IFERROR(VLOOKUP(B42,'MASTER RECORD'!$B$5:$W$1000,10,0) &amp;"."&amp;(VLOOKUP(B42,'MASTER RECORD'!$B$5:$W$1000,11,0)),"")</f>
        <v/>
      </c>
      <c r="G42" s="36" t="str">
        <f t="shared" si="1"/>
        <v/>
      </c>
      <c r="H42" s="35" t="str">
        <f t="shared" si="2"/>
        <v/>
      </c>
      <c r="I42" s="35" t="str">
        <f>IFERROR(VLOOKUP(B42,'MASTER RECORD'!$B$5:$W$1000,14,0),"")</f>
        <v/>
      </c>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row>
    <row r="43" spans="1:45">
      <c r="A43" s="28">
        <f t="shared" si="0"/>
        <v>38</v>
      </c>
      <c r="B43" s="7"/>
      <c r="C43" s="35" t="str">
        <f>IFERROR(VLOOKUP(B43,'MASTER RECORD'!$B$5:$W$1000,3,0),"")</f>
        <v/>
      </c>
      <c r="D43" s="35" t="str">
        <f>IFERROR(VLOOKUP(B43,'MASTER RECORD'!$B$5:$W$1000,2,0),"")</f>
        <v/>
      </c>
      <c r="E43" s="36" t="str">
        <f>IFERROR(VLOOKUP(B43,'MASTER RECORD'!$B$5:$W$1000,9,0),"")</f>
        <v/>
      </c>
      <c r="F43" s="35" t="str">
        <f>IFERROR(VLOOKUP(B43,'MASTER RECORD'!$B$5:$W$1000,10,0) &amp;"."&amp;(VLOOKUP(B43,'MASTER RECORD'!$B$5:$W$1000,11,0)),"")</f>
        <v/>
      </c>
      <c r="G43" s="36" t="str">
        <f t="shared" si="1"/>
        <v/>
      </c>
      <c r="H43" s="35" t="str">
        <f t="shared" si="2"/>
        <v/>
      </c>
      <c r="I43" s="35" t="str">
        <f>IFERROR(VLOOKUP(B43,'MASTER RECORD'!$B$5:$W$1000,14,0),"")</f>
        <v/>
      </c>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row>
    <row r="44" spans="1:45">
      <c r="A44" s="28">
        <f t="shared" si="0"/>
        <v>39</v>
      </c>
      <c r="B44" s="7"/>
      <c r="C44" s="35" t="str">
        <f>IFERROR(VLOOKUP(B44,'MASTER RECORD'!$B$5:$W$1000,3,0),"")</f>
        <v/>
      </c>
      <c r="D44" s="35" t="str">
        <f>IFERROR(VLOOKUP(B44,'MASTER RECORD'!$B$5:$W$1000,2,0),"")</f>
        <v/>
      </c>
      <c r="E44" s="36" t="str">
        <f>IFERROR(VLOOKUP(B44,'MASTER RECORD'!$B$5:$W$1000,9,0),"")</f>
        <v/>
      </c>
      <c r="F44" s="35" t="str">
        <f>IFERROR(VLOOKUP(B44,'MASTER RECORD'!$B$5:$W$1000,10,0) &amp;"."&amp;(VLOOKUP(B44,'MASTER RECORD'!$B$5:$W$1000,11,0)),"")</f>
        <v/>
      </c>
      <c r="G44" s="36" t="str">
        <f t="shared" si="1"/>
        <v/>
      </c>
      <c r="H44" s="35" t="str">
        <f t="shared" si="2"/>
        <v/>
      </c>
      <c r="I44" s="35" t="str">
        <f>IFERROR(VLOOKUP(B44,'MASTER RECORD'!$B$5:$W$1000,14,0),"")</f>
        <v/>
      </c>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row>
    <row r="45" spans="1:45">
      <c r="A45" s="28">
        <f t="shared" si="0"/>
        <v>40</v>
      </c>
      <c r="B45" s="7"/>
      <c r="C45" s="35" t="str">
        <f>IFERROR(VLOOKUP(B45,'MASTER RECORD'!$B$5:$W$1000,3,0),"")</f>
        <v/>
      </c>
      <c r="D45" s="35" t="str">
        <f>IFERROR(VLOOKUP(B45,'MASTER RECORD'!$B$5:$W$1000,2,0),"")</f>
        <v/>
      </c>
      <c r="E45" s="36" t="str">
        <f>IFERROR(VLOOKUP(B45,'MASTER RECORD'!$B$5:$W$1000,9,0),"")</f>
        <v/>
      </c>
      <c r="F45" s="35" t="str">
        <f>IFERROR(VLOOKUP(B45,'MASTER RECORD'!$B$5:$W$1000,10,0) &amp;"."&amp;(VLOOKUP(B45,'MASTER RECORD'!$B$5:$W$1000,11,0)),"")</f>
        <v/>
      </c>
      <c r="G45" s="36" t="str">
        <f t="shared" si="1"/>
        <v/>
      </c>
      <c r="H45" s="35" t="str">
        <f t="shared" si="2"/>
        <v/>
      </c>
      <c r="I45" s="35" t="str">
        <f>IFERROR(VLOOKUP(B45,'MASTER RECORD'!$B$5:$W$1000,14,0),"")</f>
        <v/>
      </c>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row>
    <row r="46" spans="1:45">
      <c r="A46" s="28">
        <f t="shared" si="0"/>
        <v>41</v>
      </c>
      <c r="B46" s="7"/>
      <c r="C46" s="35" t="str">
        <f>IFERROR(VLOOKUP(B46,'MASTER RECORD'!$B$5:$W$1000,3,0),"")</f>
        <v/>
      </c>
      <c r="D46" s="35" t="str">
        <f>IFERROR(VLOOKUP(B46,'MASTER RECORD'!$B$5:$W$1000,2,0),"")</f>
        <v/>
      </c>
      <c r="E46" s="36" t="str">
        <f>IFERROR(VLOOKUP(B46,'MASTER RECORD'!$B$5:$W$1000,9,0),"")</f>
        <v/>
      </c>
      <c r="F46" s="35" t="str">
        <f>IFERROR(VLOOKUP(B46,'MASTER RECORD'!$B$5:$W$1000,10,0) &amp;"."&amp;(VLOOKUP(B46,'MASTER RECORD'!$B$5:$W$1000,11,0)),"")</f>
        <v/>
      </c>
      <c r="G46" s="36" t="str">
        <f t="shared" si="1"/>
        <v/>
      </c>
      <c r="H46" s="35" t="str">
        <f t="shared" si="2"/>
        <v/>
      </c>
      <c r="I46" s="35" t="str">
        <f>IFERROR(VLOOKUP(B46,'MASTER RECORD'!$B$5:$W$1000,14,0),"")</f>
        <v/>
      </c>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row>
    <row r="47" spans="1:45">
      <c r="A47" s="28">
        <f t="shared" si="0"/>
        <v>42</v>
      </c>
      <c r="B47" s="7"/>
      <c r="C47" s="35" t="str">
        <f>IFERROR(VLOOKUP(B47,'MASTER RECORD'!$B$5:$W$1000,3,0),"")</f>
        <v/>
      </c>
      <c r="D47" s="35" t="str">
        <f>IFERROR(VLOOKUP(B47,'MASTER RECORD'!$B$5:$W$1000,2,0),"")</f>
        <v/>
      </c>
      <c r="E47" s="36" t="str">
        <f>IFERROR(VLOOKUP(B47,'MASTER RECORD'!$B$5:$W$1000,9,0),"")</f>
        <v/>
      </c>
      <c r="F47" s="35" t="str">
        <f>IFERROR(VLOOKUP(B47,'MASTER RECORD'!$B$5:$W$1000,10,0) &amp;"."&amp;(VLOOKUP(B47,'MASTER RECORD'!$B$5:$W$1000,11,0)),"")</f>
        <v/>
      </c>
      <c r="G47" s="36" t="str">
        <f t="shared" si="1"/>
        <v/>
      </c>
      <c r="H47" s="35" t="str">
        <f t="shared" si="2"/>
        <v/>
      </c>
      <c r="I47" s="35" t="str">
        <f>IFERROR(VLOOKUP(B47,'MASTER RECORD'!$B$5:$W$1000,14,0),"")</f>
        <v/>
      </c>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row>
    <row r="48" spans="1:45">
      <c r="A48" s="28">
        <f t="shared" si="0"/>
        <v>43</v>
      </c>
      <c r="B48" s="7"/>
      <c r="C48" s="35" t="str">
        <f>IFERROR(VLOOKUP(B48,'MASTER RECORD'!$B$5:$W$1000,3,0),"")</f>
        <v/>
      </c>
      <c r="D48" s="35" t="str">
        <f>IFERROR(VLOOKUP(B48,'MASTER RECORD'!$B$5:$W$1000,2,0),"")</f>
        <v/>
      </c>
      <c r="E48" s="36" t="str">
        <f>IFERROR(VLOOKUP(B48,'MASTER RECORD'!$B$5:$W$1000,9,0),"")</f>
        <v/>
      </c>
      <c r="F48" s="35" t="str">
        <f>IFERROR(VLOOKUP(B48,'MASTER RECORD'!$B$5:$W$1000,10,0) &amp;"."&amp;(VLOOKUP(B48,'MASTER RECORD'!$B$5:$W$1000,11,0)),"")</f>
        <v/>
      </c>
      <c r="G48" s="36" t="str">
        <f t="shared" si="1"/>
        <v/>
      </c>
      <c r="H48" s="35" t="str">
        <f t="shared" si="2"/>
        <v/>
      </c>
      <c r="I48" s="35" t="str">
        <f>IFERROR(VLOOKUP(B48,'MASTER RECORD'!$B$5:$W$1000,14,0),"")</f>
        <v/>
      </c>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row>
    <row r="49" spans="1:45">
      <c r="A49" s="28">
        <f t="shared" si="0"/>
        <v>44</v>
      </c>
      <c r="B49" s="7"/>
      <c r="C49" s="35" t="str">
        <f>IFERROR(VLOOKUP(B49,'MASTER RECORD'!$B$5:$W$1000,3,0),"")</f>
        <v/>
      </c>
      <c r="D49" s="35" t="str">
        <f>IFERROR(VLOOKUP(B49,'MASTER RECORD'!$B$5:$W$1000,2,0),"")</f>
        <v/>
      </c>
      <c r="E49" s="36" t="str">
        <f>IFERROR(VLOOKUP(B49,'MASTER RECORD'!$B$5:$W$1000,9,0),"")</f>
        <v/>
      </c>
      <c r="F49" s="35" t="str">
        <f>IFERROR(VLOOKUP(B49,'MASTER RECORD'!$B$5:$W$1000,10,0) &amp;"."&amp;(VLOOKUP(B49,'MASTER RECORD'!$B$5:$W$1000,11,0)),"")</f>
        <v/>
      </c>
      <c r="G49" s="36" t="str">
        <f t="shared" si="1"/>
        <v/>
      </c>
      <c r="H49" s="35" t="str">
        <f t="shared" si="2"/>
        <v/>
      </c>
      <c r="I49" s="35" t="str">
        <f>IFERROR(VLOOKUP(B49,'MASTER RECORD'!$B$5:$W$1000,14,0),"")</f>
        <v/>
      </c>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row>
    <row r="50" spans="1:45">
      <c r="A50" s="28">
        <f t="shared" si="0"/>
        <v>45</v>
      </c>
      <c r="B50" s="7"/>
      <c r="C50" s="35" t="str">
        <f>IFERROR(VLOOKUP(B50,'MASTER RECORD'!$B$5:$W$1000,3,0),"")</f>
        <v/>
      </c>
      <c r="D50" s="35" t="str">
        <f>IFERROR(VLOOKUP(B50,'MASTER RECORD'!$B$5:$W$1000,2,0),"")</f>
        <v/>
      </c>
      <c r="E50" s="36" t="str">
        <f>IFERROR(VLOOKUP(B50,'MASTER RECORD'!$B$5:$W$1000,9,0),"")</f>
        <v/>
      </c>
      <c r="F50" s="35" t="str">
        <f>IFERROR(VLOOKUP(B50,'MASTER RECORD'!$B$5:$W$1000,10,0) &amp;"."&amp;(VLOOKUP(B50,'MASTER RECORD'!$B$5:$W$1000,11,0)),"")</f>
        <v/>
      </c>
      <c r="G50" s="36" t="str">
        <f t="shared" si="1"/>
        <v/>
      </c>
      <c r="H50" s="35" t="str">
        <f t="shared" si="2"/>
        <v/>
      </c>
      <c r="I50" s="35" t="str">
        <f>IFERROR(VLOOKUP(B50,'MASTER RECORD'!$B$5:$W$1000,14,0),"")</f>
        <v/>
      </c>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row>
    <row r="51" spans="1:45">
      <c r="A51" s="28">
        <f t="shared" si="0"/>
        <v>46</v>
      </c>
      <c r="B51" s="7"/>
      <c r="C51" s="35" t="str">
        <f>IFERROR(VLOOKUP(B51,'MASTER RECORD'!$B$5:$W$1000,3,0),"")</f>
        <v/>
      </c>
      <c r="D51" s="35" t="str">
        <f>IFERROR(VLOOKUP(B51,'MASTER RECORD'!$B$5:$W$1000,2,0),"")</f>
        <v/>
      </c>
      <c r="E51" s="36" t="str">
        <f>IFERROR(VLOOKUP(B51,'MASTER RECORD'!$B$5:$W$1000,9,0),"")</f>
        <v/>
      </c>
      <c r="F51" s="35" t="str">
        <f>IFERROR(VLOOKUP(B51,'MASTER RECORD'!$B$5:$W$1000,10,0) &amp;"."&amp;(VLOOKUP(B51,'MASTER RECORD'!$B$5:$W$1000,11,0)),"")</f>
        <v/>
      </c>
      <c r="G51" s="36" t="str">
        <f t="shared" si="1"/>
        <v/>
      </c>
      <c r="H51" s="35" t="str">
        <f t="shared" si="2"/>
        <v/>
      </c>
      <c r="I51" s="35" t="str">
        <f>IFERROR(VLOOKUP(B51,'MASTER RECORD'!$B$5:$W$1000,14,0),"")</f>
        <v/>
      </c>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row>
    <row r="52" spans="1:45">
      <c r="A52" s="28">
        <f t="shared" si="0"/>
        <v>47</v>
      </c>
      <c r="B52" s="7"/>
      <c r="C52" s="35" t="str">
        <f>IFERROR(VLOOKUP(B52,'MASTER RECORD'!$B$5:$W$1000,3,0),"")</f>
        <v/>
      </c>
      <c r="D52" s="35" t="str">
        <f>IFERROR(VLOOKUP(B52,'MASTER RECORD'!$B$5:$W$1000,2,0),"")</f>
        <v/>
      </c>
      <c r="E52" s="36" t="str">
        <f>IFERROR(VLOOKUP(B52,'MASTER RECORD'!$B$5:$W$1000,9,0),"")</f>
        <v/>
      </c>
      <c r="F52" s="35" t="str">
        <f>IFERROR(VLOOKUP(B52,'MASTER RECORD'!$B$5:$W$1000,10,0) &amp;"."&amp;(VLOOKUP(B52,'MASTER RECORD'!$B$5:$W$1000,11,0)),"")</f>
        <v/>
      </c>
      <c r="G52" s="36" t="str">
        <f t="shared" si="1"/>
        <v/>
      </c>
      <c r="H52" s="35" t="str">
        <f t="shared" si="2"/>
        <v/>
      </c>
      <c r="I52" s="35" t="str">
        <f>IFERROR(VLOOKUP(B52,'MASTER RECORD'!$B$5:$W$1000,14,0),"")</f>
        <v/>
      </c>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row>
    <row r="53" spans="1:45">
      <c r="A53" s="28">
        <f t="shared" si="0"/>
        <v>48</v>
      </c>
      <c r="B53" s="7"/>
      <c r="C53" s="35" t="str">
        <f>IFERROR(VLOOKUP(B53,'MASTER RECORD'!$B$5:$W$1000,3,0),"")</f>
        <v/>
      </c>
      <c r="D53" s="35" t="str">
        <f>IFERROR(VLOOKUP(B53,'MASTER RECORD'!$B$5:$W$1000,2,0),"")</f>
        <v/>
      </c>
      <c r="E53" s="36" t="str">
        <f>IFERROR(VLOOKUP(B53,'MASTER RECORD'!$B$5:$W$1000,9,0),"")</f>
        <v/>
      </c>
      <c r="F53" s="35" t="str">
        <f>IFERROR(VLOOKUP(B53,'MASTER RECORD'!$B$5:$W$1000,10,0) &amp;"."&amp;(VLOOKUP(B53,'MASTER RECORD'!$B$5:$W$1000,11,0)),"")</f>
        <v/>
      </c>
      <c r="G53" s="36" t="str">
        <f t="shared" si="1"/>
        <v/>
      </c>
      <c r="H53" s="35" t="str">
        <f t="shared" si="2"/>
        <v/>
      </c>
      <c r="I53" s="35" t="str">
        <f>IFERROR(VLOOKUP(B53,'MASTER RECORD'!$B$5:$W$1000,14,0),"")</f>
        <v/>
      </c>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row>
    <row r="54" spans="1:45">
      <c r="A54" s="28">
        <f t="shared" si="0"/>
        <v>49</v>
      </c>
      <c r="B54" s="7"/>
      <c r="C54" s="35" t="str">
        <f>IFERROR(VLOOKUP(B54,'MASTER RECORD'!$B$5:$W$1000,3,0),"")</f>
        <v/>
      </c>
      <c r="D54" s="35" t="str">
        <f>IFERROR(VLOOKUP(B54,'MASTER RECORD'!$B$5:$W$1000,2,0),"")</f>
        <v/>
      </c>
      <c r="E54" s="36" t="str">
        <f>IFERROR(VLOOKUP(B54,'MASTER RECORD'!$B$5:$W$1000,9,0),"")</f>
        <v/>
      </c>
      <c r="F54" s="35" t="str">
        <f>IFERROR(VLOOKUP(B54,'MASTER RECORD'!$B$5:$W$1000,10,0) &amp;"."&amp;(VLOOKUP(B54,'MASTER RECORD'!$B$5:$W$1000,11,0)),"")</f>
        <v/>
      </c>
      <c r="G54" s="36" t="str">
        <f t="shared" si="1"/>
        <v/>
      </c>
      <c r="H54" s="35" t="str">
        <f t="shared" si="2"/>
        <v/>
      </c>
      <c r="I54" s="35" t="str">
        <f>IFERROR(VLOOKUP(B54,'MASTER RECORD'!$B$5:$W$1000,14,0),"")</f>
        <v/>
      </c>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row>
    <row r="55" spans="1:45">
      <c r="A55" s="28">
        <f t="shared" si="0"/>
        <v>50</v>
      </c>
      <c r="B55" s="7"/>
      <c r="C55" s="35" t="str">
        <f>IFERROR(VLOOKUP(B55,'MASTER RECORD'!$B$5:$W$1000,3,0),"")</f>
        <v/>
      </c>
      <c r="D55" s="35" t="str">
        <f>IFERROR(VLOOKUP(B55,'MASTER RECORD'!$B$5:$W$1000,2,0),"")</f>
        <v/>
      </c>
      <c r="E55" s="36" t="str">
        <f>IFERROR(VLOOKUP(B55,'MASTER RECORD'!$B$5:$W$1000,9,0),"")</f>
        <v/>
      </c>
      <c r="F55" s="35" t="str">
        <f>IFERROR(VLOOKUP(B55,'MASTER RECORD'!$B$5:$W$1000,10,0) &amp;"."&amp;(VLOOKUP(B55,'MASTER RECORD'!$B$5:$W$1000,11,0)),"")</f>
        <v/>
      </c>
      <c r="G55" s="36" t="str">
        <f t="shared" si="1"/>
        <v/>
      </c>
      <c r="H55" s="35" t="str">
        <f t="shared" si="2"/>
        <v/>
      </c>
      <c r="I55" s="35" t="str">
        <f>IFERROR(VLOOKUP(B55,'MASTER RECORD'!$B$5:$W$1000,14,0),"")</f>
        <v/>
      </c>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row>
    <row r="56" spans="1:45">
      <c r="A56" s="28">
        <f t="shared" si="0"/>
        <v>51</v>
      </c>
      <c r="B56" s="7"/>
      <c r="C56" s="35" t="str">
        <f>IFERROR(VLOOKUP(B56,'MASTER RECORD'!$B$5:$W$1000,3,0),"")</f>
        <v/>
      </c>
      <c r="D56" s="35" t="str">
        <f>IFERROR(VLOOKUP(B56,'MASTER RECORD'!$B$5:$W$1000,2,0),"")</f>
        <v/>
      </c>
      <c r="E56" s="36" t="str">
        <f>IFERROR(VLOOKUP(B56,'MASTER RECORD'!$B$5:$W$1000,9,0),"")</f>
        <v/>
      </c>
      <c r="F56" s="35" t="str">
        <f>IFERROR(VLOOKUP(B56,'MASTER RECORD'!$B$5:$W$1000,10,0) &amp;"."&amp;(VLOOKUP(B56,'MASTER RECORD'!$B$5:$W$1000,11,0)),"")</f>
        <v/>
      </c>
      <c r="G56" s="36" t="str">
        <f t="shared" si="1"/>
        <v/>
      </c>
      <c r="H56" s="35" t="str">
        <f t="shared" si="2"/>
        <v/>
      </c>
      <c r="I56" s="35" t="str">
        <f>IFERROR(VLOOKUP(B56,'MASTER RECORD'!$B$5:$W$1000,14,0),"")</f>
        <v/>
      </c>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row>
    <row r="57" spans="1:45">
      <c r="A57" s="28">
        <f t="shared" si="0"/>
        <v>52</v>
      </c>
      <c r="B57" s="7"/>
      <c r="C57" s="35" t="str">
        <f>IFERROR(VLOOKUP(B57,'MASTER RECORD'!$B$5:$W$1000,3,0),"")</f>
        <v/>
      </c>
      <c r="D57" s="35" t="str">
        <f>IFERROR(VLOOKUP(B57,'MASTER RECORD'!$B$5:$W$1000,2,0),"")</f>
        <v/>
      </c>
      <c r="E57" s="36" t="str">
        <f>IFERROR(VLOOKUP(B57,'MASTER RECORD'!$B$5:$W$1000,9,0),"")</f>
        <v/>
      </c>
      <c r="F57" s="35" t="str">
        <f>IFERROR(VLOOKUP(B57,'MASTER RECORD'!$B$5:$W$1000,10,0) &amp;"."&amp;(VLOOKUP(B57,'MASTER RECORD'!$B$5:$W$1000,11,0)),"")</f>
        <v/>
      </c>
      <c r="G57" s="36" t="str">
        <f t="shared" si="1"/>
        <v/>
      </c>
      <c r="H57" s="35" t="str">
        <f t="shared" si="2"/>
        <v/>
      </c>
      <c r="I57" s="35" t="str">
        <f>IFERROR(VLOOKUP(B57,'MASTER RECORD'!$B$5:$W$1000,14,0),"")</f>
        <v/>
      </c>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row>
    <row r="58" spans="1:45">
      <c r="A58" s="28">
        <f t="shared" si="0"/>
        <v>53</v>
      </c>
      <c r="B58" s="7"/>
      <c r="C58" s="35" t="str">
        <f>IFERROR(VLOOKUP(B58,'MASTER RECORD'!$B$5:$W$1000,3,0),"")</f>
        <v/>
      </c>
      <c r="D58" s="35" t="str">
        <f>IFERROR(VLOOKUP(B58,'MASTER RECORD'!$B$5:$W$1000,2,0),"")</f>
        <v/>
      </c>
      <c r="E58" s="36" t="str">
        <f>IFERROR(VLOOKUP(B58,'MASTER RECORD'!$B$5:$W$1000,9,0),"")</f>
        <v/>
      </c>
      <c r="F58" s="35" t="str">
        <f>IFERROR(VLOOKUP(B58,'MASTER RECORD'!$B$5:$W$1000,10,0) &amp;"."&amp;(VLOOKUP(B58,'MASTER RECORD'!$B$5:$W$1000,11,0)),"")</f>
        <v/>
      </c>
      <c r="G58" s="36" t="str">
        <f t="shared" si="1"/>
        <v/>
      </c>
      <c r="H58" s="35" t="str">
        <f t="shared" si="2"/>
        <v/>
      </c>
      <c r="I58" s="35" t="str">
        <f>IFERROR(VLOOKUP(B58,'MASTER RECORD'!$B$5:$W$1000,14,0),"")</f>
        <v/>
      </c>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row>
    <row r="59" spans="1:45">
      <c r="A59" s="28">
        <f t="shared" si="0"/>
        <v>54</v>
      </c>
      <c r="B59" s="7"/>
      <c r="C59" s="35" t="str">
        <f>IFERROR(VLOOKUP(B59,'MASTER RECORD'!$B$5:$W$1000,3,0),"")</f>
        <v/>
      </c>
      <c r="D59" s="35" t="str">
        <f>IFERROR(VLOOKUP(B59,'MASTER RECORD'!$B$5:$W$1000,2,0),"")</f>
        <v/>
      </c>
      <c r="E59" s="36" t="str">
        <f>IFERROR(VLOOKUP(B59,'MASTER RECORD'!$B$5:$W$1000,9,0),"")</f>
        <v/>
      </c>
      <c r="F59" s="35" t="str">
        <f>IFERROR(VLOOKUP(B59,'MASTER RECORD'!$B$5:$W$1000,10,0) &amp;"."&amp;(VLOOKUP(B59,'MASTER RECORD'!$B$5:$W$1000,11,0)),"")</f>
        <v/>
      </c>
      <c r="G59" s="36" t="str">
        <f t="shared" si="1"/>
        <v/>
      </c>
      <c r="H59" s="35" t="str">
        <f t="shared" si="2"/>
        <v/>
      </c>
      <c r="I59" s="35" t="str">
        <f>IFERROR(VLOOKUP(B59,'MASTER RECORD'!$B$5:$W$1000,14,0),"")</f>
        <v/>
      </c>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row>
    <row r="60" spans="1:45">
      <c r="A60" s="28">
        <f t="shared" si="0"/>
        <v>55</v>
      </c>
      <c r="B60" s="7"/>
      <c r="C60" s="35" t="str">
        <f>IFERROR(VLOOKUP(B60,'MASTER RECORD'!$B$5:$W$1000,3,0),"")</f>
        <v/>
      </c>
      <c r="D60" s="35" t="str">
        <f>IFERROR(VLOOKUP(B60,'MASTER RECORD'!$B$5:$W$1000,2,0),"")</f>
        <v/>
      </c>
      <c r="E60" s="36" t="str">
        <f>IFERROR(VLOOKUP(B60,'MASTER RECORD'!$B$5:$W$1000,9,0),"")</f>
        <v/>
      </c>
      <c r="F60" s="35" t="str">
        <f>IFERROR(VLOOKUP(B60,'MASTER RECORD'!$B$5:$W$1000,10,0) &amp;"."&amp;(VLOOKUP(B60,'MASTER RECORD'!$B$5:$W$1000,11,0)),"")</f>
        <v/>
      </c>
      <c r="G60" s="36" t="str">
        <f t="shared" si="1"/>
        <v/>
      </c>
      <c r="H60" s="35" t="str">
        <f t="shared" si="2"/>
        <v/>
      </c>
      <c r="I60" s="35" t="str">
        <f>IFERROR(VLOOKUP(B60,'MASTER RECORD'!$B$5:$W$1000,14,0),"")</f>
        <v/>
      </c>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row>
    <row r="61" spans="1:45">
      <c r="A61" s="28">
        <f t="shared" si="0"/>
        <v>56</v>
      </c>
      <c r="B61" s="7"/>
      <c r="C61" s="35" t="str">
        <f>IFERROR(VLOOKUP(B61,'MASTER RECORD'!$B$5:$W$1000,3,0),"")</f>
        <v/>
      </c>
      <c r="D61" s="35" t="str">
        <f>IFERROR(VLOOKUP(B61,'MASTER RECORD'!$B$5:$W$1000,2,0),"")</f>
        <v/>
      </c>
      <c r="E61" s="36" t="str">
        <f>IFERROR(VLOOKUP(B61,'MASTER RECORD'!$B$5:$W$1000,9,0),"")</f>
        <v/>
      </c>
      <c r="F61" s="35" t="str">
        <f>IFERROR(VLOOKUP(B61,'MASTER RECORD'!$B$5:$W$1000,10,0) &amp;"."&amp;(VLOOKUP(B61,'MASTER RECORD'!$B$5:$W$1000,11,0)),"")</f>
        <v/>
      </c>
      <c r="G61" s="36" t="str">
        <f t="shared" si="1"/>
        <v/>
      </c>
      <c r="H61" s="35" t="str">
        <f t="shared" si="2"/>
        <v/>
      </c>
      <c r="I61" s="35" t="str">
        <f>IFERROR(VLOOKUP(B61,'MASTER RECORD'!$B$5:$W$1000,14,0),"")</f>
        <v/>
      </c>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row>
    <row r="62" spans="1:45">
      <c r="A62" s="28">
        <f t="shared" si="0"/>
        <v>57</v>
      </c>
      <c r="B62" s="7"/>
      <c r="C62" s="35" t="str">
        <f>IFERROR(VLOOKUP(B62,'MASTER RECORD'!$B$5:$W$1000,3,0),"")</f>
        <v/>
      </c>
      <c r="D62" s="35" t="str">
        <f>IFERROR(VLOOKUP(B62,'MASTER RECORD'!$B$5:$W$1000,2,0),"")</f>
        <v/>
      </c>
      <c r="E62" s="36" t="str">
        <f>IFERROR(VLOOKUP(B62,'MASTER RECORD'!$B$5:$W$1000,9,0),"")</f>
        <v/>
      </c>
      <c r="F62" s="35" t="str">
        <f>IFERROR(VLOOKUP(B62,'MASTER RECORD'!$B$5:$W$1000,10,0) &amp;"."&amp;(VLOOKUP(B62,'MASTER RECORD'!$B$5:$W$1000,11,0)),"")</f>
        <v/>
      </c>
      <c r="G62" s="36" t="str">
        <f t="shared" si="1"/>
        <v/>
      </c>
      <c r="H62" s="35" t="str">
        <f t="shared" si="2"/>
        <v/>
      </c>
      <c r="I62" s="35" t="str">
        <f>IFERROR(VLOOKUP(B62,'MASTER RECORD'!$B$5:$W$1000,14,0),"")</f>
        <v/>
      </c>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row>
    <row r="63" spans="1:45">
      <c r="A63" s="28">
        <f t="shared" si="0"/>
        <v>58</v>
      </c>
      <c r="B63" s="7"/>
      <c r="C63" s="35" t="str">
        <f>IFERROR(VLOOKUP(B63,'MASTER RECORD'!$B$5:$W$1000,3,0),"")</f>
        <v/>
      </c>
      <c r="D63" s="35" t="str">
        <f>IFERROR(VLOOKUP(B63,'MASTER RECORD'!$B$5:$W$1000,2,0),"")</f>
        <v/>
      </c>
      <c r="E63" s="36" t="str">
        <f>IFERROR(VLOOKUP(B63,'MASTER RECORD'!$B$5:$W$1000,9,0),"")</f>
        <v/>
      </c>
      <c r="F63" s="35" t="str">
        <f>IFERROR(VLOOKUP(B63,'MASTER RECORD'!$B$5:$W$1000,10,0) &amp;"."&amp;(VLOOKUP(B63,'MASTER RECORD'!$B$5:$W$1000,11,0)),"")</f>
        <v/>
      </c>
      <c r="G63" s="36" t="str">
        <f t="shared" si="1"/>
        <v/>
      </c>
      <c r="H63" s="35" t="str">
        <f t="shared" si="2"/>
        <v/>
      </c>
      <c r="I63" s="35" t="str">
        <f>IFERROR(VLOOKUP(B63,'MASTER RECORD'!$B$5:$W$1000,14,0),"")</f>
        <v/>
      </c>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row>
    <row r="64" spans="1:45">
      <c r="A64" s="28">
        <f t="shared" si="0"/>
        <v>59</v>
      </c>
      <c r="B64" s="7"/>
      <c r="C64" s="35" t="str">
        <f>IFERROR(VLOOKUP(B64,'MASTER RECORD'!$B$5:$W$1000,3,0),"")</f>
        <v/>
      </c>
      <c r="D64" s="35" t="str">
        <f>IFERROR(VLOOKUP(B64,'MASTER RECORD'!$B$5:$W$1000,2,0),"")</f>
        <v/>
      </c>
      <c r="E64" s="36" t="str">
        <f>IFERROR(VLOOKUP(B64,'MASTER RECORD'!$B$5:$W$1000,9,0),"")</f>
        <v/>
      </c>
      <c r="F64" s="35" t="str">
        <f>IFERROR(VLOOKUP(B64,'MASTER RECORD'!$B$5:$W$1000,10,0) &amp;"."&amp;(VLOOKUP(B64,'MASTER RECORD'!$B$5:$W$1000,11,0)),"")</f>
        <v/>
      </c>
      <c r="G64" s="36" t="str">
        <f t="shared" si="1"/>
        <v/>
      </c>
      <c r="H64" s="35" t="str">
        <f t="shared" si="2"/>
        <v/>
      </c>
      <c r="I64" s="35" t="str">
        <f>IFERROR(VLOOKUP(B64,'MASTER RECORD'!$B$5:$W$1000,14,0),"")</f>
        <v/>
      </c>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row>
    <row r="65" spans="1:45">
      <c r="A65" s="28">
        <f t="shared" si="0"/>
        <v>60</v>
      </c>
      <c r="B65" s="7"/>
      <c r="C65" s="35" t="str">
        <f>IFERROR(VLOOKUP(B65,'MASTER RECORD'!$B$5:$W$1000,3,0),"")</f>
        <v/>
      </c>
      <c r="D65" s="35" t="str">
        <f>IFERROR(VLOOKUP(B65,'MASTER RECORD'!$B$5:$W$1000,2,0),"")</f>
        <v/>
      </c>
      <c r="E65" s="36" t="str">
        <f>IFERROR(VLOOKUP(B65,'MASTER RECORD'!$B$5:$W$1000,9,0),"")</f>
        <v/>
      </c>
      <c r="F65" s="35" t="str">
        <f>IFERROR(VLOOKUP(B65,'MASTER RECORD'!$B$5:$W$1000,10,0) &amp;"."&amp;(VLOOKUP(B65,'MASTER RECORD'!$B$5:$W$1000,11,0)),"")</f>
        <v/>
      </c>
      <c r="G65" s="36" t="str">
        <f t="shared" si="1"/>
        <v/>
      </c>
      <c r="H65" s="35" t="str">
        <f t="shared" si="2"/>
        <v/>
      </c>
      <c r="I65" s="35" t="str">
        <f>IFERROR(VLOOKUP(B65,'MASTER RECORD'!$B$5:$W$1000,14,0),"")</f>
        <v/>
      </c>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row>
    <row r="66" spans="1:45">
      <c r="A66" s="28">
        <f t="shared" si="0"/>
        <v>61</v>
      </c>
      <c r="B66" s="7"/>
      <c r="C66" s="35" t="str">
        <f>IFERROR(VLOOKUP(B66,'MASTER RECORD'!$B$5:$W$1000,3,0),"")</f>
        <v/>
      </c>
      <c r="D66" s="35" t="str">
        <f>IFERROR(VLOOKUP(B66,'MASTER RECORD'!$B$5:$W$1000,2,0),"")</f>
        <v/>
      </c>
      <c r="E66" s="36" t="str">
        <f>IFERROR(VLOOKUP(B66,'MASTER RECORD'!$B$5:$W$1000,9,0),"")</f>
        <v/>
      </c>
      <c r="F66" s="35" t="str">
        <f>IFERROR(VLOOKUP(B66,'MASTER RECORD'!$B$5:$W$1000,10,0) &amp;"."&amp;(VLOOKUP(B66,'MASTER RECORD'!$B$5:$W$1000,11,0)),"")</f>
        <v/>
      </c>
      <c r="G66" s="36" t="str">
        <f t="shared" si="1"/>
        <v/>
      </c>
      <c r="H66" s="35" t="str">
        <f t="shared" si="2"/>
        <v/>
      </c>
      <c r="I66" s="35" t="str">
        <f>IFERROR(VLOOKUP(B66,'MASTER RECORD'!$B$5:$W$1000,14,0),"")</f>
        <v/>
      </c>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row>
    <row r="67" spans="1:45">
      <c r="A67" s="28">
        <f t="shared" si="0"/>
        <v>62</v>
      </c>
      <c r="B67" s="7"/>
      <c r="C67" s="35" t="str">
        <f>IFERROR(VLOOKUP(B67,'MASTER RECORD'!$B$5:$W$1000,3,0),"")</f>
        <v/>
      </c>
      <c r="D67" s="35" t="str">
        <f>IFERROR(VLOOKUP(B67,'MASTER RECORD'!$B$5:$W$1000,2,0),"")</f>
        <v/>
      </c>
      <c r="E67" s="36" t="str">
        <f>IFERROR(VLOOKUP(B67,'MASTER RECORD'!$B$5:$W$1000,9,0),"")</f>
        <v/>
      </c>
      <c r="F67" s="35" t="str">
        <f>IFERROR(VLOOKUP(B67,'MASTER RECORD'!$B$5:$W$1000,10,0) &amp;"."&amp;(VLOOKUP(B67,'MASTER RECORD'!$B$5:$W$1000,11,0)),"")</f>
        <v/>
      </c>
      <c r="G67" s="36" t="str">
        <f t="shared" si="1"/>
        <v/>
      </c>
      <c r="H67" s="35" t="str">
        <f t="shared" si="2"/>
        <v/>
      </c>
      <c r="I67" s="35" t="str">
        <f>IFERROR(VLOOKUP(B67,'MASTER RECORD'!$B$5:$W$1000,14,0),"")</f>
        <v/>
      </c>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row>
    <row r="68" spans="1:45">
      <c r="A68" s="28">
        <f t="shared" si="0"/>
        <v>63</v>
      </c>
      <c r="B68" s="7"/>
      <c r="C68" s="35" t="str">
        <f>IFERROR(VLOOKUP(B68,'MASTER RECORD'!$B$5:$W$1000,3,0),"")</f>
        <v/>
      </c>
      <c r="D68" s="35" t="str">
        <f>IFERROR(VLOOKUP(B68,'MASTER RECORD'!$B$5:$W$1000,2,0),"")</f>
        <v/>
      </c>
      <c r="E68" s="36" t="str">
        <f>IFERROR(VLOOKUP(B68,'MASTER RECORD'!$B$5:$W$1000,9,0),"")</f>
        <v/>
      </c>
      <c r="F68" s="35" t="str">
        <f>IFERROR(VLOOKUP(B68,'MASTER RECORD'!$B$5:$W$1000,10,0) &amp;"."&amp;(VLOOKUP(B68,'MASTER RECORD'!$B$5:$W$1000,11,0)),"")</f>
        <v/>
      </c>
      <c r="G68" s="36" t="str">
        <f t="shared" si="1"/>
        <v/>
      </c>
      <c r="H68" s="35" t="str">
        <f t="shared" si="2"/>
        <v/>
      </c>
      <c r="I68" s="35" t="str">
        <f>IFERROR(VLOOKUP(B68,'MASTER RECORD'!$B$5:$W$1000,14,0),"")</f>
        <v/>
      </c>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row>
    <row r="69" spans="1:45">
      <c r="A69" s="28">
        <f t="shared" si="0"/>
        <v>64</v>
      </c>
      <c r="B69" s="7"/>
      <c r="C69" s="35" t="str">
        <f>IFERROR(VLOOKUP(B69,'MASTER RECORD'!$B$5:$W$1000,3,0),"")</f>
        <v/>
      </c>
      <c r="D69" s="35" t="str">
        <f>IFERROR(VLOOKUP(B69,'MASTER RECORD'!$B$5:$W$1000,2,0),"")</f>
        <v/>
      </c>
      <c r="E69" s="36" t="str">
        <f>IFERROR(VLOOKUP(B69,'MASTER RECORD'!$B$5:$W$1000,9,0),"")</f>
        <v/>
      </c>
      <c r="F69" s="35" t="str">
        <f>IFERROR(VLOOKUP(B69,'MASTER RECORD'!$B$5:$W$1000,10,0) &amp;"."&amp;(VLOOKUP(B69,'MASTER RECORD'!$B$5:$W$1000,11,0)),"")</f>
        <v/>
      </c>
      <c r="G69" s="36" t="str">
        <f t="shared" si="1"/>
        <v/>
      </c>
      <c r="H69" s="35" t="str">
        <f t="shared" si="2"/>
        <v/>
      </c>
      <c r="I69" s="35" t="str">
        <f>IFERROR(VLOOKUP(B69,'MASTER RECORD'!$B$5:$W$1000,14,0),"")</f>
        <v/>
      </c>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row>
    <row r="70" spans="1:45">
      <c r="A70" s="28">
        <f t="shared" ref="A70:A133" si="3">ROW(A65)</f>
        <v>65</v>
      </c>
      <c r="B70" s="7"/>
      <c r="C70" s="35" t="str">
        <f>IFERROR(VLOOKUP(B70,'MASTER RECORD'!$B$5:$W$1000,3,0),"")</f>
        <v/>
      </c>
      <c r="D70" s="35" t="str">
        <f>IFERROR(VLOOKUP(B70,'MASTER RECORD'!$B$5:$W$1000,2,0),"")</f>
        <v/>
      </c>
      <c r="E70" s="36" t="str">
        <f>IFERROR(VLOOKUP(B70,'MASTER RECORD'!$B$5:$W$1000,9,0),"")</f>
        <v/>
      </c>
      <c r="F70" s="35" t="str">
        <f>IFERROR(VLOOKUP(B70,'MASTER RECORD'!$B$5:$W$1000,10,0) &amp;"."&amp;(VLOOKUP(B70,'MASTER RECORD'!$B$5:$W$1000,11,0)),"")</f>
        <v/>
      </c>
      <c r="G70" s="36" t="str">
        <f t="shared" si="1"/>
        <v/>
      </c>
      <c r="H70" s="35" t="str">
        <f t="shared" si="2"/>
        <v/>
      </c>
      <c r="I70" s="35" t="str">
        <f>IFERROR(VLOOKUP(B70,'MASTER RECORD'!$B$5:$W$1000,14,0),"")</f>
        <v/>
      </c>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row>
    <row r="71" spans="1:45">
      <c r="A71" s="28">
        <f t="shared" si="3"/>
        <v>66</v>
      </c>
      <c r="B71" s="7"/>
      <c r="C71" s="35" t="str">
        <f>IFERROR(VLOOKUP(B71,'MASTER RECORD'!$B$5:$W$1000,3,0),"")</f>
        <v/>
      </c>
      <c r="D71" s="35" t="str">
        <f>IFERROR(VLOOKUP(B71,'MASTER RECORD'!$B$5:$W$1000,2,0),"")</f>
        <v/>
      </c>
      <c r="E71" s="36" t="str">
        <f>IFERROR(VLOOKUP(B71,'MASTER RECORD'!$B$5:$W$1000,9,0),"")</f>
        <v/>
      </c>
      <c r="F71" s="35" t="str">
        <f>IFERROR(VLOOKUP(B71,'MASTER RECORD'!$B$5:$W$1000,10,0) &amp;"."&amp;(VLOOKUP(B71,'MASTER RECORD'!$B$5:$W$1000,11,0)),"")</f>
        <v/>
      </c>
      <c r="G71" s="36" t="str">
        <f t="shared" ref="G71:G134" si="4">IFERROR(IF(J71="",E71+30.41667,IF(K71="",E71+60.8333,IF(L71="",E71+91.25,IF(M71="",E71+121.667,IF(N71="",E71+152.083,IF(O71="",E71+182.5,IF(P71="",E71+212.917,IF(Q71="",E71+243.333,IF(R71="",E71+273.75,IF(S71="",E71+304.167,IF(T71="",E71+334.583,IF(U71="",E71+365,IF(V71="",E71+395.417,IF(W71="",E71+425.883,IF(X71="",E71+456.25,IF(Y71="",E71+486.667,IF(Z71="",E71+517.083,IF(AA71="",E71+547.5,IF(AB71="",E71+577.917,IF(AC71="",E71+608.333,IF(AD71="",E71+638.75,IF(AE71="",E71+669.167,IF(AF71="",E71+699.583,IF(AG71="",E71+730,IF(AH71="",E71+760.417,IF(AI71="",E71+790.833,IF(AJ71="",E71+821.25,IF(AK71="",E71+851.667,IF(AL71="",E71+882.083,IF(AM71="",E71+912.5,IF(AN71="",E71+942.917,IF(AO71="",E71+973.333,IF(AP71="",E71+1003.75,IF(AQ71="",E71+1034.17,IF(AR71="",E71+1064.58,IF(AS71="",E71+1095,"")))))))))))))))))))))))))))))))))))),"")</f>
        <v/>
      </c>
      <c r="H71" s="35" t="str">
        <f t="shared" si="2"/>
        <v/>
      </c>
      <c r="I71" s="35" t="str">
        <f>IFERROR(VLOOKUP(B71,'MASTER RECORD'!$B$5:$W$1000,14,0),"")</f>
        <v/>
      </c>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row>
    <row r="72" spans="1:45">
      <c r="A72" s="28">
        <f t="shared" si="3"/>
        <v>67</v>
      </c>
      <c r="B72" s="7"/>
      <c r="C72" s="35" t="str">
        <f>IFERROR(VLOOKUP(B72,'MASTER RECORD'!$B$5:$W$1000,3,0),"")</f>
        <v/>
      </c>
      <c r="D72" s="35" t="str">
        <f>IFERROR(VLOOKUP(B72,'MASTER RECORD'!$B$5:$W$1000,2,0),"")</f>
        <v/>
      </c>
      <c r="E72" s="36" t="str">
        <f>IFERROR(VLOOKUP(B72,'MASTER RECORD'!$B$5:$W$1000,9,0),"")</f>
        <v/>
      </c>
      <c r="F72" s="35" t="str">
        <f>IFERROR(VLOOKUP(B72,'MASTER RECORD'!$B$5:$W$1000,10,0) &amp;"."&amp;(VLOOKUP(B72,'MASTER RECORD'!$B$5:$W$1000,11,0)),"")</f>
        <v/>
      </c>
      <c r="G72" s="36" t="str">
        <f t="shared" si="4"/>
        <v/>
      </c>
      <c r="H72" s="35" t="str">
        <f t="shared" ref="H72:H135" si="5">IF(SUM(I72:AS72)=0,"",SUM(I72:AS72))</f>
        <v/>
      </c>
      <c r="I72" s="35" t="str">
        <f>IFERROR(VLOOKUP(B72,'MASTER RECORD'!$B$5:$W$1000,14,0),"")</f>
        <v/>
      </c>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row>
    <row r="73" spans="1:45">
      <c r="A73" s="28">
        <f t="shared" si="3"/>
        <v>68</v>
      </c>
      <c r="B73" s="7"/>
      <c r="C73" s="35" t="str">
        <f>IFERROR(VLOOKUP(B73,'MASTER RECORD'!$B$5:$W$1000,3,0),"")</f>
        <v/>
      </c>
      <c r="D73" s="35" t="str">
        <f>IFERROR(VLOOKUP(B73,'MASTER RECORD'!$B$5:$W$1000,2,0),"")</f>
        <v/>
      </c>
      <c r="E73" s="36" t="str">
        <f>IFERROR(VLOOKUP(B73,'MASTER RECORD'!$B$5:$W$1000,9,0),"")</f>
        <v/>
      </c>
      <c r="F73" s="35" t="str">
        <f>IFERROR(VLOOKUP(B73,'MASTER RECORD'!$B$5:$W$1000,10,0) &amp;"."&amp;(VLOOKUP(B73,'MASTER RECORD'!$B$5:$W$1000,11,0)),"")</f>
        <v/>
      </c>
      <c r="G73" s="36" t="str">
        <f t="shared" si="4"/>
        <v/>
      </c>
      <c r="H73" s="35" t="str">
        <f t="shared" si="5"/>
        <v/>
      </c>
      <c r="I73" s="35" t="str">
        <f>IFERROR(VLOOKUP(B73,'MASTER RECORD'!$B$5:$W$1000,14,0),"")</f>
        <v/>
      </c>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row>
    <row r="74" spans="1:45">
      <c r="A74" s="28">
        <f t="shared" si="3"/>
        <v>69</v>
      </c>
      <c r="B74" s="7"/>
      <c r="C74" s="35" t="str">
        <f>IFERROR(VLOOKUP(B74,'MASTER RECORD'!$B$5:$W$1000,3,0),"")</f>
        <v/>
      </c>
      <c r="D74" s="35" t="str">
        <f>IFERROR(VLOOKUP(B74,'MASTER RECORD'!$B$5:$W$1000,2,0),"")</f>
        <v/>
      </c>
      <c r="E74" s="36" t="str">
        <f>IFERROR(VLOOKUP(B74,'MASTER RECORD'!$B$5:$W$1000,9,0),"")</f>
        <v/>
      </c>
      <c r="F74" s="35" t="str">
        <f>IFERROR(VLOOKUP(B74,'MASTER RECORD'!$B$5:$W$1000,10,0) &amp;"."&amp;(VLOOKUP(B74,'MASTER RECORD'!$B$5:$W$1000,11,0)),"")</f>
        <v/>
      </c>
      <c r="G74" s="36" t="str">
        <f t="shared" si="4"/>
        <v/>
      </c>
      <c r="H74" s="35" t="str">
        <f t="shared" si="5"/>
        <v/>
      </c>
      <c r="I74" s="35" t="str">
        <f>IFERROR(VLOOKUP(B74,'MASTER RECORD'!$B$5:$W$1000,14,0),"")</f>
        <v/>
      </c>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row>
    <row r="75" spans="1:45">
      <c r="A75" s="28">
        <f t="shared" si="3"/>
        <v>70</v>
      </c>
      <c r="B75" s="7"/>
      <c r="C75" s="35" t="str">
        <f>IFERROR(VLOOKUP(B75,'MASTER RECORD'!$B$5:$W$1000,3,0),"")</f>
        <v/>
      </c>
      <c r="D75" s="35" t="str">
        <f>IFERROR(VLOOKUP(B75,'MASTER RECORD'!$B$5:$W$1000,2,0),"")</f>
        <v/>
      </c>
      <c r="E75" s="36" t="str">
        <f>IFERROR(VLOOKUP(B75,'MASTER RECORD'!$B$5:$W$1000,9,0),"")</f>
        <v/>
      </c>
      <c r="F75" s="35" t="str">
        <f>IFERROR(VLOOKUP(B75,'MASTER RECORD'!$B$5:$W$1000,10,0) &amp;"."&amp;(VLOOKUP(B75,'MASTER RECORD'!$B$5:$W$1000,11,0)),"")</f>
        <v/>
      </c>
      <c r="G75" s="36" t="str">
        <f t="shared" si="4"/>
        <v/>
      </c>
      <c r="H75" s="35" t="str">
        <f t="shared" si="5"/>
        <v/>
      </c>
      <c r="I75" s="35" t="str">
        <f>IFERROR(VLOOKUP(B75,'MASTER RECORD'!$B$5:$W$1000,14,0),"")</f>
        <v/>
      </c>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row>
    <row r="76" spans="1:45">
      <c r="A76" s="28">
        <f t="shared" si="3"/>
        <v>71</v>
      </c>
      <c r="B76" s="7"/>
      <c r="C76" s="35" t="str">
        <f>IFERROR(VLOOKUP(B76,'MASTER RECORD'!$B$5:$W$1000,3,0),"")</f>
        <v/>
      </c>
      <c r="D76" s="35" t="str">
        <f>IFERROR(VLOOKUP(B76,'MASTER RECORD'!$B$5:$W$1000,2,0),"")</f>
        <v/>
      </c>
      <c r="E76" s="36" t="str">
        <f>IFERROR(VLOOKUP(B76,'MASTER RECORD'!$B$5:$W$1000,9,0),"")</f>
        <v/>
      </c>
      <c r="F76" s="35" t="str">
        <f>IFERROR(VLOOKUP(B76,'MASTER RECORD'!$B$5:$W$1000,10,0) &amp;"."&amp;(VLOOKUP(B76,'MASTER RECORD'!$B$5:$W$1000,11,0)),"")</f>
        <v/>
      </c>
      <c r="G76" s="36" t="str">
        <f t="shared" si="4"/>
        <v/>
      </c>
      <c r="H76" s="35" t="str">
        <f t="shared" si="5"/>
        <v/>
      </c>
      <c r="I76" s="35" t="str">
        <f>IFERROR(VLOOKUP(B76,'MASTER RECORD'!$B$5:$W$1000,14,0),"")</f>
        <v/>
      </c>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row>
    <row r="77" spans="1:45">
      <c r="A77" s="28">
        <f t="shared" si="3"/>
        <v>72</v>
      </c>
      <c r="B77" s="7"/>
      <c r="C77" s="35" t="str">
        <f>IFERROR(VLOOKUP(B77,'MASTER RECORD'!$B$5:$W$1000,3,0),"")</f>
        <v/>
      </c>
      <c r="D77" s="35" t="str">
        <f>IFERROR(VLOOKUP(B77,'MASTER RECORD'!$B$5:$W$1000,2,0),"")</f>
        <v/>
      </c>
      <c r="E77" s="36" t="str">
        <f>IFERROR(VLOOKUP(B77,'MASTER RECORD'!$B$5:$W$1000,9,0),"")</f>
        <v/>
      </c>
      <c r="F77" s="35" t="str">
        <f>IFERROR(VLOOKUP(B77,'MASTER RECORD'!$B$5:$W$1000,10,0) &amp;"."&amp;(VLOOKUP(B77,'MASTER RECORD'!$B$5:$W$1000,11,0)),"")</f>
        <v/>
      </c>
      <c r="G77" s="36" t="str">
        <f t="shared" si="4"/>
        <v/>
      </c>
      <c r="H77" s="35" t="str">
        <f t="shared" si="5"/>
        <v/>
      </c>
      <c r="I77" s="35" t="str">
        <f>IFERROR(VLOOKUP(B77,'MASTER RECORD'!$B$5:$W$1000,14,0),"")</f>
        <v/>
      </c>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row>
    <row r="78" spans="1:45">
      <c r="A78" s="28">
        <f t="shared" si="3"/>
        <v>73</v>
      </c>
      <c r="B78" s="7"/>
      <c r="C78" s="35" t="str">
        <f>IFERROR(VLOOKUP(B78,'MASTER RECORD'!$B$5:$W$1000,3,0),"")</f>
        <v/>
      </c>
      <c r="D78" s="35" t="str">
        <f>IFERROR(VLOOKUP(B78,'MASTER RECORD'!$B$5:$W$1000,2,0),"")</f>
        <v/>
      </c>
      <c r="E78" s="36" t="str">
        <f>IFERROR(VLOOKUP(B78,'MASTER RECORD'!$B$5:$W$1000,9,0),"")</f>
        <v/>
      </c>
      <c r="F78" s="35" t="str">
        <f>IFERROR(VLOOKUP(B78,'MASTER RECORD'!$B$5:$W$1000,10,0) &amp;"."&amp;(VLOOKUP(B78,'MASTER RECORD'!$B$5:$W$1000,11,0)),"")</f>
        <v/>
      </c>
      <c r="G78" s="36" t="str">
        <f t="shared" si="4"/>
        <v/>
      </c>
      <c r="H78" s="35" t="str">
        <f t="shared" si="5"/>
        <v/>
      </c>
      <c r="I78" s="35" t="str">
        <f>IFERROR(VLOOKUP(B78,'MASTER RECORD'!$B$5:$W$1000,14,0),"")</f>
        <v/>
      </c>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row>
    <row r="79" spans="1:45">
      <c r="A79" s="28">
        <f t="shared" si="3"/>
        <v>74</v>
      </c>
      <c r="B79" s="7"/>
      <c r="C79" s="35" t="str">
        <f>IFERROR(VLOOKUP(B79,'MASTER RECORD'!$B$5:$W$1000,3,0),"")</f>
        <v/>
      </c>
      <c r="D79" s="35" t="str">
        <f>IFERROR(VLOOKUP(B79,'MASTER RECORD'!$B$5:$W$1000,2,0),"")</f>
        <v/>
      </c>
      <c r="E79" s="36" t="str">
        <f>IFERROR(VLOOKUP(B79,'MASTER RECORD'!$B$5:$W$1000,9,0),"")</f>
        <v/>
      </c>
      <c r="F79" s="35" t="str">
        <f>IFERROR(VLOOKUP(B79,'MASTER RECORD'!$B$5:$W$1000,10,0) &amp;"."&amp;(VLOOKUP(B79,'MASTER RECORD'!$B$5:$W$1000,11,0)),"")</f>
        <v/>
      </c>
      <c r="G79" s="36" t="str">
        <f t="shared" si="4"/>
        <v/>
      </c>
      <c r="H79" s="35" t="str">
        <f t="shared" si="5"/>
        <v/>
      </c>
      <c r="I79" s="35" t="str">
        <f>IFERROR(VLOOKUP(B79,'MASTER RECORD'!$B$5:$W$1000,14,0),"")</f>
        <v/>
      </c>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row>
    <row r="80" spans="1:45">
      <c r="A80" s="28">
        <f t="shared" si="3"/>
        <v>75</v>
      </c>
      <c r="B80" s="7"/>
      <c r="C80" s="35" t="str">
        <f>IFERROR(VLOOKUP(B80,'MASTER RECORD'!$B$5:$W$1000,3,0),"")</f>
        <v/>
      </c>
      <c r="D80" s="35" t="str">
        <f>IFERROR(VLOOKUP(B80,'MASTER RECORD'!$B$5:$W$1000,2,0),"")</f>
        <v/>
      </c>
      <c r="E80" s="36" t="str">
        <f>IFERROR(VLOOKUP(B80,'MASTER RECORD'!$B$5:$W$1000,9,0),"")</f>
        <v/>
      </c>
      <c r="F80" s="35" t="str">
        <f>IFERROR(VLOOKUP(B80,'MASTER RECORD'!$B$5:$W$1000,10,0) &amp;"."&amp;(VLOOKUP(B80,'MASTER RECORD'!$B$5:$W$1000,11,0)),"")</f>
        <v/>
      </c>
      <c r="G80" s="36" t="str">
        <f t="shared" si="4"/>
        <v/>
      </c>
      <c r="H80" s="35" t="str">
        <f t="shared" si="5"/>
        <v/>
      </c>
      <c r="I80" s="35" t="str">
        <f>IFERROR(VLOOKUP(B80,'MASTER RECORD'!$B$5:$W$1000,14,0),"")</f>
        <v/>
      </c>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row>
    <row r="81" spans="1:45">
      <c r="A81" s="28">
        <f t="shared" si="3"/>
        <v>76</v>
      </c>
      <c r="B81" s="7"/>
      <c r="C81" s="35" t="str">
        <f>IFERROR(VLOOKUP(B81,'MASTER RECORD'!$B$5:$W$1000,3,0),"")</f>
        <v/>
      </c>
      <c r="D81" s="35" t="str">
        <f>IFERROR(VLOOKUP(B81,'MASTER RECORD'!$B$5:$W$1000,2,0),"")</f>
        <v/>
      </c>
      <c r="E81" s="36" t="str">
        <f>IFERROR(VLOOKUP(B81,'MASTER RECORD'!$B$5:$W$1000,9,0),"")</f>
        <v/>
      </c>
      <c r="F81" s="35" t="str">
        <f>IFERROR(VLOOKUP(B81,'MASTER RECORD'!$B$5:$W$1000,10,0) &amp;"."&amp;(VLOOKUP(B81,'MASTER RECORD'!$B$5:$W$1000,11,0)),"")</f>
        <v/>
      </c>
      <c r="G81" s="36" t="str">
        <f t="shared" si="4"/>
        <v/>
      </c>
      <c r="H81" s="35" t="str">
        <f t="shared" si="5"/>
        <v/>
      </c>
      <c r="I81" s="35" t="str">
        <f>IFERROR(VLOOKUP(B81,'MASTER RECORD'!$B$5:$W$1000,14,0),"")</f>
        <v/>
      </c>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row>
    <row r="82" spans="1:45">
      <c r="A82" s="28">
        <f t="shared" si="3"/>
        <v>77</v>
      </c>
      <c r="B82" s="7"/>
      <c r="C82" s="35" t="str">
        <f>IFERROR(VLOOKUP(B82,'MASTER RECORD'!$B$5:$W$1000,3,0),"")</f>
        <v/>
      </c>
      <c r="D82" s="35" t="str">
        <f>IFERROR(VLOOKUP(B82,'MASTER RECORD'!$B$5:$W$1000,2,0),"")</f>
        <v/>
      </c>
      <c r="E82" s="36" t="str">
        <f>IFERROR(VLOOKUP(B82,'MASTER RECORD'!$B$5:$W$1000,9,0),"")</f>
        <v/>
      </c>
      <c r="F82" s="35" t="str">
        <f>IFERROR(VLOOKUP(B82,'MASTER RECORD'!$B$5:$W$1000,10,0) &amp;"."&amp;(VLOOKUP(B82,'MASTER RECORD'!$B$5:$W$1000,11,0)),"")</f>
        <v/>
      </c>
      <c r="G82" s="36" t="str">
        <f t="shared" si="4"/>
        <v/>
      </c>
      <c r="H82" s="35" t="str">
        <f t="shared" si="5"/>
        <v/>
      </c>
      <c r="I82" s="35" t="str">
        <f>IFERROR(VLOOKUP(B82,'MASTER RECORD'!$B$5:$W$1000,14,0),"")</f>
        <v/>
      </c>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row>
    <row r="83" spans="1:45">
      <c r="A83" s="28">
        <f t="shared" si="3"/>
        <v>78</v>
      </c>
      <c r="B83" s="7"/>
      <c r="C83" s="35" t="str">
        <f>IFERROR(VLOOKUP(B83,'MASTER RECORD'!$B$5:$W$1000,3,0),"")</f>
        <v/>
      </c>
      <c r="D83" s="35" t="str">
        <f>IFERROR(VLOOKUP(B83,'MASTER RECORD'!$B$5:$W$1000,2,0),"")</f>
        <v/>
      </c>
      <c r="E83" s="36" t="str">
        <f>IFERROR(VLOOKUP(B83,'MASTER RECORD'!$B$5:$W$1000,9,0),"")</f>
        <v/>
      </c>
      <c r="F83" s="35" t="str">
        <f>IFERROR(VLOOKUP(B83,'MASTER RECORD'!$B$5:$W$1000,10,0) &amp;"."&amp;(VLOOKUP(B83,'MASTER RECORD'!$B$5:$W$1000,11,0)),"")</f>
        <v/>
      </c>
      <c r="G83" s="36" t="str">
        <f t="shared" si="4"/>
        <v/>
      </c>
      <c r="H83" s="35" t="str">
        <f t="shared" si="5"/>
        <v/>
      </c>
      <c r="I83" s="35" t="str">
        <f>IFERROR(VLOOKUP(B83,'MASTER RECORD'!$B$5:$W$1000,14,0),"")</f>
        <v/>
      </c>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row>
    <row r="84" spans="1:45">
      <c r="A84" s="28">
        <f t="shared" si="3"/>
        <v>79</v>
      </c>
      <c r="B84" s="7"/>
      <c r="C84" s="35" t="str">
        <f>IFERROR(VLOOKUP(B84,'MASTER RECORD'!$B$5:$W$1000,3,0),"")</f>
        <v/>
      </c>
      <c r="D84" s="35" t="str">
        <f>IFERROR(VLOOKUP(B84,'MASTER RECORD'!$B$5:$W$1000,2,0),"")</f>
        <v/>
      </c>
      <c r="E84" s="36" t="str">
        <f>IFERROR(VLOOKUP(B84,'MASTER RECORD'!$B$5:$W$1000,9,0),"")</f>
        <v/>
      </c>
      <c r="F84" s="35" t="str">
        <f>IFERROR(VLOOKUP(B84,'MASTER RECORD'!$B$5:$W$1000,10,0) &amp;"."&amp;(VLOOKUP(B84,'MASTER RECORD'!$B$5:$W$1000,11,0)),"")</f>
        <v/>
      </c>
      <c r="G84" s="36" t="str">
        <f t="shared" si="4"/>
        <v/>
      </c>
      <c r="H84" s="35" t="str">
        <f t="shared" si="5"/>
        <v/>
      </c>
      <c r="I84" s="35" t="str">
        <f>IFERROR(VLOOKUP(B84,'MASTER RECORD'!$B$5:$W$1000,14,0),"")</f>
        <v/>
      </c>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row>
    <row r="85" spans="1:45">
      <c r="A85" s="28">
        <f t="shared" si="3"/>
        <v>80</v>
      </c>
      <c r="B85" s="7"/>
      <c r="C85" s="35" t="str">
        <f>IFERROR(VLOOKUP(B85,'MASTER RECORD'!$B$5:$W$1000,3,0),"")</f>
        <v/>
      </c>
      <c r="D85" s="35" t="str">
        <f>IFERROR(VLOOKUP(B85,'MASTER RECORD'!$B$5:$W$1000,2,0),"")</f>
        <v/>
      </c>
      <c r="E85" s="36" t="str">
        <f>IFERROR(VLOOKUP(B85,'MASTER RECORD'!$B$5:$W$1000,9,0),"")</f>
        <v/>
      </c>
      <c r="F85" s="35" t="str">
        <f>IFERROR(VLOOKUP(B85,'MASTER RECORD'!$B$5:$W$1000,10,0) &amp;"."&amp;(VLOOKUP(B85,'MASTER RECORD'!$B$5:$W$1000,11,0)),"")</f>
        <v/>
      </c>
      <c r="G85" s="36" t="str">
        <f t="shared" si="4"/>
        <v/>
      </c>
      <c r="H85" s="35" t="str">
        <f t="shared" si="5"/>
        <v/>
      </c>
      <c r="I85" s="35" t="str">
        <f>IFERROR(VLOOKUP(B85,'MASTER RECORD'!$B$5:$W$1000,14,0),"")</f>
        <v/>
      </c>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row>
    <row r="86" spans="1:45">
      <c r="A86" s="28">
        <f t="shared" si="3"/>
        <v>81</v>
      </c>
      <c r="B86" s="7"/>
      <c r="C86" s="35" t="str">
        <f>IFERROR(VLOOKUP(B86,'MASTER RECORD'!$B$5:$W$1000,3,0),"")</f>
        <v/>
      </c>
      <c r="D86" s="35" t="str">
        <f>IFERROR(VLOOKUP(B86,'MASTER RECORD'!$B$5:$W$1000,2,0),"")</f>
        <v/>
      </c>
      <c r="E86" s="36" t="str">
        <f>IFERROR(VLOOKUP(B86,'MASTER RECORD'!$B$5:$W$1000,9,0),"")</f>
        <v/>
      </c>
      <c r="F86" s="35" t="str">
        <f>IFERROR(VLOOKUP(B86,'MASTER RECORD'!$B$5:$W$1000,10,0) &amp;"."&amp;(VLOOKUP(B86,'MASTER RECORD'!$B$5:$W$1000,11,0)),"")</f>
        <v/>
      </c>
      <c r="G86" s="36" t="str">
        <f t="shared" si="4"/>
        <v/>
      </c>
      <c r="H86" s="35" t="str">
        <f t="shared" si="5"/>
        <v/>
      </c>
      <c r="I86" s="35" t="str">
        <f>IFERROR(VLOOKUP(B86,'MASTER RECORD'!$B$5:$W$1000,14,0),"")</f>
        <v/>
      </c>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row>
    <row r="87" spans="1:45">
      <c r="A87" s="28">
        <f t="shared" si="3"/>
        <v>82</v>
      </c>
      <c r="B87" s="7"/>
      <c r="C87" s="35" t="str">
        <f>IFERROR(VLOOKUP(B87,'MASTER RECORD'!$B$5:$W$1000,3,0),"")</f>
        <v/>
      </c>
      <c r="D87" s="35" t="str">
        <f>IFERROR(VLOOKUP(B87,'MASTER RECORD'!$B$5:$W$1000,2,0),"")</f>
        <v/>
      </c>
      <c r="E87" s="36" t="str">
        <f>IFERROR(VLOOKUP(B87,'MASTER RECORD'!$B$5:$W$1000,9,0),"")</f>
        <v/>
      </c>
      <c r="F87" s="35" t="str">
        <f>IFERROR(VLOOKUP(B87,'MASTER RECORD'!$B$5:$W$1000,10,0) &amp;"."&amp;(VLOOKUP(B87,'MASTER RECORD'!$B$5:$W$1000,11,0)),"")</f>
        <v/>
      </c>
      <c r="G87" s="36" t="str">
        <f t="shared" si="4"/>
        <v/>
      </c>
      <c r="H87" s="35" t="str">
        <f t="shared" si="5"/>
        <v/>
      </c>
      <c r="I87" s="35" t="str">
        <f>IFERROR(VLOOKUP(B87,'MASTER RECORD'!$B$5:$W$1000,14,0),"")</f>
        <v/>
      </c>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row>
    <row r="88" spans="1:45">
      <c r="A88" s="28">
        <f t="shared" si="3"/>
        <v>83</v>
      </c>
      <c r="B88" s="7"/>
      <c r="C88" s="35" t="str">
        <f>IFERROR(VLOOKUP(B88,'MASTER RECORD'!$B$5:$W$1000,3,0),"")</f>
        <v/>
      </c>
      <c r="D88" s="35" t="str">
        <f>IFERROR(VLOOKUP(B88,'MASTER RECORD'!$B$5:$W$1000,2,0),"")</f>
        <v/>
      </c>
      <c r="E88" s="36" t="str">
        <f>IFERROR(VLOOKUP(B88,'MASTER RECORD'!$B$5:$W$1000,9,0),"")</f>
        <v/>
      </c>
      <c r="F88" s="35" t="str">
        <f>IFERROR(VLOOKUP(B88,'MASTER RECORD'!$B$5:$W$1000,10,0) &amp;"."&amp;(VLOOKUP(B88,'MASTER RECORD'!$B$5:$W$1000,11,0)),"")</f>
        <v/>
      </c>
      <c r="G88" s="36" t="str">
        <f t="shared" si="4"/>
        <v/>
      </c>
      <c r="H88" s="35" t="str">
        <f t="shared" si="5"/>
        <v/>
      </c>
      <c r="I88" s="35" t="str">
        <f>IFERROR(VLOOKUP(B88,'MASTER RECORD'!$B$5:$W$1000,14,0),"")</f>
        <v/>
      </c>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row>
    <row r="89" spans="1:45">
      <c r="A89" s="28">
        <f t="shared" si="3"/>
        <v>84</v>
      </c>
      <c r="B89" s="7"/>
      <c r="C89" s="35" t="str">
        <f>IFERROR(VLOOKUP(B89,'MASTER RECORD'!$B$5:$W$1000,3,0),"")</f>
        <v/>
      </c>
      <c r="D89" s="35" t="str">
        <f>IFERROR(VLOOKUP(B89,'MASTER RECORD'!$B$5:$W$1000,2,0),"")</f>
        <v/>
      </c>
      <c r="E89" s="36" t="str">
        <f>IFERROR(VLOOKUP(B89,'MASTER RECORD'!$B$5:$W$1000,9,0),"")</f>
        <v/>
      </c>
      <c r="F89" s="35" t="str">
        <f>IFERROR(VLOOKUP(B89,'MASTER RECORD'!$B$5:$W$1000,10,0) &amp;"."&amp;(VLOOKUP(B89,'MASTER RECORD'!$B$5:$W$1000,11,0)),"")</f>
        <v/>
      </c>
      <c r="G89" s="36" t="str">
        <f t="shared" si="4"/>
        <v/>
      </c>
      <c r="H89" s="35" t="str">
        <f t="shared" si="5"/>
        <v/>
      </c>
      <c r="I89" s="35" t="str">
        <f>IFERROR(VLOOKUP(B89,'MASTER RECORD'!$B$5:$W$1000,14,0),"")</f>
        <v/>
      </c>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row>
    <row r="90" spans="1:45">
      <c r="A90" s="28">
        <f t="shared" si="3"/>
        <v>85</v>
      </c>
      <c r="B90" s="7"/>
      <c r="C90" s="35" t="str">
        <f>IFERROR(VLOOKUP(B90,'MASTER RECORD'!$B$5:$W$1000,3,0),"")</f>
        <v/>
      </c>
      <c r="D90" s="35" t="str">
        <f>IFERROR(VLOOKUP(B90,'MASTER RECORD'!$B$5:$W$1000,2,0),"")</f>
        <v/>
      </c>
      <c r="E90" s="36" t="str">
        <f>IFERROR(VLOOKUP(B90,'MASTER RECORD'!$B$5:$W$1000,9,0),"")</f>
        <v/>
      </c>
      <c r="F90" s="35" t="str">
        <f>IFERROR(VLOOKUP(B90,'MASTER RECORD'!$B$5:$W$1000,10,0) &amp;"."&amp;(VLOOKUP(B90,'MASTER RECORD'!$B$5:$W$1000,11,0)),"")</f>
        <v/>
      </c>
      <c r="G90" s="36" t="str">
        <f t="shared" si="4"/>
        <v/>
      </c>
      <c r="H90" s="35" t="str">
        <f t="shared" si="5"/>
        <v/>
      </c>
      <c r="I90" s="35" t="str">
        <f>IFERROR(VLOOKUP(B90,'MASTER RECORD'!$B$5:$W$1000,14,0),"")</f>
        <v/>
      </c>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row>
    <row r="91" spans="1:45">
      <c r="A91" s="28">
        <f t="shared" si="3"/>
        <v>86</v>
      </c>
      <c r="B91" s="7"/>
      <c r="C91" s="35" t="str">
        <f>IFERROR(VLOOKUP(B91,'MASTER RECORD'!$B$5:$W$1000,3,0),"")</f>
        <v/>
      </c>
      <c r="D91" s="35" t="str">
        <f>IFERROR(VLOOKUP(B91,'MASTER RECORD'!$B$5:$W$1000,2,0),"")</f>
        <v/>
      </c>
      <c r="E91" s="36" t="str">
        <f>IFERROR(VLOOKUP(B91,'MASTER RECORD'!$B$5:$W$1000,9,0),"")</f>
        <v/>
      </c>
      <c r="F91" s="35" t="str">
        <f>IFERROR(VLOOKUP(B91,'MASTER RECORD'!$B$5:$W$1000,10,0) &amp;"."&amp;(VLOOKUP(B91,'MASTER RECORD'!$B$5:$W$1000,11,0)),"")</f>
        <v/>
      </c>
      <c r="G91" s="36" t="str">
        <f t="shared" si="4"/>
        <v/>
      </c>
      <c r="H91" s="35" t="str">
        <f t="shared" si="5"/>
        <v/>
      </c>
      <c r="I91" s="35" t="str">
        <f>IFERROR(VLOOKUP(B91,'MASTER RECORD'!$B$5:$W$1000,14,0),"")</f>
        <v/>
      </c>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row>
    <row r="92" spans="1:45">
      <c r="A92" s="28">
        <f t="shared" si="3"/>
        <v>87</v>
      </c>
      <c r="B92" s="7"/>
      <c r="C92" s="35" t="str">
        <f>IFERROR(VLOOKUP(B92,'MASTER RECORD'!$B$5:$W$1000,3,0),"")</f>
        <v/>
      </c>
      <c r="D92" s="35" t="str">
        <f>IFERROR(VLOOKUP(B92,'MASTER RECORD'!$B$5:$W$1000,2,0),"")</f>
        <v/>
      </c>
      <c r="E92" s="36" t="str">
        <f>IFERROR(VLOOKUP(B92,'MASTER RECORD'!$B$5:$W$1000,9,0),"")</f>
        <v/>
      </c>
      <c r="F92" s="35" t="str">
        <f>IFERROR(VLOOKUP(B92,'MASTER RECORD'!$B$5:$W$1000,10,0) &amp;"."&amp;(VLOOKUP(B92,'MASTER RECORD'!$B$5:$W$1000,11,0)),"")</f>
        <v/>
      </c>
      <c r="G92" s="36" t="str">
        <f t="shared" si="4"/>
        <v/>
      </c>
      <c r="H92" s="35" t="str">
        <f t="shared" si="5"/>
        <v/>
      </c>
      <c r="I92" s="35" t="str">
        <f>IFERROR(VLOOKUP(B92,'MASTER RECORD'!$B$5:$W$1000,14,0),"")</f>
        <v/>
      </c>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row>
    <row r="93" spans="1:45">
      <c r="A93" s="28">
        <f t="shared" si="3"/>
        <v>88</v>
      </c>
      <c r="B93" s="7"/>
      <c r="C93" s="35" t="str">
        <f>IFERROR(VLOOKUP(B93,'MASTER RECORD'!$B$5:$W$1000,3,0),"")</f>
        <v/>
      </c>
      <c r="D93" s="35" t="str">
        <f>IFERROR(VLOOKUP(B93,'MASTER RECORD'!$B$5:$W$1000,2,0),"")</f>
        <v/>
      </c>
      <c r="E93" s="36" t="str">
        <f>IFERROR(VLOOKUP(B93,'MASTER RECORD'!$B$5:$W$1000,9,0),"")</f>
        <v/>
      </c>
      <c r="F93" s="35" t="str">
        <f>IFERROR(VLOOKUP(B93,'MASTER RECORD'!$B$5:$W$1000,10,0) &amp;"."&amp;(VLOOKUP(B93,'MASTER RECORD'!$B$5:$W$1000,11,0)),"")</f>
        <v/>
      </c>
      <c r="G93" s="36" t="str">
        <f t="shared" si="4"/>
        <v/>
      </c>
      <c r="H93" s="35" t="str">
        <f t="shared" si="5"/>
        <v/>
      </c>
      <c r="I93" s="35" t="str">
        <f>IFERROR(VLOOKUP(B93,'MASTER RECORD'!$B$5:$W$1000,14,0),"")</f>
        <v/>
      </c>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row>
    <row r="94" spans="1:45">
      <c r="A94" s="28">
        <f t="shared" si="3"/>
        <v>89</v>
      </c>
      <c r="B94" s="7"/>
      <c r="C94" s="35" t="str">
        <f>IFERROR(VLOOKUP(B94,'MASTER RECORD'!$B$5:$W$1000,3,0),"")</f>
        <v/>
      </c>
      <c r="D94" s="35" t="str">
        <f>IFERROR(VLOOKUP(B94,'MASTER RECORD'!$B$5:$W$1000,2,0),"")</f>
        <v/>
      </c>
      <c r="E94" s="36" t="str">
        <f>IFERROR(VLOOKUP(B94,'MASTER RECORD'!$B$5:$W$1000,9,0),"")</f>
        <v/>
      </c>
      <c r="F94" s="35" t="str">
        <f>IFERROR(VLOOKUP(B94,'MASTER RECORD'!$B$5:$W$1000,10,0) &amp;"."&amp;(VLOOKUP(B94,'MASTER RECORD'!$B$5:$W$1000,11,0)),"")</f>
        <v/>
      </c>
      <c r="G94" s="36" t="str">
        <f t="shared" si="4"/>
        <v/>
      </c>
      <c r="H94" s="35" t="str">
        <f t="shared" si="5"/>
        <v/>
      </c>
      <c r="I94" s="35" t="str">
        <f>IFERROR(VLOOKUP(B94,'MASTER RECORD'!$B$5:$W$1000,14,0),"")</f>
        <v/>
      </c>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row>
    <row r="95" spans="1:45">
      <c r="A95" s="28">
        <f t="shared" si="3"/>
        <v>90</v>
      </c>
      <c r="B95" s="7"/>
      <c r="C95" s="35" t="str">
        <f>IFERROR(VLOOKUP(B95,'MASTER RECORD'!$B$5:$W$1000,3,0),"")</f>
        <v/>
      </c>
      <c r="D95" s="35" t="str">
        <f>IFERROR(VLOOKUP(B95,'MASTER RECORD'!$B$5:$W$1000,2,0),"")</f>
        <v/>
      </c>
      <c r="E95" s="36" t="str">
        <f>IFERROR(VLOOKUP(B95,'MASTER RECORD'!$B$5:$W$1000,9,0),"")</f>
        <v/>
      </c>
      <c r="F95" s="35" t="str">
        <f>IFERROR(VLOOKUP(B95,'MASTER RECORD'!$B$5:$W$1000,10,0) &amp;"."&amp;(VLOOKUP(B95,'MASTER RECORD'!$B$5:$W$1000,11,0)),"")</f>
        <v/>
      </c>
      <c r="G95" s="36" t="str">
        <f t="shared" si="4"/>
        <v/>
      </c>
      <c r="H95" s="35" t="str">
        <f t="shared" si="5"/>
        <v/>
      </c>
      <c r="I95" s="35" t="str">
        <f>IFERROR(VLOOKUP(B95,'MASTER RECORD'!$B$5:$W$1000,14,0),"")</f>
        <v/>
      </c>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row>
    <row r="96" spans="1:45">
      <c r="A96" s="28">
        <f t="shared" si="3"/>
        <v>91</v>
      </c>
      <c r="B96" s="7"/>
      <c r="C96" s="35" t="str">
        <f>IFERROR(VLOOKUP(B96,'MASTER RECORD'!$B$5:$W$1000,3,0),"")</f>
        <v/>
      </c>
      <c r="D96" s="35" t="str">
        <f>IFERROR(VLOOKUP(B96,'MASTER RECORD'!$B$5:$W$1000,2,0),"")</f>
        <v/>
      </c>
      <c r="E96" s="36" t="str">
        <f>IFERROR(VLOOKUP(B96,'MASTER RECORD'!$B$5:$W$1000,9,0),"")</f>
        <v/>
      </c>
      <c r="F96" s="35" t="str">
        <f>IFERROR(VLOOKUP(B96,'MASTER RECORD'!$B$5:$W$1000,10,0) &amp;"."&amp;(VLOOKUP(B96,'MASTER RECORD'!$B$5:$W$1000,11,0)),"")</f>
        <v/>
      </c>
      <c r="G96" s="36" t="str">
        <f t="shared" si="4"/>
        <v/>
      </c>
      <c r="H96" s="35" t="str">
        <f t="shared" si="5"/>
        <v/>
      </c>
      <c r="I96" s="35" t="str">
        <f>IFERROR(VLOOKUP(B96,'MASTER RECORD'!$B$5:$W$1000,14,0),"")</f>
        <v/>
      </c>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row>
    <row r="97" spans="1:45">
      <c r="A97" s="28">
        <f t="shared" si="3"/>
        <v>92</v>
      </c>
      <c r="B97" s="7"/>
      <c r="C97" s="35" t="str">
        <f>IFERROR(VLOOKUP(B97,'MASTER RECORD'!$B$5:$W$1000,3,0),"")</f>
        <v/>
      </c>
      <c r="D97" s="35" t="str">
        <f>IFERROR(VLOOKUP(B97,'MASTER RECORD'!$B$5:$W$1000,2,0),"")</f>
        <v/>
      </c>
      <c r="E97" s="36" t="str">
        <f>IFERROR(VLOOKUP(B97,'MASTER RECORD'!$B$5:$W$1000,9,0),"")</f>
        <v/>
      </c>
      <c r="F97" s="35" t="str">
        <f>IFERROR(VLOOKUP(B97,'MASTER RECORD'!$B$5:$W$1000,10,0) &amp;"."&amp;(VLOOKUP(B97,'MASTER RECORD'!$B$5:$W$1000,11,0)),"")</f>
        <v/>
      </c>
      <c r="G97" s="36" t="str">
        <f t="shared" si="4"/>
        <v/>
      </c>
      <c r="H97" s="35" t="str">
        <f t="shared" si="5"/>
        <v/>
      </c>
      <c r="I97" s="35" t="str">
        <f>IFERROR(VLOOKUP(B97,'MASTER RECORD'!$B$5:$W$1000,14,0),"")</f>
        <v/>
      </c>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row>
    <row r="98" spans="1:45">
      <c r="A98" s="28">
        <f t="shared" si="3"/>
        <v>93</v>
      </c>
      <c r="B98" s="7"/>
      <c r="C98" s="35" t="str">
        <f>IFERROR(VLOOKUP(B98,'MASTER RECORD'!$B$5:$W$1000,3,0),"")</f>
        <v/>
      </c>
      <c r="D98" s="35" t="str">
        <f>IFERROR(VLOOKUP(B98,'MASTER RECORD'!$B$5:$W$1000,2,0),"")</f>
        <v/>
      </c>
      <c r="E98" s="36" t="str">
        <f>IFERROR(VLOOKUP(B98,'MASTER RECORD'!$B$5:$W$1000,9,0),"")</f>
        <v/>
      </c>
      <c r="F98" s="35" t="str">
        <f>IFERROR(VLOOKUP(B98,'MASTER RECORD'!$B$5:$W$1000,10,0) &amp;"."&amp;(VLOOKUP(B98,'MASTER RECORD'!$B$5:$W$1000,11,0)),"")</f>
        <v/>
      </c>
      <c r="G98" s="36" t="str">
        <f t="shared" si="4"/>
        <v/>
      </c>
      <c r="H98" s="35" t="str">
        <f t="shared" si="5"/>
        <v/>
      </c>
      <c r="I98" s="35" t="str">
        <f>IFERROR(VLOOKUP(B98,'MASTER RECORD'!$B$5:$W$1000,14,0),"")</f>
        <v/>
      </c>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row>
    <row r="99" spans="1:45">
      <c r="A99" s="28">
        <f t="shared" si="3"/>
        <v>94</v>
      </c>
      <c r="B99" s="7"/>
      <c r="C99" s="35" t="str">
        <f>IFERROR(VLOOKUP(B99,'MASTER RECORD'!$B$5:$W$1000,3,0),"")</f>
        <v/>
      </c>
      <c r="D99" s="35" t="str">
        <f>IFERROR(VLOOKUP(B99,'MASTER RECORD'!$B$5:$W$1000,2,0),"")</f>
        <v/>
      </c>
      <c r="E99" s="36" t="str">
        <f>IFERROR(VLOOKUP(B99,'MASTER RECORD'!$B$5:$W$1000,9,0),"")</f>
        <v/>
      </c>
      <c r="F99" s="35" t="str">
        <f>IFERROR(VLOOKUP(B99,'MASTER RECORD'!$B$5:$W$1000,10,0) &amp;"."&amp;(VLOOKUP(B99,'MASTER RECORD'!$B$5:$W$1000,11,0)),"")</f>
        <v/>
      </c>
      <c r="G99" s="36" t="str">
        <f t="shared" si="4"/>
        <v/>
      </c>
      <c r="H99" s="35" t="str">
        <f t="shared" si="5"/>
        <v/>
      </c>
      <c r="I99" s="35" t="str">
        <f>IFERROR(VLOOKUP(B99,'MASTER RECORD'!$B$5:$W$1000,14,0),"")</f>
        <v/>
      </c>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row>
    <row r="100" spans="1:45">
      <c r="A100" s="28">
        <f t="shared" si="3"/>
        <v>95</v>
      </c>
      <c r="B100" s="7"/>
      <c r="C100" s="35" t="str">
        <f>IFERROR(VLOOKUP(B100,'MASTER RECORD'!$B$5:$W$1000,3,0),"")</f>
        <v/>
      </c>
      <c r="D100" s="35" t="str">
        <f>IFERROR(VLOOKUP(B100,'MASTER RECORD'!$B$5:$W$1000,2,0),"")</f>
        <v/>
      </c>
      <c r="E100" s="36" t="str">
        <f>IFERROR(VLOOKUP(B100,'MASTER RECORD'!$B$5:$W$1000,9,0),"")</f>
        <v/>
      </c>
      <c r="F100" s="35" t="str">
        <f>IFERROR(VLOOKUP(B100,'MASTER RECORD'!$B$5:$W$1000,10,0) &amp;"."&amp;(VLOOKUP(B100,'MASTER RECORD'!$B$5:$W$1000,11,0)),"")</f>
        <v/>
      </c>
      <c r="G100" s="36" t="str">
        <f t="shared" si="4"/>
        <v/>
      </c>
      <c r="H100" s="35" t="str">
        <f t="shared" si="5"/>
        <v/>
      </c>
      <c r="I100" s="35" t="str">
        <f>IFERROR(VLOOKUP(B100,'MASTER RECORD'!$B$5:$W$1000,14,0),"")</f>
        <v/>
      </c>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row>
    <row r="101" spans="1:45">
      <c r="A101" s="28">
        <f t="shared" si="3"/>
        <v>96</v>
      </c>
      <c r="B101" s="7"/>
      <c r="C101" s="35" t="str">
        <f>IFERROR(VLOOKUP(B101,'MASTER RECORD'!$B$5:$W$1000,3,0),"")</f>
        <v/>
      </c>
      <c r="D101" s="35" t="str">
        <f>IFERROR(VLOOKUP(B101,'MASTER RECORD'!$B$5:$W$1000,2,0),"")</f>
        <v/>
      </c>
      <c r="E101" s="36" t="str">
        <f>IFERROR(VLOOKUP(B101,'MASTER RECORD'!$B$5:$W$1000,9,0),"")</f>
        <v/>
      </c>
      <c r="F101" s="35" t="str">
        <f>IFERROR(VLOOKUP(B101,'MASTER RECORD'!$B$5:$W$1000,10,0) &amp;"."&amp;(VLOOKUP(B101,'MASTER RECORD'!$B$5:$W$1000,11,0)),"")</f>
        <v/>
      </c>
      <c r="G101" s="36" t="str">
        <f t="shared" si="4"/>
        <v/>
      </c>
      <c r="H101" s="35" t="str">
        <f t="shared" si="5"/>
        <v/>
      </c>
      <c r="I101" s="35" t="str">
        <f>IFERROR(VLOOKUP(B101,'MASTER RECORD'!$B$5:$W$1000,14,0),"")</f>
        <v/>
      </c>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row>
    <row r="102" spans="1:45">
      <c r="A102" s="28">
        <f t="shared" si="3"/>
        <v>97</v>
      </c>
      <c r="B102" s="7"/>
      <c r="C102" s="35" t="str">
        <f>IFERROR(VLOOKUP(B102,'MASTER RECORD'!$B$5:$W$1000,3,0),"")</f>
        <v/>
      </c>
      <c r="D102" s="35" t="str">
        <f>IFERROR(VLOOKUP(B102,'MASTER RECORD'!$B$5:$W$1000,2,0),"")</f>
        <v/>
      </c>
      <c r="E102" s="36" t="str">
        <f>IFERROR(VLOOKUP(B102,'MASTER RECORD'!$B$5:$W$1000,9,0),"")</f>
        <v/>
      </c>
      <c r="F102" s="35" t="str">
        <f>IFERROR(VLOOKUP(B102,'MASTER RECORD'!$B$5:$W$1000,10,0) &amp;"."&amp;(VLOOKUP(B102,'MASTER RECORD'!$B$5:$W$1000,11,0)),"")</f>
        <v/>
      </c>
      <c r="G102" s="36" t="str">
        <f t="shared" si="4"/>
        <v/>
      </c>
      <c r="H102" s="35" t="str">
        <f t="shared" si="5"/>
        <v/>
      </c>
      <c r="I102" s="35" t="str">
        <f>IFERROR(VLOOKUP(B102,'MASTER RECORD'!$B$5:$W$1000,14,0),"")</f>
        <v/>
      </c>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row>
    <row r="103" spans="1:45">
      <c r="A103" s="28">
        <f t="shared" si="3"/>
        <v>98</v>
      </c>
      <c r="B103" s="7"/>
      <c r="C103" s="35" t="str">
        <f>IFERROR(VLOOKUP(B103,'MASTER RECORD'!$B$5:$W$1000,3,0),"")</f>
        <v/>
      </c>
      <c r="D103" s="35" t="str">
        <f>IFERROR(VLOOKUP(B103,'MASTER RECORD'!$B$5:$W$1000,2,0),"")</f>
        <v/>
      </c>
      <c r="E103" s="36" t="str">
        <f>IFERROR(VLOOKUP(B103,'MASTER RECORD'!$B$5:$W$1000,9,0),"")</f>
        <v/>
      </c>
      <c r="F103" s="35" t="str">
        <f>IFERROR(VLOOKUP(B103,'MASTER RECORD'!$B$5:$W$1000,10,0) &amp;"."&amp;(VLOOKUP(B103,'MASTER RECORD'!$B$5:$W$1000,11,0)),"")</f>
        <v/>
      </c>
      <c r="G103" s="36" t="str">
        <f t="shared" si="4"/>
        <v/>
      </c>
      <c r="H103" s="35" t="str">
        <f t="shared" si="5"/>
        <v/>
      </c>
      <c r="I103" s="35" t="str">
        <f>IFERROR(VLOOKUP(B103,'MASTER RECORD'!$B$5:$W$1000,14,0),"")</f>
        <v/>
      </c>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row>
    <row r="104" spans="1:45">
      <c r="A104" s="28">
        <f t="shared" si="3"/>
        <v>99</v>
      </c>
      <c r="B104" s="7"/>
      <c r="C104" s="35" t="str">
        <f>IFERROR(VLOOKUP(B104,'MASTER RECORD'!$B$5:$W$1000,3,0),"")</f>
        <v/>
      </c>
      <c r="D104" s="35" t="str">
        <f>IFERROR(VLOOKUP(B104,'MASTER RECORD'!$B$5:$W$1000,2,0),"")</f>
        <v/>
      </c>
      <c r="E104" s="36" t="str">
        <f>IFERROR(VLOOKUP(B104,'MASTER RECORD'!$B$5:$W$1000,9,0),"")</f>
        <v/>
      </c>
      <c r="F104" s="35" t="str">
        <f>IFERROR(VLOOKUP(B104,'MASTER RECORD'!$B$5:$W$1000,10,0) &amp;"."&amp;(VLOOKUP(B104,'MASTER RECORD'!$B$5:$W$1000,11,0)),"")</f>
        <v/>
      </c>
      <c r="G104" s="36" t="str">
        <f t="shared" si="4"/>
        <v/>
      </c>
      <c r="H104" s="35" t="str">
        <f t="shared" si="5"/>
        <v/>
      </c>
      <c r="I104" s="35" t="str">
        <f>IFERROR(VLOOKUP(B104,'MASTER RECORD'!$B$5:$W$1000,14,0),"")</f>
        <v/>
      </c>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row>
    <row r="105" spans="1:45">
      <c r="A105" s="28">
        <f t="shared" si="3"/>
        <v>100</v>
      </c>
      <c r="B105" s="7"/>
      <c r="C105" s="35" t="str">
        <f>IFERROR(VLOOKUP(B105,'MASTER RECORD'!$B$5:$W$1000,3,0),"")</f>
        <v/>
      </c>
      <c r="D105" s="35" t="str">
        <f>IFERROR(VLOOKUP(B105,'MASTER RECORD'!$B$5:$W$1000,2,0),"")</f>
        <v/>
      </c>
      <c r="E105" s="36" t="str">
        <f>IFERROR(VLOOKUP(B105,'MASTER RECORD'!$B$5:$W$1000,9,0),"")</f>
        <v/>
      </c>
      <c r="F105" s="35" t="str">
        <f>IFERROR(VLOOKUP(B105,'MASTER RECORD'!$B$5:$W$1000,10,0) &amp;"."&amp;(VLOOKUP(B105,'MASTER RECORD'!$B$5:$W$1000,11,0)),"")</f>
        <v/>
      </c>
      <c r="G105" s="36" t="str">
        <f t="shared" si="4"/>
        <v/>
      </c>
      <c r="H105" s="35" t="str">
        <f t="shared" si="5"/>
        <v/>
      </c>
      <c r="I105" s="35" t="str">
        <f>IFERROR(VLOOKUP(B105,'MASTER RECORD'!$B$5:$W$1000,14,0),"")</f>
        <v/>
      </c>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row>
    <row r="106" spans="1:45">
      <c r="A106" s="28">
        <f t="shared" si="3"/>
        <v>101</v>
      </c>
      <c r="B106" s="7"/>
      <c r="C106" s="35" t="str">
        <f>IFERROR(VLOOKUP(B106,'MASTER RECORD'!$B$5:$W$1000,3,0),"")</f>
        <v/>
      </c>
      <c r="D106" s="35" t="str">
        <f>IFERROR(VLOOKUP(B106,'MASTER RECORD'!$B$5:$W$1000,2,0),"")</f>
        <v/>
      </c>
      <c r="E106" s="36" t="str">
        <f>IFERROR(VLOOKUP(B106,'MASTER RECORD'!$B$5:$W$1000,9,0),"")</f>
        <v/>
      </c>
      <c r="F106" s="35" t="str">
        <f>IFERROR(VLOOKUP(B106,'MASTER RECORD'!$B$5:$W$1000,10,0) &amp;"."&amp;(VLOOKUP(B106,'MASTER RECORD'!$B$5:$W$1000,11,0)),"")</f>
        <v/>
      </c>
      <c r="G106" s="36" t="str">
        <f t="shared" si="4"/>
        <v/>
      </c>
      <c r="H106" s="35" t="str">
        <f t="shared" si="5"/>
        <v/>
      </c>
      <c r="I106" s="35" t="str">
        <f>IFERROR(VLOOKUP(B106,'MASTER RECORD'!$B$5:$W$1000,14,0),"")</f>
        <v/>
      </c>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row>
    <row r="107" spans="1:45">
      <c r="A107" s="28">
        <f t="shared" si="3"/>
        <v>102</v>
      </c>
      <c r="B107" s="7"/>
      <c r="C107" s="35" t="str">
        <f>IFERROR(VLOOKUP(B107,'MASTER RECORD'!$B$5:$W$1000,3,0),"")</f>
        <v/>
      </c>
      <c r="D107" s="35" t="str">
        <f>IFERROR(VLOOKUP(B107,'MASTER RECORD'!$B$5:$W$1000,2,0),"")</f>
        <v/>
      </c>
      <c r="E107" s="36" t="str">
        <f>IFERROR(VLOOKUP(B107,'MASTER RECORD'!$B$5:$W$1000,9,0),"")</f>
        <v/>
      </c>
      <c r="F107" s="35" t="str">
        <f>IFERROR(VLOOKUP(B107,'MASTER RECORD'!$B$5:$W$1000,10,0) &amp;"."&amp;(VLOOKUP(B107,'MASTER RECORD'!$B$5:$W$1000,11,0)),"")</f>
        <v/>
      </c>
      <c r="G107" s="36" t="str">
        <f t="shared" si="4"/>
        <v/>
      </c>
      <c r="H107" s="35" t="str">
        <f t="shared" si="5"/>
        <v/>
      </c>
      <c r="I107" s="35" t="str">
        <f>IFERROR(VLOOKUP(B107,'MASTER RECORD'!$B$5:$W$1000,14,0),"")</f>
        <v/>
      </c>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row>
    <row r="108" spans="1:45">
      <c r="A108" s="28">
        <f t="shared" si="3"/>
        <v>103</v>
      </c>
      <c r="B108" s="7"/>
      <c r="C108" s="35" t="str">
        <f>IFERROR(VLOOKUP(B108,'MASTER RECORD'!$B$5:$W$1000,3,0),"")</f>
        <v/>
      </c>
      <c r="D108" s="35" t="str">
        <f>IFERROR(VLOOKUP(B108,'MASTER RECORD'!$B$5:$W$1000,2,0),"")</f>
        <v/>
      </c>
      <c r="E108" s="36" t="str">
        <f>IFERROR(VLOOKUP(B108,'MASTER RECORD'!$B$5:$W$1000,9,0),"")</f>
        <v/>
      </c>
      <c r="F108" s="35" t="str">
        <f>IFERROR(VLOOKUP(B108,'MASTER RECORD'!$B$5:$W$1000,10,0) &amp;"."&amp;(VLOOKUP(B108,'MASTER RECORD'!$B$5:$W$1000,11,0)),"")</f>
        <v/>
      </c>
      <c r="G108" s="36" t="str">
        <f t="shared" si="4"/>
        <v/>
      </c>
      <c r="H108" s="35" t="str">
        <f t="shared" si="5"/>
        <v/>
      </c>
      <c r="I108" s="35" t="str">
        <f>IFERROR(VLOOKUP(B108,'MASTER RECORD'!$B$5:$W$1000,14,0),"")</f>
        <v/>
      </c>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row>
    <row r="109" spans="1:45">
      <c r="A109" s="28">
        <f t="shared" si="3"/>
        <v>104</v>
      </c>
      <c r="B109" s="7"/>
      <c r="C109" s="35" t="str">
        <f>IFERROR(VLOOKUP(B109,'MASTER RECORD'!$B$5:$W$1000,3,0),"")</f>
        <v/>
      </c>
      <c r="D109" s="35" t="str">
        <f>IFERROR(VLOOKUP(B109,'MASTER RECORD'!$B$5:$W$1000,2,0),"")</f>
        <v/>
      </c>
      <c r="E109" s="36" t="str">
        <f>IFERROR(VLOOKUP(B109,'MASTER RECORD'!$B$5:$W$1000,9,0),"")</f>
        <v/>
      </c>
      <c r="F109" s="35" t="str">
        <f>IFERROR(VLOOKUP(B109,'MASTER RECORD'!$B$5:$W$1000,10,0) &amp;"."&amp;(VLOOKUP(B109,'MASTER RECORD'!$B$5:$W$1000,11,0)),"")</f>
        <v/>
      </c>
      <c r="G109" s="36" t="str">
        <f t="shared" si="4"/>
        <v/>
      </c>
      <c r="H109" s="35" t="str">
        <f t="shared" si="5"/>
        <v/>
      </c>
      <c r="I109" s="35" t="str">
        <f>IFERROR(VLOOKUP(B109,'MASTER RECORD'!$B$5:$W$1000,14,0),"")</f>
        <v/>
      </c>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row>
    <row r="110" spans="1:45">
      <c r="A110" s="28">
        <f t="shared" si="3"/>
        <v>105</v>
      </c>
      <c r="B110" s="7"/>
      <c r="C110" s="35" t="str">
        <f>IFERROR(VLOOKUP(B110,'MASTER RECORD'!$B$5:$W$1000,3,0),"")</f>
        <v/>
      </c>
      <c r="D110" s="35" t="str">
        <f>IFERROR(VLOOKUP(B110,'MASTER RECORD'!$B$5:$W$1000,2,0),"")</f>
        <v/>
      </c>
      <c r="E110" s="36" t="str">
        <f>IFERROR(VLOOKUP(B110,'MASTER RECORD'!$B$5:$W$1000,9,0),"")</f>
        <v/>
      </c>
      <c r="F110" s="35" t="str">
        <f>IFERROR(VLOOKUP(B110,'MASTER RECORD'!$B$5:$W$1000,10,0) &amp;"."&amp;(VLOOKUP(B110,'MASTER RECORD'!$B$5:$W$1000,11,0)),"")</f>
        <v/>
      </c>
      <c r="G110" s="36" t="str">
        <f t="shared" si="4"/>
        <v/>
      </c>
      <c r="H110" s="35" t="str">
        <f t="shared" si="5"/>
        <v/>
      </c>
      <c r="I110" s="35" t="str">
        <f>IFERROR(VLOOKUP(B110,'MASTER RECORD'!$B$5:$W$1000,14,0),"")</f>
        <v/>
      </c>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row>
    <row r="111" spans="1:45">
      <c r="A111" s="28">
        <f t="shared" si="3"/>
        <v>106</v>
      </c>
      <c r="B111" s="7"/>
      <c r="C111" s="35" t="str">
        <f>IFERROR(VLOOKUP(B111,'MASTER RECORD'!$B$5:$W$1000,3,0),"")</f>
        <v/>
      </c>
      <c r="D111" s="35" t="str">
        <f>IFERROR(VLOOKUP(B111,'MASTER RECORD'!$B$5:$W$1000,2,0),"")</f>
        <v/>
      </c>
      <c r="E111" s="36" t="str">
        <f>IFERROR(VLOOKUP(B111,'MASTER RECORD'!$B$5:$W$1000,9,0),"")</f>
        <v/>
      </c>
      <c r="F111" s="35" t="str">
        <f>IFERROR(VLOOKUP(B111,'MASTER RECORD'!$B$5:$W$1000,10,0) &amp;"."&amp;(VLOOKUP(B111,'MASTER RECORD'!$B$5:$W$1000,11,0)),"")</f>
        <v/>
      </c>
      <c r="G111" s="36" t="str">
        <f t="shared" si="4"/>
        <v/>
      </c>
      <c r="H111" s="35" t="str">
        <f t="shared" si="5"/>
        <v/>
      </c>
      <c r="I111" s="35" t="str">
        <f>IFERROR(VLOOKUP(B111,'MASTER RECORD'!$B$5:$W$1000,14,0),"")</f>
        <v/>
      </c>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row>
    <row r="112" spans="1:45">
      <c r="A112" s="28">
        <f t="shared" si="3"/>
        <v>107</v>
      </c>
      <c r="B112" s="7"/>
      <c r="C112" s="35" t="str">
        <f>IFERROR(VLOOKUP(B112,'MASTER RECORD'!$B$5:$W$1000,3,0),"")</f>
        <v/>
      </c>
      <c r="D112" s="35" t="str">
        <f>IFERROR(VLOOKUP(B112,'MASTER RECORD'!$B$5:$W$1000,2,0),"")</f>
        <v/>
      </c>
      <c r="E112" s="36" t="str">
        <f>IFERROR(VLOOKUP(B112,'MASTER RECORD'!$B$5:$W$1000,9,0),"")</f>
        <v/>
      </c>
      <c r="F112" s="35" t="str">
        <f>IFERROR(VLOOKUP(B112,'MASTER RECORD'!$B$5:$W$1000,10,0) &amp;"."&amp;(VLOOKUP(B112,'MASTER RECORD'!$B$5:$W$1000,11,0)),"")</f>
        <v/>
      </c>
      <c r="G112" s="36" t="str">
        <f t="shared" si="4"/>
        <v/>
      </c>
      <c r="H112" s="35" t="str">
        <f t="shared" si="5"/>
        <v/>
      </c>
      <c r="I112" s="35" t="str">
        <f>IFERROR(VLOOKUP(B112,'MASTER RECORD'!$B$5:$W$1000,14,0),"")</f>
        <v/>
      </c>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row>
    <row r="113" spans="1:45">
      <c r="A113" s="28">
        <f t="shared" si="3"/>
        <v>108</v>
      </c>
      <c r="B113" s="7"/>
      <c r="C113" s="35" t="str">
        <f>IFERROR(VLOOKUP(B113,'MASTER RECORD'!$B$5:$W$1000,3,0),"")</f>
        <v/>
      </c>
      <c r="D113" s="35" t="str">
        <f>IFERROR(VLOOKUP(B113,'MASTER RECORD'!$B$5:$W$1000,2,0),"")</f>
        <v/>
      </c>
      <c r="E113" s="36" t="str">
        <f>IFERROR(VLOOKUP(B113,'MASTER RECORD'!$B$5:$W$1000,9,0),"")</f>
        <v/>
      </c>
      <c r="F113" s="35" t="str">
        <f>IFERROR(VLOOKUP(B113,'MASTER RECORD'!$B$5:$W$1000,10,0) &amp;"."&amp;(VLOOKUP(B113,'MASTER RECORD'!$B$5:$W$1000,11,0)),"")</f>
        <v/>
      </c>
      <c r="G113" s="36" t="str">
        <f t="shared" si="4"/>
        <v/>
      </c>
      <c r="H113" s="35" t="str">
        <f t="shared" si="5"/>
        <v/>
      </c>
      <c r="I113" s="35" t="str">
        <f>IFERROR(VLOOKUP(B113,'MASTER RECORD'!$B$5:$W$1000,14,0),"")</f>
        <v/>
      </c>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row>
    <row r="114" spans="1:45">
      <c r="A114" s="28">
        <f t="shared" si="3"/>
        <v>109</v>
      </c>
      <c r="B114" s="7"/>
      <c r="C114" s="35" t="str">
        <f>IFERROR(VLOOKUP(B114,'MASTER RECORD'!$B$5:$W$1000,3,0),"")</f>
        <v/>
      </c>
      <c r="D114" s="35" t="str">
        <f>IFERROR(VLOOKUP(B114,'MASTER RECORD'!$B$5:$W$1000,2,0),"")</f>
        <v/>
      </c>
      <c r="E114" s="36" t="str">
        <f>IFERROR(VLOOKUP(B114,'MASTER RECORD'!$B$5:$W$1000,9,0),"")</f>
        <v/>
      </c>
      <c r="F114" s="35" t="str">
        <f>IFERROR(VLOOKUP(B114,'MASTER RECORD'!$B$5:$W$1000,10,0) &amp;"."&amp;(VLOOKUP(B114,'MASTER RECORD'!$B$5:$W$1000,11,0)),"")</f>
        <v/>
      </c>
      <c r="G114" s="36" t="str">
        <f t="shared" si="4"/>
        <v/>
      </c>
      <c r="H114" s="35" t="str">
        <f t="shared" si="5"/>
        <v/>
      </c>
      <c r="I114" s="35" t="str">
        <f>IFERROR(VLOOKUP(B114,'MASTER RECORD'!$B$5:$W$1000,14,0),"")</f>
        <v/>
      </c>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row>
    <row r="115" spans="1:45">
      <c r="A115" s="28">
        <f t="shared" si="3"/>
        <v>110</v>
      </c>
      <c r="B115" s="7"/>
      <c r="C115" s="35" t="str">
        <f>IFERROR(VLOOKUP(B115,'MASTER RECORD'!$B$5:$W$1000,3,0),"")</f>
        <v/>
      </c>
      <c r="D115" s="35" t="str">
        <f>IFERROR(VLOOKUP(B115,'MASTER RECORD'!$B$5:$W$1000,2,0),"")</f>
        <v/>
      </c>
      <c r="E115" s="36" t="str">
        <f>IFERROR(VLOOKUP(B115,'MASTER RECORD'!$B$5:$W$1000,9,0),"")</f>
        <v/>
      </c>
      <c r="F115" s="35" t="str">
        <f>IFERROR(VLOOKUP(B115,'MASTER RECORD'!$B$5:$W$1000,10,0) &amp;"."&amp;(VLOOKUP(B115,'MASTER RECORD'!$B$5:$W$1000,11,0)),"")</f>
        <v/>
      </c>
      <c r="G115" s="36" t="str">
        <f t="shared" si="4"/>
        <v/>
      </c>
      <c r="H115" s="35" t="str">
        <f t="shared" si="5"/>
        <v/>
      </c>
      <c r="I115" s="35" t="str">
        <f>IFERROR(VLOOKUP(B115,'MASTER RECORD'!$B$5:$W$1000,14,0),"")</f>
        <v/>
      </c>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row>
    <row r="116" spans="1:45">
      <c r="A116" s="28">
        <f t="shared" si="3"/>
        <v>111</v>
      </c>
      <c r="B116" s="7"/>
      <c r="C116" s="35" t="str">
        <f>IFERROR(VLOOKUP(B116,'MASTER RECORD'!$B$5:$W$1000,3,0),"")</f>
        <v/>
      </c>
      <c r="D116" s="35" t="str">
        <f>IFERROR(VLOOKUP(B116,'MASTER RECORD'!$B$5:$W$1000,2,0),"")</f>
        <v/>
      </c>
      <c r="E116" s="36" t="str">
        <f>IFERROR(VLOOKUP(B116,'MASTER RECORD'!$B$5:$W$1000,9,0),"")</f>
        <v/>
      </c>
      <c r="F116" s="35" t="str">
        <f>IFERROR(VLOOKUP(B116,'MASTER RECORD'!$B$5:$W$1000,10,0) &amp;"."&amp;(VLOOKUP(B116,'MASTER RECORD'!$B$5:$W$1000,11,0)),"")</f>
        <v/>
      </c>
      <c r="G116" s="36" t="str">
        <f t="shared" si="4"/>
        <v/>
      </c>
      <c r="H116" s="35" t="str">
        <f t="shared" si="5"/>
        <v/>
      </c>
      <c r="I116" s="35" t="str">
        <f>IFERROR(VLOOKUP(B116,'MASTER RECORD'!$B$5:$W$1000,14,0),"")</f>
        <v/>
      </c>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row>
    <row r="117" spans="1:45">
      <c r="A117" s="28">
        <f t="shared" si="3"/>
        <v>112</v>
      </c>
      <c r="B117" s="7"/>
      <c r="C117" s="35" t="str">
        <f>IFERROR(VLOOKUP(B117,'MASTER RECORD'!$B$5:$W$1000,3,0),"")</f>
        <v/>
      </c>
      <c r="D117" s="35" t="str">
        <f>IFERROR(VLOOKUP(B117,'MASTER RECORD'!$B$5:$W$1000,2,0),"")</f>
        <v/>
      </c>
      <c r="E117" s="36" t="str">
        <f>IFERROR(VLOOKUP(B117,'MASTER RECORD'!$B$5:$W$1000,9,0),"")</f>
        <v/>
      </c>
      <c r="F117" s="35" t="str">
        <f>IFERROR(VLOOKUP(B117,'MASTER RECORD'!$B$5:$W$1000,10,0) &amp;"."&amp;(VLOOKUP(B117,'MASTER RECORD'!$B$5:$W$1000,11,0)),"")</f>
        <v/>
      </c>
      <c r="G117" s="36" t="str">
        <f t="shared" si="4"/>
        <v/>
      </c>
      <c r="H117" s="35" t="str">
        <f t="shared" si="5"/>
        <v/>
      </c>
      <c r="I117" s="35" t="str">
        <f>IFERROR(VLOOKUP(B117,'MASTER RECORD'!$B$5:$W$1000,14,0),"")</f>
        <v/>
      </c>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row>
    <row r="118" spans="1:45">
      <c r="A118" s="28">
        <f t="shared" si="3"/>
        <v>113</v>
      </c>
      <c r="B118" s="7"/>
      <c r="C118" s="35" t="str">
        <f>IFERROR(VLOOKUP(B118,'MASTER RECORD'!$B$5:$W$1000,3,0),"")</f>
        <v/>
      </c>
      <c r="D118" s="35" t="str">
        <f>IFERROR(VLOOKUP(B118,'MASTER RECORD'!$B$5:$W$1000,2,0),"")</f>
        <v/>
      </c>
      <c r="E118" s="36" t="str">
        <f>IFERROR(VLOOKUP(B118,'MASTER RECORD'!$B$5:$W$1000,9,0),"")</f>
        <v/>
      </c>
      <c r="F118" s="35" t="str">
        <f>IFERROR(VLOOKUP(B118,'MASTER RECORD'!$B$5:$W$1000,10,0) &amp;"."&amp;(VLOOKUP(B118,'MASTER RECORD'!$B$5:$W$1000,11,0)),"")</f>
        <v/>
      </c>
      <c r="G118" s="36" t="str">
        <f t="shared" si="4"/>
        <v/>
      </c>
      <c r="H118" s="35" t="str">
        <f t="shared" si="5"/>
        <v/>
      </c>
      <c r="I118" s="35" t="str">
        <f>IFERROR(VLOOKUP(B118,'MASTER RECORD'!$B$5:$W$1000,14,0),"")</f>
        <v/>
      </c>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row>
    <row r="119" spans="1:45">
      <c r="A119" s="28">
        <f t="shared" si="3"/>
        <v>114</v>
      </c>
      <c r="B119" s="7"/>
      <c r="C119" s="35" t="str">
        <f>IFERROR(VLOOKUP(B119,'MASTER RECORD'!$B$5:$W$1000,3,0),"")</f>
        <v/>
      </c>
      <c r="D119" s="35" t="str">
        <f>IFERROR(VLOOKUP(B119,'MASTER RECORD'!$B$5:$W$1000,2,0),"")</f>
        <v/>
      </c>
      <c r="E119" s="36" t="str">
        <f>IFERROR(VLOOKUP(B119,'MASTER RECORD'!$B$5:$W$1000,9,0),"")</f>
        <v/>
      </c>
      <c r="F119" s="35" t="str">
        <f>IFERROR(VLOOKUP(B119,'MASTER RECORD'!$B$5:$W$1000,10,0) &amp;"."&amp;(VLOOKUP(B119,'MASTER RECORD'!$B$5:$W$1000,11,0)),"")</f>
        <v/>
      </c>
      <c r="G119" s="36" t="str">
        <f t="shared" si="4"/>
        <v/>
      </c>
      <c r="H119" s="35" t="str">
        <f t="shared" si="5"/>
        <v/>
      </c>
      <c r="I119" s="35" t="str">
        <f>IFERROR(VLOOKUP(B119,'MASTER RECORD'!$B$5:$W$1000,14,0),"")</f>
        <v/>
      </c>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row>
    <row r="120" spans="1:45">
      <c r="A120" s="28">
        <f t="shared" si="3"/>
        <v>115</v>
      </c>
      <c r="B120" s="7"/>
      <c r="C120" s="35" t="str">
        <f>IFERROR(VLOOKUP(B120,'MASTER RECORD'!$B$5:$W$1000,3,0),"")</f>
        <v/>
      </c>
      <c r="D120" s="35" t="str">
        <f>IFERROR(VLOOKUP(B120,'MASTER RECORD'!$B$5:$W$1000,2,0),"")</f>
        <v/>
      </c>
      <c r="E120" s="36" t="str">
        <f>IFERROR(VLOOKUP(B120,'MASTER RECORD'!$B$5:$W$1000,9,0),"")</f>
        <v/>
      </c>
      <c r="F120" s="35" t="str">
        <f>IFERROR(VLOOKUP(B120,'MASTER RECORD'!$B$5:$W$1000,10,0) &amp;"."&amp;(VLOOKUP(B120,'MASTER RECORD'!$B$5:$W$1000,11,0)),"")</f>
        <v/>
      </c>
      <c r="G120" s="36" t="str">
        <f t="shared" si="4"/>
        <v/>
      </c>
      <c r="H120" s="35" t="str">
        <f t="shared" si="5"/>
        <v/>
      </c>
      <c r="I120" s="35" t="str">
        <f>IFERROR(VLOOKUP(B120,'MASTER RECORD'!$B$5:$W$1000,14,0),"")</f>
        <v/>
      </c>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row>
    <row r="121" spans="1:45">
      <c r="A121" s="28">
        <f t="shared" si="3"/>
        <v>116</v>
      </c>
      <c r="B121" s="7"/>
      <c r="C121" s="35" t="str">
        <f>IFERROR(VLOOKUP(B121,'MASTER RECORD'!$B$5:$W$1000,3,0),"")</f>
        <v/>
      </c>
      <c r="D121" s="35" t="str">
        <f>IFERROR(VLOOKUP(B121,'MASTER RECORD'!$B$5:$W$1000,2,0),"")</f>
        <v/>
      </c>
      <c r="E121" s="36" t="str">
        <f>IFERROR(VLOOKUP(B121,'MASTER RECORD'!$B$5:$W$1000,9,0),"")</f>
        <v/>
      </c>
      <c r="F121" s="35" t="str">
        <f>IFERROR(VLOOKUP(B121,'MASTER RECORD'!$B$5:$W$1000,10,0) &amp;"."&amp;(VLOOKUP(B121,'MASTER RECORD'!$B$5:$W$1000,11,0)),"")</f>
        <v/>
      </c>
      <c r="G121" s="36" t="str">
        <f t="shared" si="4"/>
        <v/>
      </c>
      <c r="H121" s="35" t="str">
        <f t="shared" si="5"/>
        <v/>
      </c>
      <c r="I121" s="35" t="str">
        <f>IFERROR(VLOOKUP(B121,'MASTER RECORD'!$B$5:$W$1000,14,0),"")</f>
        <v/>
      </c>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row>
    <row r="122" spans="1:45">
      <c r="A122" s="28">
        <f t="shared" si="3"/>
        <v>117</v>
      </c>
      <c r="B122" s="7"/>
      <c r="C122" s="35" t="str">
        <f>IFERROR(VLOOKUP(B122,'MASTER RECORD'!$B$5:$W$1000,3,0),"")</f>
        <v/>
      </c>
      <c r="D122" s="35" t="str">
        <f>IFERROR(VLOOKUP(B122,'MASTER RECORD'!$B$5:$W$1000,2,0),"")</f>
        <v/>
      </c>
      <c r="E122" s="36" t="str">
        <f>IFERROR(VLOOKUP(B122,'MASTER RECORD'!$B$5:$W$1000,9,0),"")</f>
        <v/>
      </c>
      <c r="F122" s="35" t="str">
        <f>IFERROR(VLOOKUP(B122,'MASTER RECORD'!$B$5:$W$1000,10,0) &amp;"."&amp;(VLOOKUP(B122,'MASTER RECORD'!$B$5:$W$1000,11,0)),"")</f>
        <v/>
      </c>
      <c r="G122" s="36" t="str">
        <f t="shared" si="4"/>
        <v/>
      </c>
      <c r="H122" s="35" t="str">
        <f t="shared" si="5"/>
        <v/>
      </c>
      <c r="I122" s="35" t="str">
        <f>IFERROR(VLOOKUP(B122,'MASTER RECORD'!$B$5:$W$1000,14,0),"")</f>
        <v/>
      </c>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row>
    <row r="123" spans="1:45">
      <c r="A123" s="28">
        <f t="shared" si="3"/>
        <v>118</v>
      </c>
      <c r="B123" s="7"/>
      <c r="C123" s="35" t="str">
        <f>IFERROR(VLOOKUP(B123,'MASTER RECORD'!$B$5:$W$1000,3,0),"")</f>
        <v/>
      </c>
      <c r="D123" s="35" t="str">
        <f>IFERROR(VLOOKUP(B123,'MASTER RECORD'!$B$5:$W$1000,2,0),"")</f>
        <v/>
      </c>
      <c r="E123" s="36" t="str">
        <f>IFERROR(VLOOKUP(B123,'MASTER RECORD'!$B$5:$W$1000,9,0),"")</f>
        <v/>
      </c>
      <c r="F123" s="35" t="str">
        <f>IFERROR(VLOOKUP(B123,'MASTER RECORD'!$B$5:$W$1000,10,0) &amp;"."&amp;(VLOOKUP(B123,'MASTER RECORD'!$B$5:$W$1000,11,0)),"")</f>
        <v/>
      </c>
      <c r="G123" s="36" t="str">
        <f t="shared" si="4"/>
        <v/>
      </c>
      <c r="H123" s="35" t="str">
        <f t="shared" si="5"/>
        <v/>
      </c>
      <c r="I123" s="35" t="str">
        <f>IFERROR(VLOOKUP(B123,'MASTER RECORD'!$B$5:$W$1000,14,0),"")</f>
        <v/>
      </c>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row>
    <row r="124" spans="1:45">
      <c r="A124" s="28">
        <f t="shared" si="3"/>
        <v>119</v>
      </c>
      <c r="B124" s="7"/>
      <c r="C124" s="35" t="str">
        <f>IFERROR(VLOOKUP(B124,'MASTER RECORD'!$B$5:$W$1000,3,0),"")</f>
        <v/>
      </c>
      <c r="D124" s="35" t="str">
        <f>IFERROR(VLOOKUP(B124,'MASTER RECORD'!$B$5:$W$1000,2,0),"")</f>
        <v/>
      </c>
      <c r="E124" s="36" t="str">
        <f>IFERROR(VLOOKUP(B124,'MASTER RECORD'!$B$5:$W$1000,9,0),"")</f>
        <v/>
      </c>
      <c r="F124" s="35" t="str">
        <f>IFERROR(VLOOKUP(B124,'MASTER RECORD'!$B$5:$W$1000,10,0) &amp;"."&amp;(VLOOKUP(B124,'MASTER RECORD'!$B$5:$W$1000,11,0)),"")</f>
        <v/>
      </c>
      <c r="G124" s="36" t="str">
        <f t="shared" si="4"/>
        <v/>
      </c>
      <c r="H124" s="35" t="str">
        <f t="shared" si="5"/>
        <v/>
      </c>
      <c r="I124" s="35" t="str">
        <f>IFERROR(VLOOKUP(B124,'MASTER RECORD'!$B$5:$W$1000,14,0),"")</f>
        <v/>
      </c>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row>
    <row r="125" spans="1:45">
      <c r="A125" s="28">
        <f t="shared" si="3"/>
        <v>120</v>
      </c>
      <c r="B125" s="7"/>
      <c r="C125" s="35" t="str">
        <f>IFERROR(VLOOKUP(B125,'MASTER RECORD'!$B$5:$W$1000,3,0),"")</f>
        <v/>
      </c>
      <c r="D125" s="35" t="str">
        <f>IFERROR(VLOOKUP(B125,'MASTER RECORD'!$B$5:$W$1000,2,0),"")</f>
        <v/>
      </c>
      <c r="E125" s="36" t="str">
        <f>IFERROR(VLOOKUP(B125,'MASTER RECORD'!$B$5:$W$1000,9,0),"")</f>
        <v/>
      </c>
      <c r="F125" s="35" t="str">
        <f>IFERROR(VLOOKUP(B125,'MASTER RECORD'!$B$5:$W$1000,10,0) &amp;"."&amp;(VLOOKUP(B125,'MASTER RECORD'!$B$5:$W$1000,11,0)),"")</f>
        <v/>
      </c>
      <c r="G125" s="36" t="str">
        <f t="shared" si="4"/>
        <v/>
      </c>
      <c r="H125" s="35" t="str">
        <f t="shared" si="5"/>
        <v/>
      </c>
      <c r="I125" s="35" t="str">
        <f>IFERROR(VLOOKUP(B125,'MASTER RECORD'!$B$5:$W$1000,14,0),"")</f>
        <v/>
      </c>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row>
    <row r="126" spans="1:45">
      <c r="A126" s="28">
        <f t="shared" si="3"/>
        <v>121</v>
      </c>
      <c r="B126" s="7"/>
      <c r="C126" s="35" t="str">
        <f>IFERROR(VLOOKUP(B126,'MASTER RECORD'!$B$5:$W$1000,3,0),"")</f>
        <v/>
      </c>
      <c r="D126" s="35" t="str">
        <f>IFERROR(VLOOKUP(B126,'MASTER RECORD'!$B$5:$W$1000,2,0),"")</f>
        <v/>
      </c>
      <c r="E126" s="36" t="str">
        <f>IFERROR(VLOOKUP(B126,'MASTER RECORD'!$B$5:$W$1000,9,0),"")</f>
        <v/>
      </c>
      <c r="F126" s="35" t="str">
        <f>IFERROR(VLOOKUP(B126,'MASTER RECORD'!$B$5:$W$1000,10,0) &amp;"."&amp;(VLOOKUP(B126,'MASTER RECORD'!$B$5:$W$1000,11,0)),"")</f>
        <v/>
      </c>
      <c r="G126" s="36" t="str">
        <f t="shared" si="4"/>
        <v/>
      </c>
      <c r="H126" s="35" t="str">
        <f t="shared" si="5"/>
        <v/>
      </c>
      <c r="I126" s="35" t="str">
        <f>IFERROR(VLOOKUP(B126,'MASTER RECORD'!$B$5:$W$1000,14,0),"")</f>
        <v/>
      </c>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row>
    <row r="127" spans="1:45">
      <c r="A127" s="28">
        <f t="shared" si="3"/>
        <v>122</v>
      </c>
      <c r="B127" s="7"/>
      <c r="C127" s="35" t="str">
        <f>IFERROR(VLOOKUP(B127,'MASTER RECORD'!$B$5:$W$1000,3,0),"")</f>
        <v/>
      </c>
      <c r="D127" s="35" t="str">
        <f>IFERROR(VLOOKUP(B127,'MASTER RECORD'!$B$5:$W$1000,2,0),"")</f>
        <v/>
      </c>
      <c r="E127" s="36" t="str">
        <f>IFERROR(VLOOKUP(B127,'MASTER RECORD'!$B$5:$W$1000,9,0),"")</f>
        <v/>
      </c>
      <c r="F127" s="35" t="str">
        <f>IFERROR(VLOOKUP(B127,'MASTER RECORD'!$B$5:$W$1000,10,0) &amp;"."&amp;(VLOOKUP(B127,'MASTER RECORD'!$B$5:$W$1000,11,0)),"")</f>
        <v/>
      </c>
      <c r="G127" s="36" t="str">
        <f t="shared" si="4"/>
        <v/>
      </c>
      <c r="H127" s="35" t="str">
        <f t="shared" si="5"/>
        <v/>
      </c>
      <c r="I127" s="35" t="str">
        <f>IFERROR(VLOOKUP(B127,'MASTER RECORD'!$B$5:$W$1000,14,0),"")</f>
        <v/>
      </c>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row>
    <row r="128" spans="1:45">
      <c r="A128" s="28">
        <f t="shared" si="3"/>
        <v>123</v>
      </c>
      <c r="B128" s="7"/>
      <c r="C128" s="35" t="str">
        <f>IFERROR(VLOOKUP(B128,'MASTER RECORD'!$B$5:$W$1000,3,0),"")</f>
        <v/>
      </c>
      <c r="D128" s="35" t="str">
        <f>IFERROR(VLOOKUP(B128,'MASTER RECORD'!$B$5:$W$1000,2,0),"")</f>
        <v/>
      </c>
      <c r="E128" s="36" t="str">
        <f>IFERROR(VLOOKUP(B128,'MASTER RECORD'!$B$5:$W$1000,9,0),"")</f>
        <v/>
      </c>
      <c r="F128" s="35" t="str">
        <f>IFERROR(VLOOKUP(B128,'MASTER RECORD'!$B$5:$W$1000,10,0) &amp;"."&amp;(VLOOKUP(B128,'MASTER RECORD'!$B$5:$W$1000,11,0)),"")</f>
        <v/>
      </c>
      <c r="G128" s="36" t="str">
        <f t="shared" si="4"/>
        <v/>
      </c>
      <c r="H128" s="35" t="str">
        <f t="shared" si="5"/>
        <v/>
      </c>
      <c r="I128" s="35" t="str">
        <f>IFERROR(VLOOKUP(B128,'MASTER RECORD'!$B$5:$W$1000,14,0),"")</f>
        <v/>
      </c>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row>
    <row r="129" spans="1:45">
      <c r="A129" s="28">
        <f t="shared" si="3"/>
        <v>124</v>
      </c>
      <c r="B129" s="7"/>
      <c r="C129" s="35" t="str">
        <f>IFERROR(VLOOKUP(B129,'MASTER RECORD'!$B$5:$W$1000,3,0),"")</f>
        <v/>
      </c>
      <c r="D129" s="35" t="str">
        <f>IFERROR(VLOOKUP(B129,'MASTER RECORD'!$B$5:$W$1000,2,0),"")</f>
        <v/>
      </c>
      <c r="E129" s="36" t="str">
        <f>IFERROR(VLOOKUP(B129,'MASTER RECORD'!$B$5:$W$1000,9,0),"")</f>
        <v/>
      </c>
      <c r="F129" s="35" t="str">
        <f>IFERROR(VLOOKUP(B129,'MASTER RECORD'!$B$5:$W$1000,10,0) &amp;"."&amp;(VLOOKUP(B129,'MASTER RECORD'!$B$5:$W$1000,11,0)),"")</f>
        <v/>
      </c>
      <c r="G129" s="36" t="str">
        <f t="shared" si="4"/>
        <v/>
      </c>
      <c r="H129" s="35" t="str">
        <f t="shared" si="5"/>
        <v/>
      </c>
      <c r="I129" s="35" t="str">
        <f>IFERROR(VLOOKUP(B129,'MASTER RECORD'!$B$5:$W$1000,14,0),"")</f>
        <v/>
      </c>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row>
    <row r="130" spans="1:45">
      <c r="A130" s="28">
        <f t="shared" si="3"/>
        <v>125</v>
      </c>
      <c r="B130" s="7"/>
      <c r="C130" s="35" t="str">
        <f>IFERROR(VLOOKUP(B130,'MASTER RECORD'!$B$5:$W$1000,3,0),"")</f>
        <v/>
      </c>
      <c r="D130" s="35" t="str">
        <f>IFERROR(VLOOKUP(B130,'MASTER RECORD'!$B$5:$W$1000,2,0),"")</f>
        <v/>
      </c>
      <c r="E130" s="36" t="str">
        <f>IFERROR(VLOOKUP(B130,'MASTER RECORD'!$B$5:$W$1000,9,0),"")</f>
        <v/>
      </c>
      <c r="F130" s="35" t="str">
        <f>IFERROR(VLOOKUP(B130,'MASTER RECORD'!$B$5:$W$1000,10,0) &amp;"."&amp;(VLOOKUP(B130,'MASTER RECORD'!$B$5:$W$1000,11,0)),"")</f>
        <v/>
      </c>
      <c r="G130" s="36" t="str">
        <f t="shared" si="4"/>
        <v/>
      </c>
      <c r="H130" s="35" t="str">
        <f t="shared" si="5"/>
        <v/>
      </c>
      <c r="I130" s="35" t="str">
        <f>IFERROR(VLOOKUP(B130,'MASTER RECORD'!$B$5:$W$1000,14,0),"")</f>
        <v/>
      </c>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row>
    <row r="131" spans="1:45">
      <c r="A131" s="28">
        <f t="shared" si="3"/>
        <v>126</v>
      </c>
      <c r="B131" s="7"/>
      <c r="C131" s="35" t="str">
        <f>IFERROR(VLOOKUP(B131,'MASTER RECORD'!$B$5:$W$1000,3,0),"")</f>
        <v/>
      </c>
      <c r="D131" s="35" t="str">
        <f>IFERROR(VLOOKUP(B131,'MASTER RECORD'!$B$5:$W$1000,2,0),"")</f>
        <v/>
      </c>
      <c r="E131" s="36" t="str">
        <f>IFERROR(VLOOKUP(B131,'MASTER RECORD'!$B$5:$W$1000,9,0),"")</f>
        <v/>
      </c>
      <c r="F131" s="35" t="str">
        <f>IFERROR(VLOOKUP(B131,'MASTER RECORD'!$B$5:$W$1000,10,0) &amp;"."&amp;(VLOOKUP(B131,'MASTER RECORD'!$B$5:$W$1000,11,0)),"")</f>
        <v/>
      </c>
      <c r="G131" s="36" t="str">
        <f t="shared" si="4"/>
        <v/>
      </c>
      <c r="H131" s="35" t="str">
        <f t="shared" si="5"/>
        <v/>
      </c>
      <c r="I131" s="35" t="str">
        <f>IFERROR(VLOOKUP(B131,'MASTER RECORD'!$B$5:$W$1000,14,0),"")</f>
        <v/>
      </c>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row>
    <row r="132" spans="1:45">
      <c r="A132" s="28">
        <f t="shared" si="3"/>
        <v>127</v>
      </c>
      <c r="B132" s="7"/>
      <c r="C132" s="35" t="str">
        <f>IFERROR(VLOOKUP(B132,'MASTER RECORD'!$B$5:$W$1000,3,0),"")</f>
        <v/>
      </c>
      <c r="D132" s="35" t="str">
        <f>IFERROR(VLOOKUP(B132,'MASTER RECORD'!$B$5:$W$1000,2,0),"")</f>
        <v/>
      </c>
      <c r="E132" s="36" t="str">
        <f>IFERROR(VLOOKUP(B132,'MASTER RECORD'!$B$5:$W$1000,9,0),"")</f>
        <v/>
      </c>
      <c r="F132" s="35" t="str">
        <f>IFERROR(VLOOKUP(B132,'MASTER RECORD'!$B$5:$W$1000,10,0) &amp;"."&amp;(VLOOKUP(B132,'MASTER RECORD'!$B$5:$W$1000,11,0)),"")</f>
        <v/>
      </c>
      <c r="G132" s="36" t="str">
        <f t="shared" si="4"/>
        <v/>
      </c>
      <c r="H132" s="35" t="str">
        <f t="shared" si="5"/>
        <v/>
      </c>
      <c r="I132" s="35" t="str">
        <f>IFERROR(VLOOKUP(B132,'MASTER RECORD'!$B$5:$W$1000,14,0),"")</f>
        <v/>
      </c>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row>
    <row r="133" spans="1:45">
      <c r="A133" s="28">
        <f t="shared" si="3"/>
        <v>128</v>
      </c>
      <c r="B133" s="7"/>
      <c r="C133" s="35" t="str">
        <f>IFERROR(VLOOKUP(B133,'MASTER RECORD'!$B$5:$W$1000,3,0),"")</f>
        <v/>
      </c>
      <c r="D133" s="35" t="str">
        <f>IFERROR(VLOOKUP(B133,'MASTER RECORD'!$B$5:$W$1000,2,0),"")</f>
        <v/>
      </c>
      <c r="E133" s="36" t="str">
        <f>IFERROR(VLOOKUP(B133,'MASTER RECORD'!$B$5:$W$1000,9,0),"")</f>
        <v/>
      </c>
      <c r="F133" s="35" t="str">
        <f>IFERROR(VLOOKUP(B133,'MASTER RECORD'!$B$5:$W$1000,10,0) &amp;"."&amp;(VLOOKUP(B133,'MASTER RECORD'!$B$5:$W$1000,11,0)),"")</f>
        <v/>
      </c>
      <c r="G133" s="36" t="str">
        <f t="shared" si="4"/>
        <v/>
      </c>
      <c r="H133" s="35" t="str">
        <f t="shared" si="5"/>
        <v/>
      </c>
      <c r="I133" s="35" t="str">
        <f>IFERROR(VLOOKUP(B133,'MASTER RECORD'!$B$5:$W$1000,14,0),"")</f>
        <v/>
      </c>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row>
    <row r="134" spans="1:45">
      <c r="A134" s="28">
        <f t="shared" ref="A134:A197" si="6">ROW(A129)</f>
        <v>129</v>
      </c>
      <c r="B134" s="7"/>
      <c r="C134" s="35" t="str">
        <f>IFERROR(VLOOKUP(B134,'MASTER RECORD'!$B$5:$W$1000,3,0),"")</f>
        <v/>
      </c>
      <c r="D134" s="35" t="str">
        <f>IFERROR(VLOOKUP(B134,'MASTER RECORD'!$B$5:$W$1000,2,0),"")</f>
        <v/>
      </c>
      <c r="E134" s="36" t="str">
        <f>IFERROR(VLOOKUP(B134,'MASTER RECORD'!$B$5:$W$1000,9,0),"")</f>
        <v/>
      </c>
      <c r="F134" s="35" t="str">
        <f>IFERROR(VLOOKUP(B134,'MASTER RECORD'!$B$5:$W$1000,10,0) &amp;"."&amp;(VLOOKUP(B134,'MASTER RECORD'!$B$5:$W$1000,11,0)),"")</f>
        <v/>
      </c>
      <c r="G134" s="36" t="str">
        <f t="shared" si="4"/>
        <v/>
      </c>
      <c r="H134" s="35" t="str">
        <f t="shared" si="5"/>
        <v/>
      </c>
      <c r="I134" s="35" t="str">
        <f>IFERROR(VLOOKUP(B134,'MASTER RECORD'!$B$5:$W$1000,14,0),"")</f>
        <v/>
      </c>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row>
    <row r="135" spans="1:45">
      <c r="A135" s="28">
        <f t="shared" si="6"/>
        <v>130</v>
      </c>
      <c r="B135" s="7"/>
      <c r="C135" s="35" t="str">
        <f>IFERROR(VLOOKUP(B135,'MASTER RECORD'!$B$5:$W$1000,3,0),"")</f>
        <v/>
      </c>
      <c r="D135" s="35" t="str">
        <f>IFERROR(VLOOKUP(B135,'MASTER RECORD'!$B$5:$W$1000,2,0),"")</f>
        <v/>
      </c>
      <c r="E135" s="36" t="str">
        <f>IFERROR(VLOOKUP(B135,'MASTER RECORD'!$B$5:$W$1000,9,0),"")</f>
        <v/>
      </c>
      <c r="F135" s="35" t="str">
        <f>IFERROR(VLOOKUP(B135,'MASTER RECORD'!$B$5:$W$1000,10,0) &amp;"."&amp;(VLOOKUP(B135,'MASTER RECORD'!$B$5:$W$1000,11,0)),"")</f>
        <v/>
      </c>
      <c r="G135" s="36" t="str">
        <f t="shared" ref="G135:G198" si="7">IFERROR(IF(J135="",E135+30.41667,IF(K135="",E135+60.8333,IF(L135="",E135+91.25,IF(M135="",E135+121.667,IF(N135="",E135+152.083,IF(O135="",E135+182.5,IF(P135="",E135+212.917,IF(Q135="",E135+243.333,IF(R135="",E135+273.75,IF(S135="",E135+304.167,IF(T135="",E135+334.583,IF(U135="",E135+365,IF(V135="",E135+395.417,IF(W135="",E135+425.883,IF(X135="",E135+456.25,IF(Y135="",E135+486.667,IF(Z135="",E135+517.083,IF(AA135="",E135+547.5,IF(AB135="",E135+577.917,IF(AC135="",E135+608.333,IF(AD135="",E135+638.75,IF(AE135="",E135+669.167,IF(AF135="",E135+699.583,IF(AG135="",E135+730,IF(AH135="",E135+760.417,IF(AI135="",E135+790.833,IF(AJ135="",E135+821.25,IF(AK135="",E135+851.667,IF(AL135="",E135+882.083,IF(AM135="",E135+912.5,IF(AN135="",E135+942.917,IF(AO135="",E135+973.333,IF(AP135="",E135+1003.75,IF(AQ135="",E135+1034.17,IF(AR135="",E135+1064.58,IF(AS135="",E135+1095,"")))))))))))))))))))))))))))))))))))),"")</f>
        <v/>
      </c>
      <c r="H135" s="35" t="str">
        <f t="shared" si="5"/>
        <v/>
      </c>
      <c r="I135" s="35" t="str">
        <f>IFERROR(VLOOKUP(B135,'MASTER RECORD'!$B$5:$W$1000,14,0),"")</f>
        <v/>
      </c>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row>
    <row r="136" spans="1:45">
      <c r="A136" s="28">
        <f t="shared" si="6"/>
        <v>131</v>
      </c>
      <c r="B136" s="7"/>
      <c r="C136" s="35" t="str">
        <f>IFERROR(VLOOKUP(B136,'MASTER RECORD'!$B$5:$W$1000,3,0),"")</f>
        <v/>
      </c>
      <c r="D136" s="35" t="str">
        <f>IFERROR(VLOOKUP(B136,'MASTER RECORD'!$B$5:$W$1000,2,0),"")</f>
        <v/>
      </c>
      <c r="E136" s="36" t="str">
        <f>IFERROR(VLOOKUP(B136,'MASTER RECORD'!$B$5:$W$1000,9,0),"")</f>
        <v/>
      </c>
      <c r="F136" s="35" t="str">
        <f>IFERROR(VLOOKUP(B136,'MASTER RECORD'!$B$5:$W$1000,10,0) &amp;"."&amp;(VLOOKUP(B136,'MASTER RECORD'!$B$5:$W$1000,11,0)),"")</f>
        <v/>
      </c>
      <c r="G136" s="36" t="str">
        <f t="shared" si="7"/>
        <v/>
      </c>
      <c r="H136" s="35" t="str">
        <f t="shared" ref="H136:H199" si="8">IF(SUM(I136:AS136)=0,"",SUM(I136:AS136))</f>
        <v/>
      </c>
      <c r="I136" s="35" t="str">
        <f>IFERROR(VLOOKUP(B136,'MASTER RECORD'!$B$5:$W$1000,14,0),"")</f>
        <v/>
      </c>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row>
    <row r="137" spans="1:45">
      <c r="A137" s="28">
        <f t="shared" si="6"/>
        <v>132</v>
      </c>
      <c r="B137" s="7"/>
      <c r="C137" s="35" t="str">
        <f>IFERROR(VLOOKUP(B137,'MASTER RECORD'!$B$5:$W$1000,3,0),"")</f>
        <v/>
      </c>
      <c r="D137" s="35" t="str">
        <f>IFERROR(VLOOKUP(B137,'MASTER RECORD'!$B$5:$W$1000,2,0),"")</f>
        <v/>
      </c>
      <c r="E137" s="36" t="str">
        <f>IFERROR(VLOOKUP(B137,'MASTER RECORD'!$B$5:$W$1000,9,0),"")</f>
        <v/>
      </c>
      <c r="F137" s="35" t="str">
        <f>IFERROR(VLOOKUP(B137,'MASTER RECORD'!$B$5:$W$1000,10,0) &amp;"."&amp;(VLOOKUP(B137,'MASTER RECORD'!$B$5:$W$1000,11,0)),"")</f>
        <v/>
      </c>
      <c r="G137" s="36" t="str">
        <f t="shared" si="7"/>
        <v/>
      </c>
      <c r="H137" s="35" t="str">
        <f t="shared" si="8"/>
        <v/>
      </c>
      <c r="I137" s="35" t="str">
        <f>IFERROR(VLOOKUP(B137,'MASTER RECORD'!$B$5:$W$1000,14,0),"")</f>
        <v/>
      </c>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row>
    <row r="138" spans="1:45">
      <c r="A138" s="28">
        <f t="shared" si="6"/>
        <v>133</v>
      </c>
      <c r="B138" s="7"/>
      <c r="C138" s="35" t="str">
        <f>IFERROR(VLOOKUP(B138,'MASTER RECORD'!$B$5:$W$1000,3,0),"")</f>
        <v/>
      </c>
      <c r="D138" s="35" t="str">
        <f>IFERROR(VLOOKUP(B138,'MASTER RECORD'!$B$5:$W$1000,2,0),"")</f>
        <v/>
      </c>
      <c r="E138" s="36" t="str">
        <f>IFERROR(VLOOKUP(B138,'MASTER RECORD'!$B$5:$W$1000,9,0),"")</f>
        <v/>
      </c>
      <c r="F138" s="35" t="str">
        <f>IFERROR(VLOOKUP(B138,'MASTER RECORD'!$B$5:$W$1000,10,0) &amp;"."&amp;(VLOOKUP(B138,'MASTER RECORD'!$B$5:$W$1000,11,0)),"")</f>
        <v/>
      </c>
      <c r="G138" s="36" t="str">
        <f t="shared" si="7"/>
        <v/>
      </c>
      <c r="H138" s="35" t="str">
        <f t="shared" si="8"/>
        <v/>
      </c>
      <c r="I138" s="35" t="str">
        <f>IFERROR(VLOOKUP(B138,'MASTER RECORD'!$B$5:$W$1000,14,0),"")</f>
        <v/>
      </c>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row>
    <row r="139" spans="1:45">
      <c r="A139" s="28">
        <f t="shared" si="6"/>
        <v>134</v>
      </c>
      <c r="B139" s="7"/>
      <c r="C139" s="35" t="str">
        <f>IFERROR(VLOOKUP(B139,'MASTER RECORD'!$B$5:$W$1000,3,0),"")</f>
        <v/>
      </c>
      <c r="D139" s="35" t="str">
        <f>IFERROR(VLOOKUP(B139,'MASTER RECORD'!$B$5:$W$1000,2,0),"")</f>
        <v/>
      </c>
      <c r="E139" s="36" t="str">
        <f>IFERROR(VLOOKUP(B139,'MASTER RECORD'!$B$5:$W$1000,9,0),"")</f>
        <v/>
      </c>
      <c r="F139" s="35" t="str">
        <f>IFERROR(VLOOKUP(B139,'MASTER RECORD'!$B$5:$W$1000,10,0) &amp;"."&amp;(VLOOKUP(B139,'MASTER RECORD'!$B$5:$W$1000,11,0)),"")</f>
        <v/>
      </c>
      <c r="G139" s="36" t="str">
        <f t="shared" si="7"/>
        <v/>
      </c>
      <c r="H139" s="35" t="str">
        <f t="shared" si="8"/>
        <v/>
      </c>
      <c r="I139" s="35" t="str">
        <f>IFERROR(VLOOKUP(B139,'MASTER RECORD'!$B$5:$W$1000,14,0),"")</f>
        <v/>
      </c>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row>
    <row r="140" spans="1:45">
      <c r="A140" s="28">
        <f t="shared" si="6"/>
        <v>135</v>
      </c>
      <c r="B140" s="7"/>
      <c r="C140" s="35" t="str">
        <f>IFERROR(VLOOKUP(B140,'MASTER RECORD'!$B$5:$W$1000,3,0),"")</f>
        <v/>
      </c>
      <c r="D140" s="35" t="str">
        <f>IFERROR(VLOOKUP(B140,'MASTER RECORD'!$B$5:$W$1000,2,0),"")</f>
        <v/>
      </c>
      <c r="E140" s="36" t="str">
        <f>IFERROR(VLOOKUP(B140,'MASTER RECORD'!$B$5:$W$1000,9,0),"")</f>
        <v/>
      </c>
      <c r="F140" s="35" t="str">
        <f>IFERROR(VLOOKUP(B140,'MASTER RECORD'!$B$5:$W$1000,10,0) &amp;"."&amp;(VLOOKUP(B140,'MASTER RECORD'!$B$5:$W$1000,11,0)),"")</f>
        <v/>
      </c>
      <c r="G140" s="36" t="str">
        <f t="shared" si="7"/>
        <v/>
      </c>
      <c r="H140" s="35" t="str">
        <f t="shared" si="8"/>
        <v/>
      </c>
      <c r="I140" s="35" t="str">
        <f>IFERROR(VLOOKUP(B140,'MASTER RECORD'!$B$5:$W$1000,14,0),"")</f>
        <v/>
      </c>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row>
    <row r="141" spans="1:45">
      <c r="A141" s="28">
        <f t="shared" si="6"/>
        <v>136</v>
      </c>
      <c r="B141" s="7"/>
      <c r="C141" s="35" t="str">
        <f>IFERROR(VLOOKUP(B141,'MASTER RECORD'!$B$5:$W$1000,3,0),"")</f>
        <v/>
      </c>
      <c r="D141" s="35" t="str">
        <f>IFERROR(VLOOKUP(B141,'MASTER RECORD'!$B$5:$W$1000,2,0),"")</f>
        <v/>
      </c>
      <c r="E141" s="36" t="str">
        <f>IFERROR(VLOOKUP(B141,'MASTER RECORD'!$B$5:$W$1000,9,0),"")</f>
        <v/>
      </c>
      <c r="F141" s="35" t="str">
        <f>IFERROR(VLOOKUP(B141,'MASTER RECORD'!$B$5:$W$1000,10,0) &amp;"."&amp;(VLOOKUP(B141,'MASTER RECORD'!$B$5:$W$1000,11,0)),"")</f>
        <v/>
      </c>
      <c r="G141" s="36" t="str">
        <f t="shared" si="7"/>
        <v/>
      </c>
      <c r="H141" s="35" t="str">
        <f t="shared" si="8"/>
        <v/>
      </c>
      <c r="I141" s="35" t="str">
        <f>IFERROR(VLOOKUP(B141,'MASTER RECORD'!$B$5:$W$1000,14,0),"")</f>
        <v/>
      </c>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row>
    <row r="142" spans="1:45">
      <c r="A142" s="28">
        <f t="shared" si="6"/>
        <v>137</v>
      </c>
      <c r="B142" s="7"/>
      <c r="C142" s="35" t="str">
        <f>IFERROR(VLOOKUP(B142,'MASTER RECORD'!$B$5:$W$1000,3,0),"")</f>
        <v/>
      </c>
      <c r="D142" s="35" t="str">
        <f>IFERROR(VLOOKUP(B142,'MASTER RECORD'!$B$5:$W$1000,2,0),"")</f>
        <v/>
      </c>
      <c r="E142" s="36" t="str">
        <f>IFERROR(VLOOKUP(B142,'MASTER RECORD'!$B$5:$W$1000,9,0),"")</f>
        <v/>
      </c>
      <c r="F142" s="35" t="str">
        <f>IFERROR(VLOOKUP(B142,'MASTER RECORD'!$B$5:$W$1000,10,0) &amp;"."&amp;(VLOOKUP(B142,'MASTER RECORD'!$B$5:$W$1000,11,0)),"")</f>
        <v/>
      </c>
      <c r="G142" s="36" t="str">
        <f t="shared" si="7"/>
        <v/>
      </c>
      <c r="H142" s="35" t="str">
        <f t="shared" si="8"/>
        <v/>
      </c>
      <c r="I142" s="35" t="str">
        <f>IFERROR(VLOOKUP(B142,'MASTER RECORD'!$B$5:$W$1000,14,0),"")</f>
        <v/>
      </c>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row>
    <row r="143" spans="1:45">
      <c r="A143" s="28">
        <f t="shared" si="6"/>
        <v>138</v>
      </c>
      <c r="B143" s="7"/>
      <c r="C143" s="35" t="str">
        <f>IFERROR(VLOOKUP(B143,'MASTER RECORD'!$B$5:$W$1000,3,0),"")</f>
        <v/>
      </c>
      <c r="D143" s="35" t="str">
        <f>IFERROR(VLOOKUP(B143,'MASTER RECORD'!$B$5:$W$1000,2,0),"")</f>
        <v/>
      </c>
      <c r="E143" s="36" t="str">
        <f>IFERROR(VLOOKUP(B143,'MASTER RECORD'!$B$5:$W$1000,9,0),"")</f>
        <v/>
      </c>
      <c r="F143" s="35" t="str">
        <f>IFERROR(VLOOKUP(B143,'MASTER RECORD'!$B$5:$W$1000,10,0) &amp;"."&amp;(VLOOKUP(B143,'MASTER RECORD'!$B$5:$W$1000,11,0)),"")</f>
        <v/>
      </c>
      <c r="G143" s="36" t="str">
        <f t="shared" si="7"/>
        <v/>
      </c>
      <c r="H143" s="35" t="str">
        <f t="shared" si="8"/>
        <v/>
      </c>
      <c r="I143" s="35" t="str">
        <f>IFERROR(VLOOKUP(B143,'MASTER RECORD'!$B$5:$W$1000,14,0),"")</f>
        <v/>
      </c>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row>
    <row r="144" spans="1:45">
      <c r="A144" s="28">
        <f t="shared" si="6"/>
        <v>139</v>
      </c>
      <c r="B144" s="7"/>
      <c r="C144" s="35" t="str">
        <f>IFERROR(VLOOKUP(B144,'MASTER RECORD'!$B$5:$W$1000,3,0),"")</f>
        <v/>
      </c>
      <c r="D144" s="35" t="str">
        <f>IFERROR(VLOOKUP(B144,'MASTER RECORD'!$B$5:$W$1000,2,0),"")</f>
        <v/>
      </c>
      <c r="E144" s="36" t="str">
        <f>IFERROR(VLOOKUP(B144,'MASTER RECORD'!$B$5:$W$1000,9,0),"")</f>
        <v/>
      </c>
      <c r="F144" s="35" t="str">
        <f>IFERROR(VLOOKUP(B144,'MASTER RECORD'!$B$5:$W$1000,10,0) &amp;"."&amp;(VLOOKUP(B144,'MASTER RECORD'!$B$5:$W$1000,11,0)),"")</f>
        <v/>
      </c>
      <c r="G144" s="36" t="str">
        <f t="shared" si="7"/>
        <v/>
      </c>
      <c r="H144" s="35" t="str">
        <f t="shared" si="8"/>
        <v/>
      </c>
      <c r="I144" s="35" t="str">
        <f>IFERROR(VLOOKUP(B144,'MASTER RECORD'!$B$5:$W$1000,14,0),"")</f>
        <v/>
      </c>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row>
    <row r="145" spans="1:45">
      <c r="A145" s="28">
        <f t="shared" si="6"/>
        <v>140</v>
      </c>
      <c r="B145" s="7"/>
      <c r="C145" s="35" t="str">
        <f>IFERROR(VLOOKUP(B145,'MASTER RECORD'!$B$5:$W$1000,3,0),"")</f>
        <v/>
      </c>
      <c r="D145" s="35" t="str">
        <f>IFERROR(VLOOKUP(B145,'MASTER RECORD'!$B$5:$W$1000,2,0),"")</f>
        <v/>
      </c>
      <c r="E145" s="36" t="str">
        <f>IFERROR(VLOOKUP(B145,'MASTER RECORD'!$B$5:$W$1000,9,0),"")</f>
        <v/>
      </c>
      <c r="F145" s="35" t="str">
        <f>IFERROR(VLOOKUP(B145,'MASTER RECORD'!$B$5:$W$1000,10,0) &amp;"."&amp;(VLOOKUP(B145,'MASTER RECORD'!$B$5:$W$1000,11,0)),"")</f>
        <v/>
      </c>
      <c r="G145" s="36" t="str">
        <f t="shared" si="7"/>
        <v/>
      </c>
      <c r="H145" s="35" t="str">
        <f t="shared" si="8"/>
        <v/>
      </c>
      <c r="I145" s="35" t="str">
        <f>IFERROR(VLOOKUP(B145,'MASTER RECORD'!$B$5:$W$1000,14,0),"")</f>
        <v/>
      </c>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row>
    <row r="146" spans="1:45">
      <c r="A146" s="28">
        <f t="shared" si="6"/>
        <v>141</v>
      </c>
      <c r="B146" s="7"/>
      <c r="C146" s="35" t="str">
        <f>IFERROR(VLOOKUP(B146,'MASTER RECORD'!$B$5:$W$1000,3,0),"")</f>
        <v/>
      </c>
      <c r="D146" s="35" t="str">
        <f>IFERROR(VLOOKUP(B146,'MASTER RECORD'!$B$5:$W$1000,2,0),"")</f>
        <v/>
      </c>
      <c r="E146" s="36" t="str">
        <f>IFERROR(VLOOKUP(B146,'MASTER RECORD'!$B$5:$W$1000,9,0),"")</f>
        <v/>
      </c>
      <c r="F146" s="35" t="str">
        <f>IFERROR(VLOOKUP(B146,'MASTER RECORD'!$B$5:$W$1000,10,0) &amp;"."&amp;(VLOOKUP(B146,'MASTER RECORD'!$B$5:$W$1000,11,0)),"")</f>
        <v/>
      </c>
      <c r="G146" s="36" t="str">
        <f t="shared" si="7"/>
        <v/>
      </c>
      <c r="H146" s="35" t="str">
        <f t="shared" si="8"/>
        <v/>
      </c>
      <c r="I146" s="35" t="str">
        <f>IFERROR(VLOOKUP(B146,'MASTER RECORD'!$B$5:$W$1000,14,0),"")</f>
        <v/>
      </c>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row>
    <row r="147" spans="1:45">
      <c r="A147" s="28">
        <f t="shared" si="6"/>
        <v>142</v>
      </c>
      <c r="B147" s="7"/>
      <c r="C147" s="35" t="str">
        <f>IFERROR(VLOOKUP(B147,'MASTER RECORD'!$B$5:$W$1000,3,0),"")</f>
        <v/>
      </c>
      <c r="D147" s="35" t="str">
        <f>IFERROR(VLOOKUP(B147,'MASTER RECORD'!$B$5:$W$1000,2,0),"")</f>
        <v/>
      </c>
      <c r="E147" s="36" t="str">
        <f>IFERROR(VLOOKUP(B147,'MASTER RECORD'!$B$5:$W$1000,9,0),"")</f>
        <v/>
      </c>
      <c r="F147" s="35" t="str">
        <f>IFERROR(VLOOKUP(B147,'MASTER RECORD'!$B$5:$W$1000,10,0) &amp;"."&amp;(VLOOKUP(B147,'MASTER RECORD'!$B$5:$W$1000,11,0)),"")</f>
        <v/>
      </c>
      <c r="G147" s="36" t="str">
        <f t="shared" si="7"/>
        <v/>
      </c>
      <c r="H147" s="35" t="str">
        <f t="shared" si="8"/>
        <v/>
      </c>
      <c r="I147" s="35" t="str">
        <f>IFERROR(VLOOKUP(B147,'MASTER RECORD'!$B$5:$W$1000,14,0),"")</f>
        <v/>
      </c>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row>
    <row r="148" spans="1:45">
      <c r="A148" s="28">
        <f t="shared" si="6"/>
        <v>143</v>
      </c>
      <c r="B148" s="7"/>
      <c r="C148" s="35" t="str">
        <f>IFERROR(VLOOKUP(B148,'MASTER RECORD'!$B$5:$W$1000,3,0),"")</f>
        <v/>
      </c>
      <c r="D148" s="35" t="str">
        <f>IFERROR(VLOOKUP(B148,'MASTER RECORD'!$B$5:$W$1000,2,0),"")</f>
        <v/>
      </c>
      <c r="E148" s="36" t="str">
        <f>IFERROR(VLOOKUP(B148,'MASTER RECORD'!$B$5:$W$1000,9,0),"")</f>
        <v/>
      </c>
      <c r="F148" s="35" t="str">
        <f>IFERROR(VLOOKUP(B148,'MASTER RECORD'!$B$5:$W$1000,10,0) &amp;"."&amp;(VLOOKUP(B148,'MASTER RECORD'!$B$5:$W$1000,11,0)),"")</f>
        <v/>
      </c>
      <c r="G148" s="36" t="str">
        <f t="shared" si="7"/>
        <v/>
      </c>
      <c r="H148" s="35" t="str">
        <f t="shared" si="8"/>
        <v/>
      </c>
      <c r="I148" s="35" t="str">
        <f>IFERROR(VLOOKUP(B148,'MASTER RECORD'!$B$5:$W$1000,14,0),"")</f>
        <v/>
      </c>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row>
    <row r="149" spans="1:45">
      <c r="A149" s="28">
        <f t="shared" si="6"/>
        <v>144</v>
      </c>
      <c r="B149" s="7"/>
      <c r="C149" s="35" t="str">
        <f>IFERROR(VLOOKUP(B149,'MASTER RECORD'!$B$5:$W$1000,3,0),"")</f>
        <v/>
      </c>
      <c r="D149" s="35" t="str">
        <f>IFERROR(VLOOKUP(B149,'MASTER RECORD'!$B$5:$W$1000,2,0),"")</f>
        <v/>
      </c>
      <c r="E149" s="36" t="str">
        <f>IFERROR(VLOOKUP(B149,'MASTER RECORD'!$B$5:$W$1000,9,0),"")</f>
        <v/>
      </c>
      <c r="F149" s="35" t="str">
        <f>IFERROR(VLOOKUP(B149,'MASTER RECORD'!$B$5:$W$1000,10,0) &amp;"."&amp;(VLOOKUP(B149,'MASTER RECORD'!$B$5:$W$1000,11,0)),"")</f>
        <v/>
      </c>
      <c r="G149" s="36" t="str">
        <f t="shared" si="7"/>
        <v/>
      </c>
      <c r="H149" s="35" t="str">
        <f t="shared" si="8"/>
        <v/>
      </c>
      <c r="I149" s="35" t="str">
        <f>IFERROR(VLOOKUP(B149,'MASTER RECORD'!$B$5:$W$1000,14,0),"")</f>
        <v/>
      </c>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row>
    <row r="150" spans="1:45">
      <c r="A150" s="28">
        <f t="shared" si="6"/>
        <v>145</v>
      </c>
      <c r="B150" s="7"/>
      <c r="C150" s="35" t="str">
        <f>IFERROR(VLOOKUP(B150,'MASTER RECORD'!$B$5:$W$1000,3,0),"")</f>
        <v/>
      </c>
      <c r="D150" s="35" t="str">
        <f>IFERROR(VLOOKUP(B150,'MASTER RECORD'!$B$5:$W$1000,2,0),"")</f>
        <v/>
      </c>
      <c r="E150" s="36" t="str">
        <f>IFERROR(VLOOKUP(B150,'MASTER RECORD'!$B$5:$W$1000,9,0),"")</f>
        <v/>
      </c>
      <c r="F150" s="35" t="str">
        <f>IFERROR(VLOOKUP(B150,'MASTER RECORD'!$B$5:$W$1000,10,0) &amp;"."&amp;(VLOOKUP(B150,'MASTER RECORD'!$B$5:$W$1000,11,0)),"")</f>
        <v/>
      </c>
      <c r="G150" s="36" t="str">
        <f t="shared" si="7"/>
        <v/>
      </c>
      <c r="H150" s="35" t="str">
        <f t="shared" si="8"/>
        <v/>
      </c>
      <c r="I150" s="35" t="str">
        <f>IFERROR(VLOOKUP(B150,'MASTER RECORD'!$B$5:$W$1000,14,0),"")</f>
        <v/>
      </c>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row>
    <row r="151" spans="1:45">
      <c r="A151" s="28">
        <f t="shared" si="6"/>
        <v>146</v>
      </c>
      <c r="B151" s="7"/>
      <c r="C151" s="35" t="str">
        <f>IFERROR(VLOOKUP(B151,'MASTER RECORD'!$B$5:$W$1000,3,0),"")</f>
        <v/>
      </c>
      <c r="D151" s="35" t="str">
        <f>IFERROR(VLOOKUP(B151,'MASTER RECORD'!$B$5:$W$1000,2,0),"")</f>
        <v/>
      </c>
      <c r="E151" s="36" t="str">
        <f>IFERROR(VLOOKUP(B151,'MASTER RECORD'!$B$5:$W$1000,9,0),"")</f>
        <v/>
      </c>
      <c r="F151" s="35" t="str">
        <f>IFERROR(VLOOKUP(B151,'MASTER RECORD'!$B$5:$W$1000,10,0) &amp;"."&amp;(VLOOKUP(B151,'MASTER RECORD'!$B$5:$W$1000,11,0)),"")</f>
        <v/>
      </c>
      <c r="G151" s="36" t="str">
        <f t="shared" si="7"/>
        <v/>
      </c>
      <c r="H151" s="35" t="str">
        <f t="shared" si="8"/>
        <v/>
      </c>
      <c r="I151" s="35" t="str">
        <f>IFERROR(VLOOKUP(B151,'MASTER RECORD'!$B$5:$W$1000,14,0),"")</f>
        <v/>
      </c>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row>
    <row r="152" spans="1:45">
      <c r="A152" s="28">
        <f t="shared" si="6"/>
        <v>147</v>
      </c>
      <c r="B152" s="7"/>
      <c r="C152" s="35" t="str">
        <f>IFERROR(VLOOKUP(B152,'MASTER RECORD'!$B$5:$W$1000,3,0),"")</f>
        <v/>
      </c>
      <c r="D152" s="35" t="str">
        <f>IFERROR(VLOOKUP(B152,'MASTER RECORD'!$B$5:$W$1000,2,0),"")</f>
        <v/>
      </c>
      <c r="E152" s="36" t="str">
        <f>IFERROR(VLOOKUP(B152,'MASTER RECORD'!$B$5:$W$1000,9,0),"")</f>
        <v/>
      </c>
      <c r="F152" s="35" t="str">
        <f>IFERROR(VLOOKUP(B152,'MASTER RECORD'!$B$5:$W$1000,10,0) &amp;"."&amp;(VLOOKUP(B152,'MASTER RECORD'!$B$5:$W$1000,11,0)),"")</f>
        <v/>
      </c>
      <c r="G152" s="36" t="str">
        <f t="shared" si="7"/>
        <v/>
      </c>
      <c r="H152" s="35" t="str">
        <f t="shared" si="8"/>
        <v/>
      </c>
      <c r="I152" s="35" t="str">
        <f>IFERROR(VLOOKUP(B152,'MASTER RECORD'!$B$5:$W$1000,14,0),"")</f>
        <v/>
      </c>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row>
    <row r="153" spans="1:45">
      <c r="A153" s="28">
        <f t="shared" si="6"/>
        <v>148</v>
      </c>
      <c r="B153" s="7"/>
      <c r="C153" s="35" t="str">
        <f>IFERROR(VLOOKUP(B153,'MASTER RECORD'!$B$5:$W$1000,3,0),"")</f>
        <v/>
      </c>
      <c r="D153" s="35" t="str">
        <f>IFERROR(VLOOKUP(B153,'MASTER RECORD'!$B$5:$W$1000,2,0),"")</f>
        <v/>
      </c>
      <c r="E153" s="36" t="str">
        <f>IFERROR(VLOOKUP(B153,'MASTER RECORD'!$B$5:$W$1000,9,0),"")</f>
        <v/>
      </c>
      <c r="F153" s="35" t="str">
        <f>IFERROR(VLOOKUP(B153,'MASTER RECORD'!$B$5:$W$1000,10,0) &amp;"."&amp;(VLOOKUP(B153,'MASTER RECORD'!$B$5:$W$1000,11,0)),"")</f>
        <v/>
      </c>
      <c r="G153" s="36" t="str">
        <f t="shared" si="7"/>
        <v/>
      </c>
      <c r="H153" s="35" t="str">
        <f t="shared" si="8"/>
        <v/>
      </c>
      <c r="I153" s="35" t="str">
        <f>IFERROR(VLOOKUP(B153,'MASTER RECORD'!$B$5:$W$1000,14,0),"")</f>
        <v/>
      </c>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row>
    <row r="154" spans="1:45">
      <c r="A154" s="28">
        <f t="shared" si="6"/>
        <v>149</v>
      </c>
      <c r="B154" s="7"/>
      <c r="C154" s="35" t="str">
        <f>IFERROR(VLOOKUP(B154,'MASTER RECORD'!$B$5:$W$1000,3,0),"")</f>
        <v/>
      </c>
      <c r="D154" s="35" t="str">
        <f>IFERROR(VLOOKUP(B154,'MASTER RECORD'!$B$5:$W$1000,2,0),"")</f>
        <v/>
      </c>
      <c r="E154" s="36" t="str">
        <f>IFERROR(VLOOKUP(B154,'MASTER RECORD'!$B$5:$W$1000,9,0),"")</f>
        <v/>
      </c>
      <c r="F154" s="35" t="str">
        <f>IFERROR(VLOOKUP(B154,'MASTER RECORD'!$B$5:$W$1000,10,0) &amp;"."&amp;(VLOOKUP(B154,'MASTER RECORD'!$B$5:$W$1000,11,0)),"")</f>
        <v/>
      </c>
      <c r="G154" s="36" t="str">
        <f t="shared" si="7"/>
        <v/>
      </c>
      <c r="H154" s="35" t="str">
        <f t="shared" si="8"/>
        <v/>
      </c>
      <c r="I154" s="35" t="str">
        <f>IFERROR(VLOOKUP(B154,'MASTER RECORD'!$B$5:$W$1000,14,0),"")</f>
        <v/>
      </c>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row>
    <row r="155" spans="1:45">
      <c r="A155" s="28">
        <f t="shared" si="6"/>
        <v>150</v>
      </c>
      <c r="B155" s="7"/>
      <c r="C155" s="35" t="str">
        <f>IFERROR(VLOOKUP(B155,'MASTER RECORD'!$B$5:$W$1000,3,0),"")</f>
        <v/>
      </c>
      <c r="D155" s="35" t="str">
        <f>IFERROR(VLOOKUP(B155,'MASTER RECORD'!$B$5:$W$1000,2,0),"")</f>
        <v/>
      </c>
      <c r="E155" s="36" t="str">
        <f>IFERROR(VLOOKUP(B155,'MASTER RECORD'!$B$5:$W$1000,9,0),"")</f>
        <v/>
      </c>
      <c r="F155" s="35" t="str">
        <f>IFERROR(VLOOKUP(B155,'MASTER RECORD'!$B$5:$W$1000,10,0) &amp;"."&amp;(VLOOKUP(B155,'MASTER RECORD'!$B$5:$W$1000,11,0)),"")</f>
        <v/>
      </c>
      <c r="G155" s="36" t="str">
        <f t="shared" si="7"/>
        <v/>
      </c>
      <c r="H155" s="35" t="str">
        <f t="shared" si="8"/>
        <v/>
      </c>
      <c r="I155" s="35" t="str">
        <f>IFERROR(VLOOKUP(B155,'MASTER RECORD'!$B$5:$W$1000,14,0),"")</f>
        <v/>
      </c>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row>
    <row r="156" spans="1:45">
      <c r="A156" s="28">
        <f t="shared" si="6"/>
        <v>151</v>
      </c>
      <c r="B156" s="7"/>
      <c r="C156" s="35" t="str">
        <f>IFERROR(VLOOKUP(B156,'MASTER RECORD'!$B$5:$W$1000,3,0),"")</f>
        <v/>
      </c>
      <c r="D156" s="35" t="str">
        <f>IFERROR(VLOOKUP(B156,'MASTER RECORD'!$B$5:$W$1000,2,0),"")</f>
        <v/>
      </c>
      <c r="E156" s="36" t="str">
        <f>IFERROR(VLOOKUP(B156,'MASTER RECORD'!$B$5:$W$1000,9,0),"")</f>
        <v/>
      </c>
      <c r="F156" s="35" t="str">
        <f>IFERROR(VLOOKUP(B156,'MASTER RECORD'!$B$5:$W$1000,10,0) &amp;"."&amp;(VLOOKUP(B156,'MASTER RECORD'!$B$5:$W$1000,11,0)),"")</f>
        <v/>
      </c>
      <c r="G156" s="36" t="str">
        <f t="shared" si="7"/>
        <v/>
      </c>
      <c r="H156" s="35" t="str">
        <f t="shared" si="8"/>
        <v/>
      </c>
      <c r="I156" s="35" t="str">
        <f>IFERROR(VLOOKUP(B156,'MASTER RECORD'!$B$5:$W$1000,14,0),"")</f>
        <v/>
      </c>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row>
    <row r="157" spans="1:45">
      <c r="A157" s="28">
        <f t="shared" si="6"/>
        <v>152</v>
      </c>
      <c r="B157" s="7"/>
      <c r="C157" s="35" t="str">
        <f>IFERROR(VLOOKUP(B157,'MASTER RECORD'!$B$5:$W$1000,3,0),"")</f>
        <v/>
      </c>
      <c r="D157" s="35" t="str">
        <f>IFERROR(VLOOKUP(B157,'MASTER RECORD'!$B$5:$W$1000,2,0),"")</f>
        <v/>
      </c>
      <c r="E157" s="36" t="str">
        <f>IFERROR(VLOOKUP(B157,'MASTER RECORD'!$B$5:$W$1000,9,0),"")</f>
        <v/>
      </c>
      <c r="F157" s="35" t="str">
        <f>IFERROR(VLOOKUP(B157,'MASTER RECORD'!$B$5:$W$1000,10,0) &amp;"."&amp;(VLOOKUP(B157,'MASTER RECORD'!$B$5:$W$1000,11,0)),"")</f>
        <v/>
      </c>
      <c r="G157" s="36" t="str">
        <f t="shared" si="7"/>
        <v/>
      </c>
      <c r="H157" s="35" t="str">
        <f t="shared" si="8"/>
        <v/>
      </c>
      <c r="I157" s="35" t="str">
        <f>IFERROR(VLOOKUP(B157,'MASTER RECORD'!$B$5:$W$1000,14,0),"")</f>
        <v/>
      </c>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row>
    <row r="158" spans="1:45">
      <c r="A158" s="28">
        <f t="shared" si="6"/>
        <v>153</v>
      </c>
      <c r="B158" s="7"/>
      <c r="C158" s="35" t="str">
        <f>IFERROR(VLOOKUP(B158,'MASTER RECORD'!$B$5:$W$1000,3,0),"")</f>
        <v/>
      </c>
      <c r="D158" s="35" t="str">
        <f>IFERROR(VLOOKUP(B158,'MASTER RECORD'!$B$5:$W$1000,2,0),"")</f>
        <v/>
      </c>
      <c r="E158" s="36" t="str">
        <f>IFERROR(VLOOKUP(B158,'MASTER RECORD'!$B$5:$W$1000,9,0),"")</f>
        <v/>
      </c>
      <c r="F158" s="35" t="str">
        <f>IFERROR(VLOOKUP(B158,'MASTER RECORD'!$B$5:$W$1000,10,0) &amp;"."&amp;(VLOOKUP(B158,'MASTER RECORD'!$B$5:$W$1000,11,0)),"")</f>
        <v/>
      </c>
      <c r="G158" s="36" t="str">
        <f t="shared" si="7"/>
        <v/>
      </c>
      <c r="H158" s="35" t="str">
        <f t="shared" si="8"/>
        <v/>
      </c>
      <c r="I158" s="35" t="str">
        <f>IFERROR(VLOOKUP(B158,'MASTER RECORD'!$B$5:$W$1000,14,0),"")</f>
        <v/>
      </c>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row>
    <row r="159" spans="1:45">
      <c r="A159" s="28">
        <f t="shared" si="6"/>
        <v>154</v>
      </c>
      <c r="B159" s="7"/>
      <c r="C159" s="35" t="str">
        <f>IFERROR(VLOOKUP(B159,'MASTER RECORD'!$B$5:$W$1000,3,0),"")</f>
        <v/>
      </c>
      <c r="D159" s="35" t="str">
        <f>IFERROR(VLOOKUP(B159,'MASTER RECORD'!$B$5:$W$1000,2,0),"")</f>
        <v/>
      </c>
      <c r="E159" s="36" t="str">
        <f>IFERROR(VLOOKUP(B159,'MASTER RECORD'!$B$5:$W$1000,9,0),"")</f>
        <v/>
      </c>
      <c r="F159" s="35" t="str">
        <f>IFERROR(VLOOKUP(B159,'MASTER RECORD'!$B$5:$W$1000,10,0) &amp;"."&amp;(VLOOKUP(B159,'MASTER RECORD'!$B$5:$W$1000,11,0)),"")</f>
        <v/>
      </c>
      <c r="G159" s="36" t="str">
        <f t="shared" si="7"/>
        <v/>
      </c>
      <c r="H159" s="35" t="str">
        <f t="shared" si="8"/>
        <v/>
      </c>
      <c r="I159" s="35" t="str">
        <f>IFERROR(VLOOKUP(B159,'MASTER RECORD'!$B$5:$W$1000,14,0),"")</f>
        <v/>
      </c>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row>
    <row r="160" spans="1:45">
      <c r="A160" s="28">
        <f t="shared" si="6"/>
        <v>155</v>
      </c>
      <c r="B160" s="7"/>
      <c r="C160" s="35" t="str">
        <f>IFERROR(VLOOKUP(B160,'MASTER RECORD'!$B$5:$W$1000,3,0),"")</f>
        <v/>
      </c>
      <c r="D160" s="35" t="str">
        <f>IFERROR(VLOOKUP(B160,'MASTER RECORD'!$B$5:$W$1000,2,0),"")</f>
        <v/>
      </c>
      <c r="E160" s="36" t="str">
        <f>IFERROR(VLOOKUP(B160,'MASTER RECORD'!$B$5:$W$1000,9,0),"")</f>
        <v/>
      </c>
      <c r="F160" s="35" t="str">
        <f>IFERROR(VLOOKUP(B160,'MASTER RECORD'!$B$5:$W$1000,10,0) &amp;"."&amp;(VLOOKUP(B160,'MASTER RECORD'!$B$5:$W$1000,11,0)),"")</f>
        <v/>
      </c>
      <c r="G160" s="36" t="str">
        <f t="shared" si="7"/>
        <v/>
      </c>
      <c r="H160" s="35" t="str">
        <f t="shared" si="8"/>
        <v/>
      </c>
      <c r="I160" s="35" t="str">
        <f>IFERROR(VLOOKUP(B160,'MASTER RECORD'!$B$5:$W$1000,14,0),"")</f>
        <v/>
      </c>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row>
    <row r="161" spans="1:45">
      <c r="A161" s="28">
        <f t="shared" si="6"/>
        <v>156</v>
      </c>
      <c r="B161" s="7"/>
      <c r="C161" s="35" t="str">
        <f>IFERROR(VLOOKUP(B161,'MASTER RECORD'!$B$5:$W$1000,3,0),"")</f>
        <v/>
      </c>
      <c r="D161" s="35" t="str">
        <f>IFERROR(VLOOKUP(B161,'MASTER RECORD'!$B$5:$W$1000,2,0),"")</f>
        <v/>
      </c>
      <c r="E161" s="36" t="str">
        <f>IFERROR(VLOOKUP(B161,'MASTER RECORD'!$B$5:$W$1000,9,0),"")</f>
        <v/>
      </c>
      <c r="F161" s="35" t="str">
        <f>IFERROR(VLOOKUP(B161,'MASTER RECORD'!$B$5:$W$1000,10,0) &amp;"."&amp;(VLOOKUP(B161,'MASTER RECORD'!$B$5:$W$1000,11,0)),"")</f>
        <v/>
      </c>
      <c r="G161" s="36" t="str">
        <f t="shared" si="7"/>
        <v/>
      </c>
      <c r="H161" s="35" t="str">
        <f t="shared" si="8"/>
        <v/>
      </c>
      <c r="I161" s="35" t="str">
        <f>IFERROR(VLOOKUP(B161,'MASTER RECORD'!$B$5:$W$1000,14,0),"")</f>
        <v/>
      </c>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17"/>
      <c r="AO161" s="17"/>
      <c r="AP161" s="17"/>
      <c r="AQ161" s="17"/>
      <c r="AR161" s="17"/>
      <c r="AS161" s="17"/>
    </row>
    <row r="162" spans="1:45">
      <c r="A162" s="28">
        <f t="shared" si="6"/>
        <v>157</v>
      </c>
      <c r="B162" s="7"/>
      <c r="C162" s="35" t="str">
        <f>IFERROR(VLOOKUP(B162,'MASTER RECORD'!$B$5:$W$1000,3,0),"")</f>
        <v/>
      </c>
      <c r="D162" s="35" t="str">
        <f>IFERROR(VLOOKUP(B162,'MASTER RECORD'!$B$5:$W$1000,2,0),"")</f>
        <v/>
      </c>
      <c r="E162" s="36" t="str">
        <f>IFERROR(VLOOKUP(B162,'MASTER RECORD'!$B$5:$W$1000,9,0),"")</f>
        <v/>
      </c>
      <c r="F162" s="35" t="str">
        <f>IFERROR(VLOOKUP(B162,'MASTER RECORD'!$B$5:$W$1000,10,0) &amp;"."&amp;(VLOOKUP(B162,'MASTER RECORD'!$B$5:$W$1000,11,0)),"")</f>
        <v/>
      </c>
      <c r="G162" s="36" t="str">
        <f t="shared" si="7"/>
        <v/>
      </c>
      <c r="H162" s="35" t="str">
        <f t="shared" si="8"/>
        <v/>
      </c>
      <c r="I162" s="35" t="str">
        <f>IFERROR(VLOOKUP(B162,'MASTER RECORD'!$B$5:$W$1000,14,0),"")</f>
        <v/>
      </c>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c r="AN162" s="17"/>
      <c r="AO162" s="17"/>
      <c r="AP162" s="17"/>
      <c r="AQ162" s="17"/>
      <c r="AR162" s="17"/>
      <c r="AS162" s="17"/>
    </row>
    <row r="163" spans="1:45">
      <c r="A163" s="28">
        <f t="shared" si="6"/>
        <v>158</v>
      </c>
      <c r="B163" s="7"/>
      <c r="C163" s="35" t="str">
        <f>IFERROR(VLOOKUP(B163,'MASTER RECORD'!$B$5:$W$1000,3,0),"")</f>
        <v/>
      </c>
      <c r="D163" s="35" t="str">
        <f>IFERROR(VLOOKUP(B163,'MASTER RECORD'!$B$5:$W$1000,2,0),"")</f>
        <v/>
      </c>
      <c r="E163" s="36" t="str">
        <f>IFERROR(VLOOKUP(B163,'MASTER RECORD'!$B$5:$W$1000,9,0),"")</f>
        <v/>
      </c>
      <c r="F163" s="35" t="str">
        <f>IFERROR(VLOOKUP(B163,'MASTER RECORD'!$B$5:$W$1000,10,0) &amp;"."&amp;(VLOOKUP(B163,'MASTER RECORD'!$B$5:$W$1000,11,0)),"")</f>
        <v/>
      </c>
      <c r="G163" s="36" t="str">
        <f t="shared" si="7"/>
        <v/>
      </c>
      <c r="H163" s="35" t="str">
        <f t="shared" si="8"/>
        <v/>
      </c>
      <c r="I163" s="35" t="str">
        <f>IFERROR(VLOOKUP(B163,'MASTER RECORD'!$B$5:$W$1000,14,0),"")</f>
        <v/>
      </c>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17"/>
      <c r="AO163" s="17"/>
      <c r="AP163" s="17"/>
      <c r="AQ163" s="17"/>
      <c r="AR163" s="17"/>
      <c r="AS163" s="17"/>
    </row>
    <row r="164" spans="1:45">
      <c r="A164" s="28">
        <f t="shared" si="6"/>
        <v>159</v>
      </c>
      <c r="B164" s="7"/>
      <c r="C164" s="35" t="str">
        <f>IFERROR(VLOOKUP(B164,'MASTER RECORD'!$B$5:$W$1000,3,0),"")</f>
        <v/>
      </c>
      <c r="D164" s="35" t="str">
        <f>IFERROR(VLOOKUP(B164,'MASTER RECORD'!$B$5:$W$1000,2,0),"")</f>
        <v/>
      </c>
      <c r="E164" s="36" t="str">
        <f>IFERROR(VLOOKUP(B164,'MASTER RECORD'!$B$5:$W$1000,9,0),"")</f>
        <v/>
      </c>
      <c r="F164" s="35" t="str">
        <f>IFERROR(VLOOKUP(B164,'MASTER RECORD'!$B$5:$W$1000,10,0) &amp;"."&amp;(VLOOKUP(B164,'MASTER RECORD'!$B$5:$W$1000,11,0)),"")</f>
        <v/>
      </c>
      <c r="G164" s="36" t="str">
        <f t="shared" si="7"/>
        <v/>
      </c>
      <c r="H164" s="35" t="str">
        <f t="shared" si="8"/>
        <v/>
      </c>
      <c r="I164" s="35" t="str">
        <f>IFERROR(VLOOKUP(B164,'MASTER RECORD'!$B$5:$W$1000,14,0),"")</f>
        <v/>
      </c>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c r="AN164" s="17"/>
      <c r="AO164" s="17"/>
      <c r="AP164" s="17"/>
      <c r="AQ164" s="17"/>
      <c r="AR164" s="17"/>
      <c r="AS164" s="17"/>
    </row>
    <row r="165" spans="1:45">
      <c r="A165" s="28">
        <f t="shared" si="6"/>
        <v>160</v>
      </c>
      <c r="B165" s="7"/>
      <c r="C165" s="35" t="str">
        <f>IFERROR(VLOOKUP(B165,'MASTER RECORD'!$B$5:$W$1000,3,0),"")</f>
        <v/>
      </c>
      <c r="D165" s="35" t="str">
        <f>IFERROR(VLOOKUP(B165,'MASTER RECORD'!$B$5:$W$1000,2,0),"")</f>
        <v/>
      </c>
      <c r="E165" s="36" t="str">
        <f>IFERROR(VLOOKUP(B165,'MASTER RECORD'!$B$5:$W$1000,9,0),"")</f>
        <v/>
      </c>
      <c r="F165" s="35" t="str">
        <f>IFERROR(VLOOKUP(B165,'MASTER RECORD'!$B$5:$W$1000,10,0) &amp;"."&amp;(VLOOKUP(B165,'MASTER RECORD'!$B$5:$W$1000,11,0)),"")</f>
        <v/>
      </c>
      <c r="G165" s="36" t="str">
        <f t="shared" si="7"/>
        <v/>
      </c>
      <c r="H165" s="35" t="str">
        <f t="shared" si="8"/>
        <v/>
      </c>
      <c r="I165" s="35" t="str">
        <f>IFERROR(VLOOKUP(B165,'MASTER RECORD'!$B$5:$W$1000,14,0),"")</f>
        <v/>
      </c>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17"/>
      <c r="AO165" s="17"/>
      <c r="AP165" s="17"/>
      <c r="AQ165" s="17"/>
      <c r="AR165" s="17"/>
      <c r="AS165" s="17"/>
    </row>
    <row r="166" spans="1:45">
      <c r="A166" s="28">
        <f t="shared" si="6"/>
        <v>161</v>
      </c>
      <c r="B166" s="7"/>
      <c r="C166" s="35" t="str">
        <f>IFERROR(VLOOKUP(B166,'MASTER RECORD'!$B$5:$W$1000,3,0),"")</f>
        <v/>
      </c>
      <c r="D166" s="35" t="str">
        <f>IFERROR(VLOOKUP(B166,'MASTER RECORD'!$B$5:$W$1000,2,0),"")</f>
        <v/>
      </c>
      <c r="E166" s="36" t="str">
        <f>IFERROR(VLOOKUP(B166,'MASTER RECORD'!$B$5:$W$1000,9,0),"")</f>
        <v/>
      </c>
      <c r="F166" s="35" t="str">
        <f>IFERROR(VLOOKUP(B166,'MASTER RECORD'!$B$5:$W$1000,10,0) &amp;"."&amp;(VLOOKUP(B166,'MASTER RECORD'!$B$5:$W$1000,11,0)),"")</f>
        <v/>
      </c>
      <c r="G166" s="36" t="str">
        <f t="shared" si="7"/>
        <v/>
      </c>
      <c r="H166" s="35" t="str">
        <f t="shared" si="8"/>
        <v/>
      </c>
      <c r="I166" s="35" t="str">
        <f>IFERROR(VLOOKUP(B166,'MASTER RECORD'!$B$5:$W$1000,14,0),"")</f>
        <v/>
      </c>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c r="AN166" s="17"/>
      <c r="AO166" s="17"/>
      <c r="AP166" s="17"/>
      <c r="AQ166" s="17"/>
      <c r="AR166" s="17"/>
      <c r="AS166" s="17"/>
    </row>
    <row r="167" spans="1:45">
      <c r="A167" s="28">
        <f t="shared" si="6"/>
        <v>162</v>
      </c>
      <c r="B167" s="7"/>
      <c r="C167" s="35" t="str">
        <f>IFERROR(VLOOKUP(B167,'MASTER RECORD'!$B$5:$W$1000,3,0),"")</f>
        <v/>
      </c>
      <c r="D167" s="35" t="str">
        <f>IFERROR(VLOOKUP(B167,'MASTER RECORD'!$B$5:$W$1000,2,0),"")</f>
        <v/>
      </c>
      <c r="E167" s="36" t="str">
        <f>IFERROR(VLOOKUP(B167,'MASTER RECORD'!$B$5:$W$1000,9,0),"")</f>
        <v/>
      </c>
      <c r="F167" s="35" t="str">
        <f>IFERROR(VLOOKUP(B167,'MASTER RECORD'!$B$5:$W$1000,10,0) &amp;"."&amp;(VLOOKUP(B167,'MASTER RECORD'!$B$5:$W$1000,11,0)),"")</f>
        <v/>
      </c>
      <c r="G167" s="36" t="str">
        <f t="shared" si="7"/>
        <v/>
      </c>
      <c r="H167" s="35" t="str">
        <f t="shared" si="8"/>
        <v/>
      </c>
      <c r="I167" s="35" t="str">
        <f>IFERROR(VLOOKUP(B167,'MASTER RECORD'!$B$5:$W$1000,14,0),"")</f>
        <v/>
      </c>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17"/>
      <c r="AO167" s="17"/>
      <c r="AP167" s="17"/>
      <c r="AQ167" s="17"/>
      <c r="AR167" s="17"/>
      <c r="AS167" s="17"/>
    </row>
    <row r="168" spans="1:45">
      <c r="A168" s="28">
        <f t="shared" si="6"/>
        <v>163</v>
      </c>
      <c r="B168" s="7"/>
      <c r="C168" s="35" t="str">
        <f>IFERROR(VLOOKUP(B168,'MASTER RECORD'!$B$5:$W$1000,3,0),"")</f>
        <v/>
      </c>
      <c r="D168" s="35" t="str">
        <f>IFERROR(VLOOKUP(B168,'MASTER RECORD'!$B$5:$W$1000,2,0),"")</f>
        <v/>
      </c>
      <c r="E168" s="36" t="str">
        <f>IFERROR(VLOOKUP(B168,'MASTER RECORD'!$B$5:$W$1000,9,0),"")</f>
        <v/>
      </c>
      <c r="F168" s="35" t="str">
        <f>IFERROR(VLOOKUP(B168,'MASTER RECORD'!$B$5:$W$1000,10,0) &amp;"."&amp;(VLOOKUP(B168,'MASTER RECORD'!$B$5:$W$1000,11,0)),"")</f>
        <v/>
      </c>
      <c r="G168" s="36" t="str">
        <f t="shared" si="7"/>
        <v/>
      </c>
      <c r="H168" s="35" t="str">
        <f t="shared" si="8"/>
        <v/>
      </c>
      <c r="I168" s="35" t="str">
        <f>IFERROR(VLOOKUP(B168,'MASTER RECORD'!$B$5:$W$1000,14,0),"")</f>
        <v/>
      </c>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c r="AN168" s="17"/>
      <c r="AO168" s="17"/>
      <c r="AP168" s="17"/>
      <c r="AQ168" s="17"/>
      <c r="AR168" s="17"/>
      <c r="AS168" s="17"/>
    </row>
    <row r="169" spans="1:45">
      <c r="A169" s="28">
        <f t="shared" si="6"/>
        <v>164</v>
      </c>
      <c r="B169" s="7"/>
      <c r="C169" s="35" t="str">
        <f>IFERROR(VLOOKUP(B169,'MASTER RECORD'!$B$5:$W$1000,3,0),"")</f>
        <v/>
      </c>
      <c r="D169" s="35" t="str">
        <f>IFERROR(VLOOKUP(B169,'MASTER RECORD'!$B$5:$W$1000,2,0),"")</f>
        <v/>
      </c>
      <c r="E169" s="36" t="str">
        <f>IFERROR(VLOOKUP(B169,'MASTER RECORD'!$B$5:$W$1000,9,0),"")</f>
        <v/>
      </c>
      <c r="F169" s="35" t="str">
        <f>IFERROR(VLOOKUP(B169,'MASTER RECORD'!$B$5:$W$1000,10,0) &amp;"."&amp;(VLOOKUP(B169,'MASTER RECORD'!$B$5:$W$1000,11,0)),"")</f>
        <v/>
      </c>
      <c r="G169" s="36" t="str">
        <f t="shared" si="7"/>
        <v/>
      </c>
      <c r="H169" s="35" t="str">
        <f t="shared" si="8"/>
        <v/>
      </c>
      <c r="I169" s="35" t="str">
        <f>IFERROR(VLOOKUP(B169,'MASTER RECORD'!$B$5:$W$1000,14,0),"")</f>
        <v/>
      </c>
      <c r="J169" s="17"/>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17"/>
      <c r="AO169" s="17"/>
      <c r="AP169" s="17"/>
      <c r="AQ169" s="17"/>
      <c r="AR169" s="17"/>
      <c r="AS169" s="17"/>
    </row>
    <row r="170" spans="1:45">
      <c r="A170" s="28">
        <f t="shared" si="6"/>
        <v>165</v>
      </c>
      <c r="B170" s="7"/>
      <c r="C170" s="35" t="str">
        <f>IFERROR(VLOOKUP(B170,'MASTER RECORD'!$B$5:$W$1000,3,0),"")</f>
        <v/>
      </c>
      <c r="D170" s="35" t="str">
        <f>IFERROR(VLOOKUP(B170,'MASTER RECORD'!$B$5:$W$1000,2,0),"")</f>
        <v/>
      </c>
      <c r="E170" s="36" t="str">
        <f>IFERROR(VLOOKUP(B170,'MASTER RECORD'!$B$5:$W$1000,9,0),"")</f>
        <v/>
      </c>
      <c r="F170" s="35" t="str">
        <f>IFERROR(VLOOKUP(B170,'MASTER RECORD'!$B$5:$W$1000,10,0) &amp;"."&amp;(VLOOKUP(B170,'MASTER RECORD'!$B$5:$W$1000,11,0)),"")</f>
        <v/>
      </c>
      <c r="G170" s="36" t="str">
        <f t="shared" si="7"/>
        <v/>
      </c>
      <c r="H170" s="35" t="str">
        <f t="shared" si="8"/>
        <v/>
      </c>
      <c r="I170" s="35" t="str">
        <f>IFERROR(VLOOKUP(B170,'MASTER RECORD'!$B$5:$W$1000,14,0),"")</f>
        <v/>
      </c>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c r="AN170" s="17"/>
      <c r="AO170" s="17"/>
      <c r="AP170" s="17"/>
      <c r="AQ170" s="17"/>
      <c r="AR170" s="17"/>
      <c r="AS170" s="17"/>
    </row>
    <row r="171" spans="1:45">
      <c r="A171" s="28">
        <f t="shared" si="6"/>
        <v>166</v>
      </c>
      <c r="B171" s="7"/>
      <c r="C171" s="35" t="str">
        <f>IFERROR(VLOOKUP(B171,'MASTER RECORD'!$B$5:$W$1000,3,0),"")</f>
        <v/>
      </c>
      <c r="D171" s="35" t="str">
        <f>IFERROR(VLOOKUP(B171,'MASTER RECORD'!$B$5:$W$1000,2,0),"")</f>
        <v/>
      </c>
      <c r="E171" s="36" t="str">
        <f>IFERROR(VLOOKUP(B171,'MASTER RECORD'!$B$5:$W$1000,9,0),"")</f>
        <v/>
      </c>
      <c r="F171" s="35" t="str">
        <f>IFERROR(VLOOKUP(B171,'MASTER RECORD'!$B$5:$W$1000,10,0) &amp;"."&amp;(VLOOKUP(B171,'MASTER RECORD'!$B$5:$W$1000,11,0)),"")</f>
        <v/>
      </c>
      <c r="G171" s="36" t="str">
        <f t="shared" si="7"/>
        <v/>
      </c>
      <c r="H171" s="35" t="str">
        <f t="shared" si="8"/>
        <v/>
      </c>
      <c r="I171" s="35" t="str">
        <f>IFERROR(VLOOKUP(B171,'MASTER RECORD'!$B$5:$W$1000,14,0),"")</f>
        <v/>
      </c>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17"/>
      <c r="AO171" s="17"/>
      <c r="AP171" s="17"/>
      <c r="AQ171" s="17"/>
      <c r="AR171" s="17"/>
      <c r="AS171" s="17"/>
    </row>
    <row r="172" spans="1:45">
      <c r="A172" s="28">
        <f t="shared" si="6"/>
        <v>167</v>
      </c>
      <c r="B172" s="7"/>
      <c r="C172" s="35" t="str">
        <f>IFERROR(VLOOKUP(B172,'MASTER RECORD'!$B$5:$W$1000,3,0),"")</f>
        <v/>
      </c>
      <c r="D172" s="35" t="str">
        <f>IFERROR(VLOOKUP(B172,'MASTER RECORD'!$B$5:$W$1000,2,0),"")</f>
        <v/>
      </c>
      <c r="E172" s="36" t="str">
        <f>IFERROR(VLOOKUP(B172,'MASTER RECORD'!$B$5:$W$1000,9,0),"")</f>
        <v/>
      </c>
      <c r="F172" s="35" t="str">
        <f>IFERROR(VLOOKUP(B172,'MASTER RECORD'!$B$5:$W$1000,10,0) &amp;"."&amp;(VLOOKUP(B172,'MASTER RECORD'!$B$5:$W$1000,11,0)),"")</f>
        <v/>
      </c>
      <c r="G172" s="36" t="str">
        <f t="shared" si="7"/>
        <v/>
      </c>
      <c r="H172" s="35" t="str">
        <f t="shared" si="8"/>
        <v/>
      </c>
      <c r="I172" s="35" t="str">
        <f>IFERROR(VLOOKUP(B172,'MASTER RECORD'!$B$5:$W$1000,14,0),"")</f>
        <v/>
      </c>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c r="AN172" s="17"/>
      <c r="AO172" s="17"/>
      <c r="AP172" s="17"/>
      <c r="AQ172" s="17"/>
      <c r="AR172" s="17"/>
      <c r="AS172" s="17"/>
    </row>
    <row r="173" spans="1:45">
      <c r="A173" s="28">
        <f t="shared" si="6"/>
        <v>168</v>
      </c>
      <c r="B173" s="7"/>
      <c r="C173" s="35" t="str">
        <f>IFERROR(VLOOKUP(B173,'MASTER RECORD'!$B$5:$W$1000,3,0),"")</f>
        <v/>
      </c>
      <c r="D173" s="35" t="str">
        <f>IFERROR(VLOOKUP(B173,'MASTER RECORD'!$B$5:$W$1000,2,0),"")</f>
        <v/>
      </c>
      <c r="E173" s="36" t="str">
        <f>IFERROR(VLOOKUP(B173,'MASTER RECORD'!$B$5:$W$1000,9,0),"")</f>
        <v/>
      </c>
      <c r="F173" s="35" t="str">
        <f>IFERROR(VLOOKUP(B173,'MASTER RECORD'!$B$5:$W$1000,10,0) &amp;"."&amp;(VLOOKUP(B173,'MASTER RECORD'!$B$5:$W$1000,11,0)),"")</f>
        <v/>
      </c>
      <c r="G173" s="36" t="str">
        <f t="shared" si="7"/>
        <v/>
      </c>
      <c r="H173" s="35" t="str">
        <f t="shared" si="8"/>
        <v/>
      </c>
      <c r="I173" s="35" t="str">
        <f>IFERROR(VLOOKUP(B173,'MASTER RECORD'!$B$5:$W$1000,14,0),"")</f>
        <v/>
      </c>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17"/>
      <c r="AO173" s="17"/>
      <c r="AP173" s="17"/>
      <c r="AQ173" s="17"/>
      <c r="AR173" s="17"/>
      <c r="AS173" s="17"/>
    </row>
    <row r="174" spans="1:45">
      <c r="A174" s="28">
        <f t="shared" si="6"/>
        <v>169</v>
      </c>
      <c r="B174" s="7"/>
      <c r="C174" s="35" t="str">
        <f>IFERROR(VLOOKUP(B174,'MASTER RECORD'!$B$5:$W$1000,3,0),"")</f>
        <v/>
      </c>
      <c r="D174" s="35" t="str">
        <f>IFERROR(VLOOKUP(B174,'MASTER RECORD'!$B$5:$W$1000,2,0),"")</f>
        <v/>
      </c>
      <c r="E174" s="36" t="str">
        <f>IFERROR(VLOOKUP(B174,'MASTER RECORD'!$B$5:$W$1000,9,0),"")</f>
        <v/>
      </c>
      <c r="F174" s="35" t="str">
        <f>IFERROR(VLOOKUP(B174,'MASTER RECORD'!$B$5:$W$1000,10,0) &amp;"."&amp;(VLOOKUP(B174,'MASTER RECORD'!$B$5:$W$1000,11,0)),"")</f>
        <v/>
      </c>
      <c r="G174" s="36" t="str">
        <f t="shared" si="7"/>
        <v/>
      </c>
      <c r="H174" s="35" t="str">
        <f t="shared" si="8"/>
        <v/>
      </c>
      <c r="I174" s="35" t="str">
        <f>IFERROR(VLOOKUP(B174,'MASTER RECORD'!$B$5:$W$1000,14,0),"")</f>
        <v/>
      </c>
      <c r="J174" s="17"/>
      <c r="K174" s="17"/>
      <c r="L174" s="17"/>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c r="AK174" s="17"/>
      <c r="AL174" s="17"/>
      <c r="AM174" s="17"/>
      <c r="AN174" s="17"/>
      <c r="AO174" s="17"/>
      <c r="AP174" s="17"/>
      <c r="AQ174" s="17"/>
      <c r="AR174" s="17"/>
      <c r="AS174" s="17"/>
    </row>
    <row r="175" spans="1:45">
      <c r="A175" s="28">
        <f t="shared" si="6"/>
        <v>170</v>
      </c>
      <c r="B175" s="7"/>
      <c r="C175" s="35" t="str">
        <f>IFERROR(VLOOKUP(B175,'MASTER RECORD'!$B$5:$W$1000,3,0),"")</f>
        <v/>
      </c>
      <c r="D175" s="35" t="str">
        <f>IFERROR(VLOOKUP(B175,'MASTER RECORD'!$B$5:$W$1000,2,0),"")</f>
        <v/>
      </c>
      <c r="E175" s="36" t="str">
        <f>IFERROR(VLOOKUP(B175,'MASTER RECORD'!$B$5:$W$1000,9,0),"")</f>
        <v/>
      </c>
      <c r="F175" s="35" t="str">
        <f>IFERROR(VLOOKUP(B175,'MASTER RECORD'!$B$5:$W$1000,10,0) &amp;"."&amp;(VLOOKUP(B175,'MASTER RECORD'!$B$5:$W$1000,11,0)),"")</f>
        <v/>
      </c>
      <c r="G175" s="36" t="str">
        <f t="shared" si="7"/>
        <v/>
      </c>
      <c r="H175" s="35" t="str">
        <f t="shared" si="8"/>
        <v/>
      </c>
      <c r="I175" s="35" t="str">
        <f>IFERROR(VLOOKUP(B175,'MASTER RECORD'!$B$5:$W$1000,14,0),"")</f>
        <v/>
      </c>
      <c r="J175" s="17"/>
      <c r="K175" s="17"/>
      <c r="L175" s="17"/>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c r="AN175" s="17"/>
      <c r="AO175" s="17"/>
      <c r="AP175" s="17"/>
      <c r="AQ175" s="17"/>
      <c r="AR175" s="17"/>
      <c r="AS175" s="17"/>
    </row>
    <row r="176" spans="1:45">
      <c r="A176" s="28">
        <f t="shared" si="6"/>
        <v>171</v>
      </c>
      <c r="B176" s="7"/>
      <c r="C176" s="35" t="str">
        <f>IFERROR(VLOOKUP(B176,'MASTER RECORD'!$B$5:$W$1000,3,0),"")</f>
        <v/>
      </c>
      <c r="D176" s="35" t="str">
        <f>IFERROR(VLOOKUP(B176,'MASTER RECORD'!$B$5:$W$1000,2,0),"")</f>
        <v/>
      </c>
      <c r="E176" s="36" t="str">
        <f>IFERROR(VLOOKUP(B176,'MASTER RECORD'!$B$5:$W$1000,9,0),"")</f>
        <v/>
      </c>
      <c r="F176" s="35" t="str">
        <f>IFERROR(VLOOKUP(B176,'MASTER RECORD'!$B$5:$W$1000,10,0) &amp;"."&amp;(VLOOKUP(B176,'MASTER RECORD'!$B$5:$W$1000,11,0)),"")</f>
        <v/>
      </c>
      <c r="G176" s="36" t="str">
        <f t="shared" si="7"/>
        <v/>
      </c>
      <c r="H176" s="35" t="str">
        <f t="shared" si="8"/>
        <v/>
      </c>
      <c r="I176" s="35" t="str">
        <f>IFERROR(VLOOKUP(B176,'MASTER RECORD'!$B$5:$W$1000,14,0),"")</f>
        <v/>
      </c>
      <c r="J176" s="17"/>
      <c r="K176" s="17"/>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c r="AK176" s="17"/>
      <c r="AL176" s="17"/>
      <c r="AM176" s="17"/>
      <c r="AN176" s="17"/>
      <c r="AO176" s="17"/>
      <c r="AP176" s="17"/>
      <c r="AQ176" s="17"/>
      <c r="AR176" s="17"/>
      <c r="AS176" s="17"/>
    </row>
    <row r="177" spans="1:45">
      <c r="A177" s="28">
        <f t="shared" si="6"/>
        <v>172</v>
      </c>
      <c r="B177" s="7"/>
      <c r="C177" s="35" t="str">
        <f>IFERROR(VLOOKUP(B177,'MASTER RECORD'!$B$5:$W$1000,3,0),"")</f>
        <v/>
      </c>
      <c r="D177" s="35" t="str">
        <f>IFERROR(VLOOKUP(B177,'MASTER RECORD'!$B$5:$W$1000,2,0),"")</f>
        <v/>
      </c>
      <c r="E177" s="36" t="str">
        <f>IFERROR(VLOOKUP(B177,'MASTER RECORD'!$B$5:$W$1000,9,0),"")</f>
        <v/>
      </c>
      <c r="F177" s="35" t="str">
        <f>IFERROR(VLOOKUP(B177,'MASTER RECORD'!$B$5:$W$1000,10,0) &amp;"."&amp;(VLOOKUP(B177,'MASTER RECORD'!$B$5:$W$1000,11,0)),"")</f>
        <v/>
      </c>
      <c r="G177" s="36" t="str">
        <f t="shared" si="7"/>
        <v/>
      </c>
      <c r="H177" s="35" t="str">
        <f t="shared" si="8"/>
        <v/>
      </c>
      <c r="I177" s="35" t="str">
        <f>IFERROR(VLOOKUP(B177,'MASTER RECORD'!$B$5:$W$1000,14,0),"")</f>
        <v/>
      </c>
      <c r="J177" s="17"/>
      <c r="K177" s="17"/>
      <c r="L177" s="17"/>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c r="AN177" s="17"/>
      <c r="AO177" s="17"/>
      <c r="AP177" s="17"/>
      <c r="AQ177" s="17"/>
      <c r="AR177" s="17"/>
      <c r="AS177" s="17"/>
    </row>
    <row r="178" spans="1:45">
      <c r="A178" s="28">
        <f t="shared" si="6"/>
        <v>173</v>
      </c>
      <c r="B178" s="7"/>
      <c r="C178" s="35" t="str">
        <f>IFERROR(VLOOKUP(B178,'MASTER RECORD'!$B$5:$W$1000,3,0),"")</f>
        <v/>
      </c>
      <c r="D178" s="35" t="str">
        <f>IFERROR(VLOOKUP(B178,'MASTER RECORD'!$B$5:$W$1000,2,0),"")</f>
        <v/>
      </c>
      <c r="E178" s="36" t="str">
        <f>IFERROR(VLOOKUP(B178,'MASTER RECORD'!$B$5:$W$1000,9,0),"")</f>
        <v/>
      </c>
      <c r="F178" s="35" t="str">
        <f>IFERROR(VLOOKUP(B178,'MASTER RECORD'!$B$5:$W$1000,10,0) &amp;"."&amp;(VLOOKUP(B178,'MASTER RECORD'!$B$5:$W$1000,11,0)),"")</f>
        <v/>
      </c>
      <c r="G178" s="36" t="str">
        <f t="shared" si="7"/>
        <v/>
      </c>
      <c r="H178" s="35" t="str">
        <f t="shared" si="8"/>
        <v/>
      </c>
      <c r="I178" s="35" t="str">
        <f>IFERROR(VLOOKUP(B178,'MASTER RECORD'!$B$5:$W$1000,14,0),"")</f>
        <v/>
      </c>
      <c r="J178" s="17"/>
      <c r="K178" s="17"/>
      <c r="L178" s="17"/>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K178" s="17"/>
      <c r="AL178" s="17"/>
      <c r="AM178" s="17"/>
      <c r="AN178" s="17"/>
      <c r="AO178" s="17"/>
      <c r="AP178" s="17"/>
      <c r="AQ178" s="17"/>
      <c r="AR178" s="17"/>
      <c r="AS178" s="17"/>
    </row>
    <row r="179" spans="1:45">
      <c r="A179" s="28">
        <f t="shared" si="6"/>
        <v>174</v>
      </c>
      <c r="B179" s="7"/>
      <c r="C179" s="35" t="str">
        <f>IFERROR(VLOOKUP(B179,'MASTER RECORD'!$B$5:$W$1000,3,0),"")</f>
        <v/>
      </c>
      <c r="D179" s="35" t="str">
        <f>IFERROR(VLOOKUP(B179,'MASTER RECORD'!$B$5:$W$1000,2,0),"")</f>
        <v/>
      </c>
      <c r="E179" s="36" t="str">
        <f>IFERROR(VLOOKUP(B179,'MASTER RECORD'!$B$5:$W$1000,9,0),"")</f>
        <v/>
      </c>
      <c r="F179" s="35" t="str">
        <f>IFERROR(VLOOKUP(B179,'MASTER RECORD'!$B$5:$W$1000,10,0) &amp;"."&amp;(VLOOKUP(B179,'MASTER RECORD'!$B$5:$W$1000,11,0)),"")</f>
        <v/>
      </c>
      <c r="G179" s="36" t="str">
        <f t="shared" si="7"/>
        <v/>
      </c>
      <c r="H179" s="35" t="str">
        <f t="shared" si="8"/>
        <v/>
      </c>
      <c r="I179" s="35" t="str">
        <f>IFERROR(VLOOKUP(B179,'MASTER RECORD'!$B$5:$W$1000,14,0),"")</f>
        <v/>
      </c>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17"/>
      <c r="AO179" s="17"/>
      <c r="AP179" s="17"/>
      <c r="AQ179" s="17"/>
      <c r="AR179" s="17"/>
      <c r="AS179" s="17"/>
    </row>
    <row r="180" spans="1:45">
      <c r="A180" s="28">
        <f t="shared" si="6"/>
        <v>175</v>
      </c>
      <c r="B180" s="7"/>
      <c r="C180" s="35" t="str">
        <f>IFERROR(VLOOKUP(B180,'MASTER RECORD'!$B$5:$W$1000,3,0),"")</f>
        <v/>
      </c>
      <c r="D180" s="35" t="str">
        <f>IFERROR(VLOOKUP(B180,'MASTER RECORD'!$B$5:$W$1000,2,0),"")</f>
        <v/>
      </c>
      <c r="E180" s="36" t="str">
        <f>IFERROR(VLOOKUP(B180,'MASTER RECORD'!$B$5:$W$1000,9,0),"")</f>
        <v/>
      </c>
      <c r="F180" s="35" t="str">
        <f>IFERROR(VLOOKUP(B180,'MASTER RECORD'!$B$5:$W$1000,10,0) &amp;"."&amp;(VLOOKUP(B180,'MASTER RECORD'!$B$5:$W$1000,11,0)),"")</f>
        <v/>
      </c>
      <c r="G180" s="36" t="str">
        <f t="shared" si="7"/>
        <v/>
      </c>
      <c r="H180" s="35" t="str">
        <f t="shared" si="8"/>
        <v/>
      </c>
      <c r="I180" s="35" t="str">
        <f>IFERROR(VLOOKUP(B180,'MASTER RECORD'!$B$5:$W$1000,14,0),"")</f>
        <v/>
      </c>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c r="AN180" s="17"/>
      <c r="AO180" s="17"/>
      <c r="AP180" s="17"/>
      <c r="AQ180" s="17"/>
      <c r="AR180" s="17"/>
      <c r="AS180" s="17"/>
    </row>
    <row r="181" spans="1:45">
      <c r="A181" s="28">
        <f t="shared" si="6"/>
        <v>176</v>
      </c>
      <c r="B181" s="7"/>
      <c r="C181" s="35" t="str">
        <f>IFERROR(VLOOKUP(B181,'MASTER RECORD'!$B$5:$W$1000,3,0),"")</f>
        <v/>
      </c>
      <c r="D181" s="35" t="str">
        <f>IFERROR(VLOOKUP(B181,'MASTER RECORD'!$B$5:$W$1000,2,0),"")</f>
        <v/>
      </c>
      <c r="E181" s="36" t="str">
        <f>IFERROR(VLOOKUP(B181,'MASTER RECORD'!$B$5:$W$1000,9,0),"")</f>
        <v/>
      </c>
      <c r="F181" s="35" t="str">
        <f>IFERROR(VLOOKUP(B181,'MASTER RECORD'!$B$5:$W$1000,10,0) &amp;"."&amp;(VLOOKUP(B181,'MASTER RECORD'!$B$5:$W$1000,11,0)),"")</f>
        <v/>
      </c>
      <c r="G181" s="36" t="str">
        <f t="shared" si="7"/>
        <v/>
      </c>
      <c r="H181" s="35" t="str">
        <f t="shared" si="8"/>
        <v/>
      </c>
      <c r="I181" s="35" t="str">
        <f>IFERROR(VLOOKUP(B181,'MASTER RECORD'!$B$5:$W$1000,14,0),"")</f>
        <v/>
      </c>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17"/>
      <c r="AO181" s="17"/>
      <c r="AP181" s="17"/>
      <c r="AQ181" s="17"/>
      <c r="AR181" s="17"/>
      <c r="AS181" s="17"/>
    </row>
    <row r="182" spans="1:45">
      <c r="A182" s="28">
        <f t="shared" si="6"/>
        <v>177</v>
      </c>
      <c r="B182" s="7"/>
      <c r="C182" s="35" t="str">
        <f>IFERROR(VLOOKUP(B182,'MASTER RECORD'!$B$5:$W$1000,3,0),"")</f>
        <v/>
      </c>
      <c r="D182" s="35" t="str">
        <f>IFERROR(VLOOKUP(B182,'MASTER RECORD'!$B$5:$W$1000,2,0),"")</f>
        <v/>
      </c>
      <c r="E182" s="36" t="str">
        <f>IFERROR(VLOOKUP(B182,'MASTER RECORD'!$B$5:$W$1000,9,0),"")</f>
        <v/>
      </c>
      <c r="F182" s="35" t="str">
        <f>IFERROR(VLOOKUP(B182,'MASTER RECORD'!$B$5:$W$1000,10,0) &amp;"."&amp;(VLOOKUP(B182,'MASTER RECORD'!$B$5:$W$1000,11,0)),"")</f>
        <v/>
      </c>
      <c r="G182" s="36" t="str">
        <f t="shared" si="7"/>
        <v/>
      </c>
      <c r="H182" s="35" t="str">
        <f t="shared" si="8"/>
        <v/>
      </c>
      <c r="I182" s="35" t="str">
        <f>IFERROR(VLOOKUP(B182,'MASTER RECORD'!$B$5:$W$1000,14,0),"")</f>
        <v/>
      </c>
      <c r="J182" s="17"/>
      <c r="K182" s="17"/>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c r="AK182" s="17"/>
      <c r="AL182" s="17"/>
      <c r="AM182" s="17"/>
      <c r="AN182" s="17"/>
      <c r="AO182" s="17"/>
      <c r="AP182" s="17"/>
      <c r="AQ182" s="17"/>
      <c r="AR182" s="17"/>
      <c r="AS182" s="17"/>
    </row>
    <row r="183" spans="1:45">
      <c r="A183" s="28">
        <f t="shared" si="6"/>
        <v>178</v>
      </c>
      <c r="B183" s="7"/>
      <c r="C183" s="35" t="str">
        <f>IFERROR(VLOOKUP(B183,'MASTER RECORD'!$B$5:$W$1000,3,0),"")</f>
        <v/>
      </c>
      <c r="D183" s="35" t="str">
        <f>IFERROR(VLOOKUP(B183,'MASTER RECORD'!$B$5:$W$1000,2,0),"")</f>
        <v/>
      </c>
      <c r="E183" s="36" t="str">
        <f>IFERROR(VLOOKUP(B183,'MASTER RECORD'!$B$5:$W$1000,9,0),"")</f>
        <v/>
      </c>
      <c r="F183" s="35" t="str">
        <f>IFERROR(VLOOKUP(B183,'MASTER RECORD'!$B$5:$W$1000,10,0) &amp;"."&amp;(VLOOKUP(B183,'MASTER RECORD'!$B$5:$W$1000,11,0)),"")</f>
        <v/>
      </c>
      <c r="G183" s="36" t="str">
        <f t="shared" si="7"/>
        <v/>
      </c>
      <c r="H183" s="35" t="str">
        <f t="shared" si="8"/>
        <v/>
      </c>
      <c r="I183" s="35" t="str">
        <f>IFERROR(VLOOKUP(B183,'MASTER RECORD'!$B$5:$W$1000,14,0),"")</f>
        <v/>
      </c>
      <c r="J183" s="17"/>
      <c r="K183" s="17"/>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c r="AN183" s="17"/>
      <c r="AO183" s="17"/>
      <c r="AP183" s="17"/>
      <c r="AQ183" s="17"/>
      <c r="AR183" s="17"/>
      <c r="AS183" s="17"/>
    </row>
    <row r="184" spans="1:45">
      <c r="A184" s="28">
        <f t="shared" si="6"/>
        <v>179</v>
      </c>
      <c r="B184" s="7"/>
      <c r="C184" s="35" t="str">
        <f>IFERROR(VLOOKUP(B184,'MASTER RECORD'!$B$5:$W$1000,3,0),"")</f>
        <v/>
      </c>
      <c r="D184" s="35" t="str">
        <f>IFERROR(VLOOKUP(B184,'MASTER RECORD'!$B$5:$W$1000,2,0),"")</f>
        <v/>
      </c>
      <c r="E184" s="36" t="str">
        <f>IFERROR(VLOOKUP(B184,'MASTER RECORD'!$B$5:$W$1000,9,0),"")</f>
        <v/>
      </c>
      <c r="F184" s="35" t="str">
        <f>IFERROR(VLOOKUP(B184,'MASTER RECORD'!$B$5:$W$1000,10,0) &amp;"."&amp;(VLOOKUP(B184,'MASTER RECORD'!$B$5:$W$1000,11,0)),"")</f>
        <v/>
      </c>
      <c r="G184" s="36" t="str">
        <f t="shared" si="7"/>
        <v/>
      </c>
      <c r="H184" s="35" t="str">
        <f t="shared" si="8"/>
        <v/>
      </c>
      <c r="I184" s="35" t="str">
        <f>IFERROR(VLOOKUP(B184,'MASTER RECORD'!$B$5:$W$1000,14,0),"")</f>
        <v/>
      </c>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c r="AN184" s="17"/>
      <c r="AO184" s="17"/>
      <c r="AP184" s="17"/>
      <c r="AQ184" s="17"/>
      <c r="AR184" s="17"/>
      <c r="AS184" s="17"/>
    </row>
    <row r="185" spans="1:45">
      <c r="A185" s="28">
        <f t="shared" si="6"/>
        <v>180</v>
      </c>
      <c r="B185" s="7"/>
      <c r="C185" s="35" t="str">
        <f>IFERROR(VLOOKUP(B185,'MASTER RECORD'!$B$5:$W$1000,3,0),"")</f>
        <v/>
      </c>
      <c r="D185" s="35" t="str">
        <f>IFERROR(VLOOKUP(B185,'MASTER RECORD'!$B$5:$W$1000,2,0),"")</f>
        <v/>
      </c>
      <c r="E185" s="36" t="str">
        <f>IFERROR(VLOOKUP(B185,'MASTER RECORD'!$B$5:$W$1000,9,0),"")</f>
        <v/>
      </c>
      <c r="F185" s="35" t="str">
        <f>IFERROR(VLOOKUP(B185,'MASTER RECORD'!$B$5:$W$1000,10,0) &amp;"."&amp;(VLOOKUP(B185,'MASTER RECORD'!$B$5:$W$1000,11,0)),"")</f>
        <v/>
      </c>
      <c r="G185" s="36" t="str">
        <f t="shared" si="7"/>
        <v/>
      </c>
      <c r="H185" s="35" t="str">
        <f t="shared" si="8"/>
        <v/>
      </c>
      <c r="I185" s="35" t="str">
        <f>IFERROR(VLOOKUP(B185,'MASTER RECORD'!$B$5:$W$1000,14,0),"")</f>
        <v/>
      </c>
      <c r="J185" s="17"/>
      <c r="K185" s="17"/>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c r="AN185" s="17"/>
      <c r="AO185" s="17"/>
      <c r="AP185" s="17"/>
      <c r="AQ185" s="17"/>
      <c r="AR185" s="17"/>
      <c r="AS185" s="17"/>
    </row>
    <row r="186" spans="1:45">
      <c r="A186" s="28">
        <f t="shared" si="6"/>
        <v>181</v>
      </c>
      <c r="B186" s="7"/>
      <c r="C186" s="35" t="str">
        <f>IFERROR(VLOOKUP(B186,'MASTER RECORD'!$B$5:$W$1000,3,0),"")</f>
        <v/>
      </c>
      <c r="D186" s="35" t="str">
        <f>IFERROR(VLOOKUP(B186,'MASTER RECORD'!$B$5:$W$1000,2,0),"")</f>
        <v/>
      </c>
      <c r="E186" s="36" t="str">
        <f>IFERROR(VLOOKUP(B186,'MASTER RECORD'!$B$5:$W$1000,9,0),"")</f>
        <v/>
      </c>
      <c r="F186" s="35" t="str">
        <f>IFERROR(VLOOKUP(B186,'MASTER RECORD'!$B$5:$W$1000,10,0) &amp;"."&amp;(VLOOKUP(B186,'MASTER RECORD'!$B$5:$W$1000,11,0)),"")</f>
        <v/>
      </c>
      <c r="G186" s="36" t="str">
        <f t="shared" si="7"/>
        <v/>
      </c>
      <c r="H186" s="35" t="str">
        <f t="shared" si="8"/>
        <v/>
      </c>
      <c r="I186" s="35" t="str">
        <f>IFERROR(VLOOKUP(B186,'MASTER RECORD'!$B$5:$W$1000,14,0),"")</f>
        <v/>
      </c>
      <c r="J186" s="17"/>
      <c r="K186" s="17"/>
      <c r="L186" s="17"/>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c r="AK186" s="17"/>
      <c r="AL186" s="17"/>
      <c r="AM186" s="17"/>
      <c r="AN186" s="17"/>
      <c r="AO186" s="17"/>
      <c r="AP186" s="17"/>
      <c r="AQ186" s="17"/>
      <c r="AR186" s="17"/>
      <c r="AS186" s="17"/>
    </row>
    <row r="187" spans="1:45">
      <c r="A187" s="28">
        <f t="shared" si="6"/>
        <v>182</v>
      </c>
      <c r="B187" s="7"/>
      <c r="C187" s="35" t="str">
        <f>IFERROR(VLOOKUP(B187,'MASTER RECORD'!$B$5:$W$1000,3,0),"")</f>
        <v/>
      </c>
      <c r="D187" s="35" t="str">
        <f>IFERROR(VLOOKUP(B187,'MASTER RECORD'!$B$5:$W$1000,2,0),"")</f>
        <v/>
      </c>
      <c r="E187" s="36" t="str">
        <f>IFERROR(VLOOKUP(B187,'MASTER RECORD'!$B$5:$W$1000,9,0),"")</f>
        <v/>
      </c>
      <c r="F187" s="35" t="str">
        <f>IFERROR(VLOOKUP(B187,'MASTER RECORD'!$B$5:$W$1000,10,0) &amp;"."&amp;(VLOOKUP(B187,'MASTER RECORD'!$B$5:$W$1000,11,0)),"")</f>
        <v/>
      </c>
      <c r="G187" s="36" t="str">
        <f t="shared" si="7"/>
        <v/>
      </c>
      <c r="H187" s="35" t="str">
        <f t="shared" si="8"/>
        <v/>
      </c>
      <c r="I187" s="35" t="str">
        <f>IFERROR(VLOOKUP(B187,'MASTER RECORD'!$B$5:$W$1000,14,0),"")</f>
        <v/>
      </c>
      <c r="J187" s="17"/>
      <c r="K187" s="17"/>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c r="AN187" s="17"/>
      <c r="AO187" s="17"/>
      <c r="AP187" s="17"/>
      <c r="AQ187" s="17"/>
      <c r="AR187" s="17"/>
      <c r="AS187" s="17"/>
    </row>
    <row r="188" spans="1:45">
      <c r="A188" s="28">
        <f t="shared" si="6"/>
        <v>183</v>
      </c>
      <c r="B188" s="7"/>
      <c r="C188" s="35" t="str">
        <f>IFERROR(VLOOKUP(B188,'MASTER RECORD'!$B$5:$W$1000,3,0),"")</f>
        <v/>
      </c>
      <c r="D188" s="35" t="str">
        <f>IFERROR(VLOOKUP(B188,'MASTER RECORD'!$B$5:$W$1000,2,0),"")</f>
        <v/>
      </c>
      <c r="E188" s="36" t="str">
        <f>IFERROR(VLOOKUP(B188,'MASTER RECORD'!$B$5:$W$1000,9,0),"")</f>
        <v/>
      </c>
      <c r="F188" s="35" t="str">
        <f>IFERROR(VLOOKUP(B188,'MASTER RECORD'!$B$5:$W$1000,10,0) &amp;"."&amp;(VLOOKUP(B188,'MASTER RECORD'!$B$5:$W$1000,11,0)),"")</f>
        <v/>
      </c>
      <c r="G188" s="36" t="str">
        <f t="shared" si="7"/>
        <v/>
      </c>
      <c r="H188" s="35" t="str">
        <f t="shared" si="8"/>
        <v/>
      </c>
      <c r="I188" s="35" t="str">
        <f>IFERROR(VLOOKUP(B188,'MASTER RECORD'!$B$5:$W$1000,14,0),"")</f>
        <v/>
      </c>
      <c r="J188" s="17"/>
      <c r="K188" s="17"/>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c r="AK188" s="17"/>
      <c r="AL188" s="17"/>
      <c r="AM188" s="17"/>
      <c r="AN188" s="17"/>
      <c r="AO188" s="17"/>
      <c r="AP188" s="17"/>
      <c r="AQ188" s="17"/>
      <c r="AR188" s="17"/>
      <c r="AS188" s="17"/>
    </row>
    <row r="189" spans="1:45">
      <c r="A189" s="28">
        <f t="shared" si="6"/>
        <v>184</v>
      </c>
      <c r="B189" s="7"/>
      <c r="C189" s="35" t="str">
        <f>IFERROR(VLOOKUP(B189,'MASTER RECORD'!$B$5:$W$1000,3,0),"")</f>
        <v/>
      </c>
      <c r="D189" s="35" t="str">
        <f>IFERROR(VLOOKUP(B189,'MASTER RECORD'!$B$5:$W$1000,2,0),"")</f>
        <v/>
      </c>
      <c r="E189" s="36" t="str">
        <f>IFERROR(VLOOKUP(B189,'MASTER RECORD'!$B$5:$W$1000,9,0),"")</f>
        <v/>
      </c>
      <c r="F189" s="35" t="str">
        <f>IFERROR(VLOOKUP(B189,'MASTER RECORD'!$B$5:$W$1000,10,0) &amp;"."&amp;(VLOOKUP(B189,'MASTER RECORD'!$B$5:$W$1000,11,0)),"")</f>
        <v/>
      </c>
      <c r="G189" s="36" t="str">
        <f t="shared" si="7"/>
        <v/>
      </c>
      <c r="H189" s="35" t="str">
        <f t="shared" si="8"/>
        <v/>
      </c>
      <c r="I189" s="35" t="str">
        <f>IFERROR(VLOOKUP(B189,'MASTER RECORD'!$B$5:$W$1000,14,0),"")</f>
        <v/>
      </c>
      <c r="J189" s="17"/>
      <c r="K189" s="17"/>
      <c r="L189" s="17"/>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c r="AN189" s="17"/>
      <c r="AO189" s="17"/>
      <c r="AP189" s="17"/>
      <c r="AQ189" s="17"/>
      <c r="AR189" s="17"/>
      <c r="AS189" s="17"/>
    </row>
    <row r="190" spans="1:45">
      <c r="A190" s="28">
        <f t="shared" si="6"/>
        <v>185</v>
      </c>
      <c r="B190" s="7"/>
      <c r="C190" s="35" t="str">
        <f>IFERROR(VLOOKUP(B190,'MASTER RECORD'!$B$5:$W$1000,3,0),"")</f>
        <v/>
      </c>
      <c r="D190" s="35" t="str">
        <f>IFERROR(VLOOKUP(B190,'MASTER RECORD'!$B$5:$W$1000,2,0),"")</f>
        <v/>
      </c>
      <c r="E190" s="36" t="str">
        <f>IFERROR(VLOOKUP(B190,'MASTER RECORD'!$B$5:$W$1000,9,0),"")</f>
        <v/>
      </c>
      <c r="F190" s="35" t="str">
        <f>IFERROR(VLOOKUP(B190,'MASTER RECORD'!$B$5:$W$1000,10,0) &amp;"."&amp;(VLOOKUP(B190,'MASTER RECORD'!$B$5:$W$1000,11,0)),"")</f>
        <v/>
      </c>
      <c r="G190" s="36" t="str">
        <f t="shared" si="7"/>
        <v/>
      </c>
      <c r="H190" s="35" t="str">
        <f t="shared" si="8"/>
        <v/>
      </c>
      <c r="I190" s="35" t="str">
        <f>IFERROR(VLOOKUP(B190,'MASTER RECORD'!$B$5:$W$1000,14,0),"")</f>
        <v/>
      </c>
      <c r="J190" s="17"/>
      <c r="K190" s="17"/>
      <c r="L190" s="17"/>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c r="AK190" s="17"/>
      <c r="AL190" s="17"/>
      <c r="AM190" s="17"/>
      <c r="AN190" s="17"/>
      <c r="AO190" s="17"/>
      <c r="AP190" s="17"/>
      <c r="AQ190" s="17"/>
      <c r="AR190" s="17"/>
      <c r="AS190" s="17"/>
    </row>
    <row r="191" spans="1:45">
      <c r="A191" s="28">
        <f t="shared" si="6"/>
        <v>186</v>
      </c>
      <c r="B191" s="7"/>
      <c r="C191" s="35" t="str">
        <f>IFERROR(VLOOKUP(B191,'MASTER RECORD'!$B$5:$W$1000,3,0),"")</f>
        <v/>
      </c>
      <c r="D191" s="35" t="str">
        <f>IFERROR(VLOOKUP(B191,'MASTER RECORD'!$B$5:$W$1000,2,0),"")</f>
        <v/>
      </c>
      <c r="E191" s="36" t="str">
        <f>IFERROR(VLOOKUP(B191,'MASTER RECORD'!$B$5:$W$1000,9,0),"")</f>
        <v/>
      </c>
      <c r="F191" s="35" t="str">
        <f>IFERROR(VLOOKUP(B191,'MASTER RECORD'!$B$5:$W$1000,10,0) &amp;"."&amp;(VLOOKUP(B191,'MASTER RECORD'!$B$5:$W$1000,11,0)),"")</f>
        <v/>
      </c>
      <c r="G191" s="36" t="str">
        <f t="shared" si="7"/>
        <v/>
      </c>
      <c r="H191" s="35" t="str">
        <f t="shared" si="8"/>
        <v/>
      </c>
      <c r="I191" s="35" t="str">
        <f>IFERROR(VLOOKUP(B191,'MASTER RECORD'!$B$5:$W$1000,14,0),"")</f>
        <v/>
      </c>
      <c r="J191" s="17"/>
      <c r="K191" s="17"/>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c r="AN191" s="17"/>
      <c r="AO191" s="17"/>
      <c r="AP191" s="17"/>
      <c r="AQ191" s="17"/>
      <c r="AR191" s="17"/>
      <c r="AS191" s="17"/>
    </row>
    <row r="192" spans="1:45">
      <c r="A192" s="28">
        <f t="shared" si="6"/>
        <v>187</v>
      </c>
      <c r="B192" s="7"/>
      <c r="C192" s="35" t="str">
        <f>IFERROR(VLOOKUP(B192,'MASTER RECORD'!$B$5:$W$1000,3,0),"")</f>
        <v/>
      </c>
      <c r="D192" s="35" t="str">
        <f>IFERROR(VLOOKUP(B192,'MASTER RECORD'!$B$5:$W$1000,2,0),"")</f>
        <v/>
      </c>
      <c r="E192" s="36" t="str">
        <f>IFERROR(VLOOKUP(B192,'MASTER RECORD'!$B$5:$W$1000,9,0),"")</f>
        <v/>
      </c>
      <c r="F192" s="35" t="str">
        <f>IFERROR(VLOOKUP(B192,'MASTER RECORD'!$B$5:$W$1000,10,0) &amp;"."&amp;(VLOOKUP(B192,'MASTER RECORD'!$B$5:$W$1000,11,0)),"")</f>
        <v/>
      </c>
      <c r="G192" s="36" t="str">
        <f t="shared" si="7"/>
        <v/>
      </c>
      <c r="H192" s="35" t="str">
        <f t="shared" si="8"/>
        <v/>
      </c>
      <c r="I192" s="35" t="str">
        <f>IFERROR(VLOOKUP(B192,'MASTER RECORD'!$B$5:$W$1000,14,0),"")</f>
        <v/>
      </c>
      <c r="J192" s="17"/>
      <c r="K192" s="17"/>
      <c r="L192" s="17"/>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c r="AN192" s="17"/>
      <c r="AO192" s="17"/>
      <c r="AP192" s="17"/>
      <c r="AQ192" s="17"/>
      <c r="AR192" s="17"/>
      <c r="AS192" s="17"/>
    </row>
    <row r="193" spans="1:45">
      <c r="A193" s="28">
        <f t="shared" si="6"/>
        <v>188</v>
      </c>
      <c r="B193" s="7"/>
      <c r="C193" s="35" t="str">
        <f>IFERROR(VLOOKUP(B193,'MASTER RECORD'!$B$5:$W$1000,3,0),"")</f>
        <v/>
      </c>
      <c r="D193" s="35" t="str">
        <f>IFERROR(VLOOKUP(B193,'MASTER RECORD'!$B$5:$W$1000,2,0),"")</f>
        <v/>
      </c>
      <c r="E193" s="36" t="str">
        <f>IFERROR(VLOOKUP(B193,'MASTER RECORD'!$B$5:$W$1000,9,0),"")</f>
        <v/>
      </c>
      <c r="F193" s="35" t="str">
        <f>IFERROR(VLOOKUP(B193,'MASTER RECORD'!$B$5:$W$1000,10,0) &amp;"."&amp;(VLOOKUP(B193,'MASTER RECORD'!$B$5:$W$1000,11,0)),"")</f>
        <v/>
      </c>
      <c r="G193" s="36" t="str">
        <f t="shared" si="7"/>
        <v/>
      </c>
      <c r="H193" s="35" t="str">
        <f t="shared" si="8"/>
        <v/>
      </c>
      <c r="I193" s="35" t="str">
        <f>IFERROR(VLOOKUP(B193,'MASTER RECORD'!$B$5:$W$1000,14,0),"")</f>
        <v/>
      </c>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c r="AN193" s="17"/>
      <c r="AO193" s="17"/>
      <c r="AP193" s="17"/>
      <c r="AQ193" s="17"/>
      <c r="AR193" s="17"/>
      <c r="AS193" s="17"/>
    </row>
    <row r="194" spans="1:45">
      <c r="A194" s="28">
        <f t="shared" si="6"/>
        <v>189</v>
      </c>
      <c r="B194" s="7"/>
      <c r="C194" s="35" t="str">
        <f>IFERROR(VLOOKUP(B194,'MASTER RECORD'!$B$5:$W$1000,3,0),"")</f>
        <v/>
      </c>
      <c r="D194" s="35" t="str">
        <f>IFERROR(VLOOKUP(B194,'MASTER RECORD'!$B$5:$W$1000,2,0),"")</f>
        <v/>
      </c>
      <c r="E194" s="36" t="str">
        <f>IFERROR(VLOOKUP(B194,'MASTER RECORD'!$B$5:$W$1000,9,0),"")</f>
        <v/>
      </c>
      <c r="F194" s="35" t="str">
        <f>IFERROR(VLOOKUP(B194,'MASTER RECORD'!$B$5:$W$1000,10,0) &amp;"."&amp;(VLOOKUP(B194,'MASTER RECORD'!$B$5:$W$1000,11,0)),"")</f>
        <v/>
      </c>
      <c r="G194" s="36" t="str">
        <f t="shared" si="7"/>
        <v/>
      </c>
      <c r="H194" s="35" t="str">
        <f t="shared" si="8"/>
        <v/>
      </c>
      <c r="I194" s="35" t="str">
        <f>IFERROR(VLOOKUP(B194,'MASTER RECORD'!$B$5:$W$1000,14,0),"")</f>
        <v/>
      </c>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c r="AN194" s="17"/>
      <c r="AO194" s="17"/>
      <c r="AP194" s="17"/>
      <c r="AQ194" s="17"/>
      <c r="AR194" s="17"/>
      <c r="AS194" s="17"/>
    </row>
    <row r="195" spans="1:45">
      <c r="A195" s="28">
        <f t="shared" si="6"/>
        <v>190</v>
      </c>
      <c r="B195" s="7"/>
      <c r="C195" s="35" t="str">
        <f>IFERROR(VLOOKUP(B195,'MASTER RECORD'!$B$5:$W$1000,3,0),"")</f>
        <v/>
      </c>
      <c r="D195" s="35" t="str">
        <f>IFERROR(VLOOKUP(B195,'MASTER RECORD'!$B$5:$W$1000,2,0),"")</f>
        <v/>
      </c>
      <c r="E195" s="36" t="str">
        <f>IFERROR(VLOOKUP(B195,'MASTER RECORD'!$B$5:$W$1000,9,0),"")</f>
        <v/>
      </c>
      <c r="F195" s="35" t="str">
        <f>IFERROR(VLOOKUP(B195,'MASTER RECORD'!$B$5:$W$1000,10,0) &amp;"."&amp;(VLOOKUP(B195,'MASTER RECORD'!$B$5:$W$1000,11,0)),"")</f>
        <v/>
      </c>
      <c r="G195" s="36" t="str">
        <f t="shared" si="7"/>
        <v/>
      </c>
      <c r="H195" s="35" t="str">
        <f t="shared" si="8"/>
        <v/>
      </c>
      <c r="I195" s="35" t="str">
        <f>IFERROR(VLOOKUP(B195,'MASTER RECORD'!$B$5:$W$1000,14,0),"")</f>
        <v/>
      </c>
      <c r="J195" s="17"/>
      <c r="K195" s="17"/>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c r="AN195" s="17"/>
      <c r="AO195" s="17"/>
      <c r="AP195" s="17"/>
      <c r="AQ195" s="17"/>
      <c r="AR195" s="17"/>
      <c r="AS195" s="17"/>
    </row>
    <row r="196" spans="1:45">
      <c r="A196" s="28">
        <f t="shared" si="6"/>
        <v>191</v>
      </c>
      <c r="B196" s="7"/>
      <c r="C196" s="35" t="str">
        <f>IFERROR(VLOOKUP(B196,'MASTER RECORD'!$B$5:$W$1000,3,0),"")</f>
        <v/>
      </c>
      <c r="D196" s="35" t="str">
        <f>IFERROR(VLOOKUP(B196,'MASTER RECORD'!$B$5:$W$1000,2,0),"")</f>
        <v/>
      </c>
      <c r="E196" s="36" t="str">
        <f>IFERROR(VLOOKUP(B196,'MASTER RECORD'!$B$5:$W$1000,9,0),"")</f>
        <v/>
      </c>
      <c r="F196" s="35" t="str">
        <f>IFERROR(VLOOKUP(B196,'MASTER RECORD'!$B$5:$W$1000,10,0) &amp;"."&amp;(VLOOKUP(B196,'MASTER RECORD'!$B$5:$W$1000,11,0)),"")</f>
        <v/>
      </c>
      <c r="G196" s="36" t="str">
        <f t="shared" si="7"/>
        <v/>
      </c>
      <c r="H196" s="35" t="str">
        <f t="shared" si="8"/>
        <v/>
      </c>
      <c r="I196" s="35" t="str">
        <f>IFERROR(VLOOKUP(B196,'MASTER RECORD'!$B$5:$W$1000,14,0),"")</f>
        <v/>
      </c>
      <c r="J196" s="17"/>
      <c r="K196" s="17"/>
      <c r="L196" s="17"/>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c r="AN196" s="17"/>
      <c r="AO196" s="17"/>
      <c r="AP196" s="17"/>
      <c r="AQ196" s="17"/>
      <c r="AR196" s="17"/>
      <c r="AS196" s="17"/>
    </row>
    <row r="197" spans="1:45">
      <c r="A197" s="28">
        <f t="shared" si="6"/>
        <v>192</v>
      </c>
      <c r="B197" s="7"/>
      <c r="C197" s="35" t="str">
        <f>IFERROR(VLOOKUP(B197,'MASTER RECORD'!$B$5:$W$1000,3,0),"")</f>
        <v/>
      </c>
      <c r="D197" s="35" t="str">
        <f>IFERROR(VLOOKUP(B197,'MASTER RECORD'!$B$5:$W$1000,2,0),"")</f>
        <v/>
      </c>
      <c r="E197" s="36" t="str">
        <f>IFERROR(VLOOKUP(B197,'MASTER RECORD'!$B$5:$W$1000,9,0),"")</f>
        <v/>
      </c>
      <c r="F197" s="35" t="str">
        <f>IFERROR(VLOOKUP(B197,'MASTER RECORD'!$B$5:$W$1000,10,0) &amp;"."&amp;(VLOOKUP(B197,'MASTER RECORD'!$B$5:$W$1000,11,0)),"")</f>
        <v/>
      </c>
      <c r="G197" s="36" t="str">
        <f t="shared" si="7"/>
        <v/>
      </c>
      <c r="H197" s="35" t="str">
        <f t="shared" si="8"/>
        <v/>
      </c>
      <c r="I197" s="35" t="str">
        <f>IFERROR(VLOOKUP(B197,'MASTER RECORD'!$B$5:$W$1000,14,0),"")</f>
        <v/>
      </c>
      <c r="J197" s="17"/>
      <c r="K197" s="17"/>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c r="AN197" s="17"/>
      <c r="AO197" s="17"/>
      <c r="AP197" s="17"/>
      <c r="AQ197" s="17"/>
      <c r="AR197" s="17"/>
      <c r="AS197" s="17"/>
    </row>
    <row r="198" spans="1:45">
      <c r="A198" s="28">
        <f t="shared" ref="A198:A261" si="9">ROW(A193)</f>
        <v>193</v>
      </c>
      <c r="B198" s="7"/>
      <c r="C198" s="35" t="str">
        <f>IFERROR(VLOOKUP(B198,'MASTER RECORD'!$B$5:$W$1000,3,0),"")</f>
        <v/>
      </c>
      <c r="D198" s="35" t="str">
        <f>IFERROR(VLOOKUP(B198,'MASTER RECORD'!$B$5:$W$1000,2,0),"")</f>
        <v/>
      </c>
      <c r="E198" s="36" t="str">
        <f>IFERROR(VLOOKUP(B198,'MASTER RECORD'!$B$5:$W$1000,9,0),"")</f>
        <v/>
      </c>
      <c r="F198" s="35" t="str">
        <f>IFERROR(VLOOKUP(B198,'MASTER RECORD'!$B$5:$W$1000,10,0) &amp;"."&amp;(VLOOKUP(B198,'MASTER RECORD'!$B$5:$W$1000,11,0)),"")</f>
        <v/>
      </c>
      <c r="G198" s="36" t="str">
        <f t="shared" si="7"/>
        <v/>
      </c>
      <c r="H198" s="35" t="str">
        <f t="shared" si="8"/>
        <v/>
      </c>
      <c r="I198" s="35" t="str">
        <f>IFERROR(VLOOKUP(B198,'MASTER RECORD'!$B$5:$W$1000,14,0),"")</f>
        <v/>
      </c>
      <c r="J198" s="17"/>
      <c r="K198" s="17"/>
      <c r="L198" s="17"/>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c r="AK198" s="17"/>
      <c r="AL198" s="17"/>
      <c r="AM198" s="17"/>
      <c r="AN198" s="17"/>
      <c r="AO198" s="17"/>
      <c r="AP198" s="17"/>
      <c r="AQ198" s="17"/>
      <c r="AR198" s="17"/>
      <c r="AS198" s="17"/>
    </row>
    <row r="199" spans="1:45">
      <c r="A199" s="28">
        <f t="shared" si="9"/>
        <v>194</v>
      </c>
      <c r="B199" s="7"/>
      <c r="C199" s="35" t="str">
        <f>IFERROR(VLOOKUP(B199,'MASTER RECORD'!$B$5:$W$1000,3,0),"")</f>
        <v/>
      </c>
      <c r="D199" s="35" t="str">
        <f>IFERROR(VLOOKUP(B199,'MASTER RECORD'!$B$5:$W$1000,2,0),"")</f>
        <v/>
      </c>
      <c r="E199" s="36" t="str">
        <f>IFERROR(VLOOKUP(B199,'MASTER RECORD'!$B$5:$W$1000,9,0),"")</f>
        <v/>
      </c>
      <c r="F199" s="35" t="str">
        <f>IFERROR(VLOOKUP(B199,'MASTER RECORD'!$B$5:$W$1000,10,0) &amp;"."&amp;(VLOOKUP(B199,'MASTER RECORD'!$B$5:$W$1000,11,0)),"")</f>
        <v/>
      </c>
      <c r="G199" s="36" t="str">
        <f t="shared" ref="G199:G262" si="10">IFERROR(IF(J199="",E199+30.41667,IF(K199="",E199+60.8333,IF(L199="",E199+91.25,IF(M199="",E199+121.667,IF(N199="",E199+152.083,IF(O199="",E199+182.5,IF(P199="",E199+212.917,IF(Q199="",E199+243.333,IF(R199="",E199+273.75,IF(S199="",E199+304.167,IF(T199="",E199+334.583,IF(U199="",E199+365,IF(V199="",E199+395.417,IF(W199="",E199+425.883,IF(X199="",E199+456.25,IF(Y199="",E199+486.667,IF(Z199="",E199+517.083,IF(AA199="",E199+547.5,IF(AB199="",E199+577.917,IF(AC199="",E199+608.333,IF(AD199="",E199+638.75,IF(AE199="",E199+669.167,IF(AF199="",E199+699.583,IF(AG199="",E199+730,IF(AH199="",E199+760.417,IF(AI199="",E199+790.833,IF(AJ199="",E199+821.25,IF(AK199="",E199+851.667,IF(AL199="",E199+882.083,IF(AM199="",E199+912.5,IF(AN199="",E199+942.917,IF(AO199="",E199+973.333,IF(AP199="",E199+1003.75,IF(AQ199="",E199+1034.17,IF(AR199="",E199+1064.58,IF(AS199="",E199+1095,"")))))))))))))))))))))))))))))))))))),"")</f>
        <v/>
      </c>
      <c r="H199" s="35" t="str">
        <f t="shared" si="8"/>
        <v/>
      </c>
      <c r="I199" s="35" t="str">
        <f>IFERROR(VLOOKUP(B199,'MASTER RECORD'!$B$5:$W$1000,14,0),"")</f>
        <v/>
      </c>
      <c r="J199" s="17"/>
      <c r="K199" s="17"/>
      <c r="L199" s="17"/>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c r="AN199" s="17"/>
      <c r="AO199" s="17"/>
      <c r="AP199" s="17"/>
      <c r="AQ199" s="17"/>
      <c r="AR199" s="17"/>
      <c r="AS199" s="17"/>
    </row>
    <row r="200" spans="1:45">
      <c r="A200" s="28">
        <f t="shared" si="9"/>
        <v>195</v>
      </c>
      <c r="B200" s="7"/>
      <c r="C200" s="35" t="str">
        <f>IFERROR(VLOOKUP(B200,'MASTER RECORD'!$B$5:$W$1000,3,0),"")</f>
        <v/>
      </c>
      <c r="D200" s="35" t="str">
        <f>IFERROR(VLOOKUP(B200,'MASTER RECORD'!$B$5:$W$1000,2,0),"")</f>
        <v/>
      </c>
      <c r="E200" s="36" t="str">
        <f>IFERROR(VLOOKUP(B200,'MASTER RECORD'!$B$5:$W$1000,9,0),"")</f>
        <v/>
      </c>
      <c r="F200" s="35" t="str">
        <f>IFERROR(VLOOKUP(B200,'MASTER RECORD'!$B$5:$W$1000,10,0) &amp;"."&amp;(VLOOKUP(B200,'MASTER RECORD'!$B$5:$W$1000,11,0)),"")</f>
        <v/>
      </c>
      <c r="G200" s="36" t="str">
        <f t="shared" si="10"/>
        <v/>
      </c>
      <c r="H200" s="35" t="str">
        <f t="shared" ref="H200:H263" si="11">IF(SUM(I200:AS200)=0,"",SUM(I200:AS200))</f>
        <v/>
      </c>
      <c r="I200" s="35" t="str">
        <f>IFERROR(VLOOKUP(B200,'MASTER RECORD'!$B$5:$W$1000,14,0),"")</f>
        <v/>
      </c>
      <c r="J200" s="17"/>
      <c r="K200" s="17"/>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c r="AK200" s="17"/>
      <c r="AL200" s="17"/>
      <c r="AM200" s="17"/>
      <c r="AN200" s="17"/>
      <c r="AO200" s="17"/>
      <c r="AP200" s="17"/>
      <c r="AQ200" s="17"/>
      <c r="AR200" s="17"/>
      <c r="AS200" s="17"/>
    </row>
    <row r="201" spans="1:45">
      <c r="A201" s="28">
        <f t="shared" si="9"/>
        <v>196</v>
      </c>
      <c r="B201" s="7"/>
      <c r="C201" s="35" t="str">
        <f>IFERROR(VLOOKUP(B201,'MASTER RECORD'!$B$5:$W$1000,3,0),"")</f>
        <v/>
      </c>
      <c r="D201" s="35" t="str">
        <f>IFERROR(VLOOKUP(B201,'MASTER RECORD'!$B$5:$W$1000,2,0),"")</f>
        <v/>
      </c>
      <c r="E201" s="36" t="str">
        <f>IFERROR(VLOOKUP(B201,'MASTER RECORD'!$B$5:$W$1000,9,0),"")</f>
        <v/>
      </c>
      <c r="F201" s="35" t="str">
        <f>IFERROR(VLOOKUP(B201,'MASTER RECORD'!$B$5:$W$1000,10,0) &amp;"."&amp;(VLOOKUP(B201,'MASTER RECORD'!$B$5:$W$1000,11,0)),"")</f>
        <v/>
      </c>
      <c r="G201" s="36" t="str">
        <f t="shared" si="10"/>
        <v/>
      </c>
      <c r="H201" s="35" t="str">
        <f t="shared" si="11"/>
        <v/>
      </c>
      <c r="I201" s="35" t="str">
        <f>IFERROR(VLOOKUP(B201,'MASTER RECORD'!$B$5:$W$1000,14,0),"")</f>
        <v/>
      </c>
      <c r="J201" s="17"/>
      <c r="K201" s="17"/>
      <c r="L201" s="17"/>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c r="AN201" s="17"/>
      <c r="AO201" s="17"/>
      <c r="AP201" s="17"/>
      <c r="AQ201" s="17"/>
      <c r="AR201" s="17"/>
      <c r="AS201" s="17"/>
    </row>
    <row r="202" spans="1:45">
      <c r="A202" s="28">
        <f t="shared" si="9"/>
        <v>197</v>
      </c>
      <c r="B202" s="7"/>
      <c r="C202" s="35" t="str">
        <f>IFERROR(VLOOKUP(B202,'MASTER RECORD'!$B$5:$W$1000,3,0),"")</f>
        <v/>
      </c>
      <c r="D202" s="35" t="str">
        <f>IFERROR(VLOOKUP(B202,'MASTER RECORD'!$B$5:$W$1000,2,0),"")</f>
        <v/>
      </c>
      <c r="E202" s="36" t="str">
        <f>IFERROR(VLOOKUP(B202,'MASTER RECORD'!$B$5:$W$1000,9,0),"")</f>
        <v/>
      </c>
      <c r="F202" s="35" t="str">
        <f>IFERROR(VLOOKUP(B202,'MASTER RECORD'!$B$5:$W$1000,10,0) &amp;"."&amp;(VLOOKUP(B202,'MASTER RECORD'!$B$5:$W$1000,11,0)),"")</f>
        <v/>
      </c>
      <c r="G202" s="36" t="str">
        <f t="shared" si="10"/>
        <v/>
      </c>
      <c r="H202" s="35" t="str">
        <f t="shared" si="11"/>
        <v/>
      </c>
      <c r="I202" s="35" t="str">
        <f>IFERROR(VLOOKUP(B202,'MASTER RECORD'!$B$5:$W$1000,14,0),"")</f>
        <v/>
      </c>
      <c r="J202" s="17"/>
      <c r="K202" s="17"/>
      <c r="L202" s="17"/>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c r="AK202" s="17"/>
      <c r="AL202" s="17"/>
      <c r="AM202" s="17"/>
      <c r="AN202" s="17"/>
      <c r="AO202" s="17"/>
      <c r="AP202" s="17"/>
      <c r="AQ202" s="17"/>
      <c r="AR202" s="17"/>
      <c r="AS202" s="17"/>
    </row>
    <row r="203" spans="1:45">
      <c r="A203" s="28">
        <f t="shared" si="9"/>
        <v>198</v>
      </c>
      <c r="B203" s="7"/>
      <c r="C203" s="35" t="str">
        <f>IFERROR(VLOOKUP(B203,'MASTER RECORD'!$B$5:$W$1000,3,0),"")</f>
        <v/>
      </c>
      <c r="D203" s="35" t="str">
        <f>IFERROR(VLOOKUP(B203,'MASTER RECORD'!$B$5:$W$1000,2,0),"")</f>
        <v/>
      </c>
      <c r="E203" s="36" t="str">
        <f>IFERROR(VLOOKUP(B203,'MASTER RECORD'!$B$5:$W$1000,9,0),"")</f>
        <v/>
      </c>
      <c r="F203" s="35" t="str">
        <f>IFERROR(VLOOKUP(B203,'MASTER RECORD'!$B$5:$W$1000,10,0) &amp;"."&amp;(VLOOKUP(B203,'MASTER RECORD'!$B$5:$W$1000,11,0)),"")</f>
        <v/>
      </c>
      <c r="G203" s="36" t="str">
        <f t="shared" si="10"/>
        <v/>
      </c>
      <c r="H203" s="35" t="str">
        <f t="shared" si="11"/>
        <v/>
      </c>
      <c r="I203" s="35" t="str">
        <f>IFERROR(VLOOKUP(B203,'MASTER RECORD'!$B$5:$W$1000,14,0),"")</f>
        <v/>
      </c>
      <c r="J203" s="17"/>
      <c r="K203" s="17"/>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c r="AN203" s="17"/>
      <c r="AO203" s="17"/>
      <c r="AP203" s="17"/>
      <c r="AQ203" s="17"/>
      <c r="AR203" s="17"/>
      <c r="AS203" s="17"/>
    </row>
    <row r="204" spans="1:45">
      <c r="A204" s="28">
        <f t="shared" si="9"/>
        <v>199</v>
      </c>
      <c r="B204" s="7"/>
      <c r="C204" s="35" t="str">
        <f>IFERROR(VLOOKUP(B204,'MASTER RECORD'!$B$5:$W$1000,3,0),"")</f>
        <v/>
      </c>
      <c r="D204" s="35" t="str">
        <f>IFERROR(VLOOKUP(B204,'MASTER RECORD'!$B$5:$W$1000,2,0),"")</f>
        <v/>
      </c>
      <c r="E204" s="36" t="str">
        <f>IFERROR(VLOOKUP(B204,'MASTER RECORD'!$B$5:$W$1000,9,0),"")</f>
        <v/>
      </c>
      <c r="F204" s="35" t="str">
        <f>IFERROR(VLOOKUP(B204,'MASTER RECORD'!$B$5:$W$1000,10,0) &amp;"."&amp;(VLOOKUP(B204,'MASTER RECORD'!$B$5:$W$1000,11,0)),"")</f>
        <v/>
      </c>
      <c r="G204" s="36" t="str">
        <f t="shared" si="10"/>
        <v/>
      </c>
      <c r="H204" s="35" t="str">
        <f t="shared" si="11"/>
        <v/>
      </c>
      <c r="I204" s="35" t="str">
        <f>IFERROR(VLOOKUP(B204,'MASTER RECORD'!$B$5:$W$1000,14,0),"")</f>
        <v/>
      </c>
      <c r="J204" s="17"/>
      <c r="K204" s="17"/>
      <c r="L204" s="17"/>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c r="AK204" s="17"/>
      <c r="AL204" s="17"/>
      <c r="AM204" s="17"/>
      <c r="AN204" s="17"/>
      <c r="AO204" s="17"/>
      <c r="AP204" s="17"/>
      <c r="AQ204" s="17"/>
      <c r="AR204" s="17"/>
      <c r="AS204" s="17"/>
    </row>
    <row r="205" spans="1:45">
      <c r="A205" s="28">
        <f t="shared" si="9"/>
        <v>200</v>
      </c>
      <c r="B205" s="7"/>
      <c r="C205" s="35" t="str">
        <f>IFERROR(VLOOKUP(B205,'MASTER RECORD'!$B$5:$W$1000,3,0),"")</f>
        <v/>
      </c>
      <c r="D205" s="35" t="str">
        <f>IFERROR(VLOOKUP(B205,'MASTER RECORD'!$B$5:$W$1000,2,0),"")</f>
        <v/>
      </c>
      <c r="E205" s="36" t="str">
        <f>IFERROR(VLOOKUP(B205,'MASTER RECORD'!$B$5:$W$1000,9,0),"")</f>
        <v/>
      </c>
      <c r="F205" s="35" t="str">
        <f>IFERROR(VLOOKUP(B205,'MASTER RECORD'!$B$5:$W$1000,10,0) &amp;"."&amp;(VLOOKUP(B205,'MASTER RECORD'!$B$5:$W$1000,11,0)),"")</f>
        <v/>
      </c>
      <c r="G205" s="36" t="str">
        <f t="shared" si="10"/>
        <v/>
      </c>
      <c r="H205" s="35" t="str">
        <f t="shared" si="11"/>
        <v/>
      </c>
      <c r="I205" s="35" t="str">
        <f>IFERROR(VLOOKUP(B205,'MASTER RECORD'!$B$5:$W$1000,14,0),"")</f>
        <v/>
      </c>
      <c r="J205" s="17"/>
      <c r="K205" s="17"/>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c r="AN205" s="17"/>
      <c r="AO205" s="17"/>
      <c r="AP205" s="17"/>
      <c r="AQ205" s="17"/>
      <c r="AR205" s="17"/>
      <c r="AS205" s="17"/>
    </row>
    <row r="206" spans="1:45">
      <c r="A206" s="28">
        <f t="shared" si="9"/>
        <v>201</v>
      </c>
      <c r="B206" s="7"/>
      <c r="C206" s="35" t="str">
        <f>IFERROR(VLOOKUP(B206,'MASTER RECORD'!$B$5:$W$1000,3,0),"")</f>
        <v/>
      </c>
      <c r="D206" s="35" t="str">
        <f>IFERROR(VLOOKUP(B206,'MASTER RECORD'!$B$5:$W$1000,2,0),"")</f>
        <v/>
      </c>
      <c r="E206" s="36" t="str">
        <f>IFERROR(VLOOKUP(B206,'MASTER RECORD'!$B$5:$W$1000,9,0),"")</f>
        <v/>
      </c>
      <c r="F206" s="35" t="str">
        <f>IFERROR(VLOOKUP(B206,'MASTER RECORD'!$B$5:$W$1000,10,0) &amp;"."&amp;(VLOOKUP(B206,'MASTER RECORD'!$B$5:$W$1000,11,0)),"")</f>
        <v/>
      </c>
      <c r="G206" s="36" t="str">
        <f t="shared" si="10"/>
        <v/>
      </c>
      <c r="H206" s="35" t="str">
        <f t="shared" si="11"/>
        <v/>
      </c>
      <c r="I206" s="35" t="str">
        <f>IFERROR(VLOOKUP(B206,'MASTER RECORD'!$B$5:$W$1000,14,0),"")</f>
        <v/>
      </c>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c r="AN206" s="17"/>
      <c r="AO206" s="17"/>
      <c r="AP206" s="17"/>
      <c r="AQ206" s="17"/>
      <c r="AR206" s="17"/>
      <c r="AS206" s="17"/>
    </row>
    <row r="207" spans="1:45">
      <c r="A207" s="28">
        <f t="shared" si="9"/>
        <v>202</v>
      </c>
      <c r="B207" s="7"/>
      <c r="C207" s="35" t="str">
        <f>IFERROR(VLOOKUP(B207,'MASTER RECORD'!$B$5:$W$1000,3,0),"")</f>
        <v/>
      </c>
      <c r="D207" s="35" t="str">
        <f>IFERROR(VLOOKUP(B207,'MASTER RECORD'!$B$5:$W$1000,2,0),"")</f>
        <v/>
      </c>
      <c r="E207" s="36" t="str">
        <f>IFERROR(VLOOKUP(B207,'MASTER RECORD'!$B$5:$W$1000,9,0),"")</f>
        <v/>
      </c>
      <c r="F207" s="35" t="str">
        <f>IFERROR(VLOOKUP(B207,'MASTER RECORD'!$B$5:$W$1000,10,0) &amp;"."&amp;(VLOOKUP(B207,'MASTER RECORD'!$B$5:$W$1000,11,0)),"")</f>
        <v/>
      </c>
      <c r="G207" s="36" t="str">
        <f t="shared" si="10"/>
        <v/>
      </c>
      <c r="H207" s="35" t="str">
        <f t="shared" si="11"/>
        <v/>
      </c>
      <c r="I207" s="35" t="str">
        <f>IFERROR(VLOOKUP(B207,'MASTER RECORD'!$B$5:$W$1000,14,0),"")</f>
        <v/>
      </c>
      <c r="J207" s="17"/>
      <c r="K207" s="17"/>
      <c r="L207" s="17"/>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17"/>
      <c r="AP207" s="17"/>
      <c r="AQ207" s="17"/>
      <c r="AR207" s="17"/>
      <c r="AS207" s="17"/>
    </row>
    <row r="208" spans="1:45">
      <c r="A208" s="28">
        <f t="shared" si="9"/>
        <v>203</v>
      </c>
      <c r="B208" s="7"/>
      <c r="C208" s="35" t="str">
        <f>IFERROR(VLOOKUP(B208,'MASTER RECORD'!$B$5:$W$1000,3,0),"")</f>
        <v/>
      </c>
      <c r="D208" s="35" t="str">
        <f>IFERROR(VLOOKUP(B208,'MASTER RECORD'!$B$5:$W$1000,2,0),"")</f>
        <v/>
      </c>
      <c r="E208" s="36" t="str">
        <f>IFERROR(VLOOKUP(B208,'MASTER RECORD'!$B$5:$W$1000,9,0),"")</f>
        <v/>
      </c>
      <c r="F208" s="35" t="str">
        <f>IFERROR(VLOOKUP(B208,'MASTER RECORD'!$B$5:$W$1000,10,0) &amp;"."&amp;(VLOOKUP(B208,'MASTER RECORD'!$B$5:$W$1000,11,0)),"")</f>
        <v/>
      </c>
      <c r="G208" s="36" t="str">
        <f t="shared" si="10"/>
        <v/>
      </c>
      <c r="H208" s="35" t="str">
        <f t="shared" si="11"/>
        <v/>
      </c>
      <c r="I208" s="35" t="str">
        <f>IFERROR(VLOOKUP(B208,'MASTER RECORD'!$B$5:$W$1000,14,0),"")</f>
        <v/>
      </c>
      <c r="J208" s="17"/>
      <c r="K208" s="17"/>
      <c r="L208" s="17"/>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c r="AN208" s="17"/>
      <c r="AO208" s="17"/>
      <c r="AP208" s="17"/>
      <c r="AQ208" s="17"/>
      <c r="AR208" s="17"/>
      <c r="AS208" s="17"/>
    </row>
    <row r="209" spans="1:45">
      <c r="A209" s="28">
        <f t="shared" si="9"/>
        <v>204</v>
      </c>
      <c r="B209" s="7"/>
      <c r="C209" s="35" t="str">
        <f>IFERROR(VLOOKUP(B209,'MASTER RECORD'!$B$5:$W$1000,3,0),"")</f>
        <v/>
      </c>
      <c r="D209" s="35" t="str">
        <f>IFERROR(VLOOKUP(B209,'MASTER RECORD'!$B$5:$W$1000,2,0),"")</f>
        <v/>
      </c>
      <c r="E209" s="36" t="str">
        <f>IFERROR(VLOOKUP(B209,'MASTER RECORD'!$B$5:$W$1000,9,0),"")</f>
        <v/>
      </c>
      <c r="F209" s="35" t="str">
        <f>IFERROR(VLOOKUP(B209,'MASTER RECORD'!$B$5:$W$1000,10,0) &amp;"."&amp;(VLOOKUP(B209,'MASTER RECORD'!$B$5:$W$1000,11,0)),"")</f>
        <v/>
      </c>
      <c r="G209" s="36" t="str">
        <f t="shared" si="10"/>
        <v/>
      </c>
      <c r="H209" s="35" t="str">
        <f t="shared" si="11"/>
        <v/>
      </c>
      <c r="I209" s="35" t="str">
        <f>IFERROR(VLOOKUP(B209,'MASTER RECORD'!$B$5:$W$1000,14,0),"")</f>
        <v/>
      </c>
      <c r="J209" s="17"/>
      <c r="K209" s="17"/>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17"/>
      <c r="AO209" s="17"/>
      <c r="AP209" s="17"/>
      <c r="AQ209" s="17"/>
      <c r="AR209" s="17"/>
      <c r="AS209" s="17"/>
    </row>
    <row r="210" spans="1:45">
      <c r="A210" s="28">
        <f t="shared" si="9"/>
        <v>205</v>
      </c>
      <c r="B210" s="7"/>
      <c r="C210" s="35" t="str">
        <f>IFERROR(VLOOKUP(B210,'MASTER RECORD'!$B$5:$W$1000,3,0),"")</f>
        <v/>
      </c>
      <c r="D210" s="35" t="str">
        <f>IFERROR(VLOOKUP(B210,'MASTER RECORD'!$B$5:$W$1000,2,0),"")</f>
        <v/>
      </c>
      <c r="E210" s="36" t="str">
        <f>IFERROR(VLOOKUP(B210,'MASTER RECORD'!$B$5:$W$1000,9,0),"")</f>
        <v/>
      </c>
      <c r="F210" s="35" t="str">
        <f>IFERROR(VLOOKUP(B210,'MASTER RECORD'!$B$5:$W$1000,10,0) &amp;"."&amp;(VLOOKUP(B210,'MASTER RECORD'!$B$5:$W$1000,11,0)),"")</f>
        <v/>
      </c>
      <c r="G210" s="36" t="str">
        <f t="shared" si="10"/>
        <v/>
      </c>
      <c r="H210" s="35" t="str">
        <f t="shared" si="11"/>
        <v/>
      </c>
      <c r="I210" s="35" t="str">
        <f>IFERROR(VLOOKUP(B210,'MASTER RECORD'!$B$5:$W$1000,14,0),"")</f>
        <v/>
      </c>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c r="AN210" s="17"/>
      <c r="AO210" s="17"/>
      <c r="AP210" s="17"/>
      <c r="AQ210" s="17"/>
      <c r="AR210" s="17"/>
      <c r="AS210" s="17"/>
    </row>
    <row r="211" spans="1:45">
      <c r="A211" s="28">
        <f t="shared" si="9"/>
        <v>206</v>
      </c>
      <c r="B211" s="7"/>
      <c r="C211" s="35" t="str">
        <f>IFERROR(VLOOKUP(B211,'MASTER RECORD'!$B$5:$W$1000,3,0),"")</f>
        <v/>
      </c>
      <c r="D211" s="35" t="str">
        <f>IFERROR(VLOOKUP(B211,'MASTER RECORD'!$B$5:$W$1000,2,0),"")</f>
        <v/>
      </c>
      <c r="E211" s="36" t="str">
        <f>IFERROR(VLOOKUP(B211,'MASTER RECORD'!$B$5:$W$1000,9,0),"")</f>
        <v/>
      </c>
      <c r="F211" s="35" t="str">
        <f>IFERROR(VLOOKUP(B211,'MASTER RECORD'!$B$5:$W$1000,10,0) &amp;"."&amp;(VLOOKUP(B211,'MASTER RECORD'!$B$5:$W$1000,11,0)),"")</f>
        <v/>
      </c>
      <c r="G211" s="36" t="str">
        <f t="shared" si="10"/>
        <v/>
      </c>
      <c r="H211" s="35" t="str">
        <f t="shared" si="11"/>
        <v/>
      </c>
      <c r="I211" s="35" t="str">
        <f>IFERROR(VLOOKUP(B211,'MASTER RECORD'!$B$5:$W$1000,14,0),"")</f>
        <v/>
      </c>
      <c r="J211" s="17"/>
      <c r="K211" s="17"/>
      <c r="L211" s="17"/>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c r="AN211" s="17"/>
      <c r="AO211" s="17"/>
      <c r="AP211" s="17"/>
      <c r="AQ211" s="17"/>
      <c r="AR211" s="17"/>
      <c r="AS211" s="17"/>
    </row>
    <row r="212" spans="1:45">
      <c r="A212" s="28">
        <f t="shared" si="9"/>
        <v>207</v>
      </c>
      <c r="B212" s="7"/>
      <c r="C212" s="35" t="str">
        <f>IFERROR(VLOOKUP(B212,'MASTER RECORD'!$B$5:$W$1000,3,0),"")</f>
        <v/>
      </c>
      <c r="D212" s="35" t="str">
        <f>IFERROR(VLOOKUP(B212,'MASTER RECORD'!$B$5:$W$1000,2,0),"")</f>
        <v/>
      </c>
      <c r="E212" s="36" t="str">
        <f>IFERROR(VLOOKUP(B212,'MASTER RECORD'!$B$5:$W$1000,9,0),"")</f>
        <v/>
      </c>
      <c r="F212" s="35" t="str">
        <f>IFERROR(VLOOKUP(B212,'MASTER RECORD'!$B$5:$W$1000,10,0) &amp;"."&amp;(VLOOKUP(B212,'MASTER RECORD'!$B$5:$W$1000,11,0)),"")</f>
        <v/>
      </c>
      <c r="G212" s="36" t="str">
        <f t="shared" si="10"/>
        <v/>
      </c>
      <c r="H212" s="35" t="str">
        <f t="shared" si="11"/>
        <v/>
      </c>
      <c r="I212" s="35" t="str">
        <f>IFERROR(VLOOKUP(B212,'MASTER RECORD'!$B$5:$W$1000,14,0),"")</f>
        <v/>
      </c>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c r="AN212" s="17"/>
      <c r="AO212" s="17"/>
      <c r="AP212" s="17"/>
      <c r="AQ212" s="17"/>
      <c r="AR212" s="17"/>
      <c r="AS212" s="17"/>
    </row>
    <row r="213" spans="1:45">
      <c r="A213" s="28">
        <f t="shared" si="9"/>
        <v>208</v>
      </c>
      <c r="B213" s="7"/>
      <c r="C213" s="35" t="str">
        <f>IFERROR(VLOOKUP(B213,'MASTER RECORD'!$B$5:$W$1000,3,0),"")</f>
        <v/>
      </c>
      <c r="D213" s="35" t="str">
        <f>IFERROR(VLOOKUP(B213,'MASTER RECORD'!$B$5:$W$1000,2,0),"")</f>
        <v/>
      </c>
      <c r="E213" s="36" t="str">
        <f>IFERROR(VLOOKUP(B213,'MASTER RECORD'!$B$5:$W$1000,9,0),"")</f>
        <v/>
      </c>
      <c r="F213" s="35" t="str">
        <f>IFERROR(VLOOKUP(B213,'MASTER RECORD'!$B$5:$W$1000,10,0) &amp;"."&amp;(VLOOKUP(B213,'MASTER RECORD'!$B$5:$W$1000,11,0)),"")</f>
        <v/>
      </c>
      <c r="G213" s="36" t="str">
        <f t="shared" si="10"/>
        <v/>
      </c>
      <c r="H213" s="35" t="str">
        <f t="shared" si="11"/>
        <v/>
      </c>
      <c r="I213" s="35" t="str">
        <f>IFERROR(VLOOKUP(B213,'MASTER RECORD'!$B$5:$W$1000,14,0),"")</f>
        <v/>
      </c>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c r="AN213" s="17"/>
      <c r="AO213" s="17"/>
      <c r="AP213" s="17"/>
      <c r="AQ213" s="17"/>
      <c r="AR213" s="17"/>
      <c r="AS213" s="17"/>
    </row>
    <row r="214" spans="1:45">
      <c r="A214" s="28">
        <f t="shared" si="9"/>
        <v>209</v>
      </c>
      <c r="B214" s="7"/>
      <c r="C214" s="35" t="str">
        <f>IFERROR(VLOOKUP(B214,'MASTER RECORD'!$B$5:$W$1000,3,0),"")</f>
        <v/>
      </c>
      <c r="D214" s="35" t="str">
        <f>IFERROR(VLOOKUP(B214,'MASTER RECORD'!$B$5:$W$1000,2,0),"")</f>
        <v/>
      </c>
      <c r="E214" s="36" t="str">
        <f>IFERROR(VLOOKUP(B214,'MASTER RECORD'!$B$5:$W$1000,9,0),"")</f>
        <v/>
      </c>
      <c r="F214" s="35" t="str">
        <f>IFERROR(VLOOKUP(B214,'MASTER RECORD'!$B$5:$W$1000,10,0) &amp;"."&amp;(VLOOKUP(B214,'MASTER RECORD'!$B$5:$W$1000,11,0)),"")</f>
        <v/>
      </c>
      <c r="G214" s="36" t="str">
        <f t="shared" si="10"/>
        <v/>
      </c>
      <c r="H214" s="35" t="str">
        <f t="shared" si="11"/>
        <v/>
      </c>
      <c r="I214" s="35" t="str">
        <f>IFERROR(VLOOKUP(B214,'MASTER RECORD'!$B$5:$W$1000,14,0),"")</f>
        <v/>
      </c>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c r="AN214" s="17"/>
      <c r="AO214" s="17"/>
      <c r="AP214" s="17"/>
      <c r="AQ214" s="17"/>
      <c r="AR214" s="17"/>
      <c r="AS214" s="17"/>
    </row>
    <row r="215" spans="1:45">
      <c r="A215" s="28">
        <f t="shared" si="9"/>
        <v>210</v>
      </c>
      <c r="B215" s="7"/>
      <c r="C215" s="35" t="str">
        <f>IFERROR(VLOOKUP(B215,'MASTER RECORD'!$B$5:$W$1000,3,0),"")</f>
        <v/>
      </c>
      <c r="D215" s="35" t="str">
        <f>IFERROR(VLOOKUP(B215,'MASTER RECORD'!$B$5:$W$1000,2,0),"")</f>
        <v/>
      </c>
      <c r="E215" s="36" t="str">
        <f>IFERROR(VLOOKUP(B215,'MASTER RECORD'!$B$5:$W$1000,9,0),"")</f>
        <v/>
      </c>
      <c r="F215" s="35" t="str">
        <f>IFERROR(VLOOKUP(B215,'MASTER RECORD'!$B$5:$W$1000,10,0) &amp;"."&amp;(VLOOKUP(B215,'MASTER RECORD'!$B$5:$W$1000,11,0)),"")</f>
        <v/>
      </c>
      <c r="G215" s="36" t="str">
        <f t="shared" si="10"/>
        <v/>
      </c>
      <c r="H215" s="35" t="str">
        <f t="shared" si="11"/>
        <v/>
      </c>
      <c r="I215" s="35" t="str">
        <f>IFERROR(VLOOKUP(B215,'MASTER RECORD'!$B$5:$W$1000,14,0),"")</f>
        <v/>
      </c>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17"/>
      <c r="AO215" s="17"/>
      <c r="AP215" s="17"/>
      <c r="AQ215" s="17"/>
      <c r="AR215" s="17"/>
      <c r="AS215" s="17"/>
    </row>
    <row r="216" spans="1:45">
      <c r="A216" s="28">
        <f t="shared" si="9"/>
        <v>211</v>
      </c>
      <c r="B216" s="7"/>
      <c r="C216" s="35" t="str">
        <f>IFERROR(VLOOKUP(B216,'MASTER RECORD'!$B$5:$W$1000,3,0),"")</f>
        <v/>
      </c>
      <c r="D216" s="35" t="str">
        <f>IFERROR(VLOOKUP(B216,'MASTER RECORD'!$B$5:$W$1000,2,0),"")</f>
        <v/>
      </c>
      <c r="E216" s="36" t="str">
        <f>IFERROR(VLOOKUP(B216,'MASTER RECORD'!$B$5:$W$1000,9,0),"")</f>
        <v/>
      </c>
      <c r="F216" s="35" t="str">
        <f>IFERROR(VLOOKUP(B216,'MASTER RECORD'!$B$5:$W$1000,10,0) &amp;"."&amp;(VLOOKUP(B216,'MASTER RECORD'!$B$5:$W$1000,11,0)),"")</f>
        <v/>
      </c>
      <c r="G216" s="36" t="str">
        <f t="shared" si="10"/>
        <v/>
      </c>
      <c r="H216" s="35" t="str">
        <f t="shared" si="11"/>
        <v/>
      </c>
      <c r="I216" s="35" t="str">
        <f>IFERROR(VLOOKUP(B216,'MASTER RECORD'!$B$5:$W$1000,14,0),"")</f>
        <v/>
      </c>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c r="AN216" s="17"/>
      <c r="AO216" s="17"/>
      <c r="AP216" s="17"/>
      <c r="AQ216" s="17"/>
      <c r="AR216" s="17"/>
      <c r="AS216" s="17"/>
    </row>
    <row r="217" spans="1:45">
      <c r="A217" s="28">
        <f t="shared" si="9"/>
        <v>212</v>
      </c>
      <c r="B217" s="7"/>
      <c r="C217" s="35" t="str">
        <f>IFERROR(VLOOKUP(B217,'MASTER RECORD'!$B$5:$W$1000,3,0),"")</f>
        <v/>
      </c>
      <c r="D217" s="35" t="str">
        <f>IFERROR(VLOOKUP(B217,'MASTER RECORD'!$B$5:$W$1000,2,0),"")</f>
        <v/>
      </c>
      <c r="E217" s="36" t="str">
        <f>IFERROR(VLOOKUP(B217,'MASTER RECORD'!$B$5:$W$1000,9,0),"")</f>
        <v/>
      </c>
      <c r="F217" s="35" t="str">
        <f>IFERROR(VLOOKUP(B217,'MASTER RECORD'!$B$5:$W$1000,10,0) &amp;"."&amp;(VLOOKUP(B217,'MASTER RECORD'!$B$5:$W$1000,11,0)),"")</f>
        <v/>
      </c>
      <c r="G217" s="36" t="str">
        <f t="shared" si="10"/>
        <v/>
      </c>
      <c r="H217" s="35" t="str">
        <f t="shared" si="11"/>
        <v/>
      </c>
      <c r="I217" s="35" t="str">
        <f>IFERROR(VLOOKUP(B217,'MASTER RECORD'!$B$5:$W$1000,14,0),"")</f>
        <v/>
      </c>
      <c r="J217" s="17"/>
      <c r="K217" s="17"/>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17"/>
      <c r="AO217" s="17"/>
      <c r="AP217" s="17"/>
      <c r="AQ217" s="17"/>
      <c r="AR217" s="17"/>
      <c r="AS217" s="17"/>
    </row>
    <row r="218" spans="1:45">
      <c r="A218" s="28">
        <f t="shared" si="9"/>
        <v>213</v>
      </c>
      <c r="B218" s="7"/>
      <c r="C218" s="35" t="str">
        <f>IFERROR(VLOOKUP(B218,'MASTER RECORD'!$B$5:$W$1000,3,0),"")</f>
        <v/>
      </c>
      <c r="D218" s="35" t="str">
        <f>IFERROR(VLOOKUP(B218,'MASTER RECORD'!$B$5:$W$1000,2,0),"")</f>
        <v/>
      </c>
      <c r="E218" s="36" t="str">
        <f>IFERROR(VLOOKUP(B218,'MASTER RECORD'!$B$5:$W$1000,9,0),"")</f>
        <v/>
      </c>
      <c r="F218" s="35" t="str">
        <f>IFERROR(VLOOKUP(B218,'MASTER RECORD'!$B$5:$W$1000,10,0) &amp;"."&amp;(VLOOKUP(B218,'MASTER RECORD'!$B$5:$W$1000,11,0)),"")</f>
        <v/>
      </c>
      <c r="G218" s="36" t="str">
        <f t="shared" si="10"/>
        <v/>
      </c>
      <c r="H218" s="35" t="str">
        <f t="shared" si="11"/>
        <v/>
      </c>
      <c r="I218" s="35" t="str">
        <f>IFERROR(VLOOKUP(B218,'MASTER RECORD'!$B$5:$W$1000,14,0),"")</f>
        <v/>
      </c>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c r="AN218" s="17"/>
      <c r="AO218" s="17"/>
      <c r="AP218" s="17"/>
      <c r="AQ218" s="17"/>
      <c r="AR218" s="17"/>
      <c r="AS218" s="17"/>
    </row>
    <row r="219" spans="1:45">
      <c r="A219" s="28">
        <f t="shared" si="9"/>
        <v>214</v>
      </c>
      <c r="B219" s="7"/>
      <c r="C219" s="35" t="str">
        <f>IFERROR(VLOOKUP(B219,'MASTER RECORD'!$B$5:$W$1000,3,0),"")</f>
        <v/>
      </c>
      <c r="D219" s="35" t="str">
        <f>IFERROR(VLOOKUP(B219,'MASTER RECORD'!$B$5:$W$1000,2,0),"")</f>
        <v/>
      </c>
      <c r="E219" s="36" t="str">
        <f>IFERROR(VLOOKUP(B219,'MASTER RECORD'!$B$5:$W$1000,9,0),"")</f>
        <v/>
      </c>
      <c r="F219" s="35" t="str">
        <f>IFERROR(VLOOKUP(B219,'MASTER RECORD'!$B$5:$W$1000,10,0) &amp;"."&amp;(VLOOKUP(B219,'MASTER RECORD'!$B$5:$W$1000,11,0)),"")</f>
        <v/>
      </c>
      <c r="G219" s="36" t="str">
        <f t="shared" si="10"/>
        <v/>
      </c>
      <c r="H219" s="35" t="str">
        <f t="shared" si="11"/>
        <v/>
      </c>
      <c r="I219" s="35" t="str">
        <f>IFERROR(VLOOKUP(B219,'MASTER RECORD'!$B$5:$W$1000,14,0),"")</f>
        <v/>
      </c>
      <c r="J219" s="17"/>
      <c r="K219" s="17"/>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17"/>
      <c r="AO219" s="17"/>
      <c r="AP219" s="17"/>
      <c r="AQ219" s="17"/>
      <c r="AR219" s="17"/>
      <c r="AS219" s="17"/>
    </row>
    <row r="220" spans="1:45">
      <c r="A220" s="28">
        <f t="shared" si="9"/>
        <v>215</v>
      </c>
      <c r="B220" s="7"/>
      <c r="C220" s="35" t="str">
        <f>IFERROR(VLOOKUP(B220,'MASTER RECORD'!$B$5:$W$1000,3,0),"")</f>
        <v/>
      </c>
      <c r="D220" s="35" t="str">
        <f>IFERROR(VLOOKUP(B220,'MASTER RECORD'!$B$5:$W$1000,2,0),"")</f>
        <v/>
      </c>
      <c r="E220" s="36" t="str">
        <f>IFERROR(VLOOKUP(B220,'MASTER RECORD'!$B$5:$W$1000,9,0),"")</f>
        <v/>
      </c>
      <c r="F220" s="35" t="str">
        <f>IFERROR(VLOOKUP(B220,'MASTER RECORD'!$B$5:$W$1000,10,0) &amp;"."&amp;(VLOOKUP(B220,'MASTER RECORD'!$B$5:$W$1000,11,0)),"")</f>
        <v/>
      </c>
      <c r="G220" s="36" t="str">
        <f t="shared" si="10"/>
        <v/>
      </c>
      <c r="H220" s="35" t="str">
        <f t="shared" si="11"/>
        <v/>
      </c>
      <c r="I220" s="35" t="str">
        <f>IFERROR(VLOOKUP(B220,'MASTER RECORD'!$B$5:$W$1000,14,0),"")</f>
        <v/>
      </c>
      <c r="J220" s="17"/>
      <c r="K220" s="17"/>
      <c r="L220" s="17"/>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c r="AN220" s="17"/>
      <c r="AO220" s="17"/>
      <c r="AP220" s="17"/>
      <c r="AQ220" s="17"/>
      <c r="AR220" s="17"/>
      <c r="AS220" s="17"/>
    </row>
    <row r="221" spans="1:45">
      <c r="A221" s="28">
        <f t="shared" si="9"/>
        <v>216</v>
      </c>
      <c r="B221" s="7"/>
      <c r="C221" s="35" t="str">
        <f>IFERROR(VLOOKUP(B221,'MASTER RECORD'!$B$5:$W$1000,3,0),"")</f>
        <v/>
      </c>
      <c r="D221" s="35" t="str">
        <f>IFERROR(VLOOKUP(B221,'MASTER RECORD'!$B$5:$W$1000,2,0),"")</f>
        <v/>
      </c>
      <c r="E221" s="36" t="str">
        <f>IFERROR(VLOOKUP(B221,'MASTER RECORD'!$B$5:$W$1000,9,0),"")</f>
        <v/>
      </c>
      <c r="F221" s="35" t="str">
        <f>IFERROR(VLOOKUP(B221,'MASTER RECORD'!$B$5:$W$1000,10,0) &amp;"."&amp;(VLOOKUP(B221,'MASTER RECORD'!$B$5:$W$1000,11,0)),"")</f>
        <v/>
      </c>
      <c r="G221" s="36" t="str">
        <f t="shared" si="10"/>
        <v/>
      </c>
      <c r="H221" s="35" t="str">
        <f t="shared" si="11"/>
        <v/>
      </c>
      <c r="I221" s="35" t="str">
        <f>IFERROR(VLOOKUP(B221,'MASTER RECORD'!$B$5:$W$1000,14,0),"")</f>
        <v/>
      </c>
      <c r="J221" s="17"/>
      <c r="K221" s="17"/>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17"/>
      <c r="AO221" s="17"/>
      <c r="AP221" s="17"/>
      <c r="AQ221" s="17"/>
      <c r="AR221" s="17"/>
      <c r="AS221" s="17"/>
    </row>
    <row r="222" spans="1:45">
      <c r="A222" s="28">
        <f t="shared" si="9"/>
        <v>217</v>
      </c>
      <c r="B222" s="7"/>
      <c r="C222" s="35" t="str">
        <f>IFERROR(VLOOKUP(B222,'MASTER RECORD'!$B$5:$W$1000,3,0),"")</f>
        <v/>
      </c>
      <c r="D222" s="35" t="str">
        <f>IFERROR(VLOOKUP(B222,'MASTER RECORD'!$B$5:$W$1000,2,0),"")</f>
        <v/>
      </c>
      <c r="E222" s="36" t="str">
        <f>IFERROR(VLOOKUP(B222,'MASTER RECORD'!$B$5:$W$1000,9,0),"")</f>
        <v/>
      </c>
      <c r="F222" s="35" t="str">
        <f>IFERROR(VLOOKUP(B222,'MASTER RECORD'!$B$5:$W$1000,10,0) &amp;"."&amp;(VLOOKUP(B222,'MASTER RECORD'!$B$5:$W$1000,11,0)),"")</f>
        <v/>
      </c>
      <c r="G222" s="36" t="str">
        <f t="shared" si="10"/>
        <v/>
      </c>
      <c r="H222" s="35" t="str">
        <f t="shared" si="11"/>
        <v/>
      </c>
      <c r="I222" s="35" t="str">
        <f>IFERROR(VLOOKUP(B222,'MASTER RECORD'!$B$5:$W$1000,14,0),"")</f>
        <v/>
      </c>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row>
    <row r="223" spans="1:45">
      <c r="A223" s="28">
        <f t="shared" si="9"/>
        <v>218</v>
      </c>
      <c r="B223" s="7"/>
      <c r="C223" s="35" t="str">
        <f>IFERROR(VLOOKUP(B223,'MASTER RECORD'!$B$5:$W$1000,3,0),"")</f>
        <v/>
      </c>
      <c r="D223" s="35" t="str">
        <f>IFERROR(VLOOKUP(B223,'MASTER RECORD'!$B$5:$W$1000,2,0),"")</f>
        <v/>
      </c>
      <c r="E223" s="36" t="str">
        <f>IFERROR(VLOOKUP(B223,'MASTER RECORD'!$B$5:$W$1000,9,0),"")</f>
        <v/>
      </c>
      <c r="F223" s="35" t="str">
        <f>IFERROR(VLOOKUP(B223,'MASTER RECORD'!$B$5:$W$1000,10,0) &amp;"."&amp;(VLOOKUP(B223,'MASTER RECORD'!$B$5:$W$1000,11,0)),"")</f>
        <v/>
      </c>
      <c r="G223" s="36" t="str">
        <f t="shared" si="10"/>
        <v/>
      </c>
      <c r="H223" s="35" t="str">
        <f t="shared" si="11"/>
        <v/>
      </c>
      <c r="I223" s="35" t="str">
        <f>IFERROR(VLOOKUP(B223,'MASTER RECORD'!$B$5:$W$1000,14,0),"")</f>
        <v/>
      </c>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P223" s="17"/>
      <c r="AQ223" s="17"/>
      <c r="AR223" s="17"/>
      <c r="AS223" s="17"/>
    </row>
    <row r="224" spans="1:45">
      <c r="A224" s="28">
        <f t="shared" si="9"/>
        <v>219</v>
      </c>
      <c r="B224" s="7"/>
      <c r="C224" s="35" t="str">
        <f>IFERROR(VLOOKUP(B224,'MASTER RECORD'!$B$5:$W$1000,3,0),"")</f>
        <v/>
      </c>
      <c r="D224" s="35" t="str">
        <f>IFERROR(VLOOKUP(B224,'MASTER RECORD'!$B$5:$W$1000,2,0),"")</f>
        <v/>
      </c>
      <c r="E224" s="36" t="str">
        <f>IFERROR(VLOOKUP(B224,'MASTER RECORD'!$B$5:$W$1000,9,0),"")</f>
        <v/>
      </c>
      <c r="F224" s="35" t="str">
        <f>IFERROR(VLOOKUP(B224,'MASTER RECORD'!$B$5:$W$1000,10,0) &amp;"."&amp;(VLOOKUP(B224,'MASTER RECORD'!$B$5:$W$1000,11,0)),"")</f>
        <v/>
      </c>
      <c r="G224" s="36" t="str">
        <f t="shared" si="10"/>
        <v/>
      </c>
      <c r="H224" s="35" t="str">
        <f t="shared" si="11"/>
        <v/>
      </c>
      <c r="I224" s="35" t="str">
        <f>IFERROR(VLOOKUP(B224,'MASTER RECORD'!$B$5:$W$1000,14,0),"")</f>
        <v/>
      </c>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P224" s="17"/>
      <c r="AQ224" s="17"/>
      <c r="AR224" s="17"/>
      <c r="AS224" s="17"/>
    </row>
    <row r="225" spans="1:45">
      <c r="A225" s="28">
        <f t="shared" si="9"/>
        <v>220</v>
      </c>
      <c r="B225" s="7"/>
      <c r="C225" s="35" t="str">
        <f>IFERROR(VLOOKUP(B225,'MASTER RECORD'!$B$5:$W$1000,3,0),"")</f>
        <v/>
      </c>
      <c r="D225" s="35" t="str">
        <f>IFERROR(VLOOKUP(B225,'MASTER RECORD'!$B$5:$W$1000,2,0),"")</f>
        <v/>
      </c>
      <c r="E225" s="36" t="str">
        <f>IFERROR(VLOOKUP(B225,'MASTER RECORD'!$B$5:$W$1000,9,0),"")</f>
        <v/>
      </c>
      <c r="F225" s="35" t="str">
        <f>IFERROR(VLOOKUP(B225,'MASTER RECORD'!$B$5:$W$1000,10,0) &amp;"."&amp;(VLOOKUP(B225,'MASTER RECORD'!$B$5:$W$1000,11,0)),"")</f>
        <v/>
      </c>
      <c r="G225" s="36" t="str">
        <f t="shared" si="10"/>
        <v/>
      </c>
      <c r="H225" s="35" t="str">
        <f t="shared" si="11"/>
        <v/>
      </c>
      <c r="I225" s="35" t="str">
        <f>IFERROR(VLOOKUP(B225,'MASTER RECORD'!$B$5:$W$1000,14,0),"")</f>
        <v/>
      </c>
      <c r="J225" s="17"/>
      <c r="K225" s="17"/>
      <c r="L225" s="17"/>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c r="AN225" s="17"/>
      <c r="AO225" s="17"/>
      <c r="AP225" s="17"/>
      <c r="AQ225" s="17"/>
      <c r="AR225" s="17"/>
      <c r="AS225" s="17"/>
    </row>
    <row r="226" spans="1:45">
      <c r="A226" s="28">
        <f t="shared" si="9"/>
        <v>221</v>
      </c>
      <c r="B226" s="7"/>
      <c r="C226" s="35" t="str">
        <f>IFERROR(VLOOKUP(B226,'MASTER RECORD'!$B$5:$W$1000,3,0),"")</f>
        <v/>
      </c>
      <c r="D226" s="35" t="str">
        <f>IFERROR(VLOOKUP(B226,'MASTER RECORD'!$B$5:$W$1000,2,0),"")</f>
        <v/>
      </c>
      <c r="E226" s="36" t="str">
        <f>IFERROR(VLOOKUP(B226,'MASTER RECORD'!$B$5:$W$1000,9,0),"")</f>
        <v/>
      </c>
      <c r="F226" s="35" t="str">
        <f>IFERROR(VLOOKUP(B226,'MASTER RECORD'!$B$5:$W$1000,10,0) &amp;"."&amp;(VLOOKUP(B226,'MASTER RECORD'!$B$5:$W$1000,11,0)),"")</f>
        <v/>
      </c>
      <c r="G226" s="36" t="str">
        <f t="shared" si="10"/>
        <v/>
      </c>
      <c r="H226" s="35" t="str">
        <f t="shared" si="11"/>
        <v/>
      </c>
      <c r="I226" s="35" t="str">
        <f>IFERROR(VLOOKUP(B226,'MASTER RECORD'!$B$5:$W$1000,14,0),"")</f>
        <v/>
      </c>
      <c r="J226" s="17"/>
      <c r="K226" s="17"/>
      <c r="L226" s="17"/>
      <c r="M226" s="17"/>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7"/>
      <c r="AK226" s="17"/>
      <c r="AL226" s="17"/>
      <c r="AM226" s="17"/>
      <c r="AN226" s="17"/>
      <c r="AO226" s="17"/>
      <c r="AP226" s="17"/>
      <c r="AQ226" s="17"/>
      <c r="AR226" s="17"/>
      <c r="AS226" s="17"/>
    </row>
    <row r="227" spans="1:45">
      <c r="A227" s="28">
        <f t="shared" si="9"/>
        <v>222</v>
      </c>
      <c r="B227" s="7"/>
      <c r="C227" s="35" t="str">
        <f>IFERROR(VLOOKUP(B227,'MASTER RECORD'!$B$5:$W$1000,3,0),"")</f>
        <v/>
      </c>
      <c r="D227" s="35" t="str">
        <f>IFERROR(VLOOKUP(B227,'MASTER RECORD'!$B$5:$W$1000,2,0),"")</f>
        <v/>
      </c>
      <c r="E227" s="36" t="str">
        <f>IFERROR(VLOOKUP(B227,'MASTER RECORD'!$B$5:$W$1000,9,0),"")</f>
        <v/>
      </c>
      <c r="F227" s="35" t="str">
        <f>IFERROR(VLOOKUP(B227,'MASTER RECORD'!$B$5:$W$1000,10,0) &amp;"."&amp;(VLOOKUP(B227,'MASTER RECORD'!$B$5:$W$1000,11,0)),"")</f>
        <v/>
      </c>
      <c r="G227" s="36" t="str">
        <f t="shared" si="10"/>
        <v/>
      </c>
      <c r="H227" s="35" t="str">
        <f t="shared" si="11"/>
        <v/>
      </c>
      <c r="I227" s="35" t="str">
        <f>IFERROR(VLOOKUP(B227,'MASTER RECORD'!$B$5:$W$1000,14,0),"")</f>
        <v/>
      </c>
      <c r="J227" s="17"/>
      <c r="K227" s="17"/>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c r="AN227" s="17"/>
      <c r="AO227" s="17"/>
      <c r="AP227" s="17"/>
      <c r="AQ227" s="17"/>
      <c r="AR227" s="17"/>
      <c r="AS227" s="17"/>
    </row>
    <row r="228" spans="1:45">
      <c r="A228" s="28">
        <f t="shared" si="9"/>
        <v>223</v>
      </c>
      <c r="B228" s="7"/>
      <c r="C228" s="35" t="str">
        <f>IFERROR(VLOOKUP(B228,'MASTER RECORD'!$B$5:$W$1000,3,0),"")</f>
        <v/>
      </c>
      <c r="D228" s="35" t="str">
        <f>IFERROR(VLOOKUP(B228,'MASTER RECORD'!$B$5:$W$1000,2,0),"")</f>
        <v/>
      </c>
      <c r="E228" s="36" t="str">
        <f>IFERROR(VLOOKUP(B228,'MASTER RECORD'!$B$5:$W$1000,9,0),"")</f>
        <v/>
      </c>
      <c r="F228" s="35" t="str">
        <f>IFERROR(VLOOKUP(B228,'MASTER RECORD'!$B$5:$W$1000,10,0) &amp;"."&amp;(VLOOKUP(B228,'MASTER RECORD'!$B$5:$W$1000,11,0)),"")</f>
        <v/>
      </c>
      <c r="G228" s="36" t="str">
        <f t="shared" si="10"/>
        <v/>
      </c>
      <c r="H228" s="35" t="str">
        <f t="shared" si="11"/>
        <v/>
      </c>
      <c r="I228" s="35" t="str">
        <f>IFERROR(VLOOKUP(B228,'MASTER RECORD'!$B$5:$W$1000,14,0),"")</f>
        <v/>
      </c>
      <c r="J228" s="17"/>
      <c r="K228" s="17"/>
      <c r="L228" s="17"/>
      <c r="M228" s="17"/>
      <c r="N228" s="17"/>
      <c r="O228" s="17"/>
      <c r="P228" s="17"/>
      <c r="Q228" s="17"/>
      <c r="R228" s="17"/>
      <c r="S228" s="17"/>
      <c r="T228" s="17"/>
      <c r="U228" s="17"/>
      <c r="V228" s="17"/>
      <c r="W228" s="17"/>
      <c r="X228" s="17"/>
      <c r="Y228" s="17"/>
      <c r="Z228" s="17"/>
      <c r="AA228" s="17"/>
      <c r="AB228" s="17"/>
      <c r="AC228" s="17"/>
      <c r="AD228" s="17"/>
      <c r="AE228" s="17"/>
      <c r="AF228" s="17"/>
      <c r="AG228" s="17"/>
      <c r="AH228" s="17"/>
      <c r="AI228" s="17"/>
      <c r="AJ228" s="17"/>
      <c r="AK228" s="17"/>
      <c r="AL228" s="17"/>
      <c r="AM228" s="17"/>
      <c r="AN228" s="17"/>
      <c r="AO228" s="17"/>
      <c r="AP228" s="17"/>
      <c r="AQ228" s="17"/>
      <c r="AR228" s="17"/>
      <c r="AS228" s="17"/>
    </row>
    <row r="229" spans="1:45">
      <c r="A229" s="28">
        <f t="shared" si="9"/>
        <v>224</v>
      </c>
      <c r="B229" s="7"/>
      <c r="C229" s="35" t="str">
        <f>IFERROR(VLOOKUP(B229,'MASTER RECORD'!$B$5:$W$1000,3,0),"")</f>
        <v/>
      </c>
      <c r="D229" s="35" t="str">
        <f>IFERROR(VLOOKUP(B229,'MASTER RECORD'!$B$5:$W$1000,2,0),"")</f>
        <v/>
      </c>
      <c r="E229" s="36" t="str">
        <f>IFERROR(VLOOKUP(B229,'MASTER RECORD'!$B$5:$W$1000,9,0),"")</f>
        <v/>
      </c>
      <c r="F229" s="35" t="str">
        <f>IFERROR(VLOOKUP(B229,'MASTER RECORD'!$B$5:$W$1000,10,0) &amp;"."&amp;(VLOOKUP(B229,'MASTER RECORD'!$B$5:$W$1000,11,0)),"")</f>
        <v/>
      </c>
      <c r="G229" s="36" t="str">
        <f t="shared" si="10"/>
        <v/>
      </c>
      <c r="H229" s="35" t="str">
        <f t="shared" si="11"/>
        <v/>
      </c>
      <c r="I229" s="35" t="str">
        <f>IFERROR(VLOOKUP(B229,'MASTER RECORD'!$B$5:$W$1000,14,0),"")</f>
        <v/>
      </c>
      <c r="J229" s="17"/>
      <c r="K229" s="17"/>
      <c r="L229" s="17"/>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c r="AN229" s="17"/>
      <c r="AO229" s="17"/>
      <c r="AP229" s="17"/>
      <c r="AQ229" s="17"/>
      <c r="AR229" s="17"/>
      <c r="AS229" s="17"/>
    </row>
    <row r="230" spans="1:45">
      <c r="A230" s="28">
        <f t="shared" si="9"/>
        <v>225</v>
      </c>
      <c r="B230" s="7"/>
      <c r="C230" s="35" t="str">
        <f>IFERROR(VLOOKUP(B230,'MASTER RECORD'!$B$5:$W$1000,3,0),"")</f>
        <v/>
      </c>
      <c r="D230" s="35" t="str">
        <f>IFERROR(VLOOKUP(B230,'MASTER RECORD'!$B$5:$W$1000,2,0),"")</f>
        <v/>
      </c>
      <c r="E230" s="36" t="str">
        <f>IFERROR(VLOOKUP(B230,'MASTER RECORD'!$B$5:$W$1000,9,0),"")</f>
        <v/>
      </c>
      <c r="F230" s="35" t="str">
        <f>IFERROR(VLOOKUP(B230,'MASTER RECORD'!$B$5:$W$1000,10,0) &amp;"."&amp;(VLOOKUP(B230,'MASTER RECORD'!$B$5:$W$1000,11,0)),"")</f>
        <v/>
      </c>
      <c r="G230" s="36" t="str">
        <f t="shared" si="10"/>
        <v/>
      </c>
      <c r="H230" s="35" t="str">
        <f t="shared" si="11"/>
        <v/>
      </c>
      <c r="I230" s="35" t="str">
        <f>IFERROR(VLOOKUP(B230,'MASTER RECORD'!$B$5:$W$1000,14,0),"")</f>
        <v/>
      </c>
      <c r="J230" s="17"/>
      <c r="K230" s="17"/>
      <c r="L230" s="17"/>
      <c r="M230" s="17"/>
      <c r="N230" s="17"/>
      <c r="O230" s="17"/>
      <c r="P230" s="17"/>
      <c r="Q230" s="17"/>
      <c r="R230" s="17"/>
      <c r="S230" s="17"/>
      <c r="T230" s="17"/>
      <c r="U230" s="17"/>
      <c r="V230" s="17"/>
      <c r="W230" s="17"/>
      <c r="X230" s="17"/>
      <c r="Y230" s="17"/>
      <c r="Z230" s="17"/>
      <c r="AA230" s="17"/>
      <c r="AB230" s="17"/>
      <c r="AC230" s="17"/>
      <c r="AD230" s="17"/>
      <c r="AE230" s="17"/>
      <c r="AF230" s="17"/>
      <c r="AG230" s="17"/>
      <c r="AH230" s="17"/>
      <c r="AI230" s="17"/>
      <c r="AJ230" s="17"/>
      <c r="AK230" s="17"/>
      <c r="AL230" s="17"/>
      <c r="AM230" s="17"/>
      <c r="AN230" s="17"/>
      <c r="AO230" s="17"/>
      <c r="AP230" s="17"/>
      <c r="AQ230" s="17"/>
      <c r="AR230" s="17"/>
      <c r="AS230" s="17"/>
    </row>
    <row r="231" spans="1:45">
      <c r="A231" s="28">
        <f t="shared" si="9"/>
        <v>226</v>
      </c>
      <c r="B231" s="7"/>
      <c r="C231" s="35" t="str">
        <f>IFERROR(VLOOKUP(B231,'MASTER RECORD'!$B$5:$W$1000,3,0),"")</f>
        <v/>
      </c>
      <c r="D231" s="35" t="str">
        <f>IFERROR(VLOOKUP(B231,'MASTER RECORD'!$B$5:$W$1000,2,0),"")</f>
        <v/>
      </c>
      <c r="E231" s="36" t="str">
        <f>IFERROR(VLOOKUP(B231,'MASTER RECORD'!$B$5:$W$1000,9,0),"")</f>
        <v/>
      </c>
      <c r="F231" s="35" t="str">
        <f>IFERROR(VLOOKUP(B231,'MASTER RECORD'!$B$5:$W$1000,10,0) &amp;"."&amp;(VLOOKUP(B231,'MASTER RECORD'!$B$5:$W$1000,11,0)),"")</f>
        <v/>
      </c>
      <c r="G231" s="36" t="str">
        <f t="shared" si="10"/>
        <v/>
      </c>
      <c r="H231" s="35" t="str">
        <f t="shared" si="11"/>
        <v/>
      </c>
      <c r="I231" s="35" t="str">
        <f>IFERROR(VLOOKUP(B231,'MASTER RECORD'!$B$5:$W$1000,14,0),"")</f>
        <v/>
      </c>
      <c r="J231" s="17"/>
      <c r="K231" s="17"/>
      <c r="L231" s="17"/>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c r="AN231" s="17"/>
      <c r="AO231" s="17"/>
      <c r="AP231" s="17"/>
      <c r="AQ231" s="17"/>
      <c r="AR231" s="17"/>
      <c r="AS231" s="17"/>
    </row>
    <row r="232" spans="1:45">
      <c r="A232" s="28">
        <f t="shared" si="9"/>
        <v>227</v>
      </c>
      <c r="B232" s="7"/>
      <c r="C232" s="35" t="str">
        <f>IFERROR(VLOOKUP(B232,'MASTER RECORD'!$B$5:$W$1000,3,0),"")</f>
        <v/>
      </c>
      <c r="D232" s="35" t="str">
        <f>IFERROR(VLOOKUP(B232,'MASTER RECORD'!$B$5:$W$1000,2,0),"")</f>
        <v/>
      </c>
      <c r="E232" s="36" t="str">
        <f>IFERROR(VLOOKUP(B232,'MASTER RECORD'!$B$5:$W$1000,9,0),"")</f>
        <v/>
      </c>
      <c r="F232" s="35" t="str">
        <f>IFERROR(VLOOKUP(B232,'MASTER RECORD'!$B$5:$W$1000,10,0) &amp;"."&amp;(VLOOKUP(B232,'MASTER RECORD'!$B$5:$W$1000,11,0)),"")</f>
        <v/>
      </c>
      <c r="G232" s="36" t="str">
        <f t="shared" si="10"/>
        <v/>
      </c>
      <c r="H232" s="35" t="str">
        <f t="shared" si="11"/>
        <v/>
      </c>
      <c r="I232" s="35" t="str">
        <f>IFERROR(VLOOKUP(B232,'MASTER RECORD'!$B$5:$W$1000,14,0),"")</f>
        <v/>
      </c>
      <c r="J232" s="17"/>
      <c r="K232" s="17"/>
      <c r="L232" s="17"/>
      <c r="M232" s="17"/>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7"/>
      <c r="AK232" s="17"/>
      <c r="AL232" s="17"/>
      <c r="AM232" s="17"/>
      <c r="AN232" s="17"/>
      <c r="AO232" s="17"/>
      <c r="AP232" s="17"/>
      <c r="AQ232" s="17"/>
      <c r="AR232" s="17"/>
      <c r="AS232" s="17"/>
    </row>
    <row r="233" spans="1:45">
      <c r="A233" s="28">
        <f t="shared" si="9"/>
        <v>228</v>
      </c>
      <c r="B233" s="7"/>
      <c r="C233" s="35" t="str">
        <f>IFERROR(VLOOKUP(B233,'MASTER RECORD'!$B$5:$W$1000,3,0),"")</f>
        <v/>
      </c>
      <c r="D233" s="35" t="str">
        <f>IFERROR(VLOOKUP(B233,'MASTER RECORD'!$B$5:$W$1000,2,0),"")</f>
        <v/>
      </c>
      <c r="E233" s="36" t="str">
        <f>IFERROR(VLOOKUP(B233,'MASTER RECORD'!$B$5:$W$1000,9,0),"")</f>
        <v/>
      </c>
      <c r="F233" s="35" t="str">
        <f>IFERROR(VLOOKUP(B233,'MASTER RECORD'!$B$5:$W$1000,10,0) &amp;"."&amp;(VLOOKUP(B233,'MASTER RECORD'!$B$5:$W$1000,11,0)),"")</f>
        <v/>
      </c>
      <c r="G233" s="36" t="str">
        <f t="shared" si="10"/>
        <v/>
      </c>
      <c r="H233" s="35" t="str">
        <f t="shared" si="11"/>
        <v/>
      </c>
      <c r="I233" s="35" t="str">
        <f>IFERROR(VLOOKUP(B233,'MASTER RECORD'!$B$5:$W$1000,14,0),"")</f>
        <v/>
      </c>
      <c r="J233" s="17"/>
      <c r="K233" s="17"/>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c r="AN233" s="17"/>
      <c r="AO233" s="17"/>
      <c r="AP233" s="17"/>
      <c r="AQ233" s="17"/>
      <c r="AR233" s="17"/>
      <c r="AS233" s="17"/>
    </row>
    <row r="234" spans="1:45">
      <c r="A234" s="28">
        <f t="shared" si="9"/>
        <v>229</v>
      </c>
      <c r="B234" s="7"/>
      <c r="C234" s="35" t="str">
        <f>IFERROR(VLOOKUP(B234,'MASTER RECORD'!$B$5:$W$1000,3,0),"")</f>
        <v/>
      </c>
      <c r="D234" s="35" t="str">
        <f>IFERROR(VLOOKUP(B234,'MASTER RECORD'!$B$5:$W$1000,2,0),"")</f>
        <v/>
      </c>
      <c r="E234" s="36" t="str">
        <f>IFERROR(VLOOKUP(B234,'MASTER RECORD'!$B$5:$W$1000,9,0),"")</f>
        <v/>
      </c>
      <c r="F234" s="35" t="str">
        <f>IFERROR(VLOOKUP(B234,'MASTER RECORD'!$B$5:$W$1000,10,0) &amp;"."&amp;(VLOOKUP(B234,'MASTER RECORD'!$B$5:$W$1000,11,0)),"")</f>
        <v/>
      </c>
      <c r="G234" s="36" t="str">
        <f t="shared" si="10"/>
        <v/>
      </c>
      <c r="H234" s="35" t="str">
        <f t="shared" si="11"/>
        <v/>
      </c>
      <c r="I234" s="35" t="str">
        <f>IFERROR(VLOOKUP(B234,'MASTER RECORD'!$B$5:$W$1000,14,0),"")</f>
        <v/>
      </c>
      <c r="J234" s="17"/>
      <c r="K234" s="17"/>
      <c r="L234" s="17"/>
      <c r="M234" s="17"/>
      <c r="N234" s="17"/>
      <c r="O234" s="17"/>
      <c r="P234" s="17"/>
      <c r="Q234" s="17"/>
      <c r="R234" s="17"/>
      <c r="S234" s="17"/>
      <c r="T234" s="17"/>
      <c r="U234" s="17"/>
      <c r="V234" s="17"/>
      <c r="W234" s="17"/>
      <c r="X234" s="17"/>
      <c r="Y234" s="17"/>
      <c r="Z234" s="17"/>
      <c r="AA234" s="17"/>
      <c r="AB234" s="17"/>
      <c r="AC234" s="17"/>
      <c r="AD234" s="17"/>
      <c r="AE234" s="17"/>
      <c r="AF234" s="17"/>
      <c r="AG234" s="17"/>
      <c r="AH234" s="17"/>
      <c r="AI234" s="17"/>
      <c r="AJ234" s="17"/>
      <c r="AK234" s="17"/>
      <c r="AL234" s="17"/>
      <c r="AM234" s="17"/>
      <c r="AN234" s="17"/>
      <c r="AO234" s="17"/>
      <c r="AP234" s="17"/>
      <c r="AQ234" s="17"/>
      <c r="AR234" s="17"/>
      <c r="AS234" s="17"/>
    </row>
    <row r="235" spans="1:45">
      <c r="A235" s="28">
        <f t="shared" si="9"/>
        <v>230</v>
      </c>
      <c r="B235" s="7"/>
      <c r="C235" s="35" t="str">
        <f>IFERROR(VLOOKUP(B235,'MASTER RECORD'!$B$5:$W$1000,3,0),"")</f>
        <v/>
      </c>
      <c r="D235" s="35" t="str">
        <f>IFERROR(VLOOKUP(B235,'MASTER RECORD'!$B$5:$W$1000,2,0),"")</f>
        <v/>
      </c>
      <c r="E235" s="36" t="str">
        <f>IFERROR(VLOOKUP(B235,'MASTER RECORD'!$B$5:$W$1000,9,0),"")</f>
        <v/>
      </c>
      <c r="F235" s="35" t="str">
        <f>IFERROR(VLOOKUP(B235,'MASTER RECORD'!$B$5:$W$1000,10,0) &amp;"."&amp;(VLOOKUP(B235,'MASTER RECORD'!$B$5:$W$1000,11,0)),"")</f>
        <v/>
      </c>
      <c r="G235" s="36" t="str">
        <f t="shared" si="10"/>
        <v/>
      </c>
      <c r="H235" s="35" t="str">
        <f t="shared" si="11"/>
        <v/>
      </c>
      <c r="I235" s="35" t="str">
        <f>IFERROR(VLOOKUP(B235,'MASTER RECORD'!$B$5:$W$1000,14,0),"")</f>
        <v/>
      </c>
      <c r="J235" s="17"/>
      <c r="K235" s="17"/>
      <c r="L235" s="17"/>
      <c r="M235" s="17"/>
      <c r="N235" s="17"/>
      <c r="O235" s="17"/>
      <c r="P235" s="17"/>
      <c r="Q235" s="17"/>
      <c r="R235" s="17"/>
      <c r="S235" s="17"/>
      <c r="T235" s="17"/>
      <c r="U235" s="17"/>
      <c r="V235" s="17"/>
      <c r="W235" s="17"/>
      <c r="X235" s="17"/>
      <c r="Y235" s="17"/>
      <c r="Z235" s="17"/>
      <c r="AA235" s="17"/>
      <c r="AB235" s="17"/>
      <c r="AC235" s="17"/>
      <c r="AD235" s="17"/>
      <c r="AE235" s="17"/>
      <c r="AF235" s="17"/>
      <c r="AG235" s="17"/>
      <c r="AH235" s="17"/>
      <c r="AI235" s="17"/>
      <c r="AJ235" s="17"/>
      <c r="AK235" s="17"/>
      <c r="AL235" s="17"/>
      <c r="AM235" s="17"/>
      <c r="AN235" s="17"/>
      <c r="AO235" s="17"/>
      <c r="AP235" s="17"/>
      <c r="AQ235" s="17"/>
      <c r="AR235" s="17"/>
      <c r="AS235" s="17"/>
    </row>
    <row r="236" spans="1:45">
      <c r="A236" s="28">
        <f t="shared" si="9"/>
        <v>231</v>
      </c>
      <c r="B236" s="7"/>
      <c r="C236" s="35" t="str">
        <f>IFERROR(VLOOKUP(B236,'MASTER RECORD'!$B$5:$W$1000,3,0),"")</f>
        <v/>
      </c>
      <c r="D236" s="35" t="str">
        <f>IFERROR(VLOOKUP(B236,'MASTER RECORD'!$B$5:$W$1000,2,0),"")</f>
        <v/>
      </c>
      <c r="E236" s="36" t="str">
        <f>IFERROR(VLOOKUP(B236,'MASTER RECORD'!$B$5:$W$1000,9,0),"")</f>
        <v/>
      </c>
      <c r="F236" s="35" t="str">
        <f>IFERROR(VLOOKUP(B236,'MASTER RECORD'!$B$5:$W$1000,10,0) &amp;"."&amp;(VLOOKUP(B236,'MASTER RECORD'!$B$5:$W$1000,11,0)),"")</f>
        <v/>
      </c>
      <c r="G236" s="36" t="str">
        <f t="shared" si="10"/>
        <v/>
      </c>
      <c r="H236" s="35" t="str">
        <f t="shared" si="11"/>
        <v/>
      </c>
      <c r="I236" s="35" t="str">
        <f>IFERROR(VLOOKUP(B236,'MASTER RECORD'!$B$5:$W$1000,14,0),"")</f>
        <v/>
      </c>
      <c r="J236" s="17"/>
      <c r="K236" s="17"/>
      <c r="L236" s="17"/>
      <c r="M236" s="17"/>
      <c r="N236" s="17"/>
      <c r="O236" s="17"/>
      <c r="P236" s="17"/>
      <c r="Q236" s="17"/>
      <c r="R236" s="17"/>
      <c r="S236" s="17"/>
      <c r="T236" s="17"/>
      <c r="U236" s="17"/>
      <c r="V236" s="17"/>
      <c r="W236" s="17"/>
      <c r="X236" s="17"/>
      <c r="Y236" s="17"/>
      <c r="Z236" s="17"/>
      <c r="AA236" s="17"/>
      <c r="AB236" s="17"/>
      <c r="AC236" s="17"/>
      <c r="AD236" s="17"/>
      <c r="AE236" s="17"/>
      <c r="AF236" s="17"/>
      <c r="AG236" s="17"/>
      <c r="AH236" s="17"/>
      <c r="AI236" s="17"/>
      <c r="AJ236" s="17"/>
      <c r="AK236" s="17"/>
      <c r="AL236" s="17"/>
      <c r="AM236" s="17"/>
      <c r="AN236" s="17"/>
      <c r="AO236" s="17"/>
      <c r="AP236" s="17"/>
      <c r="AQ236" s="17"/>
      <c r="AR236" s="17"/>
      <c r="AS236" s="17"/>
    </row>
    <row r="237" spans="1:45">
      <c r="A237" s="28">
        <f t="shared" si="9"/>
        <v>232</v>
      </c>
      <c r="B237" s="7"/>
      <c r="C237" s="35" t="str">
        <f>IFERROR(VLOOKUP(B237,'MASTER RECORD'!$B$5:$W$1000,3,0),"")</f>
        <v/>
      </c>
      <c r="D237" s="35" t="str">
        <f>IFERROR(VLOOKUP(B237,'MASTER RECORD'!$B$5:$W$1000,2,0),"")</f>
        <v/>
      </c>
      <c r="E237" s="36" t="str">
        <f>IFERROR(VLOOKUP(B237,'MASTER RECORD'!$B$5:$W$1000,9,0),"")</f>
        <v/>
      </c>
      <c r="F237" s="35" t="str">
        <f>IFERROR(VLOOKUP(B237,'MASTER RECORD'!$B$5:$W$1000,10,0) &amp;"."&amp;(VLOOKUP(B237,'MASTER RECORD'!$B$5:$W$1000,11,0)),"")</f>
        <v/>
      </c>
      <c r="G237" s="36" t="str">
        <f t="shared" si="10"/>
        <v/>
      </c>
      <c r="H237" s="35" t="str">
        <f t="shared" si="11"/>
        <v/>
      </c>
      <c r="I237" s="35" t="str">
        <f>IFERROR(VLOOKUP(B237,'MASTER RECORD'!$B$5:$W$1000,14,0),"")</f>
        <v/>
      </c>
      <c r="J237" s="17"/>
      <c r="K237" s="17"/>
      <c r="L237" s="17"/>
      <c r="M237" s="17"/>
      <c r="N237" s="17"/>
      <c r="O237" s="17"/>
      <c r="P237" s="17"/>
      <c r="Q237" s="17"/>
      <c r="R237" s="17"/>
      <c r="S237" s="17"/>
      <c r="T237" s="17"/>
      <c r="U237" s="17"/>
      <c r="V237" s="17"/>
      <c r="W237" s="17"/>
      <c r="X237" s="17"/>
      <c r="Y237" s="17"/>
      <c r="Z237" s="17"/>
      <c r="AA237" s="17"/>
      <c r="AB237" s="17"/>
      <c r="AC237" s="17"/>
      <c r="AD237" s="17"/>
      <c r="AE237" s="17"/>
      <c r="AF237" s="17"/>
      <c r="AG237" s="17"/>
      <c r="AH237" s="17"/>
      <c r="AI237" s="17"/>
      <c r="AJ237" s="17"/>
      <c r="AK237" s="17"/>
      <c r="AL237" s="17"/>
      <c r="AM237" s="17"/>
      <c r="AN237" s="17"/>
      <c r="AO237" s="17"/>
      <c r="AP237" s="17"/>
      <c r="AQ237" s="17"/>
      <c r="AR237" s="17"/>
      <c r="AS237" s="17"/>
    </row>
    <row r="238" spans="1:45">
      <c r="A238" s="28">
        <f t="shared" si="9"/>
        <v>233</v>
      </c>
      <c r="B238" s="7"/>
      <c r="C238" s="35" t="str">
        <f>IFERROR(VLOOKUP(B238,'MASTER RECORD'!$B$5:$W$1000,3,0),"")</f>
        <v/>
      </c>
      <c r="D238" s="35" t="str">
        <f>IFERROR(VLOOKUP(B238,'MASTER RECORD'!$B$5:$W$1000,2,0),"")</f>
        <v/>
      </c>
      <c r="E238" s="36" t="str">
        <f>IFERROR(VLOOKUP(B238,'MASTER RECORD'!$B$5:$W$1000,9,0),"")</f>
        <v/>
      </c>
      <c r="F238" s="35" t="str">
        <f>IFERROR(VLOOKUP(B238,'MASTER RECORD'!$B$5:$W$1000,10,0) &amp;"."&amp;(VLOOKUP(B238,'MASTER RECORD'!$B$5:$W$1000,11,0)),"")</f>
        <v/>
      </c>
      <c r="G238" s="36" t="str">
        <f t="shared" si="10"/>
        <v/>
      </c>
      <c r="H238" s="35" t="str">
        <f t="shared" si="11"/>
        <v/>
      </c>
      <c r="I238" s="35" t="str">
        <f>IFERROR(VLOOKUP(B238,'MASTER RECORD'!$B$5:$W$1000,14,0),"")</f>
        <v/>
      </c>
      <c r="J238" s="17"/>
      <c r="K238" s="17"/>
      <c r="L238" s="17"/>
      <c r="M238" s="17"/>
      <c r="N238" s="17"/>
      <c r="O238" s="17"/>
      <c r="P238" s="17"/>
      <c r="Q238" s="17"/>
      <c r="R238" s="17"/>
      <c r="S238" s="17"/>
      <c r="T238" s="17"/>
      <c r="U238" s="17"/>
      <c r="V238" s="17"/>
      <c r="W238" s="17"/>
      <c r="X238" s="17"/>
      <c r="Y238" s="17"/>
      <c r="Z238" s="17"/>
      <c r="AA238" s="17"/>
      <c r="AB238" s="17"/>
      <c r="AC238" s="17"/>
      <c r="AD238" s="17"/>
      <c r="AE238" s="17"/>
      <c r="AF238" s="17"/>
      <c r="AG238" s="17"/>
      <c r="AH238" s="17"/>
      <c r="AI238" s="17"/>
      <c r="AJ238" s="17"/>
      <c r="AK238" s="17"/>
      <c r="AL238" s="17"/>
      <c r="AM238" s="17"/>
      <c r="AN238" s="17"/>
      <c r="AO238" s="17"/>
      <c r="AP238" s="17"/>
      <c r="AQ238" s="17"/>
      <c r="AR238" s="17"/>
      <c r="AS238" s="17"/>
    </row>
    <row r="239" spans="1:45">
      <c r="A239" s="28">
        <f t="shared" si="9"/>
        <v>234</v>
      </c>
      <c r="B239" s="7"/>
      <c r="C239" s="35" t="str">
        <f>IFERROR(VLOOKUP(B239,'MASTER RECORD'!$B$5:$W$1000,3,0),"")</f>
        <v/>
      </c>
      <c r="D239" s="35" t="str">
        <f>IFERROR(VLOOKUP(B239,'MASTER RECORD'!$B$5:$W$1000,2,0),"")</f>
        <v/>
      </c>
      <c r="E239" s="36" t="str">
        <f>IFERROR(VLOOKUP(B239,'MASTER RECORD'!$B$5:$W$1000,9,0),"")</f>
        <v/>
      </c>
      <c r="F239" s="35" t="str">
        <f>IFERROR(VLOOKUP(B239,'MASTER RECORD'!$B$5:$W$1000,10,0) &amp;"."&amp;(VLOOKUP(B239,'MASTER RECORD'!$B$5:$W$1000,11,0)),"")</f>
        <v/>
      </c>
      <c r="G239" s="36" t="str">
        <f t="shared" si="10"/>
        <v/>
      </c>
      <c r="H239" s="35" t="str">
        <f t="shared" si="11"/>
        <v/>
      </c>
      <c r="I239" s="35" t="str">
        <f>IFERROR(VLOOKUP(B239,'MASTER RECORD'!$B$5:$W$1000,14,0),"")</f>
        <v/>
      </c>
      <c r="J239" s="17"/>
      <c r="K239" s="17"/>
      <c r="L239" s="17"/>
      <c r="M239" s="17"/>
      <c r="N239" s="17"/>
      <c r="O239" s="17"/>
      <c r="P239" s="17"/>
      <c r="Q239" s="17"/>
      <c r="R239" s="17"/>
      <c r="S239" s="17"/>
      <c r="T239" s="17"/>
      <c r="U239" s="17"/>
      <c r="V239" s="17"/>
      <c r="W239" s="17"/>
      <c r="X239" s="17"/>
      <c r="Y239" s="17"/>
      <c r="Z239" s="17"/>
      <c r="AA239" s="17"/>
      <c r="AB239" s="17"/>
      <c r="AC239" s="17"/>
      <c r="AD239" s="17"/>
      <c r="AE239" s="17"/>
      <c r="AF239" s="17"/>
      <c r="AG239" s="17"/>
      <c r="AH239" s="17"/>
      <c r="AI239" s="17"/>
      <c r="AJ239" s="17"/>
      <c r="AK239" s="17"/>
      <c r="AL239" s="17"/>
      <c r="AM239" s="17"/>
      <c r="AN239" s="17"/>
      <c r="AO239" s="17"/>
      <c r="AP239" s="17"/>
      <c r="AQ239" s="17"/>
      <c r="AR239" s="17"/>
      <c r="AS239" s="17"/>
    </row>
    <row r="240" spans="1:45">
      <c r="A240" s="28">
        <f t="shared" si="9"/>
        <v>235</v>
      </c>
      <c r="B240" s="7"/>
      <c r="C240" s="35" t="str">
        <f>IFERROR(VLOOKUP(B240,'MASTER RECORD'!$B$5:$W$1000,3,0),"")</f>
        <v/>
      </c>
      <c r="D240" s="35" t="str">
        <f>IFERROR(VLOOKUP(B240,'MASTER RECORD'!$B$5:$W$1000,2,0),"")</f>
        <v/>
      </c>
      <c r="E240" s="36" t="str">
        <f>IFERROR(VLOOKUP(B240,'MASTER RECORD'!$B$5:$W$1000,9,0),"")</f>
        <v/>
      </c>
      <c r="F240" s="35" t="str">
        <f>IFERROR(VLOOKUP(B240,'MASTER RECORD'!$B$5:$W$1000,10,0) &amp;"."&amp;(VLOOKUP(B240,'MASTER RECORD'!$B$5:$W$1000,11,0)),"")</f>
        <v/>
      </c>
      <c r="G240" s="36" t="str">
        <f t="shared" si="10"/>
        <v/>
      </c>
      <c r="H240" s="35" t="str">
        <f t="shared" si="11"/>
        <v/>
      </c>
      <c r="I240" s="35" t="str">
        <f>IFERROR(VLOOKUP(B240,'MASTER RECORD'!$B$5:$W$1000,14,0),"")</f>
        <v/>
      </c>
      <c r="J240" s="17"/>
      <c r="K240" s="17"/>
      <c r="L240" s="17"/>
      <c r="M240" s="17"/>
      <c r="N240" s="17"/>
      <c r="O240" s="17"/>
      <c r="P240" s="17"/>
      <c r="Q240" s="17"/>
      <c r="R240" s="17"/>
      <c r="S240" s="17"/>
      <c r="T240" s="17"/>
      <c r="U240" s="17"/>
      <c r="V240" s="17"/>
      <c r="W240" s="17"/>
      <c r="X240" s="17"/>
      <c r="Y240" s="17"/>
      <c r="Z240" s="17"/>
      <c r="AA240" s="17"/>
      <c r="AB240" s="17"/>
      <c r="AC240" s="17"/>
      <c r="AD240" s="17"/>
      <c r="AE240" s="17"/>
      <c r="AF240" s="17"/>
      <c r="AG240" s="17"/>
      <c r="AH240" s="17"/>
      <c r="AI240" s="17"/>
      <c r="AJ240" s="17"/>
      <c r="AK240" s="17"/>
      <c r="AL240" s="17"/>
      <c r="AM240" s="17"/>
      <c r="AN240" s="17"/>
      <c r="AO240" s="17"/>
      <c r="AP240" s="17"/>
      <c r="AQ240" s="17"/>
      <c r="AR240" s="17"/>
      <c r="AS240" s="17"/>
    </row>
    <row r="241" spans="1:45">
      <c r="A241" s="28">
        <f t="shared" si="9"/>
        <v>236</v>
      </c>
      <c r="B241" s="7"/>
      <c r="C241" s="35" t="str">
        <f>IFERROR(VLOOKUP(B241,'MASTER RECORD'!$B$5:$W$1000,3,0),"")</f>
        <v/>
      </c>
      <c r="D241" s="35" t="str">
        <f>IFERROR(VLOOKUP(B241,'MASTER RECORD'!$B$5:$W$1000,2,0),"")</f>
        <v/>
      </c>
      <c r="E241" s="36" t="str">
        <f>IFERROR(VLOOKUP(B241,'MASTER RECORD'!$B$5:$W$1000,9,0),"")</f>
        <v/>
      </c>
      <c r="F241" s="35" t="str">
        <f>IFERROR(VLOOKUP(B241,'MASTER RECORD'!$B$5:$W$1000,10,0) &amp;"."&amp;(VLOOKUP(B241,'MASTER RECORD'!$B$5:$W$1000,11,0)),"")</f>
        <v/>
      </c>
      <c r="G241" s="36" t="str">
        <f t="shared" si="10"/>
        <v/>
      </c>
      <c r="H241" s="35" t="str">
        <f t="shared" si="11"/>
        <v/>
      </c>
      <c r="I241" s="35" t="str">
        <f>IFERROR(VLOOKUP(B241,'MASTER RECORD'!$B$5:$W$1000,14,0),"")</f>
        <v/>
      </c>
      <c r="J241" s="17"/>
      <c r="K241" s="17"/>
      <c r="L241" s="17"/>
      <c r="M241" s="17"/>
      <c r="N241" s="17"/>
      <c r="O241" s="17"/>
      <c r="P241" s="17"/>
      <c r="Q241" s="17"/>
      <c r="R241" s="17"/>
      <c r="S241" s="17"/>
      <c r="T241" s="17"/>
      <c r="U241" s="17"/>
      <c r="V241" s="17"/>
      <c r="W241" s="17"/>
      <c r="X241" s="17"/>
      <c r="Y241" s="17"/>
      <c r="Z241" s="17"/>
      <c r="AA241" s="17"/>
      <c r="AB241" s="17"/>
      <c r="AC241" s="17"/>
      <c r="AD241" s="17"/>
      <c r="AE241" s="17"/>
      <c r="AF241" s="17"/>
      <c r="AG241" s="17"/>
      <c r="AH241" s="17"/>
      <c r="AI241" s="17"/>
      <c r="AJ241" s="17"/>
      <c r="AK241" s="17"/>
      <c r="AL241" s="17"/>
      <c r="AM241" s="17"/>
      <c r="AN241" s="17"/>
      <c r="AO241" s="17"/>
      <c r="AP241" s="17"/>
      <c r="AQ241" s="17"/>
      <c r="AR241" s="17"/>
      <c r="AS241" s="17"/>
    </row>
    <row r="242" spans="1:45">
      <c r="A242" s="28">
        <f t="shared" si="9"/>
        <v>237</v>
      </c>
      <c r="B242" s="7"/>
      <c r="C242" s="35" t="str">
        <f>IFERROR(VLOOKUP(B242,'MASTER RECORD'!$B$5:$W$1000,3,0),"")</f>
        <v/>
      </c>
      <c r="D242" s="35" t="str">
        <f>IFERROR(VLOOKUP(B242,'MASTER RECORD'!$B$5:$W$1000,2,0),"")</f>
        <v/>
      </c>
      <c r="E242" s="36" t="str">
        <f>IFERROR(VLOOKUP(B242,'MASTER RECORD'!$B$5:$W$1000,9,0),"")</f>
        <v/>
      </c>
      <c r="F242" s="35" t="str">
        <f>IFERROR(VLOOKUP(B242,'MASTER RECORD'!$B$5:$W$1000,10,0) &amp;"."&amp;(VLOOKUP(B242,'MASTER RECORD'!$B$5:$W$1000,11,0)),"")</f>
        <v/>
      </c>
      <c r="G242" s="36" t="str">
        <f t="shared" si="10"/>
        <v/>
      </c>
      <c r="H242" s="35" t="str">
        <f t="shared" si="11"/>
        <v/>
      </c>
      <c r="I242" s="35" t="str">
        <f>IFERROR(VLOOKUP(B242,'MASTER RECORD'!$B$5:$W$1000,14,0),"")</f>
        <v/>
      </c>
      <c r="J242" s="17"/>
      <c r="K242" s="17"/>
      <c r="L242" s="17"/>
      <c r="M242" s="17"/>
      <c r="N242" s="17"/>
      <c r="O242" s="17"/>
      <c r="P242" s="17"/>
      <c r="Q242" s="17"/>
      <c r="R242" s="17"/>
      <c r="S242" s="17"/>
      <c r="T242" s="17"/>
      <c r="U242" s="17"/>
      <c r="V242" s="17"/>
      <c r="W242" s="17"/>
      <c r="X242" s="17"/>
      <c r="Y242" s="17"/>
      <c r="Z242" s="17"/>
      <c r="AA242" s="17"/>
      <c r="AB242" s="17"/>
      <c r="AC242" s="17"/>
      <c r="AD242" s="17"/>
      <c r="AE242" s="17"/>
      <c r="AF242" s="17"/>
      <c r="AG242" s="17"/>
      <c r="AH242" s="17"/>
      <c r="AI242" s="17"/>
      <c r="AJ242" s="17"/>
      <c r="AK242" s="17"/>
      <c r="AL242" s="17"/>
      <c r="AM242" s="17"/>
      <c r="AN242" s="17"/>
      <c r="AO242" s="17"/>
      <c r="AP242" s="17"/>
      <c r="AQ242" s="17"/>
      <c r="AR242" s="17"/>
      <c r="AS242" s="17"/>
    </row>
    <row r="243" spans="1:45">
      <c r="A243" s="28">
        <f t="shared" si="9"/>
        <v>238</v>
      </c>
      <c r="B243" s="7"/>
      <c r="C243" s="35" t="str">
        <f>IFERROR(VLOOKUP(B243,'MASTER RECORD'!$B$5:$W$1000,3,0),"")</f>
        <v/>
      </c>
      <c r="D243" s="35" t="str">
        <f>IFERROR(VLOOKUP(B243,'MASTER RECORD'!$B$5:$W$1000,2,0),"")</f>
        <v/>
      </c>
      <c r="E243" s="36" t="str">
        <f>IFERROR(VLOOKUP(B243,'MASTER RECORD'!$B$5:$W$1000,9,0),"")</f>
        <v/>
      </c>
      <c r="F243" s="35" t="str">
        <f>IFERROR(VLOOKUP(B243,'MASTER RECORD'!$B$5:$W$1000,10,0) &amp;"."&amp;(VLOOKUP(B243,'MASTER RECORD'!$B$5:$W$1000,11,0)),"")</f>
        <v/>
      </c>
      <c r="G243" s="36" t="str">
        <f t="shared" si="10"/>
        <v/>
      </c>
      <c r="H243" s="35" t="str">
        <f t="shared" si="11"/>
        <v/>
      </c>
      <c r="I243" s="35" t="str">
        <f>IFERROR(VLOOKUP(B243,'MASTER RECORD'!$B$5:$W$1000,14,0),"")</f>
        <v/>
      </c>
      <c r="J243" s="17"/>
      <c r="K243" s="17"/>
      <c r="L243" s="17"/>
      <c r="M243" s="17"/>
      <c r="N243" s="17"/>
      <c r="O243" s="17"/>
      <c r="P243" s="17"/>
      <c r="Q243" s="17"/>
      <c r="R243" s="17"/>
      <c r="S243" s="17"/>
      <c r="T243" s="17"/>
      <c r="U243" s="17"/>
      <c r="V243" s="17"/>
      <c r="W243" s="17"/>
      <c r="X243" s="17"/>
      <c r="Y243" s="17"/>
      <c r="Z243" s="17"/>
      <c r="AA243" s="17"/>
      <c r="AB243" s="17"/>
      <c r="AC243" s="17"/>
      <c r="AD243" s="17"/>
      <c r="AE243" s="17"/>
      <c r="AF243" s="17"/>
      <c r="AG243" s="17"/>
      <c r="AH243" s="17"/>
      <c r="AI243" s="17"/>
      <c r="AJ243" s="17"/>
      <c r="AK243" s="17"/>
      <c r="AL243" s="17"/>
      <c r="AM243" s="17"/>
      <c r="AN243" s="17"/>
      <c r="AO243" s="17"/>
      <c r="AP243" s="17"/>
      <c r="AQ243" s="17"/>
      <c r="AR243" s="17"/>
      <c r="AS243" s="17"/>
    </row>
    <row r="244" spans="1:45">
      <c r="A244" s="28">
        <f t="shared" si="9"/>
        <v>239</v>
      </c>
      <c r="B244" s="7"/>
      <c r="C244" s="35" t="str">
        <f>IFERROR(VLOOKUP(B244,'MASTER RECORD'!$B$5:$W$1000,3,0),"")</f>
        <v/>
      </c>
      <c r="D244" s="35" t="str">
        <f>IFERROR(VLOOKUP(B244,'MASTER RECORD'!$B$5:$W$1000,2,0),"")</f>
        <v/>
      </c>
      <c r="E244" s="36" t="str">
        <f>IFERROR(VLOOKUP(B244,'MASTER RECORD'!$B$5:$W$1000,9,0),"")</f>
        <v/>
      </c>
      <c r="F244" s="35" t="str">
        <f>IFERROR(VLOOKUP(B244,'MASTER RECORD'!$B$5:$W$1000,10,0) &amp;"."&amp;(VLOOKUP(B244,'MASTER RECORD'!$B$5:$W$1000,11,0)),"")</f>
        <v/>
      </c>
      <c r="G244" s="36" t="str">
        <f t="shared" si="10"/>
        <v/>
      </c>
      <c r="H244" s="35" t="str">
        <f t="shared" si="11"/>
        <v/>
      </c>
      <c r="I244" s="35" t="str">
        <f>IFERROR(VLOOKUP(B244,'MASTER RECORD'!$B$5:$W$1000,14,0),"")</f>
        <v/>
      </c>
      <c r="J244" s="17"/>
      <c r="K244" s="17"/>
      <c r="L244" s="17"/>
      <c r="M244" s="17"/>
      <c r="N244" s="17"/>
      <c r="O244" s="17"/>
      <c r="P244" s="17"/>
      <c r="Q244" s="17"/>
      <c r="R244" s="17"/>
      <c r="S244" s="17"/>
      <c r="T244" s="17"/>
      <c r="U244" s="17"/>
      <c r="V244" s="17"/>
      <c r="W244" s="17"/>
      <c r="X244" s="17"/>
      <c r="Y244" s="17"/>
      <c r="Z244" s="17"/>
      <c r="AA244" s="17"/>
      <c r="AB244" s="17"/>
      <c r="AC244" s="17"/>
      <c r="AD244" s="17"/>
      <c r="AE244" s="17"/>
      <c r="AF244" s="17"/>
      <c r="AG244" s="17"/>
      <c r="AH244" s="17"/>
      <c r="AI244" s="17"/>
      <c r="AJ244" s="17"/>
      <c r="AK244" s="17"/>
      <c r="AL244" s="17"/>
      <c r="AM244" s="17"/>
      <c r="AN244" s="17"/>
      <c r="AO244" s="17"/>
      <c r="AP244" s="17"/>
      <c r="AQ244" s="17"/>
      <c r="AR244" s="17"/>
      <c r="AS244" s="17"/>
    </row>
    <row r="245" spans="1:45">
      <c r="A245" s="28">
        <f t="shared" si="9"/>
        <v>240</v>
      </c>
      <c r="B245" s="7"/>
      <c r="C245" s="35" t="str">
        <f>IFERROR(VLOOKUP(B245,'MASTER RECORD'!$B$5:$W$1000,3,0),"")</f>
        <v/>
      </c>
      <c r="D245" s="35" t="str">
        <f>IFERROR(VLOOKUP(B245,'MASTER RECORD'!$B$5:$W$1000,2,0),"")</f>
        <v/>
      </c>
      <c r="E245" s="36" t="str">
        <f>IFERROR(VLOOKUP(B245,'MASTER RECORD'!$B$5:$W$1000,9,0),"")</f>
        <v/>
      </c>
      <c r="F245" s="35" t="str">
        <f>IFERROR(VLOOKUP(B245,'MASTER RECORD'!$B$5:$W$1000,10,0) &amp;"."&amp;(VLOOKUP(B245,'MASTER RECORD'!$B$5:$W$1000,11,0)),"")</f>
        <v/>
      </c>
      <c r="G245" s="36" t="str">
        <f t="shared" si="10"/>
        <v/>
      </c>
      <c r="H245" s="35" t="str">
        <f t="shared" si="11"/>
        <v/>
      </c>
      <c r="I245" s="35" t="str">
        <f>IFERROR(VLOOKUP(B245,'MASTER RECORD'!$B$5:$W$1000,14,0),"")</f>
        <v/>
      </c>
      <c r="J245" s="17"/>
      <c r="K245" s="17"/>
      <c r="L245" s="17"/>
      <c r="M245" s="17"/>
      <c r="N245" s="17"/>
      <c r="O245" s="17"/>
      <c r="P245" s="17"/>
      <c r="Q245" s="17"/>
      <c r="R245" s="17"/>
      <c r="S245" s="17"/>
      <c r="T245" s="17"/>
      <c r="U245" s="17"/>
      <c r="V245" s="17"/>
      <c r="W245" s="17"/>
      <c r="X245" s="17"/>
      <c r="Y245" s="17"/>
      <c r="Z245" s="17"/>
      <c r="AA245" s="17"/>
      <c r="AB245" s="17"/>
      <c r="AC245" s="17"/>
      <c r="AD245" s="17"/>
      <c r="AE245" s="17"/>
      <c r="AF245" s="17"/>
      <c r="AG245" s="17"/>
      <c r="AH245" s="17"/>
      <c r="AI245" s="17"/>
      <c r="AJ245" s="17"/>
      <c r="AK245" s="17"/>
      <c r="AL245" s="17"/>
      <c r="AM245" s="17"/>
      <c r="AN245" s="17"/>
      <c r="AO245" s="17"/>
      <c r="AP245" s="17"/>
      <c r="AQ245" s="17"/>
      <c r="AR245" s="17"/>
      <c r="AS245" s="17"/>
    </row>
    <row r="246" spans="1:45">
      <c r="A246" s="28">
        <f t="shared" si="9"/>
        <v>241</v>
      </c>
      <c r="B246" s="7"/>
      <c r="C246" s="35" t="str">
        <f>IFERROR(VLOOKUP(B246,'MASTER RECORD'!$B$5:$W$1000,3,0),"")</f>
        <v/>
      </c>
      <c r="D246" s="35" t="str">
        <f>IFERROR(VLOOKUP(B246,'MASTER RECORD'!$B$5:$W$1000,2,0),"")</f>
        <v/>
      </c>
      <c r="E246" s="36" t="str">
        <f>IFERROR(VLOOKUP(B246,'MASTER RECORD'!$B$5:$W$1000,9,0),"")</f>
        <v/>
      </c>
      <c r="F246" s="35" t="str">
        <f>IFERROR(VLOOKUP(B246,'MASTER RECORD'!$B$5:$W$1000,10,0) &amp;"."&amp;(VLOOKUP(B246,'MASTER RECORD'!$B$5:$W$1000,11,0)),"")</f>
        <v/>
      </c>
      <c r="G246" s="36" t="str">
        <f t="shared" si="10"/>
        <v/>
      </c>
      <c r="H246" s="35" t="str">
        <f t="shared" si="11"/>
        <v/>
      </c>
      <c r="I246" s="35" t="str">
        <f>IFERROR(VLOOKUP(B246,'MASTER RECORD'!$B$5:$W$1000,14,0),"")</f>
        <v/>
      </c>
      <c r="J246" s="17"/>
      <c r="K246" s="17"/>
      <c r="L246" s="17"/>
      <c r="M246" s="17"/>
      <c r="N246" s="17"/>
      <c r="O246" s="17"/>
      <c r="P246" s="17"/>
      <c r="Q246" s="17"/>
      <c r="R246" s="17"/>
      <c r="S246" s="17"/>
      <c r="T246" s="17"/>
      <c r="U246" s="17"/>
      <c r="V246" s="17"/>
      <c r="W246" s="17"/>
      <c r="X246" s="17"/>
      <c r="Y246" s="17"/>
      <c r="Z246" s="17"/>
      <c r="AA246" s="17"/>
      <c r="AB246" s="17"/>
      <c r="AC246" s="17"/>
      <c r="AD246" s="17"/>
      <c r="AE246" s="17"/>
      <c r="AF246" s="17"/>
      <c r="AG246" s="17"/>
      <c r="AH246" s="17"/>
      <c r="AI246" s="17"/>
      <c r="AJ246" s="17"/>
      <c r="AK246" s="17"/>
      <c r="AL246" s="17"/>
      <c r="AM246" s="17"/>
      <c r="AN246" s="17"/>
      <c r="AO246" s="17"/>
      <c r="AP246" s="17"/>
      <c r="AQ246" s="17"/>
      <c r="AR246" s="17"/>
      <c r="AS246" s="17"/>
    </row>
    <row r="247" spans="1:45">
      <c r="A247" s="28">
        <f t="shared" si="9"/>
        <v>242</v>
      </c>
      <c r="B247" s="7"/>
      <c r="C247" s="35" t="str">
        <f>IFERROR(VLOOKUP(B247,'MASTER RECORD'!$B$5:$W$1000,3,0),"")</f>
        <v/>
      </c>
      <c r="D247" s="35" t="str">
        <f>IFERROR(VLOOKUP(B247,'MASTER RECORD'!$B$5:$W$1000,2,0),"")</f>
        <v/>
      </c>
      <c r="E247" s="36" t="str">
        <f>IFERROR(VLOOKUP(B247,'MASTER RECORD'!$B$5:$W$1000,9,0),"")</f>
        <v/>
      </c>
      <c r="F247" s="35" t="str">
        <f>IFERROR(VLOOKUP(B247,'MASTER RECORD'!$B$5:$W$1000,10,0) &amp;"."&amp;(VLOOKUP(B247,'MASTER RECORD'!$B$5:$W$1000,11,0)),"")</f>
        <v/>
      </c>
      <c r="G247" s="36" t="str">
        <f t="shared" si="10"/>
        <v/>
      </c>
      <c r="H247" s="35" t="str">
        <f t="shared" si="11"/>
        <v/>
      </c>
      <c r="I247" s="35" t="str">
        <f>IFERROR(VLOOKUP(B247,'MASTER RECORD'!$B$5:$W$1000,14,0),"")</f>
        <v/>
      </c>
      <c r="J247" s="17"/>
      <c r="K247" s="17"/>
      <c r="L247" s="17"/>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17"/>
      <c r="AO247" s="17"/>
      <c r="AP247" s="17"/>
      <c r="AQ247" s="17"/>
      <c r="AR247" s="17"/>
      <c r="AS247" s="17"/>
    </row>
    <row r="248" spans="1:45">
      <c r="A248" s="28">
        <f t="shared" si="9"/>
        <v>243</v>
      </c>
      <c r="B248" s="7"/>
      <c r="C248" s="35" t="str">
        <f>IFERROR(VLOOKUP(B248,'MASTER RECORD'!$B$5:$W$1000,3,0),"")</f>
        <v/>
      </c>
      <c r="D248" s="35" t="str">
        <f>IFERROR(VLOOKUP(B248,'MASTER RECORD'!$B$5:$W$1000,2,0),"")</f>
        <v/>
      </c>
      <c r="E248" s="36" t="str">
        <f>IFERROR(VLOOKUP(B248,'MASTER RECORD'!$B$5:$W$1000,9,0),"")</f>
        <v/>
      </c>
      <c r="F248" s="35" t="str">
        <f>IFERROR(VLOOKUP(B248,'MASTER RECORD'!$B$5:$W$1000,10,0) &amp;"."&amp;(VLOOKUP(B248,'MASTER RECORD'!$B$5:$W$1000,11,0)),"")</f>
        <v/>
      </c>
      <c r="G248" s="36" t="str">
        <f t="shared" si="10"/>
        <v/>
      </c>
      <c r="H248" s="35" t="str">
        <f t="shared" si="11"/>
        <v/>
      </c>
      <c r="I248" s="35" t="str">
        <f>IFERROR(VLOOKUP(B248,'MASTER RECORD'!$B$5:$W$1000,14,0),"")</f>
        <v/>
      </c>
      <c r="J248" s="17"/>
      <c r="K248" s="17"/>
      <c r="L248" s="17"/>
      <c r="M248" s="17"/>
      <c r="N248" s="17"/>
      <c r="O248" s="17"/>
      <c r="P248" s="17"/>
      <c r="Q248" s="17"/>
      <c r="R248" s="17"/>
      <c r="S248" s="17"/>
      <c r="T248" s="17"/>
      <c r="U248" s="17"/>
      <c r="V248" s="17"/>
      <c r="W248" s="17"/>
      <c r="X248" s="17"/>
      <c r="Y248" s="17"/>
      <c r="Z248" s="17"/>
      <c r="AA248" s="17"/>
      <c r="AB248" s="17"/>
      <c r="AC248" s="17"/>
      <c r="AD248" s="17"/>
      <c r="AE248" s="17"/>
      <c r="AF248" s="17"/>
      <c r="AG248" s="17"/>
      <c r="AH248" s="17"/>
      <c r="AI248" s="17"/>
      <c r="AJ248" s="17"/>
      <c r="AK248" s="17"/>
      <c r="AL248" s="17"/>
      <c r="AM248" s="17"/>
      <c r="AN248" s="17"/>
      <c r="AO248" s="17"/>
      <c r="AP248" s="17"/>
      <c r="AQ248" s="17"/>
      <c r="AR248" s="17"/>
      <c r="AS248" s="17"/>
    </row>
    <row r="249" spans="1:45">
      <c r="A249" s="28">
        <f t="shared" si="9"/>
        <v>244</v>
      </c>
      <c r="B249" s="7"/>
      <c r="C249" s="35" t="str">
        <f>IFERROR(VLOOKUP(B249,'MASTER RECORD'!$B$5:$W$1000,3,0),"")</f>
        <v/>
      </c>
      <c r="D249" s="35" t="str">
        <f>IFERROR(VLOOKUP(B249,'MASTER RECORD'!$B$5:$W$1000,2,0),"")</f>
        <v/>
      </c>
      <c r="E249" s="36" t="str">
        <f>IFERROR(VLOOKUP(B249,'MASTER RECORD'!$B$5:$W$1000,9,0),"")</f>
        <v/>
      </c>
      <c r="F249" s="35" t="str">
        <f>IFERROR(VLOOKUP(B249,'MASTER RECORD'!$B$5:$W$1000,10,0) &amp;"."&amp;(VLOOKUP(B249,'MASTER RECORD'!$B$5:$W$1000,11,0)),"")</f>
        <v/>
      </c>
      <c r="G249" s="36" t="str">
        <f t="shared" si="10"/>
        <v/>
      </c>
      <c r="H249" s="35" t="str">
        <f t="shared" si="11"/>
        <v/>
      </c>
      <c r="I249" s="35" t="str">
        <f>IFERROR(VLOOKUP(B249,'MASTER RECORD'!$B$5:$W$1000,14,0),"")</f>
        <v/>
      </c>
      <c r="J249" s="17"/>
      <c r="K249" s="17"/>
      <c r="L249" s="17"/>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17"/>
      <c r="AO249" s="17"/>
      <c r="AP249" s="17"/>
      <c r="AQ249" s="17"/>
      <c r="AR249" s="17"/>
      <c r="AS249" s="17"/>
    </row>
    <row r="250" spans="1:45">
      <c r="A250" s="28">
        <f t="shared" si="9"/>
        <v>245</v>
      </c>
      <c r="B250" s="7"/>
      <c r="C250" s="35" t="str">
        <f>IFERROR(VLOOKUP(B250,'MASTER RECORD'!$B$5:$W$1000,3,0),"")</f>
        <v/>
      </c>
      <c r="D250" s="35" t="str">
        <f>IFERROR(VLOOKUP(B250,'MASTER RECORD'!$B$5:$W$1000,2,0),"")</f>
        <v/>
      </c>
      <c r="E250" s="36" t="str">
        <f>IFERROR(VLOOKUP(B250,'MASTER RECORD'!$B$5:$W$1000,9,0),"")</f>
        <v/>
      </c>
      <c r="F250" s="35" t="str">
        <f>IFERROR(VLOOKUP(B250,'MASTER RECORD'!$B$5:$W$1000,10,0) &amp;"."&amp;(VLOOKUP(B250,'MASTER RECORD'!$B$5:$W$1000,11,0)),"")</f>
        <v/>
      </c>
      <c r="G250" s="36" t="str">
        <f t="shared" si="10"/>
        <v/>
      </c>
      <c r="H250" s="35" t="str">
        <f t="shared" si="11"/>
        <v/>
      </c>
      <c r="I250" s="35" t="str">
        <f>IFERROR(VLOOKUP(B250,'MASTER RECORD'!$B$5:$W$1000,14,0),"")</f>
        <v/>
      </c>
      <c r="J250" s="17"/>
      <c r="K250" s="17"/>
      <c r="L250" s="17"/>
      <c r="M250" s="17"/>
      <c r="N250" s="17"/>
      <c r="O250" s="17"/>
      <c r="P250" s="17"/>
      <c r="Q250" s="17"/>
      <c r="R250" s="17"/>
      <c r="S250" s="17"/>
      <c r="T250" s="17"/>
      <c r="U250" s="17"/>
      <c r="V250" s="17"/>
      <c r="W250" s="17"/>
      <c r="X250" s="17"/>
      <c r="Y250" s="17"/>
      <c r="Z250" s="17"/>
      <c r="AA250" s="17"/>
      <c r="AB250" s="17"/>
      <c r="AC250" s="17"/>
      <c r="AD250" s="17"/>
      <c r="AE250" s="17"/>
      <c r="AF250" s="17"/>
      <c r="AG250" s="17"/>
      <c r="AH250" s="17"/>
      <c r="AI250" s="17"/>
      <c r="AJ250" s="17"/>
      <c r="AK250" s="17"/>
      <c r="AL250" s="17"/>
      <c r="AM250" s="17"/>
      <c r="AN250" s="17"/>
      <c r="AO250" s="17"/>
      <c r="AP250" s="17"/>
      <c r="AQ250" s="17"/>
      <c r="AR250" s="17"/>
      <c r="AS250" s="17"/>
    </row>
    <row r="251" spans="1:45">
      <c r="A251" s="28">
        <f t="shared" si="9"/>
        <v>246</v>
      </c>
      <c r="B251" s="7"/>
      <c r="C251" s="35" t="str">
        <f>IFERROR(VLOOKUP(B251,'MASTER RECORD'!$B$5:$W$1000,3,0),"")</f>
        <v/>
      </c>
      <c r="D251" s="35" t="str">
        <f>IFERROR(VLOOKUP(B251,'MASTER RECORD'!$B$5:$W$1000,2,0),"")</f>
        <v/>
      </c>
      <c r="E251" s="36" t="str">
        <f>IFERROR(VLOOKUP(B251,'MASTER RECORD'!$B$5:$W$1000,9,0),"")</f>
        <v/>
      </c>
      <c r="F251" s="35" t="str">
        <f>IFERROR(VLOOKUP(B251,'MASTER RECORD'!$B$5:$W$1000,10,0) &amp;"."&amp;(VLOOKUP(B251,'MASTER RECORD'!$B$5:$W$1000,11,0)),"")</f>
        <v/>
      </c>
      <c r="G251" s="36" t="str">
        <f t="shared" si="10"/>
        <v/>
      </c>
      <c r="H251" s="35" t="str">
        <f t="shared" si="11"/>
        <v/>
      </c>
      <c r="I251" s="35" t="str">
        <f>IFERROR(VLOOKUP(B251,'MASTER RECORD'!$B$5:$W$1000,14,0),"")</f>
        <v/>
      </c>
      <c r="J251" s="17"/>
      <c r="K251" s="17"/>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17"/>
      <c r="AO251" s="17"/>
      <c r="AP251" s="17"/>
      <c r="AQ251" s="17"/>
      <c r="AR251" s="17"/>
      <c r="AS251" s="17"/>
    </row>
    <row r="252" spans="1:45">
      <c r="A252" s="28">
        <f t="shared" si="9"/>
        <v>247</v>
      </c>
      <c r="B252" s="7"/>
      <c r="C252" s="35" t="str">
        <f>IFERROR(VLOOKUP(B252,'MASTER RECORD'!$B$5:$W$1000,3,0),"")</f>
        <v/>
      </c>
      <c r="D252" s="35" t="str">
        <f>IFERROR(VLOOKUP(B252,'MASTER RECORD'!$B$5:$W$1000,2,0),"")</f>
        <v/>
      </c>
      <c r="E252" s="36" t="str">
        <f>IFERROR(VLOOKUP(B252,'MASTER RECORD'!$B$5:$W$1000,9,0),"")</f>
        <v/>
      </c>
      <c r="F252" s="35" t="str">
        <f>IFERROR(VLOOKUP(B252,'MASTER RECORD'!$B$5:$W$1000,10,0) &amp;"."&amp;(VLOOKUP(B252,'MASTER RECORD'!$B$5:$W$1000,11,0)),"")</f>
        <v/>
      </c>
      <c r="G252" s="36" t="str">
        <f t="shared" si="10"/>
        <v/>
      </c>
      <c r="H252" s="35" t="str">
        <f t="shared" si="11"/>
        <v/>
      </c>
      <c r="I252" s="35" t="str">
        <f>IFERROR(VLOOKUP(B252,'MASTER RECORD'!$B$5:$W$1000,14,0),"")</f>
        <v/>
      </c>
      <c r="J252" s="17"/>
      <c r="K252" s="17"/>
      <c r="L252" s="17"/>
      <c r="M252" s="17"/>
      <c r="N252" s="17"/>
      <c r="O252" s="17"/>
      <c r="P252" s="17"/>
      <c r="Q252" s="17"/>
      <c r="R252" s="17"/>
      <c r="S252" s="17"/>
      <c r="T252" s="17"/>
      <c r="U252" s="17"/>
      <c r="V252" s="17"/>
      <c r="W252" s="17"/>
      <c r="X252" s="17"/>
      <c r="Y252" s="17"/>
      <c r="Z252" s="17"/>
      <c r="AA252" s="17"/>
      <c r="AB252" s="17"/>
      <c r="AC252" s="17"/>
      <c r="AD252" s="17"/>
      <c r="AE252" s="17"/>
      <c r="AF252" s="17"/>
      <c r="AG252" s="17"/>
      <c r="AH252" s="17"/>
      <c r="AI252" s="17"/>
      <c r="AJ252" s="17"/>
      <c r="AK252" s="17"/>
      <c r="AL252" s="17"/>
      <c r="AM252" s="17"/>
      <c r="AN252" s="17"/>
      <c r="AO252" s="17"/>
      <c r="AP252" s="17"/>
      <c r="AQ252" s="17"/>
      <c r="AR252" s="17"/>
      <c r="AS252" s="17"/>
    </row>
    <row r="253" spans="1:45">
      <c r="A253" s="28">
        <f t="shared" si="9"/>
        <v>248</v>
      </c>
      <c r="B253" s="7"/>
      <c r="C253" s="35" t="str">
        <f>IFERROR(VLOOKUP(B253,'MASTER RECORD'!$B$5:$W$1000,3,0),"")</f>
        <v/>
      </c>
      <c r="D253" s="35" t="str">
        <f>IFERROR(VLOOKUP(B253,'MASTER RECORD'!$B$5:$W$1000,2,0),"")</f>
        <v/>
      </c>
      <c r="E253" s="36" t="str">
        <f>IFERROR(VLOOKUP(B253,'MASTER RECORD'!$B$5:$W$1000,9,0),"")</f>
        <v/>
      </c>
      <c r="F253" s="35" t="str">
        <f>IFERROR(VLOOKUP(B253,'MASTER RECORD'!$B$5:$W$1000,10,0) &amp;"."&amp;(VLOOKUP(B253,'MASTER RECORD'!$B$5:$W$1000,11,0)),"")</f>
        <v/>
      </c>
      <c r="G253" s="36" t="str">
        <f t="shared" si="10"/>
        <v/>
      </c>
      <c r="H253" s="35" t="str">
        <f t="shared" si="11"/>
        <v/>
      </c>
      <c r="I253" s="35" t="str">
        <f>IFERROR(VLOOKUP(B253,'MASTER RECORD'!$B$5:$W$1000,14,0),"")</f>
        <v/>
      </c>
      <c r="J253" s="17"/>
      <c r="K253" s="17"/>
      <c r="L253" s="17"/>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17"/>
      <c r="AO253" s="17"/>
      <c r="AP253" s="17"/>
      <c r="AQ253" s="17"/>
      <c r="AR253" s="17"/>
      <c r="AS253" s="17"/>
    </row>
    <row r="254" spans="1:45">
      <c r="A254" s="28">
        <f t="shared" si="9"/>
        <v>249</v>
      </c>
      <c r="B254" s="7"/>
      <c r="C254" s="35" t="str">
        <f>IFERROR(VLOOKUP(B254,'MASTER RECORD'!$B$5:$W$1000,3,0),"")</f>
        <v/>
      </c>
      <c r="D254" s="35" t="str">
        <f>IFERROR(VLOOKUP(B254,'MASTER RECORD'!$B$5:$W$1000,2,0),"")</f>
        <v/>
      </c>
      <c r="E254" s="36" t="str">
        <f>IFERROR(VLOOKUP(B254,'MASTER RECORD'!$B$5:$W$1000,9,0),"")</f>
        <v/>
      </c>
      <c r="F254" s="35" t="str">
        <f>IFERROR(VLOOKUP(B254,'MASTER RECORD'!$B$5:$W$1000,10,0) &amp;"."&amp;(VLOOKUP(B254,'MASTER RECORD'!$B$5:$W$1000,11,0)),"")</f>
        <v/>
      </c>
      <c r="G254" s="36" t="str">
        <f t="shared" si="10"/>
        <v/>
      </c>
      <c r="H254" s="35" t="str">
        <f t="shared" si="11"/>
        <v/>
      </c>
      <c r="I254" s="35" t="str">
        <f>IFERROR(VLOOKUP(B254,'MASTER RECORD'!$B$5:$W$1000,14,0),"")</f>
        <v/>
      </c>
      <c r="J254" s="17"/>
      <c r="K254" s="17"/>
      <c r="L254" s="17"/>
      <c r="M254" s="17"/>
      <c r="N254" s="17"/>
      <c r="O254" s="17"/>
      <c r="P254" s="17"/>
      <c r="Q254" s="17"/>
      <c r="R254" s="17"/>
      <c r="S254" s="17"/>
      <c r="T254" s="17"/>
      <c r="U254" s="17"/>
      <c r="V254" s="17"/>
      <c r="W254" s="17"/>
      <c r="X254" s="17"/>
      <c r="Y254" s="17"/>
      <c r="Z254" s="17"/>
      <c r="AA254" s="17"/>
      <c r="AB254" s="17"/>
      <c r="AC254" s="17"/>
      <c r="AD254" s="17"/>
      <c r="AE254" s="17"/>
      <c r="AF254" s="17"/>
      <c r="AG254" s="17"/>
      <c r="AH254" s="17"/>
      <c r="AI254" s="17"/>
      <c r="AJ254" s="17"/>
      <c r="AK254" s="17"/>
      <c r="AL254" s="17"/>
      <c r="AM254" s="17"/>
      <c r="AN254" s="17"/>
      <c r="AO254" s="17"/>
      <c r="AP254" s="17"/>
      <c r="AQ254" s="17"/>
      <c r="AR254" s="17"/>
      <c r="AS254" s="17"/>
    </row>
    <row r="255" spans="1:45">
      <c r="A255" s="28">
        <f t="shared" si="9"/>
        <v>250</v>
      </c>
      <c r="B255" s="7"/>
      <c r="C255" s="35" t="str">
        <f>IFERROR(VLOOKUP(B255,'MASTER RECORD'!$B$5:$W$1000,3,0),"")</f>
        <v/>
      </c>
      <c r="D255" s="35" t="str">
        <f>IFERROR(VLOOKUP(B255,'MASTER RECORD'!$B$5:$W$1000,2,0),"")</f>
        <v/>
      </c>
      <c r="E255" s="36" t="str">
        <f>IFERROR(VLOOKUP(B255,'MASTER RECORD'!$B$5:$W$1000,9,0),"")</f>
        <v/>
      </c>
      <c r="F255" s="35" t="str">
        <f>IFERROR(VLOOKUP(B255,'MASTER RECORD'!$B$5:$W$1000,10,0) &amp;"."&amp;(VLOOKUP(B255,'MASTER RECORD'!$B$5:$W$1000,11,0)),"")</f>
        <v/>
      </c>
      <c r="G255" s="36" t="str">
        <f t="shared" si="10"/>
        <v/>
      </c>
      <c r="H255" s="35" t="str">
        <f t="shared" si="11"/>
        <v/>
      </c>
      <c r="I255" s="35" t="str">
        <f>IFERROR(VLOOKUP(B255,'MASTER RECORD'!$B$5:$W$1000,14,0),"")</f>
        <v/>
      </c>
      <c r="J255" s="17"/>
      <c r="K255" s="17"/>
      <c r="L255" s="17"/>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17"/>
      <c r="AO255" s="17"/>
      <c r="AP255" s="17"/>
      <c r="AQ255" s="17"/>
      <c r="AR255" s="17"/>
      <c r="AS255" s="17"/>
    </row>
    <row r="256" spans="1:45">
      <c r="A256" s="28">
        <f t="shared" si="9"/>
        <v>251</v>
      </c>
      <c r="B256" s="7"/>
      <c r="C256" s="35" t="str">
        <f>IFERROR(VLOOKUP(B256,'MASTER RECORD'!$B$5:$W$1000,3,0),"")</f>
        <v/>
      </c>
      <c r="D256" s="35" t="str">
        <f>IFERROR(VLOOKUP(B256,'MASTER RECORD'!$B$5:$W$1000,2,0),"")</f>
        <v/>
      </c>
      <c r="E256" s="36" t="str">
        <f>IFERROR(VLOOKUP(B256,'MASTER RECORD'!$B$5:$W$1000,9,0),"")</f>
        <v/>
      </c>
      <c r="F256" s="35" t="str">
        <f>IFERROR(VLOOKUP(B256,'MASTER RECORD'!$B$5:$W$1000,10,0) &amp;"."&amp;(VLOOKUP(B256,'MASTER RECORD'!$B$5:$W$1000,11,0)),"")</f>
        <v/>
      </c>
      <c r="G256" s="36" t="str">
        <f t="shared" si="10"/>
        <v/>
      </c>
      <c r="H256" s="35" t="str">
        <f t="shared" si="11"/>
        <v/>
      </c>
      <c r="I256" s="35" t="str">
        <f>IFERROR(VLOOKUP(B256,'MASTER RECORD'!$B$5:$W$1000,14,0),"")</f>
        <v/>
      </c>
      <c r="J256" s="17"/>
      <c r="K256" s="17"/>
      <c r="L256" s="17"/>
      <c r="M256" s="17"/>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c r="AK256" s="17"/>
      <c r="AL256" s="17"/>
      <c r="AM256" s="17"/>
      <c r="AN256" s="17"/>
      <c r="AO256" s="17"/>
      <c r="AP256" s="17"/>
      <c r="AQ256" s="17"/>
      <c r="AR256" s="17"/>
      <c r="AS256" s="17"/>
    </row>
    <row r="257" spans="1:45">
      <c r="A257" s="28">
        <f t="shared" si="9"/>
        <v>252</v>
      </c>
      <c r="B257" s="7"/>
      <c r="C257" s="35" t="str">
        <f>IFERROR(VLOOKUP(B257,'MASTER RECORD'!$B$5:$W$1000,3,0),"")</f>
        <v/>
      </c>
      <c r="D257" s="35" t="str">
        <f>IFERROR(VLOOKUP(B257,'MASTER RECORD'!$B$5:$W$1000,2,0),"")</f>
        <v/>
      </c>
      <c r="E257" s="36" t="str">
        <f>IFERROR(VLOOKUP(B257,'MASTER RECORD'!$B$5:$W$1000,9,0),"")</f>
        <v/>
      </c>
      <c r="F257" s="35" t="str">
        <f>IFERROR(VLOOKUP(B257,'MASTER RECORD'!$B$5:$W$1000,10,0) &amp;"."&amp;(VLOOKUP(B257,'MASTER RECORD'!$B$5:$W$1000,11,0)),"")</f>
        <v/>
      </c>
      <c r="G257" s="36" t="str">
        <f t="shared" si="10"/>
        <v/>
      </c>
      <c r="H257" s="35" t="str">
        <f t="shared" si="11"/>
        <v/>
      </c>
      <c r="I257" s="35" t="str">
        <f>IFERROR(VLOOKUP(B257,'MASTER RECORD'!$B$5:$W$1000,14,0),"")</f>
        <v/>
      </c>
      <c r="J257" s="17"/>
      <c r="K257" s="17"/>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17"/>
      <c r="AO257" s="17"/>
      <c r="AP257" s="17"/>
      <c r="AQ257" s="17"/>
      <c r="AR257" s="17"/>
      <c r="AS257" s="17"/>
    </row>
    <row r="258" spans="1:45">
      <c r="A258" s="28">
        <f t="shared" si="9"/>
        <v>253</v>
      </c>
      <c r="B258" s="7"/>
      <c r="C258" s="35" t="str">
        <f>IFERROR(VLOOKUP(B258,'MASTER RECORD'!$B$5:$W$1000,3,0),"")</f>
        <v/>
      </c>
      <c r="D258" s="35" t="str">
        <f>IFERROR(VLOOKUP(B258,'MASTER RECORD'!$B$5:$W$1000,2,0),"")</f>
        <v/>
      </c>
      <c r="E258" s="36" t="str">
        <f>IFERROR(VLOOKUP(B258,'MASTER RECORD'!$B$5:$W$1000,9,0),"")</f>
        <v/>
      </c>
      <c r="F258" s="35" t="str">
        <f>IFERROR(VLOOKUP(B258,'MASTER RECORD'!$B$5:$W$1000,10,0) &amp;"."&amp;(VLOOKUP(B258,'MASTER RECORD'!$B$5:$W$1000,11,0)),"")</f>
        <v/>
      </c>
      <c r="G258" s="36" t="str">
        <f t="shared" si="10"/>
        <v/>
      </c>
      <c r="H258" s="35" t="str">
        <f t="shared" si="11"/>
        <v/>
      </c>
      <c r="I258" s="35" t="str">
        <f>IFERROR(VLOOKUP(B258,'MASTER RECORD'!$B$5:$W$1000,14,0),"")</f>
        <v/>
      </c>
      <c r="J258" s="17"/>
      <c r="K258" s="17"/>
      <c r="L258" s="17"/>
      <c r="M258" s="17"/>
      <c r="N258" s="17"/>
      <c r="O258" s="17"/>
      <c r="P258" s="17"/>
      <c r="Q258" s="17"/>
      <c r="R258" s="17"/>
      <c r="S258" s="17"/>
      <c r="T258" s="17"/>
      <c r="U258" s="17"/>
      <c r="V258" s="17"/>
      <c r="W258" s="17"/>
      <c r="X258" s="17"/>
      <c r="Y258" s="17"/>
      <c r="Z258" s="17"/>
      <c r="AA258" s="17"/>
      <c r="AB258" s="17"/>
      <c r="AC258" s="17"/>
      <c r="AD258" s="17"/>
      <c r="AE258" s="17"/>
      <c r="AF258" s="17"/>
      <c r="AG258" s="17"/>
      <c r="AH258" s="17"/>
      <c r="AI258" s="17"/>
      <c r="AJ258" s="17"/>
      <c r="AK258" s="17"/>
      <c r="AL258" s="17"/>
      <c r="AM258" s="17"/>
      <c r="AN258" s="17"/>
      <c r="AO258" s="17"/>
      <c r="AP258" s="17"/>
      <c r="AQ258" s="17"/>
      <c r="AR258" s="17"/>
      <c r="AS258" s="17"/>
    </row>
    <row r="259" spans="1:45">
      <c r="A259" s="28">
        <f t="shared" si="9"/>
        <v>254</v>
      </c>
      <c r="B259" s="7"/>
      <c r="C259" s="35" t="str">
        <f>IFERROR(VLOOKUP(B259,'MASTER RECORD'!$B$5:$W$1000,3,0),"")</f>
        <v/>
      </c>
      <c r="D259" s="35" t="str">
        <f>IFERROR(VLOOKUP(B259,'MASTER RECORD'!$B$5:$W$1000,2,0),"")</f>
        <v/>
      </c>
      <c r="E259" s="36" t="str">
        <f>IFERROR(VLOOKUP(B259,'MASTER RECORD'!$B$5:$W$1000,9,0),"")</f>
        <v/>
      </c>
      <c r="F259" s="35" t="str">
        <f>IFERROR(VLOOKUP(B259,'MASTER RECORD'!$B$5:$W$1000,10,0) &amp;"."&amp;(VLOOKUP(B259,'MASTER RECORD'!$B$5:$W$1000,11,0)),"")</f>
        <v/>
      </c>
      <c r="G259" s="36" t="str">
        <f t="shared" si="10"/>
        <v/>
      </c>
      <c r="H259" s="35" t="str">
        <f t="shared" si="11"/>
        <v/>
      </c>
      <c r="I259" s="35" t="str">
        <f>IFERROR(VLOOKUP(B259,'MASTER RECORD'!$B$5:$W$1000,14,0),"")</f>
        <v/>
      </c>
      <c r="J259" s="17"/>
      <c r="K259" s="17"/>
      <c r="L259" s="17"/>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17"/>
      <c r="AO259" s="17"/>
      <c r="AP259" s="17"/>
      <c r="AQ259" s="17"/>
      <c r="AR259" s="17"/>
      <c r="AS259" s="17"/>
    </row>
    <row r="260" spans="1:45">
      <c r="A260" s="28">
        <f t="shared" si="9"/>
        <v>255</v>
      </c>
      <c r="B260" s="7"/>
      <c r="C260" s="35" t="str">
        <f>IFERROR(VLOOKUP(B260,'MASTER RECORD'!$B$5:$W$1000,3,0),"")</f>
        <v/>
      </c>
      <c r="D260" s="35" t="str">
        <f>IFERROR(VLOOKUP(B260,'MASTER RECORD'!$B$5:$W$1000,2,0),"")</f>
        <v/>
      </c>
      <c r="E260" s="36" t="str">
        <f>IFERROR(VLOOKUP(B260,'MASTER RECORD'!$B$5:$W$1000,9,0),"")</f>
        <v/>
      </c>
      <c r="F260" s="35" t="str">
        <f>IFERROR(VLOOKUP(B260,'MASTER RECORD'!$B$5:$W$1000,10,0) &amp;"."&amp;(VLOOKUP(B260,'MASTER RECORD'!$B$5:$W$1000,11,0)),"")</f>
        <v/>
      </c>
      <c r="G260" s="36" t="str">
        <f t="shared" si="10"/>
        <v/>
      </c>
      <c r="H260" s="35" t="str">
        <f t="shared" si="11"/>
        <v/>
      </c>
      <c r="I260" s="35" t="str">
        <f>IFERROR(VLOOKUP(B260,'MASTER RECORD'!$B$5:$W$1000,14,0),"")</f>
        <v/>
      </c>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c r="AQ260" s="17"/>
      <c r="AR260" s="17"/>
      <c r="AS260" s="17"/>
    </row>
    <row r="261" spans="1:45">
      <c r="A261" s="28">
        <f t="shared" si="9"/>
        <v>256</v>
      </c>
      <c r="B261" s="7"/>
      <c r="C261" s="35" t="str">
        <f>IFERROR(VLOOKUP(B261,'MASTER RECORD'!$B$5:$W$1000,3,0),"")</f>
        <v/>
      </c>
      <c r="D261" s="35" t="str">
        <f>IFERROR(VLOOKUP(B261,'MASTER RECORD'!$B$5:$W$1000,2,0),"")</f>
        <v/>
      </c>
      <c r="E261" s="36" t="str">
        <f>IFERROR(VLOOKUP(B261,'MASTER RECORD'!$B$5:$W$1000,9,0),"")</f>
        <v/>
      </c>
      <c r="F261" s="35" t="str">
        <f>IFERROR(VLOOKUP(B261,'MASTER RECORD'!$B$5:$W$1000,10,0) &amp;"."&amp;(VLOOKUP(B261,'MASTER RECORD'!$B$5:$W$1000,11,0)),"")</f>
        <v/>
      </c>
      <c r="G261" s="36" t="str">
        <f t="shared" si="10"/>
        <v/>
      </c>
      <c r="H261" s="35" t="str">
        <f t="shared" si="11"/>
        <v/>
      </c>
      <c r="I261" s="35" t="str">
        <f>IFERROR(VLOOKUP(B261,'MASTER RECORD'!$B$5:$W$1000,14,0),"")</f>
        <v/>
      </c>
      <c r="J261" s="17"/>
      <c r="K261" s="17"/>
      <c r="L261" s="17"/>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17"/>
      <c r="AO261" s="17"/>
      <c r="AP261" s="17"/>
      <c r="AQ261" s="17"/>
      <c r="AR261" s="17"/>
      <c r="AS261" s="17"/>
    </row>
    <row r="262" spans="1:45">
      <c r="A262" s="28">
        <f t="shared" ref="A262:A277" si="12">ROW(A257)</f>
        <v>257</v>
      </c>
      <c r="B262" s="7"/>
      <c r="C262" s="35" t="str">
        <f>IFERROR(VLOOKUP(B262,'MASTER RECORD'!$B$5:$W$1000,3,0),"")</f>
        <v/>
      </c>
      <c r="D262" s="35" t="str">
        <f>IFERROR(VLOOKUP(B262,'MASTER RECORD'!$B$5:$W$1000,2,0),"")</f>
        <v/>
      </c>
      <c r="E262" s="36" t="str">
        <f>IFERROR(VLOOKUP(B262,'MASTER RECORD'!$B$5:$W$1000,9,0),"")</f>
        <v/>
      </c>
      <c r="F262" s="35" t="str">
        <f>IFERROR(VLOOKUP(B262,'MASTER RECORD'!$B$5:$W$1000,10,0) &amp;"."&amp;(VLOOKUP(B262,'MASTER RECORD'!$B$5:$W$1000,11,0)),"")</f>
        <v/>
      </c>
      <c r="G262" s="36" t="str">
        <f t="shared" si="10"/>
        <v/>
      </c>
      <c r="H262" s="35" t="str">
        <f t="shared" si="11"/>
        <v/>
      </c>
      <c r="I262" s="35" t="str">
        <f>IFERROR(VLOOKUP(B262,'MASTER RECORD'!$B$5:$W$1000,14,0),"")</f>
        <v/>
      </c>
      <c r="J262" s="17"/>
      <c r="K262" s="17"/>
      <c r="L262" s="17"/>
      <c r="M262" s="17"/>
      <c r="N262" s="17"/>
      <c r="O262" s="17"/>
      <c r="P262" s="17"/>
      <c r="Q262" s="17"/>
      <c r="R262" s="17"/>
      <c r="S262" s="17"/>
      <c r="T262" s="17"/>
      <c r="U262" s="17"/>
      <c r="V262" s="17"/>
      <c r="W262" s="17"/>
      <c r="X262" s="17"/>
      <c r="Y262" s="17"/>
      <c r="Z262" s="17"/>
      <c r="AA262" s="17"/>
      <c r="AB262" s="17"/>
      <c r="AC262" s="17"/>
      <c r="AD262" s="17"/>
      <c r="AE262" s="17"/>
      <c r="AF262" s="17"/>
      <c r="AG262" s="17"/>
      <c r="AH262" s="17"/>
      <c r="AI262" s="17"/>
      <c r="AJ262" s="17"/>
      <c r="AK262" s="17"/>
      <c r="AL262" s="17"/>
      <c r="AM262" s="17"/>
      <c r="AN262" s="17"/>
      <c r="AO262" s="17"/>
      <c r="AP262" s="17"/>
      <c r="AQ262" s="17"/>
      <c r="AR262" s="17"/>
      <c r="AS262" s="17"/>
    </row>
    <row r="263" spans="1:45">
      <c r="A263" s="28">
        <f t="shared" si="12"/>
        <v>258</v>
      </c>
      <c r="B263" s="7"/>
      <c r="C263" s="35" t="str">
        <f>IFERROR(VLOOKUP(B263,'MASTER RECORD'!$B$5:$W$1000,3,0),"")</f>
        <v/>
      </c>
      <c r="D263" s="35" t="str">
        <f>IFERROR(VLOOKUP(B263,'MASTER RECORD'!$B$5:$W$1000,2,0),"")</f>
        <v/>
      </c>
      <c r="E263" s="36" t="str">
        <f>IFERROR(VLOOKUP(B263,'MASTER RECORD'!$B$5:$W$1000,9,0),"")</f>
        <v/>
      </c>
      <c r="F263" s="35" t="str">
        <f>IFERROR(VLOOKUP(B263,'MASTER RECORD'!$B$5:$W$1000,10,0) &amp;"."&amp;(VLOOKUP(B263,'MASTER RECORD'!$B$5:$W$1000,11,0)),"")</f>
        <v/>
      </c>
      <c r="G263" s="36" t="str">
        <f t="shared" ref="G263:G326" si="13">IFERROR(IF(J263="",E263+30.41667,IF(K263="",E263+60.8333,IF(L263="",E263+91.25,IF(M263="",E263+121.667,IF(N263="",E263+152.083,IF(O263="",E263+182.5,IF(P263="",E263+212.917,IF(Q263="",E263+243.333,IF(R263="",E263+273.75,IF(S263="",E263+304.167,IF(T263="",E263+334.583,IF(U263="",E263+365,IF(V263="",E263+395.417,IF(W263="",E263+425.883,IF(X263="",E263+456.25,IF(Y263="",E263+486.667,IF(Z263="",E263+517.083,IF(AA263="",E263+547.5,IF(AB263="",E263+577.917,IF(AC263="",E263+608.333,IF(AD263="",E263+638.75,IF(AE263="",E263+669.167,IF(AF263="",E263+699.583,IF(AG263="",E263+730,IF(AH263="",E263+760.417,IF(AI263="",E263+790.833,IF(AJ263="",E263+821.25,IF(AK263="",E263+851.667,IF(AL263="",E263+882.083,IF(AM263="",E263+912.5,IF(AN263="",E263+942.917,IF(AO263="",E263+973.333,IF(AP263="",E263+1003.75,IF(AQ263="",E263+1034.17,IF(AR263="",E263+1064.58,IF(AS263="",E263+1095,"")))))))))))))))))))))))))))))))))))),"")</f>
        <v/>
      </c>
      <c r="H263" s="35" t="str">
        <f t="shared" si="11"/>
        <v/>
      </c>
      <c r="I263" s="35" t="str">
        <f>IFERROR(VLOOKUP(B263,'MASTER RECORD'!$B$5:$W$1000,14,0),"")</f>
        <v/>
      </c>
      <c r="J263" s="17"/>
      <c r="K263" s="17"/>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17"/>
      <c r="AO263" s="17"/>
      <c r="AP263" s="17"/>
      <c r="AQ263" s="17"/>
      <c r="AR263" s="17"/>
      <c r="AS263" s="17"/>
    </row>
    <row r="264" spans="1:45">
      <c r="A264" s="28">
        <f t="shared" si="12"/>
        <v>259</v>
      </c>
      <c r="B264" s="7"/>
      <c r="C264" s="35" t="str">
        <f>IFERROR(VLOOKUP(B264,'MASTER RECORD'!$B$5:$W$1000,3,0),"")</f>
        <v/>
      </c>
      <c r="D264" s="35" t="str">
        <f>IFERROR(VLOOKUP(B264,'MASTER RECORD'!$B$5:$W$1000,2,0),"")</f>
        <v/>
      </c>
      <c r="E264" s="36" t="str">
        <f>IFERROR(VLOOKUP(B264,'MASTER RECORD'!$B$5:$W$1000,9,0),"")</f>
        <v/>
      </c>
      <c r="F264" s="35" t="str">
        <f>IFERROR(VLOOKUP(B264,'MASTER RECORD'!$B$5:$W$1000,10,0) &amp;"."&amp;(VLOOKUP(B264,'MASTER RECORD'!$B$5:$W$1000,11,0)),"")</f>
        <v/>
      </c>
      <c r="G264" s="36" t="str">
        <f t="shared" si="13"/>
        <v/>
      </c>
      <c r="H264" s="35" t="str">
        <f t="shared" ref="H264:H327" si="14">IF(SUM(I264:AS264)=0,"",SUM(I264:AS264))</f>
        <v/>
      </c>
      <c r="I264" s="35" t="str">
        <f>IFERROR(VLOOKUP(B264,'MASTER RECORD'!$B$5:$W$1000,14,0),"")</f>
        <v/>
      </c>
      <c r="J264" s="17"/>
      <c r="K264" s="17"/>
      <c r="L264" s="17"/>
      <c r="M264" s="17"/>
      <c r="N264" s="17"/>
      <c r="O264" s="17"/>
      <c r="P264" s="17"/>
      <c r="Q264" s="17"/>
      <c r="R264" s="17"/>
      <c r="S264" s="17"/>
      <c r="T264" s="17"/>
      <c r="U264" s="17"/>
      <c r="V264" s="17"/>
      <c r="W264" s="17"/>
      <c r="X264" s="17"/>
      <c r="Y264" s="17"/>
      <c r="Z264" s="17"/>
      <c r="AA264" s="17"/>
      <c r="AB264" s="17"/>
      <c r="AC264" s="17"/>
      <c r="AD264" s="17"/>
      <c r="AE264" s="17"/>
      <c r="AF264" s="17"/>
      <c r="AG264" s="17"/>
      <c r="AH264" s="17"/>
      <c r="AI264" s="17"/>
      <c r="AJ264" s="17"/>
      <c r="AK264" s="17"/>
      <c r="AL264" s="17"/>
      <c r="AM264" s="17"/>
      <c r="AN264" s="17"/>
      <c r="AO264" s="17"/>
      <c r="AP264" s="17"/>
      <c r="AQ264" s="17"/>
      <c r="AR264" s="17"/>
      <c r="AS264" s="17"/>
    </row>
    <row r="265" spans="1:45">
      <c r="A265" s="28">
        <f t="shared" si="12"/>
        <v>260</v>
      </c>
      <c r="B265" s="7"/>
      <c r="C265" s="35" t="str">
        <f>IFERROR(VLOOKUP(B265,'MASTER RECORD'!$B$5:$W$1000,3,0),"")</f>
        <v/>
      </c>
      <c r="D265" s="35" t="str">
        <f>IFERROR(VLOOKUP(B265,'MASTER RECORD'!$B$5:$W$1000,2,0),"")</f>
        <v/>
      </c>
      <c r="E265" s="36" t="str">
        <f>IFERROR(VLOOKUP(B265,'MASTER RECORD'!$B$5:$W$1000,9,0),"")</f>
        <v/>
      </c>
      <c r="F265" s="35" t="str">
        <f>IFERROR(VLOOKUP(B265,'MASTER RECORD'!$B$5:$W$1000,10,0) &amp;"."&amp;(VLOOKUP(B265,'MASTER RECORD'!$B$5:$W$1000,11,0)),"")</f>
        <v/>
      </c>
      <c r="G265" s="36" t="str">
        <f t="shared" si="13"/>
        <v/>
      </c>
      <c r="H265" s="35" t="str">
        <f t="shared" si="14"/>
        <v/>
      </c>
      <c r="I265" s="35" t="str">
        <f>IFERROR(VLOOKUP(B265,'MASTER RECORD'!$B$5:$W$1000,14,0),"")</f>
        <v/>
      </c>
      <c r="J265" s="17"/>
      <c r="K265" s="17"/>
      <c r="L265" s="17"/>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c r="AN265" s="17"/>
      <c r="AO265" s="17"/>
      <c r="AP265" s="17"/>
      <c r="AQ265" s="17"/>
      <c r="AR265" s="17"/>
      <c r="AS265" s="17"/>
    </row>
    <row r="266" spans="1:45">
      <c r="A266" s="28">
        <f t="shared" si="12"/>
        <v>261</v>
      </c>
      <c r="B266" s="7"/>
      <c r="C266" s="35" t="str">
        <f>IFERROR(VLOOKUP(B266,'MASTER RECORD'!$B$5:$W$1000,3,0),"")</f>
        <v/>
      </c>
      <c r="D266" s="35" t="str">
        <f>IFERROR(VLOOKUP(B266,'MASTER RECORD'!$B$5:$W$1000,2,0),"")</f>
        <v/>
      </c>
      <c r="E266" s="36" t="str">
        <f>IFERROR(VLOOKUP(B266,'MASTER RECORD'!$B$5:$W$1000,9,0),"")</f>
        <v/>
      </c>
      <c r="F266" s="35" t="str">
        <f>IFERROR(VLOOKUP(B266,'MASTER RECORD'!$B$5:$W$1000,10,0) &amp;"."&amp;(VLOOKUP(B266,'MASTER RECORD'!$B$5:$W$1000,11,0)),"")</f>
        <v/>
      </c>
      <c r="G266" s="36" t="str">
        <f t="shared" si="13"/>
        <v/>
      </c>
      <c r="H266" s="35" t="str">
        <f t="shared" si="14"/>
        <v/>
      </c>
      <c r="I266" s="35" t="str">
        <f>IFERROR(VLOOKUP(B266,'MASTER RECORD'!$B$5:$W$1000,14,0),"")</f>
        <v/>
      </c>
      <c r="J266" s="17"/>
      <c r="K266" s="17"/>
      <c r="L266" s="17"/>
      <c r="M266" s="17"/>
      <c r="N266" s="17"/>
      <c r="O266" s="17"/>
      <c r="P266" s="17"/>
      <c r="Q266" s="17"/>
      <c r="R266" s="17"/>
      <c r="S266" s="17"/>
      <c r="T266" s="17"/>
      <c r="U266" s="17"/>
      <c r="V266" s="17"/>
      <c r="W266" s="17"/>
      <c r="X266" s="17"/>
      <c r="Y266" s="17"/>
      <c r="Z266" s="17"/>
      <c r="AA266" s="17"/>
      <c r="AB266" s="17"/>
      <c r="AC266" s="17"/>
      <c r="AD266" s="17"/>
      <c r="AE266" s="17"/>
      <c r="AF266" s="17"/>
      <c r="AG266" s="17"/>
      <c r="AH266" s="17"/>
      <c r="AI266" s="17"/>
      <c r="AJ266" s="17"/>
      <c r="AK266" s="17"/>
      <c r="AL266" s="17"/>
      <c r="AM266" s="17"/>
      <c r="AN266" s="17"/>
      <c r="AO266" s="17"/>
      <c r="AP266" s="17"/>
      <c r="AQ266" s="17"/>
      <c r="AR266" s="17"/>
      <c r="AS266" s="17"/>
    </row>
    <row r="267" spans="1:45">
      <c r="A267" s="28">
        <f t="shared" si="12"/>
        <v>262</v>
      </c>
      <c r="B267" s="7"/>
      <c r="C267" s="35" t="str">
        <f>IFERROR(VLOOKUP(B267,'MASTER RECORD'!$B$5:$W$1000,3,0),"")</f>
        <v/>
      </c>
      <c r="D267" s="35" t="str">
        <f>IFERROR(VLOOKUP(B267,'MASTER RECORD'!$B$5:$W$1000,2,0),"")</f>
        <v/>
      </c>
      <c r="E267" s="36" t="str">
        <f>IFERROR(VLOOKUP(B267,'MASTER RECORD'!$B$5:$W$1000,9,0),"")</f>
        <v/>
      </c>
      <c r="F267" s="35" t="str">
        <f>IFERROR(VLOOKUP(B267,'MASTER RECORD'!$B$5:$W$1000,10,0) &amp;"."&amp;(VLOOKUP(B267,'MASTER RECORD'!$B$5:$W$1000,11,0)),"")</f>
        <v/>
      </c>
      <c r="G267" s="36" t="str">
        <f t="shared" si="13"/>
        <v/>
      </c>
      <c r="H267" s="35" t="str">
        <f t="shared" si="14"/>
        <v/>
      </c>
      <c r="I267" s="35" t="str">
        <f>IFERROR(VLOOKUP(B267,'MASTER RECORD'!$B$5:$W$1000,14,0),"")</f>
        <v/>
      </c>
      <c r="J267" s="17"/>
      <c r="K267" s="17"/>
      <c r="L267" s="17"/>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c r="AN267" s="17"/>
      <c r="AO267" s="17"/>
      <c r="AP267" s="17"/>
      <c r="AQ267" s="17"/>
      <c r="AR267" s="17"/>
      <c r="AS267" s="17"/>
    </row>
    <row r="268" spans="1:45">
      <c r="A268" s="28">
        <f t="shared" si="12"/>
        <v>263</v>
      </c>
      <c r="B268" s="7"/>
      <c r="C268" s="35" t="str">
        <f>IFERROR(VLOOKUP(B268,'MASTER RECORD'!$B$5:$W$1000,3,0),"")</f>
        <v/>
      </c>
      <c r="D268" s="35" t="str">
        <f>IFERROR(VLOOKUP(B268,'MASTER RECORD'!$B$5:$W$1000,2,0),"")</f>
        <v/>
      </c>
      <c r="E268" s="36" t="str">
        <f>IFERROR(VLOOKUP(B268,'MASTER RECORD'!$B$5:$W$1000,9,0),"")</f>
        <v/>
      </c>
      <c r="F268" s="35" t="str">
        <f>IFERROR(VLOOKUP(B268,'MASTER RECORD'!$B$5:$W$1000,10,0) &amp;"."&amp;(VLOOKUP(B268,'MASTER RECORD'!$B$5:$W$1000,11,0)),"")</f>
        <v/>
      </c>
      <c r="G268" s="36" t="str">
        <f t="shared" si="13"/>
        <v/>
      </c>
      <c r="H268" s="35" t="str">
        <f t="shared" si="14"/>
        <v/>
      </c>
      <c r="I268" s="35" t="str">
        <f>IFERROR(VLOOKUP(B268,'MASTER RECORD'!$B$5:$W$1000,14,0),"")</f>
        <v/>
      </c>
      <c r="J268" s="17"/>
      <c r="K268" s="17"/>
      <c r="L268" s="17"/>
      <c r="M268" s="17"/>
      <c r="N268" s="17"/>
      <c r="O268" s="17"/>
      <c r="P268" s="17"/>
      <c r="Q268" s="17"/>
      <c r="R268" s="17"/>
      <c r="S268" s="17"/>
      <c r="T268" s="17"/>
      <c r="U268" s="17"/>
      <c r="V268" s="17"/>
      <c r="W268" s="17"/>
      <c r="X268" s="17"/>
      <c r="Y268" s="17"/>
      <c r="Z268" s="17"/>
      <c r="AA268" s="17"/>
      <c r="AB268" s="17"/>
      <c r="AC268" s="17"/>
      <c r="AD268" s="17"/>
      <c r="AE268" s="17"/>
      <c r="AF268" s="17"/>
      <c r="AG268" s="17"/>
      <c r="AH268" s="17"/>
      <c r="AI268" s="17"/>
      <c r="AJ268" s="17"/>
      <c r="AK268" s="17"/>
      <c r="AL268" s="17"/>
      <c r="AM268" s="17"/>
      <c r="AN268" s="17"/>
      <c r="AO268" s="17"/>
      <c r="AP268" s="17"/>
      <c r="AQ268" s="17"/>
      <c r="AR268" s="17"/>
      <c r="AS268" s="17"/>
    </row>
    <row r="269" spans="1:45">
      <c r="A269" s="28">
        <f t="shared" si="12"/>
        <v>264</v>
      </c>
      <c r="B269" s="7"/>
      <c r="C269" s="35" t="str">
        <f>IFERROR(VLOOKUP(B269,'MASTER RECORD'!$B$5:$W$1000,3,0),"")</f>
        <v/>
      </c>
      <c r="D269" s="35" t="str">
        <f>IFERROR(VLOOKUP(B269,'MASTER RECORD'!$B$5:$W$1000,2,0),"")</f>
        <v/>
      </c>
      <c r="E269" s="36" t="str">
        <f>IFERROR(VLOOKUP(B269,'MASTER RECORD'!$B$5:$W$1000,9,0),"")</f>
        <v/>
      </c>
      <c r="F269" s="35" t="str">
        <f>IFERROR(VLOOKUP(B269,'MASTER RECORD'!$B$5:$W$1000,10,0) &amp;"."&amp;(VLOOKUP(B269,'MASTER RECORD'!$B$5:$W$1000,11,0)),"")</f>
        <v/>
      </c>
      <c r="G269" s="36" t="str">
        <f t="shared" si="13"/>
        <v/>
      </c>
      <c r="H269" s="35" t="str">
        <f t="shared" si="14"/>
        <v/>
      </c>
      <c r="I269" s="35" t="str">
        <f>IFERROR(VLOOKUP(B269,'MASTER RECORD'!$B$5:$W$1000,14,0),"")</f>
        <v/>
      </c>
      <c r="J269" s="17"/>
      <c r="K269" s="17"/>
      <c r="L269" s="17"/>
      <c r="M269" s="17"/>
      <c r="N269" s="17"/>
      <c r="O269" s="17"/>
      <c r="P269" s="17"/>
      <c r="Q269" s="17"/>
      <c r="R269" s="17"/>
      <c r="S269" s="17"/>
      <c r="T269" s="17"/>
      <c r="U269" s="17"/>
      <c r="V269" s="17"/>
      <c r="W269" s="17"/>
      <c r="X269" s="17"/>
      <c r="Y269" s="17"/>
      <c r="Z269" s="17"/>
      <c r="AA269" s="17"/>
      <c r="AB269" s="17"/>
      <c r="AC269" s="17"/>
      <c r="AD269" s="17"/>
      <c r="AE269" s="17"/>
      <c r="AF269" s="17"/>
      <c r="AG269" s="17"/>
      <c r="AH269" s="17"/>
      <c r="AI269" s="17"/>
      <c r="AJ269" s="17"/>
      <c r="AK269" s="17"/>
      <c r="AL269" s="17"/>
      <c r="AM269" s="17"/>
      <c r="AN269" s="17"/>
      <c r="AO269" s="17"/>
      <c r="AP269" s="17"/>
      <c r="AQ269" s="17"/>
      <c r="AR269" s="17"/>
      <c r="AS269" s="17"/>
    </row>
    <row r="270" spans="1:45">
      <c r="A270" s="28">
        <f t="shared" si="12"/>
        <v>265</v>
      </c>
      <c r="B270" s="7"/>
      <c r="C270" s="35" t="str">
        <f>IFERROR(VLOOKUP(B270,'MASTER RECORD'!$B$5:$W$1000,3,0),"")</f>
        <v/>
      </c>
      <c r="D270" s="35" t="str">
        <f>IFERROR(VLOOKUP(B270,'MASTER RECORD'!$B$5:$W$1000,2,0),"")</f>
        <v/>
      </c>
      <c r="E270" s="36" t="str">
        <f>IFERROR(VLOOKUP(B270,'MASTER RECORD'!$B$5:$W$1000,9,0),"")</f>
        <v/>
      </c>
      <c r="F270" s="35" t="str">
        <f>IFERROR(VLOOKUP(B270,'MASTER RECORD'!$B$5:$W$1000,10,0) &amp;"."&amp;(VLOOKUP(B270,'MASTER RECORD'!$B$5:$W$1000,11,0)),"")</f>
        <v/>
      </c>
      <c r="G270" s="36" t="str">
        <f t="shared" si="13"/>
        <v/>
      </c>
      <c r="H270" s="35" t="str">
        <f t="shared" si="14"/>
        <v/>
      </c>
      <c r="I270" s="35" t="str">
        <f>IFERROR(VLOOKUP(B270,'MASTER RECORD'!$B$5:$W$1000,14,0),"")</f>
        <v/>
      </c>
      <c r="J270" s="17"/>
      <c r="K270" s="17"/>
      <c r="L270" s="17"/>
      <c r="M270" s="17"/>
      <c r="N270" s="17"/>
      <c r="O270" s="17"/>
      <c r="P270" s="17"/>
      <c r="Q270" s="17"/>
      <c r="R270" s="17"/>
      <c r="S270" s="17"/>
      <c r="T270" s="17"/>
      <c r="U270" s="17"/>
      <c r="V270" s="17"/>
      <c r="W270" s="17"/>
      <c r="X270" s="17"/>
      <c r="Y270" s="17"/>
      <c r="Z270" s="17"/>
      <c r="AA270" s="17"/>
      <c r="AB270" s="17"/>
      <c r="AC270" s="17"/>
      <c r="AD270" s="17"/>
      <c r="AE270" s="17"/>
      <c r="AF270" s="17"/>
      <c r="AG270" s="17"/>
      <c r="AH270" s="17"/>
      <c r="AI270" s="17"/>
      <c r="AJ270" s="17"/>
      <c r="AK270" s="17"/>
      <c r="AL270" s="17"/>
      <c r="AM270" s="17"/>
      <c r="AN270" s="17"/>
      <c r="AO270" s="17"/>
      <c r="AP270" s="17"/>
      <c r="AQ270" s="17"/>
      <c r="AR270" s="17"/>
      <c r="AS270" s="17"/>
    </row>
    <row r="271" spans="1:45">
      <c r="A271" s="28">
        <f t="shared" si="12"/>
        <v>266</v>
      </c>
      <c r="B271" s="7"/>
      <c r="C271" s="35" t="str">
        <f>IFERROR(VLOOKUP(B271,'MASTER RECORD'!$B$5:$W$1000,3,0),"")</f>
        <v/>
      </c>
      <c r="D271" s="35" t="str">
        <f>IFERROR(VLOOKUP(B271,'MASTER RECORD'!$B$5:$W$1000,2,0),"")</f>
        <v/>
      </c>
      <c r="E271" s="36" t="str">
        <f>IFERROR(VLOOKUP(B271,'MASTER RECORD'!$B$5:$W$1000,9,0),"")</f>
        <v/>
      </c>
      <c r="F271" s="35" t="str">
        <f>IFERROR(VLOOKUP(B271,'MASTER RECORD'!$B$5:$W$1000,10,0) &amp;"."&amp;(VLOOKUP(B271,'MASTER RECORD'!$B$5:$W$1000,11,0)),"")</f>
        <v/>
      </c>
      <c r="G271" s="36" t="str">
        <f t="shared" si="13"/>
        <v/>
      </c>
      <c r="H271" s="35" t="str">
        <f t="shared" si="14"/>
        <v/>
      </c>
      <c r="I271" s="35" t="str">
        <f>IFERROR(VLOOKUP(B271,'MASTER RECORD'!$B$5:$W$1000,14,0),"")</f>
        <v/>
      </c>
      <c r="J271" s="17"/>
      <c r="K271" s="17"/>
      <c r="L271" s="17"/>
      <c r="M271" s="17"/>
      <c r="N271" s="17"/>
      <c r="O271" s="17"/>
      <c r="P271" s="17"/>
      <c r="Q271" s="17"/>
      <c r="R271" s="17"/>
      <c r="S271" s="17"/>
      <c r="T271" s="17"/>
      <c r="U271" s="17"/>
      <c r="V271" s="17"/>
      <c r="W271" s="17"/>
      <c r="X271" s="17"/>
      <c r="Y271" s="17"/>
      <c r="Z271" s="17"/>
      <c r="AA271" s="17"/>
      <c r="AB271" s="17"/>
      <c r="AC271" s="17"/>
      <c r="AD271" s="17"/>
      <c r="AE271" s="17"/>
      <c r="AF271" s="17"/>
      <c r="AG271" s="17"/>
      <c r="AH271" s="17"/>
      <c r="AI271" s="17"/>
      <c r="AJ271" s="17"/>
      <c r="AK271" s="17"/>
      <c r="AL271" s="17"/>
      <c r="AM271" s="17"/>
      <c r="AN271" s="17"/>
      <c r="AO271" s="17"/>
      <c r="AP271" s="17"/>
      <c r="AQ271" s="17"/>
      <c r="AR271" s="17"/>
      <c r="AS271" s="17"/>
    </row>
    <row r="272" spans="1:45">
      <c r="A272" s="28">
        <f t="shared" si="12"/>
        <v>267</v>
      </c>
      <c r="B272" s="7"/>
      <c r="C272" s="35" t="str">
        <f>IFERROR(VLOOKUP(B272,'MASTER RECORD'!$B$5:$W$1000,3,0),"")</f>
        <v/>
      </c>
      <c r="D272" s="35" t="str">
        <f>IFERROR(VLOOKUP(B272,'MASTER RECORD'!$B$5:$W$1000,2,0),"")</f>
        <v/>
      </c>
      <c r="E272" s="36" t="str">
        <f>IFERROR(VLOOKUP(B272,'MASTER RECORD'!$B$5:$W$1000,9,0),"")</f>
        <v/>
      </c>
      <c r="F272" s="35" t="str">
        <f>IFERROR(VLOOKUP(B272,'MASTER RECORD'!$B$5:$W$1000,10,0) &amp;"."&amp;(VLOOKUP(B272,'MASTER RECORD'!$B$5:$W$1000,11,0)),"")</f>
        <v/>
      </c>
      <c r="G272" s="36" t="str">
        <f t="shared" si="13"/>
        <v/>
      </c>
      <c r="H272" s="35" t="str">
        <f t="shared" si="14"/>
        <v/>
      </c>
      <c r="I272" s="35" t="str">
        <f>IFERROR(VLOOKUP(B272,'MASTER RECORD'!$B$5:$W$1000,14,0),"")</f>
        <v/>
      </c>
      <c r="J272" s="17"/>
      <c r="K272" s="17"/>
      <c r="L272" s="17"/>
      <c r="M272" s="17"/>
      <c r="N272" s="17"/>
      <c r="O272" s="17"/>
      <c r="P272" s="17"/>
      <c r="Q272" s="17"/>
      <c r="R272" s="17"/>
      <c r="S272" s="17"/>
      <c r="T272" s="17"/>
      <c r="U272" s="17"/>
      <c r="V272" s="17"/>
      <c r="W272" s="17"/>
      <c r="X272" s="17"/>
      <c r="Y272" s="17"/>
      <c r="Z272" s="17"/>
      <c r="AA272" s="17"/>
      <c r="AB272" s="17"/>
      <c r="AC272" s="17"/>
      <c r="AD272" s="17"/>
      <c r="AE272" s="17"/>
      <c r="AF272" s="17"/>
      <c r="AG272" s="17"/>
      <c r="AH272" s="17"/>
      <c r="AI272" s="17"/>
      <c r="AJ272" s="17"/>
      <c r="AK272" s="17"/>
      <c r="AL272" s="17"/>
      <c r="AM272" s="17"/>
      <c r="AN272" s="17"/>
      <c r="AO272" s="17"/>
      <c r="AP272" s="17"/>
      <c r="AQ272" s="17"/>
      <c r="AR272" s="17"/>
      <c r="AS272" s="17"/>
    </row>
    <row r="273" spans="1:45">
      <c r="A273" s="28">
        <f t="shared" si="12"/>
        <v>268</v>
      </c>
      <c r="B273" s="7"/>
      <c r="C273" s="35" t="str">
        <f>IFERROR(VLOOKUP(B273,'MASTER RECORD'!$B$5:$W$1000,3,0),"")</f>
        <v/>
      </c>
      <c r="D273" s="35" t="str">
        <f>IFERROR(VLOOKUP(B273,'MASTER RECORD'!$B$5:$W$1000,2,0),"")</f>
        <v/>
      </c>
      <c r="E273" s="36" t="str">
        <f>IFERROR(VLOOKUP(B273,'MASTER RECORD'!$B$5:$W$1000,9,0),"")</f>
        <v/>
      </c>
      <c r="F273" s="35" t="str">
        <f>IFERROR(VLOOKUP(B273,'MASTER RECORD'!$B$5:$W$1000,10,0) &amp;"."&amp;(VLOOKUP(B273,'MASTER RECORD'!$B$5:$W$1000,11,0)),"")</f>
        <v/>
      </c>
      <c r="G273" s="36" t="str">
        <f t="shared" si="13"/>
        <v/>
      </c>
      <c r="H273" s="35" t="str">
        <f t="shared" si="14"/>
        <v/>
      </c>
      <c r="I273" s="35" t="str">
        <f>IFERROR(VLOOKUP(B273,'MASTER RECORD'!$B$5:$W$1000,14,0),"")</f>
        <v/>
      </c>
      <c r="J273" s="17"/>
      <c r="K273" s="17"/>
      <c r="L273" s="17"/>
      <c r="M273" s="17"/>
      <c r="N273" s="17"/>
      <c r="O273" s="17"/>
      <c r="P273" s="17"/>
      <c r="Q273" s="17"/>
      <c r="R273" s="17"/>
      <c r="S273" s="17"/>
      <c r="T273" s="17"/>
      <c r="U273" s="17"/>
      <c r="V273" s="17"/>
      <c r="W273" s="17"/>
      <c r="X273" s="17"/>
      <c r="Y273" s="17"/>
      <c r="Z273" s="17"/>
      <c r="AA273" s="17"/>
      <c r="AB273" s="17"/>
      <c r="AC273" s="17"/>
      <c r="AD273" s="17"/>
      <c r="AE273" s="17"/>
      <c r="AF273" s="17"/>
      <c r="AG273" s="17"/>
      <c r="AH273" s="17"/>
      <c r="AI273" s="17"/>
      <c r="AJ273" s="17"/>
      <c r="AK273" s="17"/>
      <c r="AL273" s="17"/>
      <c r="AM273" s="17"/>
      <c r="AN273" s="17"/>
      <c r="AO273" s="17"/>
      <c r="AP273" s="17"/>
      <c r="AQ273" s="17"/>
      <c r="AR273" s="17"/>
      <c r="AS273" s="17"/>
    </row>
    <row r="274" spans="1:45">
      <c r="A274" s="28">
        <f t="shared" si="12"/>
        <v>269</v>
      </c>
      <c r="B274" s="7"/>
      <c r="C274" s="35" t="str">
        <f>IFERROR(VLOOKUP(B274,'MASTER RECORD'!$B$5:$W$1000,3,0),"")</f>
        <v/>
      </c>
      <c r="D274" s="35" t="str">
        <f>IFERROR(VLOOKUP(B274,'MASTER RECORD'!$B$5:$W$1000,2,0),"")</f>
        <v/>
      </c>
      <c r="E274" s="36" t="str">
        <f>IFERROR(VLOOKUP(B274,'MASTER RECORD'!$B$5:$W$1000,9,0),"")</f>
        <v/>
      </c>
      <c r="F274" s="35" t="str">
        <f>IFERROR(VLOOKUP(B274,'MASTER RECORD'!$B$5:$W$1000,10,0) &amp;"."&amp;(VLOOKUP(B274,'MASTER RECORD'!$B$5:$W$1000,11,0)),"")</f>
        <v/>
      </c>
      <c r="G274" s="36" t="str">
        <f t="shared" si="13"/>
        <v/>
      </c>
      <c r="H274" s="35" t="str">
        <f t="shared" si="14"/>
        <v/>
      </c>
      <c r="I274" s="35" t="str">
        <f>IFERROR(VLOOKUP(B274,'MASTER RECORD'!$B$5:$W$1000,14,0),"")</f>
        <v/>
      </c>
      <c r="J274" s="17"/>
      <c r="K274" s="17"/>
      <c r="L274" s="17"/>
      <c r="M274" s="17"/>
      <c r="N274" s="17"/>
      <c r="O274" s="17"/>
      <c r="P274" s="17"/>
      <c r="Q274" s="17"/>
      <c r="R274" s="17"/>
      <c r="S274" s="17"/>
      <c r="T274" s="17"/>
      <c r="U274" s="17"/>
      <c r="V274" s="17"/>
      <c r="W274" s="17"/>
      <c r="X274" s="17"/>
      <c r="Y274" s="17"/>
      <c r="Z274" s="17"/>
      <c r="AA274" s="17"/>
      <c r="AB274" s="17"/>
      <c r="AC274" s="17"/>
      <c r="AD274" s="17"/>
      <c r="AE274" s="17"/>
      <c r="AF274" s="17"/>
      <c r="AG274" s="17"/>
      <c r="AH274" s="17"/>
      <c r="AI274" s="17"/>
      <c r="AJ274" s="17"/>
      <c r="AK274" s="17"/>
      <c r="AL274" s="17"/>
      <c r="AM274" s="17"/>
      <c r="AN274" s="17"/>
      <c r="AO274" s="17"/>
      <c r="AP274" s="17"/>
      <c r="AQ274" s="17"/>
      <c r="AR274" s="17"/>
      <c r="AS274" s="17"/>
    </row>
    <row r="275" spans="1:45">
      <c r="A275" s="28">
        <f t="shared" si="12"/>
        <v>270</v>
      </c>
      <c r="B275" s="7"/>
      <c r="C275" s="35" t="str">
        <f>IFERROR(VLOOKUP(B275,'MASTER RECORD'!$B$5:$W$1000,3,0),"")</f>
        <v/>
      </c>
      <c r="D275" s="35" t="str">
        <f>IFERROR(VLOOKUP(B275,'MASTER RECORD'!$B$5:$W$1000,2,0),"")</f>
        <v/>
      </c>
      <c r="E275" s="36" t="str">
        <f>IFERROR(VLOOKUP(B275,'MASTER RECORD'!$B$5:$W$1000,9,0),"")</f>
        <v/>
      </c>
      <c r="F275" s="35" t="str">
        <f>IFERROR(VLOOKUP(B275,'MASTER RECORD'!$B$5:$W$1000,10,0) &amp;"."&amp;(VLOOKUP(B275,'MASTER RECORD'!$B$5:$W$1000,11,0)),"")</f>
        <v/>
      </c>
      <c r="G275" s="36" t="str">
        <f t="shared" si="13"/>
        <v/>
      </c>
      <c r="H275" s="35" t="str">
        <f t="shared" si="14"/>
        <v/>
      </c>
      <c r="I275" s="35" t="str">
        <f>IFERROR(VLOOKUP(B275,'MASTER RECORD'!$B$5:$W$1000,14,0),"")</f>
        <v/>
      </c>
      <c r="J275" s="17"/>
      <c r="K275" s="17"/>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17"/>
      <c r="AO275" s="17"/>
      <c r="AP275" s="17"/>
      <c r="AQ275" s="17"/>
      <c r="AR275" s="17"/>
      <c r="AS275" s="17"/>
    </row>
    <row r="276" spans="1:45">
      <c r="A276" s="28">
        <f t="shared" si="12"/>
        <v>271</v>
      </c>
      <c r="B276" s="7"/>
      <c r="C276" s="35" t="str">
        <f>IFERROR(VLOOKUP(B276,'MASTER RECORD'!$B$5:$W$1000,3,0),"")</f>
        <v/>
      </c>
      <c r="D276" s="35" t="str">
        <f>IFERROR(VLOOKUP(B276,'MASTER RECORD'!$B$5:$W$1000,2,0),"")</f>
        <v/>
      </c>
      <c r="E276" s="36" t="str">
        <f>IFERROR(VLOOKUP(B276,'MASTER RECORD'!$B$5:$W$1000,9,0),"")</f>
        <v/>
      </c>
      <c r="F276" s="35" t="str">
        <f>IFERROR(VLOOKUP(B276,'MASTER RECORD'!$B$5:$W$1000,10,0) &amp;"."&amp;(VLOOKUP(B276,'MASTER RECORD'!$B$5:$W$1000,11,0)),"")</f>
        <v/>
      </c>
      <c r="G276" s="36" t="str">
        <f t="shared" si="13"/>
        <v/>
      </c>
      <c r="H276" s="35" t="str">
        <f t="shared" si="14"/>
        <v/>
      </c>
      <c r="I276" s="35" t="str">
        <f>IFERROR(VLOOKUP(B276,'MASTER RECORD'!$B$5:$W$1000,14,0),"")</f>
        <v/>
      </c>
      <c r="J276" s="17"/>
      <c r="K276" s="17"/>
      <c r="L276" s="17"/>
      <c r="M276" s="17"/>
      <c r="N276" s="17"/>
      <c r="O276" s="17"/>
      <c r="P276" s="17"/>
      <c r="Q276" s="17"/>
      <c r="R276" s="17"/>
      <c r="S276" s="17"/>
      <c r="T276" s="17"/>
      <c r="U276" s="17"/>
      <c r="V276" s="17"/>
      <c r="W276" s="17"/>
      <c r="X276" s="17"/>
      <c r="Y276" s="17"/>
      <c r="Z276" s="17"/>
      <c r="AA276" s="17"/>
      <c r="AB276" s="17"/>
      <c r="AC276" s="17"/>
      <c r="AD276" s="17"/>
      <c r="AE276" s="17"/>
      <c r="AF276" s="17"/>
      <c r="AG276" s="17"/>
      <c r="AH276" s="17"/>
      <c r="AI276" s="17"/>
      <c r="AJ276" s="17"/>
      <c r="AK276" s="17"/>
      <c r="AL276" s="17"/>
      <c r="AM276" s="17"/>
      <c r="AN276" s="17"/>
      <c r="AO276" s="17"/>
      <c r="AP276" s="17"/>
      <c r="AQ276" s="17"/>
      <c r="AR276" s="17"/>
      <c r="AS276" s="17"/>
    </row>
    <row r="277" spans="1:45">
      <c r="A277" s="28">
        <f t="shared" si="12"/>
        <v>272</v>
      </c>
      <c r="B277" s="7"/>
      <c r="C277" s="35" t="str">
        <f>IFERROR(VLOOKUP(B277,'MASTER RECORD'!$B$5:$W$1000,3,0),"")</f>
        <v/>
      </c>
      <c r="D277" s="35" t="str">
        <f>IFERROR(VLOOKUP(B277,'MASTER RECORD'!$B$5:$W$1000,2,0),"")</f>
        <v/>
      </c>
      <c r="E277" s="36" t="str">
        <f>IFERROR(VLOOKUP(B277,'MASTER RECORD'!$B$5:$W$1000,9,0),"")</f>
        <v/>
      </c>
      <c r="F277" s="35" t="str">
        <f>IFERROR(VLOOKUP(B277,'MASTER RECORD'!$B$5:$W$1000,10,0) &amp;"."&amp;(VLOOKUP(B277,'MASTER RECORD'!$B$5:$W$1000,11,0)),"")</f>
        <v/>
      </c>
      <c r="G277" s="36" t="str">
        <f t="shared" si="13"/>
        <v/>
      </c>
      <c r="H277" s="35" t="str">
        <f t="shared" si="14"/>
        <v/>
      </c>
      <c r="I277" s="35" t="str">
        <f>IFERROR(VLOOKUP(B277,'MASTER RECORD'!$B$5:$W$1000,14,0),"")</f>
        <v/>
      </c>
      <c r="J277" s="17"/>
      <c r="K277" s="17"/>
      <c r="L277" s="17"/>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17"/>
      <c r="AO277" s="17"/>
      <c r="AP277" s="17"/>
      <c r="AQ277" s="17"/>
      <c r="AR277" s="17"/>
      <c r="AS277" s="17"/>
    </row>
    <row r="278" spans="1:45">
      <c r="A278" s="28">
        <f t="shared" ref="A278:A327" si="15">ROW(A273)</f>
        <v>273</v>
      </c>
      <c r="B278" s="7"/>
      <c r="C278" s="35" t="str">
        <f>IFERROR(VLOOKUP(B278,'MASTER RECORD'!$B$5:$W$1000,3,0),"")</f>
        <v/>
      </c>
      <c r="D278" s="35" t="str">
        <f>IFERROR(VLOOKUP(B278,'MASTER RECORD'!$B$5:$W$1000,2,0),"")</f>
        <v/>
      </c>
      <c r="E278" s="36" t="str">
        <f>IFERROR(VLOOKUP(B278,'MASTER RECORD'!$B$5:$W$1000,9,0),"")</f>
        <v/>
      </c>
      <c r="F278" s="35" t="str">
        <f>IFERROR(VLOOKUP(B278,'MASTER RECORD'!$B$5:$W$1000,10,0) &amp;"."&amp;(VLOOKUP(B278,'MASTER RECORD'!$B$5:$W$1000,11,0)),"")</f>
        <v/>
      </c>
      <c r="G278" s="36" t="str">
        <f t="shared" si="13"/>
        <v/>
      </c>
      <c r="H278" s="35" t="str">
        <f t="shared" si="14"/>
        <v/>
      </c>
      <c r="I278" s="35" t="str">
        <f>IFERROR(VLOOKUP(B278,'MASTER RECORD'!$B$5:$W$1000,14,0),"")</f>
        <v/>
      </c>
      <c r="J278" s="17"/>
      <c r="K278" s="17"/>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c r="AK278" s="17"/>
      <c r="AL278" s="17"/>
      <c r="AM278" s="17"/>
      <c r="AN278" s="17"/>
      <c r="AO278" s="17"/>
      <c r="AP278" s="17"/>
      <c r="AQ278" s="17"/>
      <c r="AR278" s="17"/>
      <c r="AS278" s="17"/>
    </row>
    <row r="279" spans="1:45">
      <c r="A279" s="28">
        <f t="shared" si="15"/>
        <v>274</v>
      </c>
      <c r="B279" s="7"/>
      <c r="C279" s="35" t="str">
        <f>IFERROR(VLOOKUP(B279,'MASTER RECORD'!$B$5:$W$1000,3,0),"")</f>
        <v/>
      </c>
      <c r="D279" s="35" t="str">
        <f>IFERROR(VLOOKUP(B279,'MASTER RECORD'!$B$5:$W$1000,2,0),"")</f>
        <v/>
      </c>
      <c r="E279" s="36" t="str">
        <f>IFERROR(VLOOKUP(B279,'MASTER RECORD'!$B$5:$W$1000,9,0),"")</f>
        <v/>
      </c>
      <c r="F279" s="35" t="str">
        <f>IFERROR(VLOOKUP(B279,'MASTER RECORD'!$B$5:$W$1000,10,0) &amp;"."&amp;(VLOOKUP(B279,'MASTER RECORD'!$B$5:$W$1000,11,0)),"")</f>
        <v/>
      </c>
      <c r="G279" s="36" t="str">
        <f t="shared" si="13"/>
        <v/>
      </c>
      <c r="H279" s="35" t="str">
        <f t="shared" si="14"/>
        <v/>
      </c>
      <c r="I279" s="35" t="str">
        <f>IFERROR(VLOOKUP(B279,'MASTER RECORD'!$B$5:$W$1000,14,0),"")</f>
        <v/>
      </c>
      <c r="J279" s="17"/>
      <c r="K279" s="17"/>
      <c r="L279" s="17"/>
      <c r="M279" s="17"/>
      <c r="N279" s="17"/>
      <c r="O279" s="17"/>
      <c r="P279" s="17"/>
      <c r="Q279" s="17"/>
      <c r="R279" s="17"/>
      <c r="S279" s="17"/>
      <c r="T279" s="17"/>
      <c r="U279" s="17"/>
      <c r="V279" s="17"/>
      <c r="W279" s="17"/>
      <c r="X279" s="17"/>
      <c r="Y279" s="17"/>
      <c r="Z279" s="17"/>
      <c r="AA279" s="17"/>
      <c r="AB279" s="17"/>
      <c r="AC279" s="17"/>
      <c r="AD279" s="17"/>
      <c r="AE279" s="17"/>
      <c r="AF279" s="17"/>
      <c r="AG279" s="17"/>
      <c r="AH279" s="17"/>
      <c r="AI279" s="17"/>
      <c r="AJ279" s="17"/>
      <c r="AK279" s="17"/>
      <c r="AL279" s="17"/>
      <c r="AM279" s="17"/>
      <c r="AN279" s="17"/>
      <c r="AO279" s="17"/>
      <c r="AP279" s="17"/>
      <c r="AQ279" s="17"/>
      <c r="AR279" s="17"/>
      <c r="AS279" s="17"/>
    </row>
    <row r="280" spans="1:45">
      <c r="A280" s="28">
        <f t="shared" si="15"/>
        <v>275</v>
      </c>
      <c r="B280" s="7"/>
      <c r="C280" s="35" t="str">
        <f>IFERROR(VLOOKUP(B280,'MASTER RECORD'!$B$5:$W$1000,3,0),"")</f>
        <v/>
      </c>
      <c r="D280" s="35" t="str">
        <f>IFERROR(VLOOKUP(B280,'MASTER RECORD'!$B$5:$W$1000,2,0),"")</f>
        <v/>
      </c>
      <c r="E280" s="36" t="str">
        <f>IFERROR(VLOOKUP(B280,'MASTER RECORD'!$B$5:$W$1000,9,0),"")</f>
        <v/>
      </c>
      <c r="F280" s="35" t="str">
        <f>IFERROR(VLOOKUP(B280,'MASTER RECORD'!$B$5:$W$1000,10,0) &amp;"."&amp;(VLOOKUP(B280,'MASTER RECORD'!$B$5:$W$1000,11,0)),"")</f>
        <v/>
      </c>
      <c r="G280" s="36" t="str">
        <f t="shared" si="13"/>
        <v/>
      </c>
      <c r="H280" s="35" t="str">
        <f t="shared" si="14"/>
        <v/>
      </c>
      <c r="I280" s="35" t="str">
        <f>IFERROR(VLOOKUP(B280,'MASTER RECORD'!$B$5:$W$1000,14,0),"")</f>
        <v/>
      </c>
      <c r="J280" s="17"/>
      <c r="K280" s="17"/>
      <c r="L280" s="17"/>
      <c r="M280" s="17"/>
      <c r="N280" s="17"/>
      <c r="O280" s="17"/>
      <c r="P280" s="17"/>
      <c r="Q280" s="17"/>
      <c r="R280" s="17"/>
      <c r="S280" s="17"/>
      <c r="T280" s="17"/>
      <c r="U280" s="17"/>
      <c r="V280" s="17"/>
      <c r="W280" s="17"/>
      <c r="X280" s="17"/>
      <c r="Y280" s="17"/>
      <c r="Z280" s="17"/>
      <c r="AA280" s="17"/>
      <c r="AB280" s="17"/>
      <c r="AC280" s="17"/>
      <c r="AD280" s="17"/>
      <c r="AE280" s="17"/>
      <c r="AF280" s="17"/>
      <c r="AG280" s="17"/>
      <c r="AH280" s="17"/>
      <c r="AI280" s="17"/>
      <c r="AJ280" s="17"/>
      <c r="AK280" s="17"/>
      <c r="AL280" s="17"/>
      <c r="AM280" s="17"/>
      <c r="AN280" s="17"/>
      <c r="AO280" s="17"/>
      <c r="AP280" s="17"/>
      <c r="AQ280" s="17"/>
      <c r="AR280" s="17"/>
      <c r="AS280" s="17"/>
    </row>
    <row r="281" spans="1:45">
      <c r="A281" s="28">
        <f t="shared" si="15"/>
        <v>276</v>
      </c>
      <c r="B281" s="7"/>
      <c r="C281" s="35" t="str">
        <f>IFERROR(VLOOKUP(B281,'MASTER RECORD'!$B$5:$W$1000,3,0),"")</f>
        <v/>
      </c>
      <c r="D281" s="35" t="str">
        <f>IFERROR(VLOOKUP(B281,'MASTER RECORD'!$B$5:$W$1000,2,0),"")</f>
        <v/>
      </c>
      <c r="E281" s="36" t="str">
        <f>IFERROR(VLOOKUP(B281,'MASTER RECORD'!$B$5:$W$1000,9,0),"")</f>
        <v/>
      </c>
      <c r="F281" s="35" t="str">
        <f>IFERROR(VLOOKUP(B281,'MASTER RECORD'!$B$5:$W$1000,10,0) &amp;"."&amp;(VLOOKUP(B281,'MASTER RECORD'!$B$5:$W$1000,11,0)),"")</f>
        <v/>
      </c>
      <c r="G281" s="36" t="str">
        <f t="shared" si="13"/>
        <v/>
      </c>
      <c r="H281" s="35" t="str">
        <f t="shared" si="14"/>
        <v/>
      </c>
      <c r="I281" s="35" t="str">
        <f>IFERROR(VLOOKUP(B281,'MASTER RECORD'!$B$5:$W$1000,14,0),"")</f>
        <v/>
      </c>
      <c r="J281" s="17"/>
      <c r="K281" s="17"/>
      <c r="L281" s="17"/>
      <c r="M281" s="17"/>
      <c r="N281" s="17"/>
      <c r="O281" s="17"/>
      <c r="P281" s="17"/>
      <c r="Q281" s="17"/>
      <c r="R281" s="17"/>
      <c r="S281" s="17"/>
      <c r="T281" s="17"/>
      <c r="U281" s="17"/>
      <c r="V281" s="17"/>
      <c r="W281" s="17"/>
      <c r="X281" s="17"/>
      <c r="Y281" s="17"/>
      <c r="Z281" s="17"/>
      <c r="AA281" s="17"/>
      <c r="AB281" s="17"/>
      <c r="AC281" s="17"/>
      <c r="AD281" s="17"/>
      <c r="AE281" s="17"/>
      <c r="AF281" s="17"/>
      <c r="AG281" s="17"/>
      <c r="AH281" s="17"/>
      <c r="AI281" s="17"/>
      <c r="AJ281" s="17"/>
      <c r="AK281" s="17"/>
      <c r="AL281" s="17"/>
      <c r="AM281" s="17"/>
      <c r="AN281" s="17"/>
      <c r="AO281" s="17"/>
      <c r="AP281" s="17"/>
      <c r="AQ281" s="17"/>
      <c r="AR281" s="17"/>
      <c r="AS281" s="17"/>
    </row>
    <row r="282" spans="1:45">
      <c r="A282" s="28">
        <f t="shared" si="15"/>
        <v>277</v>
      </c>
      <c r="B282" s="7"/>
      <c r="C282" s="35" t="str">
        <f>IFERROR(VLOOKUP(B282,'MASTER RECORD'!$B$5:$W$1000,3,0),"")</f>
        <v/>
      </c>
      <c r="D282" s="35" t="str">
        <f>IFERROR(VLOOKUP(B282,'MASTER RECORD'!$B$5:$W$1000,2,0),"")</f>
        <v/>
      </c>
      <c r="E282" s="36" t="str">
        <f>IFERROR(VLOOKUP(B282,'MASTER RECORD'!$B$5:$W$1000,9,0),"")</f>
        <v/>
      </c>
      <c r="F282" s="35" t="str">
        <f>IFERROR(VLOOKUP(B282,'MASTER RECORD'!$B$5:$W$1000,10,0) &amp;"."&amp;(VLOOKUP(B282,'MASTER RECORD'!$B$5:$W$1000,11,0)),"")</f>
        <v/>
      </c>
      <c r="G282" s="36" t="str">
        <f t="shared" si="13"/>
        <v/>
      </c>
      <c r="H282" s="35" t="str">
        <f t="shared" si="14"/>
        <v/>
      </c>
      <c r="I282" s="35" t="str">
        <f>IFERROR(VLOOKUP(B282,'MASTER RECORD'!$B$5:$W$1000,14,0),"")</f>
        <v/>
      </c>
      <c r="J282" s="17"/>
      <c r="K282" s="17"/>
      <c r="L282" s="17"/>
      <c r="M282" s="17"/>
      <c r="N282" s="17"/>
      <c r="O282" s="17"/>
      <c r="P282" s="17"/>
      <c r="Q282" s="17"/>
      <c r="R282" s="17"/>
      <c r="S282" s="17"/>
      <c r="T282" s="17"/>
      <c r="U282" s="17"/>
      <c r="V282" s="17"/>
      <c r="W282" s="17"/>
      <c r="X282" s="17"/>
      <c r="Y282" s="17"/>
      <c r="Z282" s="17"/>
      <c r="AA282" s="17"/>
      <c r="AB282" s="17"/>
      <c r="AC282" s="17"/>
      <c r="AD282" s="17"/>
      <c r="AE282" s="17"/>
      <c r="AF282" s="17"/>
      <c r="AG282" s="17"/>
      <c r="AH282" s="17"/>
      <c r="AI282" s="17"/>
      <c r="AJ282" s="17"/>
      <c r="AK282" s="17"/>
      <c r="AL282" s="17"/>
      <c r="AM282" s="17"/>
      <c r="AN282" s="17"/>
      <c r="AO282" s="17"/>
      <c r="AP282" s="17"/>
      <c r="AQ282" s="17"/>
      <c r="AR282" s="17"/>
      <c r="AS282" s="17"/>
    </row>
    <row r="283" spans="1:45">
      <c r="A283" s="28">
        <f t="shared" si="15"/>
        <v>278</v>
      </c>
      <c r="B283" s="7"/>
      <c r="C283" s="35" t="str">
        <f>IFERROR(VLOOKUP(B283,'MASTER RECORD'!$B$5:$W$1000,3,0),"")</f>
        <v/>
      </c>
      <c r="D283" s="35" t="str">
        <f>IFERROR(VLOOKUP(B283,'MASTER RECORD'!$B$5:$W$1000,2,0),"")</f>
        <v/>
      </c>
      <c r="E283" s="36" t="str">
        <f>IFERROR(VLOOKUP(B283,'MASTER RECORD'!$B$5:$W$1000,9,0),"")</f>
        <v/>
      </c>
      <c r="F283" s="35" t="str">
        <f>IFERROR(VLOOKUP(B283,'MASTER RECORD'!$B$5:$W$1000,10,0) &amp;"."&amp;(VLOOKUP(B283,'MASTER RECORD'!$B$5:$W$1000,11,0)),"")</f>
        <v/>
      </c>
      <c r="G283" s="36" t="str">
        <f t="shared" si="13"/>
        <v/>
      </c>
      <c r="H283" s="35" t="str">
        <f t="shared" si="14"/>
        <v/>
      </c>
      <c r="I283" s="35" t="str">
        <f>IFERROR(VLOOKUP(B283,'MASTER RECORD'!$B$5:$W$1000,14,0),"")</f>
        <v/>
      </c>
      <c r="J283" s="17"/>
      <c r="K283" s="17"/>
      <c r="L283" s="17"/>
      <c r="M283" s="17"/>
      <c r="N283" s="17"/>
      <c r="O283" s="17"/>
      <c r="P283" s="17"/>
      <c r="Q283" s="17"/>
      <c r="R283" s="17"/>
      <c r="S283" s="17"/>
      <c r="T283" s="17"/>
      <c r="U283" s="17"/>
      <c r="V283" s="17"/>
      <c r="W283" s="17"/>
      <c r="X283" s="17"/>
      <c r="Y283" s="17"/>
      <c r="Z283" s="17"/>
      <c r="AA283" s="17"/>
      <c r="AB283" s="17"/>
      <c r="AC283" s="17"/>
      <c r="AD283" s="17"/>
      <c r="AE283" s="17"/>
      <c r="AF283" s="17"/>
      <c r="AG283" s="17"/>
      <c r="AH283" s="17"/>
      <c r="AI283" s="17"/>
      <c r="AJ283" s="17"/>
      <c r="AK283" s="17"/>
      <c r="AL283" s="17"/>
      <c r="AM283" s="17"/>
      <c r="AN283" s="17"/>
      <c r="AO283" s="17"/>
      <c r="AP283" s="17"/>
      <c r="AQ283" s="17"/>
      <c r="AR283" s="17"/>
      <c r="AS283" s="17"/>
    </row>
    <row r="284" spans="1:45">
      <c r="A284" s="28">
        <f t="shared" si="15"/>
        <v>279</v>
      </c>
      <c r="B284" s="7"/>
      <c r="C284" s="35" t="str">
        <f>IFERROR(VLOOKUP(B284,'MASTER RECORD'!$B$5:$W$1000,3,0),"")</f>
        <v/>
      </c>
      <c r="D284" s="35" t="str">
        <f>IFERROR(VLOOKUP(B284,'MASTER RECORD'!$B$5:$W$1000,2,0),"")</f>
        <v/>
      </c>
      <c r="E284" s="36" t="str">
        <f>IFERROR(VLOOKUP(B284,'MASTER RECORD'!$B$5:$W$1000,9,0),"")</f>
        <v/>
      </c>
      <c r="F284" s="35" t="str">
        <f>IFERROR(VLOOKUP(B284,'MASTER RECORD'!$B$5:$W$1000,10,0) &amp;"."&amp;(VLOOKUP(B284,'MASTER RECORD'!$B$5:$W$1000,11,0)),"")</f>
        <v/>
      </c>
      <c r="G284" s="36" t="str">
        <f t="shared" si="13"/>
        <v/>
      </c>
      <c r="H284" s="35" t="str">
        <f t="shared" si="14"/>
        <v/>
      </c>
      <c r="I284" s="35" t="str">
        <f>IFERROR(VLOOKUP(B284,'MASTER RECORD'!$B$5:$W$1000,14,0),"")</f>
        <v/>
      </c>
      <c r="J284" s="17"/>
      <c r="K284" s="17"/>
      <c r="L284" s="17"/>
      <c r="M284" s="17"/>
      <c r="N284" s="17"/>
      <c r="O284" s="17"/>
      <c r="P284" s="17"/>
      <c r="Q284" s="17"/>
      <c r="R284" s="17"/>
      <c r="S284" s="17"/>
      <c r="T284" s="17"/>
      <c r="U284" s="17"/>
      <c r="V284" s="17"/>
      <c r="W284" s="17"/>
      <c r="X284" s="17"/>
      <c r="Y284" s="17"/>
      <c r="Z284" s="17"/>
      <c r="AA284" s="17"/>
      <c r="AB284" s="17"/>
      <c r="AC284" s="17"/>
      <c r="AD284" s="17"/>
      <c r="AE284" s="17"/>
      <c r="AF284" s="17"/>
      <c r="AG284" s="17"/>
      <c r="AH284" s="17"/>
      <c r="AI284" s="17"/>
      <c r="AJ284" s="17"/>
      <c r="AK284" s="17"/>
      <c r="AL284" s="17"/>
      <c r="AM284" s="17"/>
      <c r="AN284" s="17"/>
      <c r="AO284" s="17"/>
      <c r="AP284" s="17"/>
      <c r="AQ284" s="17"/>
      <c r="AR284" s="17"/>
      <c r="AS284" s="17"/>
    </row>
    <row r="285" spans="1:45">
      <c r="A285" s="28">
        <f t="shared" si="15"/>
        <v>280</v>
      </c>
      <c r="B285" s="7"/>
      <c r="C285" s="35" t="str">
        <f>IFERROR(VLOOKUP(B285,'MASTER RECORD'!$B$5:$W$1000,3,0),"")</f>
        <v/>
      </c>
      <c r="D285" s="35" t="str">
        <f>IFERROR(VLOOKUP(B285,'MASTER RECORD'!$B$5:$W$1000,2,0),"")</f>
        <v/>
      </c>
      <c r="E285" s="36" t="str">
        <f>IFERROR(VLOOKUP(B285,'MASTER RECORD'!$B$5:$W$1000,9,0),"")</f>
        <v/>
      </c>
      <c r="F285" s="35" t="str">
        <f>IFERROR(VLOOKUP(B285,'MASTER RECORD'!$B$5:$W$1000,10,0) &amp;"."&amp;(VLOOKUP(B285,'MASTER RECORD'!$B$5:$W$1000,11,0)),"")</f>
        <v/>
      </c>
      <c r="G285" s="36" t="str">
        <f t="shared" si="13"/>
        <v/>
      </c>
      <c r="H285" s="35" t="str">
        <f t="shared" si="14"/>
        <v/>
      </c>
      <c r="I285" s="35" t="str">
        <f>IFERROR(VLOOKUP(B285,'MASTER RECORD'!$B$5:$W$1000,14,0),"")</f>
        <v/>
      </c>
      <c r="J285" s="17"/>
      <c r="K285" s="17"/>
      <c r="L285" s="17"/>
      <c r="M285" s="17"/>
      <c r="N285" s="17"/>
      <c r="O285" s="17"/>
      <c r="P285" s="17"/>
      <c r="Q285" s="17"/>
      <c r="R285" s="17"/>
      <c r="S285" s="17"/>
      <c r="T285" s="17"/>
      <c r="U285" s="17"/>
      <c r="V285" s="17"/>
      <c r="W285" s="17"/>
      <c r="X285" s="17"/>
      <c r="Y285" s="17"/>
      <c r="Z285" s="17"/>
      <c r="AA285" s="17"/>
      <c r="AB285" s="17"/>
      <c r="AC285" s="17"/>
      <c r="AD285" s="17"/>
      <c r="AE285" s="17"/>
      <c r="AF285" s="17"/>
      <c r="AG285" s="17"/>
      <c r="AH285" s="17"/>
      <c r="AI285" s="17"/>
      <c r="AJ285" s="17"/>
      <c r="AK285" s="17"/>
      <c r="AL285" s="17"/>
      <c r="AM285" s="17"/>
      <c r="AN285" s="17"/>
      <c r="AO285" s="17"/>
      <c r="AP285" s="17"/>
      <c r="AQ285" s="17"/>
      <c r="AR285" s="17"/>
      <c r="AS285" s="17"/>
    </row>
    <row r="286" spans="1:45">
      <c r="A286" s="28">
        <f t="shared" si="15"/>
        <v>281</v>
      </c>
      <c r="B286" s="7"/>
      <c r="C286" s="35" t="str">
        <f>IFERROR(VLOOKUP(B286,'MASTER RECORD'!$B$5:$W$1000,3,0),"")</f>
        <v/>
      </c>
      <c r="D286" s="35" t="str">
        <f>IFERROR(VLOOKUP(B286,'MASTER RECORD'!$B$5:$W$1000,2,0),"")</f>
        <v/>
      </c>
      <c r="E286" s="36" t="str">
        <f>IFERROR(VLOOKUP(B286,'MASTER RECORD'!$B$5:$W$1000,9,0),"")</f>
        <v/>
      </c>
      <c r="F286" s="35" t="str">
        <f>IFERROR(VLOOKUP(B286,'MASTER RECORD'!$B$5:$W$1000,10,0) &amp;"."&amp;(VLOOKUP(B286,'MASTER RECORD'!$B$5:$W$1000,11,0)),"")</f>
        <v/>
      </c>
      <c r="G286" s="36" t="str">
        <f t="shared" si="13"/>
        <v/>
      </c>
      <c r="H286" s="35" t="str">
        <f t="shared" si="14"/>
        <v/>
      </c>
      <c r="I286" s="35" t="str">
        <f>IFERROR(VLOOKUP(B286,'MASTER RECORD'!$B$5:$W$1000,14,0),"")</f>
        <v/>
      </c>
      <c r="J286" s="17"/>
      <c r="K286" s="17"/>
      <c r="L286" s="17"/>
      <c r="M286" s="17"/>
      <c r="N286" s="17"/>
      <c r="O286" s="17"/>
      <c r="P286" s="17"/>
      <c r="Q286" s="17"/>
      <c r="R286" s="17"/>
      <c r="S286" s="17"/>
      <c r="T286" s="17"/>
      <c r="U286" s="17"/>
      <c r="V286" s="17"/>
      <c r="W286" s="17"/>
      <c r="X286" s="17"/>
      <c r="Y286" s="17"/>
      <c r="Z286" s="17"/>
      <c r="AA286" s="17"/>
      <c r="AB286" s="17"/>
      <c r="AC286" s="17"/>
      <c r="AD286" s="17"/>
      <c r="AE286" s="17"/>
      <c r="AF286" s="17"/>
      <c r="AG286" s="17"/>
      <c r="AH286" s="17"/>
      <c r="AI286" s="17"/>
      <c r="AJ286" s="17"/>
      <c r="AK286" s="17"/>
      <c r="AL286" s="17"/>
      <c r="AM286" s="17"/>
      <c r="AN286" s="17"/>
      <c r="AO286" s="17"/>
      <c r="AP286" s="17"/>
      <c r="AQ286" s="17"/>
      <c r="AR286" s="17"/>
      <c r="AS286" s="17"/>
    </row>
    <row r="287" spans="1:45">
      <c r="A287" s="28">
        <f t="shared" si="15"/>
        <v>282</v>
      </c>
      <c r="B287" s="7"/>
      <c r="C287" s="35" t="str">
        <f>IFERROR(VLOOKUP(B287,'MASTER RECORD'!$B$5:$W$1000,3,0),"")</f>
        <v/>
      </c>
      <c r="D287" s="35" t="str">
        <f>IFERROR(VLOOKUP(B287,'MASTER RECORD'!$B$5:$W$1000,2,0),"")</f>
        <v/>
      </c>
      <c r="E287" s="36" t="str">
        <f>IFERROR(VLOOKUP(B287,'MASTER RECORD'!$B$5:$W$1000,9,0),"")</f>
        <v/>
      </c>
      <c r="F287" s="35" t="str">
        <f>IFERROR(VLOOKUP(B287,'MASTER RECORD'!$B$5:$W$1000,10,0) &amp;"."&amp;(VLOOKUP(B287,'MASTER RECORD'!$B$5:$W$1000,11,0)),"")</f>
        <v/>
      </c>
      <c r="G287" s="36" t="str">
        <f t="shared" si="13"/>
        <v/>
      </c>
      <c r="H287" s="35" t="str">
        <f t="shared" si="14"/>
        <v/>
      </c>
      <c r="I287" s="35" t="str">
        <f>IFERROR(VLOOKUP(B287,'MASTER RECORD'!$B$5:$W$1000,14,0),"")</f>
        <v/>
      </c>
      <c r="J287" s="17"/>
      <c r="K287" s="17"/>
      <c r="L287" s="17"/>
      <c r="M287" s="17"/>
      <c r="N287" s="17"/>
      <c r="O287" s="17"/>
      <c r="P287" s="17"/>
      <c r="Q287" s="17"/>
      <c r="R287" s="17"/>
      <c r="S287" s="17"/>
      <c r="T287" s="17"/>
      <c r="U287" s="17"/>
      <c r="V287" s="17"/>
      <c r="W287" s="17"/>
      <c r="X287" s="17"/>
      <c r="Y287" s="17"/>
      <c r="Z287" s="17"/>
      <c r="AA287" s="17"/>
      <c r="AB287" s="17"/>
      <c r="AC287" s="17"/>
      <c r="AD287" s="17"/>
      <c r="AE287" s="17"/>
      <c r="AF287" s="17"/>
      <c r="AG287" s="17"/>
      <c r="AH287" s="17"/>
      <c r="AI287" s="17"/>
      <c r="AJ287" s="17"/>
      <c r="AK287" s="17"/>
      <c r="AL287" s="17"/>
      <c r="AM287" s="17"/>
      <c r="AN287" s="17"/>
      <c r="AO287" s="17"/>
      <c r="AP287" s="17"/>
      <c r="AQ287" s="17"/>
      <c r="AR287" s="17"/>
      <c r="AS287" s="17"/>
    </row>
    <row r="288" spans="1:45">
      <c r="A288" s="28">
        <f t="shared" si="15"/>
        <v>283</v>
      </c>
      <c r="B288" s="7"/>
      <c r="C288" s="35" t="str">
        <f>IFERROR(VLOOKUP(B288,'MASTER RECORD'!$B$5:$W$1000,3,0),"")</f>
        <v/>
      </c>
      <c r="D288" s="35" t="str">
        <f>IFERROR(VLOOKUP(B288,'MASTER RECORD'!$B$5:$W$1000,2,0),"")</f>
        <v/>
      </c>
      <c r="E288" s="36" t="str">
        <f>IFERROR(VLOOKUP(B288,'MASTER RECORD'!$B$5:$W$1000,9,0),"")</f>
        <v/>
      </c>
      <c r="F288" s="35" t="str">
        <f>IFERROR(VLOOKUP(B288,'MASTER RECORD'!$B$5:$W$1000,10,0) &amp;"."&amp;(VLOOKUP(B288,'MASTER RECORD'!$B$5:$W$1000,11,0)),"")</f>
        <v/>
      </c>
      <c r="G288" s="36" t="str">
        <f t="shared" si="13"/>
        <v/>
      </c>
      <c r="H288" s="35" t="str">
        <f t="shared" si="14"/>
        <v/>
      </c>
      <c r="I288" s="35" t="str">
        <f>IFERROR(VLOOKUP(B288,'MASTER RECORD'!$B$5:$W$1000,14,0),"")</f>
        <v/>
      </c>
      <c r="J288" s="17"/>
      <c r="K288" s="17"/>
      <c r="L288" s="17"/>
      <c r="M288" s="17"/>
      <c r="N288" s="17"/>
      <c r="O288" s="17"/>
      <c r="P288" s="17"/>
      <c r="Q288" s="17"/>
      <c r="R288" s="17"/>
      <c r="S288" s="17"/>
      <c r="T288" s="17"/>
      <c r="U288" s="17"/>
      <c r="V288" s="17"/>
      <c r="W288" s="17"/>
      <c r="X288" s="17"/>
      <c r="Y288" s="17"/>
      <c r="Z288" s="17"/>
      <c r="AA288" s="17"/>
      <c r="AB288" s="17"/>
      <c r="AC288" s="17"/>
      <c r="AD288" s="17"/>
      <c r="AE288" s="17"/>
      <c r="AF288" s="17"/>
      <c r="AG288" s="17"/>
      <c r="AH288" s="17"/>
      <c r="AI288" s="17"/>
      <c r="AJ288" s="17"/>
      <c r="AK288" s="17"/>
      <c r="AL288" s="17"/>
      <c r="AM288" s="17"/>
      <c r="AN288" s="17"/>
      <c r="AO288" s="17"/>
      <c r="AP288" s="17"/>
      <c r="AQ288" s="17"/>
      <c r="AR288" s="17"/>
      <c r="AS288" s="17"/>
    </row>
    <row r="289" spans="1:45">
      <c r="A289" s="28">
        <f t="shared" si="15"/>
        <v>284</v>
      </c>
      <c r="B289" s="7"/>
      <c r="C289" s="35" t="str">
        <f>IFERROR(VLOOKUP(B289,'MASTER RECORD'!$B$5:$W$1000,3,0),"")</f>
        <v/>
      </c>
      <c r="D289" s="35" t="str">
        <f>IFERROR(VLOOKUP(B289,'MASTER RECORD'!$B$5:$W$1000,2,0),"")</f>
        <v/>
      </c>
      <c r="E289" s="36" t="str">
        <f>IFERROR(VLOOKUP(B289,'MASTER RECORD'!$B$5:$W$1000,9,0),"")</f>
        <v/>
      </c>
      <c r="F289" s="35" t="str">
        <f>IFERROR(VLOOKUP(B289,'MASTER RECORD'!$B$5:$W$1000,10,0) &amp;"."&amp;(VLOOKUP(B289,'MASTER RECORD'!$B$5:$W$1000,11,0)),"")</f>
        <v/>
      </c>
      <c r="G289" s="36" t="str">
        <f t="shared" si="13"/>
        <v/>
      </c>
      <c r="H289" s="35" t="str">
        <f t="shared" si="14"/>
        <v/>
      </c>
      <c r="I289" s="35" t="str">
        <f>IFERROR(VLOOKUP(B289,'MASTER RECORD'!$B$5:$W$1000,14,0),"")</f>
        <v/>
      </c>
      <c r="J289" s="17"/>
      <c r="K289" s="17"/>
      <c r="L289" s="17"/>
      <c r="M289" s="17"/>
      <c r="N289" s="17"/>
      <c r="O289" s="17"/>
      <c r="P289" s="17"/>
      <c r="Q289" s="17"/>
      <c r="R289" s="17"/>
      <c r="S289" s="17"/>
      <c r="T289" s="17"/>
      <c r="U289" s="17"/>
      <c r="V289" s="17"/>
      <c r="W289" s="17"/>
      <c r="X289" s="17"/>
      <c r="Y289" s="17"/>
      <c r="Z289" s="17"/>
      <c r="AA289" s="17"/>
      <c r="AB289" s="17"/>
      <c r="AC289" s="17"/>
      <c r="AD289" s="17"/>
      <c r="AE289" s="17"/>
      <c r="AF289" s="17"/>
      <c r="AG289" s="17"/>
      <c r="AH289" s="17"/>
      <c r="AI289" s="17"/>
      <c r="AJ289" s="17"/>
      <c r="AK289" s="17"/>
      <c r="AL289" s="17"/>
      <c r="AM289" s="17"/>
      <c r="AN289" s="17"/>
      <c r="AO289" s="17"/>
      <c r="AP289" s="17"/>
      <c r="AQ289" s="17"/>
      <c r="AR289" s="17"/>
      <c r="AS289" s="17"/>
    </row>
    <row r="290" spans="1:45">
      <c r="A290" s="28">
        <f t="shared" si="15"/>
        <v>285</v>
      </c>
      <c r="B290" s="7"/>
      <c r="C290" s="35" t="str">
        <f>IFERROR(VLOOKUP(B290,'MASTER RECORD'!$B$5:$W$1000,3,0),"")</f>
        <v/>
      </c>
      <c r="D290" s="35" t="str">
        <f>IFERROR(VLOOKUP(B290,'MASTER RECORD'!$B$5:$W$1000,2,0),"")</f>
        <v/>
      </c>
      <c r="E290" s="36" t="str">
        <f>IFERROR(VLOOKUP(B290,'MASTER RECORD'!$B$5:$W$1000,9,0),"")</f>
        <v/>
      </c>
      <c r="F290" s="35" t="str">
        <f>IFERROR(VLOOKUP(B290,'MASTER RECORD'!$B$5:$W$1000,10,0) &amp;"."&amp;(VLOOKUP(B290,'MASTER RECORD'!$B$5:$W$1000,11,0)),"")</f>
        <v/>
      </c>
      <c r="G290" s="36" t="str">
        <f t="shared" si="13"/>
        <v/>
      </c>
      <c r="H290" s="35" t="str">
        <f t="shared" si="14"/>
        <v/>
      </c>
      <c r="I290" s="35" t="str">
        <f>IFERROR(VLOOKUP(B290,'MASTER RECORD'!$B$5:$W$1000,14,0),"")</f>
        <v/>
      </c>
      <c r="J290" s="17"/>
      <c r="K290" s="17"/>
      <c r="L290" s="17"/>
      <c r="M290" s="17"/>
      <c r="N290" s="17"/>
      <c r="O290" s="17"/>
      <c r="P290" s="17"/>
      <c r="Q290" s="17"/>
      <c r="R290" s="17"/>
      <c r="S290" s="17"/>
      <c r="T290" s="17"/>
      <c r="U290" s="17"/>
      <c r="V290" s="17"/>
      <c r="W290" s="17"/>
      <c r="X290" s="17"/>
      <c r="Y290" s="17"/>
      <c r="Z290" s="17"/>
      <c r="AA290" s="17"/>
      <c r="AB290" s="17"/>
      <c r="AC290" s="17"/>
      <c r="AD290" s="17"/>
      <c r="AE290" s="17"/>
      <c r="AF290" s="17"/>
      <c r="AG290" s="17"/>
      <c r="AH290" s="17"/>
      <c r="AI290" s="17"/>
      <c r="AJ290" s="17"/>
      <c r="AK290" s="17"/>
      <c r="AL290" s="17"/>
      <c r="AM290" s="17"/>
      <c r="AN290" s="17"/>
      <c r="AO290" s="17"/>
      <c r="AP290" s="17"/>
      <c r="AQ290" s="17"/>
      <c r="AR290" s="17"/>
      <c r="AS290" s="17"/>
    </row>
    <row r="291" spans="1:45">
      <c r="A291" s="28">
        <f t="shared" si="15"/>
        <v>286</v>
      </c>
      <c r="B291" s="7"/>
      <c r="C291" s="35" t="str">
        <f>IFERROR(VLOOKUP(B291,'MASTER RECORD'!$B$5:$W$1000,3,0),"")</f>
        <v/>
      </c>
      <c r="D291" s="35" t="str">
        <f>IFERROR(VLOOKUP(B291,'MASTER RECORD'!$B$5:$W$1000,2,0),"")</f>
        <v/>
      </c>
      <c r="E291" s="36" t="str">
        <f>IFERROR(VLOOKUP(B291,'MASTER RECORD'!$B$5:$W$1000,9,0),"")</f>
        <v/>
      </c>
      <c r="F291" s="35" t="str">
        <f>IFERROR(VLOOKUP(B291,'MASTER RECORD'!$B$5:$W$1000,10,0) &amp;"."&amp;(VLOOKUP(B291,'MASTER RECORD'!$B$5:$W$1000,11,0)),"")</f>
        <v/>
      </c>
      <c r="G291" s="36" t="str">
        <f t="shared" si="13"/>
        <v/>
      </c>
      <c r="H291" s="35" t="str">
        <f t="shared" si="14"/>
        <v/>
      </c>
      <c r="I291" s="35" t="str">
        <f>IFERROR(VLOOKUP(B291,'MASTER RECORD'!$B$5:$W$1000,14,0),"")</f>
        <v/>
      </c>
      <c r="J291" s="17"/>
      <c r="K291" s="17"/>
      <c r="L291" s="17"/>
      <c r="M291" s="17"/>
      <c r="N291" s="17"/>
      <c r="O291" s="17"/>
      <c r="P291" s="17"/>
      <c r="Q291" s="17"/>
      <c r="R291" s="17"/>
      <c r="S291" s="17"/>
      <c r="T291" s="17"/>
      <c r="U291" s="17"/>
      <c r="V291" s="17"/>
      <c r="W291" s="17"/>
      <c r="X291" s="17"/>
      <c r="Y291" s="17"/>
      <c r="Z291" s="17"/>
      <c r="AA291" s="17"/>
      <c r="AB291" s="17"/>
      <c r="AC291" s="17"/>
      <c r="AD291" s="17"/>
      <c r="AE291" s="17"/>
      <c r="AF291" s="17"/>
      <c r="AG291" s="17"/>
      <c r="AH291" s="17"/>
      <c r="AI291" s="17"/>
      <c r="AJ291" s="17"/>
      <c r="AK291" s="17"/>
      <c r="AL291" s="17"/>
      <c r="AM291" s="17"/>
      <c r="AN291" s="17"/>
      <c r="AO291" s="17"/>
      <c r="AP291" s="17"/>
      <c r="AQ291" s="17"/>
      <c r="AR291" s="17"/>
      <c r="AS291" s="17"/>
    </row>
    <row r="292" spans="1:45">
      <c r="A292" s="28">
        <f t="shared" si="15"/>
        <v>287</v>
      </c>
      <c r="B292" s="7"/>
      <c r="C292" s="35" t="str">
        <f>IFERROR(VLOOKUP(B292,'MASTER RECORD'!$B$5:$W$1000,3,0),"")</f>
        <v/>
      </c>
      <c r="D292" s="35" t="str">
        <f>IFERROR(VLOOKUP(B292,'MASTER RECORD'!$B$5:$W$1000,2,0),"")</f>
        <v/>
      </c>
      <c r="E292" s="36" t="str">
        <f>IFERROR(VLOOKUP(B292,'MASTER RECORD'!$B$5:$W$1000,9,0),"")</f>
        <v/>
      </c>
      <c r="F292" s="35" t="str">
        <f>IFERROR(VLOOKUP(B292,'MASTER RECORD'!$B$5:$W$1000,10,0) &amp;"."&amp;(VLOOKUP(B292,'MASTER RECORD'!$B$5:$W$1000,11,0)),"")</f>
        <v/>
      </c>
      <c r="G292" s="36" t="str">
        <f t="shared" si="13"/>
        <v/>
      </c>
      <c r="H292" s="35" t="str">
        <f t="shared" si="14"/>
        <v/>
      </c>
      <c r="I292" s="35" t="str">
        <f>IFERROR(VLOOKUP(B292,'MASTER RECORD'!$B$5:$W$1000,14,0),"")</f>
        <v/>
      </c>
      <c r="J292" s="17"/>
      <c r="K292" s="17"/>
      <c r="L292" s="17"/>
      <c r="M292" s="17"/>
      <c r="N292" s="17"/>
      <c r="O292" s="17"/>
      <c r="P292" s="17"/>
      <c r="Q292" s="17"/>
      <c r="R292" s="17"/>
      <c r="S292" s="17"/>
      <c r="T292" s="17"/>
      <c r="U292" s="17"/>
      <c r="V292" s="17"/>
      <c r="W292" s="17"/>
      <c r="X292" s="17"/>
      <c r="Y292" s="17"/>
      <c r="Z292" s="17"/>
      <c r="AA292" s="17"/>
      <c r="AB292" s="17"/>
      <c r="AC292" s="17"/>
      <c r="AD292" s="17"/>
      <c r="AE292" s="17"/>
      <c r="AF292" s="17"/>
      <c r="AG292" s="17"/>
      <c r="AH292" s="17"/>
      <c r="AI292" s="17"/>
      <c r="AJ292" s="17"/>
      <c r="AK292" s="17"/>
      <c r="AL292" s="17"/>
      <c r="AM292" s="17"/>
      <c r="AN292" s="17"/>
      <c r="AO292" s="17"/>
      <c r="AP292" s="17"/>
      <c r="AQ292" s="17"/>
      <c r="AR292" s="17"/>
      <c r="AS292" s="17"/>
    </row>
    <row r="293" spans="1:45">
      <c r="A293" s="28">
        <f t="shared" si="15"/>
        <v>288</v>
      </c>
      <c r="B293" s="7"/>
      <c r="C293" s="35" t="str">
        <f>IFERROR(VLOOKUP(B293,'MASTER RECORD'!$B$5:$W$1000,3,0),"")</f>
        <v/>
      </c>
      <c r="D293" s="35" t="str">
        <f>IFERROR(VLOOKUP(B293,'MASTER RECORD'!$B$5:$W$1000,2,0),"")</f>
        <v/>
      </c>
      <c r="E293" s="36" t="str">
        <f>IFERROR(VLOOKUP(B293,'MASTER RECORD'!$B$5:$W$1000,9,0),"")</f>
        <v/>
      </c>
      <c r="F293" s="35" t="str">
        <f>IFERROR(VLOOKUP(B293,'MASTER RECORD'!$B$5:$W$1000,10,0) &amp;"."&amp;(VLOOKUP(B293,'MASTER RECORD'!$B$5:$W$1000,11,0)),"")</f>
        <v/>
      </c>
      <c r="G293" s="36" t="str">
        <f t="shared" si="13"/>
        <v/>
      </c>
      <c r="H293" s="35" t="str">
        <f t="shared" si="14"/>
        <v/>
      </c>
      <c r="I293" s="35" t="str">
        <f>IFERROR(VLOOKUP(B293,'MASTER RECORD'!$B$5:$W$1000,14,0),"")</f>
        <v/>
      </c>
      <c r="J293" s="17"/>
      <c r="K293" s="17"/>
      <c r="L293" s="17"/>
      <c r="M293" s="17"/>
      <c r="N293" s="17"/>
      <c r="O293" s="17"/>
      <c r="P293" s="17"/>
      <c r="Q293" s="17"/>
      <c r="R293" s="17"/>
      <c r="S293" s="17"/>
      <c r="T293" s="17"/>
      <c r="U293" s="17"/>
      <c r="V293" s="17"/>
      <c r="W293" s="17"/>
      <c r="X293" s="17"/>
      <c r="Y293" s="17"/>
      <c r="Z293" s="17"/>
      <c r="AA293" s="17"/>
      <c r="AB293" s="17"/>
      <c r="AC293" s="17"/>
      <c r="AD293" s="17"/>
      <c r="AE293" s="17"/>
      <c r="AF293" s="17"/>
      <c r="AG293" s="17"/>
      <c r="AH293" s="17"/>
      <c r="AI293" s="17"/>
      <c r="AJ293" s="17"/>
      <c r="AK293" s="17"/>
      <c r="AL293" s="17"/>
      <c r="AM293" s="17"/>
      <c r="AN293" s="17"/>
      <c r="AO293" s="17"/>
      <c r="AP293" s="17"/>
      <c r="AQ293" s="17"/>
      <c r="AR293" s="17"/>
      <c r="AS293" s="17"/>
    </row>
    <row r="294" spans="1:45">
      <c r="A294" s="28">
        <f t="shared" si="15"/>
        <v>289</v>
      </c>
      <c r="B294" s="7"/>
      <c r="C294" s="35" t="str">
        <f>IFERROR(VLOOKUP(B294,'MASTER RECORD'!$B$5:$W$1000,3,0),"")</f>
        <v/>
      </c>
      <c r="D294" s="35" t="str">
        <f>IFERROR(VLOOKUP(B294,'MASTER RECORD'!$B$5:$W$1000,2,0),"")</f>
        <v/>
      </c>
      <c r="E294" s="36" t="str">
        <f>IFERROR(VLOOKUP(B294,'MASTER RECORD'!$B$5:$W$1000,9,0),"")</f>
        <v/>
      </c>
      <c r="F294" s="35" t="str">
        <f>IFERROR(VLOOKUP(B294,'MASTER RECORD'!$B$5:$W$1000,10,0) &amp;"."&amp;(VLOOKUP(B294,'MASTER RECORD'!$B$5:$W$1000,11,0)),"")</f>
        <v/>
      </c>
      <c r="G294" s="36" t="str">
        <f t="shared" si="13"/>
        <v/>
      </c>
      <c r="H294" s="35" t="str">
        <f t="shared" si="14"/>
        <v/>
      </c>
      <c r="I294" s="35" t="str">
        <f>IFERROR(VLOOKUP(B294,'MASTER RECORD'!$B$5:$W$1000,14,0),"")</f>
        <v/>
      </c>
      <c r="J294" s="17"/>
      <c r="K294" s="17"/>
      <c r="L294" s="17"/>
      <c r="M294" s="17"/>
      <c r="N294" s="17"/>
      <c r="O294" s="17"/>
      <c r="P294" s="17"/>
      <c r="Q294" s="17"/>
      <c r="R294" s="17"/>
      <c r="S294" s="17"/>
      <c r="T294" s="17"/>
      <c r="U294" s="17"/>
      <c r="V294" s="17"/>
      <c r="W294" s="17"/>
      <c r="X294" s="17"/>
      <c r="Y294" s="17"/>
      <c r="Z294" s="17"/>
      <c r="AA294" s="17"/>
      <c r="AB294" s="17"/>
      <c r="AC294" s="17"/>
      <c r="AD294" s="17"/>
      <c r="AE294" s="17"/>
      <c r="AF294" s="17"/>
      <c r="AG294" s="17"/>
      <c r="AH294" s="17"/>
      <c r="AI294" s="17"/>
      <c r="AJ294" s="17"/>
      <c r="AK294" s="17"/>
      <c r="AL294" s="17"/>
      <c r="AM294" s="17"/>
      <c r="AN294" s="17"/>
      <c r="AO294" s="17"/>
      <c r="AP294" s="17"/>
      <c r="AQ294" s="17"/>
      <c r="AR294" s="17"/>
      <c r="AS294" s="17"/>
    </row>
    <row r="295" spans="1:45">
      <c r="A295" s="28">
        <f t="shared" si="15"/>
        <v>290</v>
      </c>
      <c r="B295" s="7"/>
      <c r="C295" s="35" t="str">
        <f>IFERROR(VLOOKUP(B295,'MASTER RECORD'!$B$5:$W$1000,3,0),"")</f>
        <v/>
      </c>
      <c r="D295" s="35" t="str">
        <f>IFERROR(VLOOKUP(B295,'MASTER RECORD'!$B$5:$W$1000,2,0),"")</f>
        <v/>
      </c>
      <c r="E295" s="36" t="str">
        <f>IFERROR(VLOOKUP(B295,'MASTER RECORD'!$B$5:$W$1000,9,0),"")</f>
        <v/>
      </c>
      <c r="F295" s="35" t="str">
        <f>IFERROR(VLOOKUP(B295,'MASTER RECORD'!$B$5:$W$1000,10,0) &amp;"."&amp;(VLOOKUP(B295,'MASTER RECORD'!$B$5:$W$1000,11,0)),"")</f>
        <v/>
      </c>
      <c r="G295" s="36" t="str">
        <f t="shared" si="13"/>
        <v/>
      </c>
      <c r="H295" s="35" t="str">
        <f t="shared" si="14"/>
        <v/>
      </c>
      <c r="I295" s="35" t="str">
        <f>IFERROR(VLOOKUP(B295,'MASTER RECORD'!$B$5:$W$1000,14,0),"")</f>
        <v/>
      </c>
      <c r="J295" s="17"/>
      <c r="K295" s="17"/>
      <c r="L295" s="17"/>
      <c r="M295" s="17"/>
      <c r="N295" s="17"/>
      <c r="O295" s="17"/>
      <c r="P295" s="17"/>
      <c r="Q295" s="17"/>
      <c r="R295" s="17"/>
      <c r="S295" s="17"/>
      <c r="T295" s="17"/>
      <c r="U295" s="17"/>
      <c r="V295" s="17"/>
      <c r="W295" s="17"/>
      <c r="X295" s="17"/>
      <c r="Y295" s="17"/>
      <c r="Z295" s="17"/>
      <c r="AA295" s="17"/>
      <c r="AB295" s="17"/>
      <c r="AC295" s="17"/>
      <c r="AD295" s="17"/>
      <c r="AE295" s="17"/>
      <c r="AF295" s="17"/>
      <c r="AG295" s="17"/>
      <c r="AH295" s="17"/>
      <c r="AI295" s="17"/>
      <c r="AJ295" s="17"/>
      <c r="AK295" s="17"/>
      <c r="AL295" s="17"/>
      <c r="AM295" s="17"/>
      <c r="AN295" s="17"/>
      <c r="AO295" s="17"/>
      <c r="AP295" s="17"/>
      <c r="AQ295" s="17"/>
      <c r="AR295" s="17"/>
      <c r="AS295" s="17"/>
    </row>
    <row r="296" spans="1:45">
      <c r="A296" s="28">
        <f t="shared" si="15"/>
        <v>291</v>
      </c>
      <c r="B296" s="7"/>
      <c r="C296" s="35" t="str">
        <f>IFERROR(VLOOKUP(B296,'MASTER RECORD'!$B$5:$W$1000,3,0),"")</f>
        <v/>
      </c>
      <c r="D296" s="35" t="str">
        <f>IFERROR(VLOOKUP(B296,'MASTER RECORD'!$B$5:$W$1000,2,0),"")</f>
        <v/>
      </c>
      <c r="E296" s="36" t="str">
        <f>IFERROR(VLOOKUP(B296,'MASTER RECORD'!$B$5:$W$1000,9,0),"")</f>
        <v/>
      </c>
      <c r="F296" s="35" t="str">
        <f>IFERROR(VLOOKUP(B296,'MASTER RECORD'!$B$5:$W$1000,10,0) &amp;"."&amp;(VLOOKUP(B296,'MASTER RECORD'!$B$5:$W$1000,11,0)),"")</f>
        <v/>
      </c>
      <c r="G296" s="36" t="str">
        <f t="shared" si="13"/>
        <v/>
      </c>
      <c r="H296" s="35" t="str">
        <f t="shared" si="14"/>
        <v/>
      </c>
      <c r="I296" s="35" t="str">
        <f>IFERROR(VLOOKUP(B296,'MASTER RECORD'!$B$5:$W$1000,14,0),"")</f>
        <v/>
      </c>
      <c r="J296" s="17"/>
      <c r="K296" s="17"/>
      <c r="L296" s="17"/>
      <c r="M296" s="17"/>
      <c r="N296" s="17"/>
      <c r="O296" s="17"/>
      <c r="P296" s="17"/>
      <c r="Q296" s="17"/>
      <c r="R296" s="17"/>
      <c r="S296" s="17"/>
      <c r="T296" s="17"/>
      <c r="U296" s="17"/>
      <c r="V296" s="17"/>
      <c r="W296" s="17"/>
      <c r="X296" s="17"/>
      <c r="Y296" s="17"/>
      <c r="Z296" s="17"/>
      <c r="AA296" s="17"/>
      <c r="AB296" s="17"/>
      <c r="AC296" s="17"/>
      <c r="AD296" s="17"/>
      <c r="AE296" s="17"/>
      <c r="AF296" s="17"/>
      <c r="AG296" s="17"/>
      <c r="AH296" s="17"/>
      <c r="AI296" s="17"/>
      <c r="AJ296" s="17"/>
      <c r="AK296" s="17"/>
      <c r="AL296" s="17"/>
      <c r="AM296" s="17"/>
      <c r="AN296" s="17"/>
      <c r="AO296" s="17"/>
      <c r="AP296" s="17"/>
      <c r="AQ296" s="17"/>
      <c r="AR296" s="17"/>
      <c r="AS296" s="17"/>
    </row>
    <row r="297" spans="1:45">
      <c r="A297" s="28">
        <f t="shared" si="15"/>
        <v>292</v>
      </c>
      <c r="B297" s="7"/>
      <c r="C297" s="35" t="str">
        <f>IFERROR(VLOOKUP(B297,'MASTER RECORD'!$B$5:$W$1000,3,0),"")</f>
        <v/>
      </c>
      <c r="D297" s="35" t="str">
        <f>IFERROR(VLOOKUP(B297,'MASTER RECORD'!$B$5:$W$1000,2,0),"")</f>
        <v/>
      </c>
      <c r="E297" s="36" t="str">
        <f>IFERROR(VLOOKUP(B297,'MASTER RECORD'!$B$5:$W$1000,9,0),"")</f>
        <v/>
      </c>
      <c r="F297" s="35" t="str">
        <f>IFERROR(VLOOKUP(B297,'MASTER RECORD'!$B$5:$W$1000,10,0) &amp;"."&amp;(VLOOKUP(B297,'MASTER RECORD'!$B$5:$W$1000,11,0)),"")</f>
        <v/>
      </c>
      <c r="G297" s="36" t="str">
        <f t="shared" si="13"/>
        <v/>
      </c>
      <c r="H297" s="35" t="str">
        <f t="shared" si="14"/>
        <v/>
      </c>
      <c r="I297" s="35" t="str">
        <f>IFERROR(VLOOKUP(B297,'MASTER RECORD'!$B$5:$W$1000,14,0),"")</f>
        <v/>
      </c>
      <c r="J297" s="17"/>
      <c r="K297" s="17"/>
      <c r="L297" s="17"/>
      <c r="M297" s="17"/>
      <c r="N297" s="17"/>
      <c r="O297" s="17"/>
      <c r="P297" s="17"/>
      <c r="Q297" s="17"/>
      <c r="R297" s="17"/>
      <c r="S297" s="17"/>
      <c r="T297" s="17"/>
      <c r="U297" s="17"/>
      <c r="V297" s="17"/>
      <c r="W297" s="17"/>
      <c r="X297" s="17"/>
      <c r="Y297" s="17"/>
      <c r="Z297" s="17"/>
      <c r="AA297" s="17"/>
      <c r="AB297" s="17"/>
      <c r="AC297" s="17"/>
      <c r="AD297" s="17"/>
      <c r="AE297" s="17"/>
      <c r="AF297" s="17"/>
      <c r="AG297" s="17"/>
      <c r="AH297" s="17"/>
      <c r="AI297" s="17"/>
      <c r="AJ297" s="17"/>
      <c r="AK297" s="17"/>
      <c r="AL297" s="17"/>
      <c r="AM297" s="17"/>
      <c r="AN297" s="17"/>
      <c r="AO297" s="17"/>
      <c r="AP297" s="17"/>
      <c r="AQ297" s="17"/>
      <c r="AR297" s="17"/>
      <c r="AS297" s="17"/>
    </row>
    <row r="298" spans="1:45">
      <c r="A298" s="28">
        <f t="shared" si="15"/>
        <v>293</v>
      </c>
      <c r="B298" s="7"/>
      <c r="C298" s="35" t="str">
        <f>IFERROR(VLOOKUP(B298,'MASTER RECORD'!$B$5:$W$1000,3,0),"")</f>
        <v/>
      </c>
      <c r="D298" s="35" t="str">
        <f>IFERROR(VLOOKUP(B298,'MASTER RECORD'!$B$5:$W$1000,2,0),"")</f>
        <v/>
      </c>
      <c r="E298" s="36" t="str">
        <f>IFERROR(VLOOKUP(B298,'MASTER RECORD'!$B$5:$W$1000,9,0),"")</f>
        <v/>
      </c>
      <c r="F298" s="35" t="str">
        <f>IFERROR(VLOOKUP(B298,'MASTER RECORD'!$B$5:$W$1000,10,0) &amp;"."&amp;(VLOOKUP(B298,'MASTER RECORD'!$B$5:$W$1000,11,0)),"")</f>
        <v/>
      </c>
      <c r="G298" s="36" t="str">
        <f t="shared" si="13"/>
        <v/>
      </c>
      <c r="H298" s="35" t="str">
        <f t="shared" si="14"/>
        <v/>
      </c>
      <c r="I298" s="35" t="str">
        <f>IFERROR(VLOOKUP(B298,'MASTER RECORD'!$B$5:$W$1000,14,0),"")</f>
        <v/>
      </c>
      <c r="J298" s="17"/>
      <c r="K298" s="17"/>
      <c r="L298" s="17"/>
      <c r="M298" s="17"/>
      <c r="N298" s="17"/>
      <c r="O298" s="17"/>
      <c r="P298" s="17"/>
      <c r="Q298" s="17"/>
      <c r="R298" s="17"/>
      <c r="S298" s="17"/>
      <c r="T298" s="17"/>
      <c r="U298" s="17"/>
      <c r="V298" s="17"/>
      <c r="W298" s="17"/>
      <c r="X298" s="17"/>
      <c r="Y298" s="17"/>
      <c r="Z298" s="17"/>
      <c r="AA298" s="17"/>
      <c r="AB298" s="17"/>
      <c r="AC298" s="17"/>
      <c r="AD298" s="17"/>
      <c r="AE298" s="17"/>
      <c r="AF298" s="17"/>
      <c r="AG298" s="17"/>
      <c r="AH298" s="17"/>
      <c r="AI298" s="17"/>
      <c r="AJ298" s="17"/>
      <c r="AK298" s="17"/>
      <c r="AL298" s="17"/>
      <c r="AM298" s="17"/>
      <c r="AN298" s="17"/>
      <c r="AO298" s="17"/>
      <c r="AP298" s="17"/>
      <c r="AQ298" s="17"/>
      <c r="AR298" s="17"/>
      <c r="AS298" s="17"/>
    </row>
    <row r="299" spans="1:45">
      <c r="A299" s="28">
        <f t="shared" si="15"/>
        <v>294</v>
      </c>
      <c r="B299" s="7"/>
      <c r="C299" s="35" t="str">
        <f>IFERROR(VLOOKUP(B299,'MASTER RECORD'!$B$5:$W$1000,3,0),"")</f>
        <v/>
      </c>
      <c r="D299" s="35" t="str">
        <f>IFERROR(VLOOKUP(B299,'MASTER RECORD'!$B$5:$W$1000,2,0),"")</f>
        <v/>
      </c>
      <c r="E299" s="36" t="str">
        <f>IFERROR(VLOOKUP(B299,'MASTER RECORD'!$B$5:$W$1000,9,0),"")</f>
        <v/>
      </c>
      <c r="F299" s="35" t="str">
        <f>IFERROR(VLOOKUP(B299,'MASTER RECORD'!$B$5:$W$1000,10,0) &amp;"."&amp;(VLOOKUP(B299,'MASTER RECORD'!$B$5:$W$1000,11,0)),"")</f>
        <v/>
      </c>
      <c r="G299" s="36" t="str">
        <f t="shared" si="13"/>
        <v/>
      </c>
      <c r="H299" s="35" t="str">
        <f t="shared" si="14"/>
        <v/>
      </c>
      <c r="I299" s="35" t="str">
        <f>IFERROR(VLOOKUP(B299,'MASTER RECORD'!$B$5:$W$1000,14,0),"")</f>
        <v/>
      </c>
      <c r="J299" s="17"/>
      <c r="K299" s="17"/>
      <c r="L299" s="17"/>
      <c r="M299" s="17"/>
      <c r="N299" s="17"/>
      <c r="O299" s="17"/>
      <c r="P299" s="17"/>
      <c r="Q299" s="17"/>
      <c r="R299" s="17"/>
      <c r="S299" s="17"/>
      <c r="T299" s="17"/>
      <c r="U299" s="17"/>
      <c r="V299" s="17"/>
      <c r="W299" s="17"/>
      <c r="X299" s="17"/>
      <c r="Y299" s="17"/>
      <c r="Z299" s="17"/>
      <c r="AA299" s="17"/>
      <c r="AB299" s="17"/>
      <c r="AC299" s="17"/>
      <c r="AD299" s="17"/>
      <c r="AE299" s="17"/>
      <c r="AF299" s="17"/>
      <c r="AG299" s="17"/>
      <c r="AH299" s="17"/>
      <c r="AI299" s="17"/>
      <c r="AJ299" s="17"/>
      <c r="AK299" s="17"/>
      <c r="AL299" s="17"/>
      <c r="AM299" s="17"/>
      <c r="AN299" s="17"/>
      <c r="AO299" s="17"/>
      <c r="AP299" s="17"/>
      <c r="AQ299" s="17"/>
      <c r="AR299" s="17"/>
      <c r="AS299" s="17"/>
    </row>
    <row r="300" spans="1:45">
      <c r="A300" s="28">
        <f t="shared" si="15"/>
        <v>295</v>
      </c>
      <c r="B300" s="7"/>
      <c r="C300" s="35" t="str">
        <f>IFERROR(VLOOKUP(B300,'MASTER RECORD'!$B$5:$W$1000,3,0),"")</f>
        <v/>
      </c>
      <c r="D300" s="35" t="str">
        <f>IFERROR(VLOOKUP(B300,'MASTER RECORD'!$B$5:$W$1000,2,0),"")</f>
        <v/>
      </c>
      <c r="E300" s="36" t="str">
        <f>IFERROR(VLOOKUP(B300,'MASTER RECORD'!$B$5:$W$1000,9,0),"")</f>
        <v/>
      </c>
      <c r="F300" s="35" t="str">
        <f>IFERROR(VLOOKUP(B300,'MASTER RECORD'!$B$5:$W$1000,10,0) &amp;"."&amp;(VLOOKUP(B300,'MASTER RECORD'!$B$5:$W$1000,11,0)),"")</f>
        <v/>
      </c>
      <c r="G300" s="36" t="str">
        <f t="shared" si="13"/>
        <v/>
      </c>
      <c r="H300" s="35" t="str">
        <f t="shared" si="14"/>
        <v/>
      </c>
      <c r="I300" s="35" t="str">
        <f>IFERROR(VLOOKUP(B300,'MASTER RECORD'!$B$5:$W$1000,14,0),"")</f>
        <v/>
      </c>
      <c r="J300" s="17"/>
      <c r="K300" s="17"/>
      <c r="L300" s="17"/>
      <c r="M300" s="17"/>
      <c r="N300" s="17"/>
      <c r="O300" s="17"/>
      <c r="P300" s="17"/>
      <c r="Q300" s="17"/>
      <c r="R300" s="17"/>
      <c r="S300" s="17"/>
      <c r="T300" s="17"/>
      <c r="U300" s="17"/>
      <c r="V300" s="17"/>
      <c r="W300" s="17"/>
      <c r="X300" s="17"/>
      <c r="Y300" s="17"/>
      <c r="Z300" s="17"/>
      <c r="AA300" s="17"/>
      <c r="AB300" s="17"/>
      <c r="AC300" s="17"/>
      <c r="AD300" s="17"/>
      <c r="AE300" s="17"/>
      <c r="AF300" s="17"/>
      <c r="AG300" s="17"/>
      <c r="AH300" s="17"/>
      <c r="AI300" s="17"/>
      <c r="AJ300" s="17"/>
      <c r="AK300" s="17"/>
      <c r="AL300" s="17"/>
      <c r="AM300" s="17"/>
      <c r="AN300" s="17"/>
      <c r="AO300" s="17"/>
      <c r="AP300" s="17"/>
      <c r="AQ300" s="17"/>
      <c r="AR300" s="17"/>
      <c r="AS300" s="17"/>
    </row>
    <row r="301" spans="1:45">
      <c r="A301" s="28">
        <f t="shared" si="15"/>
        <v>296</v>
      </c>
      <c r="B301" s="7"/>
      <c r="C301" s="35" t="str">
        <f>IFERROR(VLOOKUP(B301,'MASTER RECORD'!$B$5:$W$1000,3,0),"")</f>
        <v/>
      </c>
      <c r="D301" s="35" t="str">
        <f>IFERROR(VLOOKUP(B301,'MASTER RECORD'!$B$5:$W$1000,2,0),"")</f>
        <v/>
      </c>
      <c r="E301" s="36" t="str">
        <f>IFERROR(VLOOKUP(B301,'MASTER RECORD'!$B$5:$W$1000,9,0),"")</f>
        <v/>
      </c>
      <c r="F301" s="35" t="str">
        <f>IFERROR(VLOOKUP(B301,'MASTER RECORD'!$B$5:$W$1000,10,0) &amp;"."&amp;(VLOOKUP(B301,'MASTER RECORD'!$B$5:$W$1000,11,0)),"")</f>
        <v/>
      </c>
      <c r="G301" s="36" t="str">
        <f t="shared" si="13"/>
        <v/>
      </c>
      <c r="H301" s="35" t="str">
        <f t="shared" si="14"/>
        <v/>
      </c>
      <c r="I301" s="35" t="str">
        <f>IFERROR(VLOOKUP(B301,'MASTER RECORD'!$B$5:$W$1000,14,0),"")</f>
        <v/>
      </c>
      <c r="J301" s="17"/>
      <c r="K301" s="17"/>
      <c r="L301" s="17"/>
      <c r="M301" s="17"/>
      <c r="N301" s="17"/>
      <c r="O301" s="17"/>
      <c r="P301" s="17"/>
      <c r="Q301" s="17"/>
      <c r="R301" s="17"/>
      <c r="S301" s="17"/>
      <c r="T301" s="17"/>
      <c r="U301" s="17"/>
      <c r="V301" s="17"/>
      <c r="W301" s="17"/>
      <c r="X301" s="17"/>
      <c r="Y301" s="17"/>
      <c r="Z301" s="17"/>
      <c r="AA301" s="17"/>
      <c r="AB301" s="17"/>
      <c r="AC301" s="17"/>
      <c r="AD301" s="17"/>
      <c r="AE301" s="17"/>
      <c r="AF301" s="17"/>
      <c r="AG301" s="17"/>
      <c r="AH301" s="17"/>
      <c r="AI301" s="17"/>
      <c r="AJ301" s="17"/>
      <c r="AK301" s="17"/>
      <c r="AL301" s="17"/>
      <c r="AM301" s="17"/>
      <c r="AN301" s="17"/>
      <c r="AO301" s="17"/>
      <c r="AP301" s="17"/>
      <c r="AQ301" s="17"/>
      <c r="AR301" s="17"/>
      <c r="AS301" s="17"/>
    </row>
    <row r="302" spans="1:45">
      <c r="A302" s="28">
        <f t="shared" si="15"/>
        <v>297</v>
      </c>
      <c r="B302" s="7"/>
      <c r="C302" s="35" t="str">
        <f>IFERROR(VLOOKUP(B302,'MASTER RECORD'!$B$5:$W$1000,3,0),"")</f>
        <v/>
      </c>
      <c r="D302" s="35" t="str">
        <f>IFERROR(VLOOKUP(B302,'MASTER RECORD'!$B$5:$W$1000,2,0),"")</f>
        <v/>
      </c>
      <c r="E302" s="36" t="str">
        <f>IFERROR(VLOOKUP(B302,'MASTER RECORD'!$B$5:$W$1000,9,0),"")</f>
        <v/>
      </c>
      <c r="F302" s="35" t="str">
        <f>IFERROR(VLOOKUP(B302,'MASTER RECORD'!$B$5:$W$1000,10,0) &amp;"."&amp;(VLOOKUP(B302,'MASTER RECORD'!$B$5:$W$1000,11,0)),"")</f>
        <v/>
      </c>
      <c r="G302" s="36" t="str">
        <f t="shared" si="13"/>
        <v/>
      </c>
      <c r="H302" s="35" t="str">
        <f t="shared" si="14"/>
        <v/>
      </c>
      <c r="I302" s="35" t="str">
        <f>IFERROR(VLOOKUP(B302,'MASTER RECORD'!$B$5:$W$1000,14,0),"")</f>
        <v/>
      </c>
      <c r="J302" s="17"/>
      <c r="K302" s="17"/>
      <c r="L302" s="17"/>
      <c r="M302" s="17"/>
      <c r="N302" s="17"/>
      <c r="O302" s="17"/>
      <c r="P302" s="17"/>
      <c r="Q302" s="17"/>
      <c r="R302" s="17"/>
      <c r="S302" s="17"/>
      <c r="T302" s="17"/>
      <c r="U302" s="17"/>
      <c r="V302" s="17"/>
      <c r="W302" s="17"/>
      <c r="X302" s="17"/>
      <c r="Y302" s="17"/>
      <c r="Z302" s="17"/>
      <c r="AA302" s="17"/>
      <c r="AB302" s="17"/>
      <c r="AC302" s="17"/>
      <c r="AD302" s="17"/>
      <c r="AE302" s="17"/>
      <c r="AF302" s="17"/>
      <c r="AG302" s="17"/>
      <c r="AH302" s="17"/>
      <c r="AI302" s="17"/>
      <c r="AJ302" s="17"/>
      <c r="AK302" s="17"/>
      <c r="AL302" s="17"/>
      <c r="AM302" s="17"/>
      <c r="AN302" s="17"/>
      <c r="AO302" s="17"/>
      <c r="AP302" s="17"/>
      <c r="AQ302" s="17"/>
      <c r="AR302" s="17"/>
      <c r="AS302" s="17"/>
    </row>
    <row r="303" spans="1:45">
      <c r="A303" s="28">
        <f t="shared" si="15"/>
        <v>298</v>
      </c>
      <c r="B303" s="7"/>
      <c r="C303" s="35" t="str">
        <f>IFERROR(VLOOKUP(B303,'MASTER RECORD'!$B$5:$W$1000,3,0),"")</f>
        <v/>
      </c>
      <c r="D303" s="35" t="str">
        <f>IFERROR(VLOOKUP(B303,'MASTER RECORD'!$B$5:$W$1000,2,0),"")</f>
        <v/>
      </c>
      <c r="E303" s="36" t="str">
        <f>IFERROR(VLOOKUP(B303,'MASTER RECORD'!$B$5:$W$1000,9,0),"")</f>
        <v/>
      </c>
      <c r="F303" s="35" t="str">
        <f>IFERROR(VLOOKUP(B303,'MASTER RECORD'!$B$5:$W$1000,10,0) &amp;"."&amp;(VLOOKUP(B303,'MASTER RECORD'!$B$5:$W$1000,11,0)),"")</f>
        <v/>
      </c>
      <c r="G303" s="36" t="str">
        <f t="shared" si="13"/>
        <v/>
      </c>
      <c r="H303" s="35" t="str">
        <f t="shared" si="14"/>
        <v/>
      </c>
      <c r="I303" s="35" t="str">
        <f>IFERROR(VLOOKUP(B303,'MASTER RECORD'!$B$5:$W$1000,14,0),"")</f>
        <v/>
      </c>
      <c r="J303" s="17"/>
      <c r="K303" s="17"/>
      <c r="L303" s="17"/>
      <c r="M303" s="17"/>
      <c r="N303" s="17"/>
      <c r="O303" s="17"/>
      <c r="P303" s="17"/>
      <c r="Q303" s="17"/>
      <c r="R303" s="17"/>
      <c r="S303" s="17"/>
      <c r="T303" s="17"/>
      <c r="U303" s="17"/>
      <c r="V303" s="17"/>
      <c r="W303" s="17"/>
      <c r="X303" s="17"/>
      <c r="Y303" s="17"/>
      <c r="Z303" s="17"/>
      <c r="AA303" s="17"/>
      <c r="AB303" s="17"/>
      <c r="AC303" s="17"/>
      <c r="AD303" s="17"/>
      <c r="AE303" s="17"/>
      <c r="AF303" s="17"/>
      <c r="AG303" s="17"/>
      <c r="AH303" s="17"/>
      <c r="AI303" s="17"/>
      <c r="AJ303" s="17"/>
      <c r="AK303" s="17"/>
      <c r="AL303" s="17"/>
      <c r="AM303" s="17"/>
      <c r="AN303" s="17"/>
      <c r="AO303" s="17"/>
      <c r="AP303" s="17"/>
      <c r="AQ303" s="17"/>
      <c r="AR303" s="17"/>
      <c r="AS303" s="17"/>
    </row>
    <row r="304" spans="1:45">
      <c r="A304" s="28">
        <f t="shared" si="15"/>
        <v>299</v>
      </c>
      <c r="B304" s="7"/>
      <c r="C304" s="35" t="str">
        <f>IFERROR(VLOOKUP(B304,'MASTER RECORD'!$B$5:$W$1000,3,0),"")</f>
        <v/>
      </c>
      <c r="D304" s="35" t="str">
        <f>IFERROR(VLOOKUP(B304,'MASTER RECORD'!$B$5:$W$1000,2,0),"")</f>
        <v/>
      </c>
      <c r="E304" s="36" t="str">
        <f>IFERROR(VLOOKUP(B304,'MASTER RECORD'!$B$5:$W$1000,9,0),"")</f>
        <v/>
      </c>
      <c r="F304" s="35" t="str">
        <f>IFERROR(VLOOKUP(B304,'MASTER RECORD'!$B$5:$W$1000,10,0) &amp;"."&amp;(VLOOKUP(B304,'MASTER RECORD'!$B$5:$W$1000,11,0)),"")</f>
        <v/>
      </c>
      <c r="G304" s="36" t="str">
        <f t="shared" si="13"/>
        <v/>
      </c>
      <c r="H304" s="35" t="str">
        <f t="shared" si="14"/>
        <v/>
      </c>
      <c r="I304" s="35" t="str">
        <f>IFERROR(VLOOKUP(B304,'MASTER RECORD'!$B$5:$W$1000,14,0),"")</f>
        <v/>
      </c>
      <c r="J304" s="17"/>
      <c r="K304" s="17"/>
      <c r="L304" s="17"/>
      <c r="M304" s="17"/>
      <c r="N304" s="17"/>
      <c r="O304" s="17"/>
      <c r="P304" s="17"/>
      <c r="Q304" s="17"/>
      <c r="R304" s="17"/>
      <c r="S304" s="17"/>
      <c r="T304" s="17"/>
      <c r="U304" s="17"/>
      <c r="V304" s="17"/>
      <c r="W304" s="17"/>
      <c r="X304" s="17"/>
      <c r="Y304" s="17"/>
      <c r="Z304" s="17"/>
      <c r="AA304" s="17"/>
      <c r="AB304" s="17"/>
      <c r="AC304" s="17"/>
      <c r="AD304" s="17"/>
      <c r="AE304" s="17"/>
      <c r="AF304" s="17"/>
      <c r="AG304" s="17"/>
      <c r="AH304" s="17"/>
      <c r="AI304" s="17"/>
      <c r="AJ304" s="17"/>
      <c r="AK304" s="17"/>
      <c r="AL304" s="17"/>
      <c r="AM304" s="17"/>
      <c r="AN304" s="17"/>
      <c r="AO304" s="17"/>
      <c r="AP304" s="17"/>
      <c r="AQ304" s="17"/>
      <c r="AR304" s="17"/>
      <c r="AS304" s="17"/>
    </row>
    <row r="305" spans="1:45">
      <c r="A305" s="28">
        <f t="shared" si="15"/>
        <v>300</v>
      </c>
      <c r="B305" s="7"/>
      <c r="C305" s="35" t="str">
        <f>IFERROR(VLOOKUP(B305,'MASTER RECORD'!$B$5:$W$1000,3,0),"")</f>
        <v/>
      </c>
      <c r="D305" s="35" t="str">
        <f>IFERROR(VLOOKUP(B305,'MASTER RECORD'!$B$5:$W$1000,2,0),"")</f>
        <v/>
      </c>
      <c r="E305" s="36" t="str">
        <f>IFERROR(VLOOKUP(B305,'MASTER RECORD'!$B$5:$W$1000,9,0),"")</f>
        <v/>
      </c>
      <c r="F305" s="35" t="str">
        <f>IFERROR(VLOOKUP(B305,'MASTER RECORD'!$B$5:$W$1000,10,0) &amp;"."&amp;(VLOOKUP(B305,'MASTER RECORD'!$B$5:$W$1000,11,0)),"")</f>
        <v/>
      </c>
      <c r="G305" s="36" t="str">
        <f t="shared" si="13"/>
        <v/>
      </c>
      <c r="H305" s="35" t="str">
        <f t="shared" si="14"/>
        <v/>
      </c>
      <c r="I305" s="35" t="str">
        <f>IFERROR(VLOOKUP(B305,'MASTER RECORD'!$B$5:$W$1000,14,0),"")</f>
        <v/>
      </c>
      <c r="J305" s="17"/>
      <c r="K305" s="17"/>
      <c r="L305" s="17"/>
      <c r="M305" s="17"/>
      <c r="N305" s="17"/>
      <c r="O305" s="17"/>
      <c r="P305" s="17"/>
      <c r="Q305" s="17"/>
      <c r="R305" s="17"/>
      <c r="S305" s="17"/>
      <c r="T305" s="17"/>
      <c r="U305" s="17"/>
      <c r="V305" s="17"/>
      <c r="W305" s="17"/>
      <c r="X305" s="17"/>
      <c r="Y305" s="17"/>
      <c r="Z305" s="17"/>
      <c r="AA305" s="17"/>
      <c r="AB305" s="17"/>
      <c r="AC305" s="17"/>
      <c r="AD305" s="17"/>
      <c r="AE305" s="17"/>
      <c r="AF305" s="17"/>
      <c r="AG305" s="17"/>
      <c r="AH305" s="17"/>
      <c r="AI305" s="17"/>
      <c r="AJ305" s="17"/>
      <c r="AK305" s="17"/>
      <c r="AL305" s="17"/>
      <c r="AM305" s="17"/>
      <c r="AN305" s="17"/>
      <c r="AO305" s="17"/>
      <c r="AP305" s="17"/>
      <c r="AQ305" s="17"/>
      <c r="AR305" s="17"/>
      <c r="AS305" s="17"/>
    </row>
    <row r="306" spans="1:45">
      <c r="A306" s="28">
        <f t="shared" si="15"/>
        <v>301</v>
      </c>
      <c r="B306" s="7"/>
      <c r="C306" s="35" t="str">
        <f>IFERROR(VLOOKUP(B306,'MASTER RECORD'!$B$5:$W$1000,3,0),"")</f>
        <v/>
      </c>
      <c r="D306" s="35" t="str">
        <f>IFERROR(VLOOKUP(B306,'MASTER RECORD'!$B$5:$W$1000,2,0),"")</f>
        <v/>
      </c>
      <c r="E306" s="36" t="str">
        <f>IFERROR(VLOOKUP(B306,'MASTER RECORD'!$B$5:$W$1000,9,0),"")</f>
        <v/>
      </c>
      <c r="F306" s="35" t="str">
        <f>IFERROR(VLOOKUP(B306,'MASTER RECORD'!$B$5:$W$1000,10,0) &amp;"."&amp;(VLOOKUP(B306,'MASTER RECORD'!$B$5:$W$1000,11,0)),"")</f>
        <v/>
      </c>
      <c r="G306" s="36" t="str">
        <f t="shared" si="13"/>
        <v/>
      </c>
      <c r="H306" s="35" t="str">
        <f t="shared" si="14"/>
        <v/>
      </c>
      <c r="I306" s="35" t="str">
        <f>IFERROR(VLOOKUP(B306,'MASTER RECORD'!$B$5:$W$1000,14,0),"")</f>
        <v/>
      </c>
      <c r="J306" s="17"/>
      <c r="K306" s="17"/>
      <c r="L306" s="17"/>
      <c r="M306" s="17"/>
      <c r="N306" s="17"/>
      <c r="O306" s="17"/>
      <c r="P306" s="17"/>
      <c r="Q306" s="17"/>
      <c r="R306" s="17"/>
      <c r="S306" s="17"/>
      <c r="T306" s="17"/>
      <c r="U306" s="17"/>
      <c r="V306" s="17"/>
      <c r="W306" s="17"/>
      <c r="X306" s="17"/>
      <c r="Y306" s="17"/>
      <c r="Z306" s="17"/>
      <c r="AA306" s="17"/>
      <c r="AB306" s="17"/>
      <c r="AC306" s="17"/>
      <c r="AD306" s="17"/>
      <c r="AE306" s="17"/>
      <c r="AF306" s="17"/>
      <c r="AG306" s="17"/>
      <c r="AH306" s="17"/>
      <c r="AI306" s="17"/>
      <c r="AJ306" s="17"/>
      <c r="AK306" s="17"/>
      <c r="AL306" s="17"/>
      <c r="AM306" s="17"/>
      <c r="AN306" s="17"/>
      <c r="AO306" s="17"/>
      <c r="AP306" s="17"/>
      <c r="AQ306" s="17"/>
      <c r="AR306" s="17"/>
      <c r="AS306" s="17"/>
    </row>
    <row r="307" spans="1:45">
      <c r="A307" s="28">
        <f t="shared" si="15"/>
        <v>302</v>
      </c>
      <c r="B307" s="7"/>
      <c r="C307" s="35" t="str">
        <f>IFERROR(VLOOKUP(B307,'MASTER RECORD'!$B$5:$W$1000,3,0),"")</f>
        <v/>
      </c>
      <c r="D307" s="35" t="str">
        <f>IFERROR(VLOOKUP(B307,'MASTER RECORD'!$B$5:$W$1000,2,0),"")</f>
        <v/>
      </c>
      <c r="E307" s="36" t="str">
        <f>IFERROR(VLOOKUP(B307,'MASTER RECORD'!$B$5:$W$1000,9,0),"")</f>
        <v/>
      </c>
      <c r="F307" s="35" t="str">
        <f>IFERROR(VLOOKUP(B307,'MASTER RECORD'!$B$5:$W$1000,10,0) &amp;"."&amp;(VLOOKUP(B307,'MASTER RECORD'!$B$5:$W$1000,11,0)),"")</f>
        <v/>
      </c>
      <c r="G307" s="36" t="str">
        <f t="shared" si="13"/>
        <v/>
      </c>
      <c r="H307" s="35" t="str">
        <f t="shared" si="14"/>
        <v/>
      </c>
      <c r="I307" s="35" t="str">
        <f>IFERROR(VLOOKUP(B307,'MASTER RECORD'!$B$5:$W$1000,14,0),"")</f>
        <v/>
      </c>
      <c r="J307" s="17"/>
      <c r="K307" s="17"/>
      <c r="L307" s="17"/>
      <c r="M307" s="17"/>
      <c r="N307" s="17"/>
      <c r="O307" s="17"/>
      <c r="P307" s="17"/>
      <c r="Q307" s="17"/>
      <c r="R307" s="17"/>
      <c r="S307" s="17"/>
      <c r="T307" s="17"/>
      <c r="U307" s="17"/>
      <c r="V307" s="17"/>
      <c r="W307" s="17"/>
      <c r="X307" s="17"/>
      <c r="Y307" s="17"/>
      <c r="Z307" s="17"/>
      <c r="AA307" s="17"/>
      <c r="AB307" s="17"/>
      <c r="AC307" s="17"/>
      <c r="AD307" s="17"/>
      <c r="AE307" s="17"/>
      <c r="AF307" s="17"/>
      <c r="AG307" s="17"/>
      <c r="AH307" s="17"/>
      <c r="AI307" s="17"/>
      <c r="AJ307" s="17"/>
      <c r="AK307" s="17"/>
      <c r="AL307" s="17"/>
      <c r="AM307" s="17"/>
      <c r="AN307" s="17"/>
      <c r="AO307" s="17"/>
      <c r="AP307" s="17"/>
      <c r="AQ307" s="17"/>
      <c r="AR307" s="17"/>
      <c r="AS307" s="17"/>
    </row>
    <row r="308" spans="1:45">
      <c r="A308" s="28">
        <f t="shared" si="15"/>
        <v>303</v>
      </c>
      <c r="B308" s="7"/>
      <c r="C308" s="35" t="str">
        <f>IFERROR(VLOOKUP(B308,'MASTER RECORD'!$B$5:$W$1000,3,0),"")</f>
        <v/>
      </c>
      <c r="D308" s="35" t="str">
        <f>IFERROR(VLOOKUP(B308,'MASTER RECORD'!$B$5:$W$1000,2,0),"")</f>
        <v/>
      </c>
      <c r="E308" s="36" t="str">
        <f>IFERROR(VLOOKUP(B308,'MASTER RECORD'!$B$5:$W$1000,9,0),"")</f>
        <v/>
      </c>
      <c r="F308" s="35" t="str">
        <f>IFERROR(VLOOKUP(B308,'MASTER RECORD'!$B$5:$W$1000,10,0) &amp;"."&amp;(VLOOKUP(B308,'MASTER RECORD'!$B$5:$W$1000,11,0)),"")</f>
        <v/>
      </c>
      <c r="G308" s="36" t="str">
        <f t="shared" si="13"/>
        <v/>
      </c>
      <c r="H308" s="35" t="str">
        <f t="shared" si="14"/>
        <v/>
      </c>
      <c r="I308" s="35" t="str">
        <f>IFERROR(VLOOKUP(B308,'MASTER RECORD'!$B$5:$W$1000,14,0),"")</f>
        <v/>
      </c>
      <c r="J308" s="17"/>
      <c r="K308" s="17"/>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7"/>
      <c r="AI308" s="17"/>
      <c r="AJ308" s="17"/>
      <c r="AK308" s="17"/>
      <c r="AL308" s="17"/>
      <c r="AM308" s="17"/>
      <c r="AN308" s="17"/>
      <c r="AO308" s="17"/>
      <c r="AP308" s="17"/>
      <c r="AQ308" s="17"/>
      <c r="AR308" s="17"/>
      <c r="AS308" s="17"/>
    </row>
    <row r="309" spans="1:45">
      <c r="A309" s="28">
        <f t="shared" si="15"/>
        <v>304</v>
      </c>
      <c r="B309" s="7"/>
      <c r="C309" s="35" t="str">
        <f>IFERROR(VLOOKUP(B309,'MASTER RECORD'!$B$5:$W$1000,3,0),"")</f>
        <v/>
      </c>
      <c r="D309" s="35" t="str">
        <f>IFERROR(VLOOKUP(B309,'MASTER RECORD'!$B$5:$W$1000,2,0),"")</f>
        <v/>
      </c>
      <c r="E309" s="36" t="str">
        <f>IFERROR(VLOOKUP(B309,'MASTER RECORD'!$B$5:$W$1000,9,0),"")</f>
        <v/>
      </c>
      <c r="F309" s="35" t="str">
        <f>IFERROR(VLOOKUP(B309,'MASTER RECORD'!$B$5:$W$1000,10,0) &amp;"."&amp;(VLOOKUP(B309,'MASTER RECORD'!$B$5:$W$1000,11,0)),"")</f>
        <v/>
      </c>
      <c r="G309" s="36" t="str">
        <f t="shared" si="13"/>
        <v/>
      </c>
      <c r="H309" s="35" t="str">
        <f t="shared" si="14"/>
        <v/>
      </c>
      <c r="I309" s="35" t="str">
        <f>IFERROR(VLOOKUP(B309,'MASTER RECORD'!$B$5:$W$1000,14,0),"")</f>
        <v/>
      </c>
      <c r="J309" s="17"/>
      <c r="K309" s="17"/>
      <c r="L309" s="17"/>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17"/>
      <c r="AO309" s="17"/>
      <c r="AP309" s="17"/>
      <c r="AQ309" s="17"/>
      <c r="AR309" s="17"/>
      <c r="AS309" s="17"/>
    </row>
    <row r="310" spans="1:45">
      <c r="A310" s="28">
        <f t="shared" si="15"/>
        <v>305</v>
      </c>
      <c r="B310" s="7"/>
      <c r="C310" s="35" t="str">
        <f>IFERROR(VLOOKUP(B310,'MASTER RECORD'!$B$5:$W$1000,3,0),"")</f>
        <v/>
      </c>
      <c r="D310" s="35" t="str">
        <f>IFERROR(VLOOKUP(B310,'MASTER RECORD'!$B$5:$W$1000,2,0),"")</f>
        <v/>
      </c>
      <c r="E310" s="36" t="str">
        <f>IFERROR(VLOOKUP(B310,'MASTER RECORD'!$B$5:$W$1000,9,0),"")</f>
        <v/>
      </c>
      <c r="F310" s="35" t="str">
        <f>IFERROR(VLOOKUP(B310,'MASTER RECORD'!$B$5:$W$1000,10,0) &amp;"."&amp;(VLOOKUP(B310,'MASTER RECORD'!$B$5:$W$1000,11,0)),"")</f>
        <v/>
      </c>
      <c r="G310" s="36" t="str">
        <f t="shared" si="13"/>
        <v/>
      </c>
      <c r="H310" s="35" t="str">
        <f t="shared" si="14"/>
        <v/>
      </c>
      <c r="I310" s="35" t="str">
        <f>IFERROR(VLOOKUP(B310,'MASTER RECORD'!$B$5:$W$1000,14,0),"")</f>
        <v/>
      </c>
      <c r="J310" s="17"/>
      <c r="K310" s="17"/>
      <c r="L310" s="17"/>
      <c r="M310" s="17"/>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c r="AK310" s="17"/>
      <c r="AL310" s="17"/>
      <c r="AM310" s="17"/>
      <c r="AN310" s="17"/>
      <c r="AO310" s="17"/>
      <c r="AP310" s="17"/>
      <c r="AQ310" s="17"/>
      <c r="AR310" s="17"/>
      <c r="AS310" s="17"/>
    </row>
    <row r="311" spans="1:45">
      <c r="A311" s="28">
        <f t="shared" si="15"/>
        <v>306</v>
      </c>
      <c r="B311" s="7"/>
      <c r="C311" s="35" t="str">
        <f>IFERROR(VLOOKUP(B311,'MASTER RECORD'!$B$5:$W$1000,3,0),"")</f>
        <v/>
      </c>
      <c r="D311" s="35" t="str">
        <f>IFERROR(VLOOKUP(B311,'MASTER RECORD'!$B$5:$W$1000,2,0),"")</f>
        <v/>
      </c>
      <c r="E311" s="36" t="str">
        <f>IFERROR(VLOOKUP(B311,'MASTER RECORD'!$B$5:$W$1000,9,0),"")</f>
        <v/>
      </c>
      <c r="F311" s="35" t="str">
        <f>IFERROR(VLOOKUP(B311,'MASTER RECORD'!$B$5:$W$1000,10,0) &amp;"."&amp;(VLOOKUP(B311,'MASTER RECORD'!$B$5:$W$1000,11,0)),"")</f>
        <v/>
      </c>
      <c r="G311" s="36" t="str">
        <f t="shared" si="13"/>
        <v/>
      </c>
      <c r="H311" s="35" t="str">
        <f t="shared" si="14"/>
        <v/>
      </c>
      <c r="I311" s="35" t="str">
        <f>IFERROR(VLOOKUP(B311,'MASTER RECORD'!$B$5:$W$1000,14,0),"")</f>
        <v/>
      </c>
      <c r="J311" s="17"/>
      <c r="K311" s="17"/>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17"/>
      <c r="AO311" s="17"/>
      <c r="AP311" s="17"/>
      <c r="AQ311" s="17"/>
      <c r="AR311" s="17"/>
      <c r="AS311" s="17"/>
    </row>
    <row r="312" spans="1:45">
      <c r="A312" s="28">
        <f t="shared" si="15"/>
        <v>307</v>
      </c>
      <c r="B312" s="7"/>
      <c r="C312" s="35" t="str">
        <f>IFERROR(VLOOKUP(B312,'MASTER RECORD'!$B$5:$W$1000,3,0),"")</f>
        <v/>
      </c>
      <c r="D312" s="35" t="str">
        <f>IFERROR(VLOOKUP(B312,'MASTER RECORD'!$B$5:$W$1000,2,0),"")</f>
        <v/>
      </c>
      <c r="E312" s="36" t="str">
        <f>IFERROR(VLOOKUP(B312,'MASTER RECORD'!$B$5:$W$1000,9,0),"")</f>
        <v/>
      </c>
      <c r="F312" s="35" t="str">
        <f>IFERROR(VLOOKUP(B312,'MASTER RECORD'!$B$5:$W$1000,10,0) &amp;"."&amp;(VLOOKUP(B312,'MASTER RECORD'!$B$5:$W$1000,11,0)),"")</f>
        <v/>
      </c>
      <c r="G312" s="36" t="str">
        <f t="shared" si="13"/>
        <v/>
      </c>
      <c r="H312" s="35" t="str">
        <f t="shared" si="14"/>
        <v/>
      </c>
      <c r="I312" s="35" t="str">
        <f>IFERROR(VLOOKUP(B312,'MASTER RECORD'!$B$5:$W$1000,14,0),"")</f>
        <v/>
      </c>
      <c r="J312" s="17"/>
      <c r="K312" s="17"/>
      <c r="L312" s="17"/>
      <c r="M312" s="17"/>
      <c r="N312" s="17"/>
      <c r="O312" s="17"/>
      <c r="P312" s="17"/>
      <c r="Q312" s="17"/>
      <c r="R312" s="17"/>
      <c r="S312" s="17"/>
      <c r="T312" s="17"/>
      <c r="U312" s="17"/>
      <c r="V312" s="17"/>
      <c r="W312" s="17"/>
      <c r="X312" s="17"/>
      <c r="Y312" s="17"/>
      <c r="Z312" s="17"/>
      <c r="AA312" s="17"/>
      <c r="AB312" s="17"/>
      <c r="AC312" s="17"/>
      <c r="AD312" s="17"/>
      <c r="AE312" s="17"/>
      <c r="AF312" s="17"/>
      <c r="AG312" s="17"/>
      <c r="AH312" s="17"/>
      <c r="AI312" s="17"/>
      <c r="AJ312" s="17"/>
      <c r="AK312" s="17"/>
      <c r="AL312" s="17"/>
      <c r="AM312" s="17"/>
      <c r="AN312" s="17"/>
      <c r="AO312" s="17"/>
      <c r="AP312" s="17"/>
      <c r="AQ312" s="17"/>
      <c r="AR312" s="17"/>
      <c r="AS312" s="17"/>
    </row>
    <row r="313" spans="1:45">
      <c r="A313" s="28">
        <f t="shared" si="15"/>
        <v>308</v>
      </c>
      <c r="B313" s="7"/>
      <c r="C313" s="35" t="str">
        <f>IFERROR(VLOOKUP(B313,'MASTER RECORD'!$B$5:$W$1000,3,0),"")</f>
        <v/>
      </c>
      <c r="D313" s="35" t="str">
        <f>IFERROR(VLOOKUP(B313,'MASTER RECORD'!$B$5:$W$1000,2,0),"")</f>
        <v/>
      </c>
      <c r="E313" s="36" t="str">
        <f>IFERROR(VLOOKUP(B313,'MASTER RECORD'!$B$5:$W$1000,9,0),"")</f>
        <v/>
      </c>
      <c r="F313" s="35" t="str">
        <f>IFERROR(VLOOKUP(B313,'MASTER RECORD'!$B$5:$W$1000,10,0) &amp;"."&amp;(VLOOKUP(B313,'MASTER RECORD'!$B$5:$W$1000,11,0)),"")</f>
        <v/>
      </c>
      <c r="G313" s="36" t="str">
        <f t="shared" si="13"/>
        <v/>
      </c>
      <c r="H313" s="35" t="str">
        <f t="shared" si="14"/>
        <v/>
      </c>
      <c r="I313" s="35" t="str">
        <f>IFERROR(VLOOKUP(B313,'MASTER RECORD'!$B$5:$W$1000,14,0),"")</f>
        <v/>
      </c>
      <c r="J313" s="17"/>
      <c r="K313" s="17"/>
      <c r="L313" s="17"/>
      <c r="M313" s="17"/>
      <c r="N313" s="17"/>
      <c r="O313" s="17"/>
      <c r="P313" s="17"/>
      <c r="Q313" s="17"/>
      <c r="R313" s="17"/>
      <c r="S313" s="17"/>
      <c r="T313" s="17"/>
      <c r="U313" s="17"/>
      <c r="V313" s="17"/>
      <c r="W313" s="17"/>
      <c r="X313" s="17"/>
      <c r="Y313" s="17"/>
      <c r="Z313" s="17"/>
      <c r="AA313" s="17"/>
      <c r="AB313" s="17"/>
      <c r="AC313" s="17"/>
      <c r="AD313" s="17"/>
      <c r="AE313" s="17"/>
      <c r="AF313" s="17"/>
      <c r="AG313" s="17"/>
      <c r="AH313" s="17"/>
      <c r="AI313" s="17"/>
      <c r="AJ313" s="17"/>
      <c r="AK313" s="17"/>
      <c r="AL313" s="17"/>
      <c r="AM313" s="17"/>
      <c r="AN313" s="17"/>
      <c r="AO313" s="17"/>
      <c r="AP313" s="17"/>
      <c r="AQ313" s="17"/>
      <c r="AR313" s="17"/>
      <c r="AS313" s="17"/>
    </row>
    <row r="314" spans="1:45">
      <c r="A314" s="28">
        <f t="shared" si="15"/>
        <v>309</v>
      </c>
      <c r="B314" s="7"/>
      <c r="C314" s="35" t="str">
        <f>IFERROR(VLOOKUP(B314,'MASTER RECORD'!$B$5:$W$1000,3,0),"")</f>
        <v/>
      </c>
      <c r="D314" s="35" t="str">
        <f>IFERROR(VLOOKUP(B314,'MASTER RECORD'!$B$5:$W$1000,2,0),"")</f>
        <v/>
      </c>
      <c r="E314" s="36" t="str">
        <f>IFERROR(VLOOKUP(B314,'MASTER RECORD'!$B$5:$W$1000,9,0),"")</f>
        <v/>
      </c>
      <c r="F314" s="35" t="str">
        <f>IFERROR(VLOOKUP(B314,'MASTER RECORD'!$B$5:$W$1000,10,0) &amp;"."&amp;(VLOOKUP(B314,'MASTER RECORD'!$B$5:$W$1000,11,0)),"")</f>
        <v/>
      </c>
      <c r="G314" s="36" t="str">
        <f t="shared" si="13"/>
        <v/>
      </c>
      <c r="H314" s="35" t="str">
        <f t="shared" si="14"/>
        <v/>
      </c>
      <c r="I314" s="35" t="str">
        <f>IFERROR(VLOOKUP(B314,'MASTER RECORD'!$B$5:$W$1000,14,0),"")</f>
        <v/>
      </c>
      <c r="J314" s="17"/>
      <c r="K314" s="17"/>
      <c r="L314" s="17"/>
      <c r="M314" s="17"/>
      <c r="N314" s="17"/>
      <c r="O314" s="17"/>
      <c r="P314" s="17"/>
      <c r="Q314" s="17"/>
      <c r="R314" s="17"/>
      <c r="S314" s="17"/>
      <c r="T314" s="17"/>
      <c r="U314" s="17"/>
      <c r="V314" s="17"/>
      <c r="W314" s="17"/>
      <c r="X314" s="17"/>
      <c r="Y314" s="17"/>
      <c r="Z314" s="17"/>
      <c r="AA314" s="17"/>
      <c r="AB314" s="17"/>
      <c r="AC314" s="17"/>
      <c r="AD314" s="17"/>
      <c r="AE314" s="17"/>
      <c r="AF314" s="17"/>
      <c r="AG314" s="17"/>
      <c r="AH314" s="17"/>
      <c r="AI314" s="17"/>
      <c r="AJ314" s="17"/>
      <c r="AK314" s="17"/>
      <c r="AL314" s="17"/>
      <c r="AM314" s="17"/>
      <c r="AN314" s="17"/>
      <c r="AO314" s="17"/>
      <c r="AP314" s="17"/>
      <c r="AQ314" s="17"/>
      <c r="AR314" s="17"/>
      <c r="AS314" s="17"/>
    </row>
    <row r="315" spans="1:45">
      <c r="A315" s="28">
        <f t="shared" si="15"/>
        <v>310</v>
      </c>
      <c r="B315" s="7"/>
      <c r="C315" s="35" t="str">
        <f>IFERROR(VLOOKUP(B315,'MASTER RECORD'!$B$5:$W$1000,3,0),"")</f>
        <v/>
      </c>
      <c r="D315" s="35" t="str">
        <f>IFERROR(VLOOKUP(B315,'MASTER RECORD'!$B$5:$W$1000,2,0),"")</f>
        <v/>
      </c>
      <c r="E315" s="36" t="str">
        <f>IFERROR(VLOOKUP(B315,'MASTER RECORD'!$B$5:$W$1000,9,0),"")</f>
        <v/>
      </c>
      <c r="F315" s="35" t="str">
        <f>IFERROR(VLOOKUP(B315,'MASTER RECORD'!$B$5:$W$1000,10,0) &amp;"."&amp;(VLOOKUP(B315,'MASTER RECORD'!$B$5:$W$1000,11,0)),"")</f>
        <v/>
      </c>
      <c r="G315" s="36" t="str">
        <f t="shared" si="13"/>
        <v/>
      </c>
      <c r="H315" s="35" t="str">
        <f t="shared" si="14"/>
        <v/>
      </c>
      <c r="I315" s="35" t="str">
        <f>IFERROR(VLOOKUP(B315,'MASTER RECORD'!$B$5:$W$1000,14,0),"")</f>
        <v/>
      </c>
      <c r="J315" s="17"/>
      <c r="K315" s="17"/>
      <c r="L315" s="17"/>
      <c r="M315" s="17"/>
      <c r="N315" s="17"/>
      <c r="O315" s="17"/>
      <c r="P315" s="17"/>
      <c r="Q315" s="17"/>
      <c r="R315" s="17"/>
      <c r="S315" s="17"/>
      <c r="T315" s="17"/>
      <c r="U315" s="17"/>
      <c r="V315" s="17"/>
      <c r="W315" s="17"/>
      <c r="X315" s="17"/>
      <c r="Y315" s="17"/>
      <c r="Z315" s="17"/>
      <c r="AA315" s="17"/>
      <c r="AB315" s="17"/>
      <c r="AC315" s="17"/>
      <c r="AD315" s="17"/>
      <c r="AE315" s="17"/>
      <c r="AF315" s="17"/>
      <c r="AG315" s="17"/>
      <c r="AH315" s="17"/>
      <c r="AI315" s="17"/>
      <c r="AJ315" s="17"/>
      <c r="AK315" s="17"/>
      <c r="AL315" s="17"/>
      <c r="AM315" s="17"/>
      <c r="AN315" s="17"/>
      <c r="AO315" s="17"/>
      <c r="AP315" s="17"/>
      <c r="AQ315" s="17"/>
      <c r="AR315" s="17"/>
      <c r="AS315" s="17"/>
    </row>
    <row r="316" spans="1:45">
      <c r="A316" s="28">
        <f t="shared" si="15"/>
        <v>311</v>
      </c>
      <c r="B316" s="7"/>
      <c r="C316" s="35" t="str">
        <f>IFERROR(VLOOKUP(B316,'MASTER RECORD'!$B$5:$W$1000,3,0),"")</f>
        <v/>
      </c>
      <c r="D316" s="35" t="str">
        <f>IFERROR(VLOOKUP(B316,'MASTER RECORD'!$B$5:$W$1000,2,0),"")</f>
        <v/>
      </c>
      <c r="E316" s="36" t="str">
        <f>IFERROR(VLOOKUP(B316,'MASTER RECORD'!$B$5:$W$1000,9,0),"")</f>
        <v/>
      </c>
      <c r="F316" s="35" t="str">
        <f>IFERROR(VLOOKUP(B316,'MASTER RECORD'!$B$5:$W$1000,10,0) &amp;"."&amp;(VLOOKUP(B316,'MASTER RECORD'!$B$5:$W$1000,11,0)),"")</f>
        <v/>
      </c>
      <c r="G316" s="36" t="str">
        <f t="shared" si="13"/>
        <v/>
      </c>
      <c r="H316" s="35" t="str">
        <f t="shared" si="14"/>
        <v/>
      </c>
      <c r="I316" s="35" t="str">
        <f>IFERROR(VLOOKUP(B316,'MASTER RECORD'!$B$5:$W$1000,14,0),"")</f>
        <v/>
      </c>
      <c r="J316" s="17"/>
      <c r="K316" s="17"/>
      <c r="L316" s="17"/>
      <c r="M316" s="17"/>
      <c r="N316" s="17"/>
      <c r="O316" s="17"/>
      <c r="P316" s="17"/>
      <c r="Q316" s="17"/>
      <c r="R316" s="17"/>
      <c r="S316" s="17"/>
      <c r="T316" s="17"/>
      <c r="U316" s="17"/>
      <c r="V316" s="17"/>
      <c r="W316" s="17"/>
      <c r="X316" s="17"/>
      <c r="Y316" s="17"/>
      <c r="Z316" s="17"/>
      <c r="AA316" s="17"/>
      <c r="AB316" s="17"/>
      <c r="AC316" s="17"/>
      <c r="AD316" s="17"/>
      <c r="AE316" s="17"/>
      <c r="AF316" s="17"/>
      <c r="AG316" s="17"/>
      <c r="AH316" s="17"/>
      <c r="AI316" s="17"/>
      <c r="AJ316" s="17"/>
      <c r="AK316" s="17"/>
      <c r="AL316" s="17"/>
      <c r="AM316" s="17"/>
      <c r="AN316" s="17"/>
      <c r="AO316" s="17"/>
      <c r="AP316" s="17"/>
      <c r="AQ316" s="17"/>
      <c r="AR316" s="17"/>
      <c r="AS316" s="17"/>
    </row>
    <row r="317" spans="1:45">
      <c r="A317" s="28">
        <f t="shared" si="15"/>
        <v>312</v>
      </c>
      <c r="B317" s="7"/>
      <c r="C317" s="35" t="str">
        <f>IFERROR(VLOOKUP(B317,'MASTER RECORD'!$B$5:$W$1000,3,0),"")</f>
        <v/>
      </c>
      <c r="D317" s="35" t="str">
        <f>IFERROR(VLOOKUP(B317,'MASTER RECORD'!$B$5:$W$1000,2,0),"")</f>
        <v/>
      </c>
      <c r="E317" s="36" t="str">
        <f>IFERROR(VLOOKUP(B317,'MASTER RECORD'!$B$5:$W$1000,9,0),"")</f>
        <v/>
      </c>
      <c r="F317" s="35" t="str">
        <f>IFERROR(VLOOKUP(B317,'MASTER RECORD'!$B$5:$W$1000,10,0) &amp;"."&amp;(VLOOKUP(B317,'MASTER RECORD'!$B$5:$W$1000,11,0)),"")</f>
        <v/>
      </c>
      <c r="G317" s="36" t="str">
        <f t="shared" si="13"/>
        <v/>
      </c>
      <c r="H317" s="35" t="str">
        <f t="shared" si="14"/>
        <v/>
      </c>
      <c r="I317" s="35" t="str">
        <f>IFERROR(VLOOKUP(B317,'MASTER RECORD'!$B$5:$W$1000,14,0),"")</f>
        <v/>
      </c>
      <c r="J317" s="17"/>
      <c r="K317" s="17"/>
      <c r="L317" s="17"/>
      <c r="M317" s="17"/>
      <c r="N317" s="17"/>
      <c r="O317" s="17"/>
      <c r="P317" s="17"/>
      <c r="Q317" s="17"/>
      <c r="R317" s="17"/>
      <c r="S317" s="17"/>
      <c r="T317" s="17"/>
      <c r="U317" s="17"/>
      <c r="V317" s="17"/>
      <c r="W317" s="17"/>
      <c r="X317" s="17"/>
      <c r="Y317" s="17"/>
      <c r="Z317" s="17"/>
      <c r="AA317" s="17"/>
      <c r="AB317" s="17"/>
      <c r="AC317" s="17"/>
      <c r="AD317" s="17"/>
      <c r="AE317" s="17"/>
      <c r="AF317" s="17"/>
      <c r="AG317" s="17"/>
      <c r="AH317" s="17"/>
      <c r="AI317" s="17"/>
      <c r="AJ317" s="17"/>
      <c r="AK317" s="17"/>
      <c r="AL317" s="17"/>
      <c r="AM317" s="17"/>
      <c r="AN317" s="17"/>
      <c r="AO317" s="17"/>
      <c r="AP317" s="17"/>
      <c r="AQ317" s="17"/>
      <c r="AR317" s="17"/>
      <c r="AS317" s="17"/>
    </row>
    <row r="318" spans="1:45">
      <c r="A318" s="28">
        <f t="shared" si="15"/>
        <v>313</v>
      </c>
      <c r="B318" s="7"/>
      <c r="C318" s="35" t="str">
        <f>IFERROR(VLOOKUP(B318,'MASTER RECORD'!$B$5:$W$1000,3,0),"")</f>
        <v/>
      </c>
      <c r="D318" s="35" t="str">
        <f>IFERROR(VLOOKUP(B318,'MASTER RECORD'!$B$5:$W$1000,2,0),"")</f>
        <v/>
      </c>
      <c r="E318" s="36" t="str">
        <f>IFERROR(VLOOKUP(B318,'MASTER RECORD'!$B$5:$W$1000,9,0),"")</f>
        <v/>
      </c>
      <c r="F318" s="35" t="str">
        <f>IFERROR(VLOOKUP(B318,'MASTER RECORD'!$B$5:$W$1000,10,0) &amp;"."&amp;(VLOOKUP(B318,'MASTER RECORD'!$B$5:$W$1000,11,0)),"")</f>
        <v/>
      </c>
      <c r="G318" s="36" t="str">
        <f t="shared" si="13"/>
        <v/>
      </c>
      <c r="H318" s="35" t="str">
        <f t="shared" si="14"/>
        <v/>
      </c>
      <c r="I318" s="35" t="str">
        <f>IFERROR(VLOOKUP(B318,'MASTER RECORD'!$B$5:$W$1000,14,0),"")</f>
        <v/>
      </c>
      <c r="J318" s="17"/>
      <c r="K318" s="17"/>
      <c r="L318" s="17"/>
      <c r="M318" s="17"/>
      <c r="N318" s="17"/>
      <c r="O318" s="17"/>
      <c r="P318" s="17"/>
      <c r="Q318" s="17"/>
      <c r="R318" s="17"/>
      <c r="S318" s="17"/>
      <c r="T318" s="17"/>
      <c r="U318" s="17"/>
      <c r="V318" s="17"/>
      <c r="W318" s="17"/>
      <c r="X318" s="17"/>
      <c r="Y318" s="17"/>
      <c r="Z318" s="17"/>
      <c r="AA318" s="17"/>
      <c r="AB318" s="17"/>
      <c r="AC318" s="17"/>
      <c r="AD318" s="17"/>
      <c r="AE318" s="17"/>
      <c r="AF318" s="17"/>
      <c r="AG318" s="17"/>
      <c r="AH318" s="17"/>
      <c r="AI318" s="17"/>
      <c r="AJ318" s="17"/>
      <c r="AK318" s="17"/>
      <c r="AL318" s="17"/>
      <c r="AM318" s="17"/>
      <c r="AN318" s="17"/>
      <c r="AO318" s="17"/>
      <c r="AP318" s="17"/>
      <c r="AQ318" s="17"/>
      <c r="AR318" s="17"/>
      <c r="AS318" s="17"/>
    </row>
    <row r="319" spans="1:45">
      <c r="A319" s="28">
        <f t="shared" si="15"/>
        <v>314</v>
      </c>
      <c r="B319" s="7"/>
      <c r="C319" s="35" t="str">
        <f>IFERROR(VLOOKUP(B319,'MASTER RECORD'!$B$5:$W$1000,3,0),"")</f>
        <v/>
      </c>
      <c r="D319" s="35" t="str">
        <f>IFERROR(VLOOKUP(B319,'MASTER RECORD'!$B$5:$W$1000,2,0),"")</f>
        <v/>
      </c>
      <c r="E319" s="36" t="str">
        <f>IFERROR(VLOOKUP(B319,'MASTER RECORD'!$B$5:$W$1000,9,0),"")</f>
        <v/>
      </c>
      <c r="F319" s="35" t="str">
        <f>IFERROR(VLOOKUP(B319,'MASTER RECORD'!$B$5:$W$1000,10,0) &amp;"."&amp;(VLOOKUP(B319,'MASTER RECORD'!$B$5:$W$1000,11,0)),"")</f>
        <v/>
      </c>
      <c r="G319" s="36" t="str">
        <f t="shared" si="13"/>
        <v/>
      </c>
      <c r="H319" s="35" t="str">
        <f t="shared" si="14"/>
        <v/>
      </c>
      <c r="I319" s="35" t="str">
        <f>IFERROR(VLOOKUP(B319,'MASTER RECORD'!$B$5:$W$1000,14,0),"")</f>
        <v/>
      </c>
      <c r="J319" s="17"/>
      <c r="K319" s="17"/>
      <c r="L319" s="17"/>
      <c r="M319" s="17"/>
      <c r="N319" s="17"/>
      <c r="O319" s="17"/>
      <c r="P319" s="17"/>
      <c r="Q319" s="17"/>
      <c r="R319" s="17"/>
      <c r="S319" s="17"/>
      <c r="T319" s="17"/>
      <c r="U319" s="17"/>
      <c r="V319" s="17"/>
      <c r="W319" s="17"/>
      <c r="X319" s="17"/>
      <c r="Y319" s="17"/>
      <c r="Z319" s="17"/>
      <c r="AA319" s="17"/>
      <c r="AB319" s="17"/>
      <c r="AC319" s="17"/>
      <c r="AD319" s="17"/>
      <c r="AE319" s="17"/>
      <c r="AF319" s="17"/>
      <c r="AG319" s="17"/>
      <c r="AH319" s="17"/>
      <c r="AI319" s="17"/>
      <c r="AJ319" s="17"/>
      <c r="AK319" s="17"/>
      <c r="AL319" s="17"/>
      <c r="AM319" s="17"/>
      <c r="AN319" s="17"/>
      <c r="AO319" s="17"/>
      <c r="AP319" s="17"/>
      <c r="AQ319" s="17"/>
      <c r="AR319" s="17"/>
      <c r="AS319" s="17"/>
    </row>
    <row r="320" spans="1:45">
      <c r="A320" s="28">
        <f t="shared" si="15"/>
        <v>315</v>
      </c>
      <c r="B320" s="7"/>
      <c r="C320" s="35" t="str">
        <f>IFERROR(VLOOKUP(B320,'MASTER RECORD'!$B$5:$W$1000,3,0),"")</f>
        <v/>
      </c>
      <c r="D320" s="35" t="str">
        <f>IFERROR(VLOOKUP(B320,'MASTER RECORD'!$B$5:$W$1000,2,0),"")</f>
        <v/>
      </c>
      <c r="E320" s="36" t="str">
        <f>IFERROR(VLOOKUP(B320,'MASTER RECORD'!$B$5:$W$1000,9,0),"")</f>
        <v/>
      </c>
      <c r="F320" s="35" t="str">
        <f>IFERROR(VLOOKUP(B320,'MASTER RECORD'!$B$5:$W$1000,10,0) &amp;"."&amp;(VLOOKUP(B320,'MASTER RECORD'!$B$5:$W$1000,11,0)),"")</f>
        <v/>
      </c>
      <c r="G320" s="36" t="str">
        <f t="shared" si="13"/>
        <v/>
      </c>
      <c r="H320" s="35" t="str">
        <f t="shared" si="14"/>
        <v/>
      </c>
      <c r="I320" s="35" t="str">
        <f>IFERROR(VLOOKUP(B320,'MASTER RECORD'!$B$5:$W$1000,14,0),"")</f>
        <v/>
      </c>
      <c r="J320" s="17"/>
      <c r="K320" s="17"/>
      <c r="L320" s="17"/>
      <c r="M320" s="17"/>
      <c r="N320" s="17"/>
      <c r="O320" s="17"/>
      <c r="P320" s="17"/>
      <c r="Q320" s="17"/>
      <c r="R320" s="17"/>
      <c r="S320" s="17"/>
      <c r="T320" s="17"/>
      <c r="U320" s="17"/>
      <c r="V320" s="17"/>
      <c r="W320" s="17"/>
      <c r="X320" s="17"/>
      <c r="Y320" s="17"/>
      <c r="Z320" s="17"/>
      <c r="AA320" s="17"/>
      <c r="AB320" s="17"/>
      <c r="AC320" s="17"/>
      <c r="AD320" s="17"/>
      <c r="AE320" s="17"/>
      <c r="AF320" s="17"/>
      <c r="AG320" s="17"/>
      <c r="AH320" s="17"/>
      <c r="AI320" s="17"/>
      <c r="AJ320" s="17"/>
      <c r="AK320" s="17"/>
      <c r="AL320" s="17"/>
      <c r="AM320" s="17"/>
      <c r="AN320" s="17"/>
      <c r="AO320" s="17"/>
      <c r="AP320" s="17"/>
      <c r="AQ320" s="17"/>
      <c r="AR320" s="17"/>
      <c r="AS320" s="17"/>
    </row>
    <row r="321" spans="1:45">
      <c r="A321" s="28">
        <f t="shared" si="15"/>
        <v>316</v>
      </c>
      <c r="B321" s="7"/>
      <c r="C321" s="35" t="str">
        <f>IFERROR(VLOOKUP(B321,'MASTER RECORD'!$B$5:$W$1000,3,0),"")</f>
        <v/>
      </c>
      <c r="D321" s="35" t="str">
        <f>IFERROR(VLOOKUP(B321,'MASTER RECORD'!$B$5:$W$1000,2,0),"")</f>
        <v/>
      </c>
      <c r="E321" s="36" t="str">
        <f>IFERROR(VLOOKUP(B321,'MASTER RECORD'!$B$5:$W$1000,9,0),"")</f>
        <v/>
      </c>
      <c r="F321" s="35" t="str">
        <f>IFERROR(VLOOKUP(B321,'MASTER RECORD'!$B$5:$W$1000,10,0) &amp;"."&amp;(VLOOKUP(B321,'MASTER RECORD'!$B$5:$W$1000,11,0)),"")</f>
        <v/>
      </c>
      <c r="G321" s="36" t="str">
        <f t="shared" si="13"/>
        <v/>
      </c>
      <c r="H321" s="35" t="str">
        <f t="shared" si="14"/>
        <v/>
      </c>
      <c r="I321" s="35" t="str">
        <f>IFERROR(VLOOKUP(B321,'MASTER RECORD'!$B$5:$W$1000,14,0),"")</f>
        <v/>
      </c>
      <c r="J321" s="17"/>
      <c r="K321" s="17"/>
      <c r="L321" s="17"/>
      <c r="M321" s="17"/>
      <c r="N321" s="17"/>
      <c r="O321" s="17"/>
      <c r="P321" s="17"/>
      <c r="Q321" s="17"/>
      <c r="R321" s="17"/>
      <c r="S321" s="17"/>
      <c r="T321" s="17"/>
      <c r="U321" s="17"/>
      <c r="V321" s="17"/>
      <c r="W321" s="17"/>
      <c r="X321" s="17"/>
      <c r="Y321" s="17"/>
      <c r="Z321" s="17"/>
      <c r="AA321" s="17"/>
      <c r="AB321" s="17"/>
      <c r="AC321" s="17"/>
      <c r="AD321" s="17"/>
      <c r="AE321" s="17"/>
      <c r="AF321" s="17"/>
      <c r="AG321" s="17"/>
      <c r="AH321" s="17"/>
      <c r="AI321" s="17"/>
      <c r="AJ321" s="17"/>
      <c r="AK321" s="17"/>
      <c r="AL321" s="17"/>
      <c r="AM321" s="17"/>
      <c r="AN321" s="17"/>
      <c r="AO321" s="17"/>
      <c r="AP321" s="17"/>
      <c r="AQ321" s="17"/>
      <c r="AR321" s="17"/>
      <c r="AS321" s="17"/>
    </row>
    <row r="322" spans="1:45">
      <c r="A322" s="28">
        <f t="shared" si="15"/>
        <v>317</v>
      </c>
      <c r="B322" s="7"/>
      <c r="C322" s="35" t="str">
        <f>IFERROR(VLOOKUP(B322,'MASTER RECORD'!$B$5:$W$1000,3,0),"")</f>
        <v/>
      </c>
      <c r="D322" s="35" t="str">
        <f>IFERROR(VLOOKUP(B322,'MASTER RECORD'!$B$5:$W$1000,2,0),"")</f>
        <v/>
      </c>
      <c r="E322" s="36" t="str">
        <f>IFERROR(VLOOKUP(B322,'MASTER RECORD'!$B$5:$W$1000,9,0),"")</f>
        <v/>
      </c>
      <c r="F322" s="35" t="str">
        <f>IFERROR(VLOOKUP(B322,'MASTER RECORD'!$B$5:$W$1000,10,0) &amp;"."&amp;(VLOOKUP(B322,'MASTER RECORD'!$B$5:$W$1000,11,0)),"")</f>
        <v/>
      </c>
      <c r="G322" s="36" t="str">
        <f t="shared" si="13"/>
        <v/>
      </c>
      <c r="H322" s="35" t="str">
        <f t="shared" si="14"/>
        <v/>
      </c>
      <c r="I322" s="35" t="str">
        <f>IFERROR(VLOOKUP(B322,'MASTER RECORD'!$B$5:$W$1000,14,0),"")</f>
        <v/>
      </c>
      <c r="J322" s="17"/>
      <c r="K322" s="17"/>
      <c r="L322" s="17"/>
      <c r="M322" s="17"/>
      <c r="N322" s="17"/>
      <c r="O322" s="17"/>
      <c r="P322" s="17"/>
      <c r="Q322" s="17"/>
      <c r="R322" s="17"/>
      <c r="S322" s="17"/>
      <c r="T322" s="17"/>
      <c r="U322" s="17"/>
      <c r="V322" s="17"/>
      <c r="W322" s="17"/>
      <c r="X322" s="17"/>
      <c r="Y322" s="17"/>
      <c r="Z322" s="17"/>
      <c r="AA322" s="17"/>
      <c r="AB322" s="17"/>
      <c r="AC322" s="17"/>
      <c r="AD322" s="17"/>
      <c r="AE322" s="17"/>
      <c r="AF322" s="17"/>
      <c r="AG322" s="17"/>
      <c r="AH322" s="17"/>
      <c r="AI322" s="17"/>
      <c r="AJ322" s="17"/>
      <c r="AK322" s="17"/>
      <c r="AL322" s="17"/>
      <c r="AM322" s="17"/>
      <c r="AN322" s="17"/>
      <c r="AO322" s="17"/>
      <c r="AP322" s="17"/>
      <c r="AQ322" s="17"/>
      <c r="AR322" s="17"/>
      <c r="AS322" s="17"/>
    </row>
    <row r="323" spans="1:45">
      <c r="A323" s="28">
        <f t="shared" si="15"/>
        <v>318</v>
      </c>
      <c r="B323" s="7"/>
      <c r="C323" s="35" t="str">
        <f>IFERROR(VLOOKUP(B323,'MASTER RECORD'!$B$5:$W$1000,3,0),"")</f>
        <v/>
      </c>
      <c r="D323" s="35" t="str">
        <f>IFERROR(VLOOKUP(B323,'MASTER RECORD'!$B$5:$W$1000,2,0),"")</f>
        <v/>
      </c>
      <c r="E323" s="36" t="str">
        <f>IFERROR(VLOOKUP(B323,'MASTER RECORD'!$B$5:$W$1000,9,0),"")</f>
        <v/>
      </c>
      <c r="F323" s="35" t="str">
        <f>IFERROR(VLOOKUP(B323,'MASTER RECORD'!$B$5:$W$1000,10,0) &amp;"."&amp;(VLOOKUP(B323,'MASTER RECORD'!$B$5:$W$1000,11,0)),"")</f>
        <v/>
      </c>
      <c r="G323" s="36" t="str">
        <f t="shared" si="13"/>
        <v/>
      </c>
      <c r="H323" s="35" t="str">
        <f t="shared" si="14"/>
        <v/>
      </c>
      <c r="I323" s="35" t="str">
        <f>IFERROR(VLOOKUP(B323,'MASTER RECORD'!$B$5:$W$1000,14,0),"")</f>
        <v/>
      </c>
      <c r="J323" s="17"/>
      <c r="K323" s="17"/>
      <c r="L323" s="17"/>
      <c r="M323" s="17"/>
      <c r="N323" s="17"/>
      <c r="O323" s="17"/>
      <c r="P323" s="17"/>
      <c r="Q323" s="17"/>
      <c r="R323" s="17"/>
      <c r="S323" s="17"/>
      <c r="T323" s="17"/>
      <c r="U323" s="17"/>
      <c r="V323" s="17"/>
      <c r="W323" s="17"/>
      <c r="X323" s="17"/>
      <c r="Y323" s="17"/>
      <c r="Z323" s="17"/>
      <c r="AA323" s="17"/>
      <c r="AB323" s="17"/>
      <c r="AC323" s="17"/>
      <c r="AD323" s="17"/>
      <c r="AE323" s="17"/>
      <c r="AF323" s="17"/>
      <c r="AG323" s="17"/>
      <c r="AH323" s="17"/>
      <c r="AI323" s="17"/>
      <c r="AJ323" s="17"/>
      <c r="AK323" s="17"/>
      <c r="AL323" s="17"/>
      <c r="AM323" s="17"/>
      <c r="AN323" s="17"/>
      <c r="AO323" s="17"/>
      <c r="AP323" s="17"/>
      <c r="AQ323" s="17"/>
      <c r="AR323" s="17"/>
      <c r="AS323" s="17"/>
    </row>
    <row r="324" spans="1:45">
      <c r="A324" s="28">
        <f t="shared" si="15"/>
        <v>319</v>
      </c>
      <c r="B324" s="7"/>
      <c r="C324" s="35" t="str">
        <f>IFERROR(VLOOKUP(B324,'MASTER RECORD'!$B$5:$W$1000,3,0),"")</f>
        <v/>
      </c>
      <c r="D324" s="35" t="str">
        <f>IFERROR(VLOOKUP(B324,'MASTER RECORD'!$B$5:$W$1000,2,0),"")</f>
        <v/>
      </c>
      <c r="E324" s="36" t="str">
        <f>IFERROR(VLOOKUP(B324,'MASTER RECORD'!$B$5:$W$1000,9,0),"")</f>
        <v/>
      </c>
      <c r="F324" s="35" t="str">
        <f>IFERROR(VLOOKUP(B324,'MASTER RECORD'!$B$5:$W$1000,10,0) &amp;"."&amp;(VLOOKUP(B324,'MASTER RECORD'!$B$5:$W$1000,11,0)),"")</f>
        <v/>
      </c>
      <c r="G324" s="36" t="str">
        <f t="shared" si="13"/>
        <v/>
      </c>
      <c r="H324" s="35" t="str">
        <f t="shared" si="14"/>
        <v/>
      </c>
      <c r="I324" s="35" t="str">
        <f>IFERROR(VLOOKUP(B324,'MASTER RECORD'!$B$5:$W$1000,14,0),"")</f>
        <v/>
      </c>
      <c r="J324" s="17"/>
      <c r="K324" s="17"/>
      <c r="L324" s="17"/>
      <c r="M324" s="17"/>
      <c r="N324" s="17"/>
      <c r="O324" s="17"/>
      <c r="P324" s="17"/>
      <c r="Q324" s="17"/>
      <c r="R324" s="17"/>
      <c r="S324" s="17"/>
      <c r="T324" s="17"/>
      <c r="U324" s="17"/>
      <c r="V324" s="17"/>
      <c r="W324" s="17"/>
      <c r="X324" s="17"/>
      <c r="Y324" s="17"/>
      <c r="Z324" s="17"/>
      <c r="AA324" s="17"/>
      <c r="AB324" s="17"/>
      <c r="AC324" s="17"/>
      <c r="AD324" s="17"/>
      <c r="AE324" s="17"/>
      <c r="AF324" s="17"/>
      <c r="AG324" s="17"/>
      <c r="AH324" s="17"/>
      <c r="AI324" s="17"/>
      <c r="AJ324" s="17"/>
      <c r="AK324" s="17"/>
      <c r="AL324" s="17"/>
      <c r="AM324" s="17"/>
      <c r="AN324" s="17"/>
      <c r="AO324" s="17"/>
      <c r="AP324" s="17"/>
      <c r="AQ324" s="17"/>
      <c r="AR324" s="17"/>
      <c r="AS324" s="17"/>
    </row>
    <row r="325" spans="1:45">
      <c r="A325" s="28">
        <f t="shared" si="15"/>
        <v>320</v>
      </c>
      <c r="B325" s="7"/>
      <c r="C325" s="35" t="str">
        <f>IFERROR(VLOOKUP(B325,'MASTER RECORD'!$B$5:$W$1000,3,0),"")</f>
        <v/>
      </c>
      <c r="D325" s="35" t="str">
        <f>IFERROR(VLOOKUP(B325,'MASTER RECORD'!$B$5:$W$1000,2,0),"")</f>
        <v/>
      </c>
      <c r="E325" s="36" t="str">
        <f>IFERROR(VLOOKUP(B325,'MASTER RECORD'!$B$5:$W$1000,9,0),"")</f>
        <v/>
      </c>
      <c r="F325" s="35" t="str">
        <f>IFERROR(VLOOKUP(B325,'MASTER RECORD'!$B$5:$W$1000,10,0) &amp;"."&amp;(VLOOKUP(B325,'MASTER RECORD'!$B$5:$W$1000,11,0)),"")</f>
        <v/>
      </c>
      <c r="G325" s="36" t="str">
        <f t="shared" si="13"/>
        <v/>
      </c>
      <c r="H325" s="35" t="str">
        <f t="shared" si="14"/>
        <v/>
      </c>
      <c r="I325" s="35" t="str">
        <f>IFERROR(VLOOKUP(B325,'MASTER RECORD'!$B$5:$W$1000,14,0),"")</f>
        <v/>
      </c>
      <c r="J325" s="17"/>
      <c r="K325" s="17"/>
      <c r="L325" s="17"/>
      <c r="M325" s="17"/>
      <c r="N325" s="17"/>
      <c r="O325" s="17"/>
      <c r="P325" s="17"/>
      <c r="Q325" s="17"/>
      <c r="R325" s="17"/>
      <c r="S325" s="17"/>
      <c r="T325" s="17"/>
      <c r="U325" s="17"/>
      <c r="V325" s="17"/>
      <c r="W325" s="17"/>
      <c r="X325" s="17"/>
      <c r="Y325" s="17"/>
      <c r="Z325" s="17"/>
      <c r="AA325" s="17"/>
      <c r="AB325" s="17"/>
      <c r="AC325" s="17"/>
      <c r="AD325" s="17"/>
      <c r="AE325" s="17"/>
      <c r="AF325" s="17"/>
      <c r="AG325" s="17"/>
      <c r="AH325" s="17"/>
      <c r="AI325" s="17"/>
      <c r="AJ325" s="17"/>
      <c r="AK325" s="17"/>
      <c r="AL325" s="17"/>
      <c r="AM325" s="17"/>
      <c r="AN325" s="17"/>
      <c r="AO325" s="17"/>
      <c r="AP325" s="17"/>
      <c r="AQ325" s="17"/>
      <c r="AR325" s="17"/>
      <c r="AS325" s="17"/>
    </row>
    <row r="326" spans="1:45">
      <c r="A326" s="28">
        <f t="shared" si="15"/>
        <v>321</v>
      </c>
      <c r="B326" s="7"/>
      <c r="C326" s="35" t="str">
        <f>IFERROR(VLOOKUP(B326,'MASTER RECORD'!$B$5:$W$1000,3,0),"")</f>
        <v/>
      </c>
      <c r="D326" s="35" t="str">
        <f>IFERROR(VLOOKUP(B326,'MASTER RECORD'!$B$5:$W$1000,2,0),"")</f>
        <v/>
      </c>
      <c r="E326" s="36" t="str">
        <f>IFERROR(VLOOKUP(B326,'MASTER RECORD'!$B$5:$W$1000,9,0),"")</f>
        <v/>
      </c>
      <c r="F326" s="35" t="str">
        <f>IFERROR(VLOOKUP(B326,'MASTER RECORD'!$B$5:$W$1000,10,0) &amp;"."&amp;(VLOOKUP(B326,'MASTER RECORD'!$B$5:$W$1000,11,0)),"")</f>
        <v/>
      </c>
      <c r="G326" s="36" t="str">
        <f t="shared" si="13"/>
        <v/>
      </c>
      <c r="H326" s="35" t="str">
        <f t="shared" si="14"/>
        <v/>
      </c>
      <c r="I326" s="35" t="str">
        <f>IFERROR(VLOOKUP(B326,'MASTER RECORD'!$B$5:$W$1000,14,0),"")</f>
        <v/>
      </c>
      <c r="J326" s="17"/>
      <c r="K326" s="17"/>
      <c r="L326" s="17"/>
      <c r="M326" s="17"/>
      <c r="N326" s="17"/>
      <c r="O326" s="17"/>
      <c r="P326" s="17"/>
      <c r="Q326" s="17"/>
      <c r="R326" s="17"/>
      <c r="S326" s="17"/>
      <c r="T326" s="17"/>
      <c r="U326" s="17"/>
      <c r="V326" s="17"/>
      <c r="W326" s="17"/>
      <c r="X326" s="17"/>
      <c r="Y326" s="17"/>
      <c r="Z326" s="17"/>
      <c r="AA326" s="17"/>
      <c r="AB326" s="17"/>
      <c r="AC326" s="17"/>
      <c r="AD326" s="17"/>
      <c r="AE326" s="17"/>
      <c r="AF326" s="17"/>
      <c r="AG326" s="17"/>
      <c r="AH326" s="17"/>
      <c r="AI326" s="17"/>
      <c r="AJ326" s="17"/>
      <c r="AK326" s="17"/>
      <c r="AL326" s="17"/>
      <c r="AM326" s="17"/>
      <c r="AN326" s="17"/>
      <c r="AO326" s="17"/>
      <c r="AP326" s="17"/>
      <c r="AQ326" s="17"/>
      <c r="AR326" s="17"/>
      <c r="AS326" s="17"/>
    </row>
    <row r="327" spans="1:45">
      <c r="A327" s="28">
        <f t="shared" si="15"/>
        <v>322</v>
      </c>
      <c r="B327" s="7"/>
      <c r="C327" s="35" t="str">
        <f>IFERROR(VLOOKUP(B327,'MASTER RECORD'!$B$5:$W$1000,3,0),"")</f>
        <v/>
      </c>
      <c r="D327" s="35" t="str">
        <f>IFERROR(VLOOKUP(B327,'MASTER RECORD'!$B$5:$W$1000,2,0),"")</f>
        <v/>
      </c>
      <c r="E327" s="36" t="str">
        <f>IFERROR(VLOOKUP(B327,'MASTER RECORD'!$B$5:$W$1000,9,0),"")</f>
        <v/>
      </c>
      <c r="F327" s="35" t="str">
        <f>IFERROR(VLOOKUP(B327,'MASTER RECORD'!$B$5:$W$1000,10,0) &amp;"."&amp;(VLOOKUP(B327,'MASTER RECORD'!$B$5:$W$1000,11,0)),"")</f>
        <v/>
      </c>
      <c r="G327" s="36" t="str">
        <f t="shared" ref="G327:G390" si="16">IFERROR(IF(J327="",E327+30.41667,IF(K327="",E327+60.8333,IF(L327="",E327+91.25,IF(M327="",E327+121.667,IF(N327="",E327+152.083,IF(O327="",E327+182.5,IF(P327="",E327+212.917,IF(Q327="",E327+243.333,IF(R327="",E327+273.75,IF(S327="",E327+304.167,IF(T327="",E327+334.583,IF(U327="",E327+365,IF(V327="",E327+395.417,IF(W327="",E327+425.883,IF(X327="",E327+456.25,IF(Y327="",E327+486.667,IF(Z327="",E327+517.083,IF(AA327="",E327+547.5,IF(AB327="",E327+577.917,IF(AC327="",E327+608.333,IF(AD327="",E327+638.75,IF(AE327="",E327+669.167,IF(AF327="",E327+699.583,IF(AG327="",E327+730,IF(AH327="",E327+760.417,IF(AI327="",E327+790.833,IF(AJ327="",E327+821.25,IF(AK327="",E327+851.667,IF(AL327="",E327+882.083,IF(AM327="",E327+912.5,IF(AN327="",E327+942.917,IF(AO327="",E327+973.333,IF(AP327="",E327+1003.75,IF(AQ327="",E327+1034.17,IF(AR327="",E327+1064.58,IF(AS327="",E327+1095,"")))))))))))))))))))))))))))))))))))),"")</f>
        <v/>
      </c>
      <c r="H327" s="35" t="str">
        <f t="shared" si="14"/>
        <v/>
      </c>
      <c r="I327" s="35" t="str">
        <f>IFERROR(VLOOKUP(B327,'MASTER RECORD'!$B$5:$W$1000,14,0),"")</f>
        <v/>
      </c>
      <c r="J327" s="17"/>
      <c r="K327" s="17"/>
      <c r="L327" s="17"/>
      <c r="M327" s="17"/>
      <c r="N327" s="17"/>
      <c r="O327" s="17"/>
      <c r="P327" s="17"/>
      <c r="Q327" s="17"/>
      <c r="R327" s="17"/>
      <c r="S327" s="17"/>
      <c r="T327" s="17"/>
      <c r="U327" s="17"/>
      <c r="V327" s="17"/>
      <c r="W327" s="17"/>
      <c r="X327" s="17"/>
      <c r="Y327" s="17"/>
      <c r="Z327" s="17"/>
      <c r="AA327" s="17"/>
      <c r="AB327" s="17"/>
      <c r="AC327" s="17"/>
      <c r="AD327" s="17"/>
      <c r="AE327" s="17"/>
      <c r="AF327" s="17"/>
      <c r="AG327" s="17"/>
      <c r="AH327" s="17"/>
      <c r="AI327" s="17"/>
      <c r="AJ327" s="17"/>
      <c r="AK327" s="17"/>
      <c r="AL327" s="17"/>
      <c r="AM327" s="17"/>
      <c r="AN327" s="17"/>
      <c r="AO327" s="17"/>
      <c r="AP327" s="17"/>
      <c r="AQ327" s="17"/>
      <c r="AR327" s="17"/>
      <c r="AS327" s="17"/>
    </row>
    <row r="328" spans="1:45">
      <c r="A328" s="28">
        <f t="shared" ref="A328:A391" si="17">ROW(A323)</f>
        <v>323</v>
      </c>
      <c r="B328" s="7"/>
      <c r="C328" s="35" t="str">
        <f>IFERROR(VLOOKUP(B328,'MASTER RECORD'!$B$5:$W$1000,3,0),"")</f>
        <v/>
      </c>
      <c r="D328" s="35" t="str">
        <f>IFERROR(VLOOKUP(B328,'MASTER RECORD'!$B$5:$W$1000,2,0),"")</f>
        <v/>
      </c>
      <c r="E328" s="36" t="str">
        <f>IFERROR(VLOOKUP(B328,'MASTER RECORD'!$B$5:$W$1000,9,0),"")</f>
        <v/>
      </c>
      <c r="F328" s="35" t="str">
        <f>IFERROR(VLOOKUP(B328,'MASTER RECORD'!$B$5:$W$1000,10,0) &amp;"."&amp;(VLOOKUP(B328,'MASTER RECORD'!$B$5:$W$1000,11,0)),"")</f>
        <v/>
      </c>
      <c r="G328" s="36" t="str">
        <f t="shared" si="16"/>
        <v/>
      </c>
      <c r="H328" s="35" t="str">
        <f t="shared" ref="H328:H391" si="18">IF(SUM(I328:AS328)=0,"",SUM(I328:AS328))</f>
        <v/>
      </c>
      <c r="I328" s="35" t="str">
        <f>IFERROR(VLOOKUP(B328,'MASTER RECORD'!$B$5:$W$1000,14,0),"")</f>
        <v/>
      </c>
      <c r="J328" s="17"/>
      <c r="K328" s="17"/>
      <c r="L328" s="17"/>
      <c r="M328" s="17"/>
      <c r="N328" s="17"/>
      <c r="O328" s="17"/>
      <c r="P328" s="17"/>
      <c r="Q328" s="17"/>
      <c r="R328" s="17"/>
      <c r="S328" s="17"/>
      <c r="T328" s="17"/>
      <c r="U328" s="17"/>
      <c r="V328" s="17"/>
      <c r="W328" s="17"/>
      <c r="X328" s="17"/>
      <c r="Y328" s="17"/>
      <c r="Z328" s="17"/>
      <c r="AA328" s="17"/>
      <c r="AB328" s="17"/>
      <c r="AC328" s="17"/>
      <c r="AD328" s="17"/>
      <c r="AE328" s="17"/>
      <c r="AF328" s="17"/>
      <c r="AG328" s="17"/>
      <c r="AH328" s="17"/>
      <c r="AI328" s="17"/>
      <c r="AJ328" s="17"/>
      <c r="AK328" s="17"/>
      <c r="AL328" s="17"/>
      <c r="AM328" s="17"/>
      <c r="AN328" s="17"/>
      <c r="AO328" s="17"/>
      <c r="AP328" s="17"/>
      <c r="AQ328" s="17"/>
      <c r="AR328" s="17"/>
      <c r="AS328" s="17"/>
    </row>
    <row r="329" spans="1:45">
      <c r="A329" s="28">
        <f t="shared" si="17"/>
        <v>324</v>
      </c>
      <c r="B329" s="7"/>
      <c r="C329" s="35" t="str">
        <f>IFERROR(VLOOKUP(B329,'MASTER RECORD'!$B$5:$W$1000,3,0),"")</f>
        <v/>
      </c>
      <c r="D329" s="35" t="str">
        <f>IFERROR(VLOOKUP(B329,'MASTER RECORD'!$B$5:$W$1000,2,0),"")</f>
        <v/>
      </c>
      <c r="E329" s="36" t="str">
        <f>IFERROR(VLOOKUP(B329,'MASTER RECORD'!$B$5:$W$1000,9,0),"")</f>
        <v/>
      </c>
      <c r="F329" s="35" t="str">
        <f>IFERROR(VLOOKUP(B329,'MASTER RECORD'!$B$5:$W$1000,10,0) &amp;"."&amp;(VLOOKUP(B329,'MASTER RECORD'!$B$5:$W$1000,11,0)),"")</f>
        <v/>
      </c>
      <c r="G329" s="36" t="str">
        <f t="shared" si="16"/>
        <v/>
      </c>
      <c r="H329" s="35" t="str">
        <f t="shared" si="18"/>
        <v/>
      </c>
      <c r="I329" s="35" t="str">
        <f>IFERROR(VLOOKUP(B329,'MASTER RECORD'!$B$5:$W$1000,14,0),"")</f>
        <v/>
      </c>
      <c r="J329" s="17"/>
      <c r="K329" s="17"/>
      <c r="L329" s="17"/>
      <c r="M329" s="17"/>
      <c r="N329" s="17"/>
      <c r="O329" s="17"/>
      <c r="P329" s="17"/>
      <c r="Q329" s="17"/>
      <c r="R329" s="17"/>
      <c r="S329" s="17"/>
      <c r="T329" s="17"/>
      <c r="U329" s="17"/>
      <c r="V329" s="17"/>
      <c r="W329" s="17"/>
      <c r="X329" s="17"/>
      <c r="Y329" s="17"/>
      <c r="Z329" s="17"/>
      <c r="AA329" s="17"/>
      <c r="AB329" s="17"/>
      <c r="AC329" s="17"/>
      <c r="AD329" s="17"/>
      <c r="AE329" s="17"/>
      <c r="AF329" s="17"/>
      <c r="AG329" s="17"/>
      <c r="AH329" s="17"/>
      <c r="AI329" s="17"/>
      <c r="AJ329" s="17"/>
      <c r="AK329" s="17"/>
      <c r="AL329" s="17"/>
      <c r="AM329" s="17"/>
      <c r="AN329" s="17"/>
      <c r="AO329" s="17"/>
      <c r="AP329" s="17"/>
      <c r="AQ329" s="17"/>
      <c r="AR329" s="17"/>
      <c r="AS329" s="17"/>
    </row>
    <row r="330" spans="1:45">
      <c r="A330" s="28">
        <f t="shared" si="17"/>
        <v>325</v>
      </c>
      <c r="B330" s="7"/>
      <c r="C330" s="35" t="str">
        <f>IFERROR(VLOOKUP(B330,'MASTER RECORD'!$B$5:$W$1000,3,0),"")</f>
        <v/>
      </c>
      <c r="D330" s="35" t="str">
        <f>IFERROR(VLOOKUP(B330,'MASTER RECORD'!$B$5:$W$1000,2,0),"")</f>
        <v/>
      </c>
      <c r="E330" s="36" t="str">
        <f>IFERROR(VLOOKUP(B330,'MASTER RECORD'!$B$5:$W$1000,9,0),"")</f>
        <v/>
      </c>
      <c r="F330" s="35" t="str">
        <f>IFERROR(VLOOKUP(B330,'MASTER RECORD'!$B$5:$W$1000,10,0) &amp;"."&amp;(VLOOKUP(B330,'MASTER RECORD'!$B$5:$W$1000,11,0)),"")</f>
        <v/>
      </c>
      <c r="G330" s="36" t="str">
        <f t="shared" si="16"/>
        <v/>
      </c>
      <c r="H330" s="35" t="str">
        <f t="shared" si="18"/>
        <v/>
      </c>
      <c r="I330" s="35" t="str">
        <f>IFERROR(VLOOKUP(B330,'MASTER RECORD'!$B$5:$W$1000,14,0),"")</f>
        <v/>
      </c>
      <c r="J330" s="17"/>
      <c r="K330" s="17"/>
      <c r="L330" s="17"/>
      <c r="M330" s="17"/>
      <c r="N330" s="17"/>
      <c r="O330" s="17"/>
      <c r="P330" s="17"/>
      <c r="Q330" s="17"/>
      <c r="R330" s="17"/>
      <c r="S330" s="17"/>
      <c r="T330" s="17"/>
      <c r="U330" s="17"/>
      <c r="V330" s="17"/>
      <c r="W330" s="17"/>
      <c r="X330" s="17"/>
      <c r="Y330" s="17"/>
      <c r="Z330" s="17"/>
      <c r="AA330" s="17"/>
      <c r="AB330" s="17"/>
      <c r="AC330" s="17"/>
      <c r="AD330" s="17"/>
      <c r="AE330" s="17"/>
      <c r="AF330" s="17"/>
      <c r="AG330" s="17"/>
      <c r="AH330" s="17"/>
      <c r="AI330" s="17"/>
      <c r="AJ330" s="17"/>
      <c r="AK330" s="17"/>
      <c r="AL330" s="17"/>
      <c r="AM330" s="17"/>
      <c r="AN330" s="17"/>
      <c r="AO330" s="17"/>
      <c r="AP330" s="17"/>
      <c r="AQ330" s="17"/>
      <c r="AR330" s="17"/>
      <c r="AS330" s="17"/>
    </row>
    <row r="331" spans="1:45">
      <c r="A331" s="28">
        <f t="shared" si="17"/>
        <v>326</v>
      </c>
      <c r="B331" s="7"/>
      <c r="C331" s="35" t="str">
        <f>IFERROR(VLOOKUP(B331,'MASTER RECORD'!$B$5:$W$1000,3,0),"")</f>
        <v/>
      </c>
      <c r="D331" s="35" t="str">
        <f>IFERROR(VLOOKUP(B331,'MASTER RECORD'!$B$5:$W$1000,2,0),"")</f>
        <v/>
      </c>
      <c r="E331" s="36" t="str">
        <f>IFERROR(VLOOKUP(B331,'MASTER RECORD'!$B$5:$W$1000,9,0),"")</f>
        <v/>
      </c>
      <c r="F331" s="35" t="str">
        <f>IFERROR(VLOOKUP(B331,'MASTER RECORD'!$B$5:$W$1000,10,0) &amp;"."&amp;(VLOOKUP(B331,'MASTER RECORD'!$B$5:$W$1000,11,0)),"")</f>
        <v/>
      </c>
      <c r="G331" s="36" t="str">
        <f t="shared" si="16"/>
        <v/>
      </c>
      <c r="H331" s="35" t="str">
        <f t="shared" si="18"/>
        <v/>
      </c>
      <c r="I331" s="35" t="str">
        <f>IFERROR(VLOOKUP(B331,'MASTER RECORD'!$B$5:$W$1000,14,0),"")</f>
        <v/>
      </c>
      <c r="J331" s="17"/>
      <c r="K331" s="17"/>
      <c r="L331" s="17"/>
      <c r="M331" s="17"/>
      <c r="N331" s="17"/>
      <c r="O331" s="17"/>
      <c r="P331" s="17"/>
      <c r="Q331" s="17"/>
      <c r="R331" s="17"/>
      <c r="S331" s="17"/>
      <c r="T331" s="17"/>
      <c r="U331" s="17"/>
      <c r="V331" s="17"/>
      <c r="W331" s="17"/>
      <c r="X331" s="17"/>
      <c r="Y331" s="17"/>
      <c r="Z331" s="17"/>
      <c r="AA331" s="17"/>
      <c r="AB331" s="17"/>
      <c r="AC331" s="17"/>
      <c r="AD331" s="17"/>
      <c r="AE331" s="17"/>
      <c r="AF331" s="17"/>
      <c r="AG331" s="17"/>
      <c r="AH331" s="17"/>
      <c r="AI331" s="17"/>
      <c r="AJ331" s="17"/>
      <c r="AK331" s="17"/>
      <c r="AL331" s="17"/>
      <c r="AM331" s="17"/>
      <c r="AN331" s="17"/>
      <c r="AO331" s="17"/>
      <c r="AP331" s="17"/>
      <c r="AQ331" s="17"/>
      <c r="AR331" s="17"/>
      <c r="AS331" s="17"/>
    </row>
    <row r="332" spans="1:45">
      <c r="A332" s="28">
        <f t="shared" si="17"/>
        <v>327</v>
      </c>
      <c r="B332" s="7"/>
      <c r="C332" s="35" t="str">
        <f>IFERROR(VLOOKUP(B332,'MASTER RECORD'!$B$5:$W$1000,3,0),"")</f>
        <v/>
      </c>
      <c r="D332" s="35" t="str">
        <f>IFERROR(VLOOKUP(B332,'MASTER RECORD'!$B$5:$W$1000,2,0),"")</f>
        <v/>
      </c>
      <c r="E332" s="36" t="str">
        <f>IFERROR(VLOOKUP(B332,'MASTER RECORD'!$B$5:$W$1000,9,0),"")</f>
        <v/>
      </c>
      <c r="F332" s="35" t="str">
        <f>IFERROR(VLOOKUP(B332,'MASTER RECORD'!$B$5:$W$1000,10,0) &amp;"."&amp;(VLOOKUP(B332,'MASTER RECORD'!$B$5:$W$1000,11,0)),"")</f>
        <v/>
      </c>
      <c r="G332" s="36" t="str">
        <f t="shared" si="16"/>
        <v/>
      </c>
      <c r="H332" s="35" t="str">
        <f t="shared" si="18"/>
        <v/>
      </c>
      <c r="I332" s="35" t="str">
        <f>IFERROR(VLOOKUP(B332,'MASTER RECORD'!$B$5:$W$1000,14,0),"")</f>
        <v/>
      </c>
      <c r="J332" s="17"/>
      <c r="K332" s="17"/>
      <c r="L332" s="17"/>
      <c r="M332" s="17"/>
      <c r="N332" s="17"/>
      <c r="O332" s="17"/>
      <c r="P332" s="17"/>
      <c r="Q332" s="17"/>
      <c r="R332" s="17"/>
      <c r="S332" s="17"/>
      <c r="T332" s="17"/>
      <c r="U332" s="17"/>
      <c r="V332" s="17"/>
      <c r="W332" s="17"/>
      <c r="X332" s="17"/>
      <c r="Y332" s="17"/>
      <c r="Z332" s="17"/>
      <c r="AA332" s="17"/>
      <c r="AB332" s="17"/>
      <c r="AC332" s="17"/>
      <c r="AD332" s="17"/>
      <c r="AE332" s="17"/>
      <c r="AF332" s="17"/>
      <c r="AG332" s="17"/>
      <c r="AH332" s="17"/>
      <c r="AI332" s="17"/>
      <c r="AJ332" s="17"/>
      <c r="AK332" s="17"/>
      <c r="AL332" s="17"/>
      <c r="AM332" s="17"/>
      <c r="AN332" s="17"/>
      <c r="AO332" s="17"/>
      <c r="AP332" s="17"/>
      <c r="AQ332" s="17"/>
      <c r="AR332" s="17"/>
      <c r="AS332" s="17"/>
    </row>
    <row r="333" spans="1:45">
      <c r="A333" s="28">
        <f t="shared" si="17"/>
        <v>328</v>
      </c>
      <c r="B333" s="7"/>
      <c r="C333" s="35" t="str">
        <f>IFERROR(VLOOKUP(B333,'MASTER RECORD'!$B$5:$W$1000,3,0),"")</f>
        <v/>
      </c>
      <c r="D333" s="35" t="str">
        <f>IFERROR(VLOOKUP(B333,'MASTER RECORD'!$B$5:$W$1000,2,0),"")</f>
        <v/>
      </c>
      <c r="E333" s="36" t="str">
        <f>IFERROR(VLOOKUP(B333,'MASTER RECORD'!$B$5:$W$1000,9,0),"")</f>
        <v/>
      </c>
      <c r="F333" s="35" t="str">
        <f>IFERROR(VLOOKUP(B333,'MASTER RECORD'!$B$5:$W$1000,10,0) &amp;"."&amp;(VLOOKUP(B333,'MASTER RECORD'!$B$5:$W$1000,11,0)),"")</f>
        <v/>
      </c>
      <c r="G333" s="36" t="str">
        <f t="shared" si="16"/>
        <v/>
      </c>
      <c r="H333" s="35" t="str">
        <f t="shared" si="18"/>
        <v/>
      </c>
      <c r="I333" s="35" t="str">
        <f>IFERROR(VLOOKUP(B333,'MASTER RECORD'!$B$5:$W$1000,14,0),"")</f>
        <v/>
      </c>
      <c r="J333" s="17"/>
      <c r="K333" s="17"/>
      <c r="L333" s="17"/>
      <c r="M333" s="17"/>
      <c r="N333" s="17"/>
      <c r="O333" s="17"/>
      <c r="P333" s="17"/>
      <c r="Q333" s="17"/>
      <c r="R333" s="17"/>
      <c r="S333" s="17"/>
      <c r="T333" s="17"/>
      <c r="U333" s="17"/>
      <c r="V333" s="17"/>
      <c r="W333" s="17"/>
      <c r="X333" s="17"/>
      <c r="Y333" s="17"/>
      <c r="Z333" s="17"/>
      <c r="AA333" s="17"/>
      <c r="AB333" s="17"/>
      <c r="AC333" s="17"/>
      <c r="AD333" s="17"/>
      <c r="AE333" s="17"/>
      <c r="AF333" s="17"/>
      <c r="AG333" s="17"/>
      <c r="AH333" s="17"/>
      <c r="AI333" s="17"/>
      <c r="AJ333" s="17"/>
      <c r="AK333" s="17"/>
      <c r="AL333" s="17"/>
      <c r="AM333" s="17"/>
      <c r="AN333" s="17"/>
      <c r="AO333" s="17"/>
      <c r="AP333" s="17"/>
      <c r="AQ333" s="17"/>
      <c r="AR333" s="17"/>
      <c r="AS333" s="17"/>
    </row>
    <row r="334" spans="1:45">
      <c r="A334" s="28">
        <f t="shared" si="17"/>
        <v>329</v>
      </c>
      <c r="B334" s="7"/>
      <c r="C334" s="35" t="str">
        <f>IFERROR(VLOOKUP(B334,'MASTER RECORD'!$B$5:$W$1000,3,0),"")</f>
        <v/>
      </c>
      <c r="D334" s="35" t="str">
        <f>IFERROR(VLOOKUP(B334,'MASTER RECORD'!$B$5:$W$1000,2,0),"")</f>
        <v/>
      </c>
      <c r="E334" s="36" t="str">
        <f>IFERROR(VLOOKUP(B334,'MASTER RECORD'!$B$5:$W$1000,9,0),"")</f>
        <v/>
      </c>
      <c r="F334" s="35" t="str">
        <f>IFERROR(VLOOKUP(B334,'MASTER RECORD'!$B$5:$W$1000,10,0) &amp;"."&amp;(VLOOKUP(B334,'MASTER RECORD'!$B$5:$W$1000,11,0)),"")</f>
        <v/>
      </c>
      <c r="G334" s="36" t="str">
        <f t="shared" si="16"/>
        <v/>
      </c>
      <c r="H334" s="35" t="str">
        <f t="shared" si="18"/>
        <v/>
      </c>
      <c r="I334" s="35" t="str">
        <f>IFERROR(VLOOKUP(B334,'MASTER RECORD'!$B$5:$W$1000,14,0),"")</f>
        <v/>
      </c>
      <c r="J334" s="17"/>
      <c r="K334" s="17"/>
      <c r="L334" s="17"/>
      <c r="M334" s="17"/>
      <c r="N334" s="17"/>
      <c r="O334" s="17"/>
      <c r="P334" s="17"/>
      <c r="Q334" s="17"/>
      <c r="R334" s="17"/>
      <c r="S334" s="17"/>
      <c r="T334" s="17"/>
      <c r="U334" s="17"/>
      <c r="V334" s="17"/>
      <c r="W334" s="17"/>
      <c r="X334" s="17"/>
      <c r="Y334" s="17"/>
      <c r="Z334" s="17"/>
      <c r="AA334" s="17"/>
      <c r="AB334" s="17"/>
      <c r="AC334" s="17"/>
      <c r="AD334" s="17"/>
      <c r="AE334" s="17"/>
      <c r="AF334" s="17"/>
      <c r="AG334" s="17"/>
      <c r="AH334" s="17"/>
      <c r="AI334" s="17"/>
      <c r="AJ334" s="17"/>
      <c r="AK334" s="17"/>
      <c r="AL334" s="17"/>
      <c r="AM334" s="17"/>
      <c r="AN334" s="17"/>
      <c r="AO334" s="17"/>
      <c r="AP334" s="17"/>
      <c r="AQ334" s="17"/>
      <c r="AR334" s="17"/>
      <c r="AS334" s="17"/>
    </row>
    <row r="335" spans="1:45">
      <c r="A335" s="28">
        <f t="shared" si="17"/>
        <v>330</v>
      </c>
      <c r="B335" s="7"/>
      <c r="C335" s="35" t="str">
        <f>IFERROR(VLOOKUP(B335,'MASTER RECORD'!$B$5:$W$1000,3,0),"")</f>
        <v/>
      </c>
      <c r="D335" s="35" t="str">
        <f>IFERROR(VLOOKUP(B335,'MASTER RECORD'!$B$5:$W$1000,2,0),"")</f>
        <v/>
      </c>
      <c r="E335" s="36" t="str">
        <f>IFERROR(VLOOKUP(B335,'MASTER RECORD'!$B$5:$W$1000,9,0),"")</f>
        <v/>
      </c>
      <c r="F335" s="35" t="str">
        <f>IFERROR(VLOOKUP(B335,'MASTER RECORD'!$B$5:$W$1000,10,0) &amp;"."&amp;(VLOOKUP(B335,'MASTER RECORD'!$B$5:$W$1000,11,0)),"")</f>
        <v/>
      </c>
      <c r="G335" s="36" t="str">
        <f t="shared" si="16"/>
        <v/>
      </c>
      <c r="H335" s="35" t="str">
        <f t="shared" si="18"/>
        <v/>
      </c>
      <c r="I335" s="35" t="str">
        <f>IFERROR(VLOOKUP(B335,'MASTER RECORD'!$B$5:$W$1000,14,0),"")</f>
        <v/>
      </c>
      <c r="J335" s="17"/>
      <c r="K335" s="17"/>
      <c r="L335" s="17"/>
      <c r="M335" s="17"/>
      <c r="N335" s="17"/>
      <c r="O335" s="17"/>
      <c r="P335" s="17"/>
      <c r="Q335" s="17"/>
      <c r="R335" s="17"/>
      <c r="S335" s="17"/>
      <c r="T335" s="17"/>
      <c r="U335" s="17"/>
      <c r="V335" s="17"/>
      <c r="W335" s="17"/>
      <c r="X335" s="17"/>
      <c r="Y335" s="17"/>
      <c r="Z335" s="17"/>
      <c r="AA335" s="17"/>
      <c r="AB335" s="17"/>
      <c r="AC335" s="17"/>
      <c r="AD335" s="17"/>
      <c r="AE335" s="17"/>
      <c r="AF335" s="17"/>
      <c r="AG335" s="17"/>
      <c r="AH335" s="17"/>
      <c r="AI335" s="17"/>
      <c r="AJ335" s="17"/>
      <c r="AK335" s="17"/>
      <c r="AL335" s="17"/>
      <c r="AM335" s="17"/>
      <c r="AN335" s="17"/>
      <c r="AO335" s="17"/>
      <c r="AP335" s="17"/>
      <c r="AQ335" s="17"/>
      <c r="AR335" s="17"/>
      <c r="AS335" s="17"/>
    </row>
    <row r="336" spans="1:45">
      <c r="A336" s="28">
        <f t="shared" si="17"/>
        <v>331</v>
      </c>
      <c r="B336" s="7"/>
      <c r="C336" s="35" t="str">
        <f>IFERROR(VLOOKUP(B336,'MASTER RECORD'!$B$5:$W$1000,3,0),"")</f>
        <v/>
      </c>
      <c r="D336" s="35" t="str">
        <f>IFERROR(VLOOKUP(B336,'MASTER RECORD'!$B$5:$W$1000,2,0),"")</f>
        <v/>
      </c>
      <c r="E336" s="36" t="str">
        <f>IFERROR(VLOOKUP(B336,'MASTER RECORD'!$B$5:$W$1000,9,0),"")</f>
        <v/>
      </c>
      <c r="F336" s="35" t="str">
        <f>IFERROR(VLOOKUP(B336,'MASTER RECORD'!$B$5:$W$1000,10,0) &amp;"."&amp;(VLOOKUP(B336,'MASTER RECORD'!$B$5:$W$1000,11,0)),"")</f>
        <v/>
      </c>
      <c r="G336" s="36" t="str">
        <f t="shared" si="16"/>
        <v/>
      </c>
      <c r="H336" s="35" t="str">
        <f t="shared" si="18"/>
        <v/>
      </c>
      <c r="I336" s="35" t="str">
        <f>IFERROR(VLOOKUP(B336,'MASTER RECORD'!$B$5:$W$1000,14,0),"")</f>
        <v/>
      </c>
      <c r="J336" s="17"/>
      <c r="K336" s="17"/>
      <c r="L336" s="17"/>
      <c r="M336" s="17"/>
      <c r="N336" s="17"/>
      <c r="O336" s="17"/>
      <c r="P336" s="17"/>
      <c r="Q336" s="17"/>
      <c r="R336" s="17"/>
      <c r="S336" s="17"/>
      <c r="T336" s="17"/>
      <c r="U336" s="17"/>
      <c r="V336" s="17"/>
      <c r="W336" s="17"/>
      <c r="X336" s="17"/>
      <c r="Y336" s="17"/>
      <c r="Z336" s="17"/>
      <c r="AA336" s="17"/>
      <c r="AB336" s="17"/>
      <c r="AC336" s="17"/>
      <c r="AD336" s="17"/>
      <c r="AE336" s="17"/>
      <c r="AF336" s="17"/>
      <c r="AG336" s="17"/>
      <c r="AH336" s="17"/>
      <c r="AI336" s="17"/>
      <c r="AJ336" s="17"/>
      <c r="AK336" s="17"/>
      <c r="AL336" s="17"/>
      <c r="AM336" s="17"/>
      <c r="AN336" s="17"/>
      <c r="AO336" s="17"/>
      <c r="AP336" s="17"/>
      <c r="AQ336" s="17"/>
      <c r="AR336" s="17"/>
      <c r="AS336" s="17"/>
    </row>
    <row r="337" spans="1:45">
      <c r="A337" s="28">
        <f t="shared" si="17"/>
        <v>332</v>
      </c>
      <c r="B337" s="7"/>
      <c r="C337" s="35" t="str">
        <f>IFERROR(VLOOKUP(B337,'MASTER RECORD'!$B$5:$W$1000,3,0),"")</f>
        <v/>
      </c>
      <c r="D337" s="35" t="str">
        <f>IFERROR(VLOOKUP(B337,'MASTER RECORD'!$B$5:$W$1000,2,0),"")</f>
        <v/>
      </c>
      <c r="E337" s="36" t="str">
        <f>IFERROR(VLOOKUP(B337,'MASTER RECORD'!$B$5:$W$1000,9,0),"")</f>
        <v/>
      </c>
      <c r="F337" s="35" t="str">
        <f>IFERROR(VLOOKUP(B337,'MASTER RECORD'!$B$5:$W$1000,10,0) &amp;"."&amp;(VLOOKUP(B337,'MASTER RECORD'!$B$5:$W$1000,11,0)),"")</f>
        <v/>
      </c>
      <c r="G337" s="36" t="str">
        <f t="shared" si="16"/>
        <v/>
      </c>
      <c r="H337" s="35" t="str">
        <f t="shared" si="18"/>
        <v/>
      </c>
      <c r="I337" s="35" t="str">
        <f>IFERROR(VLOOKUP(B337,'MASTER RECORD'!$B$5:$W$1000,14,0),"")</f>
        <v/>
      </c>
      <c r="J337" s="17"/>
      <c r="K337" s="17"/>
      <c r="L337" s="17"/>
      <c r="M337" s="17"/>
      <c r="N337" s="17"/>
      <c r="O337" s="17"/>
      <c r="P337" s="17"/>
      <c r="Q337" s="17"/>
      <c r="R337" s="17"/>
      <c r="S337" s="17"/>
      <c r="T337" s="17"/>
      <c r="U337" s="17"/>
      <c r="V337" s="17"/>
      <c r="W337" s="17"/>
      <c r="X337" s="17"/>
      <c r="Y337" s="17"/>
      <c r="Z337" s="17"/>
      <c r="AA337" s="17"/>
      <c r="AB337" s="17"/>
      <c r="AC337" s="17"/>
      <c r="AD337" s="17"/>
      <c r="AE337" s="17"/>
      <c r="AF337" s="17"/>
      <c r="AG337" s="17"/>
      <c r="AH337" s="17"/>
      <c r="AI337" s="17"/>
      <c r="AJ337" s="17"/>
      <c r="AK337" s="17"/>
      <c r="AL337" s="17"/>
      <c r="AM337" s="17"/>
      <c r="AN337" s="17"/>
      <c r="AO337" s="17"/>
      <c r="AP337" s="17"/>
      <c r="AQ337" s="17"/>
      <c r="AR337" s="17"/>
      <c r="AS337" s="17"/>
    </row>
    <row r="338" spans="1:45">
      <c r="A338" s="28">
        <f t="shared" si="17"/>
        <v>333</v>
      </c>
      <c r="B338" s="7"/>
      <c r="C338" s="35" t="str">
        <f>IFERROR(VLOOKUP(B338,'MASTER RECORD'!$B$5:$W$1000,3,0),"")</f>
        <v/>
      </c>
      <c r="D338" s="35" t="str">
        <f>IFERROR(VLOOKUP(B338,'MASTER RECORD'!$B$5:$W$1000,2,0),"")</f>
        <v/>
      </c>
      <c r="E338" s="36" t="str">
        <f>IFERROR(VLOOKUP(B338,'MASTER RECORD'!$B$5:$W$1000,9,0),"")</f>
        <v/>
      </c>
      <c r="F338" s="35" t="str">
        <f>IFERROR(VLOOKUP(B338,'MASTER RECORD'!$B$5:$W$1000,10,0) &amp;"."&amp;(VLOOKUP(B338,'MASTER RECORD'!$B$5:$W$1000,11,0)),"")</f>
        <v/>
      </c>
      <c r="G338" s="36" t="str">
        <f t="shared" si="16"/>
        <v/>
      </c>
      <c r="H338" s="35" t="str">
        <f t="shared" si="18"/>
        <v/>
      </c>
      <c r="I338" s="35" t="str">
        <f>IFERROR(VLOOKUP(B338,'MASTER RECORD'!$B$5:$W$1000,14,0),"")</f>
        <v/>
      </c>
      <c r="J338" s="17"/>
      <c r="K338" s="17"/>
      <c r="L338" s="17"/>
      <c r="M338" s="17"/>
      <c r="N338" s="17"/>
      <c r="O338" s="17"/>
      <c r="P338" s="17"/>
      <c r="Q338" s="17"/>
      <c r="R338" s="17"/>
      <c r="S338" s="17"/>
      <c r="T338" s="17"/>
      <c r="U338" s="17"/>
      <c r="V338" s="17"/>
      <c r="W338" s="17"/>
      <c r="X338" s="17"/>
      <c r="Y338" s="17"/>
      <c r="Z338" s="17"/>
      <c r="AA338" s="17"/>
      <c r="AB338" s="17"/>
      <c r="AC338" s="17"/>
      <c r="AD338" s="17"/>
      <c r="AE338" s="17"/>
      <c r="AF338" s="17"/>
      <c r="AG338" s="17"/>
      <c r="AH338" s="17"/>
      <c r="AI338" s="17"/>
      <c r="AJ338" s="17"/>
      <c r="AK338" s="17"/>
      <c r="AL338" s="17"/>
      <c r="AM338" s="17"/>
      <c r="AN338" s="17"/>
      <c r="AO338" s="17"/>
      <c r="AP338" s="17"/>
      <c r="AQ338" s="17"/>
      <c r="AR338" s="17"/>
      <c r="AS338" s="17"/>
    </row>
    <row r="339" spans="1:45">
      <c r="A339" s="28">
        <f t="shared" si="17"/>
        <v>334</v>
      </c>
      <c r="B339" s="7"/>
      <c r="C339" s="35" t="str">
        <f>IFERROR(VLOOKUP(B339,'MASTER RECORD'!$B$5:$W$1000,3,0),"")</f>
        <v/>
      </c>
      <c r="D339" s="35" t="str">
        <f>IFERROR(VLOOKUP(B339,'MASTER RECORD'!$B$5:$W$1000,2,0),"")</f>
        <v/>
      </c>
      <c r="E339" s="36" t="str">
        <f>IFERROR(VLOOKUP(B339,'MASTER RECORD'!$B$5:$W$1000,9,0),"")</f>
        <v/>
      </c>
      <c r="F339" s="35" t="str">
        <f>IFERROR(VLOOKUP(B339,'MASTER RECORD'!$B$5:$W$1000,10,0) &amp;"."&amp;(VLOOKUP(B339,'MASTER RECORD'!$B$5:$W$1000,11,0)),"")</f>
        <v/>
      </c>
      <c r="G339" s="36" t="str">
        <f t="shared" si="16"/>
        <v/>
      </c>
      <c r="H339" s="35" t="str">
        <f t="shared" si="18"/>
        <v/>
      </c>
      <c r="I339" s="35" t="str">
        <f>IFERROR(VLOOKUP(B339,'MASTER RECORD'!$B$5:$W$1000,14,0),"")</f>
        <v/>
      </c>
      <c r="J339" s="17"/>
      <c r="K339" s="17"/>
      <c r="L339" s="17"/>
      <c r="M339" s="17"/>
      <c r="N339" s="17"/>
      <c r="O339" s="17"/>
      <c r="P339" s="17"/>
      <c r="Q339" s="17"/>
      <c r="R339" s="17"/>
      <c r="S339" s="17"/>
      <c r="T339" s="17"/>
      <c r="U339" s="17"/>
      <c r="V339" s="17"/>
      <c r="W339" s="17"/>
      <c r="X339" s="17"/>
      <c r="Y339" s="17"/>
      <c r="Z339" s="17"/>
      <c r="AA339" s="17"/>
      <c r="AB339" s="17"/>
      <c r="AC339" s="17"/>
      <c r="AD339" s="17"/>
      <c r="AE339" s="17"/>
      <c r="AF339" s="17"/>
      <c r="AG339" s="17"/>
      <c r="AH339" s="17"/>
      <c r="AI339" s="17"/>
      <c r="AJ339" s="17"/>
      <c r="AK339" s="17"/>
      <c r="AL339" s="17"/>
      <c r="AM339" s="17"/>
      <c r="AN339" s="17"/>
      <c r="AO339" s="17"/>
      <c r="AP339" s="17"/>
      <c r="AQ339" s="17"/>
      <c r="AR339" s="17"/>
      <c r="AS339" s="17"/>
    </row>
    <row r="340" spans="1:45">
      <c r="A340" s="28">
        <f t="shared" si="17"/>
        <v>335</v>
      </c>
      <c r="B340" s="7"/>
      <c r="C340" s="35" t="str">
        <f>IFERROR(VLOOKUP(B340,'MASTER RECORD'!$B$5:$W$1000,3,0),"")</f>
        <v/>
      </c>
      <c r="D340" s="35" t="str">
        <f>IFERROR(VLOOKUP(B340,'MASTER RECORD'!$B$5:$W$1000,2,0),"")</f>
        <v/>
      </c>
      <c r="E340" s="36" t="str">
        <f>IFERROR(VLOOKUP(B340,'MASTER RECORD'!$B$5:$W$1000,9,0),"")</f>
        <v/>
      </c>
      <c r="F340" s="35" t="str">
        <f>IFERROR(VLOOKUP(B340,'MASTER RECORD'!$B$5:$W$1000,10,0) &amp;"."&amp;(VLOOKUP(B340,'MASTER RECORD'!$B$5:$W$1000,11,0)),"")</f>
        <v/>
      </c>
      <c r="G340" s="36" t="str">
        <f t="shared" si="16"/>
        <v/>
      </c>
      <c r="H340" s="35" t="str">
        <f t="shared" si="18"/>
        <v/>
      </c>
      <c r="I340" s="35" t="str">
        <f>IFERROR(VLOOKUP(B340,'MASTER RECORD'!$B$5:$W$1000,14,0),"")</f>
        <v/>
      </c>
      <c r="J340" s="17"/>
      <c r="K340" s="17"/>
      <c r="L340" s="17"/>
      <c r="M340" s="17"/>
      <c r="N340" s="17"/>
      <c r="O340" s="17"/>
      <c r="P340" s="17"/>
      <c r="Q340" s="17"/>
      <c r="R340" s="17"/>
      <c r="S340" s="17"/>
      <c r="T340" s="17"/>
      <c r="U340" s="17"/>
      <c r="V340" s="17"/>
      <c r="W340" s="17"/>
      <c r="X340" s="17"/>
      <c r="Y340" s="17"/>
      <c r="Z340" s="17"/>
      <c r="AA340" s="17"/>
      <c r="AB340" s="17"/>
      <c r="AC340" s="17"/>
      <c r="AD340" s="17"/>
      <c r="AE340" s="17"/>
      <c r="AF340" s="17"/>
      <c r="AG340" s="17"/>
      <c r="AH340" s="17"/>
      <c r="AI340" s="17"/>
      <c r="AJ340" s="17"/>
      <c r="AK340" s="17"/>
      <c r="AL340" s="17"/>
      <c r="AM340" s="17"/>
      <c r="AN340" s="17"/>
      <c r="AO340" s="17"/>
      <c r="AP340" s="17"/>
      <c r="AQ340" s="17"/>
      <c r="AR340" s="17"/>
      <c r="AS340" s="17"/>
    </row>
    <row r="341" spans="1:45">
      <c r="A341" s="28">
        <f t="shared" si="17"/>
        <v>336</v>
      </c>
      <c r="B341" s="7"/>
      <c r="C341" s="35" t="str">
        <f>IFERROR(VLOOKUP(B341,'MASTER RECORD'!$B$5:$W$1000,3,0),"")</f>
        <v/>
      </c>
      <c r="D341" s="35" t="str">
        <f>IFERROR(VLOOKUP(B341,'MASTER RECORD'!$B$5:$W$1000,2,0),"")</f>
        <v/>
      </c>
      <c r="E341" s="36" t="str">
        <f>IFERROR(VLOOKUP(B341,'MASTER RECORD'!$B$5:$W$1000,9,0),"")</f>
        <v/>
      </c>
      <c r="F341" s="35" t="str">
        <f>IFERROR(VLOOKUP(B341,'MASTER RECORD'!$B$5:$W$1000,10,0) &amp;"."&amp;(VLOOKUP(B341,'MASTER RECORD'!$B$5:$W$1000,11,0)),"")</f>
        <v/>
      </c>
      <c r="G341" s="36" t="str">
        <f t="shared" si="16"/>
        <v/>
      </c>
      <c r="H341" s="35" t="str">
        <f t="shared" si="18"/>
        <v/>
      </c>
      <c r="I341" s="35" t="str">
        <f>IFERROR(VLOOKUP(B341,'MASTER RECORD'!$B$5:$W$1000,14,0),"")</f>
        <v/>
      </c>
      <c r="J341" s="17"/>
      <c r="K341" s="17"/>
      <c r="L341" s="17"/>
      <c r="M341" s="17"/>
      <c r="N341" s="17"/>
      <c r="O341" s="17"/>
      <c r="P341" s="17"/>
      <c r="Q341" s="17"/>
      <c r="R341" s="17"/>
      <c r="S341" s="17"/>
      <c r="T341" s="17"/>
      <c r="U341" s="17"/>
      <c r="V341" s="17"/>
      <c r="W341" s="17"/>
      <c r="X341" s="17"/>
      <c r="Y341" s="17"/>
      <c r="Z341" s="17"/>
      <c r="AA341" s="17"/>
      <c r="AB341" s="17"/>
      <c r="AC341" s="17"/>
      <c r="AD341" s="17"/>
      <c r="AE341" s="17"/>
      <c r="AF341" s="17"/>
      <c r="AG341" s="17"/>
      <c r="AH341" s="17"/>
      <c r="AI341" s="17"/>
      <c r="AJ341" s="17"/>
      <c r="AK341" s="17"/>
      <c r="AL341" s="17"/>
      <c r="AM341" s="17"/>
      <c r="AN341" s="17"/>
      <c r="AO341" s="17"/>
      <c r="AP341" s="17"/>
      <c r="AQ341" s="17"/>
      <c r="AR341" s="17"/>
      <c r="AS341" s="17"/>
    </row>
    <row r="342" spans="1:45">
      <c r="A342" s="28">
        <f t="shared" si="17"/>
        <v>337</v>
      </c>
      <c r="B342" s="7"/>
      <c r="C342" s="35" t="str">
        <f>IFERROR(VLOOKUP(B342,'MASTER RECORD'!$B$5:$W$1000,3,0),"")</f>
        <v/>
      </c>
      <c r="D342" s="35" t="str">
        <f>IFERROR(VLOOKUP(B342,'MASTER RECORD'!$B$5:$W$1000,2,0),"")</f>
        <v/>
      </c>
      <c r="E342" s="36" t="str">
        <f>IFERROR(VLOOKUP(B342,'MASTER RECORD'!$B$5:$W$1000,9,0),"")</f>
        <v/>
      </c>
      <c r="F342" s="35" t="str">
        <f>IFERROR(VLOOKUP(B342,'MASTER RECORD'!$B$5:$W$1000,10,0) &amp;"."&amp;(VLOOKUP(B342,'MASTER RECORD'!$B$5:$W$1000,11,0)),"")</f>
        <v/>
      </c>
      <c r="G342" s="36" t="str">
        <f t="shared" si="16"/>
        <v/>
      </c>
      <c r="H342" s="35" t="str">
        <f t="shared" si="18"/>
        <v/>
      </c>
      <c r="I342" s="35" t="str">
        <f>IFERROR(VLOOKUP(B342,'MASTER RECORD'!$B$5:$W$1000,14,0),"")</f>
        <v/>
      </c>
      <c r="J342" s="17"/>
      <c r="K342" s="17"/>
      <c r="L342" s="17"/>
      <c r="M342" s="17"/>
      <c r="N342" s="17"/>
      <c r="O342" s="17"/>
      <c r="P342" s="17"/>
      <c r="Q342" s="17"/>
      <c r="R342" s="17"/>
      <c r="S342" s="17"/>
      <c r="T342" s="17"/>
      <c r="U342" s="17"/>
      <c r="V342" s="17"/>
      <c r="W342" s="17"/>
      <c r="X342" s="17"/>
      <c r="Y342" s="17"/>
      <c r="Z342" s="17"/>
      <c r="AA342" s="17"/>
      <c r="AB342" s="17"/>
      <c r="AC342" s="17"/>
      <c r="AD342" s="17"/>
      <c r="AE342" s="17"/>
      <c r="AF342" s="17"/>
      <c r="AG342" s="17"/>
      <c r="AH342" s="17"/>
      <c r="AI342" s="17"/>
      <c r="AJ342" s="17"/>
      <c r="AK342" s="17"/>
      <c r="AL342" s="17"/>
      <c r="AM342" s="17"/>
      <c r="AN342" s="17"/>
      <c r="AO342" s="17"/>
      <c r="AP342" s="17"/>
      <c r="AQ342" s="17"/>
      <c r="AR342" s="17"/>
      <c r="AS342" s="17"/>
    </row>
    <row r="343" spans="1:45">
      <c r="A343" s="28">
        <f t="shared" si="17"/>
        <v>338</v>
      </c>
      <c r="B343" s="7"/>
      <c r="C343" s="35" t="str">
        <f>IFERROR(VLOOKUP(B343,'MASTER RECORD'!$B$5:$W$1000,3,0),"")</f>
        <v/>
      </c>
      <c r="D343" s="35" t="str">
        <f>IFERROR(VLOOKUP(B343,'MASTER RECORD'!$B$5:$W$1000,2,0),"")</f>
        <v/>
      </c>
      <c r="E343" s="36" t="str">
        <f>IFERROR(VLOOKUP(B343,'MASTER RECORD'!$B$5:$W$1000,9,0),"")</f>
        <v/>
      </c>
      <c r="F343" s="35" t="str">
        <f>IFERROR(VLOOKUP(B343,'MASTER RECORD'!$B$5:$W$1000,10,0) &amp;"."&amp;(VLOOKUP(B343,'MASTER RECORD'!$B$5:$W$1000,11,0)),"")</f>
        <v/>
      </c>
      <c r="G343" s="36" t="str">
        <f t="shared" si="16"/>
        <v/>
      </c>
      <c r="H343" s="35" t="str">
        <f t="shared" si="18"/>
        <v/>
      </c>
      <c r="I343" s="35" t="str">
        <f>IFERROR(VLOOKUP(B343,'MASTER RECORD'!$B$5:$W$1000,14,0),"")</f>
        <v/>
      </c>
      <c r="J343" s="17"/>
      <c r="K343" s="17"/>
      <c r="L343" s="17"/>
      <c r="M343" s="17"/>
      <c r="N343" s="17"/>
      <c r="O343" s="17"/>
      <c r="P343" s="17"/>
      <c r="Q343" s="17"/>
      <c r="R343" s="17"/>
      <c r="S343" s="17"/>
      <c r="T343" s="17"/>
      <c r="U343" s="17"/>
      <c r="V343" s="17"/>
      <c r="W343" s="17"/>
      <c r="X343" s="17"/>
      <c r="Y343" s="17"/>
      <c r="Z343" s="17"/>
      <c r="AA343" s="17"/>
      <c r="AB343" s="17"/>
      <c r="AC343" s="17"/>
      <c r="AD343" s="17"/>
      <c r="AE343" s="17"/>
      <c r="AF343" s="17"/>
      <c r="AG343" s="17"/>
      <c r="AH343" s="17"/>
      <c r="AI343" s="17"/>
      <c r="AJ343" s="17"/>
      <c r="AK343" s="17"/>
      <c r="AL343" s="17"/>
      <c r="AM343" s="17"/>
      <c r="AN343" s="17"/>
      <c r="AO343" s="17"/>
      <c r="AP343" s="17"/>
      <c r="AQ343" s="17"/>
      <c r="AR343" s="17"/>
      <c r="AS343" s="17"/>
    </row>
    <row r="344" spans="1:45">
      <c r="A344" s="28">
        <f t="shared" si="17"/>
        <v>339</v>
      </c>
      <c r="B344" s="7"/>
      <c r="C344" s="35" t="str">
        <f>IFERROR(VLOOKUP(B344,'MASTER RECORD'!$B$5:$W$1000,3,0),"")</f>
        <v/>
      </c>
      <c r="D344" s="35" t="str">
        <f>IFERROR(VLOOKUP(B344,'MASTER RECORD'!$B$5:$W$1000,2,0),"")</f>
        <v/>
      </c>
      <c r="E344" s="36" t="str">
        <f>IFERROR(VLOOKUP(B344,'MASTER RECORD'!$B$5:$W$1000,9,0),"")</f>
        <v/>
      </c>
      <c r="F344" s="35" t="str">
        <f>IFERROR(VLOOKUP(B344,'MASTER RECORD'!$B$5:$W$1000,10,0) &amp;"."&amp;(VLOOKUP(B344,'MASTER RECORD'!$B$5:$W$1000,11,0)),"")</f>
        <v/>
      </c>
      <c r="G344" s="36" t="str">
        <f t="shared" si="16"/>
        <v/>
      </c>
      <c r="H344" s="35" t="str">
        <f t="shared" si="18"/>
        <v/>
      </c>
      <c r="I344" s="35" t="str">
        <f>IFERROR(VLOOKUP(B344,'MASTER RECORD'!$B$5:$W$1000,14,0),"")</f>
        <v/>
      </c>
      <c r="J344" s="17"/>
      <c r="K344" s="17"/>
      <c r="L344" s="17"/>
      <c r="M344" s="17"/>
      <c r="N344" s="17"/>
      <c r="O344" s="17"/>
      <c r="P344" s="17"/>
      <c r="Q344" s="17"/>
      <c r="R344" s="17"/>
      <c r="S344" s="17"/>
      <c r="T344" s="17"/>
      <c r="U344" s="17"/>
      <c r="V344" s="17"/>
      <c r="W344" s="17"/>
      <c r="X344" s="17"/>
      <c r="Y344" s="17"/>
      <c r="Z344" s="17"/>
      <c r="AA344" s="17"/>
      <c r="AB344" s="17"/>
      <c r="AC344" s="17"/>
      <c r="AD344" s="17"/>
      <c r="AE344" s="17"/>
      <c r="AF344" s="17"/>
      <c r="AG344" s="17"/>
      <c r="AH344" s="17"/>
      <c r="AI344" s="17"/>
      <c r="AJ344" s="17"/>
      <c r="AK344" s="17"/>
      <c r="AL344" s="17"/>
      <c r="AM344" s="17"/>
      <c r="AN344" s="17"/>
      <c r="AO344" s="17"/>
      <c r="AP344" s="17"/>
      <c r="AQ344" s="17"/>
      <c r="AR344" s="17"/>
      <c r="AS344" s="17"/>
    </row>
    <row r="345" spans="1:45">
      <c r="A345" s="28">
        <f t="shared" si="17"/>
        <v>340</v>
      </c>
      <c r="B345" s="7"/>
      <c r="C345" s="35" t="str">
        <f>IFERROR(VLOOKUP(B345,'MASTER RECORD'!$B$5:$W$1000,3,0),"")</f>
        <v/>
      </c>
      <c r="D345" s="35" t="str">
        <f>IFERROR(VLOOKUP(B345,'MASTER RECORD'!$B$5:$W$1000,2,0),"")</f>
        <v/>
      </c>
      <c r="E345" s="36" t="str">
        <f>IFERROR(VLOOKUP(B345,'MASTER RECORD'!$B$5:$W$1000,9,0),"")</f>
        <v/>
      </c>
      <c r="F345" s="35" t="str">
        <f>IFERROR(VLOOKUP(B345,'MASTER RECORD'!$B$5:$W$1000,10,0) &amp;"."&amp;(VLOOKUP(B345,'MASTER RECORD'!$B$5:$W$1000,11,0)),"")</f>
        <v/>
      </c>
      <c r="G345" s="36" t="str">
        <f t="shared" si="16"/>
        <v/>
      </c>
      <c r="H345" s="35" t="str">
        <f t="shared" si="18"/>
        <v/>
      </c>
      <c r="I345" s="35" t="str">
        <f>IFERROR(VLOOKUP(B345,'MASTER RECORD'!$B$5:$W$1000,14,0),"")</f>
        <v/>
      </c>
      <c r="J345" s="17"/>
      <c r="K345" s="17"/>
      <c r="L345" s="17"/>
      <c r="M345" s="17"/>
      <c r="N345" s="17"/>
      <c r="O345" s="17"/>
      <c r="P345" s="17"/>
      <c r="Q345" s="17"/>
      <c r="R345" s="17"/>
      <c r="S345" s="17"/>
      <c r="T345" s="17"/>
      <c r="U345" s="17"/>
      <c r="V345" s="17"/>
      <c r="W345" s="17"/>
      <c r="X345" s="17"/>
      <c r="Y345" s="17"/>
      <c r="Z345" s="17"/>
      <c r="AA345" s="17"/>
      <c r="AB345" s="17"/>
      <c r="AC345" s="17"/>
      <c r="AD345" s="17"/>
      <c r="AE345" s="17"/>
      <c r="AF345" s="17"/>
      <c r="AG345" s="17"/>
      <c r="AH345" s="17"/>
      <c r="AI345" s="17"/>
      <c r="AJ345" s="17"/>
      <c r="AK345" s="17"/>
      <c r="AL345" s="17"/>
      <c r="AM345" s="17"/>
      <c r="AN345" s="17"/>
      <c r="AO345" s="17"/>
      <c r="AP345" s="17"/>
      <c r="AQ345" s="17"/>
      <c r="AR345" s="17"/>
      <c r="AS345" s="17"/>
    </row>
    <row r="346" spans="1:45">
      <c r="A346" s="28">
        <f t="shared" si="17"/>
        <v>341</v>
      </c>
      <c r="B346" s="7"/>
      <c r="C346" s="35" t="str">
        <f>IFERROR(VLOOKUP(B346,'MASTER RECORD'!$B$5:$W$1000,3,0),"")</f>
        <v/>
      </c>
      <c r="D346" s="35" t="str">
        <f>IFERROR(VLOOKUP(B346,'MASTER RECORD'!$B$5:$W$1000,2,0),"")</f>
        <v/>
      </c>
      <c r="E346" s="36" t="str">
        <f>IFERROR(VLOOKUP(B346,'MASTER RECORD'!$B$5:$W$1000,9,0),"")</f>
        <v/>
      </c>
      <c r="F346" s="35" t="str">
        <f>IFERROR(VLOOKUP(B346,'MASTER RECORD'!$B$5:$W$1000,10,0) &amp;"."&amp;(VLOOKUP(B346,'MASTER RECORD'!$B$5:$W$1000,11,0)),"")</f>
        <v/>
      </c>
      <c r="G346" s="36" t="str">
        <f t="shared" si="16"/>
        <v/>
      </c>
      <c r="H346" s="35" t="str">
        <f t="shared" si="18"/>
        <v/>
      </c>
      <c r="I346" s="35" t="str">
        <f>IFERROR(VLOOKUP(B346,'MASTER RECORD'!$B$5:$W$1000,14,0),"")</f>
        <v/>
      </c>
      <c r="J346" s="17"/>
      <c r="K346" s="17"/>
      <c r="L346" s="17"/>
      <c r="M346" s="17"/>
      <c r="N346" s="17"/>
      <c r="O346" s="17"/>
      <c r="P346" s="17"/>
      <c r="Q346" s="17"/>
      <c r="R346" s="17"/>
      <c r="S346" s="17"/>
      <c r="T346" s="17"/>
      <c r="U346" s="17"/>
      <c r="V346" s="17"/>
      <c r="W346" s="17"/>
      <c r="X346" s="17"/>
      <c r="Y346" s="17"/>
      <c r="Z346" s="17"/>
      <c r="AA346" s="17"/>
      <c r="AB346" s="17"/>
      <c r="AC346" s="17"/>
      <c r="AD346" s="17"/>
      <c r="AE346" s="17"/>
      <c r="AF346" s="17"/>
      <c r="AG346" s="17"/>
      <c r="AH346" s="17"/>
      <c r="AI346" s="17"/>
      <c r="AJ346" s="17"/>
      <c r="AK346" s="17"/>
      <c r="AL346" s="17"/>
      <c r="AM346" s="17"/>
      <c r="AN346" s="17"/>
      <c r="AO346" s="17"/>
      <c r="AP346" s="17"/>
      <c r="AQ346" s="17"/>
      <c r="AR346" s="17"/>
      <c r="AS346" s="17"/>
    </row>
    <row r="347" spans="1:45">
      <c r="A347" s="28">
        <f t="shared" si="17"/>
        <v>342</v>
      </c>
      <c r="B347" s="7"/>
      <c r="C347" s="35" t="str">
        <f>IFERROR(VLOOKUP(B347,'MASTER RECORD'!$B$5:$W$1000,3,0),"")</f>
        <v/>
      </c>
      <c r="D347" s="35" t="str">
        <f>IFERROR(VLOOKUP(B347,'MASTER RECORD'!$B$5:$W$1000,2,0),"")</f>
        <v/>
      </c>
      <c r="E347" s="36" t="str">
        <f>IFERROR(VLOOKUP(B347,'MASTER RECORD'!$B$5:$W$1000,9,0),"")</f>
        <v/>
      </c>
      <c r="F347" s="35" t="str">
        <f>IFERROR(VLOOKUP(B347,'MASTER RECORD'!$B$5:$W$1000,10,0) &amp;"."&amp;(VLOOKUP(B347,'MASTER RECORD'!$B$5:$W$1000,11,0)),"")</f>
        <v/>
      </c>
      <c r="G347" s="36" t="str">
        <f t="shared" si="16"/>
        <v/>
      </c>
      <c r="H347" s="35" t="str">
        <f t="shared" si="18"/>
        <v/>
      </c>
      <c r="I347" s="35" t="str">
        <f>IFERROR(VLOOKUP(B347,'MASTER RECORD'!$B$5:$W$1000,14,0),"")</f>
        <v/>
      </c>
      <c r="J347" s="17"/>
      <c r="K347" s="17"/>
      <c r="L347" s="17"/>
      <c r="M347" s="17"/>
      <c r="N347" s="17"/>
      <c r="O347" s="17"/>
      <c r="P347" s="17"/>
      <c r="Q347" s="17"/>
      <c r="R347" s="17"/>
      <c r="S347" s="17"/>
      <c r="T347" s="17"/>
      <c r="U347" s="17"/>
      <c r="V347" s="17"/>
      <c r="W347" s="17"/>
      <c r="X347" s="17"/>
      <c r="Y347" s="17"/>
      <c r="Z347" s="17"/>
      <c r="AA347" s="17"/>
      <c r="AB347" s="17"/>
      <c r="AC347" s="17"/>
      <c r="AD347" s="17"/>
      <c r="AE347" s="17"/>
      <c r="AF347" s="17"/>
      <c r="AG347" s="17"/>
      <c r="AH347" s="17"/>
      <c r="AI347" s="17"/>
      <c r="AJ347" s="17"/>
      <c r="AK347" s="17"/>
      <c r="AL347" s="17"/>
      <c r="AM347" s="17"/>
      <c r="AN347" s="17"/>
      <c r="AO347" s="17"/>
      <c r="AP347" s="17"/>
      <c r="AQ347" s="17"/>
      <c r="AR347" s="17"/>
      <c r="AS347" s="17"/>
    </row>
    <row r="348" spans="1:45">
      <c r="A348" s="28">
        <f t="shared" si="17"/>
        <v>343</v>
      </c>
      <c r="B348" s="7"/>
      <c r="C348" s="35" t="str">
        <f>IFERROR(VLOOKUP(B348,'MASTER RECORD'!$B$5:$W$1000,3,0),"")</f>
        <v/>
      </c>
      <c r="D348" s="35" t="str">
        <f>IFERROR(VLOOKUP(B348,'MASTER RECORD'!$B$5:$W$1000,2,0),"")</f>
        <v/>
      </c>
      <c r="E348" s="36" t="str">
        <f>IFERROR(VLOOKUP(B348,'MASTER RECORD'!$B$5:$W$1000,9,0),"")</f>
        <v/>
      </c>
      <c r="F348" s="35" t="str">
        <f>IFERROR(VLOOKUP(B348,'MASTER RECORD'!$B$5:$W$1000,10,0) &amp;"."&amp;(VLOOKUP(B348,'MASTER RECORD'!$B$5:$W$1000,11,0)),"")</f>
        <v/>
      </c>
      <c r="G348" s="36" t="str">
        <f t="shared" si="16"/>
        <v/>
      </c>
      <c r="H348" s="35" t="str">
        <f t="shared" si="18"/>
        <v/>
      </c>
      <c r="I348" s="35" t="str">
        <f>IFERROR(VLOOKUP(B348,'MASTER RECORD'!$B$5:$W$1000,14,0),"")</f>
        <v/>
      </c>
      <c r="J348" s="17"/>
      <c r="K348" s="17"/>
      <c r="L348" s="17"/>
      <c r="M348" s="17"/>
      <c r="N348" s="17"/>
      <c r="O348" s="17"/>
      <c r="P348" s="17"/>
      <c r="Q348" s="17"/>
      <c r="R348" s="17"/>
      <c r="S348" s="17"/>
      <c r="T348" s="17"/>
      <c r="U348" s="17"/>
      <c r="V348" s="17"/>
      <c r="W348" s="17"/>
      <c r="X348" s="17"/>
      <c r="Y348" s="17"/>
      <c r="Z348" s="17"/>
      <c r="AA348" s="17"/>
      <c r="AB348" s="17"/>
      <c r="AC348" s="17"/>
      <c r="AD348" s="17"/>
      <c r="AE348" s="17"/>
      <c r="AF348" s="17"/>
      <c r="AG348" s="17"/>
      <c r="AH348" s="17"/>
      <c r="AI348" s="17"/>
      <c r="AJ348" s="17"/>
      <c r="AK348" s="17"/>
      <c r="AL348" s="17"/>
      <c r="AM348" s="17"/>
      <c r="AN348" s="17"/>
      <c r="AO348" s="17"/>
      <c r="AP348" s="17"/>
      <c r="AQ348" s="17"/>
      <c r="AR348" s="17"/>
      <c r="AS348" s="17"/>
    </row>
    <row r="349" spans="1:45">
      <c r="A349" s="28">
        <f t="shared" si="17"/>
        <v>344</v>
      </c>
      <c r="B349" s="7"/>
      <c r="C349" s="35" t="str">
        <f>IFERROR(VLOOKUP(B349,'MASTER RECORD'!$B$5:$W$1000,3,0),"")</f>
        <v/>
      </c>
      <c r="D349" s="35" t="str">
        <f>IFERROR(VLOOKUP(B349,'MASTER RECORD'!$B$5:$W$1000,2,0),"")</f>
        <v/>
      </c>
      <c r="E349" s="36" t="str">
        <f>IFERROR(VLOOKUP(B349,'MASTER RECORD'!$B$5:$W$1000,9,0),"")</f>
        <v/>
      </c>
      <c r="F349" s="35" t="str">
        <f>IFERROR(VLOOKUP(B349,'MASTER RECORD'!$B$5:$W$1000,10,0) &amp;"."&amp;(VLOOKUP(B349,'MASTER RECORD'!$B$5:$W$1000,11,0)),"")</f>
        <v/>
      </c>
      <c r="G349" s="36" t="str">
        <f t="shared" si="16"/>
        <v/>
      </c>
      <c r="H349" s="35" t="str">
        <f t="shared" si="18"/>
        <v/>
      </c>
      <c r="I349" s="35" t="str">
        <f>IFERROR(VLOOKUP(B349,'MASTER RECORD'!$B$5:$W$1000,14,0),"")</f>
        <v/>
      </c>
      <c r="J349" s="17"/>
      <c r="K349" s="17"/>
      <c r="L349" s="17"/>
      <c r="M349" s="17"/>
      <c r="N349" s="17"/>
      <c r="O349" s="17"/>
      <c r="P349" s="17"/>
      <c r="Q349" s="17"/>
      <c r="R349" s="17"/>
      <c r="S349" s="17"/>
      <c r="T349" s="17"/>
      <c r="U349" s="17"/>
      <c r="V349" s="17"/>
      <c r="W349" s="17"/>
      <c r="X349" s="17"/>
      <c r="Y349" s="17"/>
      <c r="Z349" s="17"/>
      <c r="AA349" s="17"/>
      <c r="AB349" s="17"/>
      <c r="AC349" s="17"/>
      <c r="AD349" s="17"/>
      <c r="AE349" s="17"/>
      <c r="AF349" s="17"/>
      <c r="AG349" s="17"/>
      <c r="AH349" s="17"/>
      <c r="AI349" s="17"/>
      <c r="AJ349" s="17"/>
      <c r="AK349" s="17"/>
      <c r="AL349" s="17"/>
      <c r="AM349" s="17"/>
      <c r="AN349" s="17"/>
      <c r="AO349" s="17"/>
      <c r="AP349" s="17"/>
      <c r="AQ349" s="17"/>
      <c r="AR349" s="17"/>
      <c r="AS349" s="17"/>
    </row>
    <row r="350" spans="1:45">
      <c r="A350" s="28">
        <f t="shared" si="17"/>
        <v>345</v>
      </c>
      <c r="B350" s="7"/>
      <c r="C350" s="35" t="str">
        <f>IFERROR(VLOOKUP(B350,'MASTER RECORD'!$B$5:$W$1000,3,0),"")</f>
        <v/>
      </c>
      <c r="D350" s="35" t="str">
        <f>IFERROR(VLOOKUP(B350,'MASTER RECORD'!$B$5:$W$1000,2,0),"")</f>
        <v/>
      </c>
      <c r="E350" s="36" t="str">
        <f>IFERROR(VLOOKUP(B350,'MASTER RECORD'!$B$5:$W$1000,9,0),"")</f>
        <v/>
      </c>
      <c r="F350" s="35" t="str">
        <f>IFERROR(VLOOKUP(B350,'MASTER RECORD'!$B$5:$W$1000,10,0) &amp;"."&amp;(VLOOKUP(B350,'MASTER RECORD'!$B$5:$W$1000,11,0)),"")</f>
        <v/>
      </c>
      <c r="G350" s="36" t="str">
        <f t="shared" si="16"/>
        <v/>
      </c>
      <c r="H350" s="35" t="str">
        <f t="shared" si="18"/>
        <v/>
      </c>
      <c r="I350" s="35" t="str">
        <f>IFERROR(VLOOKUP(B350,'MASTER RECORD'!$B$5:$W$1000,14,0),"")</f>
        <v/>
      </c>
      <c r="J350" s="17"/>
      <c r="K350" s="17"/>
      <c r="L350" s="17"/>
      <c r="M350" s="17"/>
      <c r="N350" s="17"/>
      <c r="O350" s="17"/>
      <c r="P350" s="17"/>
      <c r="Q350" s="17"/>
      <c r="R350" s="17"/>
      <c r="S350" s="17"/>
      <c r="T350" s="17"/>
      <c r="U350" s="17"/>
      <c r="V350" s="17"/>
      <c r="W350" s="17"/>
      <c r="X350" s="17"/>
      <c r="Y350" s="17"/>
      <c r="Z350" s="17"/>
      <c r="AA350" s="17"/>
      <c r="AB350" s="17"/>
      <c r="AC350" s="17"/>
      <c r="AD350" s="17"/>
      <c r="AE350" s="17"/>
      <c r="AF350" s="17"/>
      <c r="AG350" s="17"/>
      <c r="AH350" s="17"/>
      <c r="AI350" s="17"/>
      <c r="AJ350" s="17"/>
      <c r="AK350" s="17"/>
      <c r="AL350" s="17"/>
      <c r="AM350" s="17"/>
      <c r="AN350" s="17"/>
      <c r="AO350" s="17"/>
      <c r="AP350" s="17"/>
      <c r="AQ350" s="17"/>
      <c r="AR350" s="17"/>
      <c r="AS350" s="17"/>
    </row>
    <row r="351" spans="1:45">
      <c r="A351" s="28">
        <f t="shared" si="17"/>
        <v>346</v>
      </c>
      <c r="B351" s="7"/>
      <c r="C351" s="35" t="str">
        <f>IFERROR(VLOOKUP(B351,'MASTER RECORD'!$B$5:$W$1000,3,0),"")</f>
        <v/>
      </c>
      <c r="D351" s="35" t="str">
        <f>IFERROR(VLOOKUP(B351,'MASTER RECORD'!$B$5:$W$1000,2,0),"")</f>
        <v/>
      </c>
      <c r="E351" s="36" t="str">
        <f>IFERROR(VLOOKUP(B351,'MASTER RECORD'!$B$5:$W$1000,9,0),"")</f>
        <v/>
      </c>
      <c r="F351" s="35" t="str">
        <f>IFERROR(VLOOKUP(B351,'MASTER RECORD'!$B$5:$W$1000,10,0) &amp;"."&amp;(VLOOKUP(B351,'MASTER RECORD'!$B$5:$W$1000,11,0)),"")</f>
        <v/>
      </c>
      <c r="G351" s="36" t="str">
        <f t="shared" si="16"/>
        <v/>
      </c>
      <c r="H351" s="35" t="str">
        <f t="shared" si="18"/>
        <v/>
      </c>
      <c r="I351" s="35" t="str">
        <f>IFERROR(VLOOKUP(B351,'MASTER RECORD'!$B$5:$W$1000,14,0),"")</f>
        <v/>
      </c>
      <c r="J351" s="17"/>
      <c r="K351" s="17"/>
      <c r="L351" s="17"/>
      <c r="M351" s="17"/>
      <c r="N351" s="17"/>
      <c r="O351" s="17"/>
      <c r="P351" s="17"/>
      <c r="Q351" s="17"/>
      <c r="R351" s="17"/>
      <c r="S351" s="17"/>
      <c r="T351" s="17"/>
      <c r="U351" s="17"/>
      <c r="V351" s="17"/>
      <c r="W351" s="17"/>
      <c r="X351" s="17"/>
      <c r="Y351" s="17"/>
      <c r="Z351" s="17"/>
      <c r="AA351" s="17"/>
      <c r="AB351" s="17"/>
      <c r="AC351" s="17"/>
      <c r="AD351" s="17"/>
      <c r="AE351" s="17"/>
      <c r="AF351" s="17"/>
      <c r="AG351" s="17"/>
      <c r="AH351" s="17"/>
      <c r="AI351" s="17"/>
      <c r="AJ351" s="17"/>
      <c r="AK351" s="17"/>
      <c r="AL351" s="17"/>
      <c r="AM351" s="17"/>
      <c r="AN351" s="17"/>
      <c r="AO351" s="17"/>
      <c r="AP351" s="17"/>
      <c r="AQ351" s="17"/>
      <c r="AR351" s="17"/>
      <c r="AS351" s="17"/>
    </row>
    <row r="352" spans="1:45">
      <c r="A352" s="28">
        <f t="shared" si="17"/>
        <v>347</v>
      </c>
      <c r="B352" s="7"/>
      <c r="C352" s="35" t="str">
        <f>IFERROR(VLOOKUP(B352,'MASTER RECORD'!$B$5:$W$1000,3,0),"")</f>
        <v/>
      </c>
      <c r="D352" s="35" t="str">
        <f>IFERROR(VLOOKUP(B352,'MASTER RECORD'!$B$5:$W$1000,2,0),"")</f>
        <v/>
      </c>
      <c r="E352" s="36" t="str">
        <f>IFERROR(VLOOKUP(B352,'MASTER RECORD'!$B$5:$W$1000,9,0),"")</f>
        <v/>
      </c>
      <c r="F352" s="35" t="str">
        <f>IFERROR(VLOOKUP(B352,'MASTER RECORD'!$B$5:$W$1000,10,0) &amp;"."&amp;(VLOOKUP(B352,'MASTER RECORD'!$B$5:$W$1000,11,0)),"")</f>
        <v/>
      </c>
      <c r="G352" s="36" t="str">
        <f t="shared" si="16"/>
        <v/>
      </c>
      <c r="H352" s="35" t="str">
        <f t="shared" si="18"/>
        <v/>
      </c>
      <c r="I352" s="35" t="str">
        <f>IFERROR(VLOOKUP(B352,'MASTER RECORD'!$B$5:$W$1000,14,0),"")</f>
        <v/>
      </c>
      <c r="J352" s="17"/>
      <c r="K352" s="17"/>
      <c r="L352" s="17"/>
      <c r="M352" s="17"/>
      <c r="N352" s="17"/>
      <c r="O352" s="17"/>
      <c r="P352" s="17"/>
      <c r="Q352" s="17"/>
      <c r="R352" s="17"/>
      <c r="S352" s="17"/>
      <c r="T352" s="17"/>
      <c r="U352" s="17"/>
      <c r="V352" s="17"/>
      <c r="W352" s="17"/>
      <c r="X352" s="17"/>
      <c r="Y352" s="17"/>
      <c r="Z352" s="17"/>
      <c r="AA352" s="17"/>
      <c r="AB352" s="17"/>
      <c r="AC352" s="17"/>
      <c r="AD352" s="17"/>
      <c r="AE352" s="17"/>
      <c r="AF352" s="17"/>
      <c r="AG352" s="17"/>
      <c r="AH352" s="17"/>
      <c r="AI352" s="17"/>
      <c r="AJ352" s="17"/>
      <c r="AK352" s="17"/>
      <c r="AL352" s="17"/>
      <c r="AM352" s="17"/>
      <c r="AN352" s="17"/>
      <c r="AO352" s="17"/>
      <c r="AP352" s="17"/>
      <c r="AQ352" s="17"/>
      <c r="AR352" s="17"/>
      <c r="AS352" s="17"/>
    </row>
    <row r="353" spans="1:45">
      <c r="A353" s="28">
        <f t="shared" si="17"/>
        <v>348</v>
      </c>
      <c r="B353" s="7"/>
      <c r="C353" s="35" t="str">
        <f>IFERROR(VLOOKUP(B353,'MASTER RECORD'!$B$5:$W$1000,3,0),"")</f>
        <v/>
      </c>
      <c r="D353" s="35" t="str">
        <f>IFERROR(VLOOKUP(B353,'MASTER RECORD'!$B$5:$W$1000,2,0),"")</f>
        <v/>
      </c>
      <c r="E353" s="36" t="str">
        <f>IFERROR(VLOOKUP(B353,'MASTER RECORD'!$B$5:$W$1000,9,0),"")</f>
        <v/>
      </c>
      <c r="F353" s="35" t="str">
        <f>IFERROR(VLOOKUP(B353,'MASTER RECORD'!$B$5:$W$1000,10,0) &amp;"."&amp;(VLOOKUP(B353,'MASTER RECORD'!$B$5:$W$1000,11,0)),"")</f>
        <v/>
      </c>
      <c r="G353" s="36" t="str">
        <f t="shared" si="16"/>
        <v/>
      </c>
      <c r="H353" s="35" t="str">
        <f t="shared" si="18"/>
        <v/>
      </c>
      <c r="I353" s="35" t="str">
        <f>IFERROR(VLOOKUP(B353,'MASTER RECORD'!$B$5:$W$1000,14,0),"")</f>
        <v/>
      </c>
      <c r="J353" s="17"/>
      <c r="K353" s="17"/>
      <c r="L353" s="17"/>
      <c r="M353" s="17"/>
      <c r="N353" s="17"/>
      <c r="O353" s="17"/>
      <c r="P353" s="17"/>
      <c r="Q353" s="17"/>
      <c r="R353" s="17"/>
      <c r="S353" s="17"/>
      <c r="T353" s="17"/>
      <c r="U353" s="17"/>
      <c r="V353" s="17"/>
      <c r="W353" s="17"/>
      <c r="X353" s="17"/>
      <c r="Y353" s="17"/>
      <c r="Z353" s="17"/>
      <c r="AA353" s="17"/>
      <c r="AB353" s="17"/>
      <c r="AC353" s="17"/>
      <c r="AD353" s="17"/>
      <c r="AE353" s="17"/>
      <c r="AF353" s="17"/>
      <c r="AG353" s="17"/>
      <c r="AH353" s="17"/>
      <c r="AI353" s="17"/>
      <c r="AJ353" s="17"/>
      <c r="AK353" s="17"/>
      <c r="AL353" s="17"/>
      <c r="AM353" s="17"/>
      <c r="AN353" s="17"/>
      <c r="AO353" s="17"/>
      <c r="AP353" s="17"/>
      <c r="AQ353" s="17"/>
      <c r="AR353" s="17"/>
      <c r="AS353" s="17"/>
    </row>
    <row r="354" spans="1:45">
      <c r="A354" s="28">
        <f t="shared" si="17"/>
        <v>349</v>
      </c>
      <c r="B354" s="7"/>
      <c r="C354" s="35" t="str">
        <f>IFERROR(VLOOKUP(B354,'MASTER RECORD'!$B$5:$W$1000,3,0),"")</f>
        <v/>
      </c>
      <c r="D354" s="35" t="str">
        <f>IFERROR(VLOOKUP(B354,'MASTER RECORD'!$B$5:$W$1000,2,0),"")</f>
        <v/>
      </c>
      <c r="E354" s="36" t="str">
        <f>IFERROR(VLOOKUP(B354,'MASTER RECORD'!$B$5:$W$1000,9,0),"")</f>
        <v/>
      </c>
      <c r="F354" s="35" t="str">
        <f>IFERROR(VLOOKUP(B354,'MASTER RECORD'!$B$5:$W$1000,10,0) &amp;"."&amp;(VLOOKUP(B354,'MASTER RECORD'!$B$5:$W$1000,11,0)),"")</f>
        <v/>
      </c>
      <c r="G354" s="36" t="str">
        <f t="shared" si="16"/>
        <v/>
      </c>
      <c r="H354" s="35" t="str">
        <f t="shared" si="18"/>
        <v/>
      </c>
      <c r="I354" s="35" t="str">
        <f>IFERROR(VLOOKUP(B354,'MASTER RECORD'!$B$5:$W$1000,14,0),"")</f>
        <v/>
      </c>
      <c r="J354" s="17"/>
      <c r="K354" s="17"/>
      <c r="L354" s="17"/>
      <c r="M354" s="17"/>
      <c r="N354" s="17"/>
      <c r="O354" s="17"/>
      <c r="P354" s="17"/>
      <c r="Q354" s="17"/>
      <c r="R354" s="17"/>
      <c r="S354" s="17"/>
      <c r="T354" s="17"/>
      <c r="U354" s="17"/>
      <c r="V354" s="17"/>
      <c r="W354" s="17"/>
      <c r="X354" s="17"/>
      <c r="Y354" s="17"/>
      <c r="Z354" s="17"/>
      <c r="AA354" s="17"/>
      <c r="AB354" s="17"/>
      <c r="AC354" s="17"/>
      <c r="AD354" s="17"/>
      <c r="AE354" s="17"/>
      <c r="AF354" s="17"/>
      <c r="AG354" s="17"/>
      <c r="AH354" s="17"/>
      <c r="AI354" s="17"/>
      <c r="AJ354" s="17"/>
      <c r="AK354" s="17"/>
      <c r="AL354" s="17"/>
      <c r="AM354" s="17"/>
      <c r="AN354" s="17"/>
      <c r="AO354" s="17"/>
      <c r="AP354" s="17"/>
      <c r="AQ354" s="17"/>
      <c r="AR354" s="17"/>
      <c r="AS354" s="17"/>
    </row>
    <row r="355" spans="1:45">
      <c r="A355" s="28">
        <f t="shared" si="17"/>
        <v>350</v>
      </c>
      <c r="B355" s="7"/>
      <c r="C355" s="35" t="str">
        <f>IFERROR(VLOOKUP(B355,'MASTER RECORD'!$B$5:$W$1000,3,0),"")</f>
        <v/>
      </c>
      <c r="D355" s="35" t="str">
        <f>IFERROR(VLOOKUP(B355,'MASTER RECORD'!$B$5:$W$1000,2,0),"")</f>
        <v/>
      </c>
      <c r="E355" s="36" t="str">
        <f>IFERROR(VLOOKUP(B355,'MASTER RECORD'!$B$5:$W$1000,9,0),"")</f>
        <v/>
      </c>
      <c r="F355" s="35" t="str">
        <f>IFERROR(VLOOKUP(B355,'MASTER RECORD'!$B$5:$W$1000,10,0) &amp;"."&amp;(VLOOKUP(B355,'MASTER RECORD'!$B$5:$W$1000,11,0)),"")</f>
        <v/>
      </c>
      <c r="G355" s="36" t="str">
        <f t="shared" si="16"/>
        <v/>
      </c>
      <c r="H355" s="35" t="str">
        <f t="shared" si="18"/>
        <v/>
      </c>
      <c r="I355" s="35" t="str">
        <f>IFERROR(VLOOKUP(B355,'MASTER RECORD'!$B$5:$W$1000,14,0),"")</f>
        <v/>
      </c>
      <c r="J355" s="17"/>
      <c r="K355" s="17"/>
      <c r="L355" s="17"/>
      <c r="M355" s="17"/>
      <c r="N355" s="17"/>
      <c r="O355" s="17"/>
      <c r="P355" s="17"/>
      <c r="Q355" s="17"/>
      <c r="R355" s="17"/>
      <c r="S355" s="17"/>
      <c r="T355" s="17"/>
      <c r="U355" s="17"/>
      <c r="V355" s="17"/>
      <c r="W355" s="17"/>
      <c r="X355" s="17"/>
      <c r="Y355" s="17"/>
      <c r="Z355" s="17"/>
      <c r="AA355" s="17"/>
      <c r="AB355" s="17"/>
      <c r="AC355" s="17"/>
      <c r="AD355" s="17"/>
      <c r="AE355" s="17"/>
      <c r="AF355" s="17"/>
      <c r="AG355" s="17"/>
      <c r="AH355" s="17"/>
      <c r="AI355" s="17"/>
      <c r="AJ355" s="17"/>
      <c r="AK355" s="17"/>
      <c r="AL355" s="17"/>
      <c r="AM355" s="17"/>
      <c r="AN355" s="17"/>
      <c r="AO355" s="17"/>
      <c r="AP355" s="17"/>
      <c r="AQ355" s="17"/>
      <c r="AR355" s="17"/>
      <c r="AS355" s="17"/>
    </row>
    <row r="356" spans="1:45">
      <c r="A356" s="28">
        <f t="shared" si="17"/>
        <v>351</v>
      </c>
      <c r="B356" s="7"/>
      <c r="C356" s="35" t="str">
        <f>IFERROR(VLOOKUP(B356,'MASTER RECORD'!$B$5:$W$1000,3,0),"")</f>
        <v/>
      </c>
      <c r="D356" s="35" t="str">
        <f>IFERROR(VLOOKUP(B356,'MASTER RECORD'!$B$5:$W$1000,2,0),"")</f>
        <v/>
      </c>
      <c r="E356" s="36" t="str">
        <f>IFERROR(VLOOKUP(B356,'MASTER RECORD'!$B$5:$W$1000,9,0),"")</f>
        <v/>
      </c>
      <c r="F356" s="35" t="str">
        <f>IFERROR(VLOOKUP(B356,'MASTER RECORD'!$B$5:$W$1000,10,0) &amp;"."&amp;(VLOOKUP(B356,'MASTER RECORD'!$B$5:$W$1000,11,0)),"")</f>
        <v/>
      </c>
      <c r="G356" s="36" t="str">
        <f t="shared" si="16"/>
        <v/>
      </c>
      <c r="H356" s="35" t="str">
        <f t="shared" si="18"/>
        <v/>
      </c>
      <c r="I356" s="35" t="str">
        <f>IFERROR(VLOOKUP(B356,'MASTER RECORD'!$B$5:$W$1000,14,0),"")</f>
        <v/>
      </c>
      <c r="J356" s="17"/>
      <c r="K356" s="17"/>
      <c r="L356" s="17"/>
      <c r="M356" s="17"/>
      <c r="N356" s="17"/>
      <c r="O356" s="17"/>
      <c r="P356" s="17"/>
      <c r="Q356" s="17"/>
      <c r="R356" s="17"/>
      <c r="S356" s="17"/>
      <c r="T356" s="17"/>
      <c r="U356" s="17"/>
      <c r="V356" s="17"/>
      <c r="W356" s="17"/>
      <c r="X356" s="17"/>
      <c r="Y356" s="17"/>
      <c r="Z356" s="17"/>
      <c r="AA356" s="17"/>
      <c r="AB356" s="17"/>
      <c r="AC356" s="17"/>
      <c r="AD356" s="17"/>
      <c r="AE356" s="17"/>
      <c r="AF356" s="17"/>
      <c r="AG356" s="17"/>
      <c r="AH356" s="17"/>
      <c r="AI356" s="17"/>
      <c r="AJ356" s="17"/>
      <c r="AK356" s="17"/>
      <c r="AL356" s="17"/>
      <c r="AM356" s="17"/>
      <c r="AN356" s="17"/>
      <c r="AO356" s="17"/>
      <c r="AP356" s="17"/>
      <c r="AQ356" s="17"/>
      <c r="AR356" s="17"/>
      <c r="AS356" s="17"/>
    </row>
    <row r="357" spans="1:45">
      <c r="A357" s="28">
        <f t="shared" si="17"/>
        <v>352</v>
      </c>
      <c r="B357" s="7"/>
      <c r="C357" s="35" t="str">
        <f>IFERROR(VLOOKUP(B357,'MASTER RECORD'!$B$5:$W$1000,3,0),"")</f>
        <v/>
      </c>
      <c r="D357" s="35" t="str">
        <f>IFERROR(VLOOKUP(B357,'MASTER RECORD'!$B$5:$W$1000,2,0),"")</f>
        <v/>
      </c>
      <c r="E357" s="36" t="str">
        <f>IFERROR(VLOOKUP(B357,'MASTER RECORD'!$B$5:$W$1000,9,0),"")</f>
        <v/>
      </c>
      <c r="F357" s="35" t="str">
        <f>IFERROR(VLOOKUP(B357,'MASTER RECORD'!$B$5:$W$1000,10,0) &amp;"."&amp;(VLOOKUP(B357,'MASTER RECORD'!$B$5:$W$1000,11,0)),"")</f>
        <v/>
      </c>
      <c r="G357" s="36" t="str">
        <f t="shared" si="16"/>
        <v/>
      </c>
      <c r="H357" s="35" t="str">
        <f t="shared" si="18"/>
        <v/>
      </c>
      <c r="I357" s="35" t="str">
        <f>IFERROR(VLOOKUP(B357,'MASTER RECORD'!$B$5:$W$1000,14,0),"")</f>
        <v/>
      </c>
      <c r="J357" s="17"/>
      <c r="K357" s="17"/>
      <c r="L357" s="17"/>
      <c r="M357" s="17"/>
      <c r="N357" s="17"/>
      <c r="O357" s="17"/>
      <c r="P357" s="17"/>
      <c r="Q357" s="17"/>
      <c r="R357" s="17"/>
      <c r="S357" s="17"/>
      <c r="T357" s="17"/>
      <c r="U357" s="17"/>
      <c r="V357" s="17"/>
      <c r="W357" s="17"/>
      <c r="X357" s="17"/>
      <c r="Y357" s="17"/>
      <c r="Z357" s="17"/>
      <c r="AA357" s="17"/>
      <c r="AB357" s="17"/>
      <c r="AC357" s="17"/>
      <c r="AD357" s="17"/>
      <c r="AE357" s="17"/>
      <c r="AF357" s="17"/>
      <c r="AG357" s="17"/>
      <c r="AH357" s="17"/>
      <c r="AI357" s="17"/>
      <c r="AJ357" s="17"/>
      <c r="AK357" s="17"/>
      <c r="AL357" s="17"/>
      <c r="AM357" s="17"/>
      <c r="AN357" s="17"/>
      <c r="AO357" s="17"/>
      <c r="AP357" s="17"/>
      <c r="AQ357" s="17"/>
      <c r="AR357" s="17"/>
      <c r="AS357" s="17"/>
    </row>
    <row r="358" spans="1:45">
      <c r="A358" s="28">
        <f t="shared" si="17"/>
        <v>353</v>
      </c>
      <c r="B358" s="7"/>
      <c r="C358" s="35" t="str">
        <f>IFERROR(VLOOKUP(B358,'MASTER RECORD'!$B$5:$W$1000,3,0),"")</f>
        <v/>
      </c>
      <c r="D358" s="35" t="str">
        <f>IFERROR(VLOOKUP(B358,'MASTER RECORD'!$B$5:$W$1000,2,0),"")</f>
        <v/>
      </c>
      <c r="E358" s="36" t="str">
        <f>IFERROR(VLOOKUP(B358,'MASTER RECORD'!$B$5:$W$1000,9,0),"")</f>
        <v/>
      </c>
      <c r="F358" s="35" t="str">
        <f>IFERROR(VLOOKUP(B358,'MASTER RECORD'!$B$5:$W$1000,10,0) &amp;"."&amp;(VLOOKUP(B358,'MASTER RECORD'!$B$5:$W$1000,11,0)),"")</f>
        <v/>
      </c>
      <c r="G358" s="36" t="str">
        <f t="shared" si="16"/>
        <v/>
      </c>
      <c r="H358" s="35" t="str">
        <f t="shared" si="18"/>
        <v/>
      </c>
      <c r="I358" s="35" t="str">
        <f>IFERROR(VLOOKUP(B358,'MASTER RECORD'!$B$5:$W$1000,14,0),"")</f>
        <v/>
      </c>
      <c r="J358" s="17"/>
      <c r="K358" s="17"/>
      <c r="L358" s="17"/>
      <c r="M358" s="17"/>
      <c r="N358" s="17"/>
      <c r="O358" s="17"/>
      <c r="P358" s="17"/>
      <c r="Q358" s="17"/>
      <c r="R358" s="17"/>
      <c r="S358" s="17"/>
      <c r="T358" s="17"/>
      <c r="U358" s="17"/>
      <c r="V358" s="17"/>
      <c r="W358" s="17"/>
      <c r="X358" s="17"/>
      <c r="Y358" s="17"/>
      <c r="Z358" s="17"/>
      <c r="AA358" s="17"/>
      <c r="AB358" s="17"/>
      <c r="AC358" s="17"/>
      <c r="AD358" s="17"/>
      <c r="AE358" s="17"/>
      <c r="AF358" s="17"/>
      <c r="AG358" s="17"/>
      <c r="AH358" s="17"/>
      <c r="AI358" s="17"/>
      <c r="AJ358" s="17"/>
      <c r="AK358" s="17"/>
      <c r="AL358" s="17"/>
      <c r="AM358" s="17"/>
      <c r="AN358" s="17"/>
      <c r="AO358" s="17"/>
      <c r="AP358" s="17"/>
      <c r="AQ358" s="17"/>
      <c r="AR358" s="17"/>
      <c r="AS358" s="17"/>
    </row>
    <row r="359" spans="1:45">
      <c r="A359" s="28">
        <f t="shared" si="17"/>
        <v>354</v>
      </c>
      <c r="B359" s="7"/>
      <c r="C359" s="35" t="str">
        <f>IFERROR(VLOOKUP(B359,'MASTER RECORD'!$B$5:$W$1000,3,0),"")</f>
        <v/>
      </c>
      <c r="D359" s="35" t="str">
        <f>IFERROR(VLOOKUP(B359,'MASTER RECORD'!$B$5:$W$1000,2,0),"")</f>
        <v/>
      </c>
      <c r="E359" s="36" t="str">
        <f>IFERROR(VLOOKUP(B359,'MASTER RECORD'!$B$5:$W$1000,9,0),"")</f>
        <v/>
      </c>
      <c r="F359" s="35" t="str">
        <f>IFERROR(VLOOKUP(B359,'MASTER RECORD'!$B$5:$W$1000,10,0) &amp;"."&amp;(VLOOKUP(B359,'MASTER RECORD'!$B$5:$W$1000,11,0)),"")</f>
        <v/>
      </c>
      <c r="G359" s="36" t="str">
        <f t="shared" si="16"/>
        <v/>
      </c>
      <c r="H359" s="35" t="str">
        <f t="shared" si="18"/>
        <v/>
      </c>
      <c r="I359" s="35" t="str">
        <f>IFERROR(VLOOKUP(B359,'MASTER RECORD'!$B$5:$W$1000,14,0),"")</f>
        <v/>
      </c>
      <c r="J359" s="17"/>
      <c r="K359" s="17"/>
      <c r="L359" s="17"/>
      <c r="M359" s="17"/>
      <c r="N359" s="17"/>
      <c r="O359" s="17"/>
      <c r="P359" s="17"/>
      <c r="Q359" s="17"/>
      <c r="R359" s="17"/>
      <c r="S359" s="17"/>
      <c r="T359" s="17"/>
      <c r="U359" s="17"/>
      <c r="V359" s="17"/>
      <c r="W359" s="17"/>
      <c r="X359" s="17"/>
      <c r="Y359" s="17"/>
      <c r="Z359" s="17"/>
      <c r="AA359" s="17"/>
      <c r="AB359" s="17"/>
      <c r="AC359" s="17"/>
      <c r="AD359" s="17"/>
      <c r="AE359" s="17"/>
      <c r="AF359" s="17"/>
      <c r="AG359" s="17"/>
      <c r="AH359" s="17"/>
      <c r="AI359" s="17"/>
      <c r="AJ359" s="17"/>
      <c r="AK359" s="17"/>
      <c r="AL359" s="17"/>
      <c r="AM359" s="17"/>
      <c r="AN359" s="17"/>
      <c r="AO359" s="17"/>
      <c r="AP359" s="17"/>
      <c r="AQ359" s="17"/>
      <c r="AR359" s="17"/>
      <c r="AS359" s="17"/>
    </row>
    <row r="360" spans="1:45">
      <c r="A360" s="28">
        <f t="shared" si="17"/>
        <v>355</v>
      </c>
      <c r="B360" s="7"/>
      <c r="C360" s="35" t="str">
        <f>IFERROR(VLOOKUP(B360,'MASTER RECORD'!$B$5:$W$1000,3,0),"")</f>
        <v/>
      </c>
      <c r="D360" s="35" t="str">
        <f>IFERROR(VLOOKUP(B360,'MASTER RECORD'!$B$5:$W$1000,2,0),"")</f>
        <v/>
      </c>
      <c r="E360" s="36" t="str">
        <f>IFERROR(VLOOKUP(B360,'MASTER RECORD'!$B$5:$W$1000,9,0),"")</f>
        <v/>
      </c>
      <c r="F360" s="35" t="str">
        <f>IFERROR(VLOOKUP(B360,'MASTER RECORD'!$B$5:$W$1000,10,0) &amp;"."&amp;(VLOOKUP(B360,'MASTER RECORD'!$B$5:$W$1000,11,0)),"")</f>
        <v/>
      </c>
      <c r="G360" s="36" t="str">
        <f t="shared" si="16"/>
        <v/>
      </c>
      <c r="H360" s="35" t="str">
        <f t="shared" si="18"/>
        <v/>
      </c>
      <c r="I360" s="35" t="str">
        <f>IFERROR(VLOOKUP(B360,'MASTER RECORD'!$B$5:$W$1000,14,0),"")</f>
        <v/>
      </c>
      <c r="J360" s="17"/>
      <c r="K360" s="17"/>
      <c r="L360" s="17"/>
      <c r="M360" s="17"/>
      <c r="N360" s="17"/>
      <c r="O360" s="17"/>
      <c r="P360" s="17"/>
      <c r="Q360" s="17"/>
      <c r="R360" s="17"/>
      <c r="S360" s="17"/>
      <c r="T360" s="17"/>
      <c r="U360" s="17"/>
      <c r="V360" s="17"/>
      <c r="W360" s="17"/>
      <c r="X360" s="17"/>
      <c r="Y360" s="17"/>
      <c r="Z360" s="17"/>
      <c r="AA360" s="17"/>
      <c r="AB360" s="17"/>
      <c r="AC360" s="17"/>
      <c r="AD360" s="17"/>
      <c r="AE360" s="17"/>
      <c r="AF360" s="17"/>
      <c r="AG360" s="17"/>
      <c r="AH360" s="17"/>
      <c r="AI360" s="17"/>
      <c r="AJ360" s="17"/>
      <c r="AK360" s="17"/>
      <c r="AL360" s="17"/>
      <c r="AM360" s="17"/>
      <c r="AN360" s="17"/>
      <c r="AO360" s="17"/>
      <c r="AP360" s="17"/>
      <c r="AQ360" s="17"/>
      <c r="AR360" s="17"/>
      <c r="AS360" s="17"/>
    </row>
    <row r="361" spans="1:45">
      <c r="A361" s="28">
        <f t="shared" si="17"/>
        <v>356</v>
      </c>
      <c r="B361" s="7"/>
      <c r="C361" s="35" t="str">
        <f>IFERROR(VLOOKUP(B361,'MASTER RECORD'!$B$5:$W$1000,3,0),"")</f>
        <v/>
      </c>
      <c r="D361" s="35" t="str">
        <f>IFERROR(VLOOKUP(B361,'MASTER RECORD'!$B$5:$W$1000,2,0),"")</f>
        <v/>
      </c>
      <c r="E361" s="36" t="str">
        <f>IFERROR(VLOOKUP(B361,'MASTER RECORD'!$B$5:$W$1000,9,0),"")</f>
        <v/>
      </c>
      <c r="F361" s="35" t="str">
        <f>IFERROR(VLOOKUP(B361,'MASTER RECORD'!$B$5:$W$1000,10,0) &amp;"."&amp;(VLOOKUP(B361,'MASTER RECORD'!$B$5:$W$1000,11,0)),"")</f>
        <v/>
      </c>
      <c r="G361" s="36" t="str">
        <f t="shared" si="16"/>
        <v/>
      </c>
      <c r="H361" s="35" t="str">
        <f t="shared" si="18"/>
        <v/>
      </c>
      <c r="I361" s="35" t="str">
        <f>IFERROR(VLOOKUP(B361,'MASTER RECORD'!$B$5:$W$1000,14,0),"")</f>
        <v/>
      </c>
      <c r="J361" s="17"/>
      <c r="K361" s="17"/>
      <c r="L361" s="17"/>
      <c r="M361" s="17"/>
      <c r="N361" s="17"/>
      <c r="O361" s="17"/>
      <c r="P361" s="17"/>
      <c r="Q361" s="17"/>
      <c r="R361" s="17"/>
      <c r="S361" s="17"/>
      <c r="T361" s="17"/>
      <c r="U361" s="17"/>
      <c r="V361" s="17"/>
      <c r="W361" s="17"/>
      <c r="X361" s="17"/>
      <c r="Y361" s="17"/>
      <c r="Z361" s="17"/>
      <c r="AA361" s="17"/>
      <c r="AB361" s="17"/>
      <c r="AC361" s="17"/>
      <c r="AD361" s="17"/>
      <c r="AE361" s="17"/>
      <c r="AF361" s="17"/>
      <c r="AG361" s="17"/>
      <c r="AH361" s="17"/>
      <c r="AI361" s="17"/>
      <c r="AJ361" s="17"/>
      <c r="AK361" s="17"/>
      <c r="AL361" s="17"/>
      <c r="AM361" s="17"/>
      <c r="AN361" s="17"/>
      <c r="AO361" s="17"/>
      <c r="AP361" s="17"/>
      <c r="AQ361" s="17"/>
      <c r="AR361" s="17"/>
      <c r="AS361" s="17"/>
    </row>
    <row r="362" spans="1:45">
      <c r="A362" s="28">
        <f t="shared" si="17"/>
        <v>357</v>
      </c>
      <c r="B362" s="7"/>
      <c r="C362" s="35" t="str">
        <f>IFERROR(VLOOKUP(B362,'MASTER RECORD'!$B$5:$W$1000,3,0),"")</f>
        <v/>
      </c>
      <c r="D362" s="35" t="str">
        <f>IFERROR(VLOOKUP(B362,'MASTER RECORD'!$B$5:$W$1000,2,0),"")</f>
        <v/>
      </c>
      <c r="E362" s="36" t="str">
        <f>IFERROR(VLOOKUP(B362,'MASTER RECORD'!$B$5:$W$1000,9,0),"")</f>
        <v/>
      </c>
      <c r="F362" s="35" t="str">
        <f>IFERROR(VLOOKUP(B362,'MASTER RECORD'!$B$5:$W$1000,10,0) &amp;"."&amp;(VLOOKUP(B362,'MASTER RECORD'!$B$5:$W$1000,11,0)),"")</f>
        <v/>
      </c>
      <c r="G362" s="36" t="str">
        <f t="shared" si="16"/>
        <v/>
      </c>
      <c r="H362" s="35" t="str">
        <f t="shared" si="18"/>
        <v/>
      </c>
      <c r="I362" s="35" t="str">
        <f>IFERROR(VLOOKUP(B362,'MASTER RECORD'!$B$5:$W$1000,14,0),"")</f>
        <v/>
      </c>
      <c r="J362" s="17"/>
      <c r="K362" s="17"/>
      <c r="L362" s="17"/>
      <c r="M362" s="17"/>
      <c r="N362" s="17"/>
      <c r="O362" s="17"/>
      <c r="P362" s="17"/>
      <c r="Q362" s="17"/>
      <c r="R362" s="17"/>
      <c r="S362" s="17"/>
      <c r="T362" s="17"/>
      <c r="U362" s="17"/>
      <c r="V362" s="17"/>
      <c r="W362" s="17"/>
      <c r="X362" s="17"/>
      <c r="Y362" s="17"/>
      <c r="Z362" s="17"/>
      <c r="AA362" s="17"/>
      <c r="AB362" s="17"/>
      <c r="AC362" s="17"/>
      <c r="AD362" s="17"/>
      <c r="AE362" s="17"/>
      <c r="AF362" s="17"/>
      <c r="AG362" s="17"/>
      <c r="AH362" s="17"/>
      <c r="AI362" s="17"/>
      <c r="AJ362" s="17"/>
      <c r="AK362" s="17"/>
      <c r="AL362" s="17"/>
      <c r="AM362" s="17"/>
      <c r="AN362" s="17"/>
      <c r="AO362" s="17"/>
      <c r="AP362" s="17"/>
      <c r="AQ362" s="17"/>
      <c r="AR362" s="17"/>
      <c r="AS362" s="17"/>
    </row>
    <row r="363" spans="1:45">
      <c r="A363" s="28">
        <f t="shared" si="17"/>
        <v>358</v>
      </c>
      <c r="B363" s="7"/>
      <c r="C363" s="35" t="str">
        <f>IFERROR(VLOOKUP(B363,'MASTER RECORD'!$B$5:$W$1000,3,0),"")</f>
        <v/>
      </c>
      <c r="D363" s="35" t="str">
        <f>IFERROR(VLOOKUP(B363,'MASTER RECORD'!$B$5:$W$1000,2,0),"")</f>
        <v/>
      </c>
      <c r="E363" s="36" t="str">
        <f>IFERROR(VLOOKUP(B363,'MASTER RECORD'!$B$5:$W$1000,9,0),"")</f>
        <v/>
      </c>
      <c r="F363" s="35" t="str">
        <f>IFERROR(VLOOKUP(B363,'MASTER RECORD'!$B$5:$W$1000,10,0) &amp;"."&amp;(VLOOKUP(B363,'MASTER RECORD'!$B$5:$W$1000,11,0)),"")</f>
        <v/>
      </c>
      <c r="G363" s="36" t="str">
        <f t="shared" si="16"/>
        <v/>
      </c>
      <c r="H363" s="35" t="str">
        <f t="shared" si="18"/>
        <v/>
      </c>
      <c r="I363" s="35" t="str">
        <f>IFERROR(VLOOKUP(B363,'MASTER RECORD'!$B$5:$W$1000,14,0),"")</f>
        <v/>
      </c>
      <c r="J363" s="17"/>
      <c r="K363" s="17"/>
      <c r="L363" s="17"/>
      <c r="M363" s="17"/>
      <c r="N363" s="17"/>
      <c r="O363" s="17"/>
      <c r="P363" s="17"/>
      <c r="Q363" s="17"/>
      <c r="R363" s="17"/>
      <c r="S363" s="17"/>
      <c r="T363" s="17"/>
      <c r="U363" s="17"/>
      <c r="V363" s="17"/>
      <c r="W363" s="17"/>
      <c r="X363" s="17"/>
      <c r="Y363" s="17"/>
      <c r="Z363" s="17"/>
      <c r="AA363" s="17"/>
      <c r="AB363" s="17"/>
      <c r="AC363" s="17"/>
      <c r="AD363" s="17"/>
      <c r="AE363" s="17"/>
      <c r="AF363" s="17"/>
      <c r="AG363" s="17"/>
      <c r="AH363" s="17"/>
      <c r="AI363" s="17"/>
      <c r="AJ363" s="17"/>
      <c r="AK363" s="17"/>
      <c r="AL363" s="17"/>
      <c r="AM363" s="17"/>
      <c r="AN363" s="17"/>
      <c r="AO363" s="17"/>
      <c r="AP363" s="17"/>
      <c r="AQ363" s="17"/>
      <c r="AR363" s="17"/>
      <c r="AS363" s="17"/>
    </row>
    <row r="364" spans="1:45">
      <c r="A364" s="28">
        <f t="shared" si="17"/>
        <v>359</v>
      </c>
      <c r="B364" s="7"/>
      <c r="C364" s="35" t="str">
        <f>IFERROR(VLOOKUP(B364,'MASTER RECORD'!$B$5:$W$1000,3,0),"")</f>
        <v/>
      </c>
      <c r="D364" s="35" t="str">
        <f>IFERROR(VLOOKUP(B364,'MASTER RECORD'!$B$5:$W$1000,2,0),"")</f>
        <v/>
      </c>
      <c r="E364" s="36" t="str">
        <f>IFERROR(VLOOKUP(B364,'MASTER RECORD'!$B$5:$W$1000,9,0),"")</f>
        <v/>
      </c>
      <c r="F364" s="35" t="str">
        <f>IFERROR(VLOOKUP(B364,'MASTER RECORD'!$B$5:$W$1000,10,0) &amp;"."&amp;(VLOOKUP(B364,'MASTER RECORD'!$B$5:$W$1000,11,0)),"")</f>
        <v/>
      </c>
      <c r="G364" s="36" t="str">
        <f t="shared" si="16"/>
        <v/>
      </c>
      <c r="H364" s="35" t="str">
        <f t="shared" si="18"/>
        <v/>
      </c>
      <c r="I364" s="35" t="str">
        <f>IFERROR(VLOOKUP(B364,'MASTER RECORD'!$B$5:$W$1000,14,0),"")</f>
        <v/>
      </c>
      <c r="J364" s="17"/>
      <c r="K364" s="17"/>
      <c r="L364" s="17"/>
      <c r="M364" s="17"/>
      <c r="N364" s="17"/>
      <c r="O364" s="17"/>
      <c r="P364" s="17"/>
      <c r="Q364" s="17"/>
      <c r="R364" s="17"/>
      <c r="S364" s="17"/>
      <c r="T364" s="17"/>
      <c r="U364" s="17"/>
      <c r="V364" s="17"/>
      <c r="W364" s="17"/>
      <c r="X364" s="17"/>
      <c r="Y364" s="17"/>
      <c r="Z364" s="17"/>
      <c r="AA364" s="17"/>
      <c r="AB364" s="17"/>
      <c r="AC364" s="17"/>
      <c r="AD364" s="17"/>
      <c r="AE364" s="17"/>
      <c r="AF364" s="17"/>
      <c r="AG364" s="17"/>
      <c r="AH364" s="17"/>
      <c r="AI364" s="17"/>
      <c r="AJ364" s="17"/>
      <c r="AK364" s="17"/>
      <c r="AL364" s="17"/>
      <c r="AM364" s="17"/>
      <c r="AN364" s="17"/>
      <c r="AO364" s="17"/>
      <c r="AP364" s="17"/>
      <c r="AQ364" s="17"/>
      <c r="AR364" s="17"/>
      <c r="AS364" s="17"/>
    </row>
    <row r="365" spans="1:45">
      <c r="A365" s="28">
        <f t="shared" si="17"/>
        <v>360</v>
      </c>
      <c r="B365" s="7"/>
      <c r="C365" s="35" t="str">
        <f>IFERROR(VLOOKUP(B365,'MASTER RECORD'!$B$5:$W$1000,3,0),"")</f>
        <v/>
      </c>
      <c r="D365" s="35" t="str">
        <f>IFERROR(VLOOKUP(B365,'MASTER RECORD'!$B$5:$W$1000,2,0),"")</f>
        <v/>
      </c>
      <c r="E365" s="36" t="str">
        <f>IFERROR(VLOOKUP(B365,'MASTER RECORD'!$B$5:$W$1000,9,0),"")</f>
        <v/>
      </c>
      <c r="F365" s="35" t="str">
        <f>IFERROR(VLOOKUP(B365,'MASTER RECORD'!$B$5:$W$1000,10,0) &amp;"."&amp;(VLOOKUP(B365,'MASTER RECORD'!$B$5:$W$1000,11,0)),"")</f>
        <v/>
      </c>
      <c r="G365" s="36" t="str">
        <f t="shared" si="16"/>
        <v/>
      </c>
      <c r="H365" s="35" t="str">
        <f t="shared" si="18"/>
        <v/>
      </c>
      <c r="I365" s="35" t="str">
        <f>IFERROR(VLOOKUP(B365,'MASTER RECORD'!$B$5:$W$1000,14,0),"")</f>
        <v/>
      </c>
      <c r="J365" s="17"/>
      <c r="K365" s="17"/>
      <c r="L365" s="17"/>
      <c r="M365" s="17"/>
      <c r="N365" s="17"/>
      <c r="O365" s="17"/>
      <c r="P365" s="17"/>
      <c r="Q365" s="17"/>
      <c r="R365" s="17"/>
      <c r="S365" s="17"/>
      <c r="T365" s="17"/>
      <c r="U365" s="17"/>
      <c r="V365" s="17"/>
      <c r="W365" s="17"/>
      <c r="X365" s="17"/>
      <c r="Y365" s="17"/>
      <c r="Z365" s="17"/>
      <c r="AA365" s="17"/>
      <c r="AB365" s="17"/>
      <c r="AC365" s="17"/>
      <c r="AD365" s="17"/>
      <c r="AE365" s="17"/>
      <c r="AF365" s="17"/>
      <c r="AG365" s="17"/>
      <c r="AH365" s="17"/>
      <c r="AI365" s="17"/>
      <c r="AJ365" s="17"/>
      <c r="AK365" s="17"/>
      <c r="AL365" s="17"/>
      <c r="AM365" s="17"/>
      <c r="AN365" s="17"/>
      <c r="AO365" s="17"/>
      <c r="AP365" s="17"/>
      <c r="AQ365" s="17"/>
      <c r="AR365" s="17"/>
      <c r="AS365" s="17"/>
    </row>
    <row r="366" spans="1:45">
      <c r="A366" s="28">
        <f t="shared" si="17"/>
        <v>361</v>
      </c>
      <c r="B366" s="7"/>
      <c r="C366" s="35" t="str">
        <f>IFERROR(VLOOKUP(B366,'MASTER RECORD'!$B$5:$W$1000,3,0),"")</f>
        <v/>
      </c>
      <c r="D366" s="35" t="str">
        <f>IFERROR(VLOOKUP(B366,'MASTER RECORD'!$B$5:$W$1000,2,0),"")</f>
        <v/>
      </c>
      <c r="E366" s="36" t="str">
        <f>IFERROR(VLOOKUP(B366,'MASTER RECORD'!$B$5:$W$1000,9,0),"")</f>
        <v/>
      </c>
      <c r="F366" s="35" t="str">
        <f>IFERROR(VLOOKUP(B366,'MASTER RECORD'!$B$5:$W$1000,10,0) &amp;"."&amp;(VLOOKUP(B366,'MASTER RECORD'!$B$5:$W$1000,11,0)),"")</f>
        <v/>
      </c>
      <c r="G366" s="36" t="str">
        <f t="shared" si="16"/>
        <v/>
      </c>
      <c r="H366" s="35" t="str">
        <f t="shared" si="18"/>
        <v/>
      </c>
      <c r="I366" s="35" t="str">
        <f>IFERROR(VLOOKUP(B366,'MASTER RECORD'!$B$5:$W$1000,14,0),"")</f>
        <v/>
      </c>
      <c r="J366" s="17"/>
      <c r="K366" s="17"/>
      <c r="L366" s="17"/>
      <c r="M366" s="17"/>
      <c r="N366" s="17"/>
      <c r="O366" s="17"/>
      <c r="P366" s="17"/>
      <c r="Q366" s="17"/>
      <c r="R366" s="17"/>
      <c r="S366" s="17"/>
      <c r="T366" s="17"/>
      <c r="U366" s="17"/>
      <c r="V366" s="17"/>
      <c r="W366" s="17"/>
      <c r="X366" s="17"/>
      <c r="Y366" s="17"/>
      <c r="Z366" s="17"/>
      <c r="AA366" s="17"/>
      <c r="AB366" s="17"/>
      <c r="AC366" s="17"/>
      <c r="AD366" s="17"/>
      <c r="AE366" s="17"/>
      <c r="AF366" s="17"/>
      <c r="AG366" s="17"/>
      <c r="AH366" s="17"/>
      <c r="AI366" s="17"/>
      <c r="AJ366" s="17"/>
      <c r="AK366" s="17"/>
      <c r="AL366" s="17"/>
      <c r="AM366" s="17"/>
      <c r="AN366" s="17"/>
      <c r="AO366" s="17"/>
      <c r="AP366" s="17"/>
      <c r="AQ366" s="17"/>
      <c r="AR366" s="17"/>
      <c r="AS366" s="17"/>
    </row>
    <row r="367" spans="1:45">
      <c r="A367" s="28">
        <f t="shared" si="17"/>
        <v>362</v>
      </c>
      <c r="B367" s="7"/>
      <c r="C367" s="35" t="str">
        <f>IFERROR(VLOOKUP(B367,'MASTER RECORD'!$B$5:$W$1000,3,0),"")</f>
        <v/>
      </c>
      <c r="D367" s="35" t="str">
        <f>IFERROR(VLOOKUP(B367,'MASTER RECORD'!$B$5:$W$1000,2,0),"")</f>
        <v/>
      </c>
      <c r="E367" s="36" t="str">
        <f>IFERROR(VLOOKUP(B367,'MASTER RECORD'!$B$5:$W$1000,9,0),"")</f>
        <v/>
      </c>
      <c r="F367" s="35" t="str">
        <f>IFERROR(VLOOKUP(B367,'MASTER RECORD'!$B$5:$W$1000,10,0) &amp;"."&amp;(VLOOKUP(B367,'MASTER RECORD'!$B$5:$W$1000,11,0)),"")</f>
        <v/>
      </c>
      <c r="G367" s="36" t="str">
        <f t="shared" si="16"/>
        <v/>
      </c>
      <c r="H367" s="35" t="str">
        <f t="shared" si="18"/>
        <v/>
      </c>
      <c r="I367" s="35" t="str">
        <f>IFERROR(VLOOKUP(B367,'MASTER RECORD'!$B$5:$W$1000,14,0),"")</f>
        <v/>
      </c>
      <c r="J367" s="17"/>
      <c r="K367" s="17"/>
      <c r="L367" s="17"/>
      <c r="M367" s="17"/>
      <c r="N367" s="17"/>
      <c r="O367" s="17"/>
      <c r="P367" s="17"/>
      <c r="Q367" s="17"/>
      <c r="R367" s="17"/>
      <c r="S367" s="17"/>
      <c r="T367" s="17"/>
      <c r="U367" s="17"/>
      <c r="V367" s="17"/>
      <c r="W367" s="17"/>
      <c r="X367" s="17"/>
      <c r="Y367" s="17"/>
      <c r="Z367" s="17"/>
      <c r="AA367" s="17"/>
      <c r="AB367" s="17"/>
      <c r="AC367" s="17"/>
      <c r="AD367" s="17"/>
      <c r="AE367" s="17"/>
      <c r="AF367" s="17"/>
      <c r="AG367" s="17"/>
      <c r="AH367" s="17"/>
      <c r="AI367" s="17"/>
      <c r="AJ367" s="17"/>
      <c r="AK367" s="17"/>
      <c r="AL367" s="17"/>
      <c r="AM367" s="17"/>
      <c r="AN367" s="17"/>
      <c r="AO367" s="17"/>
      <c r="AP367" s="17"/>
      <c r="AQ367" s="17"/>
      <c r="AR367" s="17"/>
      <c r="AS367" s="17"/>
    </row>
    <row r="368" spans="1:45">
      <c r="A368" s="28">
        <f t="shared" si="17"/>
        <v>363</v>
      </c>
      <c r="B368" s="7"/>
      <c r="C368" s="35" t="str">
        <f>IFERROR(VLOOKUP(B368,'MASTER RECORD'!$B$5:$W$1000,3,0),"")</f>
        <v/>
      </c>
      <c r="D368" s="35" t="str">
        <f>IFERROR(VLOOKUP(B368,'MASTER RECORD'!$B$5:$W$1000,2,0),"")</f>
        <v/>
      </c>
      <c r="E368" s="36" t="str">
        <f>IFERROR(VLOOKUP(B368,'MASTER RECORD'!$B$5:$W$1000,9,0),"")</f>
        <v/>
      </c>
      <c r="F368" s="35" t="str">
        <f>IFERROR(VLOOKUP(B368,'MASTER RECORD'!$B$5:$W$1000,10,0) &amp;"."&amp;(VLOOKUP(B368,'MASTER RECORD'!$B$5:$W$1000,11,0)),"")</f>
        <v/>
      </c>
      <c r="G368" s="36" t="str">
        <f t="shared" si="16"/>
        <v/>
      </c>
      <c r="H368" s="35" t="str">
        <f t="shared" si="18"/>
        <v/>
      </c>
      <c r="I368" s="35" t="str">
        <f>IFERROR(VLOOKUP(B368,'MASTER RECORD'!$B$5:$W$1000,14,0),"")</f>
        <v/>
      </c>
      <c r="J368" s="17"/>
      <c r="K368" s="17"/>
      <c r="L368" s="17"/>
      <c r="M368" s="17"/>
      <c r="N368" s="17"/>
      <c r="O368" s="17"/>
      <c r="P368" s="17"/>
      <c r="Q368" s="17"/>
      <c r="R368" s="17"/>
      <c r="S368" s="17"/>
      <c r="T368" s="17"/>
      <c r="U368" s="17"/>
      <c r="V368" s="17"/>
      <c r="W368" s="17"/>
      <c r="X368" s="17"/>
      <c r="Y368" s="17"/>
      <c r="Z368" s="17"/>
      <c r="AA368" s="17"/>
      <c r="AB368" s="17"/>
      <c r="AC368" s="17"/>
      <c r="AD368" s="17"/>
      <c r="AE368" s="17"/>
      <c r="AF368" s="17"/>
      <c r="AG368" s="17"/>
      <c r="AH368" s="17"/>
      <c r="AI368" s="17"/>
      <c r="AJ368" s="17"/>
      <c r="AK368" s="17"/>
      <c r="AL368" s="17"/>
      <c r="AM368" s="17"/>
      <c r="AN368" s="17"/>
      <c r="AO368" s="17"/>
      <c r="AP368" s="17"/>
      <c r="AQ368" s="17"/>
      <c r="AR368" s="17"/>
      <c r="AS368" s="17"/>
    </row>
    <row r="369" spans="1:45">
      <c r="A369" s="28">
        <f t="shared" si="17"/>
        <v>364</v>
      </c>
      <c r="B369" s="7"/>
      <c r="C369" s="35" t="str">
        <f>IFERROR(VLOOKUP(B369,'MASTER RECORD'!$B$5:$W$1000,3,0),"")</f>
        <v/>
      </c>
      <c r="D369" s="35" t="str">
        <f>IFERROR(VLOOKUP(B369,'MASTER RECORD'!$B$5:$W$1000,2,0),"")</f>
        <v/>
      </c>
      <c r="E369" s="36" t="str">
        <f>IFERROR(VLOOKUP(B369,'MASTER RECORD'!$B$5:$W$1000,9,0),"")</f>
        <v/>
      </c>
      <c r="F369" s="35" t="str">
        <f>IFERROR(VLOOKUP(B369,'MASTER RECORD'!$B$5:$W$1000,10,0) &amp;"."&amp;(VLOOKUP(B369,'MASTER RECORD'!$B$5:$W$1000,11,0)),"")</f>
        <v/>
      </c>
      <c r="G369" s="36" t="str">
        <f t="shared" si="16"/>
        <v/>
      </c>
      <c r="H369" s="35" t="str">
        <f t="shared" si="18"/>
        <v/>
      </c>
      <c r="I369" s="35" t="str">
        <f>IFERROR(VLOOKUP(B369,'MASTER RECORD'!$B$5:$W$1000,14,0),"")</f>
        <v/>
      </c>
      <c r="J369" s="17"/>
      <c r="K369" s="17"/>
      <c r="L369" s="17"/>
      <c r="M369" s="17"/>
      <c r="N369" s="17"/>
      <c r="O369" s="17"/>
      <c r="P369" s="17"/>
      <c r="Q369" s="17"/>
      <c r="R369" s="17"/>
      <c r="S369" s="17"/>
      <c r="T369" s="17"/>
      <c r="U369" s="17"/>
      <c r="V369" s="17"/>
      <c r="W369" s="17"/>
      <c r="X369" s="17"/>
      <c r="Y369" s="17"/>
      <c r="Z369" s="17"/>
      <c r="AA369" s="17"/>
      <c r="AB369" s="17"/>
      <c r="AC369" s="17"/>
      <c r="AD369" s="17"/>
      <c r="AE369" s="17"/>
      <c r="AF369" s="17"/>
      <c r="AG369" s="17"/>
      <c r="AH369" s="17"/>
      <c r="AI369" s="17"/>
      <c r="AJ369" s="17"/>
      <c r="AK369" s="17"/>
      <c r="AL369" s="17"/>
      <c r="AM369" s="17"/>
      <c r="AN369" s="17"/>
      <c r="AO369" s="17"/>
      <c r="AP369" s="17"/>
      <c r="AQ369" s="17"/>
      <c r="AR369" s="17"/>
      <c r="AS369" s="17"/>
    </row>
    <row r="370" spans="1:45">
      <c r="A370" s="28">
        <f t="shared" si="17"/>
        <v>365</v>
      </c>
      <c r="B370" s="7"/>
      <c r="C370" s="35" t="str">
        <f>IFERROR(VLOOKUP(B370,'MASTER RECORD'!$B$5:$W$1000,3,0),"")</f>
        <v/>
      </c>
      <c r="D370" s="35" t="str">
        <f>IFERROR(VLOOKUP(B370,'MASTER RECORD'!$B$5:$W$1000,2,0),"")</f>
        <v/>
      </c>
      <c r="E370" s="36" t="str">
        <f>IFERROR(VLOOKUP(B370,'MASTER RECORD'!$B$5:$W$1000,9,0),"")</f>
        <v/>
      </c>
      <c r="F370" s="35" t="str">
        <f>IFERROR(VLOOKUP(B370,'MASTER RECORD'!$B$5:$W$1000,10,0) &amp;"."&amp;(VLOOKUP(B370,'MASTER RECORD'!$B$5:$W$1000,11,0)),"")</f>
        <v/>
      </c>
      <c r="G370" s="36" t="str">
        <f t="shared" si="16"/>
        <v/>
      </c>
      <c r="H370" s="35" t="str">
        <f t="shared" si="18"/>
        <v/>
      </c>
      <c r="I370" s="35" t="str">
        <f>IFERROR(VLOOKUP(B370,'MASTER RECORD'!$B$5:$W$1000,14,0),"")</f>
        <v/>
      </c>
      <c r="J370" s="17"/>
      <c r="K370" s="17"/>
      <c r="L370" s="17"/>
      <c r="M370" s="17"/>
      <c r="N370" s="17"/>
      <c r="O370" s="17"/>
      <c r="P370" s="17"/>
      <c r="Q370" s="17"/>
      <c r="R370" s="17"/>
      <c r="S370" s="17"/>
      <c r="T370" s="17"/>
      <c r="U370" s="17"/>
      <c r="V370" s="17"/>
      <c r="W370" s="17"/>
      <c r="X370" s="17"/>
      <c r="Y370" s="17"/>
      <c r="Z370" s="17"/>
      <c r="AA370" s="17"/>
      <c r="AB370" s="17"/>
      <c r="AC370" s="17"/>
      <c r="AD370" s="17"/>
      <c r="AE370" s="17"/>
      <c r="AF370" s="17"/>
      <c r="AG370" s="17"/>
      <c r="AH370" s="17"/>
      <c r="AI370" s="17"/>
      <c r="AJ370" s="17"/>
      <c r="AK370" s="17"/>
      <c r="AL370" s="17"/>
      <c r="AM370" s="17"/>
      <c r="AN370" s="17"/>
      <c r="AO370" s="17"/>
      <c r="AP370" s="17"/>
      <c r="AQ370" s="17"/>
      <c r="AR370" s="17"/>
      <c r="AS370" s="17"/>
    </row>
    <row r="371" spans="1:45">
      <c r="A371" s="28">
        <f t="shared" si="17"/>
        <v>366</v>
      </c>
      <c r="B371" s="7"/>
      <c r="C371" s="35" t="str">
        <f>IFERROR(VLOOKUP(B371,'MASTER RECORD'!$B$5:$W$1000,3,0),"")</f>
        <v/>
      </c>
      <c r="D371" s="35" t="str">
        <f>IFERROR(VLOOKUP(B371,'MASTER RECORD'!$B$5:$W$1000,2,0),"")</f>
        <v/>
      </c>
      <c r="E371" s="36" t="str">
        <f>IFERROR(VLOOKUP(B371,'MASTER RECORD'!$B$5:$W$1000,9,0),"")</f>
        <v/>
      </c>
      <c r="F371" s="35" t="str">
        <f>IFERROR(VLOOKUP(B371,'MASTER RECORD'!$B$5:$W$1000,10,0) &amp;"."&amp;(VLOOKUP(B371,'MASTER RECORD'!$B$5:$W$1000,11,0)),"")</f>
        <v/>
      </c>
      <c r="G371" s="36" t="str">
        <f t="shared" si="16"/>
        <v/>
      </c>
      <c r="H371" s="35" t="str">
        <f t="shared" si="18"/>
        <v/>
      </c>
      <c r="I371" s="35" t="str">
        <f>IFERROR(VLOOKUP(B371,'MASTER RECORD'!$B$5:$W$1000,14,0),"")</f>
        <v/>
      </c>
      <c r="J371" s="17"/>
      <c r="K371" s="17"/>
      <c r="L371" s="17"/>
      <c r="M371" s="17"/>
      <c r="N371" s="17"/>
      <c r="O371" s="17"/>
      <c r="P371" s="17"/>
      <c r="Q371" s="17"/>
      <c r="R371" s="17"/>
      <c r="S371" s="17"/>
      <c r="T371" s="17"/>
      <c r="U371" s="17"/>
      <c r="V371" s="17"/>
      <c r="W371" s="17"/>
      <c r="X371" s="17"/>
      <c r="Y371" s="17"/>
      <c r="Z371" s="17"/>
      <c r="AA371" s="17"/>
      <c r="AB371" s="17"/>
      <c r="AC371" s="17"/>
      <c r="AD371" s="17"/>
      <c r="AE371" s="17"/>
      <c r="AF371" s="17"/>
      <c r="AG371" s="17"/>
      <c r="AH371" s="17"/>
      <c r="AI371" s="17"/>
      <c r="AJ371" s="17"/>
      <c r="AK371" s="17"/>
      <c r="AL371" s="17"/>
      <c r="AM371" s="17"/>
      <c r="AN371" s="17"/>
      <c r="AO371" s="17"/>
      <c r="AP371" s="17"/>
      <c r="AQ371" s="17"/>
      <c r="AR371" s="17"/>
      <c r="AS371" s="17"/>
    </row>
    <row r="372" spans="1:45">
      <c r="A372" s="28">
        <f t="shared" si="17"/>
        <v>367</v>
      </c>
      <c r="B372" s="7"/>
      <c r="C372" s="35" t="str">
        <f>IFERROR(VLOOKUP(B372,'MASTER RECORD'!$B$5:$W$1000,3,0),"")</f>
        <v/>
      </c>
      <c r="D372" s="35" t="str">
        <f>IFERROR(VLOOKUP(B372,'MASTER RECORD'!$B$5:$W$1000,2,0),"")</f>
        <v/>
      </c>
      <c r="E372" s="36" t="str">
        <f>IFERROR(VLOOKUP(B372,'MASTER RECORD'!$B$5:$W$1000,9,0),"")</f>
        <v/>
      </c>
      <c r="F372" s="35" t="str">
        <f>IFERROR(VLOOKUP(B372,'MASTER RECORD'!$B$5:$W$1000,10,0) &amp;"."&amp;(VLOOKUP(B372,'MASTER RECORD'!$B$5:$W$1000,11,0)),"")</f>
        <v/>
      </c>
      <c r="G372" s="36" t="str">
        <f t="shared" si="16"/>
        <v/>
      </c>
      <c r="H372" s="35" t="str">
        <f t="shared" si="18"/>
        <v/>
      </c>
      <c r="I372" s="35" t="str">
        <f>IFERROR(VLOOKUP(B372,'MASTER RECORD'!$B$5:$W$1000,14,0),"")</f>
        <v/>
      </c>
      <c r="J372" s="17"/>
      <c r="K372" s="17"/>
      <c r="L372" s="17"/>
      <c r="M372" s="17"/>
      <c r="N372" s="17"/>
      <c r="O372" s="17"/>
      <c r="P372" s="17"/>
      <c r="Q372" s="17"/>
      <c r="R372" s="17"/>
      <c r="S372" s="17"/>
      <c r="T372" s="17"/>
      <c r="U372" s="17"/>
      <c r="V372" s="17"/>
      <c r="W372" s="17"/>
      <c r="X372" s="17"/>
      <c r="Y372" s="17"/>
      <c r="Z372" s="17"/>
      <c r="AA372" s="17"/>
      <c r="AB372" s="17"/>
      <c r="AC372" s="17"/>
      <c r="AD372" s="17"/>
      <c r="AE372" s="17"/>
      <c r="AF372" s="17"/>
      <c r="AG372" s="17"/>
      <c r="AH372" s="17"/>
      <c r="AI372" s="17"/>
      <c r="AJ372" s="17"/>
      <c r="AK372" s="17"/>
      <c r="AL372" s="17"/>
      <c r="AM372" s="17"/>
      <c r="AN372" s="17"/>
      <c r="AO372" s="17"/>
      <c r="AP372" s="17"/>
      <c r="AQ372" s="17"/>
      <c r="AR372" s="17"/>
      <c r="AS372" s="17"/>
    </row>
    <row r="373" spans="1:45">
      <c r="A373" s="28">
        <f t="shared" si="17"/>
        <v>368</v>
      </c>
      <c r="B373" s="7"/>
      <c r="C373" s="35" t="str">
        <f>IFERROR(VLOOKUP(B373,'MASTER RECORD'!$B$5:$W$1000,3,0),"")</f>
        <v/>
      </c>
      <c r="D373" s="35" t="str">
        <f>IFERROR(VLOOKUP(B373,'MASTER RECORD'!$B$5:$W$1000,2,0),"")</f>
        <v/>
      </c>
      <c r="E373" s="36" t="str">
        <f>IFERROR(VLOOKUP(B373,'MASTER RECORD'!$B$5:$W$1000,9,0),"")</f>
        <v/>
      </c>
      <c r="F373" s="35" t="str">
        <f>IFERROR(VLOOKUP(B373,'MASTER RECORD'!$B$5:$W$1000,10,0) &amp;"."&amp;(VLOOKUP(B373,'MASTER RECORD'!$B$5:$W$1000,11,0)),"")</f>
        <v/>
      </c>
      <c r="G373" s="36" t="str">
        <f t="shared" si="16"/>
        <v/>
      </c>
      <c r="H373" s="35" t="str">
        <f t="shared" si="18"/>
        <v/>
      </c>
      <c r="I373" s="35" t="str">
        <f>IFERROR(VLOOKUP(B373,'MASTER RECORD'!$B$5:$W$1000,14,0),"")</f>
        <v/>
      </c>
      <c r="J373" s="17"/>
      <c r="K373" s="17"/>
      <c r="L373" s="17"/>
      <c r="M373" s="17"/>
      <c r="N373" s="17"/>
      <c r="O373" s="17"/>
      <c r="P373" s="17"/>
      <c r="Q373" s="17"/>
      <c r="R373" s="17"/>
      <c r="S373" s="17"/>
      <c r="T373" s="17"/>
      <c r="U373" s="17"/>
      <c r="V373" s="17"/>
      <c r="W373" s="17"/>
      <c r="X373" s="17"/>
      <c r="Y373" s="17"/>
      <c r="Z373" s="17"/>
      <c r="AA373" s="17"/>
      <c r="AB373" s="17"/>
      <c r="AC373" s="17"/>
      <c r="AD373" s="17"/>
      <c r="AE373" s="17"/>
      <c r="AF373" s="17"/>
      <c r="AG373" s="17"/>
      <c r="AH373" s="17"/>
      <c r="AI373" s="17"/>
      <c r="AJ373" s="17"/>
      <c r="AK373" s="17"/>
      <c r="AL373" s="17"/>
      <c r="AM373" s="17"/>
      <c r="AN373" s="17"/>
      <c r="AO373" s="17"/>
      <c r="AP373" s="17"/>
      <c r="AQ373" s="17"/>
      <c r="AR373" s="17"/>
      <c r="AS373" s="17"/>
    </row>
    <row r="374" spans="1:45">
      <c r="A374" s="28">
        <f t="shared" si="17"/>
        <v>369</v>
      </c>
      <c r="B374" s="7"/>
      <c r="C374" s="35" t="str">
        <f>IFERROR(VLOOKUP(B374,'MASTER RECORD'!$B$5:$W$1000,3,0),"")</f>
        <v/>
      </c>
      <c r="D374" s="35" t="str">
        <f>IFERROR(VLOOKUP(B374,'MASTER RECORD'!$B$5:$W$1000,2,0),"")</f>
        <v/>
      </c>
      <c r="E374" s="36" t="str">
        <f>IFERROR(VLOOKUP(B374,'MASTER RECORD'!$B$5:$W$1000,9,0),"")</f>
        <v/>
      </c>
      <c r="F374" s="35" t="str">
        <f>IFERROR(VLOOKUP(B374,'MASTER RECORD'!$B$5:$W$1000,10,0) &amp;"."&amp;(VLOOKUP(B374,'MASTER RECORD'!$B$5:$W$1000,11,0)),"")</f>
        <v/>
      </c>
      <c r="G374" s="36" t="str">
        <f t="shared" si="16"/>
        <v/>
      </c>
      <c r="H374" s="35" t="str">
        <f t="shared" si="18"/>
        <v/>
      </c>
      <c r="I374" s="35" t="str">
        <f>IFERROR(VLOOKUP(B374,'MASTER RECORD'!$B$5:$W$1000,14,0),"")</f>
        <v/>
      </c>
      <c r="J374" s="17"/>
      <c r="K374" s="17"/>
      <c r="L374" s="17"/>
      <c r="M374" s="17"/>
      <c r="N374" s="17"/>
      <c r="O374" s="17"/>
      <c r="P374" s="17"/>
      <c r="Q374" s="17"/>
      <c r="R374" s="17"/>
      <c r="S374" s="17"/>
      <c r="T374" s="17"/>
      <c r="U374" s="17"/>
      <c r="V374" s="17"/>
      <c r="W374" s="17"/>
      <c r="X374" s="17"/>
      <c r="Y374" s="17"/>
      <c r="Z374" s="17"/>
      <c r="AA374" s="17"/>
      <c r="AB374" s="17"/>
      <c r="AC374" s="17"/>
      <c r="AD374" s="17"/>
      <c r="AE374" s="17"/>
      <c r="AF374" s="17"/>
      <c r="AG374" s="17"/>
      <c r="AH374" s="17"/>
      <c r="AI374" s="17"/>
      <c r="AJ374" s="17"/>
      <c r="AK374" s="17"/>
      <c r="AL374" s="17"/>
      <c r="AM374" s="17"/>
      <c r="AN374" s="17"/>
      <c r="AO374" s="17"/>
      <c r="AP374" s="17"/>
      <c r="AQ374" s="17"/>
      <c r="AR374" s="17"/>
      <c r="AS374" s="17"/>
    </row>
    <row r="375" spans="1:45">
      <c r="A375" s="28">
        <f t="shared" si="17"/>
        <v>370</v>
      </c>
      <c r="B375" s="7"/>
      <c r="C375" s="35" t="str">
        <f>IFERROR(VLOOKUP(B375,'MASTER RECORD'!$B$5:$W$1000,3,0),"")</f>
        <v/>
      </c>
      <c r="D375" s="35" t="str">
        <f>IFERROR(VLOOKUP(B375,'MASTER RECORD'!$B$5:$W$1000,2,0),"")</f>
        <v/>
      </c>
      <c r="E375" s="36" t="str">
        <f>IFERROR(VLOOKUP(B375,'MASTER RECORD'!$B$5:$W$1000,9,0),"")</f>
        <v/>
      </c>
      <c r="F375" s="35" t="str">
        <f>IFERROR(VLOOKUP(B375,'MASTER RECORD'!$B$5:$W$1000,10,0) &amp;"."&amp;(VLOOKUP(B375,'MASTER RECORD'!$B$5:$W$1000,11,0)),"")</f>
        <v/>
      </c>
      <c r="G375" s="36" t="str">
        <f t="shared" si="16"/>
        <v/>
      </c>
      <c r="H375" s="35" t="str">
        <f t="shared" si="18"/>
        <v/>
      </c>
      <c r="I375" s="35" t="str">
        <f>IFERROR(VLOOKUP(B375,'MASTER RECORD'!$B$5:$W$1000,14,0),"")</f>
        <v/>
      </c>
      <c r="J375" s="17"/>
      <c r="K375" s="17"/>
      <c r="L375" s="17"/>
      <c r="M375" s="17"/>
      <c r="N375" s="17"/>
      <c r="O375" s="17"/>
      <c r="P375" s="17"/>
      <c r="Q375" s="17"/>
      <c r="R375" s="17"/>
      <c r="S375" s="17"/>
      <c r="T375" s="17"/>
      <c r="U375" s="17"/>
      <c r="V375" s="17"/>
      <c r="W375" s="17"/>
      <c r="X375" s="17"/>
      <c r="Y375" s="17"/>
      <c r="Z375" s="17"/>
      <c r="AA375" s="17"/>
      <c r="AB375" s="17"/>
      <c r="AC375" s="17"/>
      <c r="AD375" s="17"/>
      <c r="AE375" s="17"/>
      <c r="AF375" s="17"/>
      <c r="AG375" s="17"/>
      <c r="AH375" s="17"/>
      <c r="AI375" s="17"/>
      <c r="AJ375" s="17"/>
      <c r="AK375" s="17"/>
      <c r="AL375" s="17"/>
      <c r="AM375" s="17"/>
      <c r="AN375" s="17"/>
      <c r="AO375" s="17"/>
      <c r="AP375" s="17"/>
      <c r="AQ375" s="17"/>
      <c r="AR375" s="17"/>
      <c r="AS375" s="17"/>
    </row>
    <row r="376" spans="1:45">
      <c r="A376" s="28">
        <f t="shared" si="17"/>
        <v>371</v>
      </c>
      <c r="B376" s="7"/>
      <c r="C376" s="35" t="str">
        <f>IFERROR(VLOOKUP(B376,'MASTER RECORD'!$B$5:$W$1000,3,0),"")</f>
        <v/>
      </c>
      <c r="D376" s="35" t="str">
        <f>IFERROR(VLOOKUP(B376,'MASTER RECORD'!$B$5:$W$1000,2,0),"")</f>
        <v/>
      </c>
      <c r="E376" s="36" t="str">
        <f>IFERROR(VLOOKUP(B376,'MASTER RECORD'!$B$5:$W$1000,9,0),"")</f>
        <v/>
      </c>
      <c r="F376" s="35" t="str">
        <f>IFERROR(VLOOKUP(B376,'MASTER RECORD'!$B$5:$W$1000,10,0) &amp;"."&amp;(VLOOKUP(B376,'MASTER RECORD'!$B$5:$W$1000,11,0)),"")</f>
        <v/>
      </c>
      <c r="G376" s="36" t="str">
        <f t="shared" si="16"/>
        <v/>
      </c>
      <c r="H376" s="35" t="str">
        <f t="shared" si="18"/>
        <v/>
      </c>
      <c r="I376" s="35" t="str">
        <f>IFERROR(VLOOKUP(B376,'MASTER RECORD'!$B$5:$W$1000,14,0),"")</f>
        <v/>
      </c>
      <c r="J376" s="17"/>
      <c r="K376" s="17"/>
      <c r="L376" s="17"/>
      <c r="M376" s="17"/>
      <c r="N376" s="17"/>
      <c r="O376" s="17"/>
      <c r="P376" s="17"/>
      <c r="Q376" s="17"/>
      <c r="R376" s="17"/>
      <c r="S376" s="17"/>
      <c r="T376" s="17"/>
      <c r="U376" s="17"/>
      <c r="V376" s="17"/>
      <c r="W376" s="17"/>
      <c r="X376" s="17"/>
      <c r="Y376" s="17"/>
      <c r="Z376" s="17"/>
      <c r="AA376" s="17"/>
      <c r="AB376" s="17"/>
      <c r="AC376" s="17"/>
      <c r="AD376" s="17"/>
      <c r="AE376" s="17"/>
      <c r="AF376" s="17"/>
      <c r="AG376" s="17"/>
      <c r="AH376" s="17"/>
      <c r="AI376" s="17"/>
      <c r="AJ376" s="17"/>
      <c r="AK376" s="17"/>
      <c r="AL376" s="17"/>
      <c r="AM376" s="17"/>
      <c r="AN376" s="17"/>
      <c r="AO376" s="17"/>
      <c r="AP376" s="17"/>
      <c r="AQ376" s="17"/>
      <c r="AR376" s="17"/>
      <c r="AS376" s="17"/>
    </row>
    <row r="377" spans="1:45">
      <c r="A377" s="28">
        <f t="shared" si="17"/>
        <v>372</v>
      </c>
      <c r="B377" s="7"/>
      <c r="C377" s="35" t="str">
        <f>IFERROR(VLOOKUP(B377,'MASTER RECORD'!$B$5:$W$1000,3,0),"")</f>
        <v/>
      </c>
      <c r="D377" s="35" t="str">
        <f>IFERROR(VLOOKUP(B377,'MASTER RECORD'!$B$5:$W$1000,2,0),"")</f>
        <v/>
      </c>
      <c r="E377" s="36" t="str">
        <f>IFERROR(VLOOKUP(B377,'MASTER RECORD'!$B$5:$W$1000,9,0),"")</f>
        <v/>
      </c>
      <c r="F377" s="35" t="str">
        <f>IFERROR(VLOOKUP(B377,'MASTER RECORD'!$B$5:$W$1000,10,0) &amp;"."&amp;(VLOOKUP(B377,'MASTER RECORD'!$B$5:$W$1000,11,0)),"")</f>
        <v/>
      </c>
      <c r="G377" s="36" t="str">
        <f t="shared" si="16"/>
        <v/>
      </c>
      <c r="H377" s="35" t="str">
        <f t="shared" si="18"/>
        <v/>
      </c>
      <c r="I377" s="35" t="str">
        <f>IFERROR(VLOOKUP(B377,'MASTER RECORD'!$B$5:$W$1000,14,0),"")</f>
        <v/>
      </c>
      <c r="J377" s="17"/>
      <c r="K377" s="17"/>
      <c r="L377" s="17"/>
      <c r="M377" s="17"/>
      <c r="N377" s="17"/>
      <c r="O377" s="17"/>
      <c r="P377" s="17"/>
      <c r="Q377" s="17"/>
      <c r="R377" s="17"/>
      <c r="S377" s="17"/>
      <c r="T377" s="17"/>
      <c r="U377" s="17"/>
      <c r="V377" s="17"/>
      <c r="W377" s="17"/>
      <c r="X377" s="17"/>
      <c r="Y377" s="17"/>
      <c r="Z377" s="17"/>
      <c r="AA377" s="17"/>
      <c r="AB377" s="17"/>
      <c r="AC377" s="17"/>
      <c r="AD377" s="17"/>
      <c r="AE377" s="17"/>
      <c r="AF377" s="17"/>
      <c r="AG377" s="17"/>
      <c r="AH377" s="17"/>
      <c r="AI377" s="17"/>
      <c r="AJ377" s="17"/>
      <c r="AK377" s="17"/>
      <c r="AL377" s="17"/>
      <c r="AM377" s="17"/>
      <c r="AN377" s="17"/>
      <c r="AO377" s="17"/>
      <c r="AP377" s="17"/>
      <c r="AQ377" s="17"/>
      <c r="AR377" s="17"/>
      <c r="AS377" s="17"/>
    </row>
    <row r="378" spans="1:45">
      <c r="A378" s="28">
        <f t="shared" si="17"/>
        <v>373</v>
      </c>
      <c r="B378" s="7"/>
      <c r="C378" s="35" t="str">
        <f>IFERROR(VLOOKUP(B378,'MASTER RECORD'!$B$5:$W$1000,3,0),"")</f>
        <v/>
      </c>
      <c r="D378" s="35" t="str">
        <f>IFERROR(VLOOKUP(B378,'MASTER RECORD'!$B$5:$W$1000,2,0),"")</f>
        <v/>
      </c>
      <c r="E378" s="36" t="str">
        <f>IFERROR(VLOOKUP(B378,'MASTER RECORD'!$B$5:$W$1000,9,0),"")</f>
        <v/>
      </c>
      <c r="F378" s="35" t="str">
        <f>IFERROR(VLOOKUP(B378,'MASTER RECORD'!$B$5:$W$1000,10,0) &amp;"."&amp;(VLOOKUP(B378,'MASTER RECORD'!$B$5:$W$1000,11,0)),"")</f>
        <v/>
      </c>
      <c r="G378" s="36" t="str">
        <f t="shared" si="16"/>
        <v/>
      </c>
      <c r="H378" s="35" t="str">
        <f t="shared" si="18"/>
        <v/>
      </c>
      <c r="I378" s="35" t="str">
        <f>IFERROR(VLOOKUP(B378,'MASTER RECORD'!$B$5:$W$1000,14,0),"")</f>
        <v/>
      </c>
      <c r="J378" s="17"/>
      <c r="K378" s="17"/>
      <c r="L378" s="17"/>
      <c r="M378" s="17"/>
      <c r="N378" s="17"/>
      <c r="O378" s="17"/>
      <c r="P378" s="17"/>
      <c r="Q378" s="17"/>
      <c r="R378" s="17"/>
      <c r="S378" s="17"/>
      <c r="T378" s="17"/>
      <c r="U378" s="17"/>
      <c r="V378" s="17"/>
      <c r="W378" s="17"/>
      <c r="X378" s="17"/>
      <c r="Y378" s="17"/>
      <c r="Z378" s="17"/>
      <c r="AA378" s="17"/>
      <c r="AB378" s="17"/>
      <c r="AC378" s="17"/>
      <c r="AD378" s="17"/>
      <c r="AE378" s="17"/>
      <c r="AF378" s="17"/>
      <c r="AG378" s="17"/>
      <c r="AH378" s="17"/>
      <c r="AI378" s="17"/>
      <c r="AJ378" s="17"/>
      <c r="AK378" s="17"/>
      <c r="AL378" s="17"/>
      <c r="AM378" s="17"/>
      <c r="AN378" s="17"/>
      <c r="AO378" s="17"/>
      <c r="AP378" s="17"/>
      <c r="AQ378" s="17"/>
      <c r="AR378" s="17"/>
      <c r="AS378" s="17"/>
    </row>
    <row r="379" spans="1:45">
      <c r="A379" s="28">
        <f t="shared" si="17"/>
        <v>374</v>
      </c>
      <c r="B379" s="7"/>
      <c r="C379" s="35" t="str">
        <f>IFERROR(VLOOKUP(B379,'MASTER RECORD'!$B$5:$W$1000,3,0),"")</f>
        <v/>
      </c>
      <c r="D379" s="35" t="str">
        <f>IFERROR(VLOOKUP(B379,'MASTER RECORD'!$B$5:$W$1000,2,0),"")</f>
        <v/>
      </c>
      <c r="E379" s="36" t="str">
        <f>IFERROR(VLOOKUP(B379,'MASTER RECORD'!$B$5:$W$1000,9,0),"")</f>
        <v/>
      </c>
      <c r="F379" s="35" t="str">
        <f>IFERROR(VLOOKUP(B379,'MASTER RECORD'!$B$5:$W$1000,10,0) &amp;"."&amp;(VLOOKUP(B379,'MASTER RECORD'!$B$5:$W$1000,11,0)),"")</f>
        <v/>
      </c>
      <c r="G379" s="36" t="str">
        <f t="shared" si="16"/>
        <v/>
      </c>
      <c r="H379" s="35" t="str">
        <f t="shared" si="18"/>
        <v/>
      </c>
      <c r="I379" s="35" t="str">
        <f>IFERROR(VLOOKUP(B379,'MASTER RECORD'!$B$5:$W$1000,14,0),"")</f>
        <v/>
      </c>
      <c r="J379" s="17"/>
      <c r="K379" s="17"/>
      <c r="L379" s="17"/>
      <c r="M379" s="17"/>
      <c r="N379" s="17"/>
      <c r="O379" s="17"/>
      <c r="P379" s="17"/>
      <c r="Q379" s="17"/>
      <c r="R379" s="17"/>
      <c r="S379" s="17"/>
      <c r="T379" s="17"/>
      <c r="U379" s="17"/>
      <c r="V379" s="17"/>
      <c r="W379" s="17"/>
      <c r="X379" s="17"/>
      <c r="Y379" s="17"/>
      <c r="Z379" s="17"/>
      <c r="AA379" s="17"/>
      <c r="AB379" s="17"/>
      <c r="AC379" s="17"/>
      <c r="AD379" s="17"/>
      <c r="AE379" s="17"/>
      <c r="AF379" s="17"/>
      <c r="AG379" s="17"/>
      <c r="AH379" s="17"/>
      <c r="AI379" s="17"/>
      <c r="AJ379" s="17"/>
      <c r="AK379" s="17"/>
      <c r="AL379" s="17"/>
      <c r="AM379" s="17"/>
      <c r="AN379" s="17"/>
      <c r="AO379" s="17"/>
      <c r="AP379" s="17"/>
      <c r="AQ379" s="17"/>
      <c r="AR379" s="17"/>
      <c r="AS379" s="17"/>
    </row>
    <row r="380" spans="1:45">
      <c r="A380" s="28">
        <f t="shared" si="17"/>
        <v>375</v>
      </c>
      <c r="B380" s="7"/>
      <c r="C380" s="35" t="str">
        <f>IFERROR(VLOOKUP(B380,'MASTER RECORD'!$B$5:$W$1000,3,0),"")</f>
        <v/>
      </c>
      <c r="D380" s="35" t="str">
        <f>IFERROR(VLOOKUP(B380,'MASTER RECORD'!$B$5:$W$1000,2,0),"")</f>
        <v/>
      </c>
      <c r="E380" s="36" t="str">
        <f>IFERROR(VLOOKUP(B380,'MASTER RECORD'!$B$5:$W$1000,9,0),"")</f>
        <v/>
      </c>
      <c r="F380" s="35" t="str">
        <f>IFERROR(VLOOKUP(B380,'MASTER RECORD'!$B$5:$W$1000,10,0) &amp;"."&amp;(VLOOKUP(B380,'MASTER RECORD'!$B$5:$W$1000,11,0)),"")</f>
        <v/>
      </c>
      <c r="G380" s="36" t="str">
        <f t="shared" si="16"/>
        <v/>
      </c>
      <c r="H380" s="35" t="str">
        <f t="shared" si="18"/>
        <v/>
      </c>
      <c r="I380" s="35" t="str">
        <f>IFERROR(VLOOKUP(B380,'MASTER RECORD'!$B$5:$W$1000,14,0),"")</f>
        <v/>
      </c>
      <c r="J380" s="17"/>
      <c r="K380" s="17"/>
      <c r="L380" s="17"/>
      <c r="M380" s="17"/>
      <c r="N380" s="17"/>
      <c r="O380" s="17"/>
      <c r="P380" s="17"/>
      <c r="Q380" s="17"/>
      <c r="R380" s="17"/>
      <c r="S380" s="17"/>
      <c r="T380" s="17"/>
      <c r="U380" s="17"/>
      <c r="V380" s="17"/>
      <c r="W380" s="17"/>
      <c r="X380" s="17"/>
      <c r="Y380" s="17"/>
      <c r="Z380" s="17"/>
      <c r="AA380" s="17"/>
      <c r="AB380" s="17"/>
      <c r="AC380" s="17"/>
      <c r="AD380" s="17"/>
      <c r="AE380" s="17"/>
      <c r="AF380" s="17"/>
      <c r="AG380" s="17"/>
      <c r="AH380" s="17"/>
      <c r="AI380" s="17"/>
      <c r="AJ380" s="17"/>
      <c r="AK380" s="17"/>
      <c r="AL380" s="17"/>
      <c r="AM380" s="17"/>
      <c r="AN380" s="17"/>
      <c r="AO380" s="17"/>
      <c r="AP380" s="17"/>
      <c r="AQ380" s="17"/>
      <c r="AR380" s="17"/>
      <c r="AS380" s="17"/>
    </row>
    <row r="381" spans="1:45">
      <c r="A381" s="28">
        <f t="shared" si="17"/>
        <v>376</v>
      </c>
      <c r="B381" s="7"/>
      <c r="C381" s="35" t="str">
        <f>IFERROR(VLOOKUP(B381,'MASTER RECORD'!$B$5:$W$1000,3,0),"")</f>
        <v/>
      </c>
      <c r="D381" s="35" t="str">
        <f>IFERROR(VLOOKUP(B381,'MASTER RECORD'!$B$5:$W$1000,2,0),"")</f>
        <v/>
      </c>
      <c r="E381" s="36" t="str">
        <f>IFERROR(VLOOKUP(B381,'MASTER RECORD'!$B$5:$W$1000,9,0),"")</f>
        <v/>
      </c>
      <c r="F381" s="35" t="str">
        <f>IFERROR(VLOOKUP(B381,'MASTER RECORD'!$B$5:$W$1000,10,0) &amp;"."&amp;(VLOOKUP(B381,'MASTER RECORD'!$B$5:$W$1000,11,0)),"")</f>
        <v/>
      </c>
      <c r="G381" s="36" t="str">
        <f t="shared" si="16"/>
        <v/>
      </c>
      <c r="H381" s="35" t="str">
        <f t="shared" si="18"/>
        <v/>
      </c>
      <c r="I381" s="35" t="str">
        <f>IFERROR(VLOOKUP(B381,'MASTER RECORD'!$B$5:$W$1000,14,0),"")</f>
        <v/>
      </c>
      <c r="J381" s="17"/>
      <c r="K381" s="17"/>
      <c r="L381" s="17"/>
      <c r="M381" s="17"/>
      <c r="N381" s="17"/>
      <c r="O381" s="17"/>
      <c r="P381" s="17"/>
      <c r="Q381" s="17"/>
      <c r="R381" s="17"/>
      <c r="S381" s="17"/>
      <c r="T381" s="17"/>
      <c r="U381" s="17"/>
      <c r="V381" s="17"/>
      <c r="W381" s="17"/>
      <c r="X381" s="17"/>
      <c r="Y381" s="17"/>
      <c r="Z381" s="17"/>
      <c r="AA381" s="17"/>
      <c r="AB381" s="17"/>
      <c r="AC381" s="17"/>
      <c r="AD381" s="17"/>
      <c r="AE381" s="17"/>
      <c r="AF381" s="17"/>
      <c r="AG381" s="17"/>
      <c r="AH381" s="17"/>
      <c r="AI381" s="17"/>
      <c r="AJ381" s="17"/>
      <c r="AK381" s="17"/>
      <c r="AL381" s="17"/>
      <c r="AM381" s="17"/>
      <c r="AN381" s="17"/>
      <c r="AO381" s="17"/>
      <c r="AP381" s="17"/>
      <c r="AQ381" s="17"/>
      <c r="AR381" s="17"/>
      <c r="AS381" s="17"/>
    </row>
    <row r="382" spans="1:45">
      <c r="A382" s="28">
        <f t="shared" si="17"/>
        <v>377</v>
      </c>
      <c r="B382" s="7"/>
      <c r="C382" s="35" t="str">
        <f>IFERROR(VLOOKUP(B382,'MASTER RECORD'!$B$5:$W$1000,3,0),"")</f>
        <v/>
      </c>
      <c r="D382" s="35" t="str">
        <f>IFERROR(VLOOKUP(B382,'MASTER RECORD'!$B$5:$W$1000,2,0),"")</f>
        <v/>
      </c>
      <c r="E382" s="36" t="str">
        <f>IFERROR(VLOOKUP(B382,'MASTER RECORD'!$B$5:$W$1000,9,0),"")</f>
        <v/>
      </c>
      <c r="F382" s="35" t="str">
        <f>IFERROR(VLOOKUP(B382,'MASTER RECORD'!$B$5:$W$1000,10,0) &amp;"."&amp;(VLOOKUP(B382,'MASTER RECORD'!$B$5:$W$1000,11,0)),"")</f>
        <v/>
      </c>
      <c r="G382" s="36" t="str">
        <f t="shared" si="16"/>
        <v/>
      </c>
      <c r="H382" s="35" t="str">
        <f t="shared" si="18"/>
        <v/>
      </c>
      <c r="I382" s="35" t="str">
        <f>IFERROR(VLOOKUP(B382,'MASTER RECORD'!$B$5:$W$1000,14,0),"")</f>
        <v/>
      </c>
      <c r="J382" s="17"/>
      <c r="K382" s="17"/>
      <c r="L382" s="17"/>
      <c r="M382" s="17"/>
      <c r="N382" s="17"/>
      <c r="O382" s="17"/>
      <c r="P382" s="17"/>
      <c r="Q382" s="17"/>
      <c r="R382" s="17"/>
      <c r="S382" s="17"/>
      <c r="T382" s="17"/>
      <c r="U382" s="17"/>
      <c r="V382" s="17"/>
      <c r="W382" s="17"/>
      <c r="X382" s="17"/>
      <c r="Y382" s="17"/>
      <c r="Z382" s="17"/>
      <c r="AA382" s="17"/>
      <c r="AB382" s="17"/>
      <c r="AC382" s="17"/>
      <c r="AD382" s="17"/>
      <c r="AE382" s="17"/>
      <c r="AF382" s="17"/>
      <c r="AG382" s="17"/>
      <c r="AH382" s="17"/>
      <c r="AI382" s="17"/>
      <c r="AJ382" s="17"/>
      <c r="AK382" s="17"/>
      <c r="AL382" s="17"/>
      <c r="AM382" s="17"/>
      <c r="AN382" s="17"/>
      <c r="AO382" s="17"/>
      <c r="AP382" s="17"/>
      <c r="AQ382" s="17"/>
      <c r="AR382" s="17"/>
      <c r="AS382" s="17"/>
    </row>
    <row r="383" spans="1:45">
      <c r="A383" s="28">
        <f t="shared" si="17"/>
        <v>378</v>
      </c>
      <c r="B383" s="7"/>
      <c r="C383" s="35" t="str">
        <f>IFERROR(VLOOKUP(B383,'MASTER RECORD'!$B$5:$W$1000,3,0),"")</f>
        <v/>
      </c>
      <c r="D383" s="35" t="str">
        <f>IFERROR(VLOOKUP(B383,'MASTER RECORD'!$B$5:$W$1000,2,0),"")</f>
        <v/>
      </c>
      <c r="E383" s="36" t="str">
        <f>IFERROR(VLOOKUP(B383,'MASTER RECORD'!$B$5:$W$1000,9,0),"")</f>
        <v/>
      </c>
      <c r="F383" s="35" t="str">
        <f>IFERROR(VLOOKUP(B383,'MASTER RECORD'!$B$5:$W$1000,10,0) &amp;"."&amp;(VLOOKUP(B383,'MASTER RECORD'!$B$5:$W$1000,11,0)),"")</f>
        <v/>
      </c>
      <c r="G383" s="36" t="str">
        <f t="shared" si="16"/>
        <v/>
      </c>
      <c r="H383" s="35" t="str">
        <f t="shared" si="18"/>
        <v/>
      </c>
      <c r="I383" s="35" t="str">
        <f>IFERROR(VLOOKUP(B383,'MASTER RECORD'!$B$5:$W$1000,14,0),"")</f>
        <v/>
      </c>
      <c r="J383" s="17"/>
      <c r="K383" s="17"/>
      <c r="L383" s="17"/>
      <c r="M383" s="17"/>
      <c r="N383" s="17"/>
      <c r="O383" s="17"/>
      <c r="P383" s="17"/>
      <c r="Q383" s="17"/>
      <c r="R383" s="17"/>
      <c r="S383" s="17"/>
      <c r="T383" s="17"/>
      <c r="U383" s="17"/>
      <c r="V383" s="17"/>
      <c r="W383" s="17"/>
      <c r="X383" s="17"/>
      <c r="Y383" s="17"/>
      <c r="Z383" s="17"/>
      <c r="AA383" s="17"/>
      <c r="AB383" s="17"/>
      <c r="AC383" s="17"/>
      <c r="AD383" s="17"/>
      <c r="AE383" s="17"/>
      <c r="AF383" s="17"/>
      <c r="AG383" s="17"/>
      <c r="AH383" s="17"/>
      <c r="AI383" s="17"/>
      <c r="AJ383" s="17"/>
      <c r="AK383" s="17"/>
      <c r="AL383" s="17"/>
      <c r="AM383" s="17"/>
      <c r="AN383" s="17"/>
      <c r="AO383" s="17"/>
      <c r="AP383" s="17"/>
      <c r="AQ383" s="17"/>
      <c r="AR383" s="17"/>
      <c r="AS383" s="17"/>
    </row>
    <row r="384" spans="1:45">
      <c r="A384" s="28">
        <f t="shared" si="17"/>
        <v>379</v>
      </c>
      <c r="B384" s="7"/>
      <c r="C384" s="35" t="str">
        <f>IFERROR(VLOOKUP(B384,'MASTER RECORD'!$B$5:$W$1000,3,0),"")</f>
        <v/>
      </c>
      <c r="D384" s="35" t="str">
        <f>IFERROR(VLOOKUP(B384,'MASTER RECORD'!$B$5:$W$1000,2,0),"")</f>
        <v/>
      </c>
      <c r="E384" s="36" t="str">
        <f>IFERROR(VLOOKUP(B384,'MASTER RECORD'!$B$5:$W$1000,9,0),"")</f>
        <v/>
      </c>
      <c r="F384" s="35" t="str">
        <f>IFERROR(VLOOKUP(B384,'MASTER RECORD'!$B$5:$W$1000,10,0) &amp;"."&amp;(VLOOKUP(B384,'MASTER RECORD'!$B$5:$W$1000,11,0)),"")</f>
        <v/>
      </c>
      <c r="G384" s="36" t="str">
        <f t="shared" si="16"/>
        <v/>
      </c>
      <c r="H384" s="35" t="str">
        <f t="shared" si="18"/>
        <v/>
      </c>
      <c r="I384" s="35" t="str">
        <f>IFERROR(VLOOKUP(B384,'MASTER RECORD'!$B$5:$W$1000,14,0),"")</f>
        <v/>
      </c>
      <c r="J384" s="17"/>
      <c r="K384" s="17"/>
      <c r="L384" s="17"/>
      <c r="M384" s="17"/>
      <c r="N384" s="17"/>
      <c r="O384" s="17"/>
      <c r="P384" s="17"/>
      <c r="Q384" s="17"/>
      <c r="R384" s="17"/>
      <c r="S384" s="17"/>
      <c r="T384" s="17"/>
      <c r="U384" s="17"/>
      <c r="V384" s="17"/>
      <c r="W384" s="17"/>
      <c r="X384" s="17"/>
      <c r="Y384" s="17"/>
      <c r="Z384" s="17"/>
      <c r="AA384" s="17"/>
      <c r="AB384" s="17"/>
      <c r="AC384" s="17"/>
      <c r="AD384" s="17"/>
      <c r="AE384" s="17"/>
      <c r="AF384" s="17"/>
      <c r="AG384" s="17"/>
      <c r="AH384" s="17"/>
      <c r="AI384" s="17"/>
      <c r="AJ384" s="17"/>
      <c r="AK384" s="17"/>
      <c r="AL384" s="17"/>
      <c r="AM384" s="17"/>
      <c r="AN384" s="17"/>
      <c r="AO384" s="17"/>
      <c r="AP384" s="17"/>
      <c r="AQ384" s="17"/>
      <c r="AR384" s="17"/>
      <c r="AS384" s="17"/>
    </row>
    <row r="385" spans="1:45">
      <c r="A385" s="28">
        <f t="shared" si="17"/>
        <v>380</v>
      </c>
      <c r="B385" s="7"/>
      <c r="C385" s="35" t="str">
        <f>IFERROR(VLOOKUP(B385,'MASTER RECORD'!$B$5:$W$1000,3,0),"")</f>
        <v/>
      </c>
      <c r="D385" s="35" t="str">
        <f>IFERROR(VLOOKUP(B385,'MASTER RECORD'!$B$5:$W$1000,2,0),"")</f>
        <v/>
      </c>
      <c r="E385" s="36" t="str">
        <f>IFERROR(VLOOKUP(B385,'MASTER RECORD'!$B$5:$W$1000,9,0),"")</f>
        <v/>
      </c>
      <c r="F385" s="35" t="str">
        <f>IFERROR(VLOOKUP(B385,'MASTER RECORD'!$B$5:$W$1000,10,0) &amp;"."&amp;(VLOOKUP(B385,'MASTER RECORD'!$B$5:$W$1000,11,0)),"")</f>
        <v/>
      </c>
      <c r="G385" s="36" t="str">
        <f t="shared" si="16"/>
        <v/>
      </c>
      <c r="H385" s="35" t="str">
        <f t="shared" si="18"/>
        <v/>
      </c>
      <c r="I385" s="35" t="str">
        <f>IFERROR(VLOOKUP(B385,'MASTER RECORD'!$B$5:$W$1000,14,0),"")</f>
        <v/>
      </c>
      <c r="J385" s="17"/>
      <c r="K385" s="17"/>
      <c r="L385" s="17"/>
      <c r="M385" s="17"/>
      <c r="N385" s="17"/>
      <c r="O385" s="17"/>
      <c r="P385" s="17"/>
      <c r="Q385" s="17"/>
      <c r="R385" s="17"/>
      <c r="S385" s="17"/>
      <c r="T385" s="17"/>
      <c r="U385" s="17"/>
      <c r="V385" s="17"/>
      <c r="W385" s="17"/>
      <c r="X385" s="17"/>
      <c r="Y385" s="17"/>
      <c r="Z385" s="17"/>
      <c r="AA385" s="17"/>
      <c r="AB385" s="17"/>
      <c r="AC385" s="17"/>
      <c r="AD385" s="17"/>
      <c r="AE385" s="17"/>
      <c r="AF385" s="17"/>
      <c r="AG385" s="17"/>
      <c r="AH385" s="17"/>
      <c r="AI385" s="17"/>
      <c r="AJ385" s="17"/>
      <c r="AK385" s="17"/>
      <c r="AL385" s="17"/>
      <c r="AM385" s="17"/>
      <c r="AN385" s="17"/>
      <c r="AO385" s="17"/>
      <c r="AP385" s="17"/>
      <c r="AQ385" s="17"/>
      <c r="AR385" s="17"/>
      <c r="AS385" s="17"/>
    </row>
    <row r="386" spans="1:45">
      <c r="A386" s="28">
        <f t="shared" si="17"/>
        <v>381</v>
      </c>
      <c r="B386" s="7"/>
      <c r="C386" s="35" t="str">
        <f>IFERROR(VLOOKUP(B386,'MASTER RECORD'!$B$5:$W$1000,3,0),"")</f>
        <v/>
      </c>
      <c r="D386" s="35" t="str">
        <f>IFERROR(VLOOKUP(B386,'MASTER RECORD'!$B$5:$W$1000,2,0),"")</f>
        <v/>
      </c>
      <c r="E386" s="36" t="str">
        <f>IFERROR(VLOOKUP(B386,'MASTER RECORD'!$B$5:$W$1000,9,0),"")</f>
        <v/>
      </c>
      <c r="F386" s="35" t="str">
        <f>IFERROR(VLOOKUP(B386,'MASTER RECORD'!$B$5:$W$1000,10,0) &amp;"."&amp;(VLOOKUP(B386,'MASTER RECORD'!$B$5:$W$1000,11,0)),"")</f>
        <v/>
      </c>
      <c r="G386" s="36" t="str">
        <f t="shared" si="16"/>
        <v/>
      </c>
      <c r="H386" s="35" t="str">
        <f t="shared" si="18"/>
        <v/>
      </c>
      <c r="I386" s="35" t="str">
        <f>IFERROR(VLOOKUP(B386,'MASTER RECORD'!$B$5:$W$1000,14,0),"")</f>
        <v/>
      </c>
      <c r="J386" s="17"/>
      <c r="K386" s="17"/>
      <c r="L386" s="17"/>
      <c r="M386" s="17"/>
      <c r="N386" s="17"/>
      <c r="O386" s="17"/>
      <c r="P386" s="17"/>
      <c r="Q386" s="17"/>
      <c r="R386" s="17"/>
      <c r="S386" s="17"/>
      <c r="T386" s="17"/>
      <c r="U386" s="17"/>
      <c r="V386" s="17"/>
      <c r="W386" s="17"/>
      <c r="X386" s="17"/>
      <c r="Y386" s="17"/>
      <c r="Z386" s="17"/>
      <c r="AA386" s="17"/>
      <c r="AB386" s="17"/>
      <c r="AC386" s="17"/>
      <c r="AD386" s="17"/>
      <c r="AE386" s="17"/>
      <c r="AF386" s="17"/>
      <c r="AG386" s="17"/>
      <c r="AH386" s="17"/>
      <c r="AI386" s="17"/>
      <c r="AJ386" s="17"/>
      <c r="AK386" s="17"/>
      <c r="AL386" s="17"/>
      <c r="AM386" s="17"/>
      <c r="AN386" s="17"/>
      <c r="AO386" s="17"/>
      <c r="AP386" s="17"/>
      <c r="AQ386" s="17"/>
      <c r="AR386" s="17"/>
      <c r="AS386" s="17"/>
    </row>
    <row r="387" spans="1:45">
      <c r="A387" s="28">
        <f t="shared" si="17"/>
        <v>382</v>
      </c>
      <c r="B387" s="7"/>
      <c r="C387" s="35" t="str">
        <f>IFERROR(VLOOKUP(B387,'MASTER RECORD'!$B$5:$W$1000,3,0),"")</f>
        <v/>
      </c>
      <c r="D387" s="35" t="str">
        <f>IFERROR(VLOOKUP(B387,'MASTER RECORD'!$B$5:$W$1000,2,0),"")</f>
        <v/>
      </c>
      <c r="E387" s="36" t="str">
        <f>IFERROR(VLOOKUP(B387,'MASTER RECORD'!$B$5:$W$1000,9,0),"")</f>
        <v/>
      </c>
      <c r="F387" s="35" t="str">
        <f>IFERROR(VLOOKUP(B387,'MASTER RECORD'!$B$5:$W$1000,10,0) &amp;"."&amp;(VLOOKUP(B387,'MASTER RECORD'!$B$5:$W$1000,11,0)),"")</f>
        <v/>
      </c>
      <c r="G387" s="36" t="str">
        <f t="shared" si="16"/>
        <v/>
      </c>
      <c r="H387" s="35" t="str">
        <f t="shared" si="18"/>
        <v/>
      </c>
      <c r="I387" s="35" t="str">
        <f>IFERROR(VLOOKUP(B387,'MASTER RECORD'!$B$5:$W$1000,14,0),"")</f>
        <v/>
      </c>
      <c r="J387" s="17"/>
      <c r="K387" s="17"/>
      <c r="L387" s="17"/>
      <c r="M387" s="17"/>
      <c r="N387" s="17"/>
      <c r="O387" s="17"/>
      <c r="P387" s="17"/>
      <c r="Q387" s="17"/>
      <c r="R387" s="17"/>
      <c r="S387" s="17"/>
      <c r="T387" s="17"/>
      <c r="U387" s="17"/>
      <c r="V387" s="17"/>
      <c r="W387" s="17"/>
      <c r="X387" s="17"/>
      <c r="Y387" s="17"/>
      <c r="Z387" s="17"/>
      <c r="AA387" s="17"/>
      <c r="AB387" s="17"/>
      <c r="AC387" s="17"/>
      <c r="AD387" s="17"/>
      <c r="AE387" s="17"/>
      <c r="AF387" s="17"/>
      <c r="AG387" s="17"/>
      <c r="AH387" s="17"/>
      <c r="AI387" s="17"/>
      <c r="AJ387" s="17"/>
      <c r="AK387" s="17"/>
      <c r="AL387" s="17"/>
      <c r="AM387" s="17"/>
      <c r="AN387" s="17"/>
      <c r="AO387" s="17"/>
      <c r="AP387" s="17"/>
      <c r="AQ387" s="17"/>
      <c r="AR387" s="17"/>
      <c r="AS387" s="17"/>
    </row>
    <row r="388" spans="1:45">
      <c r="A388" s="28">
        <f t="shared" si="17"/>
        <v>383</v>
      </c>
      <c r="B388" s="7"/>
      <c r="C388" s="35" t="str">
        <f>IFERROR(VLOOKUP(B388,'MASTER RECORD'!$B$5:$W$1000,3,0),"")</f>
        <v/>
      </c>
      <c r="D388" s="35" t="str">
        <f>IFERROR(VLOOKUP(B388,'MASTER RECORD'!$B$5:$W$1000,2,0),"")</f>
        <v/>
      </c>
      <c r="E388" s="36" t="str">
        <f>IFERROR(VLOOKUP(B388,'MASTER RECORD'!$B$5:$W$1000,9,0),"")</f>
        <v/>
      </c>
      <c r="F388" s="35" t="str">
        <f>IFERROR(VLOOKUP(B388,'MASTER RECORD'!$B$5:$W$1000,10,0) &amp;"."&amp;(VLOOKUP(B388,'MASTER RECORD'!$B$5:$W$1000,11,0)),"")</f>
        <v/>
      </c>
      <c r="G388" s="36" t="str">
        <f t="shared" si="16"/>
        <v/>
      </c>
      <c r="H388" s="35" t="str">
        <f t="shared" si="18"/>
        <v/>
      </c>
      <c r="I388" s="35" t="str">
        <f>IFERROR(VLOOKUP(B388,'MASTER RECORD'!$B$5:$W$1000,14,0),"")</f>
        <v/>
      </c>
      <c r="J388" s="17"/>
      <c r="K388" s="17"/>
      <c r="L388" s="17"/>
      <c r="M388" s="17"/>
      <c r="N388" s="17"/>
      <c r="O388" s="17"/>
      <c r="P388" s="17"/>
      <c r="Q388" s="17"/>
      <c r="R388" s="17"/>
      <c r="S388" s="17"/>
      <c r="T388" s="17"/>
      <c r="U388" s="17"/>
      <c r="V388" s="17"/>
      <c r="W388" s="17"/>
      <c r="X388" s="17"/>
      <c r="Y388" s="17"/>
      <c r="Z388" s="17"/>
      <c r="AA388" s="17"/>
      <c r="AB388" s="17"/>
      <c r="AC388" s="17"/>
      <c r="AD388" s="17"/>
      <c r="AE388" s="17"/>
      <c r="AF388" s="17"/>
      <c r="AG388" s="17"/>
      <c r="AH388" s="17"/>
      <c r="AI388" s="17"/>
      <c r="AJ388" s="17"/>
      <c r="AK388" s="17"/>
      <c r="AL388" s="17"/>
      <c r="AM388" s="17"/>
      <c r="AN388" s="17"/>
      <c r="AO388" s="17"/>
      <c r="AP388" s="17"/>
      <c r="AQ388" s="17"/>
      <c r="AR388" s="17"/>
      <c r="AS388" s="17"/>
    </row>
    <row r="389" spans="1:45">
      <c r="A389" s="28">
        <f t="shared" si="17"/>
        <v>384</v>
      </c>
      <c r="B389" s="7"/>
      <c r="C389" s="35" t="str">
        <f>IFERROR(VLOOKUP(B389,'MASTER RECORD'!$B$5:$W$1000,3,0),"")</f>
        <v/>
      </c>
      <c r="D389" s="35" t="str">
        <f>IFERROR(VLOOKUP(B389,'MASTER RECORD'!$B$5:$W$1000,2,0),"")</f>
        <v/>
      </c>
      <c r="E389" s="36" t="str">
        <f>IFERROR(VLOOKUP(B389,'MASTER RECORD'!$B$5:$W$1000,9,0),"")</f>
        <v/>
      </c>
      <c r="F389" s="35" t="str">
        <f>IFERROR(VLOOKUP(B389,'MASTER RECORD'!$B$5:$W$1000,10,0) &amp;"."&amp;(VLOOKUP(B389,'MASTER RECORD'!$B$5:$W$1000,11,0)),"")</f>
        <v/>
      </c>
      <c r="G389" s="36" t="str">
        <f t="shared" si="16"/>
        <v/>
      </c>
      <c r="H389" s="35" t="str">
        <f t="shared" si="18"/>
        <v/>
      </c>
      <c r="I389" s="35" t="str">
        <f>IFERROR(VLOOKUP(B389,'MASTER RECORD'!$B$5:$W$1000,14,0),"")</f>
        <v/>
      </c>
      <c r="J389" s="17"/>
      <c r="K389" s="17"/>
      <c r="L389" s="17"/>
      <c r="M389" s="17"/>
      <c r="N389" s="17"/>
      <c r="O389" s="17"/>
      <c r="P389" s="17"/>
      <c r="Q389" s="17"/>
      <c r="R389" s="17"/>
      <c r="S389" s="17"/>
      <c r="T389" s="17"/>
      <c r="U389" s="17"/>
      <c r="V389" s="17"/>
      <c r="W389" s="17"/>
      <c r="X389" s="17"/>
      <c r="Y389" s="17"/>
      <c r="Z389" s="17"/>
      <c r="AA389" s="17"/>
      <c r="AB389" s="17"/>
      <c r="AC389" s="17"/>
      <c r="AD389" s="17"/>
      <c r="AE389" s="17"/>
      <c r="AF389" s="17"/>
      <c r="AG389" s="17"/>
      <c r="AH389" s="17"/>
      <c r="AI389" s="17"/>
      <c r="AJ389" s="17"/>
      <c r="AK389" s="17"/>
      <c r="AL389" s="17"/>
      <c r="AM389" s="17"/>
      <c r="AN389" s="17"/>
      <c r="AO389" s="17"/>
      <c r="AP389" s="17"/>
      <c r="AQ389" s="17"/>
      <c r="AR389" s="17"/>
      <c r="AS389" s="17"/>
    </row>
    <row r="390" spans="1:45">
      <c r="A390" s="28">
        <f t="shared" si="17"/>
        <v>385</v>
      </c>
      <c r="B390" s="7"/>
      <c r="C390" s="35" t="str">
        <f>IFERROR(VLOOKUP(B390,'MASTER RECORD'!$B$5:$W$1000,3,0),"")</f>
        <v/>
      </c>
      <c r="D390" s="35" t="str">
        <f>IFERROR(VLOOKUP(B390,'MASTER RECORD'!$B$5:$W$1000,2,0),"")</f>
        <v/>
      </c>
      <c r="E390" s="36" t="str">
        <f>IFERROR(VLOOKUP(B390,'MASTER RECORD'!$B$5:$W$1000,9,0),"")</f>
        <v/>
      </c>
      <c r="F390" s="35" t="str">
        <f>IFERROR(VLOOKUP(B390,'MASTER RECORD'!$B$5:$W$1000,10,0) &amp;"."&amp;(VLOOKUP(B390,'MASTER RECORD'!$B$5:$W$1000,11,0)),"")</f>
        <v/>
      </c>
      <c r="G390" s="36" t="str">
        <f t="shared" si="16"/>
        <v/>
      </c>
      <c r="H390" s="35" t="str">
        <f t="shared" si="18"/>
        <v/>
      </c>
      <c r="I390" s="35" t="str">
        <f>IFERROR(VLOOKUP(B390,'MASTER RECORD'!$B$5:$W$1000,14,0),"")</f>
        <v/>
      </c>
      <c r="J390" s="17"/>
      <c r="K390" s="17"/>
      <c r="L390" s="17"/>
      <c r="M390" s="17"/>
      <c r="N390" s="17"/>
      <c r="O390" s="17"/>
      <c r="P390" s="17"/>
      <c r="Q390" s="17"/>
      <c r="R390" s="17"/>
      <c r="S390" s="17"/>
      <c r="T390" s="17"/>
      <c r="U390" s="17"/>
      <c r="V390" s="17"/>
      <c r="W390" s="17"/>
      <c r="X390" s="17"/>
      <c r="Y390" s="17"/>
      <c r="Z390" s="17"/>
      <c r="AA390" s="17"/>
      <c r="AB390" s="17"/>
      <c r="AC390" s="17"/>
      <c r="AD390" s="17"/>
      <c r="AE390" s="17"/>
      <c r="AF390" s="17"/>
      <c r="AG390" s="17"/>
      <c r="AH390" s="17"/>
      <c r="AI390" s="17"/>
      <c r="AJ390" s="17"/>
      <c r="AK390" s="17"/>
      <c r="AL390" s="17"/>
      <c r="AM390" s="17"/>
      <c r="AN390" s="17"/>
      <c r="AO390" s="17"/>
      <c r="AP390" s="17"/>
      <c r="AQ390" s="17"/>
      <c r="AR390" s="17"/>
      <c r="AS390" s="17"/>
    </row>
    <row r="391" spans="1:45">
      <c r="A391" s="28">
        <f t="shared" si="17"/>
        <v>386</v>
      </c>
      <c r="B391" s="7"/>
      <c r="C391" s="35" t="str">
        <f>IFERROR(VLOOKUP(B391,'MASTER RECORD'!$B$5:$W$1000,3,0),"")</f>
        <v/>
      </c>
      <c r="D391" s="35" t="str">
        <f>IFERROR(VLOOKUP(B391,'MASTER RECORD'!$B$5:$W$1000,2,0),"")</f>
        <v/>
      </c>
      <c r="E391" s="36" t="str">
        <f>IFERROR(VLOOKUP(B391,'MASTER RECORD'!$B$5:$W$1000,9,0),"")</f>
        <v/>
      </c>
      <c r="F391" s="35" t="str">
        <f>IFERROR(VLOOKUP(B391,'MASTER RECORD'!$B$5:$W$1000,10,0) &amp;"."&amp;(VLOOKUP(B391,'MASTER RECORD'!$B$5:$W$1000,11,0)),"")</f>
        <v/>
      </c>
      <c r="G391" s="36" t="str">
        <f t="shared" ref="G391:G454" si="19">IFERROR(IF(J391="",E391+30.41667,IF(K391="",E391+60.8333,IF(L391="",E391+91.25,IF(M391="",E391+121.667,IF(N391="",E391+152.083,IF(O391="",E391+182.5,IF(P391="",E391+212.917,IF(Q391="",E391+243.333,IF(R391="",E391+273.75,IF(S391="",E391+304.167,IF(T391="",E391+334.583,IF(U391="",E391+365,IF(V391="",E391+395.417,IF(W391="",E391+425.883,IF(X391="",E391+456.25,IF(Y391="",E391+486.667,IF(Z391="",E391+517.083,IF(AA391="",E391+547.5,IF(AB391="",E391+577.917,IF(AC391="",E391+608.333,IF(AD391="",E391+638.75,IF(AE391="",E391+669.167,IF(AF391="",E391+699.583,IF(AG391="",E391+730,IF(AH391="",E391+760.417,IF(AI391="",E391+790.833,IF(AJ391="",E391+821.25,IF(AK391="",E391+851.667,IF(AL391="",E391+882.083,IF(AM391="",E391+912.5,IF(AN391="",E391+942.917,IF(AO391="",E391+973.333,IF(AP391="",E391+1003.75,IF(AQ391="",E391+1034.17,IF(AR391="",E391+1064.58,IF(AS391="",E391+1095,"")))))))))))))))))))))))))))))))))))),"")</f>
        <v/>
      </c>
      <c r="H391" s="35" t="str">
        <f t="shared" si="18"/>
        <v/>
      </c>
      <c r="I391" s="35" t="str">
        <f>IFERROR(VLOOKUP(B391,'MASTER RECORD'!$B$5:$W$1000,14,0),"")</f>
        <v/>
      </c>
      <c r="J391" s="17"/>
      <c r="K391" s="17"/>
      <c r="L391" s="17"/>
      <c r="M391" s="17"/>
      <c r="N391" s="17"/>
      <c r="O391" s="17"/>
      <c r="P391" s="17"/>
      <c r="Q391" s="17"/>
      <c r="R391" s="17"/>
      <c r="S391" s="17"/>
      <c r="T391" s="17"/>
      <c r="U391" s="17"/>
      <c r="V391" s="17"/>
      <c r="W391" s="17"/>
      <c r="X391" s="17"/>
      <c r="Y391" s="17"/>
      <c r="Z391" s="17"/>
      <c r="AA391" s="17"/>
      <c r="AB391" s="17"/>
      <c r="AC391" s="17"/>
      <c r="AD391" s="17"/>
      <c r="AE391" s="17"/>
      <c r="AF391" s="17"/>
      <c r="AG391" s="17"/>
      <c r="AH391" s="17"/>
      <c r="AI391" s="17"/>
      <c r="AJ391" s="17"/>
      <c r="AK391" s="17"/>
      <c r="AL391" s="17"/>
      <c r="AM391" s="17"/>
      <c r="AN391" s="17"/>
      <c r="AO391" s="17"/>
      <c r="AP391" s="17"/>
      <c r="AQ391" s="17"/>
      <c r="AR391" s="17"/>
      <c r="AS391" s="17"/>
    </row>
    <row r="392" spans="1:45">
      <c r="A392" s="28">
        <f t="shared" ref="A392:A455" si="20">ROW(A387)</f>
        <v>387</v>
      </c>
      <c r="B392" s="7"/>
      <c r="C392" s="35" t="str">
        <f>IFERROR(VLOOKUP(B392,'MASTER RECORD'!$B$5:$W$1000,3,0),"")</f>
        <v/>
      </c>
      <c r="D392" s="35" t="str">
        <f>IFERROR(VLOOKUP(B392,'MASTER RECORD'!$B$5:$W$1000,2,0),"")</f>
        <v/>
      </c>
      <c r="E392" s="36" t="str">
        <f>IFERROR(VLOOKUP(B392,'MASTER RECORD'!$B$5:$W$1000,9,0),"")</f>
        <v/>
      </c>
      <c r="F392" s="35" t="str">
        <f>IFERROR(VLOOKUP(B392,'MASTER RECORD'!$B$5:$W$1000,10,0) &amp;"."&amp;(VLOOKUP(B392,'MASTER RECORD'!$B$5:$W$1000,11,0)),"")</f>
        <v/>
      </c>
      <c r="G392" s="36" t="str">
        <f t="shared" si="19"/>
        <v/>
      </c>
      <c r="H392" s="35" t="str">
        <f t="shared" ref="H392:H455" si="21">IF(SUM(I392:AS392)=0,"",SUM(I392:AS392))</f>
        <v/>
      </c>
      <c r="I392" s="35" t="str">
        <f>IFERROR(VLOOKUP(B392,'MASTER RECORD'!$B$5:$W$1000,14,0),"")</f>
        <v/>
      </c>
      <c r="J392" s="17"/>
      <c r="K392" s="17"/>
      <c r="L392" s="17"/>
      <c r="M392" s="17"/>
      <c r="N392" s="17"/>
      <c r="O392" s="17"/>
      <c r="P392" s="17"/>
      <c r="Q392" s="17"/>
      <c r="R392" s="17"/>
      <c r="S392" s="17"/>
      <c r="T392" s="17"/>
      <c r="U392" s="17"/>
      <c r="V392" s="17"/>
      <c r="W392" s="17"/>
      <c r="X392" s="17"/>
      <c r="Y392" s="17"/>
      <c r="Z392" s="17"/>
      <c r="AA392" s="17"/>
      <c r="AB392" s="17"/>
      <c r="AC392" s="17"/>
      <c r="AD392" s="17"/>
      <c r="AE392" s="17"/>
      <c r="AF392" s="17"/>
      <c r="AG392" s="17"/>
      <c r="AH392" s="17"/>
      <c r="AI392" s="17"/>
      <c r="AJ392" s="17"/>
      <c r="AK392" s="17"/>
      <c r="AL392" s="17"/>
      <c r="AM392" s="17"/>
      <c r="AN392" s="17"/>
      <c r="AO392" s="17"/>
      <c r="AP392" s="17"/>
      <c r="AQ392" s="17"/>
      <c r="AR392" s="17"/>
      <c r="AS392" s="17"/>
    </row>
    <row r="393" spans="1:45">
      <c r="A393" s="28">
        <f t="shared" si="20"/>
        <v>388</v>
      </c>
      <c r="B393" s="7"/>
      <c r="C393" s="35" t="str">
        <f>IFERROR(VLOOKUP(B393,'MASTER RECORD'!$B$5:$W$1000,3,0),"")</f>
        <v/>
      </c>
      <c r="D393" s="35" t="str">
        <f>IFERROR(VLOOKUP(B393,'MASTER RECORD'!$B$5:$W$1000,2,0),"")</f>
        <v/>
      </c>
      <c r="E393" s="36" t="str">
        <f>IFERROR(VLOOKUP(B393,'MASTER RECORD'!$B$5:$W$1000,9,0),"")</f>
        <v/>
      </c>
      <c r="F393" s="35" t="str">
        <f>IFERROR(VLOOKUP(B393,'MASTER RECORD'!$B$5:$W$1000,10,0) &amp;"."&amp;(VLOOKUP(B393,'MASTER RECORD'!$B$5:$W$1000,11,0)),"")</f>
        <v/>
      </c>
      <c r="G393" s="36" t="str">
        <f t="shared" si="19"/>
        <v/>
      </c>
      <c r="H393" s="35" t="str">
        <f t="shared" si="21"/>
        <v/>
      </c>
      <c r="I393" s="35" t="str">
        <f>IFERROR(VLOOKUP(B393,'MASTER RECORD'!$B$5:$W$1000,14,0),"")</f>
        <v/>
      </c>
      <c r="J393" s="17"/>
      <c r="K393" s="17"/>
      <c r="L393" s="17"/>
      <c r="M393" s="17"/>
      <c r="N393" s="17"/>
      <c r="O393" s="17"/>
      <c r="P393" s="17"/>
      <c r="Q393" s="17"/>
      <c r="R393" s="17"/>
      <c r="S393" s="17"/>
      <c r="T393" s="17"/>
      <c r="U393" s="17"/>
      <c r="V393" s="17"/>
      <c r="W393" s="17"/>
      <c r="X393" s="17"/>
      <c r="Y393" s="17"/>
      <c r="Z393" s="17"/>
      <c r="AA393" s="17"/>
      <c r="AB393" s="17"/>
      <c r="AC393" s="17"/>
      <c r="AD393" s="17"/>
      <c r="AE393" s="17"/>
      <c r="AF393" s="17"/>
      <c r="AG393" s="17"/>
      <c r="AH393" s="17"/>
      <c r="AI393" s="17"/>
      <c r="AJ393" s="17"/>
      <c r="AK393" s="17"/>
      <c r="AL393" s="17"/>
      <c r="AM393" s="17"/>
      <c r="AN393" s="17"/>
      <c r="AO393" s="17"/>
      <c r="AP393" s="17"/>
      <c r="AQ393" s="17"/>
      <c r="AR393" s="17"/>
      <c r="AS393" s="17"/>
    </row>
    <row r="394" spans="1:45">
      <c r="A394" s="28">
        <f t="shared" si="20"/>
        <v>389</v>
      </c>
      <c r="B394" s="7"/>
      <c r="C394" s="35" t="str">
        <f>IFERROR(VLOOKUP(B394,'MASTER RECORD'!$B$5:$W$1000,3,0),"")</f>
        <v/>
      </c>
      <c r="D394" s="35" t="str">
        <f>IFERROR(VLOOKUP(B394,'MASTER RECORD'!$B$5:$W$1000,2,0),"")</f>
        <v/>
      </c>
      <c r="E394" s="36" t="str">
        <f>IFERROR(VLOOKUP(B394,'MASTER RECORD'!$B$5:$W$1000,9,0),"")</f>
        <v/>
      </c>
      <c r="F394" s="35" t="str">
        <f>IFERROR(VLOOKUP(B394,'MASTER RECORD'!$B$5:$W$1000,10,0) &amp;"."&amp;(VLOOKUP(B394,'MASTER RECORD'!$B$5:$W$1000,11,0)),"")</f>
        <v/>
      </c>
      <c r="G394" s="36" t="str">
        <f t="shared" si="19"/>
        <v/>
      </c>
      <c r="H394" s="35" t="str">
        <f t="shared" si="21"/>
        <v/>
      </c>
      <c r="I394" s="35" t="str">
        <f>IFERROR(VLOOKUP(B394,'MASTER RECORD'!$B$5:$W$1000,14,0),"")</f>
        <v/>
      </c>
      <c r="J394" s="17"/>
      <c r="K394" s="17"/>
      <c r="L394" s="17"/>
      <c r="M394" s="17"/>
      <c r="N394" s="17"/>
      <c r="O394" s="17"/>
      <c r="P394" s="17"/>
      <c r="Q394" s="17"/>
      <c r="R394" s="17"/>
      <c r="S394" s="17"/>
      <c r="T394" s="17"/>
      <c r="U394" s="17"/>
      <c r="V394" s="17"/>
      <c r="W394" s="17"/>
      <c r="X394" s="17"/>
      <c r="Y394" s="17"/>
      <c r="Z394" s="17"/>
      <c r="AA394" s="17"/>
      <c r="AB394" s="17"/>
      <c r="AC394" s="17"/>
      <c r="AD394" s="17"/>
      <c r="AE394" s="17"/>
      <c r="AF394" s="17"/>
      <c r="AG394" s="17"/>
      <c r="AH394" s="17"/>
      <c r="AI394" s="17"/>
      <c r="AJ394" s="17"/>
      <c r="AK394" s="17"/>
      <c r="AL394" s="17"/>
      <c r="AM394" s="17"/>
      <c r="AN394" s="17"/>
      <c r="AO394" s="17"/>
      <c r="AP394" s="17"/>
      <c r="AQ394" s="17"/>
      <c r="AR394" s="17"/>
      <c r="AS394" s="17"/>
    </row>
    <row r="395" spans="1:45">
      <c r="A395" s="28">
        <f t="shared" si="20"/>
        <v>390</v>
      </c>
      <c r="B395" s="7"/>
      <c r="C395" s="35" t="str">
        <f>IFERROR(VLOOKUP(B395,'MASTER RECORD'!$B$5:$W$1000,3,0),"")</f>
        <v/>
      </c>
      <c r="D395" s="35" t="str">
        <f>IFERROR(VLOOKUP(B395,'MASTER RECORD'!$B$5:$W$1000,2,0),"")</f>
        <v/>
      </c>
      <c r="E395" s="36" t="str">
        <f>IFERROR(VLOOKUP(B395,'MASTER RECORD'!$B$5:$W$1000,9,0),"")</f>
        <v/>
      </c>
      <c r="F395" s="35" t="str">
        <f>IFERROR(VLOOKUP(B395,'MASTER RECORD'!$B$5:$W$1000,10,0) &amp;"."&amp;(VLOOKUP(B395,'MASTER RECORD'!$B$5:$W$1000,11,0)),"")</f>
        <v/>
      </c>
      <c r="G395" s="36" t="str">
        <f t="shared" si="19"/>
        <v/>
      </c>
      <c r="H395" s="35" t="str">
        <f t="shared" si="21"/>
        <v/>
      </c>
      <c r="I395" s="35" t="str">
        <f>IFERROR(VLOOKUP(B395,'MASTER RECORD'!$B$5:$W$1000,14,0),"")</f>
        <v/>
      </c>
      <c r="J395" s="17"/>
      <c r="K395" s="17"/>
      <c r="L395" s="17"/>
      <c r="M395" s="17"/>
      <c r="N395" s="17"/>
      <c r="O395" s="17"/>
      <c r="P395" s="17"/>
      <c r="Q395" s="17"/>
      <c r="R395" s="17"/>
      <c r="S395" s="17"/>
      <c r="T395" s="17"/>
      <c r="U395" s="17"/>
      <c r="V395" s="17"/>
      <c r="W395" s="17"/>
      <c r="X395" s="17"/>
      <c r="Y395" s="17"/>
      <c r="Z395" s="17"/>
      <c r="AA395" s="17"/>
      <c r="AB395" s="17"/>
      <c r="AC395" s="17"/>
      <c r="AD395" s="17"/>
      <c r="AE395" s="17"/>
      <c r="AF395" s="17"/>
      <c r="AG395" s="17"/>
      <c r="AH395" s="17"/>
      <c r="AI395" s="17"/>
      <c r="AJ395" s="17"/>
      <c r="AK395" s="17"/>
      <c r="AL395" s="17"/>
      <c r="AM395" s="17"/>
      <c r="AN395" s="17"/>
      <c r="AO395" s="17"/>
      <c r="AP395" s="17"/>
      <c r="AQ395" s="17"/>
      <c r="AR395" s="17"/>
      <c r="AS395" s="17"/>
    </row>
    <row r="396" spans="1:45">
      <c r="A396" s="28">
        <f t="shared" si="20"/>
        <v>391</v>
      </c>
      <c r="B396" s="7"/>
      <c r="C396" s="35" t="str">
        <f>IFERROR(VLOOKUP(B396,'MASTER RECORD'!$B$5:$W$1000,3,0),"")</f>
        <v/>
      </c>
      <c r="D396" s="35" t="str">
        <f>IFERROR(VLOOKUP(B396,'MASTER RECORD'!$B$5:$W$1000,2,0),"")</f>
        <v/>
      </c>
      <c r="E396" s="36" t="str">
        <f>IFERROR(VLOOKUP(B396,'MASTER RECORD'!$B$5:$W$1000,9,0),"")</f>
        <v/>
      </c>
      <c r="F396" s="35" t="str">
        <f>IFERROR(VLOOKUP(B396,'MASTER RECORD'!$B$5:$W$1000,10,0) &amp;"."&amp;(VLOOKUP(B396,'MASTER RECORD'!$B$5:$W$1000,11,0)),"")</f>
        <v/>
      </c>
      <c r="G396" s="36" t="str">
        <f t="shared" si="19"/>
        <v/>
      </c>
      <c r="H396" s="35" t="str">
        <f t="shared" si="21"/>
        <v/>
      </c>
      <c r="I396" s="35" t="str">
        <f>IFERROR(VLOOKUP(B396,'MASTER RECORD'!$B$5:$W$1000,14,0),"")</f>
        <v/>
      </c>
      <c r="J396" s="17"/>
      <c r="K396" s="17"/>
      <c r="L396" s="17"/>
      <c r="M396" s="17"/>
      <c r="N396" s="17"/>
      <c r="O396" s="17"/>
      <c r="P396" s="17"/>
      <c r="Q396" s="17"/>
      <c r="R396" s="17"/>
      <c r="S396" s="17"/>
      <c r="T396" s="17"/>
      <c r="U396" s="17"/>
      <c r="V396" s="17"/>
      <c r="W396" s="17"/>
      <c r="X396" s="17"/>
      <c r="Y396" s="17"/>
      <c r="Z396" s="17"/>
      <c r="AA396" s="17"/>
      <c r="AB396" s="17"/>
      <c r="AC396" s="17"/>
      <c r="AD396" s="17"/>
      <c r="AE396" s="17"/>
      <c r="AF396" s="17"/>
      <c r="AG396" s="17"/>
      <c r="AH396" s="17"/>
      <c r="AI396" s="17"/>
      <c r="AJ396" s="17"/>
      <c r="AK396" s="17"/>
      <c r="AL396" s="17"/>
      <c r="AM396" s="17"/>
      <c r="AN396" s="17"/>
      <c r="AO396" s="17"/>
      <c r="AP396" s="17"/>
      <c r="AQ396" s="17"/>
      <c r="AR396" s="17"/>
      <c r="AS396" s="17"/>
    </row>
    <row r="397" spans="1:45">
      <c r="A397" s="28">
        <f t="shared" si="20"/>
        <v>392</v>
      </c>
      <c r="B397" s="7"/>
      <c r="C397" s="35" t="str">
        <f>IFERROR(VLOOKUP(B397,'MASTER RECORD'!$B$5:$W$1000,3,0),"")</f>
        <v/>
      </c>
      <c r="D397" s="35" t="str">
        <f>IFERROR(VLOOKUP(B397,'MASTER RECORD'!$B$5:$W$1000,2,0),"")</f>
        <v/>
      </c>
      <c r="E397" s="36" t="str">
        <f>IFERROR(VLOOKUP(B397,'MASTER RECORD'!$B$5:$W$1000,9,0),"")</f>
        <v/>
      </c>
      <c r="F397" s="35" t="str">
        <f>IFERROR(VLOOKUP(B397,'MASTER RECORD'!$B$5:$W$1000,10,0) &amp;"."&amp;(VLOOKUP(B397,'MASTER RECORD'!$B$5:$W$1000,11,0)),"")</f>
        <v/>
      </c>
      <c r="G397" s="36" t="str">
        <f t="shared" si="19"/>
        <v/>
      </c>
      <c r="H397" s="35" t="str">
        <f t="shared" si="21"/>
        <v/>
      </c>
      <c r="I397" s="35" t="str">
        <f>IFERROR(VLOOKUP(B397,'MASTER RECORD'!$B$5:$W$1000,14,0),"")</f>
        <v/>
      </c>
      <c r="J397" s="17"/>
      <c r="K397" s="17"/>
      <c r="L397" s="17"/>
      <c r="M397" s="17"/>
      <c r="N397" s="17"/>
      <c r="O397" s="17"/>
      <c r="P397" s="17"/>
      <c r="Q397" s="17"/>
      <c r="R397" s="17"/>
      <c r="S397" s="17"/>
      <c r="T397" s="17"/>
      <c r="U397" s="17"/>
      <c r="V397" s="17"/>
      <c r="W397" s="17"/>
      <c r="X397" s="17"/>
      <c r="Y397" s="17"/>
      <c r="Z397" s="17"/>
      <c r="AA397" s="17"/>
      <c r="AB397" s="17"/>
      <c r="AC397" s="17"/>
      <c r="AD397" s="17"/>
      <c r="AE397" s="17"/>
      <c r="AF397" s="17"/>
      <c r="AG397" s="17"/>
      <c r="AH397" s="17"/>
      <c r="AI397" s="17"/>
      <c r="AJ397" s="17"/>
      <c r="AK397" s="17"/>
      <c r="AL397" s="17"/>
      <c r="AM397" s="17"/>
      <c r="AN397" s="17"/>
      <c r="AO397" s="17"/>
      <c r="AP397" s="17"/>
      <c r="AQ397" s="17"/>
      <c r="AR397" s="17"/>
      <c r="AS397" s="17"/>
    </row>
    <row r="398" spans="1:45">
      <c r="A398" s="28">
        <f t="shared" si="20"/>
        <v>393</v>
      </c>
      <c r="B398" s="7"/>
      <c r="C398" s="35" t="str">
        <f>IFERROR(VLOOKUP(B398,'MASTER RECORD'!$B$5:$W$1000,3,0),"")</f>
        <v/>
      </c>
      <c r="D398" s="35" t="str">
        <f>IFERROR(VLOOKUP(B398,'MASTER RECORD'!$B$5:$W$1000,2,0),"")</f>
        <v/>
      </c>
      <c r="E398" s="36" t="str">
        <f>IFERROR(VLOOKUP(B398,'MASTER RECORD'!$B$5:$W$1000,9,0),"")</f>
        <v/>
      </c>
      <c r="F398" s="35" t="str">
        <f>IFERROR(VLOOKUP(B398,'MASTER RECORD'!$B$5:$W$1000,10,0) &amp;"."&amp;(VLOOKUP(B398,'MASTER RECORD'!$B$5:$W$1000,11,0)),"")</f>
        <v/>
      </c>
      <c r="G398" s="36" t="str">
        <f t="shared" si="19"/>
        <v/>
      </c>
      <c r="H398" s="35" t="str">
        <f t="shared" si="21"/>
        <v/>
      </c>
      <c r="I398" s="35" t="str">
        <f>IFERROR(VLOOKUP(B398,'MASTER RECORD'!$B$5:$W$1000,14,0),"")</f>
        <v/>
      </c>
      <c r="J398" s="17"/>
      <c r="K398" s="17"/>
      <c r="L398" s="17"/>
      <c r="M398" s="17"/>
      <c r="N398" s="17"/>
      <c r="O398" s="17"/>
      <c r="P398" s="17"/>
      <c r="Q398" s="17"/>
      <c r="R398" s="17"/>
      <c r="S398" s="17"/>
      <c r="T398" s="17"/>
      <c r="U398" s="17"/>
      <c r="V398" s="17"/>
      <c r="W398" s="17"/>
      <c r="X398" s="17"/>
      <c r="Y398" s="17"/>
      <c r="Z398" s="17"/>
      <c r="AA398" s="17"/>
      <c r="AB398" s="17"/>
      <c r="AC398" s="17"/>
      <c r="AD398" s="17"/>
      <c r="AE398" s="17"/>
      <c r="AF398" s="17"/>
      <c r="AG398" s="17"/>
      <c r="AH398" s="17"/>
      <c r="AI398" s="17"/>
      <c r="AJ398" s="17"/>
      <c r="AK398" s="17"/>
      <c r="AL398" s="17"/>
      <c r="AM398" s="17"/>
      <c r="AN398" s="17"/>
      <c r="AO398" s="17"/>
      <c r="AP398" s="17"/>
      <c r="AQ398" s="17"/>
      <c r="AR398" s="17"/>
      <c r="AS398" s="17"/>
    </row>
    <row r="399" spans="1:45">
      <c r="A399" s="28">
        <f t="shared" si="20"/>
        <v>394</v>
      </c>
      <c r="B399" s="7"/>
      <c r="C399" s="35" t="str">
        <f>IFERROR(VLOOKUP(B399,'MASTER RECORD'!$B$5:$W$1000,3,0),"")</f>
        <v/>
      </c>
      <c r="D399" s="35" t="str">
        <f>IFERROR(VLOOKUP(B399,'MASTER RECORD'!$B$5:$W$1000,2,0),"")</f>
        <v/>
      </c>
      <c r="E399" s="36" t="str">
        <f>IFERROR(VLOOKUP(B399,'MASTER RECORD'!$B$5:$W$1000,9,0),"")</f>
        <v/>
      </c>
      <c r="F399" s="35" t="str">
        <f>IFERROR(VLOOKUP(B399,'MASTER RECORD'!$B$5:$W$1000,10,0) &amp;"."&amp;(VLOOKUP(B399,'MASTER RECORD'!$B$5:$W$1000,11,0)),"")</f>
        <v/>
      </c>
      <c r="G399" s="36" t="str">
        <f t="shared" si="19"/>
        <v/>
      </c>
      <c r="H399" s="35" t="str">
        <f t="shared" si="21"/>
        <v/>
      </c>
      <c r="I399" s="35" t="str">
        <f>IFERROR(VLOOKUP(B399,'MASTER RECORD'!$B$5:$W$1000,14,0),"")</f>
        <v/>
      </c>
      <c r="J399" s="17"/>
      <c r="K399" s="17"/>
      <c r="L399" s="17"/>
      <c r="M399" s="17"/>
      <c r="N399" s="17"/>
      <c r="O399" s="17"/>
      <c r="P399" s="17"/>
      <c r="Q399" s="17"/>
      <c r="R399" s="17"/>
      <c r="S399" s="17"/>
      <c r="T399" s="17"/>
      <c r="U399" s="17"/>
      <c r="V399" s="17"/>
      <c r="W399" s="17"/>
      <c r="X399" s="17"/>
      <c r="Y399" s="17"/>
      <c r="Z399" s="17"/>
      <c r="AA399" s="17"/>
      <c r="AB399" s="17"/>
      <c r="AC399" s="17"/>
      <c r="AD399" s="17"/>
      <c r="AE399" s="17"/>
      <c r="AF399" s="17"/>
      <c r="AG399" s="17"/>
      <c r="AH399" s="17"/>
      <c r="AI399" s="17"/>
      <c r="AJ399" s="17"/>
      <c r="AK399" s="17"/>
      <c r="AL399" s="17"/>
      <c r="AM399" s="17"/>
      <c r="AN399" s="17"/>
      <c r="AO399" s="17"/>
      <c r="AP399" s="17"/>
      <c r="AQ399" s="17"/>
      <c r="AR399" s="17"/>
      <c r="AS399" s="17"/>
    </row>
    <row r="400" spans="1:45">
      <c r="A400" s="28">
        <f t="shared" si="20"/>
        <v>395</v>
      </c>
      <c r="B400" s="7"/>
      <c r="C400" s="35" t="str">
        <f>IFERROR(VLOOKUP(B400,'MASTER RECORD'!$B$5:$W$1000,3,0),"")</f>
        <v/>
      </c>
      <c r="D400" s="35" t="str">
        <f>IFERROR(VLOOKUP(B400,'MASTER RECORD'!$B$5:$W$1000,2,0),"")</f>
        <v/>
      </c>
      <c r="E400" s="36" t="str">
        <f>IFERROR(VLOOKUP(B400,'MASTER RECORD'!$B$5:$W$1000,9,0),"")</f>
        <v/>
      </c>
      <c r="F400" s="35" t="str">
        <f>IFERROR(VLOOKUP(B400,'MASTER RECORD'!$B$5:$W$1000,10,0) &amp;"."&amp;(VLOOKUP(B400,'MASTER RECORD'!$B$5:$W$1000,11,0)),"")</f>
        <v/>
      </c>
      <c r="G400" s="36" t="str">
        <f t="shared" si="19"/>
        <v/>
      </c>
      <c r="H400" s="35" t="str">
        <f t="shared" si="21"/>
        <v/>
      </c>
      <c r="I400" s="35" t="str">
        <f>IFERROR(VLOOKUP(B400,'MASTER RECORD'!$B$5:$W$1000,14,0),"")</f>
        <v/>
      </c>
      <c r="J400" s="17"/>
      <c r="K400" s="17"/>
      <c r="L400" s="17"/>
      <c r="M400" s="17"/>
      <c r="N400" s="17"/>
      <c r="O400" s="17"/>
      <c r="P400" s="17"/>
      <c r="Q400" s="17"/>
      <c r="R400" s="17"/>
      <c r="S400" s="17"/>
      <c r="T400" s="17"/>
      <c r="U400" s="17"/>
      <c r="V400" s="17"/>
      <c r="W400" s="17"/>
      <c r="X400" s="17"/>
      <c r="Y400" s="17"/>
      <c r="Z400" s="17"/>
      <c r="AA400" s="17"/>
      <c r="AB400" s="17"/>
      <c r="AC400" s="17"/>
      <c r="AD400" s="17"/>
      <c r="AE400" s="17"/>
      <c r="AF400" s="17"/>
      <c r="AG400" s="17"/>
      <c r="AH400" s="17"/>
      <c r="AI400" s="17"/>
      <c r="AJ400" s="17"/>
      <c r="AK400" s="17"/>
      <c r="AL400" s="17"/>
      <c r="AM400" s="17"/>
      <c r="AN400" s="17"/>
      <c r="AO400" s="17"/>
      <c r="AP400" s="17"/>
      <c r="AQ400" s="17"/>
      <c r="AR400" s="17"/>
      <c r="AS400" s="17"/>
    </row>
    <row r="401" spans="1:45">
      <c r="A401" s="28">
        <f t="shared" si="20"/>
        <v>396</v>
      </c>
      <c r="B401" s="7"/>
      <c r="C401" s="35" t="str">
        <f>IFERROR(VLOOKUP(B401,'MASTER RECORD'!$B$5:$W$1000,3,0),"")</f>
        <v/>
      </c>
      <c r="D401" s="35" t="str">
        <f>IFERROR(VLOOKUP(B401,'MASTER RECORD'!$B$5:$W$1000,2,0),"")</f>
        <v/>
      </c>
      <c r="E401" s="36" t="str">
        <f>IFERROR(VLOOKUP(B401,'MASTER RECORD'!$B$5:$W$1000,9,0),"")</f>
        <v/>
      </c>
      <c r="F401" s="35" t="str">
        <f>IFERROR(VLOOKUP(B401,'MASTER RECORD'!$B$5:$W$1000,10,0) &amp;"."&amp;(VLOOKUP(B401,'MASTER RECORD'!$B$5:$W$1000,11,0)),"")</f>
        <v/>
      </c>
      <c r="G401" s="36" t="str">
        <f t="shared" si="19"/>
        <v/>
      </c>
      <c r="H401" s="35" t="str">
        <f t="shared" si="21"/>
        <v/>
      </c>
      <c r="I401" s="35" t="str">
        <f>IFERROR(VLOOKUP(B401,'MASTER RECORD'!$B$5:$W$1000,14,0),"")</f>
        <v/>
      </c>
      <c r="J401" s="17"/>
      <c r="K401" s="17"/>
      <c r="L401" s="17"/>
      <c r="M401" s="17"/>
      <c r="N401" s="17"/>
      <c r="O401" s="17"/>
      <c r="P401" s="17"/>
      <c r="Q401" s="17"/>
      <c r="R401" s="17"/>
      <c r="S401" s="17"/>
      <c r="T401" s="17"/>
      <c r="U401" s="17"/>
      <c r="V401" s="17"/>
      <c r="W401" s="17"/>
      <c r="X401" s="17"/>
      <c r="Y401" s="17"/>
      <c r="Z401" s="17"/>
      <c r="AA401" s="17"/>
      <c r="AB401" s="17"/>
      <c r="AC401" s="17"/>
      <c r="AD401" s="17"/>
      <c r="AE401" s="17"/>
      <c r="AF401" s="17"/>
      <c r="AG401" s="17"/>
      <c r="AH401" s="17"/>
      <c r="AI401" s="17"/>
      <c r="AJ401" s="17"/>
      <c r="AK401" s="17"/>
      <c r="AL401" s="17"/>
      <c r="AM401" s="17"/>
      <c r="AN401" s="17"/>
      <c r="AO401" s="17"/>
      <c r="AP401" s="17"/>
      <c r="AQ401" s="17"/>
      <c r="AR401" s="17"/>
      <c r="AS401" s="17"/>
    </row>
    <row r="402" spans="1:45">
      <c r="A402" s="28">
        <f t="shared" si="20"/>
        <v>397</v>
      </c>
      <c r="B402" s="7"/>
      <c r="C402" s="35" t="str">
        <f>IFERROR(VLOOKUP(B402,'MASTER RECORD'!$B$5:$W$1000,3,0),"")</f>
        <v/>
      </c>
      <c r="D402" s="35" t="str">
        <f>IFERROR(VLOOKUP(B402,'MASTER RECORD'!$B$5:$W$1000,2,0),"")</f>
        <v/>
      </c>
      <c r="E402" s="36" t="str">
        <f>IFERROR(VLOOKUP(B402,'MASTER RECORD'!$B$5:$W$1000,9,0),"")</f>
        <v/>
      </c>
      <c r="F402" s="35" t="str">
        <f>IFERROR(VLOOKUP(B402,'MASTER RECORD'!$B$5:$W$1000,10,0) &amp;"."&amp;(VLOOKUP(B402,'MASTER RECORD'!$B$5:$W$1000,11,0)),"")</f>
        <v/>
      </c>
      <c r="G402" s="36" t="str">
        <f t="shared" si="19"/>
        <v/>
      </c>
      <c r="H402" s="35" t="str">
        <f t="shared" si="21"/>
        <v/>
      </c>
      <c r="I402" s="35" t="str">
        <f>IFERROR(VLOOKUP(B402,'MASTER RECORD'!$B$5:$W$1000,14,0),"")</f>
        <v/>
      </c>
      <c r="J402" s="17"/>
      <c r="K402" s="17"/>
      <c r="L402" s="17"/>
      <c r="M402" s="17"/>
      <c r="N402" s="17"/>
      <c r="O402" s="17"/>
      <c r="P402" s="17"/>
      <c r="Q402" s="17"/>
      <c r="R402" s="17"/>
      <c r="S402" s="17"/>
      <c r="T402" s="17"/>
      <c r="U402" s="17"/>
      <c r="V402" s="17"/>
      <c r="W402" s="17"/>
      <c r="X402" s="17"/>
      <c r="Y402" s="17"/>
      <c r="Z402" s="17"/>
      <c r="AA402" s="17"/>
      <c r="AB402" s="17"/>
      <c r="AC402" s="17"/>
      <c r="AD402" s="17"/>
      <c r="AE402" s="17"/>
      <c r="AF402" s="17"/>
      <c r="AG402" s="17"/>
      <c r="AH402" s="17"/>
      <c r="AI402" s="17"/>
      <c r="AJ402" s="17"/>
      <c r="AK402" s="17"/>
      <c r="AL402" s="17"/>
      <c r="AM402" s="17"/>
      <c r="AN402" s="17"/>
      <c r="AO402" s="17"/>
      <c r="AP402" s="17"/>
      <c r="AQ402" s="17"/>
      <c r="AR402" s="17"/>
      <c r="AS402" s="17"/>
    </row>
    <row r="403" spans="1:45">
      <c r="A403" s="28">
        <f t="shared" si="20"/>
        <v>398</v>
      </c>
      <c r="B403" s="7"/>
      <c r="C403" s="35" t="str">
        <f>IFERROR(VLOOKUP(B403,'MASTER RECORD'!$B$5:$W$1000,3,0),"")</f>
        <v/>
      </c>
      <c r="D403" s="35" t="str">
        <f>IFERROR(VLOOKUP(B403,'MASTER RECORD'!$B$5:$W$1000,2,0),"")</f>
        <v/>
      </c>
      <c r="E403" s="36" t="str">
        <f>IFERROR(VLOOKUP(B403,'MASTER RECORD'!$B$5:$W$1000,9,0),"")</f>
        <v/>
      </c>
      <c r="F403" s="35" t="str">
        <f>IFERROR(VLOOKUP(B403,'MASTER RECORD'!$B$5:$W$1000,10,0) &amp;"."&amp;(VLOOKUP(B403,'MASTER RECORD'!$B$5:$W$1000,11,0)),"")</f>
        <v/>
      </c>
      <c r="G403" s="36" t="str">
        <f t="shared" si="19"/>
        <v/>
      </c>
      <c r="H403" s="35" t="str">
        <f t="shared" si="21"/>
        <v/>
      </c>
      <c r="I403" s="35" t="str">
        <f>IFERROR(VLOOKUP(B403,'MASTER RECORD'!$B$5:$W$1000,14,0),"")</f>
        <v/>
      </c>
      <c r="J403" s="17"/>
      <c r="K403" s="17"/>
      <c r="L403" s="17"/>
      <c r="M403" s="17"/>
      <c r="N403" s="17"/>
      <c r="O403" s="17"/>
      <c r="P403" s="17"/>
      <c r="Q403" s="17"/>
      <c r="R403" s="17"/>
      <c r="S403" s="17"/>
      <c r="T403" s="17"/>
      <c r="U403" s="17"/>
      <c r="V403" s="17"/>
      <c r="W403" s="17"/>
      <c r="X403" s="17"/>
      <c r="Y403" s="17"/>
      <c r="Z403" s="17"/>
      <c r="AA403" s="17"/>
      <c r="AB403" s="17"/>
      <c r="AC403" s="17"/>
      <c r="AD403" s="17"/>
      <c r="AE403" s="17"/>
      <c r="AF403" s="17"/>
      <c r="AG403" s="17"/>
      <c r="AH403" s="17"/>
      <c r="AI403" s="17"/>
      <c r="AJ403" s="17"/>
      <c r="AK403" s="17"/>
      <c r="AL403" s="17"/>
      <c r="AM403" s="17"/>
      <c r="AN403" s="17"/>
      <c r="AO403" s="17"/>
      <c r="AP403" s="17"/>
      <c r="AQ403" s="17"/>
      <c r="AR403" s="17"/>
      <c r="AS403" s="17"/>
    </row>
    <row r="404" spans="1:45">
      <c r="A404" s="28">
        <f t="shared" si="20"/>
        <v>399</v>
      </c>
      <c r="B404" s="7"/>
      <c r="C404" s="35" t="str">
        <f>IFERROR(VLOOKUP(B404,'MASTER RECORD'!$B$5:$W$1000,3,0),"")</f>
        <v/>
      </c>
      <c r="D404" s="35" t="str">
        <f>IFERROR(VLOOKUP(B404,'MASTER RECORD'!$B$5:$W$1000,2,0),"")</f>
        <v/>
      </c>
      <c r="E404" s="36" t="str">
        <f>IFERROR(VLOOKUP(B404,'MASTER RECORD'!$B$5:$W$1000,9,0),"")</f>
        <v/>
      </c>
      <c r="F404" s="35" t="str">
        <f>IFERROR(VLOOKUP(B404,'MASTER RECORD'!$B$5:$W$1000,10,0) &amp;"."&amp;(VLOOKUP(B404,'MASTER RECORD'!$B$5:$W$1000,11,0)),"")</f>
        <v/>
      </c>
      <c r="G404" s="36" t="str">
        <f t="shared" si="19"/>
        <v/>
      </c>
      <c r="H404" s="35" t="str">
        <f t="shared" si="21"/>
        <v/>
      </c>
      <c r="I404" s="35" t="str">
        <f>IFERROR(VLOOKUP(B404,'MASTER RECORD'!$B$5:$W$1000,14,0),"")</f>
        <v/>
      </c>
      <c r="J404" s="17"/>
      <c r="K404" s="17"/>
      <c r="L404" s="17"/>
      <c r="M404" s="17"/>
      <c r="N404" s="17"/>
      <c r="O404" s="17"/>
      <c r="P404" s="17"/>
      <c r="Q404" s="17"/>
      <c r="R404" s="17"/>
      <c r="S404" s="17"/>
      <c r="T404" s="17"/>
      <c r="U404" s="17"/>
      <c r="V404" s="17"/>
      <c r="W404" s="17"/>
      <c r="X404" s="17"/>
      <c r="Y404" s="17"/>
      <c r="Z404" s="17"/>
      <c r="AA404" s="17"/>
      <c r="AB404" s="17"/>
      <c r="AC404" s="17"/>
      <c r="AD404" s="17"/>
      <c r="AE404" s="17"/>
      <c r="AF404" s="17"/>
      <c r="AG404" s="17"/>
      <c r="AH404" s="17"/>
      <c r="AI404" s="17"/>
      <c r="AJ404" s="17"/>
      <c r="AK404" s="17"/>
      <c r="AL404" s="17"/>
      <c r="AM404" s="17"/>
      <c r="AN404" s="17"/>
      <c r="AO404" s="17"/>
      <c r="AP404" s="17"/>
      <c r="AQ404" s="17"/>
      <c r="AR404" s="17"/>
      <c r="AS404" s="17"/>
    </row>
    <row r="405" spans="1:45">
      <c r="A405" s="28">
        <f t="shared" si="20"/>
        <v>400</v>
      </c>
      <c r="B405" s="7"/>
      <c r="C405" s="35" t="str">
        <f>IFERROR(VLOOKUP(B405,'MASTER RECORD'!$B$5:$W$1000,3,0),"")</f>
        <v/>
      </c>
      <c r="D405" s="35" t="str">
        <f>IFERROR(VLOOKUP(B405,'MASTER RECORD'!$B$5:$W$1000,2,0),"")</f>
        <v/>
      </c>
      <c r="E405" s="36" t="str">
        <f>IFERROR(VLOOKUP(B405,'MASTER RECORD'!$B$5:$W$1000,9,0),"")</f>
        <v/>
      </c>
      <c r="F405" s="35" t="str">
        <f>IFERROR(VLOOKUP(B405,'MASTER RECORD'!$B$5:$W$1000,10,0) &amp;"."&amp;(VLOOKUP(B405,'MASTER RECORD'!$B$5:$W$1000,11,0)),"")</f>
        <v/>
      </c>
      <c r="G405" s="36" t="str">
        <f t="shared" si="19"/>
        <v/>
      </c>
      <c r="H405" s="35" t="str">
        <f t="shared" si="21"/>
        <v/>
      </c>
      <c r="I405" s="35" t="str">
        <f>IFERROR(VLOOKUP(B405,'MASTER RECORD'!$B$5:$W$1000,14,0),"")</f>
        <v/>
      </c>
      <c r="J405" s="17"/>
      <c r="K405" s="17"/>
      <c r="L405" s="17"/>
      <c r="M405" s="17"/>
      <c r="N405" s="17"/>
      <c r="O405" s="17"/>
      <c r="P405" s="17"/>
      <c r="Q405" s="17"/>
      <c r="R405" s="17"/>
      <c r="S405" s="17"/>
      <c r="T405" s="17"/>
      <c r="U405" s="17"/>
      <c r="V405" s="17"/>
      <c r="W405" s="17"/>
      <c r="X405" s="17"/>
      <c r="Y405" s="17"/>
      <c r="Z405" s="17"/>
      <c r="AA405" s="17"/>
      <c r="AB405" s="17"/>
      <c r="AC405" s="17"/>
      <c r="AD405" s="17"/>
      <c r="AE405" s="17"/>
      <c r="AF405" s="17"/>
      <c r="AG405" s="17"/>
      <c r="AH405" s="17"/>
      <c r="AI405" s="17"/>
      <c r="AJ405" s="17"/>
      <c r="AK405" s="17"/>
      <c r="AL405" s="17"/>
      <c r="AM405" s="17"/>
      <c r="AN405" s="17"/>
      <c r="AO405" s="17"/>
      <c r="AP405" s="17"/>
      <c r="AQ405" s="17"/>
      <c r="AR405" s="17"/>
      <c r="AS405" s="17"/>
    </row>
    <row r="406" spans="1:45">
      <c r="A406" s="28">
        <f t="shared" si="20"/>
        <v>401</v>
      </c>
      <c r="B406" s="7"/>
      <c r="C406" s="35" t="str">
        <f>IFERROR(VLOOKUP(B406,'MASTER RECORD'!$B$5:$W$1000,3,0),"")</f>
        <v/>
      </c>
      <c r="D406" s="35" t="str">
        <f>IFERROR(VLOOKUP(B406,'MASTER RECORD'!$B$5:$W$1000,2,0),"")</f>
        <v/>
      </c>
      <c r="E406" s="36" t="str">
        <f>IFERROR(VLOOKUP(B406,'MASTER RECORD'!$B$5:$W$1000,9,0),"")</f>
        <v/>
      </c>
      <c r="F406" s="35" t="str">
        <f>IFERROR(VLOOKUP(B406,'MASTER RECORD'!$B$5:$W$1000,10,0) &amp;"."&amp;(VLOOKUP(B406,'MASTER RECORD'!$B$5:$W$1000,11,0)),"")</f>
        <v/>
      </c>
      <c r="G406" s="36" t="str">
        <f t="shared" si="19"/>
        <v/>
      </c>
      <c r="H406" s="35" t="str">
        <f t="shared" si="21"/>
        <v/>
      </c>
      <c r="I406" s="35" t="str">
        <f>IFERROR(VLOOKUP(B406,'MASTER RECORD'!$B$5:$W$1000,14,0),"")</f>
        <v/>
      </c>
      <c r="J406" s="17"/>
      <c r="K406" s="17"/>
      <c r="L406" s="17"/>
      <c r="M406" s="17"/>
      <c r="N406" s="17"/>
      <c r="O406" s="17"/>
      <c r="P406" s="17"/>
      <c r="Q406" s="17"/>
      <c r="R406" s="17"/>
      <c r="S406" s="17"/>
      <c r="T406" s="17"/>
      <c r="U406" s="17"/>
      <c r="V406" s="17"/>
      <c r="W406" s="17"/>
      <c r="X406" s="17"/>
      <c r="Y406" s="17"/>
      <c r="Z406" s="17"/>
      <c r="AA406" s="17"/>
      <c r="AB406" s="17"/>
      <c r="AC406" s="17"/>
      <c r="AD406" s="17"/>
      <c r="AE406" s="17"/>
      <c r="AF406" s="17"/>
      <c r="AG406" s="17"/>
      <c r="AH406" s="17"/>
      <c r="AI406" s="17"/>
      <c r="AJ406" s="17"/>
      <c r="AK406" s="17"/>
      <c r="AL406" s="17"/>
      <c r="AM406" s="17"/>
      <c r="AN406" s="17"/>
      <c r="AO406" s="17"/>
      <c r="AP406" s="17"/>
      <c r="AQ406" s="17"/>
      <c r="AR406" s="17"/>
      <c r="AS406" s="17"/>
    </row>
    <row r="407" spans="1:45">
      <c r="A407" s="28">
        <f t="shared" si="20"/>
        <v>402</v>
      </c>
      <c r="B407" s="7"/>
      <c r="C407" s="35" t="str">
        <f>IFERROR(VLOOKUP(B407,'MASTER RECORD'!$B$5:$W$1000,3,0),"")</f>
        <v/>
      </c>
      <c r="D407" s="35" t="str">
        <f>IFERROR(VLOOKUP(B407,'MASTER RECORD'!$B$5:$W$1000,2,0),"")</f>
        <v/>
      </c>
      <c r="E407" s="36" t="str">
        <f>IFERROR(VLOOKUP(B407,'MASTER RECORD'!$B$5:$W$1000,9,0),"")</f>
        <v/>
      </c>
      <c r="F407" s="35" t="str">
        <f>IFERROR(VLOOKUP(B407,'MASTER RECORD'!$B$5:$W$1000,10,0) &amp;"."&amp;(VLOOKUP(B407,'MASTER RECORD'!$B$5:$W$1000,11,0)),"")</f>
        <v/>
      </c>
      <c r="G407" s="36" t="str">
        <f t="shared" si="19"/>
        <v/>
      </c>
      <c r="H407" s="35" t="str">
        <f t="shared" si="21"/>
        <v/>
      </c>
      <c r="I407" s="35" t="str">
        <f>IFERROR(VLOOKUP(B407,'MASTER RECORD'!$B$5:$W$1000,14,0),"")</f>
        <v/>
      </c>
      <c r="J407" s="17"/>
      <c r="K407" s="17"/>
      <c r="L407" s="17"/>
      <c r="M407" s="17"/>
      <c r="N407" s="17"/>
      <c r="O407" s="17"/>
      <c r="P407" s="17"/>
      <c r="Q407" s="17"/>
      <c r="R407" s="17"/>
      <c r="S407" s="17"/>
      <c r="T407" s="17"/>
      <c r="U407" s="17"/>
      <c r="V407" s="17"/>
      <c r="W407" s="17"/>
      <c r="X407" s="17"/>
      <c r="Y407" s="17"/>
      <c r="Z407" s="17"/>
      <c r="AA407" s="17"/>
      <c r="AB407" s="17"/>
      <c r="AC407" s="17"/>
      <c r="AD407" s="17"/>
      <c r="AE407" s="17"/>
      <c r="AF407" s="17"/>
      <c r="AG407" s="17"/>
      <c r="AH407" s="17"/>
      <c r="AI407" s="17"/>
      <c r="AJ407" s="17"/>
      <c r="AK407" s="17"/>
      <c r="AL407" s="17"/>
      <c r="AM407" s="17"/>
      <c r="AN407" s="17"/>
      <c r="AO407" s="17"/>
      <c r="AP407" s="17"/>
      <c r="AQ407" s="17"/>
      <c r="AR407" s="17"/>
      <c r="AS407" s="17"/>
    </row>
    <row r="408" spans="1:45">
      <c r="A408" s="28">
        <f t="shared" si="20"/>
        <v>403</v>
      </c>
      <c r="B408" s="7"/>
      <c r="C408" s="35" t="str">
        <f>IFERROR(VLOOKUP(B408,'MASTER RECORD'!$B$5:$W$1000,3,0),"")</f>
        <v/>
      </c>
      <c r="D408" s="35" t="str">
        <f>IFERROR(VLOOKUP(B408,'MASTER RECORD'!$B$5:$W$1000,2,0),"")</f>
        <v/>
      </c>
      <c r="E408" s="36" t="str">
        <f>IFERROR(VLOOKUP(B408,'MASTER RECORD'!$B$5:$W$1000,9,0),"")</f>
        <v/>
      </c>
      <c r="F408" s="35" t="str">
        <f>IFERROR(VLOOKUP(B408,'MASTER RECORD'!$B$5:$W$1000,10,0) &amp;"."&amp;(VLOOKUP(B408,'MASTER RECORD'!$B$5:$W$1000,11,0)),"")</f>
        <v/>
      </c>
      <c r="G408" s="36" t="str">
        <f t="shared" si="19"/>
        <v/>
      </c>
      <c r="H408" s="35" t="str">
        <f t="shared" si="21"/>
        <v/>
      </c>
      <c r="I408" s="35" t="str">
        <f>IFERROR(VLOOKUP(B408,'MASTER RECORD'!$B$5:$W$1000,14,0),"")</f>
        <v/>
      </c>
      <c r="J408" s="17"/>
      <c r="K408" s="17"/>
      <c r="L408" s="17"/>
      <c r="M408" s="17"/>
      <c r="N408" s="17"/>
      <c r="O408" s="17"/>
      <c r="P408" s="17"/>
      <c r="Q408" s="17"/>
      <c r="R408" s="17"/>
      <c r="S408" s="17"/>
      <c r="T408" s="17"/>
      <c r="U408" s="17"/>
      <c r="V408" s="17"/>
      <c r="W408" s="17"/>
      <c r="X408" s="17"/>
      <c r="Y408" s="17"/>
      <c r="Z408" s="17"/>
      <c r="AA408" s="17"/>
      <c r="AB408" s="17"/>
      <c r="AC408" s="17"/>
      <c r="AD408" s="17"/>
      <c r="AE408" s="17"/>
      <c r="AF408" s="17"/>
      <c r="AG408" s="17"/>
      <c r="AH408" s="17"/>
      <c r="AI408" s="17"/>
      <c r="AJ408" s="17"/>
      <c r="AK408" s="17"/>
      <c r="AL408" s="17"/>
      <c r="AM408" s="17"/>
      <c r="AN408" s="17"/>
      <c r="AO408" s="17"/>
      <c r="AP408" s="17"/>
      <c r="AQ408" s="17"/>
      <c r="AR408" s="17"/>
      <c r="AS408" s="17"/>
    </row>
    <row r="409" spans="1:45">
      <c r="A409" s="28">
        <f t="shared" si="20"/>
        <v>404</v>
      </c>
      <c r="B409" s="7"/>
      <c r="C409" s="35" t="str">
        <f>IFERROR(VLOOKUP(B409,'MASTER RECORD'!$B$5:$W$1000,3,0),"")</f>
        <v/>
      </c>
      <c r="D409" s="35" t="str">
        <f>IFERROR(VLOOKUP(B409,'MASTER RECORD'!$B$5:$W$1000,2,0),"")</f>
        <v/>
      </c>
      <c r="E409" s="36" t="str">
        <f>IFERROR(VLOOKUP(B409,'MASTER RECORD'!$B$5:$W$1000,9,0),"")</f>
        <v/>
      </c>
      <c r="F409" s="35" t="str">
        <f>IFERROR(VLOOKUP(B409,'MASTER RECORD'!$B$5:$W$1000,10,0) &amp;"."&amp;(VLOOKUP(B409,'MASTER RECORD'!$B$5:$W$1000,11,0)),"")</f>
        <v/>
      </c>
      <c r="G409" s="36" t="str">
        <f t="shared" si="19"/>
        <v/>
      </c>
      <c r="H409" s="35" t="str">
        <f t="shared" si="21"/>
        <v/>
      </c>
      <c r="I409" s="35" t="str">
        <f>IFERROR(VLOOKUP(B409,'MASTER RECORD'!$B$5:$W$1000,14,0),"")</f>
        <v/>
      </c>
      <c r="J409" s="17"/>
      <c r="K409" s="17"/>
      <c r="L409" s="17"/>
      <c r="M409" s="17"/>
      <c r="N409" s="17"/>
      <c r="O409" s="17"/>
      <c r="P409" s="17"/>
      <c r="Q409" s="17"/>
      <c r="R409" s="17"/>
      <c r="S409" s="17"/>
      <c r="T409" s="17"/>
      <c r="U409" s="17"/>
      <c r="V409" s="17"/>
      <c r="W409" s="17"/>
      <c r="X409" s="17"/>
      <c r="Y409" s="17"/>
      <c r="Z409" s="17"/>
      <c r="AA409" s="17"/>
      <c r="AB409" s="17"/>
      <c r="AC409" s="17"/>
      <c r="AD409" s="17"/>
      <c r="AE409" s="17"/>
      <c r="AF409" s="17"/>
      <c r="AG409" s="17"/>
      <c r="AH409" s="17"/>
      <c r="AI409" s="17"/>
      <c r="AJ409" s="17"/>
      <c r="AK409" s="17"/>
      <c r="AL409" s="17"/>
      <c r="AM409" s="17"/>
      <c r="AN409" s="17"/>
      <c r="AO409" s="17"/>
      <c r="AP409" s="17"/>
      <c r="AQ409" s="17"/>
      <c r="AR409" s="17"/>
      <c r="AS409" s="17"/>
    </row>
    <row r="410" spans="1:45">
      <c r="A410" s="28">
        <f t="shared" si="20"/>
        <v>405</v>
      </c>
      <c r="B410" s="7"/>
      <c r="C410" s="35" t="str">
        <f>IFERROR(VLOOKUP(B410,'MASTER RECORD'!$B$5:$W$1000,3,0),"")</f>
        <v/>
      </c>
      <c r="D410" s="35" t="str">
        <f>IFERROR(VLOOKUP(B410,'MASTER RECORD'!$B$5:$W$1000,2,0),"")</f>
        <v/>
      </c>
      <c r="E410" s="36" t="str">
        <f>IFERROR(VLOOKUP(B410,'MASTER RECORD'!$B$5:$W$1000,9,0),"")</f>
        <v/>
      </c>
      <c r="F410" s="35" t="str">
        <f>IFERROR(VLOOKUP(B410,'MASTER RECORD'!$B$5:$W$1000,10,0) &amp;"."&amp;(VLOOKUP(B410,'MASTER RECORD'!$B$5:$W$1000,11,0)),"")</f>
        <v/>
      </c>
      <c r="G410" s="36" t="str">
        <f t="shared" si="19"/>
        <v/>
      </c>
      <c r="H410" s="35" t="str">
        <f t="shared" si="21"/>
        <v/>
      </c>
      <c r="I410" s="35" t="str">
        <f>IFERROR(VLOOKUP(B410,'MASTER RECORD'!$B$5:$W$1000,14,0),"")</f>
        <v/>
      </c>
      <c r="J410" s="17"/>
      <c r="K410" s="17"/>
      <c r="L410" s="17"/>
      <c r="M410" s="17"/>
      <c r="N410" s="17"/>
      <c r="O410" s="17"/>
      <c r="P410" s="17"/>
      <c r="Q410" s="17"/>
      <c r="R410" s="17"/>
      <c r="S410" s="17"/>
      <c r="T410" s="17"/>
      <c r="U410" s="17"/>
      <c r="V410" s="17"/>
      <c r="W410" s="17"/>
      <c r="X410" s="17"/>
      <c r="Y410" s="17"/>
      <c r="Z410" s="17"/>
      <c r="AA410" s="17"/>
      <c r="AB410" s="17"/>
      <c r="AC410" s="17"/>
      <c r="AD410" s="17"/>
      <c r="AE410" s="17"/>
      <c r="AF410" s="17"/>
      <c r="AG410" s="17"/>
      <c r="AH410" s="17"/>
      <c r="AI410" s="17"/>
      <c r="AJ410" s="17"/>
      <c r="AK410" s="17"/>
      <c r="AL410" s="17"/>
      <c r="AM410" s="17"/>
      <c r="AN410" s="17"/>
      <c r="AO410" s="17"/>
      <c r="AP410" s="17"/>
      <c r="AQ410" s="17"/>
      <c r="AR410" s="17"/>
      <c r="AS410" s="17"/>
    </row>
    <row r="411" spans="1:45">
      <c r="A411" s="28">
        <f t="shared" si="20"/>
        <v>406</v>
      </c>
      <c r="B411" s="7"/>
      <c r="C411" s="35" t="str">
        <f>IFERROR(VLOOKUP(B411,'MASTER RECORD'!$B$5:$W$1000,3,0),"")</f>
        <v/>
      </c>
      <c r="D411" s="35" t="str">
        <f>IFERROR(VLOOKUP(B411,'MASTER RECORD'!$B$5:$W$1000,2,0),"")</f>
        <v/>
      </c>
      <c r="E411" s="36" t="str">
        <f>IFERROR(VLOOKUP(B411,'MASTER RECORD'!$B$5:$W$1000,9,0),"")</f>
        <v/>
      </c>
      <c r="F411" s="35" t="str">
        <f>IFERROR(VLOOKUP(B411,'MASTER RECORD'!$B$5:$W$1000,10,0) &amp;"."&amp;(VLOOKUP(B411,'MASTER RECORD'!$B$5:$W$1000,11,0)),"")</f>
        <v/>
      </c>
      <c r="G411" s="36" t="str">
        <f t="shared" si="19"/>
        <v/>
      </c>
      <c r="H411" s="35" t="str">
        <f t="shared" si="21"/>
        <v/>
      </c>
      <c r="I411" s="35" t="str">
        <f>IFERROR(VLOOKUP(B411,'MASTER RECORD'!$B$5:$W$1000,14,0),"")</f>
        <v/>
      </c>
      <c r="J411" s="17"/>
      <c r="K411" s="17"/>
      <c r="L411" s="17"/>
      <c r="M411" s="17"/>
      <c r="N411" s="17"/>
      <c r="O411" s="17"/>
      <c r="P411" s="17"/>
      <c r="Q411" s="17"/>
      <c r="R411" s="17"/>
      <c r="S411" s="17"/>
      <c r="T411" s="17"/>
      <c r="U411" s="17"/>
      <c r="V411" s="17"/>
      <c r="W411" s="17"/>
      <c r="X411" s="17"/>
      <c r="Y411" s="17"/>
      <c r="Z411" s="17"/>
      <c r="AA411" s="17"/>
      <c r="AB411" s="17"/>
      <c r="AC411" s="17"/>
      <c r="AD411" s="17"/>
      <c r="AE411" s="17"/>
      <c r="AF411" s="17"/>
      <c r="AG411" s="17"/>
      <c r="AH411" s="17"/>
      <c r="AI411" s="17"/>
      <c r="AJ411" s="17"/>
      <c r="AK411" s="17"/>
      <c r="AL411" s="17"/>
      <c r="AM411" s="17"/>
      <c r="AN411" s="17"/>
      <c r="AO411" s="17"/>
      <c r="AP411" s="17"/>
      <c r="AQ411" s="17"/>
      <c r="AR411" s="17"/>
      <c r="AS411" s="17"/>
    </row>
    <row r="412" spans="1:45">
      <c r="A412" s="28">
        <f t="shared" si="20"/>
        <v>407</v>
      </c>
      <c r="B412" s="7"/>
      <c r="C412" s="35" t="str">
        <f>IFERROR(VLOOKUP(B412,'MASTER RECORD'!$B$5:$W$1000,3,0),"")</f>
        <v/>
      </c>
      <c r="D412" s="35" t="str">
        <f>IFERROR(VLOOKUP(B412,'MASTER RECORD'!$B$5:$W$1000,2,0),"")</f>
        <v/>
      </c>
      <c r="E412" s="36" t="str">
        <f>IFERROR(VLOOKUP(B412,'MASTER RECORD'!$B$5:$W$1000,9,0),"")</f>
        <v/>
      </c>
      <c r="F412" s="35" t="str">
        <f>IFERROR(VLOOKUP(B412,'MASTER RECORD'!$B$5:$W$1000,10,0) &amp;"."&amp;(VLOOKUP(B412,'MASTER RECORD'!$B$5:$W$1000,11,0)),"")</f>
        <v/>
      </c>
      <c r="G412" s="36" t="str">
        <f t="shared" si="19"/>
        <v/>
      </c>
      <c r="H412" s="35" t="str">
        <f t="shared" si="21"/>
        <v/>
      </c>
      <c r="I412" s="35" t="str">
        <f>IFERROR(VLOOKUP(B412,'MASTER RECORD'!$B$5:$W$1000,14,0),"")</f>
        <v/>
      </c>
      <c r="J412" s="17"/>
      <c r="K412" s="17"/>
      <c r="L412" s="17"/>
      <c r="M412" s="17"/>
      <c r="N412" s="17"/>
      <c r="O412" s="17"/>
      <c r="P412" s="17"/>
      <c r="Q412" s="17"/>
      <c r="R412" s="17"/>
      <c r="S412" s="17"/>
      <c r="T412" s="17"/>
      <c r="U412" s="17"/>
      <c r="V412" s="17"/>
      <c r="W412" s="17"/>
      <c r="X412" s="17"/>
      <c r="Y412" s="17"/>
      <c r="Z412" s="17"/>
      <c r="AA412" s="17"/>
      <c r="AB412" s="17"/>
      <c r="AC412" s="17"/>
      <c r="AD412" s="17"/>
      <c r="AE412" s="17"/>
      <c r="AF412" s="17"/>
      <c r="AG412" s="17"/>
      <c r="AH412" s="17"/>
      <c r="AI412" s="17"/>
      <c r="AJ412" s="17"/>
      <c r="AK412" s="17"/>
      <c r="AL412" s="17"/>
      <c r="AM412" s="17"/>
      <c r="AN412" s="17"/>
      <c r="AO412" s="17"/>
      <c r="AP412" s="17"/>
      <c r="AQ412" s="17"/>
      <c r="AR412" s="17"/>
      <c r="AS412" s="17"/>
    </row>
    <row r="413" spans="1:45">
      <c r="A413" s="28">
        <f t="shared" si="20"/>
        <v>408</v>
      </c>
      <c r="B413" s="7"/>
      <c r="C413" s="35" t="str">
        <f>IFERROR(VLOOKUP(B413,'MASTER RECORD'!$B$5:$W$1000,3,0),"")</f>
        <v/>
      </c>
      <c r="D413" s="35" t="str">
        <f>IFERROR(VLOOKUP(B413,'MASTER RECORD'!$B$5:$W$1000,2,0),"")</f>
        <v/>
      </c>
      <c r="E413" s="36" t="str">
        <f>IFERROR(VLOOKUP(B413,'MASTER RECORD'!$B$5:$W$1000,9,0),"")</f>
        <v/>
      </c>
      <c r="F413" s="35" t="str">
        <f>IFERROR(VLOOKUP(B413,'MASTER RECORD'!$B$5:$W$1000,10,0) &amp;"."&amp;(VLOOKUP(B413,'MASTER RECORD'!$B$5:$W$1000,11,0)),"")</f>
        <v/>
      </c>
      <c r="G413" s="36" t="str">
        <f t="shared" si="19"/>
        <v/>
      </c>
      <c r="H413" s="35" t="str">
        <f t="shared" si="21"/>
        <v/>
      </c>
      <c r="I413" s="35" t="str">
        <f>IFERROR(VLOOKUP(B413,'MASTER RECORD'!$B$5:$W$1000,14,0),"")</f>
        <v/>
      </c>
      <c r="J413" s="17"/>
      <c r="K413" s="17"/>
      <c r="L413" s="17"/>
      <c r="M413" s="17"/>
      <c r="N413" s="17"/>
      <c r="O413" s="17"/>
      <c r="P413" s="17"/>
      <c r="Q413" s="17"/>
      <c r="R413" s="17"/>
      <c r="S413" s="17"/>
      <c r="T413" s="17"/>
      <c r="U413" s="17"/>
      <c r="V413" s="17"/>
      <c r="W413" s="17"/>
      <c r="X413" s="17"/>
      <c r="Y413" s="17"/>
      <c r="Z413" s="17"/>
      <c r="AA413" s="17"/>
      <c r="AB413" s="17"/>
      <c r="AC413" s="17"/>
      <c r="AD413" s="17"/>
      <c r="AE413" s="17"/>
      <c r="AF413" s="17"/>
      <c r="AG413" s="17"/>
      <c r="AH413" s="17"/>
      <c r="AI413" s="17"/>
      <c r="AJ413" s="17"/>
      <c r="AK413" s="17"/>
      <c r="AL413" s="17"/>
      <c r="AM413" s="17"/>
      <c r="AN413" s="17"/>
      <c r="AO413" s="17"/>
      <c r="AP413" s="17"/>
      <c r="AQ413" s="17"/>
      <c r="AR413" s="17"/>
      <c r="AS413" s="17"/>
    </row>
    <row r="414" spans="1:45">
      <c r="A414" s="28">
        <f t="shared" si="20"/>
        <v>409</v>
      </c>
      <c r="B414" s="7"/>
      <c r="C414" s="35" t="str">
        <f>IFERROR(VLOOKUP(B414,'MASTER RECORD'!$B$5:$W$1000,3,0),"")</f>
        <v/>
      </c>
      <c r="D414" s="35" t="str">
        <f>IFERROR(VLOOKUP(B414,'MASTER RECORD'!$B$5:$W$1000,2,0),"")</f>
        <v/>
      </c>
      <c r="E414" s="36" t="str">
        <f>IFERROR(VLOOKUP(B414,'MASTER RECORD'!$B$5:$W$1000,9,0),"")</f>
        <v/>
      </c>
      <c r="F414" s="35" t="str">
        <f>IFERROR(VLOOKUP(B414,'MASTER RECORD'!$B$5:$W$1000,10,0) &amp;"."&amp;(VLOOKUP(B414,'MASTER RECORD'!$B$5:$W$1000,11,0)),"")</f>
        <v/>
      </c>
      <c r="G414" s="36" t="str">
        <f t="shared" si="19"/>
        <v/>
      </c>
      <c r="H414" s="35" t="str">
        <f t="shared" si="21"/>
        <v/>
      </c>
      <c r="I414" s="35" t="str">
        <f>IFERROR(VLOOKUP(B414,'MASTER RECORD'!$B$5:$W$1000,14,0),"")</f>
        <v/>
      </c>
      <c r="J414" s="17"/>
      <c r="K414" s="17"/>
      <c r="L414" s="17"/>
      <c r="M414" s="17"/>
      <c r="N414" s="17"/>
      <c r="O414" s="17"/>
      <c r="P414" s="17"/>
      <c r="Q414" s="17"/>
      <c r="R414" s="17"/>
      <c r="S414" s="17"/>
      <c r="T414" s="17"/>
      <c r="U414" s="17"/>
      <c r="V414" s="17"/>
      <c r="W414" s="17"/>
      <c r="X414" s="17"/>
      <c r="Y414" s="17"/>
      <c r="Z414" s="17"/>
      <c r="AA414" s="17"/>
      <c r="AB414" s="17"/>
      <c r="AC414" s="17"/>
      <c r="AD414" s="17"/>
      <c r="AE414" s="17"/>
      <c r="AF414" s="17"/>
      <c r="AG414" s="17"/>
      <c r="AH414" s="17"/>
      <c r="AI414" s="17"/>
      <c r="AJ414" s="17"/>
      <c r="AK414" s="17"/>
      <c r="AL414" s="17"/>
      <c r="AM414" s="17"/>
      <c r="AN414" s="17"/>
      <c r="AO414" s="17"/>
      <c r="AP414" s="17"/>
      <c r="AQ414" s="17"/>
      <c r="AR414" s="17"/>
      <c r="AS414" s="17"/>
    </row>
    <row r="415" spans="1:45">
      <c r="A415" s="28">
        <f t="shared" si="20"/>
        <v>410</v>
      </c>
      <c r="B415" s="7"/>
      <c r="C415" s="35" t="str">
        <f>IFERROR(VLOOKUP(B415,'MASTER RECORD'!$B$5:$W$1000,3,0),"")</f>
        <v/>
      </c>
      <c r="D415" s="35" t="str">
        <f>IFERROR(VLOOKUP(B415,'MASTER RECORD'!$B$5:$W$1000,2,0),"")</f>
        <v/>
      </c>
      <c r="E415" s="36" t="str">
        <f>IFERROR(VLOOKUP(B415,'MASTER RECORD'!$B$5:$W$1000,9,0),"")</f>
        <v/>
      </c>
      <c r="F415" s="35" t="str">
        <f>IFERROR(VLOOKUP(B415,'MASTER RECORD'!$B$5:$W$1000,10,0) &amp;"."&amp;(VLOOKUP(B415,'MASTER RECORD'!$B$5:$W$1000,11,0)),"")</f>
        <v/>
      </c>
      <c r="G415" s="36" t="str">
        <f t="shared" si="19"/>
        <v/>
      </c>
      <c r="H415" s="35" t="str">
        <f t="shared" si="21"/>
        <v/>
      </c>
      <c r="I415" s="35" t="str">
        <f>IFERROR(VLOOKUP(B415,'MASTER RECORD'!$B$5:$W$1000,14,0),"")</f>
        <v/>
      </c>
      <c r="J415" s="17"/>
      <c r="K415" s="17"/>
      <c r="L415" s="17"/>
      <c r="M415" s="17"/>
      <c r="N415" s="17"/>
      <c r="O415" s="17"/>
      <c r="P415" s="17"/>
      <c r="Q415" s="17"/>
      <c r="R415" s="17"/>
      <c r="S415" s="17"/>
      <c r="T415" s="17"/>
      <c r="U415" s="17"/>
      <c r="V415" s="17"/>
      <c r="W415" s="17"/>
      <c r="X415" s="17"/>
      <c r="Y415" s="17"/>
      <c r="Z415" s="17"/>
      <c r="AA415" s="17"/>
      <c r="AB415" s="17"/>
      <c r="AC415" s="17"/>
      <c r="AD415" s="17"/>
      <c r="AE415" s="17"/>
      <c r="AF415" s="17"/>
      <c r="AG415" s="17"/>
      <c r="AH415" s="17"/>
      <c r="AI415" s="17"/>
      <c r="AJ415" s="17"/>
      <c r="AK415" s="17"/>
      <c r="AL415" s="17"/>
      <c r="AM415" s="17"/>
      <c r="AN415" s="17"/>
      <c r="AO415" s="17"/>
      <c r="AP415" s="17"/>
      <c r="AQ415" s="17"/>
      <c r="AR415" s="17"/>
      <c r="AS415" s="17"/>
    </row>
    <row r="416" spans="1:45">
      <c r="A416" s="28">
        <f t="shared" si="20"/>
        <v>411</v>
      </c>
      <c r="B416" s="7"/>
      <c r="C416" s="35" t="str">
        <f>IFERROR(VLOOKUP(B416,'MASTER RECORD'!$B$5:$W$1000,3,0),"")</f>
        <v/>
      </c>
      <c r="D416" s="35" t="str">
        <f>IFERROR(VLOOKUP(B416,'MASTER RECORD'!$B$5:$W$1000,2,0),"")</f>
        <v/>
      </c>
      <c r="E416" s="36" t="str">
        <f>IFERROR(VLOOKUP(B416,'MASTER RECORD'!$B$5:$W$1000,9,0),"")</f>
        <v/>
      </c>
      <c r="F416" s="35" t="str">
        <f>IFERROR(VLOOKUP(B416,'MASTER RECORD'!$B$5:$W$1000,10,0) &amp;"."&amp;(VLOOKUP(B416,'MASTER RECORD'!$B$5:$W$1000,11,0)),"")</f>
        <v/>
      </c>
      <c r="G416" s="36" t="str">
        <f t="shared" si="19"/>
        <v/>
      </c>
      <c r="H416" s="35" t="str">
        <f t="shared" si="21"/>
        <v/>
      </c>
      <c r="I416" s="35" t="str">
        <f>IFERROR(VLOOKUP(B416,'MASTER RECORD'!$B$5:$W$1000,14,0),"")</f>
        <v/>
      </c>
      <c r="J416" s="17"/>
      <c r="K416" s="17"/>
      <c r="L416" s="17"/>
      <c r="M416" s="17"/>
      <c r="N416" s="17"/>
      <c r="O416" s="17"/>
      <c r="P416" s="17"/>
      <c r="Q416" s="17"/>
      <c r="R416" s="17"/>
      <c r="S416" s="17"/>
      <c r="T416" s="17"/>
      <c r="U416" s="17"/>
      <c r="V416" s="17"/>
      <c r="W416" s="17"/>
      <c r="X416" s="17"/>
      <c r="Y416" s="17"/>
      <c r="Z416" s="17"/>
      <c r="AA416" s="17"/>
      <c r="AB416" s="17"/>
      <c r="AC416" s="17"/>
      <c r="AD416" s="17"/>
      <c r="AE416" s="17"/>
      <c r="AF416" s="17"/>
      <c r="AG416" s="17"/>
      <c r="AH416" s="17"/>
      <c r="AI416" s="17"/>
      <c r="AJ416" s="17"/>
      <c r="AK416" s="17"/>
      <c r="AL416" s="17"/>
      <c r="AM416" s="17"/>
      <c r="AN416" s="17"/>
      <c r="AO416" s="17"/>
      <c r="AP416" s="17"/>
      <c r="AQ416" s="17"/>
      <c r="AR416" s="17"/>
      <c r="AS416" s="17"/>
    </row>
    <row r="417" spans="1:45">
      <c r="A417" s="28">
        <f t="shared" si="20"/>
        <v>412</v>
      </c>
      <c r="B417" s="7"/>
      <c r="C417" s="35" t="str">
        <f>IFERROR(VLOOKUP(B417,'MASTER RECORD'!$B$5:$W$1000,3,0),"")</f>
        <v/>
      </c>
      <c r="D417" s="35" t="str">
        <f>IFERROR(VLOOKUP(B417,'MASTER RECORD'!$B$5:$W$1000,2,0),"")</f>
        <v/>
      </c>
      <c r="E417" s="36" t="str">
        <f>IFERROR(VLOOKUP(B417,'MASTER RECORD'!$B$5:$W$1000,9,0),"")</f>
        <v/>
      </c>
      <c r="F417" s="35" t="str">
        <f>IFERROR(VLOOKUP(B417,'MASTER RECORD'!$B$5:$W$1000,10,0) &amp;"."&amp;(VLOOKUP(B417,'MASTER RECORD'!$B$5:$W$1000,11,0)),"")</f>
        <v/>
      </c>
      <c r="G417" s="36" t="str">
        <f t="shared" si="19"/>
        <v/>
      </c>
      <c r="H417" s="35" t="str">
        <f t="shared" si="21"/>
        <v/>
      </c>
      <c r="I417" s="35" t="str">
        <f>IFERROR(VLOOKUP(B417,'MASTER RECORD'!$B$5:$W$1000,14,0),"")</f>
        <v/>
      </c>
      <c r="J417" s="17"/>
      <c r="K417" s="17"/>
      <c r="L417" s="17"/>
      <c r="M417" s="17"/>
      <c r="N417" s="17"/>
      <c r="O417" s="17"/>
      <c r="P417" s="17"/>
      <c r="Q417" s="17"/>
      <c r="R417" s="17"/>
      <c r="S417" s="17"/>
      <c r="T417" s="17"/>
      <c r="U417" s="17"/>
      <c r="V417" s="17"/>
      <c r="W417" s="17"/>
      <c r="X417" s="17"/>
      <c r="Y417" s="17"/>
      <c r="Z417" s="17"/>
      <c r="AA417" s="17"/>
      <c r="AB417" s="17"/>
      <c r="AC417" s="17"/>
      <c r="AD417" s="17"/>
      <c r="AE417" s="17"/>
      <c r="AF417" s="17"/>
      <c r="AG417" s="17"/>
      <c r="AH417" s="17"/>
      <c r="AI417" s="17"/>
      <c r="AJ417" s="17"/>
      <c r="AK417" s="17"/>
      <c r="AL417" s="17"/>
      <c r="AM417" s="17"/>
      <c r="AN417" s="17"/>
      <c r="AO417" s="17"/>
      <c r="AP417" s="17"/>
      <c r="AQ417" s="17"/>
      <c r="AR417" s="17"/>
      <c r="AS417" s="17"/>
    </row>
    <row r="418" spans="1:45">
      <c r="A418" s="28">
        <f t="shared" si="20"/>
        <v>413</v>
      </c>
      <c r="B418" s="7"/>
      <c r="C418" s="35" t="str">
        <f>IFERROR(VLOOKUP(B418,'MASTER RECORD'!$B$5:$W$1000,3,0),"")</f>
        <v/>
      </c>
      <c r="D418" s="35" t="str">
        <f>IFERROR(VLOOKUP(B418,'MASTER RECORD'!$B$5:$W$1000,2,0),"")</f>
        <v/>
      </c>
      <c r="E418" s="36" t="str">
        <f>IFERROR(VLOOKUP(B418,'MASTER RECORD'!$B$5:$W$1000,9,0),"")</f>
        <v/>
      </c>
      <c r="F418" s="35" t="str">
        <f>IFERROR(VLOOKUP(B418,'MASTER RECORD'!$B$5:$W$1000,10,0) &amp;"."&amp;(VLOOKUP(B418,'MASTER RECORD'!$B$5:$W$1000,11,0)),"")</f>
        <v/>
      </c>
      <c r="G418" s="36" t="str">
        <f t="shared" si="19"/>
        <v/>
      </c>
      <c r="H418" s="35" t="str">
        <f t="shared" si="21"/>
        <v/>
      </c>
      <c r="I418" s="35" t="str">
        <f>IFERROR(VLOOKUP(B418,'MASTER RECORD'!$B$5:$W$1000,14,0),"")</f>
        <v/>
      </c>
      <c r="J418" s="17"/>
      <c r="K418" s="17"/>
      <c r="L418" s="17"/>
      <c r="M418" s="17"/>
      <c r="N418" s="17"/>
      <c r="O418" s="17"/>
      <c r="P418" s="17"/>
      <c r="Q418" s="17"/>
      <c r="R418" s="17"/>
      <c r="S418" s="17"/>
      <c r="T418" s="17"/>
      <c r="U418" s="17"/>
      <c r="V418" s="17"/>
      <c r="W418" s="17"/>
      <c r="X418" s="17"/>
      <c r="Y418" s="17"/>
      <c r="Z418" s="17"/>
      <c r="AA418" s="17"/>
      <c r="AB418" s="17"/>
      <c r="AC418" s="17"/>
      <c r="AD418" s="17"/>
      <c r="AE418" s="17"/>
      <c r="AF418" s="17"/>
      <c r="AG418" s="17"/>
      <c r="AH418" s="17"/>
      <c r="AI418" s="17"/>
      <c r="AJ418" s="17"/>
      <c r="AK418" s="17"/>
      <c r="AL418" s="17"/>
      <c r="AM418" s="17"/>
      <c r="AN418" s="17"/>
      <c r="AO418" s="17"/>
      <c r="AP418" s="17"/>
      <c r="AQ418" s="17"/>
      <c r="AR418" s="17"/>
      <c r="AS418" s="17"/>
    </row>
    <row r="419" spans="1:45">
      <c r="A419" s="28">
        <f t="shared" si="20"/>
        <v>414</v>
      </c>
      <c r="B419" s="7"/>
      <c r="C419" s="35" t="str">
        <f>IFERROR(VLOOKUP(B419,'MASTER RECORD'!$B$5:$W$1000,3,0),"")</f>
        <v/>
      </c>
      <c r="D419" s="35" t="str">
        <f>IFERROR(VLOOKUP(B419,'MASTER RECORD'!$B$5:$W$1000,2,0),"")</f>
        <v/>
      </c>
      <c r="E419" s="36" t="str">
        <f>IFERROR(VLOOKUP(B419,'MASTER RECORD'!$B$5:$W$1000,9,0),"")</f>
        <v/>
      </c>
      <c r="F419" s="35" t="str">
        <f>IFERROR(VLOOKUP(B419,'MASTER RECORD'!$B$5:$W$1000,10,0) &amp;"."&amp;(VLOOKUP(B419,'MASTER RECORD'!$B$5:$W$1000,11,0)),"")</f>
        <v/>
      </c>
      <c r="G419" s="36" t="str">
        <f t="shared" si="19"/>
        <v/>
      </c>
      <c r="H419" s="35" t="str">
        <f t="shared" si="21"/>
        <v/>
      </c>
      <c r="I419" s="35" t="str">
        <f>IFERROR(VLOOKUP(B419,'MASTER RECORD'!$B$5:$W$1000,14,0),"")</f>
        <v/>
      </c>
      <c r="J419" s="17"/>
      <c r="K419" s="17"/>
      <c r="L419" s="17"/>
      <c r="M419" s="17"/>
      <c r="N419" s="17"/>
      <c r="O419" s="17"/>
      <c r="P419" s="17"/>
      <c r="Q419" s="17"/>
      <c r="R419" s="17"/>
      <c r="S419" s="17"/>
      <c r="T419" s="17"/>
      <c r="U419" s="17"/>
      <c r="V419" s="17"/>
      <c r="W419" s="17"/>
      <c r="X419" s="17"/>
      <c r="Y419" s="17"/>
      <c r="Z419" s="17"/>
      <c r="AA419" s="17"/>
      <c r="AB419" s="17"/>
      <c r="AC419" s="17"/>
      <c r="AD419" s="17"/>
      <c r="AE419" s="17"/>
      <c r="AF419" s="17"/>
      <c r="AG419" s="17"/>
      <c r="AH419" s="17"/>
      <c r="AI419" s="17"/>
      <c r="AJ419" s="17"/>
      <c r="AK419" s="17"/>
      <c r="AL419" s="17"/>
      <c r="AM419" s="17"/>
      <c r="AN419" s="17"/>
      <c r="AO419" s="17"/>
      <c r="AP419" s="17"/>
      <c r="AQ419" s="17"/>
      <c r="AR419" s="17"/>
      <c r="AS419" s="17"/>
    </row>
    <row r="420" spans="1:45">
      <c r="A420" s="28">
        <f t="shared" si="20"/>
        <v>415</v>
      </c>
      <c r="B420" s="7"/>
      <c r="C420" s="35" t="str">
        <f>IFERROR(VLOOKUP(B420,'MASTER RECORD'!$B$5:$W$1000,3,0),"")</f>
        <v/>
      </c>
      <c r="D420" s="35" t="str">
        <f>IFERROR(VLOOKUP(B420,'MASTER RECORD'!$B$5:$W$1000,2,0),"")</f>
        <v/>
      </c>
      <c r="E420" s="36" t="str">
        <f>IFERROR(VLOOKUP(B420,'MASTER RECORD'!$B$5:$W$1000,9,0),"")</f>
        <v/>
      </c>
      <c r="F420" s="35" t="str">
        <f>IFERROR(VLOOKUP(B420,'MASTER RECORD'!$B$5:$W$1000,10,0) &amp;"."&amp;(VLOOKUP(B420,'MASTER RECORD'!$B$5:$W$1000,11,0)),"")</f>
        <v/>
      </c>
      <c r="G420" s="36" t="str">
        <f t="shared" si="19"/>
        <v/>
      </c>
      <c r="H420" s="35" t="str">
        <f t="shared" si="21"/>
        <v/>
      </c>
      <c r="I420" s="35" t="str">
        <f>IFERROR(VLOOKUP(B420,'MASTER RECORD'!$B$5:$W$1000,14,0),"")</f>
        <v/>
      </c>
      <c r="J420" s="17"/>
      <c r="K420" s="17"/>
      <c r="L420" s="17"/>
      <c r="M420" s="17"/>
      <c r="N420" s="17"/>
      <c r="O420" s="17"/>
      <c r="P420" s="17"/>
      <c r="Q420" s="17"/>
      <c r="R420" s="17"/>
      <c r="S420" s="17"/>
      <c r="T420" s="17"/>
      <c r="U420" s="17"/>
      <c r="V420" s="17"/>
      <c r="W420" s="17"/>
      <c r="X420" s="17"/>
      <c r="Y420" s="17"/>
      <c r="Z420" s="17"/>
      <c r="AA420" s="17"/>
      <c r="AB420" s="17"/>
      <c r="AC420" s="17"/>
      <c r="AD420" s="17"/>
      <c r="AE420" s="17"/>
      <c r="AF420" s="17"/>
      <c r="AG420" s="17"/>
      <c r="AH420" s="17"/>
      <c r="AI420" s="17"/>
      <c r="AJ420" s="17"/>
      <c r="AK420" s="17"/>
      <c r="AL420" s="17"/>
      <c r="AM420" s="17"/>
      <c r="AN420" s="17"/>
      <c r="AO420" s="17"/>
      <c r="AP420" s="17"/>
      <c r="AQ420" s="17"/>
      <c r="AR420" s="17"/>
      <c r="AS420" s="17"/>
    </row>
    <row r="421" spans="1:45">
      <c r="A421" s="28">
        <f t="shared" si="20"/>
        <v>416</v>
      </c>
      <c r="B421" s="7"/>
      <c r="C421" s="35" t="str">
        <f>IFERROR(VLOOKUP(B421,'MASTER RECORD'!$B$5:$W$1000,3,0),"")</f>
        <v/>
      </c>
      <c r="D421" s="35" t="str">
        <f>IFERROR(VLOOKUP(B421,'MASTER RECORD'!$B$5:$W$1000,2,0),"")</f>
        <v/>
      </c>
      <c r="E421" s="36" t="str">
        <f>IFERROR(VLOOKUP(B421,'MASTER RECORD'!$B$5:$W$1000,9,0),"")</f>
        <v/>
      </c>
      <c r="F421" s="35" t="str">
        <f>IFERROR(VLOOKUP(B421,'MASTER RECORD'!$B$5:$W$1000,10,0) &amp;"."&amp;(VLOOKUP(B421,'MASTER RECORD'!$B$5:$W$1000,11,0)),"")</f>
        <v/>
      </c>
      <c r="G421" s="36" t="str">
        <f t="shared" si="19"/>
        <v/>
      </c>
      <c r="H421" s="35" t="str">
        <f t="shared" si="21"/>
        <v/>
      </c>
      <c r="I421" s="35" t="str">
        <f>IFERROR(VLOOKUP(B421,'MASTER RECORD'!$B$5:$W$1000,14,0),"")</f>
        <v/>
      </c>
      <c r="J421" s="17"/>
      <c r="K421" s="17"/>
      <c r="L421" s="17"/>
      <c r="M421" s="17"/>
      <c r="N421" s="17"/>
      <c r="O421" s="17"/>
      <c r="P421" s="17"/>
      <c r="Q421" s="17"/>
      <c r="R421" s="17"/>
      <c r="S421" s="17"/>
      <c r="T421" s="17"/>
      <c r="U421" s="17"/>
      <c r="V421" s="17"/>
      <c r="W421" s="17"/>
      <c r="X421" s="17"/>
      <c r="Y421" s="17"/>
      <c r="Z421" s="17"/>
      <c r="AA421" s="17"/>
      <c r="AB421" s="17"/>
      <c r="AC421" s="17"/>
      <c r="AD421" s="17"/>
      <c r="AE421" s="17"/>
      <c r="AF421" s="17"/>
      <c r="AG421" s="17"/>
      <c r="AH421" s="17"/>
      <c r="AI421" s="17"/>
      <c r="AJ421" s="17"/>
      <c r="AK421" s="17"/>
      <c r="AL421" s="17"/>
      <c r="AM421" s="17"/>
      <c r="AN421" s="17"/>
      <c r="AO421" s="17"/>
      <c r="AP421" s="17"/>
      <c r="AQ421" s="17"/>
      <c r="AR421" s="17"/>
      <c r="AS421" s="17"/>
    </row>
    <row r="422" spans="1:45">
      <c r="A422" s="28">
        <f t="shared" si="20"/>
        <v>417</v>
      </c>
      <c r="B422" s="7"/>
      <c r="C422" s="35" t="str">
        <f>IFERROR(VLOOKUP(B422,'MASTER RECORD'!$B$5:$W$1000,3,0),"")</f>
        <v/>
      </c>
      <c r="D422" s="35" t="str">
        <f>IFERROR(VLOOKUP(B422,'MASTER RECORD'!$B$5:$W$1000,2,0),"")</f>
        <v/>
      </c>
      <c r="E422" s="36" t="str">
        <f>IFERROR(VLOOKUP(B422,'MASTER RECORD'!$B$5:$W$1000,9,0),"")</f>
        <v/>
      </c>
      <c r="F422" s="35" t="str">
        <f>IFERROR(VLOOKUP(B422,'MASTER RECORD'!$B$5:$W$1000,10,0) &amp;"."&amp;(VLOOKUP(B422,'MASTER RECORD'!$B$5:$W$1000,11,0)),"")</f>
        <v/>
      </c>
      <c r="G422" s="36" t="str">
        <f t="shared" si="19"/>
        <v/>
      </c>
      <c r="H422" s="35" t="str">
        <f t="shared" si="21"/>
        <v/>
      </c>
      <c r="I422" s="35" t="str">
        <f>IFERROR(VLOOKUP(B422,'MASTER RECORD'!$B$5:$W$1000,14,0),"")</f>
        <v/>
      </c>
      <c r="J422" s="17"/>
      <c r="K422" s="17"/>
      <c r="L422" s="17"/>
      <c r="M422" s="17"/>
      <c r="N422" s="17"/>
      <c r="O422" s="17"/>
      <c r="P422" s="17"/>
      <c r="Q422" s="17"/>
      <c r="R422" s="17"/>
      <c r="S422" s="17"/>
      <c r="T422" s="17"/>
      <c r="U422" s="17"/>
      <c r="V422" s="17"/>
      <c r="W422" s="17"/>
      <c r="X422" s="17"/>
      <c r="Y422" s="17"/>
      <c r="Z422" s="17"/>
      <c r="AA422" s="17"/>
      <c r="AB422" s="17"/>
      <c r="AC422" s="17"/>
      <c r="AD422" s="17"/>
      <c r="AE422" s="17"/>
      <c r="AF422" s="17"/>
      <c r="AG422" s="17"/>
      <c r="AH422" s="17"/>
      <c r="AI422" s="17"/>
      <c r="AJ422" s="17"/>
      <c r="AK422" s="17"/>
      <c r="AL422" s="17"/>
      <c r="AM422" s="17"/>
      <c r="AN422" s="17"/>
      <c r="AO422" s="17"/>
      <c r="AP422" s="17"/>
      <c r="AQ422" s="17"/>
      <c r="AR422" s="17"/>
      <c r="AS422" s="17"/>
    </row>
    <row r="423" spans="1:45">
      <c r="A423" s="28">
        <f t="shared" si="20"/>
        <v>418</v>
      </c>
      <c r="B423" s="7"/>
      <c r="C423" s="35" t="str">
        <f>IFERROR(VLOOKUP(B423,'MASTER RECORD'!$B$5:$W$1000,3,0),"")</f>
        <v/>
      </c>
      <c r="D423" s="35" t="str">
        <f>IFERROR(VLOOKUP(B423,'MASTER RECORD'!$B$5:$W$1000,2,0),"")</f>
        <v/>
      </c>
      <c r="E423" s="36" t="str">
        <f>IFERROR(VLOOKUP(B423,'MASTER RECORD'!$B$5:$W$1000,9,0),"")</f>
        <v/>
      </c>
      <c r="F423" s="35" t="str">
        <f>IFERROR(VLOOKUP(B423,'MASTER RECORD'!$B$5:$W$1000,10,0) &amp;"."&amp;(VLOOKUP(B423,'MASTER RECORD'!$B$5:$W$1000,11,0)),"")</f>
        <v/>
      </c>
      <c r="G423" s="36" t="str">
        <f t="shared" si="19"/>
        <v/>
      </c>
      <c r="H423" s="35" t="str">
        <f t="shared" si="21"/>
        <v/>
      </c>
      <c r="I423" s="35" t="str">
        <f>IFERROR(VLOOKUP(B423,'MASTER RECORD'!$B$5:$W$1000,14,0),"")</f>
        <v/>
      </c>
      <c r="J423" s="17"/>
      <c r="K423" s="17"/>
      <c r="L423" s="17"/>
      <c r="M423" s="17"/>
      <c r="N423" s="17"/>
      <c r="O423" s="17"/>
      <c r="P423" s="17"/>
      <c r="Q423" s="17"/>
      <c r="R423" s="17"/>
      <c r="S423" s="17"/>
      <c r="T423" s="17"/>
      <c r="U423" s="17"/>
      <c r="V423" s="17"/>
      <c r="W423" s="17"/>
      <c r="X423" s="17"/>
      <c r="Y423" s="17"/>
      <c r="Z423" s="17"/>
      <c r="AA423" s="17"/>
      <c r="AB423" s="17"/>
      <c r="AC423" s="17"/>
      <c r="AD423" s="17"/>
      <c r="AE423" s="17"/>
      <c r="AF423" s="17"/>
      <c r="AG423" s="17"/>
      <c r="AH423" s="17"/>
      <c r="AI423" s="17"/>
      <c r="AJ423" s="17"/>
      <c r="AK423" s="17"/>
      <c r="AL423" s="17"/>
      <c r="AM423" s="17"/>
      <c r="AN423" s="17"/>
      <c r="AO423" s="17"/>
      <c r="AP423" s="17"/>
      <c r="AQ423" s="17"/>
      <c r="AR423" s="17"/>
      <c r="AS423" s="17"/>
    </row>
    <row r="424" spans="1:45">
      <c r="A424" s="28">
        <f t="shared" si="20"/>
        <v>419</v>
      </c>
      <c r="B424" s="7"/>
      <c r="C424" s="35" t="str">
        <f>IFERROR(VLOOKUP(B424,'MASTER RECORD'!$B$5:$W$1000,3,0),"")</f>
        <v/>
      </c>
      <c r="D424" s="35" t="str">
        <f>IFERROR(VLOOKUP(B424,'MASTER RECORD'!$B$5:$W$1000,2,0),"")</f>
        <v/>
      </c>
      <c r="E424" s="36" t="str">
        <f>IFERROR(VLOOKUP(B424,'MASTER RECORD'!$B$5:$W$1000,9,0),"")</f>
        <v/>
      </c>
      <c r="F424" s="35" t="str">
        <f>IFERROR(VLOOKUP(B424,'MASTER RECORD'!$B$5:$W$1000,10,0) &amp;"."&amp;(VLOOKUP(B424,'MASTER RECORD'!$B$5:$W$1000,11,0)),"")</f>
        <v/>
      </c>
      <c r="G424" s="36" t="str">
        <f t="shared" si="19"/>
        <v/>
      </c>
      <c r="H424" s="35" t="str">
        <f t="shared" si="21"/>
        <v/>
      </c>
      <c r="I424" s="35" t="str">
        <f>IFERROR(VLOOKUP(B424,'MASTER RECORD'!$B$5:$W$1000,14,0),"")</f>
        <v/>
      </c>
      <c r="J424" s="17"/>
      <c r="K424" s="17"/>
      <c r="L424" s="17"/>
      <c r="M424" s="17"/>
      <c r="N424" s="17"/>
      <c r="O424" s="17"/>
      <c r="P424" s="17"/>
      <c r="Q424" s="17"/>
      <c r="R424" s="17"/>
      <c r="S424" s="17"/>
      <c r="T424" s="17"/>
      <c r="U424" s="17"/>
      <c r="V424" s="17"/>
      <c r="W424" s="17"/>
      <c r="X424" s="17"/>
      <c r="Y424" s="17"/>
      <c r="Z424" s="17"/>
      <c r="AA424" s="17"/>
      <c r="AB424" s="17"/>
      <c r="AC424" s="17"/>
      <c r="AD424" s="17"/>
      <c r="AE424" s="17"/>
      <c r="AF424" s="17"/>
      <c r="AG424" s="17"/>
      <c r="AH424" s="17"/>
      <c r="AI424" s="17"/>
      <c r="AJ424" s="17"/>
      <c r="AK424" s="17"/>
      <c r="AL424" s="17"/>
      <c r="AM424" s="17"/>
      <c r="AN424" s="17"/>
      <c r="AO424" s="17"/>
      <c r="AP424" s="17"/>
      <c r="AQ424" s="17"/>
      <c r="AR424" s="17"/>
      <c r="AS424" s="17"/>
    </row>
    <row r="425" spans="1:45">
      <c r="A425" s="28">
        <f t="shared" si="20"/>
        <v>420</v>
      </c>
      <c r="B425" s="7"/>
      <c r="C425" s="35" t="str">
        <f>IFERROR(VLOOKUP(B425,'MASTER RECORD'!$B$5:$W$1000,3,0),"")</f>
        <v/>
      </c>
      <c r="D425" s="35" t="str">
        <f>IFERROR(VLOOKUP(B425,'MASTER RECORD'!$B$5:$W$1000,2,0),"")</f>
        <v/>
      </c>
      <c r="E425" s="36" t="str">
        <f>IFERROR(VLOOKUP(B425,'MASTER RECORD'!$B$5:$W$1000,9,0),"")</f>
        <v/>
      </c>
      <c r="F425" s="35" t="str">
        <f>IFERROR(VLOOKUP(B425,'MASTER RECORD'!$B$5:$W$1000,10,0) &amp;"."&amp;(VLOOKUP(B425,'MASTER RECORD'!$B$5:$W$1000,11,0)),"")</f>
        <v/>
      </c>
      <c r="G425" s="36" t="str">
        <f t="shared" si="19"/>
        <v/>
      </c>
      <c r="H425" s="35" t="str">
        <f t="shared" si="21"/>
        <v/>
      </c>
      <c r="I425" s="35" t="str">
        <f>IFERROR(VLOOKUP(B425,'MASTER RECORD'!$B$5:$W$1000,14,0),"")</f>
        <v/>
      </c>
      <c r="J425" s="17"/>
      <c r="K425" s="17"/>
      <c r="L425" s="17"/>
      <c r="M425" s="17"/>
      <c r="N425" s="17"/>
      <c r="O425" s="17"/>
      <c r="P425" s="17"/>
      <c r="Q425" s="17"/>
      <c r="R425" s="17"/>
      <c r="S425" s="17"/>
      <c r="T425" s="17"/>
      <c r="U425" s="17"/>
      <c r="V425" s="17"/>
      <c r="W425" s="17"/>
      <c r="X425" s="17"/>
      <c r="Y425" s="17"/>
      <c r="Z425" s="17"/>
      <c r="AA425" s="17"/>
      <c r="AB425" s="17"/>
      <c r="AC425" s="17"/>
      <c r="AD425" s="17"/>
      <c r="AE425" s="17"/>
      <c r="AF425" s="17"/>
      <c r="AG425" s="17"/>
      <c r="AH425" s="17"/>
      <c r="AI425" s="17"/>
      <c r="AJ425" s="17"/>
      <c r="AK425" s="17"/>
      <c r="AL425" s="17"/>
      <c r="AM425" s="17"/>
      <c r="AN425" s="17"/>
      <c r="AO425" s="17"/>
      <c r="AP425" s="17"/>
      <c r="AQ425" s="17"/>
      <c r="AR425" s="17"/>
      <c r="AS425" s="17"/>
    </row>
    <row r="426" spans="1:45">
      <c r="A426" s="28">
        <f t="shared" si="20"/>
        <v>421</v>
      </c>
      <c r="B426" s="7"/>
      <c r="C426" s="35" t="str">
        <f>IFERROR(VLOOKUP(B426,'MASTER RECORD'!$B$5:$W$1000,3,0),"")</f>
        <v/>
      </c>
      <c r="D426" s="35" t="str">
        <f>IFERROR(VLOOKUP(B426,'MASTER RECORD'!$B$5:$W$1000,2,0),"")</f>
        <v/>
      </c>
      <c r="E426" s="36" t="str">
        <f>IFERROR(VLOOKUP(B426,'MASTER RECORD'!$B$5:$W$1000,9,0),"")</f>
        <v/>
      </c>
      <c r="F426" s="35" t="str">
        <f>IFERROR(VLOOKUP(B426,'MASTER RECORD'!$B$5:$W$1000,10,0) &amp;"."&amp;(VLOOKUP(B426,'MASTER RECORD'!$B$5:$W$1000,11,0)),"")</f>
        <v/>
      </c>
      <c r="G426" s="36" t="str">
        <f t="shared" si="19"/>
        <v/>
      </c>
      <c r="H426" s="35" t="str">
        <f t="shared" si="21"/>
        <v/>
      </c>
      <c r="I426" s="35" t="str">
        <f>IFERROR(VLOOKUP(B426,'MASTER RECORD'!$B$5:$W$1000,14,0),"")</f>
        <v/>
      </c>
      <c r="J426" s="17"/>
      <c r="K426" s="17"/>
      <c r="L426" s="17"/>
      <c r="M426" s="17"/>
      <c r="N426" s="17"/>
      <c r="O426" s="17"/>
      <c r="P426" s="17"/>
      <c r="Q426" s="17"/>
      <c r="R426" s="17"/>
      <c r="S426" s="17"/>
      <c r="T426" s="17"/>
      <c r="U426" s="17"/>
      <c r="V426" s="17"/>
      <c r="W426" s="17"/>
      <c r="X426" s="17"/>
      <c r="Y426" s="17"/>
      <c r="Z426" s="17"/>
      <c r="AA426" s="17"/>
      <c r="AB426" s="17"/>
      <c r="AC426" s="17"/>
      <c r="AD426" s="17"/>
      <c r="AE426" s="17"/>
      <c r="AF426" s="17"/>
      <c r="AG426" s="17"/>
      <c r="AH426" s="17"/>
      <c r="AI426" s="17"/>
      <c r="AJ426" s="17"/>
      <c r="AK426" s="17"/>
      <c r="AL426" s="17"/>
      <c r="AM426" s="17"/>
      <c r="AN426" s="17"/>
      <c r="AO426" s="17"/>
      <c r="AP426" s="17"/>
      <c r="AQ426" s="17"/>
      <c r="AR426" s="17"/>
      <c r="AS426" s="17"/>
    </row>
    <row r="427" spans="1:45">
      <c r="A427" s="28">
        <f t="shared" si="20"/>
        <v>422</v>
      </c>
      <c r="B427" s="7"/>
      <c r="C427" s="35" t="str">
        <f>IFERROR(VLOOKUP(B427,'MASTER RECORD'!$B$5:$W$1000,3,0),"")</f>
        <v/>
      </c>
      <c r="D427" s="35" t="str">
        <f>IFERROR(VLOOKUP(B427,'MASTER RECORD'!$B$5:$W$1000,2,0),"")</f>
        <v/>
      </c>
      <c r="E427" s="36" t="str">
        <f>IFERROR(VLOOKUP(B427,'MASTER RECORD'!$B$5:$W$1000,9,0),"")</f>
        <v/>
      </c>
      <c r="F427" s="35" t="str">
        <f>IFERROR(VLOOKUP(B427,'MASTER RECORD'!$B$5:$W$1000,10,0) &amp;"."&amp;(VLOOKUP(B427,'MASTER RECORD'!$B$5:$W$1000,11,0)),"")</f>
        <v/>
      </c>
      <c r="G427" s="36" t="str">
        <f t="shared" si="19"/>
        <v/>
      </c>
      <c r="H427" s="35" t="str">
        <f t="shared" si="21"/>
        <v/>
      </c>
      <c r="I427" s="35" t="str">
        <f>IFERROR(VLOOKUP(B427,'MASTER RECORD'!$B$5:$W$1000,14,0),"")</f>
        <v/>
      </c>
      <c r="J427" s="17"/>
      <c r="K427" s="17"/>
      <c r="L427" s="17"/>
      <c r="M427" s="17"/>
      <c r="N427" s="17"/>
      <c r="O427" s="17"/>
      <c r="P427" s="17"/>
      <c r="Q427" s="17"/>
      <c r="R427" s="17"/>
      <c r="S427" s="17"/>
      <c r="T427" s="17"/>
      <c r="U427" s="17"/>
      <c r="V427" s="17"/>
      <c r="W427" s="17"/>
      <c r="X427" s="17"/>
      <c r="Y427" s="17"/>
      <c r="Z427" s="17"/>
      <c r="AA427" s="17"/>
      <c r="AB427" s="17"/>
      <c r="AC427" s="17"/>
      <c r="AD427" s="17"/>
      <c r="AE427" s="17"/>
      <c r="AF427" s="17"/>
      <c r="AG427" s="17"/>
      <c r="AH427" s="17"/>
      <c r="AI427" s="17"/>
      <c r="AJ427" s="17"/>
      <c r="AK427" s="17"/>
      <c r="AL427" s="17"/>
      <c r="AM427" s="17"/>
      <c r="AN427" s="17"/>
      <c r="AO427" s="17"/>
      <c r="AP427" s="17"/>
      <c r="AQ427" s="17"/>
      <c r="AR427" s="17"/>
      <c r="AS427" s="17"/>
    </row>
    <row r="428" spans="1:45">
      <c r="A428" s="28">
        <f t="shared" si="20"/>
        <v>423</v>
      </c>
      <c r="B428" s="7"/>
      <c r="C428" s="35" t="str">
        <f>IFERROR(VLOOKUP(B428,'MASTER RECORD'!$B$5:$W$1000,3,0),"")</f>
        <v/>
      </c>
      <c r="D428" s="35" t="str">
        <f>IFERROR(VLOOKUP(B428,'MASTER RECORD'!$B$5:$W$1000,2,0),"")</f>
        <v/>
      </c>
      <c r="E428" s="36" t="str">
        <f>IFERROR(VLOOKUP(B428,'MASTER RECORD'!$B$5:$W$1000,9,0),"")</f>
        <v/>
      </c>
      <c r="F428" s="35" t="str">
        <f>IFERROR(VLOOKUP(B428,'MASTER RECORD'!$B$5:$W$1000,10,0) &amp;"."&amp;(VLOOKUP(B428,'MASTER RECORD'!$B$5:$W$1000,11,0)),"")</f>
        <v/>
      </c>
      <c r="G428" s="36" t="str">
        <f t="shared" si="19"/>
        <v/>
      </c>
      <c r="H428" s="35" t="str">
        <f t="shared" si="21"/>
        <v/>
      </c>
      <c r="I428" s="35" t="str">
        <f>IFERROR(VLOOKUP(B428,'MASTER RECORD'!$B$5:$W$1000,14,0),"")</f>
        <v/>
      </c>
      <c r="J428" s="17"/>
      <c r="K428" s="17"/>
      <c r="L428" s="17"/>
      <c r="M428" s="17"/>
      <c r="N428" s="17"/>
      <c r="O428" s="17"/>
      <c r="P428" s="17"/>
      <c r="Q428" s="17"/>
      <c r="R428" s="17"/>
      <c r="S428" s="17"/>
      <c r="T428" s="17"/>
      <c r="U428" s="17"/>
      <c r="V428" s="17"/>
      <c r="W428" s="17"/>
      <c r="X428" s="17"/>
      <c r="Y428" s="17"/>
      <c r="Z428" s="17"/>
      <c r="AA428" s="17"/>
      <c r="AB428" s="17"/>
      <c r="AC428" s="17"/>
      <c r="AD428" s="17"/>
      <c r="AE428" s="17"/>
      <c r="AF428" s="17"/>
      <c r="AG428" s="17"/>
      <c r="AH428" s="17"/>
      <c r="AI428" s="17"/>
      <c r="AJ428" s="17"/>
      <c r="AK428" s="17"/>
      <c r="AL428" s="17"/>
      <c r="AM428" s="17"/>
      <c r="AN428" s="17"/>
      <c r="AO428" s="17"/>
      <c r="AP428" s="17"/>
      <c r="AQ428" s="17"/>
      <c r="AR428" s="17"/>
      <c r="AS428" s="17"/>
    </row>
    <row r="429" spans="1:45">
      <c r="A429" s="28">
        <f t="shared" si="20"/>
        <v>424</v>
      </c>
      <c r="B429" s="7"/>
      <c r="C429" s="35" t="str">
        <f>IFERROR(VLOOKUP(B429,'MASTER RECORD'!$B$5:$W$1000,3,0),"")</f>
        <v/>
      </c>
      <c r="D429" s="35" t="str">
        <f>IFERROR(VLOOKUP(B429,'MASTER RECORD'!$B$5:$W$1000,2,0),"")</f>
        <v/>
      </c>
      <c r="E429" s="36" t="str">
        <f>IFERROR(VLOOKUP(B429,'MASTER RECORD'!$B$5:$W$1000,9,0),"")</f>
        <v/>
      </c>
      <c r="F429" s="35" t="str">
        <f>IFERROR(VLOOKUP(B429,'MASTER RECORD'!$B$5:$W$1000,10,0) &amp;"."&amp;(VLOOKUP(B429,'MASTER RECORD'!$B$5:$W$1000,11,0)),"")</f>
        <v/>
      </c>
      <c r="G429" s="36" t="str">
        <f t="shared" si="19"/>
        <v/>
      </c>
      <c r="H429" s="35" t="str">
        <f t="shared" si="21"/>
        <v/>
      </c>
      <c r="I429" s="35" t="str">
        <f>IFERROR(VLOOKUP(B429,'MASTER RECORD'!$B$5:$W$1000,14,0),"")</f>
        <v/>
      </c>
      <c r="J429" s="17"/>
      <c r="K429" s="17"/>
      <c r="L429" s="17"/>
      <c r="M429" s="17"/>
      <c r="N429" s="17"/>
      <c r="O429" s="17"/>
      <c r="P429" s="17"/>
      <c r="Q429" s="17"/>
      <c r="R429" s="17"/>
      <c r="S429" s="17"/>
      <c r="T429" s="17"/>
      <c r="U429" s="17"/>
      <c r="V429" s="17"/>
      <c r="W429" s="17"/>
      <c r="X429" s="17"/>
      <c r="Y429" s="17"/>
      <c r="Z429" s="17"/>
      <c r="AA429" s="17"/>
      <c r="AB429" s="17"/>
      <c r="AC429" s="17"/>
      <c r="AD429" s="17"/>
      <c r="AE429" s="17"/>
      <c r="AF429" s="17"/>
      <c r="AG429" s="17"/>
      <c r="AH429" s="17"/>
      <c r="AI429" s="17"/>
      <c r="AJ429" s="17"/>
      <c r="AK429" s="17"/>
      <c r="AL429" s="17"/>
      <c r="AM429" s="17"/>
      <c r="AN429" s="17"/>
      <c r="AO429" s="17"/>
      <c r="AP429" s="17"/>
      <c r="AQ429" s="17"/>
      <c r="AR429" s="17"/>
      <c r="AS429" s="17"/>
    </row>
    <row r="430" spans="1:45">
      <c r="A430" s="28">
        <f t="shared" si="20"/>
        <v>425</v>
      </c>
      <c r="B430" s="7"/>
      <c r="C430" s="35" t="str">
        <f>IFERROR(VLOOKUP(B430,'MASTER RECORD'!$B$5:$W$1000,3,0),"")</f>
        <v/>
      </c>
      <c r="D430" s="35" t="str">
        <f>IFERROR(VLOOKUP(B430,'MASTER RECORD'!$B$5:$W$1000,2,0),"")</f>
        <v/>
      </c>
      <c r="E430" s="36" t="str">
        <f>IFERROR(VLOOKUP(B430,'MASTER RECORD'!$B$5:$W$1000,9,0),"")</f>
        <v/>
      </c>
      <c r="F430" s="35" t="str">
        <f>IFERROR(VLOOKUP(B430,'MASTER RECORD'!$B$5:$W$1000,10,0) &amp;"."&amp;(VLOOKUP(B430,'MASTER RECORD'!$B$5:$W$1000,11,0)),"")</f>
        <v/>
      </c>
      <c r="G430" s="36" t="str">
        <f t="shared" si="19"/>
        <v/>
      </c>
      <c r="H430" s="35" t="str">
        <f t="shared" si="21"/>
        <v/>
      </c>
      <c r="I430" s="35" t="str">
        <f>IFERROR(VLOOKUP(B430,'MASTER RECORD'!$B$5:$W$1000,14,0),"")</f>
        <v/>
      </c>
      <c r="J430" s="17"/>
      <c r="K430" s="17"/>
      <c r="L430" s="17"/>
      <c r="M430" s="17"/>
      <c r="N430" s="17"/>
      <c r="O430" s="17"/>
      <c r="P430" s="17"/>
      <c r="Q430" s="17"/>
      <c r="R430" s="17"/>
      <c r="S430" s="17"/>
      <c r="T430" s="17"/>
      <c r="U430" s="17"/>
      <c r="V430" s="17"/>
      <c r="W430" s="17"/>
      <c r="X430" s="17"/>
      <c r="Y430" s="17"/>
      <c r="Z430" s="17"/>
      <c r="AA430" s="17"/>
      <c r="AB430" s="17"/>
      <c r="AC430" s="17"/>
      <c r="AD430" s="17"/>
      <c r="AE430" s="17"/>
      <c r="AF430" s="17"/>
      <c r="AG430" s="17"/>
      <c r="AH430" s="17"/>
      <c r="AI430" s="17"/>
      <c r="AJ430" s="17"/>
      <c r="AK430" s="17"/>
      <c r="AL430" s="17"/>
      <c r="AM430" s="17"/>
      <c r="AN430" s="17"/>
      <c r="AO430" s="17"/>
      <c r="AP430" s="17"/>
      <c r="AQ430" s="17"/>
      <c r="AR430" s="17"/>
      <c r="AS430" s="17"/>
    </row>
    <row r="431" spans="1:45">
      <c r="A431" s="28">
        <f t="shared" si="20"/>
        <v>426</v>
      </c>
      <c r="B431" s="7"/>
      <c r="C431" s="35" t="str">
        <f>IFERROR(VLOOKUP(B431,'MASTER RECORD'!$B$5:$W$1000,3,0),"")</f>
        <v/>
      </c>
      <c r="D431" s="35" t="str">
        <f>IFERROR(VLOOKUP(B431,'MASTER RECORD'!$B$5:$W$1000,2,0),"")</f>
        <v/>
      </c>
      <c r="E431" s="36" t="str">
        <f>IFERROR(VLOOKUP(B431,'MASTER RECORD'!$B$5:$W$1000,9,0),"")</f>
        <v/>
      </c>
      <c r="F431" s="35" t="str">
        <f>IFERROR(VLOOKUP(B431,'MASTER RECORD'!$B$5:$W$1000,10,0) &amp;"."&amp;(VLOOKUP(B431,'MASTER RECORD'!$B$5:$W$1000,11,0)),"")</f>
        <v/>
      </c>
      <c r="G431" s="36" t="str">
        <f t="shared" si="19"/>
        <v/>
      </c>
      <c r="H431" s="35" t="str">
        <f t="shared" si="21"/>
        <v/>
      </c>
      <c r="I431" s="35" t="str">
        <f>IFERROR(VLOOKUP(B431,'MASTER RECORD'!$B$5:$W$1000,14,0),"")</f>
        <v/>
      </c>
      <c r="J431" s="17"/>
      <c r="K431" s="17"/>
      <c r="L431" s="17"/>
      <c r="M431" s="17"/>
      <c r="N431" s="17"/>
      <c r="O431" s="17"/>
      <c r="P431" s="17"/>
      <c r="Q431" s="17"/>
      <c r="R431" s="17"/>
      <c r="S431" s="17"/>
      <c r="T431" s="17"/>
      <c r="U431" s="17"/>
      <c r="V431" s="17"/>
      <c r="W431" s="17"/>
      <c r="X431" s="17"/>
      <c r="Y431" s="17"/>
      <c r="Z431" s="17"/>
      <c r="AA431" s="17"/>
      <c r="AB431" s="17"/>
      <c r="AC431" s="17"/>
      <c r="AD431" s="17"/>
      <c r="AE431" s="17"/>
      <c r="AF431" s="17"/>
      <c r="AG431" s="17"/>
      <c r="AH431" s="17"/>
      <c r="AI431" s="17"/>
      <c r="AJ431" s="17"/>
      <c r="AK431" s="17"/>
      <c r="AL431" s="17"/>
      <c r="AM431" s="17"/>
      <c r="AN431" s="17"/>
      <c r="AO431" s="17"/>
      <c r="AP431" s="17"/>
      <c r="AQ431" s="17"/>
      <c r="AR431" s="17"/>
      <c r="AS431" s="17"/>
    </row>
    <row r="432" spans="1:45">
      <c r="A432" s="28">
        <f t="shared" si="20"/>
        <v>427</v>
      </c>
      <c r="B432" s="7"/>
      <c r="C432" s="35" t="str">
        <f>IFERROR(VLOOKUP(B432,'MASTER RECORD'!$B$5:$W$1000,3,0),"")</f>
        <v/>
      </c>
      <c r="D432" s="35" t="str">
        <f>IFERROR(VLOOKUP(B432,'MASTER RECORD'!$B$5:$W$1000,2,0),"")</f>
        <v/>
      </c>
      <c r="E432" s="36" t="str">
        <f>IFERROR(VLOOKUP(B432,'MASTER RECORD'!$B$5:$W$1000,9,0),"")</f>
        <v/>
      </c>
      <c r="F432" s="35" t="str">
        <f>IFERROR(VLOOKUP(B432,'MASTER RECORD'!$B$5:$W$1000,10,0) &amp;"."&amp;(VLOOKUP(B432,'MASTER RECORD'!$B$5:$W$1000,11,0)),"")</f>
        <v/>
      </c>
      <c r="G432" s="36" t="str">
        <f t="shared" si="19"/>
        <v/>
      </c>
      <c r="H432" s="35" t="str">
        <f t="shared" si="21"/>
        <v/>
      </c>
      <c r="I432" s="35" t="str">
        <f>IFERROR(VLOOKUP(B432,'MASTER RECORD'!$B$5:$W$1000,14,0),"")</f>
        <v/>
      </c>
      <c r="J432" s="17"/>
      <c r="K432" s="17"/>
      <c r="L432" s="17"/>
      <c r="M432" s="17"/>
      <c r="N432" s="17"/>
      <c r="O432" s="17"/>
      <c r="P432" s="17"/>
      <c r="Q432" s="17"/>
      <c r="R432" s="17"/>
      <c r="S432" s="17"/>
      <c r="T432" s="17"/>
      <c r="U432" s="17"/>
      <c r="V432" s="17"/>
      <c r="W432" s="17"/>
      <c r="X432" s="17"/>
      <c r="Y432" s="17"/>
      <c r="Z432" s="17"/>
      <c r="AA432" s="17"/>
      <c r="AB432" s="17"/>
      <c r="AC432" s="17"/>
      <c r="AD432" s="17"/>
      <c r="AE432" s="17"/>
      <c r="AF432" s="17"/>
      <c r="AG432" s="17"/>
      <c r="AH432" s="17"/>
      <c r="AI432" s="17"/>
      <c r="AJ432" s="17"/>
      <c r="AK432" s="17"/>
      <c r="AL432" s="17"/>
      <c r="AM432" s="17"/>
      <c r="AN432" s="17"/>
      <c r="AO432" s="17"/>
      <c r="AP432" s="17"/>
      <c r="AQ432" s="17"/>
      <c r="AR432" s="17"/>
      <c r="AS432" s="17"/>
    </row>
    <row r="433" spans="1:45">
      <c r="A433" s="28">
        <f t="shared" si="20"/>
        <v>428</v>
      </c>
      <c r="B433" s="7"/>
      <c r="C433" s="35" t="str">
        <f>IFERROR(VLOOKUP(B433,'MASTER RECORD'!$B$5:$W$1000,3,0),"")</f>
        <v/>
      </c>
      <c r="D433" s="35" t="str">
        <f>IFERROR(VLOOKUP(B433,'MASTER RECORD'!$B$5:$W$1000,2,0),"")</f>
        <v/>
      </c>
      <c r="E433" s="36" t="str">
        <f>IFERROR(VLOOKUP(B433,'MASTER RECORD'!$B$5:$W$1000,9,0),"")</f>
        <v/>
      </c>
      <c r="F433" s="35" t="str">
        <f>IFERROR(VLOOKUP(B433,'MASTER RECORD'!$B$5:$W$1000,10,0) &amp;"."&amp;(VLOOKUP(B433,'MASTER RECORD'!$B$5:$W$1000,11,0)),"")</f>
        <v/>
      </c>
      <c r="G433" s="36" t="str">
        <f t="shared" si="19"/>
        <v/>
      </c>
      <c r="H433" s="35" t="str">
        <f t="shared" si="21"/>
        <v/>
      </c>
      <c r="I433" s="35" t="str">
        <f>IFERROR(VLOOKUP(B433,'MASTER RECORD'!$B$5:$W$1000,14,0),"")</f>
        <v/>
      </c>
      <c r="J433" s="17"/>
      <c r="K433" s="17"/>
      <c r="L433" s="17"/>
      <c r="M433" s="17"/>
      <c r="N433" s="17"/>
      <c r="O433" s="17"/>
      <c r="P433" s="17"/>
      <c r="Q433" s="17"/>
      <c r="R433" s="17"/>
      <c r="S433" s="17"/>
      <c r="T433" s="17"/>
      <c r="U433" s="17"/>
      <c r="V433" s="17"/>
      <c r="W433" s="17"/>
      <c r="X433" s="17"/>
      <c r="Y433" s="17"/>
      <c r="Z433" s="17"/>
      <c r="AA433" s="17"/>
      <c r="AB433" s="17"/>
      <c r="AC433" s="17"/>
      <c r="AD433" s="17"/>
      <c r="AE433" s="17"/>
      <c r="AF433" s="17"/>
      <c r="AG433" s="17"/>
      <c r="AH433" s="17"/>
      <c r="AI433" s="17"/>
      <c r="AJ433" s="17"/>
      <c r="AK433" s="17"/>
      <c r="AL433" s="17"/>
      <c r="AM433" s="17"/>
      <c r="AN433" s="17"/>
      <c r="AO433" s="17"/>
      <c r="AP433" s="17"/>
      <c r="AQ433" s="17"/>
      <c r="AR433" s="17"/>
      <c r="AS433" s="17"/>
    </row>
    <row r="434" spans="1:45">
      <c r="A434" s="28">
        <f t="shared" si="20"/>
        <v>429</v>
      </c>
      <c r="B434" s="7"/>
      <c r="C434" s="35" t="str">
        <f>IFERROR(VLOOKUP(B434,'MASTER RECORD'!$B$5:$W$1000,3,0),"")</f>
        <v/>
      </c>
      <c r="D434" s="35" t="str">
        <f>IFERROR(VLOOKUP(B434,'MASTER RECORD'!$B$5:$W$1000,2,0),"")</f>
        <v/>
      </c>
      <c r="E434" s="36" t="str">
        <f>IFERROR(VLOOKUP(B434,'MASTER RECORD'!$B$5:$W$1000,9,0),"")</f>
        <v/>
      </c>
      <c r="F434" s="35" t="str">
        <f>IFERROR(VLOOKUP(B434,'MASTER RECORD'!$B$5:$W$1000,10,0) &amp;"."&amp;(VLOOKUP(B434,'MASTER RECORD'!$B$5:$W$1000,11,0)),"")</f>
        <v/>
      </c>
      <c r="G434" s="36" t="str">
        <f t="shared" si="19"/>
        <v/>
      </c>
      <c r="H434" s="35" t="str">
        <f t="shared" si="21"/>
        <v/>
      </c>
      <c r="I434" s="35" t="str">
        <f>IFERROR(VLOOKUP(B434,'MASTER RECORD'!$B$5:$W$1000,14,0),"")</f>
        <v/>
      </c>
      <c r="J434" s="17"/>
      <c r="K434" s="17"/>
      <c r="L434" s="17"/>
      <c r="M434" s="17"/>
      <c r="N434" s="17"/>
      <c r="O434" s="17"/>
      <c r="P434" s="17"/>
      <c r="Q434" s="17"/>
      <c r="R434" s="17"/>
      <c r="S434" s="17"/>
      <c r="T434" s="17"/>
      <c r="U434" s="17"/>
      <c r="V434" s="17"/>
      <c r="W434" s="17"/>
      <c r="X434" s="17"/>
      <c r="Y434" s="17"/>
      <c r="Z434" s="17"/>
      <c r="AA434" s="17"/>
      <c r="AB434" s="17"/>
      <c r="AC434" s="17"/>
      <c r="AD434" s="17"/>
      <c r="AE434" s="17"/>
      <c r="AF434" s="17"/>
      <c r="AG434" s="17"/>
      <c r="AH434" s="17"/>
      <c r="AI434" s="17"/>
      <c r="AJ434" s="17"/>
      <c r="AK434" s="17"/>
      <c r="AL434" s="17"/>
      <c r="AM434" s="17"/>
      <c r="AN434" s="17"/>
      <c r="AO434" s="17"/>
      <c r="AP434" s="17"/>
      <c r="AQ434" s="17"/>
      <c r="AR434" s="17"/>
      <c r="AS434" s="17"/>
    </row>
    <row r="435" spans="1:45">
      <c r="A435" s="28">
        <f t="shared" si="20"/>
        <v>430</v>
      </c>
      <c r="B435" s="7"/>
      <c r="C435" s="35" t="str">
        <f>IFERROR(VLOOKUP(B435,'MASTER RECORD'!$B$5:$W$1000,3,0),"")</f>
        <v/>
      </c>
      <c r="D435" s="35" t="str">
        <f>IFERROR(VLOOKUP(B435,'MASTER RECORD'!$B$5:$W$1000,2,0),"")</f>
        <v/>
      </c>
      <c r="E435" s="36" t="str">
        <f>IFERROR(VLOOKUP(B435,'MASTER RECORD'!$B$5:$W$1000,9,0),"")</f>
        <v/>
      </c>
      <c r="F435" s="35" t="str">
        <f>IFERROR(VLOOKUP(B435,'MASTER RECORD'!$B$5:$W$1000,10,0) &amp;"."&amp;(VLOOKUP(B435,'MASTER RECORD'!$B$5:$W$1000,11,0)),"")</f>
        <v/>
      </c>
      <c r="G435" s="36" t="str">
        <f t="shared" si="19"/>
        <v/>
      </c>
      <c r="H435" s="35" t="str">
        <f t="shared" si="21"/>
        <v/>
      </c>
      <c r="I435" s="35" t="str">
        <f>IFERROR(VLOOKUP(B435,'MASTER RECORD'!$B$5:$W$1000,14,0),"")</f>
        <v/>
      </c>
      <c r="J435" s="17"/>
      <c r="K435" s="17"/>
      <c r="L435" s="17"/>
      <c r="M435" s="17"/>
      <c r="N435" s="17"/>
      <c r="O435" s="17"/>
      <c r="P435" s="17"/>
      <c r="Q435" s="17"/>
      <c r="R435" s="17"/>
      <c r="S435" s="17"/>
      <c r="T435" s="17"/>
      <c r="U435" s="17"/>
      <c r="V435" s="17"/>
      <c r="W435" s="17"/>
      <c r="X435" s="17"/>
      <c r="Y435" s="17"/>
      <c r="Z435" s="17"/>
      <c r="AA435" s="17"/>
      <c r="AB435" s="17"/>
      <c r="AC435" s="17"/>
      <c r="AD435" s="17"/>
      <c r="AE435" s="17"/>
      <c r="AF435" s="17"/>
      <c r="AG435" s="17"/>
      <c r="AH435" s="17"/>
      <c r="AI435" s="17"/>
      <c r="AJ435" s="17"/>
      <c r="AK435" s="17"/>
      <c r="AL435" s="17"/>
      <c r="AM435" s="17"/>
      <c r="AN435" s="17"/>
      <c r="AO435" s="17"/>
      <c r="AP435" s="17"/>
      <c r="AQ435" s="17"/>
      <c r="AR435" s="17"/>
      <c r="AS435" s="17"/>
    </row>
    <row r="436" spans="1:45">
      <c r="A436" s="28">
        <f t="shared" si="20"/>
        <v>431</v>
      </c>
      <c r="B436" s="7"/>
      <c r="C436" s="35" t="str">
        <f>IFERROR(VLOOKUP(B436,'MASTER RECORD'!$B$5:$W$1000,3,0),"")</f>
        <v/>
      </c>
      <c r="D436" s="35" t="str">
        <f>IFERROR(VLOOKUP(B436,'MASTER RECORD'!$B$5:$W$1000,2,0),"")</f>
        <v/>
      </c>
      <c r="E436" s="36" t="str">
        <f>IFERROR(VLOOKUP(B436,'MASTER RECORD'!$B$5:$W$1000,9,0),"")</f>
        <v/>
      </c>
      <c r="F436" s="35" t="str">
        <f>IFERROR(VLOOKUP(B436,'MASTER RECORD'!$B$5:$W$1000,10,0) &amp;"."&amp;(VLOOKUP(B436,'MASTER RECORD'!$B$5:$W$1000,11,0)),"")</f>
        <v/>
      </c>
      <c r="G436" s="36" t="str">
        <f t="shared" si="19"/>
        <v/>
      </c>
      <c r="H436" s="35" t="str">
        <f t="shared" si="21"/>
        <v/>
      </c>
      <c r="I436" s="35" t="str">
        <f>IFERROR(VLOOKUP(B436,'MASTER RECORD'!$B$5:$W$1000,14,0),"")</f>
        <v/>
      </c>
      <c r="J436" s="17"/>
      <c r="K436" s="17"/>
      <c r="L436" s="17"/>
      <c r="M436" s="17"/>
      <c r="N436" s="17"/>
      <c r="O436" s="17"/>
      <c r="P436" s="17"/>
      <c r="Q436" s="17"/>
      <c r="R436" s="17"/>
      <c r="S436" s="17"/>
      <c r="T436" s="17"/>
      <c r="U436" s="17"/>
      <c r="V436" s="17"/>
      <c r="W436" s="17"/>
      <c r="X436" s="17"/>
      <c r="Y436" s="17"/>
      <c r="Z436" s="17"/>
      <c r="AA436" s="17"/>
      <c r="AB436" s="17"/>
      <c r="AC436" s="17"/>
      <c r="AD436" s="17"/>
      <c r="AE436" s="17"/>
      <c r="AF436" s="17"/>
      <c r="AG436" s="17"/>
      <c r="AH436" s="17"/>
      <c r="AI436" s="17"/>
      <c r="AJ436" s="17"/>
      <c r="AK436" s="17"/>
      <c r="AL436" s="17"/>
      <c r="AM436" s="17"/>
      <c r="AN436" s="17"/>
      <c r="AO436" s="17"/>
      <c r="AP436" s="17"/>
      <c r="AQ436" s="17"/>
      <c r="AR436" s="17"/>
      <c r="AS436" s="17"/>
    </row>
    <row r="437" spans="1:45">
      <c r="A437" s="28">
        <f t="shared" si="20"/>
        <v>432</v>
      </c>
      <c r="B437" s="7"/>
      <c r="C437" s="35" t="str">
        <f>IFERROR(VLOOKUP(B437,'MASTER RECORD'!$B$5:$W$1000,3,0),"")</f>
        <v/>
      </c>
      <c r="D437" s="35" t="str">
        <f>IFERROR(VLOOKUP(B437,'MASTER RECORD'!$B$5:$W$1000,2,0),"")</f>
        <v/>
      </c>
      <c r="E437" s="36" t="str">
        <f>IFERROR(VLOOKUP(B437,'MASTER RECORD'!$B$5:$W$1000,9,0),"")</f>
        <v/>
      </c>
      <c r="F437" s="35" t="str">
        <f>IFERROR(VLOOKUP(B437,'MASTER RECORD'!$B$5:$W$1000,10,0) &amp;"."&amp;(VLOOKUP(B437,'MASTER RECORD'!$B$5:$W$1000,11,0)),"")</f>
        <v/>
      </c>
      <c r="G437" s="36" t="str">
        <f t="shared" si="19"/>
        <v/>
      </c>
      <c r="H437" s="35" t="str">
        <f t="shared" si="21"/>
        <v/>
      </c>
      <c r="I437" s="35" t="str">
        <f>IFERROR(VLOOKUP(B437,'MASTER RECORD'!$B$5:$W$1000,14,0),"")</f>
        <v/>
      </c>
      <c r="J437" s="17"/>
      <c r="K437" s="17"/>
      <c r="L437" s="17"/>
      <c r="M437" s="17"/>
      <c r="N437" s="17"/>
      <c r="O437" s="17"/>
      <c r="P437" s="17"/>
      <c r="Q437" s="17"/>
      <c r="R437" s="17"/>
      <c r="S437" s="17"/>
      <c r="T437" s="17"/>
      <c r="U437" s="17"/>
      <c r="V437" s="17"/>
      <c r="W437" s="17"/>
      <c r="X437" s="17"/>
      <c r="Y437" s="17"/>
      <c r="Z437" s="17"/>
      <c r="AA437" s="17"/>
      <c r="AB437" s="17"/>
      <c r="AC437" s="17"/>
      <c r="AD437" s="17"/>
      <c r="AE437" s="17"/>
      <c r="AF437" s="17"/>
      <c r="AG437" s="17"/>
      <c r="AH437" s="17"/>
      <c r="AI437" s="17"/>
      <c r="AJ437" s="17"/>
      <c r="AK437" s="17"/>
      <c r="AL437" s="17"/>
      <c r="AM437" s="17"/>
      <c r="AN437" s="17"/>
      <c r="AO437" s="17"/>
      <c r="AP437" s="17"/>
      <c r="AQ437" s="17"/>
      <c r="AR437" s="17"/>
      <c r="AS437" s="17"/>
    </row>
    <row r="438" spans="1:45">
      <c r="A438" s="28">
        <f t="shared" si="20"/>
        <v>433</v>
      </c>
      <c r="B438" s="7"/>
      <c r="C438" s="35" t="str">
        <f>IFERROR(VLOOKUP(B438,'MASTER RECORD'!$B$5:$W$1000,3,0),"")</f>
        <v/>
      </c>
      <c r="D438" s="35" t="str">
        <f>IFERROR(VLOOKUP(B438,'MASTER RECORD'!$B$5:$W$1000,2,0),"")</f>
        <v/>
      </c>
      <c r="E438" s="36" t="str">
        <f>IFERROR(VLOOKUP(B438,'MASTER RECORD'!$B$5:$W$1000,9,0),"")</f>
        <v/>
      </c>
      <c r="F438" s="35" t="str">
        <f>IFERROR(VLOOKUP(B438,'MASTER RECORD'!$B$5:$W$1000,10,0) &amp;"."&amp;(VLOOKUP(B438,'MASTER RECORD'!$B$5:$W$1000,11,0)),"")</f>
        <v/>
      </c>
      <c r="G438" s="36" t="str">
        <f t="shared" si="19"/>
        <v/>
      </c>
      <c r="H438" s="35" t="str">
        <f t="shared" si="21"/>
        <v/>
      </c>
      <c r="I438" s="35" t="str">
        <f>IFERROR(VLOOKUP(B438,'MASTER RECORD'!$B$5:$W$1000,14,0),"")</f>
        <v/>
      </c>
      <c r="J438" s="17"/>
      <c r="K438" s="17"/>
      <c r="L438" s="17"/>
      <c r="M438" s="17"/>
      <c r="N438" s="17"/>
      <c r="O438" s="17"/>
      <c r="P438" s="17"/>
      <c r="Q438" s="17"/>
      <c r="R438" s="17"/>
      <c r="S438" s="17"/>
      <c r="T438" s="17"/>
      <c r="U438" s="17"/>
      <c r="V438" s="17"/>
      <c r="W438" s="17"/>
      <c r="X438" s="17"/>
      <c r="Y438" s="17"/>
      <c r="Z438" s="17"/>
      <c r="AA438" s="17"/>
      <c r="AB438" s="17"/>
      <c r="AC438" s="17"/>
      <c r="AD438" s="17"/>
      <c r="AE438" s="17"/>
      <c r="AF438" s="17"/>
      <c r="AG438" s="17"/>
      <c r="AH438" s="17"/>
      <c r="AI438" s="17"/>
      <c r="AJ438" s="17"/>
      <c r="AK438" s="17"/>
      <c r="AL438" s="17"/>
      <c r="AM438" s="17"/>
      <c r="AN438" s="17"/>
      <c r="AO438" s="17"/>
      <c r="AP438" s="17"/>
      <c r="AQ438" s="17"/>
      <c r="AR438" s="17"/>
      <c r="AS438" s="17"/>
    </row>
    <row r="439" spans="1:45">
      <c r="A439" s="28">
        <f t="shared" si="20"/>
        <v>434</v>
      </c>
      <c r="B439" s="7"/>
      <c r="C439" s="35" t="str">
        <f>IFERROR(VLOOKUP(B439,'MASTER RECORD'!$B$5:$W$1000,3,0),"")</f>
        <v/>
      </c>
      <c r="D439" s="35" t="str">
        <f>IFERROR(VLOOKUP(B439,'MASTER RECORD'!$B$5:$W$1000,2,0),"")</f>
        <v/>
      </c>
      <c r="E439" s="36" t="str">
        <f>IFERROR(VLOOKUP(B439,'MASTER RECORD'!$B$5:$W$1000,9,0),"")</f>
        <v/>
      </c>
      <c r="F439" s="35" t="str">
        <f>IFERROR(VLOOKUP(B439,'MASTER RECORD'!$B$5:$W$1000,10,0) &amp;"."&amp;(VLOOKUP(B439,'MASTER RECORD'!$B$5:$W$1000,11,0)),"")</f>
        <v/>
      </c>
      <c r="G439" s="36" t="str">
        <f t="shared" si="19"/>
        <v/>
      </c>
      <c r="H439" s="35" t="str">
        <f t="shared" si="21"/>
        <v/>
      </c>
      <c r="I439" s="35" t="str">
        <f>IFERROR(VLOOKUP(B439,'MASTER RECORD'!$B$5:$W$1000,14,0),"")</f>
        <v/>
      </c>
      <c r="J439" s="17"/>
      <c r="K439" s="17"/>
      <c r="L439" s="17"/>
      <c r="M439" s="17"/>
      <c r="N439" s="17"/>
      <c r="O439" s="17"/>
      <c r="P439" s="17"/>
      <c r="Q439" s="17"/>
      <c r="R439" s="17"/>
      <c r="S439" s="17"/>
      <c r="T439" s="17"/>
      <c r="U439" s="17"/>
      <c r="V439" s="17"/>
      <c r="W439" s="17"/>
      <c r="X439" s="17"/>
      <c r="Y439" s="17"/>
      <c r="Z439" s="17"/>
      <c r="AA439" s="17"/>
      <c r="AB439" s="17"/>
      <c r="AC439" s="17"/>
      <c r="AD439" s="17"/>
      <c r="AE439" s="17"/>
      <c r="AF439" s="17"/>
      <c r="AG439" s="17"/>
      <c r="AH439" s="17"/>
      <c r="AI439" s="17"/>
      <c r="AJ439" s="17"/>
      <c r="AK439" s="17"/>
      <c r="AL439" s="17"/>
      <c r="AM439" s="17"/>
      <c r="AN439" s="17"/>
      <c r="AO439" s="17"/>
      <c r="AP439" s="17"/>
      <c r="AQ439" s="17"/>
      <c r="AR439" s="17"/>
      <c r="AS439" s="17"/>
    </row>
    <row r="440" spans="1:45">
      <c r="A440" s="28">
        <f t="shared" si="20"/>
        <v>435</v>
      </c>
      <c r="B440" s="7"/>
      <c r="C440" s="35" t="str">
        <f>IFERROR(VLOOKUP(B440,'MASTER RECORD'!$B$5:$W$1000,3,0),"")</f>
        <v/>
      </c>
      <c r="D440" s="35" t="str">
        <f>IFERROR(VLOOKUP(B440,'MASTER RECORD'!$B$5:$W$1000,2,0),"")</f>
        <v/>
      </c>
      <c r="E440" s="36" t="str">
        <f>IFERROR(VLOOKUP(B440,'MASTER RECORD'!$B$5:$W$1000,9,0),"")</f>
        <v/>
      </c>
      <c r="F440" s="35" t="str">
        <f>IFERROR(VLOOKUP(B440,'MASTER RECORD'!$B$5:$W$1000,10,0) &amp;"."&amp;(VLOOKUP(B440,'MASTER RECORD'!$B$5:$W$1000,11,0)),"")</f>
        <v/>
      </c>
      <c r="G440" s="36" t="str">
        <f t="shared" si="19"/>
        <v/>
      </c>
      <c r="H440" s="35" t="str">
        <f t="shared" si="21"/>
        <v/>
      </c>
      <c r="I440" s="35" t="str">
        <f>IFERROR(VLOOKUP(B440,'MASTER RECORD'!$B$5:$W$1000,14,0),"")</f>
        <v/>
      </c>
      <c r="J440" s="17"/>
      <c r="K440" s="17"/>
      <c r="L440" s="17"/>
      <c r="M440" s="17"/>
      <c r="N440" s="17"/>
      <c r="O440" s="17"/>
      <c r="P440" s="17"/>
      <c r="Q440" s="17"/>
      <c r="R440" s="17"/>
      <c r="S440" s="17"/>
      <c r="T440" s="17"/>
      <c r="U440" s="17"/>
      <c r="V440" s="17"/>
      <c r="W440" s="17"/>
      <c r="X440" s="17"/>
      <c r="Y440" s="17"/>
      <c r="Z440" s="17"/>
      <c r="AA440" s="17"/>
      <c r="AB440" s="17"/>
      <c r="AC440" s="17"/>
      <c r="AD440" s="17"/>
      <c r="AE440" s="17"/>
      <c r="AF440" s="17"/>
      <c r="AG440" s="17"/>
      <c r="AH440" s="17"/>
      <c r="AI440" s="17"/>
      <c r="AJ440" s="17"/>
      <c r="AK440" s="17"/>
      <c r="AL440" s="17"/>
      <c r="AM440" s="17"/>
      <c r="AN440" s="17"/>
      <c r="AO440" s="17"/>
      <c r="AP440" s="17"/>
      <c r="AQ440" s="17"/>
      <c r="AR440" s="17"/>
      <c r="AS440" s="17"/>
    </row>
    <row r="441" spans="1:45">
      <c r="A441" s="28">
        <f t="shared" si="20"/>
        <v>436</v>
      </c>
      <c r="B441" s="7"/>
      <c r="C441" s="35" t="str">
        <f>IFERROR(VLOOKUP(B441,'MASTER RECORD'!$B$5:$W$1000,3,0),"")</f>
        <v/>
      </c>
      <c r="D441" s="35" t="str">
        <f>IFERROR(VLOOKUP(B441,'MASTER RECORD'!$B$5:$W$1000,2,0),"")</f>
        <v/>
      </c>
      <c r="E441" s="36" t="str">
        <f>IFERROR(VLOOKUP(B441,'MASTER RECORD'!$B$5:$W$1000,9,0),"")</f>
        <v/>
      </c>
      <c r="F441" s="35" t="str">
        <f>IFERROR(VLOOKUP(B441,'MASTER RECORD'!$B$5:$W$1000,10,0) &amp;"."&amp;(VLOOKUP(B441,'MASTER RECORD'!$B$5:$W$1000,11,0)),"")</f>
        <v/>
      </c>
      <c r="G441" s="36" t="str">
        <f t="shared" si="19"/>
        <v/>
      </c>
      <c r="H441" s="35" t="str">
        <f t="shared" si="21"/>
        <v/>
      </c>
      <c r="I441" s="35" t="str">
        <f>IFERROR(VLOOKUP(B441,'MASTER RECORD'!$B$5:$W$1000,14,0),"")</f>
        <v/>
      </c>
      <c r="J441" s="17"/>
      <c r="K441" s="17"/>
      <c r="L441" s="17"/>
      <c r="M441" s="17"/>
      <c r="N441" s="17"/>
      <c r="O441" s="17"/>
      <c r="P441" s="17"/>
      <c r="Q441" s="17"/>
      <c r="R441" s="17"/>
      <c r="S441" s="17"/>
      <c r="T441" s="17"/>
      <c r="U441" s="17"/>
      <c r="V441" s="17"/>
      <c r="W441" s="17"/>
      <c r="X441" s="17"/>
      <c r="Y441" s="17"/>
      <c r="Z441" s="17"/>
      <c r="AA441" s="17"/>
      <c r="AB441" s="17"/>
      <c r="AC441" s="17"/>
      <c r="AD441" s="17"/>
      <c r="AE441" s="17"/>
      <c r="AF441" s="17"/>
      <c r="AG441" s="17"/>
      <c r="AH441" s="17"/>
      <c r="AI441" s="17"/>
      <c r="AJ441" s="17"/>
      <c r="AK441" s="17"/>
      <c r="AL441" s="17"/>
      <c r="AM441" s="17"/>
      <c r="AN441" s="17"/>
      <c r="AO441" s="17"/>
      <c r="AP441" s="17"/>
      <c r="AQ441" s="17"/>
      <c r="AR441" s="17"/>
      <c r="AS441" s="17"/>
    </row>
    <row r="442" spans="1:45">
      <c r="A442" s="28">
        <f t="shared" si="20"/>
        <v>437</v>
      </c>
      <c r="B442" s="7"/>
      <c r="C442" s="35" t="str">
        <f>IFERROR(VLOOKUP(B442,'MASTER RECORD'!$B$5:$W$1000,3,0),"")</f>
        <v/>
      </c>
      <c r="D442" s="35" t="str">
        <f>IFERROR(VLOOKUP(B442,'MASTER RECORD'!$B$5:$W$1000,2,0),"")</f>
        <v/>
      </c>
      <c r="E442" s="36" t="str">
        <f>IFERROR(VLOOKUP(B442,'MASTER RECORD'!$B$5:$W$1000,9,0),"")</f>
        <v/>
      </c>
      <c r="F442" s="35" t="str">
        <f>IFERROR(VLOOKUP(B442,'MASTER RECORD'!$B$5:$W$1000,10,0) &amp;"."&amp;(VLOOKUP(B442,'MASTER RECORD'!$B$5:$W$1000,11,0)),"")</f>
        <v/>
      </c>
      <c r="G442" s="36" t="str">
        <f t="shared" si="19"/>
        <v/>
      </c>
      <c r="H442" s="35" t="str">
        <f t="shared" si="21"/>
        <v/>
      </c>
      <c r="I442" s="35" t="str">
        <f>IFERROR(VLOOKUP(B442,'MASTER RECORD'!$B$5:$W$1000,14,0),"")</f>
        <v/>
      </c>
      <c r="J442" s="17"/>
      <c r="K442" s="17"/>
      <c r="L442" s="17"/>
      <c r="M442" s="17"/>
      <c r="N442" s="17"/>
      <c r="O442" s="17"/>
      <c r="P442" s="17"/>
      <c r="Q442" s="17"/>
      <c r="R442" s="17"/>
      <c r="S442" s="17"/>
      <c r="T442" s="17"/>
      <c r="U442" s="17"/>
      <c r="V442" s="17"/>
      <c r="W442" s="17"/>
      <c r="X442" s="17"/>
      <c r="Y442" s="17"/>
      <c r="Z442" s="17"/>
      <c r="AA442" s="17"/>
      <c r="AB442" s="17"/>
      <c r="AC442" s="17"/>
      <c r="AD442" s="17"/>
      <c r="AE442" s="17"/>
      <c r="AF442" s="17"/>
      <c r="AG442" s="17"/>
      <c r="AH442" s="17"/>
      <c r="AI442" s="17"/>
      <c r="AJ442" s="17"/>
      <c r="AK442" s="17"/>
      <c r="AL442" s="17"/>
      <c r="AM442" s="17"/>
      <c r="AN442" s="17"/>
      <c r="AO442" s="17"/>
      <c r="AP442" s="17"/>
      <c r="AQ442" s="17"/>
      <c r="AR442" s="17"/>
      <c r="AS442" s="17"/>
    </row>
    <row r="443" spans="1:45">
      <c r="A443" s="28">
        <f t="shared" si="20"/>
        <v>438</v>
      </c>
      <c r="B443" s="7"/>
      <c r="C443" s="35" t="str">
        <f>IFERROR(VLOOKUP(B443,'MASTER RECORD'!$B$5:$W$1000,3,0),"")</f>
        <v/>
      </c>
      <c r="D443" s="35" t="str">
        <f>IFERROR(VLOOKUP(B443,'MASTER RECORD'!$B$5:$W$1000,2,0),"")</f>
        <v/>
      </c>
      <c r="E443" s="36" t="str">
        <f>IFERROR(VLOOKUP(B443,'MASTER RECORD'!$B$5:$W$1000,9,0),"")</f>
        <v/>
      </c>
      <c r="F443" s="35" t="str">
        <f>IFERROR(VLOOKUP(B443,'MASTER RECORD'!$B$5:$W$1000,10,0) &amp;"."&amp;(VLOOKUP(B443,'MASTER RECORD'!$B$5:$W$1000,11,0)),"")</f>
        <v/>
      </c>
      <c r="G443" s="36" t="str">
        <f t="shared" si="19"/>
        <v/>
      </c>
      <c r="H443" s="35" t="str">
        <f t="shared" si="21"/>
        <v/>
      </c>
      <c r="I443" s="35" t="str">
        <f>IFERROR(VLOOKUP(B443,'MASTER RECORD'!$B$5:$W$1000,14,0),"")</f>
        <v/>
      </c>
      <c r="J443" s="17"/>
      <c r="K443" s="17"/>
      <c r="L443" s="17"/>
      <c r="M443" s="17"/>
      <c r="N443" s="17"/>
      <c r="O443" s="17"/>
      <c r="P443" s="17"/>
      <c r="Q443" s="17"/>
      <c r="R443" s="17"/>
      <c r="S443" s="17"/>
      <c r="T443" s="17"/>
      <c r="U443" s="17"/>
      <c r="V443" s="17"/>
      <c r="W443" s="17"/>
      <c r="X443" s="17"/>
      <c r="Y443" s="17"/>
      <c r="Z443" s="17"/>
      <c r="AA443" s="17"/>
      <c r="AB443" s="17"/>
      <c r="AC443" s="17"/>
      <c r="AD443" s="17"/>
      <c r="AE443" s="17"/>
      <c r="AF443" s="17"/>
      <c r="AG443" s="17"/>
      <c r="AH443" s="17"/>
      <c r="AI443" s="17"/>
      <c r="AJ443" s="17"/>
      <c r="AK443" s="17"/>
      <c r="AL443" s="17"/>
      <c r="AM443" s="17"/>
      <c r="AN443" s="17"/>
      <c r="AO443" s="17"/>
      <c r="AP443" s="17"/>
      <c r="AQ443" s="17"/>
      <c r="AR443" s="17"/>
      <c r="AS443" s="17"/>
    </row>
    <row r="444" spans="1:45">
      <c r="A444" s="28">
        <f t="shared" si="20"/>
        <v>439</v>
      </c>
      <c r="B444" s="7"/>
      <c r="C444" s="35" t="str">
        <f>IFERROR(VLOOKUP(B444,'MASTER RECORD'!$B$5:$W$1000,3,0),"")</f>
        <v/>
      </c>
      <c r="D444" s="35" t="str">
        <f>IFERROR(VLOOKUP(B444,'MASTER RECORD'!$B$5:$W$1000,2,0),"")</f>
        <v/>
      </c>
      <c r="E444" s="36" t="str">
        <f>IFERROR(VLOOKUP(B444,'MASTER RECORD'!$B$5:$W$1000,9,0),"")</f>
        <v/>
      </c>
      <c r="F444" s="35" t="str">
        <f>IFERROR(VLOOKUP(B444,'MASTER RECORD'!$B$5:$W$1000,10,0) &amp;"."&amp;(VLOOKUP(B444,'MASTER RECORD'!$B$5:$W$1000,11,0)),"")</f>
        <v/>
      </c>
      <c r="G444" s="36" t="str">
        <f t="shared" si="19"/>
        <v/>
      </c>
      <c r="H444" s="35" t="str">
        <f t="shared" si="21"/>
        <v/>
      </c>
      <c r="I444" s="35" t="str">
        <f>IFERROR(VLOOKUP(B444,'MASTER RECORD'!$B$5:$W$1000,14,0),"")</f>
        <v/>
      </c>
      <c r="J444" s="17"/>
      <c r="K444" s="17"/>
      <c r="L444" s="17"/>
      <c r="M444" s="17"/>
      <c r="N444" s="17"/>
      <c r="O444" s="17"/>
      <c r="P444" s="17"/>
      <c r="Q444" s="17"/>
      <c r="R444" s="17"/>
      <c r="S444" s="17"/>
      <c r="T444" s="17"/>
      <c r="U444" s="17"/>
      <c r="V444" s="17"/>
      <c r="W444" s="17"/>
      <c r="X444" s="17"/>
      <c r="Y444" s="17"/>
      <c r="Z444" s="17"/>
      <c r="AA444" s="17"/>
      <c r="AB444" s="17"/>
      <c r="AC444" s="17"/>
      <c r="AD444" s="17"/>
      <c r="AE444" s="17"/>
      <c r="AF444" s="17"/>
      <c r="AG444" s="17"/>
      <c r="AH444" s="17"/>
      <c r="AI444" s="17"/>
      <c r="AJ444" s="17"/>
      <c r="AK444" s="17"/>
      <c r="AL444" s="17"/>
      <c r="AM444" s="17"/>
      <c r="AN444" s="17"/>
      <c r="AO444" s="17"/>
      <c r="AP444" s="17"/>
      <c r="AQ444" s="17"/>
      <c r="AR444" s="17"/>
      <c r="AS444" s="17"/>
    </row>
    <row r="445" spans="1:45">
      <c r="A445" s="28">
        <f t="shared" si="20"/>
        <v>440</v>
      </c>
      <c r="B445" s="7"/>
      <c r="C445" s="35" t="str">
        <f>IFERROR(VLOOKUP(B445,'MASTER RECORD'!$B$5:$W$1000,3,0),"")</f>
        <v/>
      </c>
      <c r="D445" s="35" t="str">
        <f>IFERROR(VLOOKUP(B445,'MASTER RECORD'!$B$5:$W$1000,2,0),"")</f>
        <v/>
      </c>
      <c r="E445" s="36" t="str">
        <f>IFERROR(VLOOKUP(B445,'MASTER RECORD'!$B$5:$W$1000,9,0),"")</f>
        <v/>
      </c>
      <c r="F445" s="35" t="str">
        <f>IFERROR(VLOOKUP(B445,'MASTER RECORD'!$B$5:$W$1000,10,0) &amp;"."&amp;(VLOOKUP(B445,'MASTER RECORD'!$B$5:$W$1000,11,0)),"")</f>
        <v/>
      </c>
      <c r="G445" s="36" t="str">
        <f t="shared" si="19"/>
        <v/>
      </c>
      <c r="H445" s="35" t="str">
        <f t="shared" si="21"/>
        <v/>
      </c>
      <c r="I445" s="35" t="str">
        <f>IFERROR(VLOOKUP(B445,'MASTER RECORD'!$B$5:$W$1000,14,0),"")</f>
        <v/>
      </c>
      <c r="J445" s="17"/>
      <c r="K445" s="17"/>
      <c r="L445" s="17"/>
      <c r="M445" s="17"/>
      <c r="N445" s="17"/>
      <c r="O445" s="17"/>
      <c r="P445" s="17"/>
      <c r="Q445" s="17"/>
      <c r="R445" s="17"/>
      <c r="S445" s="17"/>
      <c r="T445" s="17"/>
      <c r="U445" s="17"/>
      <c r="V445" s="17"/>
      <c r="W445" s="17"/>
      <c r="X445" s="17"/>
      <c r="Y445" s="17"/>
      <c r="Z445" s="17"/>
      <c r="AA445" s="17"/>
      <c r="AB445" s="17"/>
      <c r="AC445" s="17"/>
      <c r="AD445" s="17"/>
      <c r="AE445" s="17"/>
      <c r="AF445" s="17"/>
      <c r="AG445" s="17"/>
      <c r="AH445" s="17"/>
      <c r="AI445" s="17"/>
      <c r="AJ445" s="17"/>
      <c r="AK445" s="17"/>
      <c r="AL445" s="17"/>
      <c r="AM445" s="17"/>
      <c r="AN445" s="17"/>
      <c r="AO445" s="17"/>
      <c r="AP445" s="17"/>
      <c r="AQ445" s="17"/>
      <c r="AR445" s="17"/>
      <c r="AS445" s="17"/>
    </row>
    <row r="446" spans="1:45">
      <c r="A446" s="28">
        <f t="shared" si="20"/>
        <v>441</v>
      </c>
      <c r="B446" s="7"/>
      <c r="C446" s="35" t="str">
        <f>IFERROR(VLOOKUP(B446,'MASTER RECORD'!$B$5:$W$1000,3,0),"")</f>
        <v/>
      </c>
      <c r="D446" s="35" t="str">
        <f>IFERROR(VLOOKUP(B446,'MASTER RECORD'!$B$5:$W$1000,2,0),"")</f>
        <v/>
      </c>
      <c r="E446" s="36" t="str">
        <f>IFERROR(VLOOKUP(B446,'MASTER RECORD'!$B$5:$W$1000,9,0),"")</f>
        <v/>
      </c>
      <c r="F446" s="35" t="str">
        <f>IFERROR(VLOOKUP(B446,'MASTER RECORD'!$B$5:$W$1000,10,0) &amp;"."&amp;(VLOOKUP(B446,'MASTER RECORD'!$B$5:$W$1000,11,0)),"")</f>
        <v/>
      </c>
      <c r="G446" s="36" t="str">
        <f t="shared" si="19"/>
        <v/>
      </c>
      <c r="H446" s="35" t="str">
        <f t="shared" si="21"/>
        <v/>
      </c>
      <c r="I446" s="35" t="str">
        <f>IFERROR(VLOOKUP(B446,'MASTER RECORD'!$B$5:$W$1000,14,0),"")</f>
        <v/>
      </c>
      <c r="J446" s="17"/>
      <c r="K446" s="17"/>
      <c r="L446" s="17"/>
      <c r="M446" s="17"/>
      <c r="N446" s="17"/>
      <c r="O446" s="17"/>
      <c r="P446" s="17"/>
      <c r="Q446" s="17"/>
      <c r="R446" s="17"/>
      <c r="S446" s="17"/>
      <c r="T446" s="17"/>
      <c r="U446" s="17"/>
      <c r="V446" s="17"/>
      <c r="W446" s="17"/>
      <c r="X446" s="17"/>
      <c r="Y446" s="17"/>
      <c r="Z446" s="17"/>
      <c r="AA446" s="17"/>
      <c r="AB446" s="17"/>
      <c r="AC446" s="17"/>
      <c r="AD446" s="17"/>
      <c r="AE446" s="17"/>
      <c r="AF446" s="17"/>
      <c r="AG446" s="17"/>
      <c r="AH446" s="17"/>
      <c r="AI446" s="17"/>
      <c r="AJ446" s="17"/>
      <c r="AK446" s="17"/>
      <c r="AL446" s="17"/>
      <c r="AM446" s="17"/>
      <c r="AN446" s="17"/>
      <c r="AO446" s="17"/>
      <c r="AP446" s="17"/>
      <c r="AQ446" s="17"/>
      <c r="AR446" s="17"/>
      <c r="AS446" s="17"/>
    </row>
    <row r="447" spans="1:45">
      <c r="A447" s="28">
        <f t="shared" si="20"/>
        <v>442</v>
      </c>
      <c r="B447" s="7"/>
      <c r="C447" s="35" t="str">
        <f>IFERROR(VLOOKUP(B447,'MASTER RECORD'!$B$5:$W$1000,3,0),"")</f>
        <v/>
      </c>
      <c r="D447" s="35" t="str">
        <f>IFERROR(VLOOKUP(B447,'MASTER RECORD'!$B$5:$W$1000,2,0),"")</f>
        <v/>
      </c>
      <c r="E447" s="36" t="str">
        <f>IFERROR(VLOOKUP(B447,'MASTER RECORD'!$B$5:$W$1000,9,0),"")</f>
        <v/>
      </c>
      <c r="F447" s="35" t="str">
        <f>IFERROR(VLOOKUP(B447,'MASTER RECORD'!$B$5:$W$1000,10,0) &amp;"."&amp;(VLOOKUP(B447,'MASTER RECORD'!$B$5:$W$1000,11,0)),"")</f>
        <v/>
      </c>
      <c r="G447" s="36" t="str">
        <f t="shared" si="19"/>
        <v/>
      </c>
      <c r="H447" s="35" t="str">
        <f t="shared" si="21"/>
        <v/>
      </c>
      <c r="I447" s="35" t="str">
        <f>IFERROR(VLOOKUP(B447,'MASTER RECORD'!$B$5:$W$1000,14,0),"")</f>
        <v/>
      </c>
      <c r="J447" s="17"/>
      <c r="K447" s="17"/>
      <c r="L447" s="17"/>
      <c r="M447" s="17"/>
      <c r="N447" s="17"/>
      <c r="O447" s="17"/>
      <c r="P447" s="17"/>
      <c r="Q447" s="17"/>
      <c r="R447" s="17"/>
      <c r="S447" s="17"/>
      <c r="T447" s="17"/>
      <c r="U447" s="17"/>
      <c r="V447" s="17"/>
      <c r="W447" s="17"/>
      <c r="X447" s="17"/>
      <c r="Y447" s="17"/>
      <c r="Z447" s="17"/>
      <c r="AA447" s="17"/>
      <c r="AB447" s="17"/>
      <c r="AC447" s="17"/>
      <c r="AD447" s="17"/>
      <c r="AE447" s="17"/>
      <c r="AF447" s="17"/>
      <c r="AG447" s="17"/>
      <c r="AH447" s="17"/>
      <c r="AI447" s="17"/>
      <c r="AJ447" s="17"/>
      <c r="AK447" s="17"/>
      <c r="AL447" s="17"/>
      <c r="AM447" s="17"/>
      <c r="AN447" s="17"/>
      <c r="AO447" s="17"/>
      <c r="AP447" s="17"/>
      <c r="AQ447" s="17"/>
      <c r="AR447" s="17"/>
      <c r="AS447" s="17"/>
    </row>
    <row r="448" spans="1:45">
      <c r="A448" s="28">
        <f t="shared" si="20"/>
        <v>443</v>
      </c>
      <c r="B448" s="7"/>
      <c r="C448" s="35" t="str">
        <f>IFERROR(VLOOKUP(B448,'MASTER RECORD'!$B$5:$W$1000,3,0),"")</f>
        <v/>
      </c>
      <c r="D448" s="35" t="str">
        <f>IFERROR(VLOOKUP(B448,'MASTER RECORD'!$B$5:$W$1000,2,0),"")</f>
        <v/>
      </c>
      <c r="E448" s="36" t="str">
        <f>IFERROR(VLOOKUP(B448,'MASTER RECORD'!$B$5:$W$1000,9,0),"")</f>
        <v/>
      </c>
      <c r="F448" s="35" t="str">
        <f>IFERROR(VLOOKUP(B448,'MASTER RECORD'!$B$5:$W$1000,10,0) &amp;"."&amp;(VLOOKUP(B448,'MASTER RECORD'!$B$5:$W$1000,11,0)),"")</f>
        <v/>
      </c>
      <c r="G448" s="36" t="str">
        <f t="shared" si="19"/>
        <v/>
      </c>
      <c r="H448" s="35" t="str">
        <f t="shared" si="21"/>
        <v/>
      </c>
      <c r="I448" s="35" t="str">
        <f>IFERROR(VLOOKUP(B448,'MASTER RECORD'!$B$5:$W$1000,14,0),"")</f>
        <v/>
      </c>
      <c r="J448" s="17"/>
      <c r="K448" s="17"/>
      <c r="L448" s="17"/>
      <c r="M448" s="17"/>
      <c r="N448" s="17"/>
      <c r="O448" s="17"/>
      <c r="P448" s="17"/>
      <c r="Q448" s="17"/>
      <c r="R448" s="17"/>
      <c r="S448" s="17"/>
      <c r="T448" s="17"/>
      <c r="U448" s="17"/>
      <c r="V448" s="17"/>
      <c r="W448" s="17"/>
      <c r="X448" s="17"/>
      <c r="Y448" s="17"/>
      <c r="Z448" s="17"/>
      <c r="AA448" s="17"/>
      <c r="AB448" s="17"/>
      <c r="AC448" s="17"/>
      <c r="AD448" s="17"/>
      <c r="AE448" s="17"/>
      <c r="AF448" s="17"/>
      <c r="AG448" s="17"/>
      <c r="AH448" s="17"/>
      <c r="AI448" s="17"/>
      <c r="AJ448" s="17"/>
      <c r="AK448" s="17"/>
      <c r="AL448" s="17"/>
      <c r="AM448" s="17"/>
      <c r="AN448" s="17"/>
      <c r="AO448" s="17"/>
      <c r="AP448" s="17"/>
      <c r="AQ448" s="17"/>
      <c r="AR448" s="17"/>
      <c r="AS448" s="17"/>
    </row>
    <row r="449" spans="1:45">
      <c r="A449" s="28">
        <f t="shared" si="20"/>
        <v>444</v>
      </c>
      <c r="B449" s="7"/>
      <c r="C449" s="35" t="str">
        <f>IFERROR(VLOOKUP(B449,'MASTER RECORD'!$B$5:$W$1000,3,0),"")</f>
        <v/>
      </c>
      <c r="D449" s="35" t="str">
        <f>IFERROR(VLOOKUP(B449,'MASTER RECORD'!$B$5:$W$1000,2,0),"")</f>
        <v/>
      </c>
      <c r="E449" s="36" t="str">
        <f>IFERROR(VLOOKUP(B449,'MASTER RECORD'!$B$5:$W$1000,9,0),"")</f>
        <v/>
      </c>
      <c r="F449" s="35" t="str">
        <f>IFERROR(VLOOKUP(B449,'MASTER RECORD'!$B$5:$W$1000,10,0) &amp;"."&amp;(VLOOKUP(B449,'MASTER RECORD'!$B$5:$W$1000,11,0)),"")</f>
        <v/>
      </c>
      <c r="G449" s="36" t="str">
        <f t="shared" si="19"/>
        <v/>
      </c>
      <c r="H449" s="35" t="str">
        <f t="shared" si="21"/>
        <v/>
      </c>
      <c r="I449" s="35" t="str">
        <f>IFERROR(VLOOKUP(B449,'MASTER RECORD'!$B$5:$W$1000,14,0),"")</f>
        <v/>
      </c>
      <c r="J449" s="17"/>
      <c r="K449" s="17"/>
      <c r="L449" s="17"/>
      <c r="M449" s="17"/>
      <c r="N449" s="17"/>
      <c r="O449" s="17"/>
      <c r="P449" s="17"/>
      <c r="Q449" s="17"/>
      <c r="R449" s="17"/>
      <c r="S449" s="17"/>
      <c r="T449" s="17"/>
      <c r="U449" s="17"/>
      <c r="V449" s="17"/>
      <c r="W449" s="17"/>
      <c r="X449" s="17"/>
      <c r="Y449" s="17"/>
      <c r="Z449" s="17"/>
      <c r="AA449" s="17"/>
      <c r="AB449" s="17"/>
      <c r="AC449" s="17"/>
      <c r="AD449" s="17"/>
      <c r="AE449" s="17"/>
      <c r="AF449" s="17"/>
      <c r="AG449" s="17"/>
      <c r="AH449" s="17"/>
      <c r="AI449" s="17"/>
      <c r="AJ449" s="17"/>
      <c r="AK449" s="17"/>
      <c r="AL449" s="17"/>
      <c r="AM449" s="17"/>
      <c r="AN449" s="17"/>
      <c r="AO449" s="17"/>
      <c r="AP449" s="17"/>
      <c r="AQ449" s="17"/>
      <c r="AR449" s="17"/>
      <c r="AS449" s="17"/>
    </row>
    <row r="450" spans="1:45">
      <c r="A450" s="28">
        <f t="shared" si="20"/>
        <v>445</v>
      </c>
      <c r="B450" s="7"/>
      <c r="C450" s="35" t="str">
        <f>IFERROR(VLOOKUP(B450,'MASTER RECORD'!$B$5:$W$1000,3,0),"")</f>
        <v/>
      </c>
      <c r="D450" s="35" t="str">
        <f>IFERROR(VLOOKUP(B450,'MASTER RECORD'!$B$5:$W$1000,2,0),"")</f>
        <v/>
      </c>
      <c r="E450" s="36" t="str">
        <f>IFERROR(VLOOKUP(B450,'MASTER RECORD'!$B$5:$W$1000,9,0),"")</f>
        <v/>
      </c>
      <c r="F450" s="35" t="str">
        <f>IFERROR(VLOOKUP(B450,'MASTER RECORD'!$B$5:$W$1000,10,0) &amp;"."&amp;(VLOOKUP(B450,'MASTER RECORD'!$B$5:$W$1000,11,0)),"")</f>
        <v/>
      </c>
      <c r="G450" s="36" t="str">
        <f t="shared" si="19"/>
        <v/>
      </c>
      <c r="H450" s="35" t="str">
        <f t="shared" si="21"/>
        <v/>
      </c>
      <c r="I450" s="35" t="str">
        <f>IFERROR(VLOOKUP(B450,'MASTER RECORD'!$B$5:$W$1000,14,0),"")</f>
        <v/>
      </c>
      <c r="J450" s="17"/>
      <c r="K450" s="17"/>
      <c r="L450" s="17"/>
      <c r="M450" s="17"/>
      <c r="N450" s="17"/>
      <c r="O450" s="17"/>
      <c r="P450" s="17"/>
      <c r="Q450" s="17"/>
      <c r="R450" s="17"/>
      <c r="S450" s="17"/>
      <c r="T450" s="17"/>
      <c r="U450" s="17"/>
      <c r="V450" s="17"/>
      <c r="W450" s="17"/>
      <c r="X450" s="17"/>
      <c r="Y450" s="17"/>
      <c r="Z450" s="17"/>
      <c r="AA450" s="17"/>
      <c r="AB450" s="17"/>
      <c r="AC450" s="17"/>
      <c r="AD450" s="17"/>
      <c r="AE450" s="17"/>
      <c r="AF450" s="17"/>
      <c r="AG450" s="17"/>
      <c r="AH450" s="17"/>
      <c r="AI450" s="17"/>
      <c r="AJ450" s="17"/>
      <c r="AK450" s="17"/>
      <c r="AL450" s="17"/>
      <c r="AM450" s="17"/>
      <c r="AN450" s="17"/>
      <c r="AO450" s="17"/>
      <c r="AP450" s="17"/>
      <c r="AQ450" s="17"/>
      <c r="AR450" s="17"/>
      <c r="AS450" s="17"/>
    </row>
    <row r="451" spans="1:45">
      <c r="A451" s="28">
        <f t="shared" si="20"/>
        <v>446</v>
      </c>
      <c r="B451" s="7"/>
      <c r="C451" s="35" t="str">
        <f>IFERROR(VLOOKUP(B451,'MASTER RECORD'!$B$5:$W$1000,3,0),"")</f>
        <v/>
      </c>
      <c r="D451" s="35" t="str">
        <f>IFERROR(VLOOKUP(B451,'MASTER RECORD'!$B$5:$W$1000,2,0),"")</f>
        <v/>
      </c>
      <c r="E451" s="36" t="str">
        <f>IFERROR(VLOOKUP(B451,'MASTER RECORD'!$B$5:$W$1000,9,0),"")</f>
        <v/>
      </c>
      <c r="F451" s="35" t="str">
        <f>IFERROR(VLOOKUP(B451,'MASTER RECORD'!$B$5:$W$1000,10,0) &amp;"."&amp;(VLOOKUP(B451,'MASTER RECORD'!$B$5:$W$1000,11,0)),"")</f>
        <v/>
      </c>
      <c r="G451" s="36" t="str">
        <f t="shared" si="19"/>
        <v/>
      </c>
      <c r="H451" s="35" t="str">
        <f t="shared" si="21"/>
        <v/>
      </c>
      <c r="I451" s="35" t="str">
        <f>IFERROR(VLOOKUP(B451,'MASTER RECORD'!$B$5:$W$1000,14,0),"")</f>
        <v/>
      </c>
      <c r="J451" s="17"/>
      <c r="K451" s="17"/>
      <c r="L451" s="17"/>
      <c r="M451" s="17"/>
      <c r="N451" s="17"/>
      <c r="O451" s="17"/>
      <c r="P451" s="17"/>
      <c r="Q451" s="17"/>
      <c r="R451" s="17"/>
      <c r="S451" s="17"/>
      <c r="T451" s="17"/>
      <c r="U451" s="17"/>
      <c r="V451" s="17"/>
      <c r="W451" s="17"/>
      <c r="X451" s="17"/>
      <c r="Y451" s="17"/>
      <c r="Z451" s="17"/>
      <c r="AA451" s="17"/>
      <c r="AB451" s="17"/>
      <c r="AC451" s="17"/>
      <c r="AD451" s="17"/>
      <c r="AE451" s="17"/>
      <c r="AF451" s="17"/>
      <c r="AG451" s="17"/>
      <c r="AH451" s="17"/>
      <c r="AI451" s="17"/>
      <c r="AJ451" s="17"/>
      <c r="AK451" s="17"/>
      <c r="AL451" s="17"/>
      <c r="AM451" s="17"/>
      <c r="AN451" s="17"/>
      <c r="AO451" s="17"/>
      <c r="AP451" s="17"/>
      <c r="AQ451" s="17"/>
      <c r="AR451" s="17"/>
      <c r="AS451" s="17"/>
    </row>
    <row r="452" spans="1:45">
      <c r="A452" s="28">
        <f t="shared" si="20"/>
        <v>447</v>
      </c>
      <c r="B452" s="7"/>
      <c r="C452" s="35" t="str">
        <f>IFERROR(VLOOKUP(B452,'MASTER RECORD'!$B$5:$W$1000,3,0),"")</f>
        <v/>
      </c>
      <c r="D452" s="35" t="str">
        <f>IFERROR(VLOOKUP(B452,'MASTER RECORD'!$B$5:$W$1000,2,0),"")</f>
        <v/>
      </c>
      <c r="E452" s="36" t="str">
        <f>IFERROR(VLOOKUP(B452,'MASTER RECORD'!$B$5:$W$1000,9,0),"")</f>
        <v/>
      </c>
      <c r="F452" s="35" t="str">
        <f>IFERROR(VLOOKUP(B452,'MASTER RECORD'!$B$5:$W$1000,10,0) &amp;"."&amp;(VLOOKUP(B452,'MASTER RECORD'!$B$5:$W$1000,11,0)),"")</f>
        <v/>
      </c>
      <c r="G452" s="36" t="str">
        <f t="shared" si="19"/>
        <v/>
      </c>
      <c r="H452" s="35" t="str">
        <f t="shared" si="21"/>
        <v/>
      </c>
      <c r="I452" s="35" t="str">
        <f>IFERROR(VLOOKUP(B452,'MASTER RECORD'!$B$5:$W$1000,14,0),"")</f>
        <v/>
      </c>
      <c r="J452" s="17"/>
      <c r="K452" s="17"/>
      <c r="L452" s="17"/>
      <c r="M452" s="17"/>
      <c r="N452" s="17"/>
      <c r="O452" s="17"/>
      <c r="P452" s="17"/>
      <c r="Q452" s="17"/>
      <c r="R452" s="17"/>
      <c r="S452" s="17"/>
      <c r="T452" s="17"/>
      <c r="U452" s="17"/>
      <c r="V452" s="17"/>
      <c r="W452" s="17"/>
      <c r="X452" s="17"/>
      <c r="Y452" s="17"/>
      <c r="Z452" s="17"/>
      <c r="AA452" s="17"/>
      <c r="AB452" s="17"/>
      <c r="AC452" s="17"/>
      <c r="AD452" s="17"/>
      <c r="AE452" s="17"/>
      <c r="AF452" s="17"/>
      <c r="AG452" s="17"/>
      <c r="AH452" s="17"/>
      <c r="AI452" s="17"/>
      <c r="AJ452" s="17"/>
      <c r="AK452" s="17"/>
      <c r="AL452" s="17"/>
      <c r="AM452" s="17"/>
      <c r="AN452" s="17"/>
      <c r="AO452" s="17"/>
      <c r="AP452" s="17"/>
      <c r="AQ452" s="17"/>
      <c r="AR452" s="17"/>
      <c r="AS452" s="17"/>
    </row>
    <row r="453" spans="1:45">
      <c r="A453" s="28">
        <f t="shared" si="20"/>
        <v>448</v>
      </c>
      <c r="B453" s="7"/>
      <c r="C453" s="35" t="str">
        <f>IFERROR(VLOOKUP(B453,'MASTER RECORD'!$B$5:$W$1000,3,0),"")</f>
        <v/>
      </c>
      <c r="D453" s="35" t="str">
        <f>IFERROR(VLOOKUP(B453,'MASTER RECORD'!$B$5:$W$1000,2,0),"")</f>
        <v/>
      </c>
      <c r="E453" s="36" t="str">
        <f>IFERROR(VLOOKUP(B453,'MASTER RECORD'!$B$5:$W$1000,9,0),"")</f>
        <v/>
      </c>
      <c r="F453" s="35" t="str">
        <f>IFERROR(VLOOKUP(B453,'MASTER RECORD'!$B$5:$W$1000,10,0) &amp;"."&amp;(VLOOKUP(B453,'MASTER RECORD'!$B$5:$W$1000,11,0)),"")</f>
        <v/>
      </c>
      <c r="G453" s="36" t="str">
        <f t="shared" si="19"/>
        <v/>
      </c>
      <c r="H453" s="35" t="str">
        <f t="shared" si="21"/>
        <v/>
      </c>
      <c r="I453" s="35" t="str">
        <f>IFERROR(VLOOKUP(B453,'MASTER RECORD'!$B$5:$W$1000,14,0),"")</f>
        <v/>
      </c>
      <c r="J453" s="17"/>
      <c r="K453" s="17"/>
      <c r="L453" s="17"/>
      <c r="M453" s="17"/>
      <c r="N453" s="17"/>
      <c r="O453" s="17"/>
      <c r="P453" s="17"/>
      <c r="Q453" s="17"/>
      <c r="R453" s="17"/>
      <c r="S453" s="17"/>
      <c r="T453" s="17"/>
      <c r="U453" s="17"/>
      <c r="V453" s="17"/>
      <c r="W453" s="17"/>
      <c r="X453" s="17"/>
      <c r="Y453" s="17"/>
      <c r="Z453" s="17"/>
      <c r="AA453" s="17"/>
      <c r="AB453" s="17"/>
      <c r="AC453" s="17"/>
      <c r="AD453" s="17"/>
      <c r="AE453" s="17"/>
      <c r="AF453" s="17"/>
      <c r="AG453" s="17"/>
      <c r="AH453" s="17"/>
      <c r="AI453" s="17"/>
      <c r="AJ453" s="17"/>
      <c r="AK453" s="17"/>
      <c r="AL453" s="17"/>
      <c r="AM453" s="17"/>
      <c r="AN453" s="17"/>
      <c r="AO453" s="17"/>
      <c r="AP453" s="17"/>
      <c r="AQ453" s="17"/>
      <c r="AR453" s="17"/>
      <c r="AS453" s="17"/>
    </row>
    <row r="454" spans="1:45">
      <c r="A454" s="28">
        <f t="shared" si="20"/>
        <v>449</v>
      </c>
      <c r="B454" s="7"/>
      <c r="C454" s="35" t="str">
        <f>IFERROR(VLOOKUP(B454,'MASTER RECORD'!$B$5:$W$1000,3,0),"")</f>
        <v/>
      </c>
      <c r="D454" s="35" t="str">
        <f>IFERROR(VLOOKUP(B454,'MASTER RECORD'!$B$5:$W$1000,2,0),"")</f>
        <v/>
      </c>
      <c r="E454" s="36" t="str">
        <f>IFERROR(VLOOKUP(B454,'MASTER RECORD'!$B$5:$W$1000,9,0),"")</f>
        <v/>
      </c>
      <c r="F454" s="35" t="str">
        <f>IFERROR(VLOOKUP(B454,'MASTER RECORD'!$B$5:$W$1000,10,0) &amp;"."&amp;(VLOOKUP(B454,'MASTER RECORD'!$B$5:$W$1000,11,0)),"")</f>
        <v/>
      </c>
      <c r="G454" s="36" t="str">
        <f t="shared" si="19"/>
        <v/>
      </c>
      <c r="H454" s="35" t="str">
        <f t="shared" si="21"/>
        <v/>
      </c>
      <c r="I454" s="35" t="str">
        <f>IFERROR(VLOOKUP(B454,'MASTER RECORD'!$B$5:$W$1000,14,0),"")</f>
        <v/>
      </c>
      <c r="J454" s="17"/>
      <c r="K454" s="17"/>
      <c r="L454" s="17"/>
      <c r="M454" s="17"/>
      <c r="N454" s="17"/>
      <c r="O454" s="17"/>
      <c r="P454" s="17"/>
      <c r="Q454" s="17"/>
      <c r="R454" s="17"/>
      <c r="S454" s="17"/>
      <c r="T454" s="17"/>
      <c r="U454" s="17"/>
      <c r="V454" s="17"/>
      <c r="W454" s="17"/>
      <c r="X454" s="17"/>
      <c r="Y454" s="17"/>
      <c r="Z454" s="17"/>
      <c r="AA454" s="17"/>
      <c r="AB454" s="17"/>
      <c r="AC454" s="17"/>
      <c r="AD454" s="17"/>
      <c r="AE454" s="17"/>
      <c r="AF454" s="17"/>
      <c r="AG454" s="17"/>
      <c r="AH454" s="17"/>
      <c r="AI454" s="17"/>
      <c r="AJ454" s="17"/>
      <c r="AK454" s="17"/>
      <c r="AL454" s="17"/>
      <c r="AM454" s="17"/>
      <c r="AN454" s="17"/>
      <c r="AO454" s="17"/>
      <c r="AP454" s="17"/>
      <c r="AQ454" s="17"/>
      <c r="AR454" s="17"/>
      <c r="AS454" s="17"/>
    </row>
    <row r="455" spans="1:45">
      <c r="A455" s="28">
        <f t="shared" si="20"/>
        <v>450</v>
      </c>
      <c r="B455" s="7"/>
      <c r="C455" s="35" t="str">
        <f>IFERROR(VLOOKUP(B455,'MASTER RECORD'!$B$5:$W$1000,3,0),"")</f>
        <v/>
      </c>
      <c r="D455" s="35" t="str">
        <f>IFERROR(VLOOKUP(B455,'MASTER RECORD'!$B$5:$W$1000,2,0),"")</f>
        <v/>
      </c>
      <c r="E455" s="36" t="str">
        <f>IFERROR(VLOOKUP(B455,'MASTER RECORD'!$B$5:$W$1000,9,0),"")</f>
        <v/>
      </c>
      <c r="F455" s="35" t="str">
        <f>IFERROR(VLOOKUP(B455,'MASTER RECORD'!$B$5:$W$1000,10,0) &amp;"."&amp;(VLOOKUP(B455,'MASTER RECORD'!$B$5:$W$1000,11,0)),"")</f>
        <v/>
      </c>
      <c r="G455" s="36" t="str">
        <f t="shared" ref="G455:G505" si="22">IFERROR(IF(J455="",E455+30.41667,IF(K455="",E455+60.8333,IF(L455="",E455+91.25,IF(M455="",E455+121.667,IF(N455="",E455+152.083,IF(O455="",E455+182.5,IF(P455="",E455+212.917,IF(Q455="",E455+243.333,IF(R455="",E455+273.75,IF(S455="",E455+304.167,IF(T455="",E455+334.583,IF(U455="",E455+365,IF(V455="",E455+395.417,IF(W455="",E455+425.883,IF(X455="",E455+456.25,IF(Y455="",E455+486.667,IF(Z455="",E455+517.083,IF(AA455="",E455+547.5,IF(AB455="",E455+577.917,IF(AC455="",E455+608.333,IF(AD455="",E455+638.75,IF(AE455="",E455+669.167,IF(AF455="",E455+699.583,IF(AG455="",E455+730,IF(AH455="",E455+760.417,IF(AI455="",E455+790.833,IF(AJ455="",E455+821.25,IF(AK455="",E455+851.667,IF(AL455="",E455+882.083,IF(AM455="",E455+912.5,IF(AN455="",E455+942.917,IF(AO455="",E455+973.333,IF(AP455="",E455+1003.75,IF(AQ455="",E455+1034.17,IF(AR455="",E455+1064.58,IF(AS455="",E455+1095,"")))))))))))))))))))))))))))))))))))),"")</f>
        <v/>
      </c>
      <c r="H455" s="35" t="str">
        <f t="shared" si="21"/>
        <v/>
      </c>
      <c r="I455" s="35" t="str">
        <f>IFERROR(VLOOKUP(B455,'MASTER RECORD'!$B$5:$W$1000,14,0),"")</f>
        <v/>
      </c>
      <c r="J455" s="17"/>
      <c r="K455" s="17"/>
      <c r="L455" s="17"/>
      <c r="M455" s="17"/>
      <c r="N455" s="17"/>
      <c r="O455" s="17"/>
      <c r="P455" s="17"/>
      <c r="Q455" s="17"/>
      <c r="R455" s="17"/>
      <c r="S455" s="17"/>
      <c r="T455" s="17"/>
      <c r="U455" s="17"/>
      <c r="V455" s="17"/>
      <c r="W455" s="17"/>
      <c r="X455" s="17"/>
      <c r="Y455" s="17"/>
      <c r="Z455" s="17"/>
      <c r="AA455" s="17"/>
      <c r="AB455" s="17"/>
      <c r="AC455" s="17"/>
      <c r="AD455" s="17"/>
      <c r="AE455" s="17"/>
      <c r="AF455" s="17"/>
      <c r="AG455" s="17"/>
      <c r="AH455" s="17"/>
      <c r="AI455" s="17"/>
      <c r="AJ455" s="17"/>
      <c r="AK455" s="17"/>
      <c r="AL455" s="17"/>
      <c r="AM455" s="17"/>
      <c r="AN455" s="17"/>
      <c r="AO455" s="17"/>
      <c r="AP455" s="17"/>
      <c r="AQ455" s="17"/>
      <c r="AR455" s="17"/>
      <c r="AS455" s="17"/>
    </row>
    <row r="456" spans="1:45">
      <c r="A456" s="28">
        <f t="shared" ref="A456:A505" si="23">ROW(A451)</f>
        <v>451</v>
      </c>
      <c r="B456" s="7"/>
      <c r="C456" s="35" t="str">
        <f>IFERROR(VLOOKUP(B456,'MASTER RECORD'!$B$5:$W$1000,3,0),"")</f>
        <v/>
      </c>
      <c r="D456" s="35" t="str">
        <f>IFERROR(VLOOKUP(B456,'MASTER RECORD'!$B$5:$W$1000,2,0),"")</f>
        <v/>
      </c>
      <c r="E456" s="36" t="str">
        <f>IFERROR(VLOOKUP(B456,'MASTER RECORD'!$B$5:$W$1000,9,0),"")</f>
        <v/>
      </c>
      <c r="F456" s="35" t="str">
        <f>IFERROR(VLOOKUP(B456,'MASTER RECORD'!$B$5:$W$1000,10,0) &amp;"."&amp;(VLOOKUP(B456,'MASTER RECORD'!$B$5:$W$1000,11,0)),"")</f>
        <v/>
      </c>
      <c r="G456" s="36" t="str">
        <f t="shared" si="22"/>
        <v/>
      </c>
      <c r="H456" s="35" t="str">
        <f t="shared" ref="H456:H505" si="24">IF(SUM(I456:AS456)=0,"",SUM(I456:AS456))</f>
        <v/>
      </c>
      <c r="I456" s="35" t="str">
        <f>IFERROR(VLOOKUP(B456,'MASTER RECORD'!$B$5:$W$1000,14,0),"")</f>
        <v/>
      </c>
      <c r="J456" s="17"/>
      <c r="K456" s="17"/>
      <c r="L456" s="17"/>
      <c r="M456" s="17"/>
      <c r="N456" s="17"/>
      <c r="O456" s="17"/>
      <c r="P456" s="17"/>
      <c r="Q456" s="17"/>
      <c r="R456" s="17"/>
      <c r="S456" s="17"/>
      <c r="T456" s="17"/>
      <c r="U456" s="17"/>
      <c r="V456" s="17"/>
      <c r="W456" s="17"/>
      <c r="X456" s="17"/>
      <c r="Y456" s="17"/>
      <c r="Z456" s="17"/>
      <c r="AA456" s="17"/>
      <c r="AB456" s="17"/>
      <c r="AC456" s="17"/>
      <c r="AD456" s="17"/>
      <c r="AE456" s="17"/>
      <c r="AF456" s="17"/>
      <c r="AG456" s="17"/>
      <c r="AH456" s="17"/>
      <c r="AI456" s="17"/>
      <c r="AJ456" s="17"/>
      <c r="AK456" s="17"/>
      <c r="AL456" s="17"/>
      <c r="AM456" s="17"/>
      <c r="AN456" s="17"/>
      <c r="AO456" s="17"/>
      <c r="AP456" s="17"/>
      <c r="AQ456" s="17"/>
      <c r="AR456" s="17"/>
      <c r="AS456" s="17"/>
    </row>
    <row r="457" spans="1:45">
      <c r="A457" s="28">
        <f t="shared" si="23"/>
        <v>452</v>
      </c>
      <c r="B457" s="7"/>
      <c r="C457" s="35" t="str">
        <f>IFERROR(VLOOKUP(B457,'MASTER RECORD'!$B$5:$W$1000,3,0),"")</f>
        <v/>
      </c>
      <c r="D457" s="35" t="str">
        <f>IFERROR(VLOOKUP(B457,'MASTER RECORD'!$B$5:$W$1000,2,0),"")</f>
        <v/>
      </c>
      <c r="E457" s="36" t="str">
        <f>IFERROR(VLOOKUP(B457,'MASTER RECORD'!$B$5:$W$1000,9,0),"")</f>
        <v/>
      </c>
      <c r="F457" s="35" t="str">
        <f>IFERROR(VLOOKUP(B457,'MASTER RECORD'!$B$5:$W$1000,10,0) &amp;"."&amp;(VLOOKUP(B457,'MASTER RECORD'!$B$5:$W$1000,11,0)),"")</f>
        <v/>
      </c>
      <c r="G457" s="36" t="str">
        <f t="shared" si="22"/>
        <v/>
      </c>
      <c r="H457" s="35" t="str">
        <f t="shared" si="24"/>
        <v/>
      </c>
      <c r="I457" s="35" t="str">
        <f>IFERROR(VLOOKUP(B457,'MASTER RECORD'!$B$5:$W$1000,14,0),"")</f>
        <v/>
      </c>
      <c r="J457" s="17"/>
      <c r="K457" s="17"/>
      <c r="L457" s="17"/>
      <c r="M457" s="17"/>
      <c r="N457" s="17"/>
      <c r="O457" s="17"/>
      <c r="P457" s="17"/>
      <c r="Q457" s="17"/>
      <c r="R457" s="17"/>
      <c r="S457" s="17"/>
      <c r="T457" s="17"/>
      <c r="U457" s="17"/>
      <c r="V457" s="17"/>
      <c r="W457" s="17"/>
      <c r="X457" s="17"/>
      <c r="Y457" s="17"/>
      <c r="Z457" s="17"/>
      <c r="AA457" s="17"/>
      <c r="AB457" s="17"/>
      <c r="AC457" s="17"/>
      <c r="AD457" s="17"/>
      <c r="AE457" s="17"/>
      <c r="AF457" s="17"/>
      <c r="AG457" s="17"/>
      <c r="AH457" s="17"/>
      <c r="AI457" s="17"/>
      <c r="AJ457" s="17"/>
      <c r="AK457" s="17"/>
      <c r="AL457" s="17"/>
      <c r="AM457" s="17"/>
      <c r="AN457" s="17"/>
      <c r="AO457" s="17"/>
      <c r="AP457" s="17"/>
      <c r="AQ457" s="17"/>
      <c r="AR457" s="17"/>
      <c r="AS457" s="17"/>
    </row>
    <row r="458" spans="1:45">
      <c r="A458" s="28">
        <f t="shared" si="23"/>
        <v>453</v>
      </c>
      <c r="B458" s="7"/>
      <c r="C458" s="35" t="str">
        <f>IFERROR(VLOOKUP(B458,'MASTER RECORD'!$B$5:$W$1000,3,0),"")</f>
        <v/>
      </c>
      <c r="D458" s="35" t="str">
        <f>IFERROR(VLOOKUP(B458,'MASTER RECORD'!$B$5:$W$1000,2,0),"")</f>
        <v/>
      </c>
      <c r="E458" s="36" t="str">
        <f>IFERROR(VLOOKUP(B458,'MASTER RECORD'!$B$5:$W$1000,9,0),"")</f>
        <v/>
      </c>
      <c r="F458" s="35" t="str">
        <f>IFERROR(VLOOKUP(B458,'MASTER RECORD'!$B$5:$W$1000,10,0) &amp;"."&amp;(VLOOKUP(B458,'MASTER RECORD'!$B$5:$W$1000,11,0)),"")</f>
        <v/>
      </c>
      <c r="G458" s="36" t="str">
        <f t="shared" si="22"/>
        <v/>
      </c>
      <c r="H458" s="35" t="str">
        <f t="shared" si="24"/>
        <v/>
      </c>
      <c r="I458" s="35" t="str">
        <f>IFERROR(VLOOKUP(B458,'MASTER RECORD'!$B$5:$W$1000,14,0),"")</f>
        <v/>
      </c>
      <c r="J458" s="17"/>
      <c r="K458" s="17"/>
      <c r="L458" s="17"/>
      <c r="M458" s="17"/>
      <c r="N458" s="17"/>
      <c r="O458" s="17"/>
      <c r="P458" s="17"/>
      <c r="Q458" s="17"/>
      <c r="R458" s="17"/>
      <c r="S458" s="17"/>
      <c r="T458" s="17"/>
      <c r="U458" s="17"/>
      <c r="V458" s="17"/>
      <c r="W458" s="17"/>
      <c r="X458" s="17"/>
      <c r="Y458" s="17"/>
      <c r="Z458" s="17"/>
      <c r="AA458" s="17"/>
      <c r="AB458" s="17"/>
      <c r="AC458" s="17"/>
      <c r="AD458" s="17"/>
      <c r="AE458" s="17"/>
      <c r="AF458" s="17"/>
      <c r="AG458" s="17"/>
      <c r="AH458" s="17"/>
      <c r="AI458" s="17"/>
      <c r="AJ458" s="17"/>
      <c r="AK458" s="17"/>
      <c r="AL458" s="17"/>
      <c r="AM458" s="17"/>
      <c r="AN458" s="17"/>
      <c r="AO458" s="17"/>
      <c r="AP458" s="17"/>
      <c r="AQ458" s="17"/>
      <c r="AR458" s="17"/>
      <c r="AS458" s="17"/>
    </row>
    <row r="459" spans="1:45">
      <c r="A459" s="28">
        <f t="shared" si="23"/>
        <v>454</v>
      </c>
      <c r="B459" s="7"/>
      <c r="C459" s="35" t="str">
        <f>IFERROR(VLOOKUP(B459,'MASTER RECORD'!$B$5:$W$1000,3,0),"")</f>
        <v/>
      </c>
      <c r="D459" s="35" t="str">
        <f>IFERROR(VLOOKUP(B459,'MASTER RECORD'!$B$5:$W$1000,2,0),"")</f>
        <v/>
      </c>
      <c r="E459" s="36" t="str">
        <f>IFERROR(VLOOKUP(B459,'MASTER RECORD'!$B$5:$W$1000,9,0),"")</f>
        <v/>
      </c>
      <c r="F459" s="35" t="str">
        <f>IFERROR(VLOOKUP(B459,'MASTER RECORD'!$B$5:$W$1000,10,0) &amp;"."&amp;(VLOOKUP(B459,'MASTER RECORD'!$B$5:$W$1000,11,0)),"")</f>
        <v/>
      </c>
      <c r="G459" s="36" t="str">
        <f t="shared" si="22"/>
        <v/>
      </c>
      <c r="H459" s="35" t="str">
        <f t="shared" si="24"/>
        <v/>
      </c>
      <c r="I459" s="35" t="str">
        <f>IFERROR(VLOOKUP(B459,'MASTER RECORD'!$B$5:$W$1000,14,0),"")</f>
        <v/>
      </c>
      <c r="J459" s="17"/>
      <c r="K459" s="17"/>
      <c r="L459" s="17"/>
      <c r="M459" s="17"/>
      <c r="N459" s="17"/>
      <c r="O459" s="17"/>
      <c r="P459" s="17"/>
      <c r="Q459" s="17"/>
      <c r="R459" s="17"/>
      <c r="S459" s="17"/>
      <c r="T459" s="17"/>
      <c r="U459" s="17"/>
      <c r="V459" s="17"/>
      <c r="W459" s="17"/>
      <c r="X459" s="17"/>
      <c r="Y459" s="17"/>
      <c r="Z459" s="17"/>
      <c r="AA459" s="17"/>
      <c r="AB459" s="17"/>
      <c r="AC459" s="17"/>
      <c r="AD459" s="17"/>
      <c r="AE459" s="17"/>
      <c r="AF459" s="17"/>
      <c r="AG459" s="17"/>
      <c r="AH459" s="17"/>
      <c r="AI459" s="17"/>
      <c r="AJ459" s="17"/>
      <c r="AK459" s="17"/>
      <c r="AL459" s="17"/>
      <c r="AM459" s="17"/>
      <c r="AN459" s="17"/>
      <c r="AO459" s="17"/>
      <c r="AP459" s="17"/>
      <c r="AQ459" s="17"/>
      <c r="AR459" s="17"/>
      <c r="AS459" s="17"/>
    </row>
    <row r="460" spans="1:45">
      <c r="A460" s="28">
        <f t="shared" si="23"/>
        <v>455</v>
      </c>
      <c r="B460" s="7"/>
      <c r="C460" s="35" t="str">
        <f>IFERROR(VLOOKUP(B460,'MASTER RECORD'!$B$5:$W$1000,3,0),"")</f>
        <v/>
      </c>
      <c r="D460" s="35" t="str">
        <f>IFERROR(VLOOKUP(B460,'MASTER RECORD'!$B$5:$W$1000,2,0),"")</f>
        <v/>
      </c>
      <c r="E460" s="36" t="str">
        <f>IFERROR(VLOOKUP(B460,'MASTER RECORD'!$B$5:$W$1000,9,0),"")</f>
        <v/>
      </c>
      <c r="F460" s="35" t="str">
        <f>IFERROR(VLOOKUP(B460,'MASTER RECORD'!$B$5:$W$1000,10,0) &amp;"."&amp;(VLOOKUP(B460,'MASTER RECORD'!$B$5:$W$1000,11,0)),"")</f>
        <v/>
      </c>
      <c r="G460" s="36" t="str">
        <f t="shared" si="22"/>
        <v/>
      </c>
      <c r="H460" s="35" t="str">
        <f t="shared" si="24"/>
        <v/>
      </c>
      <c r="I460" s="35" t="str">
        <f>IFERROR(VLOOKUP(B460,'MASTER RECORD'!$B$5:$W$1000,14,0),"")</f>
        <v/>
      </c>
      <c r="J460" s="17"/>
      <c r="K460" s="17"/>
      <c r="L460" s="17"/>
      <c r="M460" s="17"/>
      <c r="N460" s="17"/>
      <c r="O460" s="17"/>
      <c r="P460" s="17"/>
      <c r="Q460" s="17"/>
      <c r="R460" s="17"/>
      <c r="S460" s="17"/>
      <c r="T460" s="17"/>
      <c r="U460" s="17"/>
      <c r="V460" s="17"/>
      <c r="W460" s="17"/>
      <c r="X460" s="17"/>
      <c r="Y460" s="17"/>
      <c r="Z460" s="17"/>
      <c r="AA460" s="17"/>
      <c r="AB460" s="17"/>
      <c r="AC460" s="17"/>
      <c r="AD460" s="17"/>
      <c r="AE460" s="17"/>
      <c r="AF460" s="17"/>
      <c r="AG460" s="17"/>
      <c r="AH460" s="17"/>
      <c r="AI460" s="17"/>
      <c r="AJ460" s="17"/>
      <c r="AK460" s="17"/>
      <c r="AL460" s="17"/>
      <c r="AM460" s="17"/>
      <c r="AN460" s="17"/>
      <c r="AO460" s="17"/>
      <c r="AP460" s="17"/>
      <c r="AQ460" s="17"/>
      <c r="AR460" s="17"/>
      <c r="AS460" s="17"/>
    </row>
    <row r="461" spans="1:45">
      <c r="A461" s="28">
        <f t="shared" si="23"/>
        <v>456</v>
      </c>
      <c r="B461" s="7"/>
      <c r="C461" s="35" t="str">
        <f>IFERROR(VLOOKUP(B461,'MASTER RECORD'!$B$5:$W$1000,3,0),"")</f>
        <v/>
      </c>
      <c r="D461" s="35" t="str">
        <f>IFERROR(VLOOKUP(B461,'MASTER RECORD'!$B$5:$W$1000,2,0),"")</f>
        <v/>
      </c>
      <c r="E461" s="36" t="str">
        <f>IFERROR(VLOOKUP(B461,'MASTER RECORD'!$B$5:$W$1000,9,0),"")</f>
        <v/>
      </c>
      <c r="F461" s="35" t="str">
        <f>IFERROR(VLOOKUP(B461,'MASTER RECORD'!$B$5:$W$1000,10,0) &amp;"."&amp;(VLOOKUP(B461,'MASTER RECORD'!$B$5:$W$1000,11,0)),"")</f>
        <v/>
      </c>
      <c r="G461" s="36" t="str">
        <f t="shared" si="22"/>
        <v/>
      </c>
      <c r="H461" s="35" t="str">
        <f t="shared" si="24"/>
        <v/>
      </c>
      <c r="I461" s="35" t="str">
        <f>IFERROR(VLOOKUP(B461,'MASTER RECORD'!$B$5:$W$1000,14,0),"")</f>
        <v/>
      </c>
      <c r="J461" s="17"/>
      <c r="K461" s="17"/>
      <c r="L461" s="17"/>
      <c r="M461" s="17"/>
      <c r="N461" s="17"/>
      <c r="O461" s="17"/>
      <c r="P461" s="17"/>
      <c r="Q461" s="17"/>
      <c r="R461" s="17"/>
      <c r="S461" s="17"/>
      <c r="T461" s="17"/>
      <c r="U461" s="17"/>
      <c r="V461" s="17"/>
      <c r="W461" s="17"/>
      <c r="X461" s="17"/>
      <c r="Y461" s="17"/>
      <c r="Z461" s="17"/>
      <c r="AA461" s="17"/>
      <c r="AB461" s="17"/>
      <c r="AC461" s="17"/>
      <c r="AD461" s="17"/>
      <c r="AE461" s="17"/>
      <c r="AF461" s="17"/>
      <c r="AG461" s="17"/>
      <c r="AH461" s="17"/>
      <c r="AI461" s="17"/>
      <c r="AJ461" s="17"/>
      <c r="AK461" s="17"/>
      <c r="AL461" s="17"/>
      <c r="AM461" s="17"/>
      <c r="AN461" s="17"/>
      <c r="AO461" s="17"/>
      <c r="AP461" s="17"/>
      <c r="AQ461" s="17"/>
      <c r="AR461" s="17"/>
      <c r="AS461" s="17"/>
    </row>
    <row r="462" spans="1:45">
      <c r="A462" s="28">
        <f t="shared" si="23"/>
        <v>457</v>
      </c>
      <c r="B462" s="7"/>
      <c r="C462" s="35" t="str">
        <f>IFERROR(VLOOKUP(B462,'MASTER RECORD'!$B$5:$W$1000,3,0),"")</f>
        <v/>
      </c>
      <c r="D462" s="35" t="str">
        <f>IFERROR(VLOOKUP(B462,'MASTER RECORD'!$B$5:$W$1000,2,0),"")</f>
        <v/>
      </c>
      <c r="E462" s="36" t="str">
        <f>IFERROR(VLOOKUP(B462,'MASTER RECORD'!$B$5:$W$1000,9,0),"")</f>
        <v/>
      </c>
      <c r="F462" s="35" t="str">
        <f>IFERROR(VLOOKUP(B462,'MASTER RECORD'!$B$5:$W$1000,10,0) &amp;"."&amp;(VLOOKUP(B462,'MASTER RECORD'!$B$5:$W$1000,11,0)),"")</f>
        <v/>
      </c>
      <c r="G462" s="36" t="str">
        <f t="shared" si="22"/>
        <v/>
      </c>
      <c r="H462" s="35" t="str">
        <f t="shared" si="24"/>
        <v/>
      </c>
      <c r="I462" s="35" t="str">
        <f>IFERROR(VLOOKUP(B462,'MASTER RECORD'!$B$5:$W$1000,14,0),"")</f>
        <v/>
      </c>
      <c r="J462" s="17"/>
      <c r="K462" s="17"/>
      <c r="L462" s="17"/>
      <c r="M462" s="17"/>
      <c r="N462" s="17"/>
      <c r="O462" s="17"/>
      <c r="P462" s="17"/>
      <c r="Q462" s="17"/>
      <c r="R462" s="17"/>
      <c r="S462" s="17"/>
      <c r="T462" s="17"/>
      <c r="U462" s="17"/>
      <c r="V462" s="17"/>
      <c r="W462" s="17"/>
      <c r="X462" s="17"/>
      <c r="Y462" s="17"/>
      <c r="Z462" s="17"/>
      <c r="AA462" s="17"/>
      <c r="AB462" s="17"/>
      <c r="AC462" s="17"/>
      <c r="AD462" s="17"/>
      <c r="AE462" s="17"/>
      <c r="AF462" s="17"/>
      <c r="AG462" s="17"/>
      <c r="AH462" s="17"/>
      <c r="AI462" s="17"/>
      <c r="AJ462" s="17"/>
      <c r="AK462" s="17"/>
      <c r="AL462" s="17"/>
      <c r="AM462" s="17"/>
      <c r="AN462" s="17"/>
      <c r="AO462" s="17"/>
      <c r="AP462" s="17"/>
      <c r="AQ462" s="17"/>
      <c r="AR462" s="17"/>
      <c r="AS462" s="17"/>
    </row>
    <row r="463" spans="1:45">
      <c r="A463" s="28">
        <f t="shared" si="23"/>
        <v>458</v>
      </c>
      <c r="B463" s="7"/>
      <c r="C463" s="35" t="str">
        <f>IFERROR(VLOOKUP(B463,'MASTER RECORD'!$B$5:$W$1000,3,0),"")</f>
        <v/>
      </c>
      <c r="D463" s="35" t="str">
        <f>IFERROR(VLOOKUP(B463,'MASTER RECORD'!$B$5:$W$1000,2,0),"")</f>
        <v/>
      </c>
      <c r="E463" s="36" t="str">
        <f>IFERROR(VLOOKUP(B463,'MASTER RECORD'!$B$5:$W$1000,9,0),"")</f>
        <v/>
      </c>
      <c r="F463" s="35" t="str">
        <f>IFERROR(VLOOKUP(B463,'MASTER RECORD'!$B$5:$W$1000,10,0) &amp;"."&amp;(VLOOKUP(B463,'MASTER RECORD'!$B$5:$W$1000,11,0)),"")</f>
        <v/>
      </c>
      <c r="G463" s="36" t="str">
        <f t="shared" si="22"/>
        <v/>
      </c>
      <c r="H463" s="35" t="str">
        <f t="shared" si="24"/>
        <v/>
      </c>
      <c r="I463" s="35" t="str">
        <f>IFERROR(VLOOKUP(B463,'MASTER RECORD'!$B$5:$W$1000,14,0),"")</f>
        <v/>
      </c>
      <c r="J463" s="17"/>
      <c r="K463" s="17"/>
      <c r="L463" s="17"/>
      <c r="M463" s="17"/>
      <c r="N463" s="17"/>
      <c r="O463" s="17"/>
      <c r="P463" s="17"/>
      <c r="Q463" s="17"/>
      <c r="R463" s="17"/>
      <c r="S463" s="17"/>
      <c r="T463" s="17"/>
      <c r="U463" s="17"/>
      <c r="V463" s="17"/>
      <c r="W463" s="17"/>
      <c r="X463" s="17"/>
      <c r="Y463" s="17"/>
      <c r="Z463" s="17"/>
      <c r="AA463" s="17"/>
      <c r="AB463" s="17"/>
      <c r="AC463" s="17"/>
      <c r="AD463" s="17"/>
      <c r="AE463" s="17"/>
      <c r="AF463" s="17"/>
      <c r="AG463" s="17"/>
      <c r="AH463" s="17"/>
      <c r="AI463" s="17"/>
      <c r="AJ463" s="17"/>
      <c r="AK463" s="17"/>
      <c r="AL463" s="17"/>
      <c r="AM463" s="17"/>
      <c r="AN463" s="17"/>
      <c r="AO463" s="17"/>
      <c r="AP463" s="17"/>
      <c r="AQ463" s="17"/>
      <c r="AR463" s="17"/>
      <c r="AS463" s="17"/>
    </row>
    <row r="464" spans="1:45">
      <c r="A464" s="28">
        <f t="shared" si="23"/>
        <v>459</v>
      </c>
      <c r="B464" s="7"/>
      <c r="C464" s="35" t="str">
        <f>IFERROR(VLOOKUP(B464,'MASTER RECORD'!$B$5:$W$1000,3,0),"")</f>
        <v/>
      </c>
      <c r="D464" s="35" t="str">
        <f>IFERROR(VLOOKUP(B464,'MASTER RECORD'!$B$5:$W$1000,2,0),"")</f>
        <v/>
      </c>
      <c r="E464" s="36" t="str">
        <f>IFERROR(VLOOKUP(B464,'MASTER RECORD'!$B$5:$W$1000,9,0),"")</f>
        <v/>
      </c>
      <c r="F464" s="35" t="str">
        <f>IFERROR(VLOOKUP(B464,'MASTER RECORD'!$B$5:$W$1000,10,0) &amp;"."&amp;(VLOOKUP(B464,'MASTER RECORD'!$B$5:$W$1000,11,0)),"")</f>
        <v/>
      </c>
      <c r="G464" s="36" t="str">
        <f t="shared" si="22"/>
        <v/>
      </c>
      <c r="H464" s="35" t="str">
        <f t="shared" si="24"/>
        <v/>
      </c>
      <c r="I464" s="35" t="str">
        <f>IFERROR(VLOOKUP(B464,'MASTER RECORD'!$B$5:$W$1000,14,0),"")</f>
        <v/>
      </c>
      <c r="J464" s="17"/>
      <c r="K464" s="17"/>
      <c r="L464" s="17"/>
      <c r="M464" s="17"/>
      <c r="N464" s="17"/>
      <c r="O464" s="17"/>
      <c r="P464" s="17"/>
      <c r="Q464" s="17"/>
      <c r="R464" s="17"/>
      <c r="S464" s="17"/>
      <c r="T464" s="17"/>
      <c r="U464" s="17"/>
      <c r="V464" s="17"/>
      <c r="W464" s="17"/>
      <c r="X464" s="17"/>
      <c r="Y464" s="17"/>
      <c r="Z464" s="17"/>
      <c r="AA464" s="17"/>
      <c r="AB464" s="17"/>
      <c r="AC464" s="17"/>
      <c r="AD464" s="17"/>
      <c r="AE464" s="17"/>
      <c r="AF464" s="17"/>
      <c r="AG464" s="17"/>
      <c r="AH464" s="17"/>
      <c r="AI464" s="17"/>
      <c r="AJ464" s="17"/>
      <c r="AK464" s="17"/>
      <c r="AL464" s="17"/>
      <c r="AM464" s="17"/>
      <c r="AN464" s="17"/>
      <c r="AO464" s="17"/>
      <c r="AP464" s="17"/>
      <c r="AQ464" s="17"/>
      <c r="AR464" s="17"/>
      <c r="AS464" s="17"/>
    </row>
    <row r="465" spans="1:45">
      <c r="A465" s="28">
        <f t="shared" si="23"/>
        <v>460</v>
      </c>
      <c r="B465" s="7"/>
      <c r="C465" s="35" t="str">
        <f>IFERROR(VLOOKUP(B465,'MASTER RECORD'!$B$5:$W$1000,3,0),"")</f>
        <v/>
      </c>
      <c r="D465" s="35" t="str">
        <f>IFERROR(VLOOKUP(B465,'MASTER RECORD'!$B$5:$W$1000,2,0),"")</f>
        <v/>
      </c>
      <c r="E465" s="36" t="str">
        <f>IFERROR(VLOOKUP(B465,'MASTER RECORD'!$B$5:$W$1000,9,0),"")</f>
        <v/>
      </c>
      <c r="F465" s="35" t="str">
        <f>IFERROR(VLOOKUP(B465,'MASTER RECORD'!$B$5:$W$1000,10,0) &amp;"."&amp;(VLOOKUP(B465,'MASTER RECORD'!$B$5:$W$1000,11,0)),"")</f>
        <v/>
      </c>
      <c r="G465" s="36" t="str">
        <f t="shared" si="22"/>
        <v/>
      </c>
      <c r="H465" s="35" t="str">
        <f t="shared" si="24"/>
        <v/>
      </c>
      <c r="I465" s="35" t="str">
        <f>IFERROR(VLOOKUP(B465,'MASTER RECORD'!$B$5:$W$1000,14,0),"")</f>
        <v/>
      </c>
      <c r="J465" s="17"/>
      <c r="K465" s="17"/>
      <c r="L465" s="17"/>
      <c r="M465" s="17"/>
      <c r="N465" s="17"/>
      <c r="O465" s="17"/>
      <c r="P465" s="17"/>
      <c r="Q465" s="17"/>
      <c r="R465" s="17"/>
      <c r="S465" s="17"/>
      <c r="T465" s="17"/>
      <c r="U465" s="17"/>
      <c r="V465" s="17"/>
      <c r="W465" s="17"/>
      <c r="X465" s="17"/>
      <c r="Y465" s="17"/>
      <c r="Z465" s="17"/>
      <c r="AA465" s="17"/>
      <c r="AB465" s="17"/>
      <c r="AC465" s="17"/>
      <c r="AD465" s="17"/>
      <c r="AE465" s="17"/>
      <c r="AF465" s="17"/>
      <c r="AG465" s="17"/>
      <c r="AH465" s="17"/>
      <c r="AI465" s="17"/>
      <c r="AJ465" s="17"/>
      <c r="AK465" s="17"/>
      <c r="AL465" s="17"/>
      <c r="AM465" s="17"/>
      <c r="AN465" s="17"/>
      <c r="AO465" s="17"/>
      <c r="AP465" s="17"/>
      <c r="AQ465" s="17"/>
      <c r="AR465" s="17"/>
      <c r="AS465" s="17"/>
    </row>
    <row r="466" spans="1:45">
      <c r="A466" s="28">
        <f t="shared" si="23"/>
        <v>461</v>
      </c>
      <c r="B466" s="7"/>
      <c r="C466" s="35" t="str">
        <f>IFERROR(VLOOKUP(B466,'MASTER RECORD'!$B$5:$W$1000,3,0),"")</f>
        <v/>
      </c>
      <c r="D466" s="35" t="str">
        <f>IFERROR(VLOOKUP(B466,'MASTER RECORD'!$B$5:$W$1000,2,0),"")</f>
        <v/>
      </c>
      <c r="E466" s="36" t="str">
        <f>IFERROR(VLOOKUP(B466,'MASTER RECORD'!$B$5:$W$1000,9,0),"")</f>
        <v/>
      </c>
      <c r="F466" s="35" t="str">
        <f>IFERROR(VLOOKUP(B466,'MASTER RECORD'!$B$5:$W$1000,10,0) &amp;"."&amp;(VLOOKUP(B466,'MASTER RECORD'!$B$5:$W$1000,11,0)),"")</f>
        <v/>
      </c>
      <c r="G466" s="36" t="str">
        <f t="shared" si="22"/>
        <v/>
      </c>
      <c r="H466" s="35" t="str">
        <f t="shared" si="24"/>
        <v/>
      </c>
      <c r="I466" s="35" t="str">
        <f>IFERROR(VLOOKUP(B466,'MASTER RECORD'!$B$5:$W$1000,14,0),"")</f>
        <v/>
      </c>
      <c r="J466" s="17"/>
      <c r="K466" s="17"/>
      <c r="L466" s="17"/>
      <c r="M466" s="17"/>
      <c r="N466" s="17"/>
      <c r="O466" s="17"/>
      <c r="P466" s="17"/>
      <c r="Q466" s="17"/>
      <c r="R466" s="17"/>
      <c r="S466" s="17"/>
      <c r="T466" s="17"/>
      <c r="U466" s="17"/>
      <c r="V466" s="17"/>
      <c r="W466" s="17"/>
      <c r="X466" s="17"/>
      <c r="Y466" s="17"/>
      <c r="Z466" s="17"/>
      <c r="AA466" s="17"/>
      <c r="AB466" s="17"/>
      <c r="AC466" s="17"/>
      <c r="AD466" s="17"/>
      <c r="AE466" s="17"/>
      <c r="AF466" s="17"/>
      <c r="AG466" s="17"/>
      <c r="AH466" s="17"/>
      <c r="AI466" s="17"/>
      <c r="AJ466" s="17"/>
      <c r="AK466" s="17"/>
      <c r="AL466" s="17"/>
      <c r="AM466" s="17"/>
      <c r="AN466" s="17"/>
      <c r="AO466" s="17"/>
      <c r="AP466" s="17"/>
      <c r="AQ466" s="17"/>
      <c r="AR466" s="17"/>
      <c r="AS466" s="17"/>
    </row>
    <row r="467" spans="1:45">
      <c r="A467" s="28">
        <f t="shared" si="23"/>
        <v>462</v>
      </c>
      <c r="B467" s="7"/>
      <c r="C467" s="35" t="str">
        <f>IFERROR(VLOOKUP(B467,'MASTER RECORD'!$B$5:$W$1000,3,0),"")</f>
        <v/>
      </c>
      <c r="D467" s="35" t="str">
        <f>IFERROR(VLOOKUP(B467,'MASTER RECORD'!$B$5:$W$1000,2,0),"")</f>
        <v/>
      </c>
      <c r="E467" s="36" t="str">
        <f>IFERROR(VLOOKUP(B467,'MASTER RECORD'!$B$5:$W$1000,9,0),"")</f>
        <v/>
      </c>
      <c r="F467" s="35" t="str">
        <f>IFERROR(VLOOKUP(B467,'MASTER RECORD'!$B$5:$W$1000,10,0) &amp;"."&amp;(VLOOKUP(B467,'MASTER RECORD'!$B$5:$W$1000,11,0)),"")</f>
        <v/>
      </c>
      <c r="G467" s="36" t="str">
        <f t="shared" si="22"/>
        <v/>
      </c>
      <c r="H467" s="35" t="str">
        <f t="shared" si="24"/>
        <v/>
      </c>
      <c r="I467" s="35" t="str">
        <f>IFERROR(VLOOKUP(B467,'MASTER RECORD'!$B$5:$W$1000,14,0),"")</f>
        <v/>
      </c>
      <c r="J467" s="17"/>
      <c r="K467" s="17"/>
      <c r="L467" s="17"/>
      <c r="M467" s="17"/>
      <c r="N467" s="17"/>
      <c r="O467" s="17"/>
      <c r="P467" s="17"/>
      <c r="Q467" s="17"/>
      <c r="R467" s="17"/>
      <c r="S467" s="17"/>
      <c r="T467" s="17"/>
      <c r="U467" s="17"/>
      <c r="V467" s="17"/>
      <c r="W467" s="17"/>
      <c r="X467" s="17"/>
      <c r="Y467" s="17"/>
      <c r="Z467" s="17"/>
      <c r="AA467" s="17"/>
      <c r="AB467" s="17"/>
      <c r="AC467" s="17"/>
      <c r="AD467" s="17"/>
      <c r="AE467" s="17"/>
      <c r="AF467" s="17"/>
      <c r="AG467" s="17"/>
      <c r="AH467" s="17"/>
      <c r="AI467" s="17"/>
      <c r="AJ467" s="17"/>
      <c r="AK467" s="17"/>
      <c r="AL467" s="17"/>
      <c r="AM467" s="17"/>
      <c r="AN467" s="17"/>
      <c r="AO467" s="17"/>
      <c r="AP467" s="17"/>
      <c r="AQ467" s="17"/>
      <c r="AR467" s="17"/>
      <c r="AS467" s="17"/>
    </row>
    <row r="468" spans="1:45">
      <c r="A468" s="28">
        <f t="shared" si="23"/>
        <v>463</v>
      </c>
      <c r="B468" s="7"/>
      <c r="C468" s="35" t="str">
        <f>IFERROR(VLOOKUP(B468,'MASTER RECORD'!$B$5:$W$1000,3,0),"")</f>
        <v/>
      </c>
      <c r="D468" s="35" t="str">
        <f>IFERROR(VLOOKUP(B468,'MASTER RECORD'!$B$5:$W$1000,2,0),"")</f>
        <v/>
      </c>
      <c r="E468" s="36" t="str">
        <f>IFERROR(VLOOKUP(B468,'MASTER RECORD'!$B$5:$W$1000,9,0),"")</f>
        <v/>
      </c>
      <c r="F468" s="35" t="str">
        <f>IFERROR(VLOOKUP(B468,'MASTER RECORD'!$B$5:$W$1000,10,0) &amp;"."&amp;(VLOOKUP(B468,'MASTER RECORD'!$B$5:$W$1000,11,0)),"")</f>
        <v/>
      </c>
      <c r="G468" s="36" t="str">
        <f t="shared" si="22"/>
        <v/>
      </c>
      <c r="H468" s="35" t="str">
        <f t="shared" si="24"/>
        <v/>
      </c>
      <c r="I468" s="35" t="str">
        <f>IFERROR(VLOOKUP(B468,'MASTER RECORD'!$B$5:$W$1000,14,0),"")</f>
        <v/>
      </c>
      <c r="J468" s="17"/>
      <c r="K468" s="17"/>
      <c r="L468" s="17"/>
      <c r="M468" s="17"/>
      <c r="N468" s="17"/>
      <c r="O468" s="17"/>
      <c r="P468" s="17"/>
      <c r="Q468" s="17"/>
      <c r="R468" s="17"/>
      <c r="S468" s="17"/>
      <c r="T468" s="17"/>
      <c r="U468" s="17"/>
      <c r="V468" s="17"/>
      <c r="W468" s="17"/>
      <c r="X468" s="17"/>
      <c r="Y468" s="17"/>
      <c r="Z468" s="17"/>
      <c r="AA468" s="17"/>
      <c r="AB468" s="17"/>
      <c r="AC468" s="17"/>
      <c r="AD468" s="17"/>
      <c r="AE468" s="17"/>
      <c r="AF468" s="17"/>
      <c r="AG468" s="17"/>
      <c r="AH468" s="17"/>
      <c r="AI468" s="17"/>
      <c r="AJ468" s="17"/>
      <c r="AK468" s="17"/>
      <c r="AL468" s="17"/>
      <c r="AM468" s="17"/>
      <c r="AN468" s="17"/>
      <c r="AO468" s="17"/>
      <c r="AP468" s="17"/>
      <c r="AQ468" s="17"/>
      <c r="AR468" s="17"/>
      <c r="AS468" s="17"/>
    </row>
    <row r="469" spans="1:45">
      <c r="A469" s="28">
        <f t="shared" si="23"/>
        <v>464</v>
      </c>
      <c r="B469" s="7"/>
      <c r="C469" s="35" t="str">
        <f>IFERROR(VLOOKUP(B469,'MASTER RECORD'!$B$5:$W$1000,3,0),"")</f>
        <v/>
      </c>
      <c r="D469" s="35" t="str">
        <f>IFERROR(VLOOKUP(B469,'MASTER RECORD'!$B$5:$W$1000,2,0),"")</f>
        <v/>
      </c>
      <c r="E469" s="36" t="str">
        <f>IFERROR(VLOOKUP(B469,'MASTER RECORD'!$B$5:$W$1000,9,0),"")</f>
        <v/>
      </c>
      <c r="F469" s="35" t="str">
        <f>IFERROR(VLOOKUP(B469,'MASTER RECORD'!$B$5:$W$1000,10,0) &amp;"."&amp;(VLOOKUP(B469,'MASTER RECORD'!$B$5:$W$1000,11,0)),"")</f>
        <v/>
      </c>
      <c r="G469" s="36" t="str">
        <f t="shared" si="22"/>
        <v/>
      </c>
      <c r="H469" s="35" t="str">
        <f t="shared" si="24"/>
        <v/>
      </c>
      <c r="I469" s="35" t="str">
        <f>IFERROR(VLOOKUP(B469,'MASTER RECORD'!$B$5:$W$1000,14,0),"")</f>
        <v/>
      </c>
      <c r="J469" s="17"/>
      <c r="K469" s="17"/>
      <c r="L469" s="17"/>
      <c r="M469" s="17"/>
      <c r="N469" s="17"/>
      <c r="O469" s="17"/>
      <c r="P469" s="17"/>
      <c r="Q469" s="17"/>
      <c r="R469" s="17"/>
      <c r="S469" s="17"/>
      <c r="T469" s="17"/>
      <c r="U469" s="17"/>
      <c r="V469" s="17"/>
      <c r="W469" s="17"/>
      <c r="X469" s="17"/>
      <c r="Y469" s="17"/>
      <c r="Z469" s="17"/>
      <c r="AA469" s="17"/>
      <c r="AB469" s="17"/>
      <c r="AC469" s="17"/>
      <c r="AD469" s="17"/>
      <c r="AE469" s="17"/>
      <c r="AF469" s="17"/>
      <c r="AG469" s="17"/>
      <c r="AH469" s="17"/>
      <c r="AI469" s="17"/>
      <c r="AJ469" s="17"/>
      <c r="AK469" s="17"/>
      <c r="AL469" s="17"/>
      <c r="AM469" s="17"/>
      <c r="AN469" s="17"/>
      <c r="AO469" s="17"/>
      <c r="AP469" s="17"/>
      <c r="AQ469" s="17"/>
      <c r="AR469" s="17"/>
      <c r="AS469" s="17"/>
    </row>
    <row r="470" spans="1:45">
      <c r="A470" s="28">
        <f t="shared" si="23"/>
        <v>465</v>
      </c>
      <c r="B470" s="7"/>
      <c r="C470" s="35" t="str">
        <f>IFERROR(VLOOKUP(B470,'MASTER RECORD'!$B$5:$W$1000,3,0),"")</f>
        <v/>
      </c>
      <c r="D470" s="35" t="str">
        <f>IFERROR(VLOOKUP(B470,'MASTER RECORD'!$B$5:$W$1000,2,0),"")</f>
        <v/>
      </c>
      <c r="E470" s="36" t="str">
        <f>IFERROR(VLOOKUP(B470,'MASTER RECORD'!$B$5:$W$1000,9,0),"")</f>
        <v/>
      </c>
      <c r="F470" s="35" t="str">
        <f>IFERROR(VLOOKUP(B470,'MASTER RECORD'!$B$5:$W$1000,10,0) &amp;"."&amp;(VLOOKUP(B470,'MASTER RECORD'!$B$5:$W$1000,11,0)),"")</f>
        <v/>
      </c>
      <c r="G470" s="36" t="str">
        <f t="shared" si="22"/>
        <v/>
      </c>
      <c r="H470" s="35" t="str">
        <f t="shared" si="24"/>
        <v/>
      </c>
      <c r="I470" s="35" t="str">
        <f>IFERROR(VLOOKUP(B470,'MASTER RECORD'!$B$5:$W$1000,14,0),"")</f>
        <v/>
      </c>
      <c r="J470" s="17"/>
      <c r="K470" s="17"/>
      <c r="L470" s="17"/>
      <c r="M470" s="17"/>
      <c r="N470" s="17"/>
      <c r="O470" s="17"/>
      <c r="P470" s="17"/>
      <c r="Q470" s="17"/>
      <c r="R470" s="17"/>
      <c r="S470" s="17"/>
      <c r="T470" s="17"/>
      <c r="U470" s="17"/>
      <c r="V470" s="17"/>
      <c r="W470" s="17"/>
      <c r="X470" s="17"/>
      <c r="Y470" s="17"/>
      <c r="Z470" s="17"/>
      <c r="AA470" s="17"/>
      <c r="AB470" s="17"/>
      <c r="AC470" s="17"/>
      <c r="AD470" s="17"/>
      <c r="AE470" s="17"/>
      <c r="AF470" s="17"/>
      <c r="AG470" s="17"/>
      <c r="AH470" s="17"/>
      <c r="AI470" s="17"/>
      <c r="AJ470" s="17"/>
      <c r="AK470" s="17"/>
      <c r="AL470" s="17"/>
      <c r="AM470" s="17"/>
      <c r="AN470" s="17"/>
      <c r="AO470" s="17"/>
      <c r="AP470" s="17"/>
      <c r="AQ470" s="17"/>
      <c r="AR470" s="17"/>
      <c r="AS470" s="17"/>
    </row>
    <row r="471" spans="1:45">
      <c r="A471" s="28">
        <f t="shared" si="23"/>
        <v>466</v>
      </c>
      <c r="B471" s="7"/>
      <c r="C471" s="35" t="str">
        <f>IFERROR(VLOOKUP(B471,'MASTER RECORD'!$B$5:$W$1000,3,0),"")</f>
        <v/>
      </c>
      <c r="D471" s="35" t="str">
        <f>IFERROR(VLOOKUP(B471,'MASTER RECORD'!$B$5:$W$1000,2,0),"")</f>
        <v/>
      </c>
      <c r="E471" s="36" t="str">
        <f>IFERROR(VLOOKUP(B471,'MASTER RECORD'!$B$5:$W$1000,9,0),"")</f>
        <v/>
      </c>
      <c r="F471" s="35" t="str">
        <f>IFERROR(VLOOKUP(B471,'MASTER RECORD'!$B$5:$W$1000,10,0) &amp;"."&amp;(VLOOKUP(B471,'MASTER RECORD'!$B$5:$W$1000,11,0)),"")</f>
        <v/>
      </c>
      <c r="G471" s="36" t="str">
        <f t="shared" si="22"/>
        <v/>
      </c>
      <c r="H471" s="35" t="str">
        <f t="shared" si="24"/>
        <v/>
      </c>
      <c r="I471" s="35" t="str">
        <f>IFERROR(VLOOKUP(B471,'MASTER RECORD'!$B$5:$W$1000,14,0),"")</f>
        <v/>
      </c>
      <c r="J471" s="17"/>
      <c r="K471" s="17"/>
      <c r="L471" s="17"/>
      <c r="M471" s="17"/>
      <c r="N471" s="17"/>
      <c r="O471" s="17"/>
      <c r="P471" s="17"/>
      <c r="Q471" s="17"/>
      <c r="R471" s="17"/>
      <c r="S471" s="17"/>
      <c r="T471" s="17"/>
      <c r="U471" s="17"/>
      <c r="V471" s="17"/>
      <c r="W471" s="17"/>
      <c r="X471" s="17"/>
      <c r="Y471" s="17"/>
      <c r="Z471" s="17"/>
      <c r="AA471" s="17"/>
      <c r="AB471" s="17"/>
      <c r="AC471" s="17"/>
      <c r="AD471" s="17"/>
      <c r="AE471" s="17"/>
      <c r="AF471" s="17"/>
      <c r="AG471" s="17"/>
      <c r="AH471" s="17"/>
      <c r="AI471" s="17"/>
      <c r="AJ471" s="17"/>
      <c r="AK471" s="17"/>
      <c r="AL471" s="17"/>
      <c r="AM471" s="17"/>
      <c r="AN471" s="17"/>
      <c r="AO471" s="17"/>
      <c r="AP471" s="17"/>
      <c r="AQ471" s="17"/>
      <c r="AR471" s="17"/>
      <c r="AS471" s="17"/>
    </row>
    <row r="472" spans="1:45">
      <c r="A472" s="28">
        <f t="shared" si="23"/>
        <v>467</v>
      </c>
      <c r="B472" s="7"/>
      <c r="C472" s="35" t="str">
        <f>IFERROR(VLOOKUP(B472,'MASTER RECORD'!$B$5:$W$1000,3,0),"")</f>
        <v/>
      </c>
      <c r="D472" s="35" t="str">
        <f>IFERROR(VLOOKUP(B472,'MASTER RECORD'!$B$5:$W$1000,2,0),"")</f>
        <v/>
      </c>
      <c r="E472" s="36" t="str">
        <f>IFERROR(VLOOKUP(B472,'MASTER RECORD'!$B$5:$W$1000,9,0),"")</f>
        <v/>
      </c>
      <c r="F472" s="35" t="str">
        <f>IFERROR(VLOOKUP(B472,'MASTER RECORD'!$B$5:$W$1000,10,0) &amp;"."&amp;(VLOOKUP(B472,'MASTER RECORD'!$B$5:$W$1000,11,0)),"")</f>
        <v/>
      </c>
      <c r="G472" s="36" t="str">
        <f t="shared" si="22"/>
        <v/>
      </c>
      <c r="H472" s="35" t="str">
        <f t="shared" si="24"/>
        <v/>
      </c>
      <c r="I472" s="35" t="str">
        <f>IFERROR(VLOOKUP(B472,'MASTER RECORD'!$B$5:$W$1000,14,0),"")</f>
        <v/>
      </c>
      <c r="J472" s="17"/>
      <c r="K472" s="17"/>
      <c r="L472" s="17"/>
      <c r="M472" s="17"/>
      <c r="N472" s="17"/>
      <c r="O472" s="17"/>
      <c r="P472" s="17"/>
      <c r="Q472" s="17"/>
      <c r="R472" s="17"/>
      <c r="S472" s="17"/>
      <c r="T472" s="17"/>
      <c r="U472" s="17"/>
      <c r="V472" s="17"/>
      <c r="W472" s="17"/>
      <c r="X472" s="17"/>
      <c r="Y472" s="17"/>
      <c r="Z472" s="17"/>
      <c r="AA472" s="17"/>
      <c r="AB472" s="17"/>
      <c r="AC472" s="17"/>
      <c r="AD472" s="17"/>
      <c r="AE472" s="17"/>
      <c r="AF472" s="17"/>
      <c r="AG472" s="17"/>
      <c r="AH472" s="17"/>
      <c r="AI472" s="17"/>
      <c r="AJ472" s="17"/>
      <c r="AK472" s="17"/>
      <c r="AL472" s="17"/>
      <c r="AM472" s="17"/>
      <c r="AN472" s="17"/>
      <c r="AO472" s="17"/>
      <c r="AP472" s="17"/>
      <c r="AQ472" s="17"/>
      <c r="AR472" s="17"/>
      <c r="AS472" s="17"/>
    </row>
    <row r="473" spans="1:45">
      <c r="A473" s="28">
        <f t="shared" si="23"/>
        <v>468</v>
      </c>
      <c r="B473" s="7"/>
      <c r="C473" s="35" t="str">
        <f>IFERROR(VLOOKUP(B473,'MASTER RECORD'!$B$5:$W$1000,3,0),"")</f>
        <v/>
      </c>
      <c r="D473" s="35" t="str">
        <f>IFERROR(VLOOKUP(B473,'MASTER RECORD'!$B$5:$W$1000,2,0),"")</f>
        <v/>
      </c>
      <c r="E473" s="36" t="str">
        <f>IFERROR(VLOOKUP(B473,'MASTER RECORD'!$B$5:$W$1000,9,0),"")</f>
        <v/>
      </c>
      <c r="F473" s="35" t="str">
        <f>IFERROR(VLOOKUP(B473,'MASTER RECORD'!$B$5:$W$1000,10,0) &amp;"."&amp;(VLOOKUP(B473,'MASTER RECORD'!$B$5:$W$1000,11,0)),"")</f>
        <v/>
      </c>
      <c r="G473" s="36" t="str">
        <f t="shared" si="22"/>
        <v/>
      </c>
      <c r="H473" s="35" t="str">
        <f t="shared" si="24"/>
        <v/>
      </c>
      <c r="I473" s="35" t="str">
        <f>IFERROR(VLOOKUP(B473,'MASTER RECORD'!$B$5:$W$1000,14,0),"")</f>
        <v/>
      </c>
      <c r="J473" s="17"/>
      <c r="K473" s="17"/>
      <c r="L473" s="17"/>
      <c r="M473" s="17"/>
      <c r="N473" s="17"/>
      <c r="O473" s="17"/>
      <c r="P473" s="17"/>
      <c r="Q473" s="17"/>
      <c r="R473" s="17"/>
      <c r="S473" s="17"/>
      <c r="T473" s="17"/>
      <c r="U473" s="17"/>
      <c r="V473" s="17"/>
      <c r="W473" s="17"/>
      <c r="X473" s="17"/>
      <c r="Y473" s="17"/>
      <c r="Z473" s="17"/>
      <c r="AA473" s="17"/>
      <c r="AB473" s="17"/>
      <c r="AC473" s="17"/>
      <c r="AD473" s="17"/>
      <c r="AE473" s="17"/>
      <c r="AF473" s="17"/>
      <c r="AG473" s="17"/>
      <c r="AH473" s="17"/>
      <c r="AI473" s="17"/>
      <c r="AJ473" s="17"/>
      <c r="AK473" s="17"/>
      <c r="AL473" s="17"/>
      <c r="AM473" s="17"/>
      <c r="AN473" s="17"/>
      <c r="AO473" s="17"/>
      <c r="AP473" s="17"/>
      <c r="AQ473" s="17"/>
      <c r="AR473" s="17"/>
      <c r="AS473" s="17"/>
    </row>
    <row r="474" spans="1:45">
      <c r="A474" s="28">
        <f t="shared" si="23"/>
        <v>469</v>
      </c>
      <c r="B474" s="7"/>
      <c r="C474" s="35" t="str">
        <f>IFERROR(VLOOKUP(B474,'MASTER RECORD'!$B$5:$W$1000,3,0),"")</f>
        <v/>
      </c>
      <c r="D474" s="35" t="str">
        <f>IFERROR(VLOOKUP(B474,'MASTER RECORD'!$B$5:$W$1000,2,0),"")</f>
        <v/>
      </c>
      <c r="E474" s="36" t="str">
        <f>IFERROR(VLOOKUP(B474,'MASTER RECORD'!$B$5:$W$1000,9,0),"")</f>
        <v/>
      </c>
      <c r="F474" s="35" t="str">
        <f>IFERROR(VLOOKUP(B474,'MASTER RECORD'!$B$5:$W$1000,10,0) &amp;"."&amp;(VLOOKUP(B474,'MASTER RECORD'!$B$5:$W$1000,11,0)),"")</f>
        <v/>
      </c>
      <c r="G474" s="36" t="str">
        <f t="shared" si="22"/>
        <v/>
      </c>
      <c r="H474" s="35" t="str">
        <f t="shared" si="24"/>
        <v/>
      </c>
      <c r="I474" s="35" t="str">
        <f>IFERROR(VLOOKUP(B474,'MASTER RECORD'!$B$5:$W$1000,14,0),"")</f>
        <v/>
      </c>
      <c r="J474" s="17"/>
      <c r="K474" s="17"/>
      <c r="L474" s="17"/>
      <c r="M474" s="17"/>
      <c r="N474" s="17"/>
      <c r="O474" s="17"/>
      <c r="P474" s="17"/>
      <c r="Q474" s="17"/>
      <c r="R474" s="17"/>
      <c r="S474" s="17"/>
      <c r="T474" s="17"/>
      <c r="U474" s="17"/>
      <c r="V474" s="17"/>
      <c r="W474" s="17"/>
      <c r="X474" s="17"/>
      <c r="Y474" s="17"/>
      <c r="Z474" s="17"/>
      <c r="AA474" s="17"/>
      <c r="AB474" s="17"/>
      <c r="AC474" s="17"/>
      <c r="AD474" s="17"/>
      <c r="AE474" s="17"/>
      <c r="AF474" s="17"/>
      <c r="AG474" s="17"/>
      <c r="AH474" s="17"/>
      <c r="AI474" s="17"/>
      <c r="AJ474" s="17"/>
      <c r="AK474" s="17"/>
      <c r="AL474" s="17"/>
      <c r="AM474" s="17"/>
      <c r="AN474" s="17"/>
      <c r="AO474" s="17"/>
      <c r="AP474" s="17"/>
      <c r="AQ474" s="17"/>
      <c r="AR474" s="17"/>
      <c r="AS474" s="17"/>
    </row>
    <row r="475" spans="1:45">
      <c r="A475" s="28">
        <f t="shared" si="23"/>
        <v>470</v>
      </c>
      <c r="B475" s="7"/>
      <c r="C475" s="35" t="str">
        <f>IFERROR(VLOOKUP(B475,'MASTER RECORD'!$B$5:$W$1000,3,0),"")</f>
        <v/>
      </c>
      <c r="D475" s="35" t="str">
        <f>IFERROR(VLOOKUP(B475,'MASTER RECORD'!$B$5:$W$1000,2,0),"")</f>
        <v/>
      </c>
      <c r="E475" s="36" t="str">
        <f>IFERROR(VLOOKUP(B475,'MASTER RECORD'!$B$5:$W$1000,9,0),"")</f>
        <v/>
      </c>
      <c r="F475" s="35" t="str">
        <f>IFERROR(VLOOKUP(B475,'MASTER RECORD'!$B$5:$W$1000,10,0) &amp;"."&amp;(VLOOKUP(B475,'MASTER RECORD'!$B$5:$W$1000,11,0)),"")</f>
        <v/>
      </c>
      <c r="G475" s="36" t="str">
        <f t="shared" si="22"/>
        <v/>
      </c>
      <c r="H475" s="35" t="str">
        <f t="shared" si="24"/>
        <v/>
      </c>
      <c r="I475" s="35" t="str">
        <f>IFERROR(VLOOKUP(B475,'MASTER RECORD'!$B$5:$W$1000,14,0),"")</f>
        <v/>
      </c>
      <c r="J475" s="17"/>
      <c r="K475" s="17"/>
      <c r="L475" s="17"/>
      <c r="M475" s="17"/>
      <c r="N475" s="17"/>
      <c r="O475" s="17"/>
      <c r="P475" s="17"/>
      <c r="Q475" s="17"/>
      <c r="R475" s="17"/>
      <c r="S475" s="17"/>
      <c r="T475" s="17"/>
      <c r="U475" s="17"/>
      <c r="V475" s="17"/>
      <c r="W475" s="17"/>
      <c r="X475" s="17"/>
      <c r="Y475" s="17"/>
      <c r="Z475" s="17"/>
      <c r="AA475" s="17"/>
      <c r="AB475" s="17"/>
      <c r="AC475" s="17"/>
      <c r="AD475" s="17"/>
      <c r="AE475" s="17"/>
      <c r="AF475" s="17"/>
      <c r="AG475" s="17"/>
      <c r="AH475" s="17"/>
      <c r="AI475" s="17"/>
      <c r="AJ475" s="17"/>
      <c r="AK475" s="17"/>
      <c r="AL475" s="17"/>
      <c r="AM475" s="17"/>
      <c r="AN475" s="17"/>
      <c r="AO475" s="17"/>
      <c r="AP475" s="17"/>
      <c r="AQ475" s="17"/>
      <c r="AR475" s="17"/>
      <c r="AS475" s="17"/>
    </row>
    <row r="476" spans="1:45">
      <c r="A476" s="28">
        <f t="shared" si="23"/>
        <v>471</v>
      </c>
      <c r="B476" s="7"/>
      <c r="C476" s="35" t="str">
        <f>IFERROR(VLOOKUP(B476,'MASTER RECORD'!$B$5:$W$1000,3,0),"")</f>
        <v/>
      </c>
      <c r="D476" s="35" t="str">
        <f>IFERROR(VLOOKUP(B476,'MASTER RECORD'!$B$5:$W$1000,2,0),"")</f>
        <v/>
      </c>
      <c r="E476" s="36" t="str">
        <f>IFERROR(VLOOKUP(B476,'MASTER RECORD'!$B$5:$W$1000,9,0),"")</f>
        <v/>
      </c>
      <c r="F476" s="35" t="str">
        <f>IFERROR(VLOOKUP(B476,'MASTER RECORD'!$B$5:$W$1000,10,0) &amp;"."&amp;(VLOOKUP(B476,'MASTER RECORD'!$B$5:$W$1000,11,0)),"")</f>
        <v/>
      </c>
      <c r="G476" s="36" t="str">
        <f t="shared" si="22"/>
        <v/>
      </c>
      <c r="H476" s="35" t="str">
        <f t="shared" si="24"/>
        <v/>
      </c>
      <c r="I476" s="35" t="str">
        <f>IFERROR(VLOOKUP(B476,'MASTER RECORD'!$B$5:$W$1000,14,0),"")</f>
        <v/>
      </c>
      <c r="J476" s="17"/>
      <c r="K476" s="17"/>
      <c r="L476" s="17"/>
      <c r="M476" s="17"/>
      <c r="N476" s="17"/>
      <c r="O476" s="17"/>
      <c r="P476" s="17"/>
      <c r="Q476" s="17"/>
      <c r="R476" s="17"/>
      <c r="S476" s="17"/>
      <c r="T476" s="17"/>
      <c r="U476" s="17"/>
      <c r="V476" s="17"/>
      <c r="W476" s="17"/>
      <c r="X476" s="17"/>
      <c r="Y476" s="17"/>
      <c r="Z476" s="17"/>
      <c r="AA476" s="17"/>
      <c r="AB476" s="17"/>
      <c r="AC476" s="17"/>
      <c r="AD476" s="17"/>
      <c r="AE476" s="17"/>
      <c r="AF476" s="17"/>
      <c r="AG476" s="17"/>
      <c r="AH476" s="17"/>
      <c r="AI476" s="17"/>
      <c r="AJ476" s="17"/>
      <c r="AK476" s="17"/>
      <c r="AL476" s="17"/>
      <c r="AM476" s="17"/>
      <c r="AN476" s="17"/>
      <c r="AO476" s="17"/>
      <c r="AP476" s="17"/>
      <c r="AQ476" s="17"/>
      <c r="AR476" s="17"/>
      <c r="AS476" s="17"/>
    </row>
    <row r="477" spans="1:45">
      <c r="A477" s="28">
        <f t="shared" si="23"/>
        <v>472</v>
      </c>
      <c r="B477" s="7"/>
      <c r="C477" s="35" t="str">
        <f>IFERROR(VLOOKUP(B477,'MASTER RECORD'!$B$5:$W$1000,3,0),"")</f>
        <v/>
      </c>
      <c r="D477" s="35" t="str">
        <f>IFERROR(VLOOKUP(B477,'MASTER RECORD'!$B$5:$W$1000,2,0),"")</f>
        <v/>
      </c>
      <c r="E477" s="36" t="str">
        <f>IFERROR(VLOOKUP(B477,'MASTER RECORD'!$B$5:$W$1000,9,0),"")</f>
        <v/>
      </c>
      <c r="F477" s="35" t="str">
        <f>IFERROR(VLOOKUP(B477,'MASTER RECORD'!$B$5:$W$1000,10,0) &amp;"."&amp;(VLOOKUP(B477,'MASTER RECORD'!$B$5:$W$1000,11,0)),"")</f>
        <v/>
      </c>
      <c r="G477" s="36" t="str">
        <f t="shared" si="22"/>
        <v/>
      </c>
      <c r="H477" s="35" t="str">
        <f t="shared" si="24"/>
        <v/>
      </c>
      <c r="I477" s="35" t="str">
        <f>IFERROR(VLOOKUP(B477,'MASTER RECORD'!$B$5:$W$1000,14,0),"")</f>
        <v/>
      </c>
      <c r="J477" s="17"/>
      <c r="K477" s="17"/>
      <c r="L477" s="17"/>
      <c r="M477" s="17"/>
      <c r="N477" s="17"/>
      <c r="O477" s="17"/>
      <c r="P477" s="17"/>
      <c r="Q477" s="17"/>
      <c r="R477" s="17"/>
      <c r="S477" s="17"/>
      <c r="T477" s="17"/>
      <c r="U477" s="17"/>
      <c r="V477" s="17"/>
      <c r="W477" s="17"/>
      <c r="X477" s="17"/>
      <c r="Y477" s="17"/>
      <c r="Z477" s="17"/>
      <c r="AA477" s="17"/>
      <c r="AB477" s="17"/>
      <c r="AC477" s="17"/>
      <c r="AD477" s="17"/>
      <c r="AE477" s="17"/>
      <c r="AF477" s="17"/>
      <c r="AG477" s="17"/>
      <c r="AH477" s="17"/>
      <c r="AI477" s="17"/>
      <c r="AJ477" s="17"/>
      <c r="AK477" s="17"/>
      <c r="AL477" s="17"/>
      <c r="AM477" s="17"/>
      <c r="AN477" s="17"/>
      <c r="AO477" s="17"/>
      <c r="AP477" s="17"/>
      <c r="AQ477" s="17"/>
      <c r="AR477" s="17"/>
      <c r="AS477" s="17"/>
    </row>
    <row r="478" spans="1:45">
      <c r="A478" s="28">
        <f t="shared" si="23"/>
        <v>473</v>
      </c>
      <c r="B478" s="7"/>
      <c r="C478" s="35" t="str">
        <f>IFERROR(VLOOKUP(B478,'MASTER RECORD'!$B$5:$W$1000,3,0),"")</f>
        <v/>
      </c>
      <c r="D478" s="35" t="str">
        <f>IFERROR(VLOOKUP(B478,'MASTER RECORD'!$B$5:$W$1000,2,0),"")</f>
        <v/>
      </c>
      <c r="E478" s="36" t="str">
        <f>IFERROR(VLOOKUP(B478,'MASTER RECORD'!$B$5:$W$1000,9,0),"")</f>
        <v/>
      </c>
      <c r="F478" s="35" t="str">
        <f>IFERROR(VLOOKUP(B478,'MASTER RECORD'!$B$5:$W$1000,10,0) &amp;"."&amp;(VLOOKUP(B478,'MASTER RECORD'!$B$5:$W$1000,11,0)),"")</f>
        <v/>
      </c>
      <c r="G478" s="36" t="str">
        <f t="shared" si="22"/>
        <v/>
      </c>
      <c r="H478" s="35" t="str">
        <f t="shared" si="24"/>
        <v/>
      </c>
      <c r="I478" s="35" t="str">
        <f>IFERROR(VLOOKUP(B478,'MASTER RECORD'!$B$5:$W$1000,14,0),"")</f>
        <v/>
      </c>
      <c r="J478" s="17"/>
      <c r="K478" s="17"/>
      <c r="L478" s="17"/>
      <c r="M478" s="17"/>
      <c r="N478" s="17"/>
      <c r="O478" s="17"/>
      <c r="P478" s="17"/>
      <c r="Q478" s="17"/>
      <c r="R478" s="17"/>
      <c r="S478" s="17"/>
      <c r="T478" s="17"/>
      <c r="U478" s="17"/>
      <c r="V478" s="17"/>
      <c r="W478" s="17"/>
      <c r="X478" s="17"/>
      <c r="Y478" s="17"/>
      <c r="Z478" s="17"/>
      <c r="AA478" s="17"/>
      <c r="AB478" s="17"/>
      <c r="AC478" s="17"/>
      <c r="AD478" s="17"/>
      <c r="AE478" s="17"/>
      <c r="AF478" s="17"/>
      <c r="AG478" s="17"/>
      <c r="AH478" s="17"/>
      <c r="AI478" s="17"/>
      <c r="AJ478" s="17"/>
      <c r="AK478" s="17"/>
      <c r="AL478" s="17"/>
      <c r="AM478" s="17"/>
      <c r="AN478" s="17"/>
      <c r="AO478" s="17"/>
      <c r="AP478" s="17"/>
      <c r="AQ478" s="17"/>
      <c r="AR478" s="17"/>
      <c r="AS478" s="17"/>
    </row>
    <row r="479" spans="1:45">
      <c r="A479" s="28">
        <f t="shared" si="23"/>
        <v>474</v>
      </c>
      <c r="B479" s="7"/>
      <c r="C479" s="35" t="str">
        <f>IFERROR(VLOOKUP(B479,'MASTER RECORD'!$B$5:$W$1000,3,0),"")</f>
        <v/>
      </c>
      <c r="D479" s="35" t="str">
        <f>IFERROR(VLOOKUP(B479,'MASTER RECORD'!$B$5:$W$1000,2,0),"")</f>
        <v/>
      </c>
      <c r="E479" s="36" t="str">
        <f>IFERROR(VLOOKUP(B479,'MASTER RECORD'!$B$5:$W$1000,9,0),"")</f>
        <v/>
      </c>
      <c r="F479" s="35" t="str">
        <f>IFERROR(VLOOKUP(B479,'MASTER RECORD'!$B$5:$W$1000,10,0) &amp;"."&amp;(VLOOKUP(B479,'MASTER RECORD'!$B$5:$W$1000,11,0)),"")</f>
        <v/>
      </c>
      <c r="G479" s="36" t="str">
        <f t="shared" si="22"/>
        <v/>
      </c>
      <c r="H479" s="35" t="str">
        <f t="shared" si="24"/>
        <v/>
      </c>
      <c r="I479" s="35" t="str">
        <f>IFERROR(VLOOKUP(B479,'MASTER RECORD'!$B$5:$W$1000,14,0),"")</f>
        <v/>
      </c>
      <c r="J479" s="17"/>
      <c r="K479" s="17"/>
      <c r="L479" s="17"/>
      <c r="M479" s="17"/>
      <c r="N479" s="17"/>
      <c r="O479" s="17"/>
      <c r="P479" s="17"/>
      <c r="Q479" s="17"/>
      <c r="R479" s="17"/>
      <c r="S479" s="17"/>
      <c r="T479" s="17"/>
      <c r="U479" s="17"/>
      <c r="V479" s="17"/>
      <c r="W479" s="17"/>
      <c r="X479" s="17"/>
      <c r="Y479" s="17"/>
      <c r="Z479" s="17"/>
      <c r="AA479" s="17"/>
      <c r="AB479" s="17"/>
      <c r="AC479" s="17"/>
      <c r="AD479" s="17"/>
      <c r="AE479" s="17"/>
      <c r="AF479" s="17"/>
      <c r="AG479" s="17"/>
      <c r="AH479" s="17"/>
      <c r="AI479" s="17"/>
      <c r="AJ479" s="17"/>
      <c r="AK479" s="17"/>
      <c r="AL479" s="17"/>
      <c r="AM479" s="17"/>
      <c r="AN479" s="17"/>
      <c r="AO479" s="17"/>
      <c r="AP479" s="17"/>
      <c r="AQ479" s="17"/>
      <c r="AR479" s="17"/>
      <c r="AS479" s="17"/>
    </row>
    <row r="480" spans="1:45">
      <c r="A480" s="28">
        <f t="shared" si="23"/>
        <v>475</v>
      </c>
      <c r="B480" s="7"/>
      <c r="C480" s="35" t="str">
        <f>IFERROR(VLOOKUP(B480,'MASTER RECORD'!$B$5:$W$1000,3,0),"")</f>
        <v/>
      </c>
      <c r="D480" s="35" t="str">
        <f>IFERROR(VLOOKUP(B480,'MASTER RECORD'!$B$5:$W$1000,2,0),"")</f>
        <v/>
      </c>
      <c r="E480" s="36" t="str">
        <f>IFERROR(VLOOKUP(B480,'MASTER RECORD'!$B$5:$W$1000,9,0),"")</f>
        <v/>
      </c>
      <c r="F480" s="35" t="str">
        <f>IFERROR(VLOOKUP(B480,'MASTER RECORD'!$B$5:$W$1000,10,0) &amp;"."&amp;(VLOOKUP(B480,'MASTER RECORD'!$B$5:$W$1000,11,0)),"")</f>
        <v/>
      </c>
      <c r="G480" s="36" t="str">
        <f t="shared" si="22"/>
        <v/>
      </c>
      <c r="H480" s="35" t="str">
        <f t="shared" si="24"/>
        <v/>
      </c>
      <c r="I480" s="35" t="str">
        <f>IFERROR(VLOOKUP(B480,'MASTER RECORD'!$B$5:$W$1000,14,0),"")</f>
        <v/>
      </c>
      <c r="J480" s="17"/>
      <c r="K480" s="17"/>
      <c r="L480" s="17"/>
      <c r="M480" s="17"/>
      <c r="N480" s="17"/>
      <c r="O480" s="17"/>
      <c r="P480" s="17"/>
      <c r="Q480" s="17"/>
      <c r="R480" s="17"/>
      <c r="S480" s="17"/>
      <c r="T480" s="17"/>
      <c r="U480" s="17"/>
      <c r="V480" s="17"/>
      <c r="W480" s="17"/>
      <c r="X480" s="17"/>
      <c r="Y480" s="17"/>
      <c r="Z480" s="17"/>
      <c r="AA480" s="17"/>
      <c r="AB480" s="17"/>
      <c r="AC480" s="17"/>
      <c r="AD480" s="17"/>
      <c r="AE480" s="17"/>
      <c r="AF480" s="17"/>
      <c r="AG480" s="17"/>
      <c r="AH480" s="17"/>
      <c r="AI480" s="17"/>
      <c r="AJ480" s="17"/>
      <c r="AK480" s="17"/>
      <c r="AL480" s="17"/>
      <c r="AM480" s="17"/>
      <c r="AN480" s="17"/>
      <c r="AO480" s="17"/>
      <c r="AP480" s="17"/>
      <c r="AQ480" s="17"/>
      <c r="AR480" s="17"/>
      <c r="AS480" s="17"/>
    </row>
    <row r="481" spans="1:45">
      <c r="A481" s="28">
        <f t="shared" si="23"/>
        <v>476</v>
      </c>
      <c r="B481" s="7"/>
      <c r="C481" s="35" t="str">
        <f>IFERROR(VLOOKUP(B481,'MASTER RECORD'!$B$5:$W$1000,3,0),"")</f>
        <v/>
      </c>
      <c r="D481" s="35" t="str">
        <f>IFERROR(VLOOKUP(B481,'MASTER RECORD'!$B$5:$W$1000,2,0),"")</f>
        <v/>
      </c>
      <c r="E481" s="36" t="str">
        <f>IFERROR(VLOOKUP(B481,'MASTER RECORD'!$B$5:$W$1000,9,0),"")</f>
        <v/>
      </c>
      <c r="F481" s="35" t="str">
        <f>IFERROR(VLOOKUP(B481,'MASTER RECORD'!$B$5:$W$1000,10,0) &amp;"."&amp;(VLOOKUP(B481,'MASTER RECORD'!$B$5:$W$1000,11,0)),"")</f>
        <v/>
      </c>
      <c r="G481" s="36" t="str">
        <f t="shared" si="22"/>
        <v/>
      </c>
      <c r="H481" s="35" t="str">
        <f t="shared" si="24"/>
        <v/>
      </c>
      <c r="I481" s="35" t="str">
        <f>IFERROR(VLOOKUP(B481,'MASTER RECORD'!$B$5:$W$1000,14,0),"")</f>
        <v/>
      </c>
      <c r="J481" s="17"/>
      <c r="K481" s="17"/>
      <c r="L481" s="17"/>
      <c r="M481" s="17"/>
      <c r="N481" s="17"/>
      <c r="O481" s="17"/>
      <c r="P481" s="17"/>
      <c r="Q481" s="17"/>
      <c r="R481" s="17"/>
      <c r="S481" s="17"/>
      <c r="T481" s="17"/>
      <c r="U481" s="17"/>
      <c r="V481" s="17"/>
      <c r="W481" s="17"/>
      <c r="X481" s="17"/>
      <c r="Y481" s="17"/>
      <c r="Z481" s="17"/>
      <c r="AA481" s="17"/>
      <c r="AB481" s="17"/>
      <c r="AC481" s="17"/>
      <c r="AD481" s="17"/>
      <c r="AE481" s="17"/>
      <c r="AF481" s="17"/>
      <c r="AG481" s="17"/>
      <c r="AH481" s="17"/>
      <c r="AI481" s="17"/>
      <c r="AJ481" s="17"/>
      <c r="AK481" s="17"/>
      <c r="AL481" s="17"/>
      <c r="AM481" s="17"/>
      <c r="AN481" s="17"/>
      <c r="AO481" s="17"/>
      <c r="AP481" s="17"/>
      <c r="AQ481" s="17"/>
      <c r="AR481" s="17"/>
      <c r="AS481" s="17"/>
    </row>
    <row r="482" spans="1:45">
      <c r="A482" s="28">
        <f t="shared" si="23"/>
        <v>477</v>
      </c>
      <c r="B482" s="7"/>
      <c r="C482" s="35" t="str">
        <f>IFERROR(VLOOKUP(B482,'MASTER RECORD'!$B$5:$W$1000,3,0),"")</f>
        <v/>
      </c>
      <c r="D482" s="35" t="str">
        <f>IFERROR(VLOOKUP(B482,'MASTER RECORD'!$B$5:$W$1000,2,0),"")</f>
        <v/>
      </c>
      <c r="E482" s="36" t="str">
        <f>IFERROR(VLOOKUP(B482,'MASTER RECORD'!$B$5:$W$1000,9,0),"")</f>
        <v/>
      </c>
      <c r="F482" s="35" t="str">
        <f>IFERROR(VLOOKUP(B482,'MASTER RECORD'!$B$5:$W$1000,10,0) &amp;"."&amp;(VLOOKUP(B482,'MASTER RECORD'!$B$5:$W$1000,11,0)),"")</f>
        <v/>
      </c>
      <c r="G482" s="36" t="str">
        <f t="shared" si="22"/>
        <v/>
      </c>
      <c r="H482" s="35" t="str">
        <f t="shared" si="24"/>
        <v/>
      </c>
      <c r="I482" s="35" t="str">
        <f>IFERROR(VLOOKUP(B482,'MASTER RECORD'!$B$5:$W$1000,14,0),"")</f>
        <v/>
      </c>
      <c r="J482" s="17"/>
      <c r="K482" s="17"/>
      <c r="L482" s="17"/>
      <c r="M482" s="17"/>
      <c r="N482" s="17"/>
      <c r="O482" s="17"/>
      <c r="P482" s="17"/>
      <c r="Q482" s="17"/>
      <c r="R482" s="17"/>
      <c r="S482" s="17"/>
      <c r="T482" s="17"/>
      <c r="U482" s="17"/>
      <c r="V482" s="17"/>
      <c r="W482" s="17"/>
      <c r="X482" s="17"/>
      <c r="Y482" s="17"/>
      <c r="Z482" s="17"/>
      <c r="AA482" s="17"/>
      <c r="AB482" s="17"/>
      <c r="AC482" s="17"/>
      <c r="AD482" s="17"/>
      <c r="AE482" s="17"/>
      <c r="AF482" s="17"/>
      <c r="AG482" s="17"/>
      <c r="AH482" s="17"/>
      <c r="AI482" s="17"/>
      <c r="AJ482" s="17"/>
      <c r="AK482" s="17"/>
      <c r="AL482" s="17"/>
      <c r="AM482" s="17"/>
      <c r="AN482" s="17"/>
      <c r="AO482" s="17"/>
      <c r="AP482" s="17"/>
      <c r="AQ482" s="17"/>
      <c r="AR482" s="17"/>
      <c r="AS482" s="17"/>
    </row>
    <row r="483" spans="1:45">
      <c r="A483" s="28">
        <f t="shared" si="23"/>
        <v>478</v>
      </c>
      <c r="B483" s="7"/>
      <c r="C483" s="35" t="str">
        <f>IFERROR(VLOOKUP(B483,'MASTER RECORD'!$B$5:$W$1000,3,0),"")</f>
        <v/>
      </c>
      <c r="D483" s="35" t="str">
        <f>IFERROR(VLOOKUP(B483,'MASTER RECORD'!$B$5:$W$1000,2,0),"")</f>
        <v/>
      </c>
      <c r="E483" s="36" t="str">
        <f>IFERROR(VLOOKUP(B483,'MASTER RECORD'!$B$5:$W$1000,9,0),"")</f>
        <v/>
      </c>
      <c r="F483" s="35" t="str">
        <f>IFERROR(VLOOKUP(B483,'MASTER RECORD'!$B$5:$W$1000,10,0) &amp;"."&amp;(VLOOKUP(B483,'MASTER RECORD'!$B$5:$W$1000,11,0)),"")</f>
        <v/>
      </c>
      <c r="G483" s="36" t="str">
        <f t="shared" si="22"/>
        <v/>
      </c>
      <c r="H483" s="35" t="str">
        <f t="shared" si="24"/>
        <v/>
      </c>
      <c r="I483" s="35" t="str">
        <f>IFERROR(VLOOKUP(B483,'MASTER RECORD'!$B$5:$W$1000,14,0),"")</f>
        <v/>
      </c>
      <c r="J483" s="17"/>
      <c r="K483" s="17"/>
      <c r="L483" s="17"/>
      <c r="M483" s="17"/>
      <c r="N483" s="17"/>
      <c r="O483" s="17"/>
      <c r="P483" s="17"/>
      <c r="Q483" s="17"/>
      <c r="R483" s="17"/>
      <c r="S483" s="17"/>
      <c r="T483" s="17"/>
      <c r="U483" s="17"/>
      <c r="V483" s="17"/>
      <c r="W483" s="17"/>
      <c r="X483" s="17"/>
      <c r="Y483" s="17"/>
      <c r="Z483" s="17"/>
      <c r="AA483" s="17"/>
      <c r="AB483" s="17"/>
      <c r="AC483" s="17"/>
      <c r="AD483" s="17"/>
      <c r="AE483" s="17"/>
      <c r="AF483" s="17"/>
      <c r="AG483" s="17"/>
      <c r="AH483" s="17"/>
      <c r="AI483" s="17"/>
      <c r="AJ483" s="17"/>
      <c r="AK483" s="17"/>
      <c r="AL483" s="17"/>
      <c r="AM483" s="17"/>
      <c r="AN483" s="17"/>
      <c r="AO483" s="17"/>
      <c r="AP483" s="17"/>
      <c r="AQ483" s="17"/>
      <c r="AR483" s="17"/>
      <c r="AS483" s="17"/>
    </row>
    <row r="484" spans="1:45">
      <c r="A484" s="28">
        <f t="shared" si="23"/>
        <v>479</v>
      </c>
      <c r="B484" s="7"/>
      <c r="C484" s="35" t="str">
        <f>IFERROR(VLOOKUP(B484,'MASTER RECORD'!$B$5:$W$1000,3,0),"")</f>
        <v/>
      </c>
      <c r="D484" s="35" t="str">
        <f>IFERROR(VLOOKUP(B484,'MASTER RECORD'!$B$5:$W$1000,2,0),"")</f>
        <v/>
      </c>
      <c r="E484" s="36" t="str">
        <f>IFERROR(VLOOKUP(B484,'MASTER RECORD'!$B$5:$W$1000,9,0),"")</f>
        <v/>
      </c>
      <c r="F484" s="35" t="str">
        <f>IFERROR(VLOOKUP(B484,'MASTER RECORD'!$B$5:$W$1000,10,0) &amp;"."&amp;(VLOOKUP(B484,'MASTER RECORD'!$B$5:$W$1000,11,0)),"")</f>
        <v/>
      </c>
      <c r="G484" s="36" t="str">
        <f t="shared" si="22"/>
        <v/>
      </c>
      <c r="H484" s="35" t="str">
        <f t="shared" si="24"/>
        <v/>
      </c>
      <c r="I484" s="35" t="str">
        <f>IFERROR(VLOOKUP(B484,'MASTER RECORD'!$B$5:$W$1000,14,0),"")</f>
        <v/>
      </c>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row>
    <row r="485" spans="1:45">
      <c r="A485" s="28">
        <f t="shared" si="23"/>
        <v>480</v>
      </c>
      <c r="B485" s="7"/>
      <c r="C485" s="35" t="str">
        <f>IFERROR(VLOOKUP(B485,'MASTER RECORD'!$B$5:$W$1000,3,0),"")</f>
        <v/>
      </c>
      <c r="D485" s="35" t="str">
        <f>IFERROR(VLOOKUP(B485,'MASTER RECORD'!$B$5:$W$1000,2,0),"")</f>
        <v/>
      </c>
      <c r="E485" s="36" t="str">
        <f>IFERROR(VLOOKUP(B485,'MASTER RECORD'!$B$5:$W$1000,9,0),"")</f>
        <v/>
      </c>
      <c r="F485" s="35" t="str">
        <f>IFERROR(VLOOKUP(B485,'MASTER RECORD'!$B$5:$W$1000,10,0) &amp;"."&amp;(VLOOKUP(B485,'MASTER RECORD'!$B$5:$W$1000,11,0)),"")</f>
        <v/>
      </c>
      <c r="G485" s="36" t="str">
        <f t="shared" si="22"/>
        <v/>
      </c>
      <c r="H485" s="35" t="str">
        <f t="shared" si="24"/>
        <v/>
      </c>
      <c r="I485" s="35" t="str">
        <f>IFERROR(VLOOKUP(B485,'MASTER RECORD'!$B$5:$W$1000,14,0),"")</f>
        <v/>
      </c>
      <c r="J485" s="17"/>
      <c r="K485" s="17"/>
      <c r="L485" s="17"/>
      <c r="M485" s="17"/>
      <c r="N485" s="17"/>
      <c r="O485" s="17"/>
      <c r="P485" s="17"/>
      <c r="Q485" s="17"/>
      <c r="R485" s="17"/>
      <c r="S485" s="17"/>
      <c r="T485" s="17"/>
      <c r="U485" s="17"/>
      <c r="V485" s="17"/>
      <c r="W485" s="17"/>
      <c r="X485" s="17"/>
      <c r="Y485" s="17"/>
      <c r="Z485" s="17"/>
      <c r="AA485" s="17"/>
      <c r="AB485" s="17"/>
      <c r="AC485" s="17"/>
      <c r="AD485" s="17"/>
      <c r="AE485" s="17"/>
      <c r="AF485" s="17"/>
      <c r="AG485" s="17"/>
      <c r="AH485" s="17"/>
      <c r="AI485" s="17"/>
      <c r="AJ485" s="17"/>
      <c r="AK485" s="17"/>
      <c r="AL485" s="17"/>
      <c r="AM485" s="17"/>
      <c r="AN485" s="17"/>
      <c r="AO485" s="17"/>
      <c r="AP485" s="17"/>
      <c r="AQ485" s="17"/>
      <c r="AR485" s="17"/>
      <c r="AS485" s="17"/>
    </row>
    <row r="486" spans="1:45">
      <c r="A486" s="28">
        <f t="shared" si="23"/>
        <v>481</v>
      </c>
      <c r="B486" s="7"/>
      <c r="C486" s="35" t="str">
        <f>IFERROR(VLOOKUP(B486,'MASTER RECORD'!$B$5:$W$1000,3,0),"")</f>
        <v/>
      </c>
      <c r="D486" s="35" t="str">
        <f>IFERROR(VLOOKUP(B486,'MASTER RECORD'!$B$5:$W$1000,2,0),"")</f>
        <v/>
      </c>
      <c r="E486" s="36" t="str">
        <f>IFERROR(VLOOKUP(B486,'MASTER RECORD'!$B$5:$W$1000,9,0),"")</f>
        <v/>
      </c>
      <c r="F486" s="35" t="str">
        <f>IFERROR(VLOOKUP(B486,'MASTER RECORD'!$B$5:$W$1000,10,0) &amp;"."&amp;(VLOOKUP(B486,'MASTER RECORD'!$B$5:$W$1000,11,0)),"")</f>
        <v/>
      </c>
      <c r="G486" s="36" t="str">
        <f t="shared" si="22"/>
        <v/>
      </c>
      <c r="H486" s="35" t="str">
        <f t="shared" si="24"/>
        <v/>
      </c>
      <c r="I486" s="35" t="str">
        <f>IFERROR(VLOOKUP(B486,'MASTER RECORD'!$B$5:$W$1000,14,0),"")</f>
        <v/>
      </c>
      <c r="J486" s="17"/>
      <c r="K486" s="17"/>
      <c r="L486" s="17"/>
      <c r="M486" s="17"/>
      <c r="N486" s="17"/>
      <c r="O486" s="17"/>
      <c r="P486" s="17"/>
      <c r="Q486" s="17"/>
      <c r="R486" s="17"/>
      <c r="S486" s="17"/>
      <c r="T486" s="17"/>
      <c r="U486" s="17"/>
      <c r="V486" s="17"/>
      <c r="W486" s="17"/>
      <c r="X486" s="17"/>
      <c r="Y486" s="17"/>
      <c r="Z486" s="17"/>
      <c r="AA486" s="17"/>
      <c r="AB486" s="17"/>
      <c r="AC486" s="17"/>
      <c r="AD486" s="17"/>
      <c r="AE486" s="17"/>
      <c r="AF486" s="17"/>
      <c r="AG486" s="17"/>
      <c r="AH486" s="17"/>
      <c r="AI486" s="17"/>
      <c r="AJ486" s="17"/>
      <c r="AK486" s="17"/>
      <c r="AL486" s="17"/>
      <c r="AM486" s="17"/>
      <c r="AN486" s="17"/>
      <c r="AO486" s="17"/>
      <c r="AP486" s="17"/>
      <c r="AQ486" s="17"/>
      <c r="AR486" s="17"/>
      <c r="AS486" s="17"/>
    </row>
    <row r="487" spans="1:45">
      <c r="A487" s="28">
        <f t="shared" si="23"/>
        <v>482</v>
      </c>
      <c r="B487" s="7"/>
      <c r="C487" s="35" t="str">
        <f>IFERROR(VLOOKUP(B487,'MASTER RECORD'!$B$5:$W$1000,3,0),"")</f>
        <v/>
      </c>
      <c r="D487" s="35" t="str">
        <f>IFERROR(VLOOKUP(B487,'MASTER RECORD'!$B$5:$W$1000,2,0),"")</f>
        <v/>
      </c>
      <c r="E487" s="36" t="str">
        <f>IFERROR(VLOOKUP(B487,'MASTER RECORD'!$B$5:$W$1000,9,0),"")</f>
        <v/>
      </c>
      <c r="F487" s="35" t="str">
        <f>IFERROR(VLOOKUP(B487,'MASTER RECORD'!$B$5:$W$1000,10,0) &amp;"."&amp;(VLOOKUP(B487,'MASTER RECORD'!$B$5:$W$1000,11,0)),"")</f>
        <v/>
      </c>
      <c r="G487" s="36" t="str">
        <f t="shared" si="22"/>
        <v/>
      </c>
      <c r="H487" s="35" t="str">
        <f t="shared" si="24"/>
        <v/>
      </c>
      <c r="I487" s="35" t="str">
        <f>IFERROR(VLOOKUP(B487,'MASTER RECORD'!$B$5:$W$1000,14,0),"")</f>
        <v/>
      </c>
      <c r="J487" s="17"/>
      <c r="K487" s="17"/>
      <c r="L487" s="17"/>
      <c r="M487" s="17"/>
      <c r="N487" s="17"/>
      <c r="O487" s="17"/>
      <c r="P487" s="17"/>
      <c r="Q487" s="17"/>
      <c r="R487" s="17"/>
      <c r="S487" s="17"/>
      <c r="T487" s="17"/>
      <c r="U487" s="17"/>
      <c r="V487" s="17"/>
      <c r="W487" s="17"/>
      <c r="X487" s="17"/>
      <c r="Y487" s="17"/>
      <c r="Z487" s="17"/>
      <c r="AA487" s="17"/>
      <c r="AB487" s="17"/>
      <c r="AC487" s="17"/>
      <c r="AD487" s="17"/>
      <c r="AE487" s="17"/>
      <c r="AF487" s="17"/>
      <c r="AG487" s="17"/>
      <c r="AH487" s="17"/>
      <c r="AI487" s="17"/>
      <c r="AJ487" s="17"/>
      <c r="AK487" s="17"/>
      <c r="AL487" s="17"/>
      <c r="AM487" s="17"/>
      <c r="AN487" s="17"/>
      <c r="AO487" s="17"/>
      <c r="AP487" s="17"/>
      <c r="AQ487" s="17"/>
      <c r="AR487" s="17"/>
      <c r="AS487" s="17"/>
    </row>
    <row r="488" spans="1:45">
      <c r="A488" s="28">
        <f t="shared" si="23"/>
        <v>483</v>
      </c>
      <c r="B488" s="7"/>
      <c r="C488" s="35" t="str">
        <f>IFERROR(VLOOKUP(B488,'MASTER RECORD'!$B$5:$W$1000,3,0),"")</f>
        <v/>
      </c>
      <c r="D488" s="35" t="str">
        <f>IFERROR(VLOOKUP(B488,'MASTER RECORD'!$B$5:$W$1000,2,0),"")</f>
        <v/>
      </c>
      <c r="E488" s="36" t="str">
        <f>IFERROR(VLOOKUP(B488,'MASTER RECORD'!$B$5:$W$1000,9,0),"")</f>
        <v/>
      </c>
      <c r="F488" s="35" t="str">
        <f>IFERROR(VLOOKUP(B488,'MASTER RECORD'!$B$5:$W$1000,10,0) &amp;"."&amp;(VLOOKUP(B488,'MASTER RECORD'!$B$5:$W$1000,11,0)),"")</f>
        <v/>
      </c>
      <c r="G488" s="36" t="str">
        <f t="shared" si="22"/>
        <v/>
      </c>
      <c r="H488" s="35" t="str">
        <f t="shared" si="24"/>
        <v/>
      </c>
      <c r="I488" s="35" t="str">
        <f>IFERROR(VLOOKUP(B488,'MASTER RECORD'!$B$5:$W$1000,14,0),"")</f>
        <v/>
      </c>
      <c r="J488" s="17"/>
      <c r="K488" s="17"/>
      <c r="L488" s="17"/>
      <c r="M488" s="17"/>
      <c r="N488" s="17"/>
      <c r="O488" s="17"/>
      <c r="P488" s="17"/>
      <c r="Q488" s="17"/>
      <c r="R488" s="17"/>
      <c r="S488" s="17"/>
      <c r="T488" s="17"/>
      <c r="U488" s="17"/>
      <c r="V488" s="17"/>
      <c r="W488" s="17"/>
      <c r="X488" s="17"/>
      <c r="Y488" s="17"/>
      <c r="Z488" s="17"/>
      <c r="AA488" s="17"/>
      <c r="AB488" s="17"/>
      <c r="AC488" s="17"/>
      <c r="AD488" s="17"/>
      <c r="AE488" s="17"/>
      <c r="AF488" s="17"/>
      <c r="AG488" s="17"/>
      <c r="AH488" s="17"/>
      <c r="AI488" s="17"/>
      <c r="AJ488" s="17"/>
      <c r="AK488" s="17"/>
      <c r="AL488" s="17"/>
      <c r="AM488" s="17"/>
      <c r="AN488" s="17"/>
      <c r="AO488" s="17"/>
      <c r="AP488" s="17"/>
      <c r="AQ488" s="17"/>
      <c r="AR488" s="17"/>
      <c r="AS488" s="17"/>
    </row>
    <row r="489" spans="1:45">
      <c r="A489" s="28">
        <f t="shared" si="23"/>
        <v>484</v>
      </c>
      <c r="B489" s="7"/>
      <c r="C489" s="35" t="str">
        <f>IFERROR(VLOOKUP(B489,'MASTER RECORD'!$B$5:$W$1000,3,0),"")</f>
        <v/>
      </c>
      <c r="D489" s="35" t="str">
        <f>IFERROR(VLOOKUP(B489,'MASTER RECORD'!$B$5:$W$1000,2,0),"")</f>
        <v/>
      </c>
      <c r="E489" s="36" t="str">
        <f>IFERROR(VLOOKUP(B489,'MASTER RECORD'!$B$5:$W$1000,9,0),"")</f>
        <v/>
      </c>
      <c r="F489" s="35" t="str">
        <f>IFERROR(VLOOKUP(B489,'MASTER RECORD'!$B$5:$W$1000,10,0) &amp;"."&amp;(VLOOKUP(B489,'MASTER RECORD'!$B$5:$W$1000,11,0)),"")</f>
        <v/>
      </c>
      <c r="G489" s="36" t="str">
        <f t="shared" si="22"/>
        <v/>
      </c>
      <c r="H489" s="35" t="str">
        <f t="shared" si="24"/>
        <v/>
      </c>
      <c r="I489" s="35" t="str">
        <f>IFERROR(VLOOKUP(B489,'MASTER RECORD'!$B$5:$W$1000,14,0),"")</f>
        <v/>
      </c>
      <c r="J489" s="17"/>
      <c r="K489" s="17"/>
      <c r="L489" s="17"/>
      <c r="M489" s="17"/>
      <c r="N489" s="17"/>
      <c r="O489" s="17"/>
      <c r="P489" s="17"/>
      <c r="Q489" s="17"/>
      <c r="R489" s="17"/>
      <c r="S489" s="17"/>
      <c r="T489" s="17"/>
      <c r="U489" s="17"/>
      <c r="V489" s="17"/>
      <c r="W489" s="17"/>
      <c r="X489" s="17"/>
      <c r="Y489" s="17"/>
      <c r="Z489" s="17"/>
      <c r="AA489" s="17"/>
      <c r="AB489" s="17"/>
      <c r="AC489" s="17"/>
      <c r="AD489" s="17"/>
      <c r="AE489" s="17"/>
      <c r="AF489" s="17"/>
      <c r="AG489" s="17"/>
      <c r="AH489" s="17"/>
      <c r="AI489" s="17"/>
      <c r="AJ489" s="17"/>
      <c r="AK489" s="17"/>
      <c r="AL489" s="17"/>
      <c r="AM489" s="17"/>
      <c r="AN489" s="17"/>
      <c r="AO489" s="17"/>
      <c r="AP489" s="17"/>
      <c r="AQ489" s="17"/>
      <c r="AR489" s="17"/>
      <c r="AS489" s="17"/>
    </row>
    <row r="490" spans="1:45">
      <c r="A490" s="28">
        <f t="shared" si="23"/>
        <v>485</v>
      </c>
      <c r="B490" s="7"/>
      <c r="C490" s="35" t="str">
        <f>IFERROR(VLOOKUP(B490,'MASTER RECORD'!$B$5:$W$1000,3,0),"")</f>
        <v/>
      </c>
      <c r="D490" s="35" t="str">
        <f>IFERROR(VLOOKUP(B490,'MASTER RECORD'!$B$5:$W$1000,2,0),"")</f>
        <v/>
      </c>
      <c r="E490" s="36" t="str">
        <f>IFERROR(VLOOKUP(B490,'MASTER RECORD'!$B$5:$W$1000,9,0),"")</f>
        <v/>
      </c>
      <c r="F490" s="35" t="str">
        <f>IFERROR(VLOOKUP(B490,'MASTER RECORD'!$B$5:$W$1000,10,0) &amp;"."&amp;(VLOOKUP(B490,'MASTER RECORD'!$B$5:$W$1000,11,0)),"")</f>
        <v/>
      </c>
      <c r="G490" s="36" t="str">
        <f t="shared" si="22"/>
        <v/>
      </c>
      <c r="H490" s="35" t="str">
        <f t="shared" si="24"/>
        <v/>
      </c>
      <c r="I490" s="35" t="str">
        <f>IFERROR(VLOOKUP(B490,'MASTER RECORD'!$B$5:$W$1000,14,0),"")</f>
        <v/>
      </c>
      <c r="J490" s="17"/>
      <c r="K490" s="17"/>
      <c r="L490" s="17"/>
      <c r="M490" s="17"/>
      <c r="N490" s="17"/>
      <c r="O490" s="17"/>
      <c r="P490" s="17"/>
      <c r="Q490" s="17"/>
      <c r="R490" s="17"/>
      <c r="S490" s="17"/>
      <c r="T490" s="17"/>
      <c r="U490" s="17"/>
      <c r="V490" s="17"/>
      <c r="W490" s="17"/>
      <c r="X490" s="17"/>
      <c r="Y490" s="17"/>
      <c r="Z490" s="17"/>
      <c r="AA490" s="17"/>
      <c r="AB490" s="17"/>
      <c r="AC490" s="17"/>
      <c r="AD490" s="17"/>
      <c r="AE490" s="17"/>
      <c r="AF490" s="17"/>
      <c r="AG490" s="17"/>
      <c r="AH490" s="17"/>
      <c r="AI490" s="17"/>
      <c r="AJ490" s="17"/>
      <c r="AK490" s="17"/>
      <c r="AL490" s="17"/>
      <c r="AM490" s="17"/>
      <c r="AN490" s="17"/>
      <c r="AO490" s="17"/>
      <c r="AP490" s="17"/>
      <c r="AQ490" s="17"/>
      <c r="AR490" s="17"/>
      <c r="AS490" s="17"/>
    </row>
    <row r="491" spans="1:45">
      <c r="A491" s="28">
        <f t="shared" si="23"/>
        <v>486</v>
      </c>
      <c r="B491" s="7"/>
      <c r="C491" s="35" t="str">
        <f>IFERROR(VLOOKUP(B491,'MASTER RECORD'!$B$5:$W$1000,3,0),"")</f>
        <v/>
      </c>
      <c r="D491" s="35" t="str">
        <f>IFERROR(VLOOKUP(B491,'MASTER RECORD'!$B$5:$W$1000,2,0),"")</f>
        <v/>
      </c>
      <c r="E491" s="36" t="str">
        <f>IFERROR(VLOOKUP(B491,'MASTER RECORD'!$B$5:$W$1000,9,0),"")</f>
        <v/>
      </c>
      <c r="F491" s="35" t="str">
        <f>IFERROR(VLOOKUP(B491,'MASTER RECORD'!$B$5:$W$1000,10,0) &amp;"."&amp;(VLOOKUP(B491,'MASTER RECORD'!$B$5:$W$1000,11,0)),"")</f>
        <v/>
      </c>
      <c r="G491" s="36" t="str">
        <f t="shared" si="22"/>
        <v/>
      </c>
      <c r="H491" s="35" t="str">
        <f t="shared" si="24"/>
        <v/>
      </c>
      <c r="I491" s="35" t="str">
        <f>IFERROR(VLOOKUP(B491,'MASTER RECORD'!$B$5:$W$1000,14,0),"")</f>
        <v/>
      </c>
      <c r="J491" s="17"/>
      <c r="K491" s="17"/>
      <c r="L491" s="17"/>
      <c r="M491" s="17"/>
      <c r="N491" s="17"/>
      <c r="O491" s="17"/>
      <c r="P491" s="17"/>
      <c r="Q491" s="17"/>
      <c r="R491" s="17"/>
      <c r="S491" s="17"/>
      <c r="T491" s="17"/>
      <c r="U491" s="17"/>
      <c r="V491" s="17"/>
      <c r="W491" s="17"/>
      <c r="X491" s="17"/>
      <c r="Y491" s="17"/>
      <c r="Z491" s="17"/>
      <c r="AA491" s="17"/>
      <c r="AB491" s="17"/>
      <c r="AC491" s="17"/>
      <c r="AD491" s="17"/>
      <c r="AE491" s="17"/>
      <c r="AF491" s="17"/>
      <c r="AG491" s="17"/>
      <c r="AH491" s="17"/>
      <c r="AI491" s="17"/>
      <c r="AJ491" s="17"/>
      <c r="AK491" s="17"/>
      <c r="AL491" s="17"/>
      <c r="AM491" s="17"/>
      <c r="AN491" s="17"/>
      <c r="AO491" s="17"/>
      <c r="AP491" s="17"/>
      <c r="AQ491" s="17"/>
      <c r="AR491" s="17"/>
      <c r="AS491" s="17"/>
    </row>
    <row r="492" spans="1:45">
      <c r="A492" s="28">
        <f t="shared" si="23"/>
        <v>487</v>
      </c>
      <c r="B492" s="7"/>
      <c r="C492" s="35" t="str">
        <f>IFERROR(VLOOKUP(B492,'MASTER RECORD'!$B$5:$W$1000,3,0),"")</f>
        <v/>
      </c>
      <c r="D492" s="35" t="str">
        <f>IFERROR(VLOOKUP(B492,'MASTER RECORD'!$B$5:$W$1000,2,0),"")</f>
        <v/>
      </c>
      <c r="E492" s="36" t="str">
        <f>IFERROR(VLOOKUP(B492,'MASTER RECORD'!$B$5:$W$1000,9,0),"")</f>
        <v/>
      </c>
      <c r="F492" s="35" t="str">
        <f>IFERROR(VLOOKUP(B492,'MASTER RECORD'!$B$5:$W$1000,10,0) &amp;"."&amp;(VLOOKUP(B492,'MASTER RECORD'!$B$5:$W$1000,11,0)),"")</f>
        <v/>
      </c>
      <c r="G492" s="36" t="str">
        <f t="shared" si="22"/>
        <v/>
      </c>
      <c r="H492" s="35" t="str">
        <f t="shared" si="24"/>
        <v/>
      </c>
      <c r="I492" s="35" t="str">
        <f>IFERROR(VLOOKUP(B492,'MASTER RECORD'!$B$5:$W$1000,14,0),"")</f>
        <v/>
      </c>
      <c r="J492" s="17"/>
      <c r="K492" s="17"/>
      <c r="L492" s="17"/>
      <c r="M492" s="17"/>
      <c r="N492" s="17"/>
      <c r="O492" s="17"/>
      <c r="P492" s="17"/>
      <c r="Q492" s="17"/>
      <c r="R492" s="17"/>
      <c r="S492" s="17"/>
      <c r="T492" s="17"/>
      <c r="U492" s="17"/>
      <c r="V492" s="17"/>
      <c r="W492" s="17"/>
      <c r="X492" s="17"/>
      <c r="Y492" s="17"/>
      <c r="Z492" s="17"/>
      <c r="AA492" s="17"/>
      <c r="AB492" s="17"/>
      <c r="AC492" s="17"/>
      <c r="AD492" s="17"/>
      <c r="AE492" s="17"/>
      <c r="AF492" s="17"/>
      <c r="AG492" s="17"/>
      <c r="AH492" s="17"/>
      <c r="AI492" s="17"/>
      <c r="AJ492" s="17"/>
      <c r="AK492" s="17"/>
      <c r="AL492" s="17"/>
      <c r="AM492" s="17"/>
      <c r="AN492" s="17"/>
      <c r="AO492" s="17"/>
      <c r="AP492" s="17"/>
      <c r="AQ492" s="17"/>
      <c r="AR492" s="17"/>
      <c r="AS492" s="17"/>
    </row>
    <row r="493" spans="1:45">
      <c r="A493" s="28">
        <f t="shared" si="23"/>
        <v>488</v>
      </c>
      <c r="B493" s="7"/>
      <c r="C493" s="35" t="str">
        <f>IFERROR(VLOOKUP(B493,'MASTER RECORD'!$B$5:$W$1000,3,0),"")</f>
        <v/>
      </c>
      <c r="D493" s="35" t="str">
        <f>IFERROR(VLOOKUP(B493,'MASTER RECORD'!$B$5:$W$1000,2,0),"")</f>
        <v/>
      </c>
      <c r="E493" s="36" t="str">
        <f>IFERROR(VLOOKUP(B493,'MASTER RECORD'!$B$5:$W$1000,9,0),"")</f>
        <v/>
      </c>
      <c r="F493" s="35" t="str">
        <f>IFERROR(VLOOKUP(B493,'MASTER RECORD'!$B$5:$W$1000,10,0) &amp;"."&amp;(VLOOKUP(B493,'MASTER RECORD'!$B$5:$W$1000,11,0)),"")</f>
        <v/>
      </c>
      <c r="G493" s="36" t="str">
        <f t="shared" si="22"/>
        <v/>
      </c>
      <c r="H493" s="35" t="str">
        <f t="shared" si="24"/>
        <v/>
      </c>
      <c r="I493" s="35" t="str">
        <f>IFERROR(VLOOKUP(B493,'MASTER RECORD'!$B$5:$W$1000,14,0),"")</f>
        <v/>
      </c>
      <c r="J493" s="17"/>
      <c r="K493" s="17"/>
      <c r="L493" s="17"/>
      <c r="M493" s="17"/>
      <c r="N493" s="17"/>
      <c r="O493" s="17"/>
      <c r="P493" s="17"/>
      <c r="Q493" s="17"/>
      <c r="R493" s="17"/>
      <c r="S493" s="17"/>
      <c r="T493" s="17"/>
      <c r="U493" s="17"/>
      <c r="V493" s="17"/>
      <c r="W493" s="17"/>
      <c r="X493" s="17"/>
      <c r="Y493" s="17"/>
      <c r="Z493" s="17"/>
      <c r="AA493" s="17"/>
      <c r="AB493" s="17"/>
      <c r="AC493" s="17"/>
      <c r="AD493" s="17"/>
      <c r="AE493" s="17"/>
      <c r="AF493" s="17"/>
      <c r="AG493" s="17"/>
      <c r="AH493" s="17"/>
      <c r="AI493" s="17"/>
      <c r="AJ493" s="17"/>
      <c r="AK493" s="17"/>
      <c r="AL493" s="17"/>
      <c r="AM493" s="17"/>
      <c r="AN493" s="17"/>
      <c r="AO493" s="17"/>
      <c r="AP493" s="17"/>
      <c r="AQ493" s="17"/>
      <c r="AR493" s="17"/>
      <c r="AS493" s="17"/>
    </row>
    <row r="494" spans="1:45">
      <c r="A494" s="28">
        <f t="shared" si="23"/>
        <v>489</v>
      </c>
      <c r="B494" s="7"/>
      <c r="C494" s="35" t="str">
        <f>IFERROR(VLOOKUP(B494,'MASTER RECORD'!$B$5:$W$1000,3,0),"")</f>
        <v/>
      </c>
      <c r="D494" s="35" t="str">
        <f>IFERROR(VLOOKUP(B494,'MASTER RECORD'!$B$5:$W$1000,2,0),"")</f>
        <v/>
      </c>
      <c r="E494" s="36" t="str">
        <f>IFERROR(VLOOKUP(B494,'MASTER RECORD'!$B$5:$W$1000,9,0),"")</f>
        <v/>
      </c>
      <c r="F494" s="35" t="str">
        <f>IFERROR(VLOOKUP(B494,'MASTER RECORD'!$B$5:$W$1000,10,0) &amp;"."&amp;(VLOOKUP(B494,'MASTER RECORD'!$B$5:$W$1000,11,0)),"")</f>
        <v/>
      </c>
      <c r="G494" s="36" t="str">
        <f t="shared" si="22"/>
        <v/>
      </c>
      <c r="H494" s="35" t="str">
        <f t="shared" si="24"/>
        <v/>
      </c>
      <c r="I494" s="35" t="str">
        <f>IFERROR(VLOOKUP(B494,'MASTER RECORD'!$B$5:$W$1000,14,0),"")</f>
        <v/>
      </c>
      <c r="J494" s="17"/>
      <c r="K494" s="17"/>
      <c r="L494" s="17"/>
      <c r="M494" s="17"/>
      <c r="N494" s="17"/>
      <c r="O494" s="17"/>
      <c r="P494" s="17"/>
      <c r="Q494" s="17"/>
      <c r="R494" s="17"/>
      <c r="S494" s="17"/>
      <c r="T494" s="17"/>
      <c r="U494" s="17"/>
      <c r="V494" s="17"/>
      <c r="W494" s="17"/>
      <c r="X494" s="17"/>
      <c r="Y494" s="17"/>
      <c r="Z494" s="17"/>
      <c r="AA494" s="17"/>
      <c r="AB494" s="17"/>
      <c r="AC494" s="17"/>
      <c r="AD494" s="17"/>
      <c r="AE494" s="17"/>
      <c r="AF494" s="17"/>
      <c r="AG494" s="17"/>
      <c r="AH494" s="17"/>
      <c r="AI494" s="17"/>
      <c r="AJ494" s="17"/>
      <c r="AK494" s="17"/>
      <c r="AL494" s="17"/>
      <c r="AM494" s="17"/>
      <c r="AN494" s="17"/>
      <c r="AO494" s="17"/>
      <c r="AP494" s="17"/>
      <c r="AQ494" s="17"/>
      <c r="AR494" s="17"/>
      <c r="AS494" s="17"/>
    </row>
    <row r="495" spans="1:45">
      <c r="A495" s="28">
        <f t="shared" si="23"/>
        <v>490</v>
      </c>
      <c r="B495" s="7"/>
      <c r="C495" s="35" t="str">
        <f>IFERROR(VLOOKUP(B495,'MASTER RECORD'!$B$5:$W$1000,3,0),"")</f>
        <v/>
      </c>
      <c r="D495" s="35" t="str">
        <f>IFERROR(VLOOKUP(B495,'MASTER RECORD'!$B$5:$W$1000,2,0),"")</f>
        <v/>
      </c>
      <c r="E495" s="36" t="str">
        <f>IFERROR(VLOOKUP(B495,'MASTER RECORD'!$B$5:$W$1000,9,0),"")</f>
        <v/>
      </c>
      <c r="F495" s="35" t="str">
        <f>IFERROR(VLOOKUP(B495,'MASTER RECORD'!$B$5:$W$1000,10,0) &amp;"."&amp;(VLOOKUP(B495,'MASTER RECORD'!$B$5:$W$1000,11,0)),"")</f>
        <v/>
      </c>
      <c r="G495" s="36" t="str">
        <f t="shared" si="22"/>
        <v/>
      </c>
      <c r="H495" s="35" t="str">
        <f t="shared" si="24"/>
        <v/>
      </c>
      <c r="I495" s="35" t="str">
        <f>IFERROR(VLOOKUP(B495,'MASTER RECORD'!$B$5:$W$1000,14,0),"")</f>
        <v/>
      </c>
      <c r="J495" s="17"/>
      <c r="K495" s="17"/>
      <c r="L495" s="17"/>
      <c r="M495" s="17"/>
      <c r="N495" s="17"/>
      <c r="O495" s="17"/>
      <c r="P495" s="17"/>
      <c r="Q495" s="17"/>
      <c r="R495" s="17"/>
      <c r="S495" s="17"/>
      <c r="T495" s="17"/>
      <c r="U495" s="17"/>
      <c r="V495" s="17"/>
      <c r="W495" s="17"/>
      <c r="X495" s="17"/>
      <c r="Y495" s="17"/>
      <c r="Z495" s="17"/>
      <c r="AA495" s="17"/>
      <c r="AB495" s="17"/>
      <c r="AC495" s="17"/>
      <c r="AD495" s="17"/>
      <c r="AE495" s="17"/>
      <c r="AF495" s="17"/>
      <c r="AG495" s="17"/>
      <c r="AH495" s="17"/>
      <c r="AI495" s="17"/>
      <c r="AJ495" s="17"/>
      <c r="AK495" s="17"/>
      <c r="AL495" s="17"/>
      <c r="AM495" s="17"/>
      <c r="AN495" s="17"/>
      <c r="AO495" s="17"/>
      <c r="AP495" s="17"/>
      <c r="AQ495" s="17"/>
      <c r="AR495" s="17"/>
      <c r="AS495" s="17"/>
    </row>
    <row r="496" spans="1:45">
      <c r="A496" s="28">
        <f t="shared" si="23"/>
        <v>491</v>
      </c>
      <c r="B496" s="7"/>
      <c r="C496" s="35" t="str">
        <f>IFERROR(VLOOKUP(B496,'MASTER RECORD'!$B$5:$W$1000,3,0),"")</f>
        <v/>
      </c>
      <c r="D496" s="35" t="str">
        <f>IFERROR(VLOOKUP(B496,'MASTER RECORD'!$B$5:$W$1000,2,0),"")</f>
        <v/>
      </c>
      <c r="E496" s="36" t="str">
        <f>IFERROR(VLOOKUP(B496,'MASTER RECORD'!$B$5:$W$1000,9,0),"")</f>
        <v/>
      </c>
      <c r="F496" s="35" t="str">
        <f>IFERROR(VLOOKUP(B496,'MASTER RECORD'!$B$5:$W$1000,10,0) &amp;"."&amp;(VLOOKUP(B496,'MASTER RECORD'!$B$5:$W$1000,11,0)),"")</f>
        <v/>
      </c>
      <c r="G496" s="36" t="str">
        <f t="shared" si="22"/>
        <v/>
      </c>
      <c r="H496" s="35" t="str">
        <f t="shared" si="24"/>
        <v/>
      </c>
      <c r="I496" s="35" t="str">
        <f>IFERROR(VLOOKUP(B496,'MASTER RECORD'!$B$5:$W$1000,14,0),"")</f>
        <v/>
      </c>
      <c r="J496" s="17"/>
      <c r="K496" s="17"/>
      <c r="L496" s="17"/>
      <c r="M496" s="17"/>
      <c r="N496" s="17"/>
      <c r="O496" s="17"/>
      <c r="P496" s="17"/>
      <c r="Q496" s="17"/>
      <c r="R496" s="17"/>
      <c r="S496" s="17"/>
      <c r="T496" s="17"/>
      <c r="U496" s="17"/>
      <c r="V496" s="17"/>
      <c r="W496" s="17"/>
      <c r="X496" s="17"/>
      <c r="Y496" s="17"/>
      <c r="Z496" s="17"/>
      <c r="AA496" s="17"/>
      <c r="AB496" s="17"/>
      <c r="AC496" s="17"/>
      <c r="AD496" s="17"/>
      <c r="AE496" s="17"/>
      <c r="AF496" s="17"/>
      <c r="AG496" s="17"/>
      <c r="AH496" s="17"/>
      <c r="AI496" s="17"/>
      <c r="AJ496" s="17"/>
      <c r="AK496" s="17"/>
      <c r="AL496" s="17"/>
      <c r="AM496" s="17"/>
      <c r="AN496" s="17"/>
      <c r="AO496" s="17"/>
      <c r="AP496" s="17"/>
      <c r="AQ496" s="17"/>
      <c r="AR496" s="17"/>
      <c r="AS496" s="17"/>
    </row>
    <row r="497" spans="1:45">
      <c r="A497" s="28">
        <f t="shared" si="23"/>
        <v>492</v>
      </c>
      <c r="B497" s="7"/>
      <c r="C497" s="35" t="str">
        <f>IFERROR(VLOOKUP(B497,'MASTER RECORD'!$B$5:$W$1000,3,0),"")</f>
        <v/>
      </c>
      <c r="D497" s="35" t="str">
        <f>IFERROR(VLOOKUP(B497,'MASTER RECORD'!$B$5:$W$1000,2,0),"")</f>
        <v/>
      </c>
      <c r="E497" s="36" t="str">
        <f>IFERROR(VLOOKUP(B497,'MASTER RECORD'!$B$5:$W$1000,9,0),"")</f>
        <v/>
      </c>
      <c r="F497" s="35" t="str">
        <f>IFERROR(VLOOKUP(B497,'MASTER RECORD'!$B$5:$W$1000,10,0) &amp;"."&amp;(VLOOKUP(B497,'MASTER RECORD'!$B$5:$W$1000,11,0)),"")</f>
        <v/>
      </c>
      <c r="G497" s="36" t="str">
        <f t="shared" si="22"/>
        <v/>
      </c>
      <c r="H497" s="35" t="str">
        <f t="shared" si="24"/>
        <v/>
      </c>
      <c r="I497" s="35" t="str">
        <f>IFERROR(VLOOKUP(B497,'MASTER RECORD'!$B$5:$W$1000,14,0),"")</f>
        <v/>
      </c>
      <c r="J497" s="17"/>
      <c r="K497" s="17"/>
      <c r="L497" s="17"/>
      <c r="M497" s="17"/>
      <c r="N497" s="17"/>
      <c r="O497" s="17"/>
      <c r="P497" s="17"/>
      <c r="Q497" s="17"/>
      <c r="R497" s="17"/>
      <c r="S497" s="17"/>
      <c r="T497" s="17"/>
      <c r="U497" s="17"/>
      <c r="V497" s="17"/>
      <c r="W497" s="17"/>
      <c r="X497" s="17"/>
      <c r="Y497" s="17"/>
      <c r="Z497" s="17"/>
      <c r="AA497" s="17"/>
      <c r="AB497" s="17"/>
      <c r="AC497" s="17"/>
      <c r="AD497" s="17"/>
      <c r="AE497" s="17"/>
      <c r="AF497" s="17"/>
      <c r="AG497" s="17"/>
      <c r="AH497" s="17"/>
      <c r="AI497" s="17"/>
      <c r="AJ497" s="17"/>
      <c r="AK497" s="17"/>
      <c r="AL497" s="17"/>
      <c r="AM497" s="17"/>
      <c r="AN497" s="17"/>
      <c r="AO497" s="17"/>
      <c r="AP497" s="17"/>
      <c r="AQ497" s="17"/>
      <c r="AR497" s="17"/>
      <c r="AS497" s="17"/>
    </row>
    <row r="498" spans="1:45">
      <c r="A498" s="28">
        <f t="shared" si="23"/>
        <v>493</v>
      </c>
      <c r="B498" s="7"/>
      <c r="C498" s="35" t="str">
        <f>IFERROR(VLOOKUP(B498,'MASTER RECORD'!$B$5:$W$1000,3,0),"")</f>
        <v/>
      </c>
      <c r="D498" s="35" t="str">
        <f>IFERROR(VLOOKUP(B498,'MASTER RECORD'!$B$5:$W$1000,2,0),"")</f>
        <v/>
      </c>
      <c r="E498" s="36" t="str">
        <f>IFERROR(VLOOKUP(B498,'MASTER RECORD'!$B$5:$W$1000,9,0),"")</f>
        <v/>
      </c>
      <c r="F498" s="35" t="str">
        <f>IFERROR(VLOOKUP(B498,'MASTER RECORD'!$B$5:$W$1000,10,0) &amp;"."&amp;(VLOOKUP(B498,'MASTER RECORD'!$B$5:$W$1000,11,0)),"")</f>
        <v/>
      </c>
      <c r="G498" s="36" t="str">
        <f t="shared" si="22"/>
        <v/>
      </c>
      <c r="H498" s="35" t="str">
        <f t="shared" si="24"/>
        <v/>
      </c>
      <c r="I498" s="35" t="str">
        <f>IFERROR(VLOOKUP(B498,'MASTER RECORD'!$B$5:$W$1000,14,0),"")</f>
        <v/>
      </c>
      <c r="J498" s="17"/>
      <c r="K498" s="17"/>
      <c r="L498" s="17"/>
      <c r="M498" s="17"/>
      <c r="N498" s="17"/>
      <c r="O498" s="17"/>
      <c r="P498" s="17"/>
      <c r="Q498" s="17"/>
      <c r="R498" s="17"/>
      <c r="S498" s="17"/>
      <c r="T498" s="17"/>
      <c r="U498" s="17"/>
      <c r="V498" s="17"/>
      <c r="W498" s="17"/>
      <c r="X498" s="17"/>
      <c r="Y498" s="17"/>
      <c r="Z498" s="17"/>
      <c r="AA498" s="17"/>
      <c r="AB498" s="17"/>
      <c r="AC498" s="17"/>
      <c r="AD498" s="17"/>
      <c r="AE498" s="17"/>
      <c r="AF498" s="17"/>
      <c r="AG498" s="17"/>
      <c r="AH498" s="17"/>
      <c r="AI498" s="17"/>
      <c r="AJ498" s="17"/>
      <c r="AK498" s="17"/>
      <c r="AL498" s="17"/>
      <c r="AM498" s="17"/>
      <c r="AN498" s="17"/>
      <c r="AO498" s="17"/>
      <c r="AP498" s="17"/>
      <c r="AQ498" s="17"/>
      <c r="AR498" s="17"/>
      <c r="AS498" s="17"/>
    </row>
    <row r="499" spans="1:45">
      <c r="A499" s="28">
        <f t="shared" si="23"/>
        <v>494</v>
      </c>
      <c r="B499" s="7"/>
      <c r="C499" s="35" t="str">
        <f>IFERROR(VLOOKUP(B499,'MASTER RECORD'!$B$5:$W$1000,3,0),"")</f>
        <v/>
      </c>
      <c r="D499" s="35" t="str">
        <f>IFERROR(VLOOKUP(B499,'MASTER RECORD'!$B$5:$W$1000,2,0),"")</f>
        <v/>
      </c>
      <c r="E499" s="36" t="str">
        <f>IFERROR(VLOOKUP(B499,'MASTER RECORD'!$B$5:$W$1000,9,0),"")</f>
        <v/>
      </c>
      <c r="F499" s="35" t="str">
        <f>IFERROR(VLOOKUP(B499,'MASTER RECORD'!$B$5:$W$1000,10,0) &amp;"."&amp;(VLOOKUP(B499,'MASTER RECORD'!$B$5:$W$1000,11,0)),"")</f>
        <v/>
      </c>
      <c r="G499" s="36" t="str">
        <f t="shared" si="22"/>
        <v/>
      </c>
      <c r="H499" s="35" t="str">
        <f t="shared" si="24"/>
        <v/>
      </c>
      <c r="I499" s="35" t="str">
        <f>IFERROR(VLOOKUP(B499,'MASTER RECORD'!$B$5:$W$1000,14,0),"")</f>
        <v/>
      </c>
      <c r="J499" s="17"/>
      <c r="K499" s="17"/>
      <c r="L499" s="17"/>
      <c r="M499" s="17"/>
      <c r="N499" s="17"/>
      <c r="O499" s="17"/>
      <c r="P499" s="17"/>
      <c r="Q499" s="17"/>
      <c r="R499" s="17"/>
      <c r="S499" s="17"/>
      <c r="T499" s="17"/>
      <c r="U499" s="17"/>
      <c r="V499" s="17"/>
      <c r="W499" s="17"/>
      <c r="X499" s="17"/>
      <c r="Y499" s="17"/>
      <c r="Z499" s="17"/>
      <c r="AA499" s="17"/>
      <c r="AB499" s="17"/>
      <c r="AC499" s="17"/>
      <c r="AD499" s="17"/>
      <c r="AE499" s="17"/>
      <c r="AF499" s="17"/>
      <c r="AG499" s="17"/>
      <c r="AH499" s="17"/>
      <c r="AI499" s="17"/>
      <c r="AJ499" s="17"/>
      <c r="AK499" s="17"/>
      <c r="AL499" s="17"/>
      <c r="AM499" s="17"/>
      <c r="AN499" s="17"/>
      <c r="AO499" s="17"/>
      <c r="AP499" s="17"/>
      <c r="AQ499" s="17"/>
      <c r="AR499" s="17"/>
      <c r="AS499" s="17"/>
    </row>
    <row r="500" spans="1:45">
      <c r="A500" s="28">
        <f t="shared" si="23"/>
        <v>495</v>
      </c>
      <c r="B500" s="7"/>
      <c r="C500" s="35" t="str">
        <f>IFERROR(VLOOKUP(B500,'MASTER RECORD'!$B$5:$W$1000,3,0),"")</f>
        <v/>
      </c>
      <c r="D500" s="35" t="str">
        <f>IFERROR(VLOOKUP(B500,'MASTER RECORD'!$B$5:$W$1000,2,0),"")</f>
        <v/>
      </c>
      <c r="E500" s="36" t="str">
        <f>IFERROR(VLOOKUP(B500,'MASTER RECORD'!$B$5:$W$1000,9,0),"")</f>
        <v/>
      </c>
      <c r="F500" s="35" t="str">
        <f>IFERROR(VLOOKUP(B500,'MASTER RECORD'!$B$5:$W$1000,10,0) &amp;"."&amp;(VLOOKUP(B500,'MASTER RECORD'!$B$5:$W$1000,11,0)),"")</f>
        <v/>
      </c>
      <c r="G500" s="36" t="str">
        <f t="shared" si="22"/>
        <v/>
      </c>
      <c r="H500" s="35" t="str">
        <f t="shared" si="24"/>
        <v/>
      </c>
      <c r="I500" s="35" t="str">
        <f>IFERROR(VLOOKUP(B500,'MASTER RECORD'!$B$5:$W$1000,14,0),"")</f>
        <v/>
      </c>
      <c r="J500" s="17"/>
      <c r="K500" s="17"/>
      <c r="L500" s="17"/>
      <c r="M500" s="17"/>
      <c r="N500" s="17"/>
      <c r="O500" s="17"/>
      <c r="P500" s="17"/>
      <c r="Q500" s="17"/>
      <c r="R500" s="17"/>
      <c r="S500" s="17"/>
      <c r="T500" s="17"/>
      <c r="U500" s="17"/>
      <c r="V500" s="17"/>
      <c r="W500" s="17"/>
      <c r="X500" s="17"/>
      <c r="Y500" s="17"/>
      <c r="Z500" s="17"/>
      <c r="AA500" s="17"/>
      <c r="AB500" s="17"/>
      <c r="AC500" s="17"/>
      <c r="AD500" s="17"/>
      <c r="AE500" s="17"/>
      <c r="AF500" s="17"/>
      <c r="AG500" s="17"/>
      <c r="AH500" s="17"/>
      <c r="AI500" s="17"/>
      <c r="AJ500" s="17"/>
      <c r="AK500" s="17"/>
      <c r="AL500" s="17"/>
      <c r="AM500" s="17"/>
      <c r="AN500" s="17"/>
      <c r="AO500" s="17"/>
      <c r="AP500" s="17"/>
      <c r="AQ500" s="17"/>
      <c r="AR500" s="17"/>
      <c r="AS500" s="17"/>
    </row>
    <row r="501" spans="1:45">
      <c r="A501" s="28">
        <f t="shared" si="23"/>
        <v>496</v>
      </c>
      <c r="B501" s="7"/>
      <c r="C501" s="35" t="str">
        <f>IFERROR(VLOOKUP(B501,'MASTER RECORD'!$B$5:$W$1000,3,0),"")</f>
        <v/>
      </c>
      <c r="D501" s="35" t="str">
        <f>IFERROR(VLOOKUP(B501,'MASTER RECORD'!$B$5:$W$1000,2,0),"")</f>
        <v/>
      </c>
      <c r="E501" s="36" t="str">
        <f>IFERROR(VLOOKUP(B501,'MASTER RECORD'!$B$5:$W$1000,9,0),"")</f>
        <v/>
      </c>
      <c r="F501" s="35" t="str">
        <f>IFERROR(VLOOKUP(B501,'MASTER RECORD'!$B$5:$W$1000,10,0) &amp;"."&amp;(VLOOKUP(B501,'MASTER RECORD'!$B$5:$W$1000,11,0)),"")</f>
        <v/>
      </c>
      <c r="G501" s="36" t="str">
        <f t="shared" si="22"/>
        <v/>
      </c>
      <c r="H501" s="35" t="str">
        <f t="shared" si="24"/>
        <v/>
      </c>
      <c r="I501" s="35" t="str">
        <f>IFERROR(VLOOKUP(B501,'MASTER RECORD'!$B$5:$W$1000,14,0),"")</f>
        <v/>
      </c>
      <c r="J501" s="17"/>
      <c r="K501" s="17"/>
      <c r="L501" s="17"/>
      <c r="M501" s="17"/>
      <c r="N501" s="17"/>
      <c r="O501" s="17"/>
      <c r="P501" s="17"/>
      <c r="Q501" s="17"/>
      <c r="R501" s="17"/>
      <c r="S501" s="17"/>
      <c r="T501" s="17"/>
      <c r="U501" s="17"/>
      <c r="V501" s="17"/>
      <c r="W501" s="17"/>
      <c r="X501" s="17"/>
      <c r="Y501" s="17"/>
      <c r="Z501" s="17"/>
      <c r="AA501" s="17"/>
      <c r="AB501" s="17"/>
      <c r="AC501" s="17"/>
      <c r="AD501" s="17"/>
      <c r="AE501" s="17"/>
      <c r="AF501" s="17"/>
      <c r="AG501" s="17"/>
      <c r="AH501" s="17"/>
      <c r="AI501" s="17"/>
      <c r="AJ501" s="17"/>
      <c r="AK501" s="17"/>
      <c r="AL501" s="17"/>
      <c r="AM501" s="17"/>
      <c r="AN501" s="17"/>
      <c r="AO501" s="17"/>
      <c r="AP501" s="17"/>
      <c r="AQ501" s="17"/>
      <c r="AR501" s="17"/>
      <c r="AS501" s="17"/>
    </row>
    <row r="502" spans="1:45">
      <c r="A502" s="28">
        <f t="shared" si="23"/>
        <v>497</v>
      </c>
      <c r="B502" s="7"/>
      <c r="C502" s="35" t="str">
        <f>IFERROR(VLOOKUP(B502,'MASTER RECORD'!$B$5:$W$1000,3,0),"")</f>
        <v/>
      </c>
      <c r="D502" s="35" t="str">
        <f>IFERROR(VLOOKUP(B502,'MASTER RECORD'!$B$5:$W$1000,2,0),"")</f>
        <v/>
      </c>
      <c r="E502" s="36" t="str">
        <f>IFERROR(VLOOKUP(B502,'MASTER RECORD'!$B$5:$W$1000,9,0),"")</f>
        <v/>
      </c>
      <c r="F502" s="35" t="str">
        <f>IFERROR(VLOOKUP(B502,'MASTER RECORD'!$B$5:$W$1000,10,0) &amp;"."&amp;(VLOOKUP(B502,'MASTER RECORD'!$B$5:$W$1000,11,0)),"")</f>
        <v/>
      </c>
      <c r="G502" s="36" t="str">
        <f t="shared" si="22"/>
        <v/>
      </c>
      <c r="H502" s="35" t="str">
        <f t="shared" si="24"/>
        <v/>
      </c>
      <c r="I502" s="35" t="str">
        <f>IFERROR(VLOOKUP(B502,'MASTER RECORD'!$B$5:$W$1000,14,0),"")</f>
        <v/>
      </c>
      <c r="J502" s="17"/>
      <c r="K502" s="17"/>
      <c r="L502" s="17"/>
      <c r="M502" s="17"/>
      <c r="N502" s="17"/>
      <c r="O502" s="17"/>
      <c r="P502" s="17"/>
      <c r="Q502" s="17"/>
      <c r="R502" s="17"/>
      <c r="S502" s="17"/>
      <c r="T502" s="17"/>
      <c r="U502" s="17"/>
      <c r="V502" s="17"/>
      <c r="W502" s="17"/>
      <c r="X502" s="17"/>
      <c r="Y502" s="17"/>
      <c r="Z502" s="17"/>
      <c r="AA502" s="17"/>
      <c r="AB502" s="17"/>
      <c r="AC502" s="17"/>
      <c r="AD502" s="17"/>
      <c r="AE502" s="17"/>
      <c r="AF502" s="17"/>
      <c r="AG502" s="17"/>
      <c r="AH502" s="17"/>
      <c r="AI502" s="17"/>
      <c r="AJ502" s="17"/>
      <c r="AK502" s="17"/>
      <c r="AL502" s="17"/>
      <c r="AM502" s="17"/>
      <c r="AN502" s="17"/>
      <c r="AO502" s="17"/>
      <c r="AP502" s="17"/>
      <c r="AQ502" s="17"/>
      <c r="AR502" s="17"/>
      <c r="AS502" s="17"/>
    </row>
    <row r="503" spans="1:45">
      <c r="A503" s="28">
        <f t="shared" si="23"/>
        <v>498</v>
      </c>
      <c r="B503" s="7"/>
      <c r="C503" s="35" t="str">
        <f>IFERROR(VLOOKUP(B503,'MASTER RECORD'!$B$5:$W$1000,3,0),"")</f>
        <v/>
      </c>
      <c r="D503" s="35" t="str">
        <f>IFERROR(VLOOKUP(B503,'MASTER RECORD'!$B$5:$W$1000,2,0),"")</f>
        <v/>
      </c>
      <c r="E503" s="36" t="str">
        <f>IFERROR(VLOOKUP(B503,'MASTER RECORD'!$B$5:$W$1000,9,0),"")</f>
        <v/>
      </c>
      <c r="F503" s="35" t="str">
        <f>IFERROR(VLOOKUP(B503,'MASTER RECORD'!$B$5:$W$1000,10,0) &amp;"."&amp;(VLOOKUP(B503,'MASTER RECORD'!$B$5:$W$1000,11,0)),"")</f>
        <v/>
      </c>
      <c r="G503" s="36" t="str">
        <f t="shared" si="22"/>
        <v/>
      </c>
      <c r="H503" s="35" t="str">
        <f t="shared" si="24"/>
        <v/>
      </c>
      <c r="I503" s="35" t="str">
        <f>IFERROR(VLOOKUP(B503,'MASTER RECORD'!$B$5:$W$1000,14,0),"")</f>
        <v/>
      </c>
      <c r="J503" s="17"/>
      <c r="K503" s="17"/>
      <c r="L503" s="17"/>
      <c r="M503" s="17"/>
      <c r="N503" s="17"/>
      <c r="O503" s="17"/>
      <c r="P503" s="17"/>
      <c r="Q503" s="17"/>
      <c r="R503" s="17"/>
      <c r="S503" s="17"/>
      <c r="T503" s="17"/>
      <c r="U503" s="17"/>
      <c r="V503" s="17"/>
      <c r="W503" s="17"/>
      <c r="X503" s="17"/>
      <c r="Y503" s="17"/>
      <c r="Z503" s="17"/>
      <c r="AA503" s="17"/>
      <c r="AB503" s="17"/>
      <c r="AC503" s="17"/>
      <c r="AD503" s="17"/>
      <c r="AE503" s="17"/>
      <c r="AF503" s="17"/>
      <c r="AG503" s="17"/>
      <c r="AH503" s="17"/>
      <c r="AI503" s="17"/>
      <c r="AJ503" s="17"/>
      <c r="AK503" s="17"/>
      <c r="AL503" s="17"/>
      <c r="AM503" s="17"/>
      <c r="AN503" s="17"/>
      <c r="AO503" s="17"/>
      <c r="AP503" s="17"/>
      <c r="AQ503" s="17"/>
      <c r="AR503" s="17"/>
      <c r="AS503" s="17"/>
    </row>
    <row r="504" spans="1:45">
      <c r="A504" s="28">
        <f t="shared" si="23"/>
        <v>499</v>
      </c>
      <c r="B504" s="7"/>
      <c r="C504" s="35" t="str">
        <f>IFERROR(VLOOKUP(B504,'MASTER RECORD'!$B$5:$W$1000,3,0),"")</f>
        <v/>
      </c>
      <c r="D504" s="35" t="str">
        <f>IFERROR(VLOOKUP(B504,'MASTER RECORD'!$B$5:$W$1000,2,0),"")</f>
        <v/>
      </c>
      <c r="E504" s="36" t="str">
        <f>IFERROR(VLOOKUP(B504,'MASTER RECORD'!$B$5:$W$1000,9,0),"")</f>
        <v/>
      </c>
      <c r="F504" s="35" t="str">
        <f>IFERROR(VLOOKUP(B504,'MASTER RECORD'!$B$5:$W$1000,10,0) &amp;"."&amp;(VLOOKUP(B504,'MASTER RECORD'!$B$5:$W$1000,11,0)),"")</f>
        <v/>
      </c>
      <c r="G504" s="36" t="str">
        <f t="shared" si="22"/>
        <v/>
      </c>
      <c r="H504" s="35" t="str">
        <f t="shared" si="24"/>
        <v/>
      </c>
      <c r="I504" s="35" t="str">
        <f>IFERROR(VLOOKUP(B504,'MASTER RECORD'!$B$5:$W$1000,14,0),"")</f>
        <v/>
      </c>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row>
    <row r="505" spans="1:45">
      <c r="A505" s="28">
        <f t="shared" si="23"/>
        <v>500</v>
      </c>
      <c r="B505" s="7"/>
      <c r="C505" s="35" t="str">
        <f>IFERROR(VLOOKUP(B505,'MASTER RECORD'!$B$5:$W$1000,3,0),"")</f>
        <v/>
      </c>
      <c r="D505" s="35" t="str">
        <f>IFERROR(VLOOKUP(B505,'MASTER RECORD'!$B$5:$W$1000,2,0),"")</f>
        <v/>
      </c>
      <c r="E505" s="36" t="str">
        <f>IFERROR(VLOOKUP(B505,'MASTER RECORD'!$B$5:$W$1000,9,0),"")</f>
        <v/>
      </c>
      <c r="F505" s="35" t="str">
        <f>IFERROR(VLOOKUP(B505,'MASTER RECORD'!$B$5:$W$1000,10,0) &amp;"."&amp;(VLOOKUP(B505,'MASTER RECORD'!$B$5:$W$1000,11,0)),"")</f>
        <v/>
      </c>
      <c r="G505" s="36" t="str">
        <f t="shared" si="22"/>
        <v/>
      </c>
      <c r="H505" s="35" t="str">
        <f t="shared" si="24"/>
        <v/>
      </c>
      <c r="I505" s="35" t="str">
        <f>IFERROR(VLOOKUP(B505,'MASTER RECORD'!$B$5:$W$1000,14,0),"")</f>
        <v/>
      </c>
      <c r="J505" s="17"/>
      <c r="K505" s="17"/>
      <c r="L505" s="17"/>
      <c r="M505" s="17"/>
      <c r="N505" s="17"/>
      <c r="O505" s="17"/>
      <c r="P505" s="17"/>
      <c r="Q505" s="17"/>
      <c r="R505" s="17"/>
      <c r="S505" s="17"/>
      <c r="T505" s="17"/>
      <c r="U505" s="17"/>
      <c r="V505" s="17"/>
      <c r="W505" s="17"/>
      <c r="X505" s="17"/>
      <c r="Y505" s="17"/>
      <c r="Z505" s="17"/>
      <c r="AA505" s="17"/>
      <c r="AB505" s="17"/>
      <c r="AC505" s="17"/>
      <c r="AD505" s="17"/>
      <c r="AE505" s="17"/>
      <c r="AF505" s="17"/>
      <c r="AG505" s="17"/>
      <c r="AH505" s="17"/>
      <c r="AI505" s="17"/>
      <c r="AJ505" s="17"/>
      <c r="AK505" s="17"/>
      <c r="AL505" s="17"/>
      <c r="AM505" s="17"/>
      <c r="AN505" s="17"/>
      <c r="AO505" s="17"/>
      <c r="AP505" s="17"/>
      <c r="AQ505" s="17"/>
      <c r="AR505" s="17"/>
      <c r="AS505" s="17"/>
    </row>
  </sheetData>
  <mergeCells count="2">
    <mergeCell ref="A1:T2"/>
    <mergeCell ref="A4:T4"/>
  </mergeCells>
  <phoneticPr fontId="11"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C24D808-E3BA-D74F-BAD6-A9B38DCF8212}">
          <x14:formula1>
            <xm:f>'MASTER RECORD'!$B$6:$B$504</xm:f>
          </x14:formula1>
          <xm:sqref>B6:B505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2B898-9B9A-864C-97F9-A45E7CE416ED}">
  <sheetPr codeName="Sheet4">
    <tabColor theme="2" tint="-0.249977111117893"/>
  </sheetPr>
  <dimension ref="A1:V634"/>
  <sheetViews>
    <sheetView showGridLines="0" zoomScale="110" zoomScaleNormal="110" workbookViewId="0">
      <pane ySplit="5" topLeftCell="A7" activePane="bottomLeft" state="frozen"/>
      <selection pane="bottomLeft" activeCell="G15" sqref="G15"/>
    </sheetView>
  </sheetViews>
  <sheetFormatPr baseColWidth="10" defaultColWidth="3.1640625" defaultRowHeight="16"/>
  <cols>
    <col min="1" max="1" width="4.33203125" bestFit="1" customWidth="1"/>
    <col min="2" max="2" width="9.33203125" bestFit="1" customWidth="1"/>
    <col min="3" max="3" width="6" bestFit="1" customWidth="1"/>
    <col min="4" max="4" width="7.83203125" bestFit="1" customWidth="1"/>
    <col min="5" max="5" width="11" style="10" bestFit="1" customWidth="1"/>
    <col min="6" max="6" width="8.83203125" style="10" bestFit="1" customWidth="1"/>
    <col min="7" max="7" width="11" style="2" bestFit="1" customWidth="1"/>
    <col min="8" max="8" width="10.1640625" bestFit="1" customWidth="1"/>
    <col min="9" max="9" width="5.33203125" bestFit="1" customWidth="1"/>
    <col min="10" max="10" width="20.1640625" bestFit="1" customWidth="1"/>
    <col min="11" max="12" width="3.1640625" customWidth="1"/>
    <col min="13" max="13" width="6.5" bestFit="1" customWidth="1"/>
    <col min="14" max="14" width="5.5" bestFit="1" customWidth="1"/>
    <col min="15" max="15" width="6.5" bestFit="1" customWidth="1"/>
    <col min="16" max="16" width="11" bestFit="1" customWidth="1"/>
    <col min="17" max="17" width="8.83203125" bestFit="1" customWidth="1"/>
    <col min="18" max="18" width="10" bestFit="1" customWidth="1"/>
    <col min="19" max="19" width="10.1640625" bestFit="1" customWidth="1"/>
    <col min="20" max="20" width="8.83203125" bestFit="1" customWidth="1"/>
    <col min="21" max="21" width="18.1640625" bestFit="1" customWidth="1"/>
    <col min="22" max="22" width="3.33203125" customWidth="1"/>
    <col min="23" max="16381" width="0" hidden="1" customWidth="1"/>
    <col min="16382" max="16383" width="3.1640625" customWidth="1"/>
  </cols>
  <sheetData>
    <row r="1" spans="1:22" ht="18">
      <c r="A1" s="137" t="s">
        <v>21</v>
      </c>
      <c r="B1" s="138"/>
      <c r="C1" s="138"/>
      <c r="D1" s="138"/>
      <c r="E1" s="138"/>
      <c r="F1" s="138"/>
      <c r="G1" s="138"/>
      <c r="H1" s="138"/>
      <c r="I1" s="138"/>
      <c r="J1" s="138"/>
      <c r="L1" s="23"/>
      <c r="M1" s="143" t="s">
        <v>94</v>
      </c>
      <c r="N1" s="143"/>
      <c r="O1" s="143"/>
      <c r="P1" s="143"/>
      <c r="Q1" s="143"/>
      <c r="R1" s="23"/>
      <c r="S1" s="23"/>
      <c r="T1" s="23"/>
      <c r="U1" s="23"/>
      <c r="V1" s="23"/>
    </row>
    <row r="2" spans="1:22" ht="18">
      <c r="A2" s="139"/>
      <c r="B2" s="140"/>
      <c r="C2" s="140"/>
      <c r="D2" s="140"/>
      <c r="E2" s="140"/>
      <c r="F2" s="140"/>
      <c r="G2" s="140"/>
      <c r="H2" s="140"/>
      <c r="I2" s="140"/>
      <c r="J2" s="140"/>
      <c r="L2" s="23"/>
      <c r="M2" s="144" t="s">
        <v>95</v>
      </c>
      <c r="N2" s="144"/>
      <c r="O2" s="144"/>
      <c r="P2" s="34"/>
      <c r="Q2" s="34"/>
      <c r="R2" s="23"/>
      <c r="S2" s="23"/>
      <c r="T2" s="23"/>
      <c r="U2" s="23"/>
      <c r="V2" s="23"/>
    </row>
    <row r="3" spans="1:22" ht="4" customHeight="1">
      <c r="A3" s="11"/>
      <c r="B3" s="12"/>
      <c r="C3" s="12"/>
      <c r="D3" s="12"/>
      <c r="E3" s="12"/>
      <c r="F3" s="12"/>
      <c r="G3" s="12"/>
      <c r="H3" s="12"/>
      <c r="I3" s="12"/>
      <c r="J3" s="12"/>
      <c r="L3" s="25"/>
      <c r="M3" s="25"/>
      <c r="N3" s="25"/>
      <c r="O3" s="25"/>
      <c r="P3" s="25"/>
      <c r="Q3" s="25"/>
      <c r="R3" s="25"/>
      <c r="S3" s="25"/>
      <c r="T3" s="25"/>
      <c r="U3" s="25"/>
      <c r="V3" s="25"/>
    </row>
    <row r="4" spans="1:22" ht="19" customHeight="1">
      <c r="A4" s="141" t="s">
        <v>90</v>
      </c>
      <c r="B4" s="142"/>
      <c r="C4" s="142"/>
      <c r="D4" s="142"/>
      <c r="E4" s="142"/>
      <c r="F4" s="142"/>
      <c r="G4" s="142"/>
      <c r="H4" s="142"/>
      <c r="I4" s="142"/>
      <c r="J4" s="142"/>
      <c r="L4" s="23"/>
      <c r="M4" s="29" t="s">
        <v>0</v>
      </c>
      <c r="N4" s="30" t="s">
        <v>2</v>
      </c>
      <c r="O4" s="30" t="s">
        <v>1</v>
      </c>
      <c r="P4" s="30" t="s">
        <v>96</v>
      </c>
      <c r="Q4" s="30" t="s">
        <v>85</v>
      </c>
      <c r="R4" s="30" t="s">
        <v>86</v>
      </c>
      <c r="S4" s="30" t="s">
        <v>87</v>
      </c>
      <c r="T4" s="30" t="s">
        <v>88</v>
      </c>
      <c r="U4" s="30" t="s">
        <v>89</v>
      </c>
      <c r="V4" s="23"/>
    </row>
    <row r="5" spans="1:22" ht="21" customHeight="1">
      <c r="A5" s="29" t="s">
        <v>13</v>
      </c>
      <c r="B5" s="29" t="s">
        <v>0</v>
      </c>
      <c r="C5" s="30" t="s">
        <v>2</v>
      </c>
      <c r="D5" s="30" t="s">
        <v>1</v>
      </c>
      <c r="E5" s="30" t="s">
        <v>96</v>
      </c>
      <c r="F5" s="30" t="s">
        <v>85</v>
      </c>
      <c r="G5" s="30" t="s">
        <v>86</v>
      </c>
      <c r="H5" s="30" t="s">
        <v>153</v>
      </c>
      <c r="I5" s="30" t="s">
        <v>154</v>
      </c>
      <c r="J5" s="30" t="s">
        <v>155</v>
      </c>
      <c r="L5" s="23"/>
      <c r="M5" s="7"/>
      <c r="N5" s="37" t="str">
        <f>IFERROR(IF(VLOOKUP($M$5,$B$5:$J$1000,2,0)=0,"",VLOOKUP($M$5,$B$5:$J$1000,2,0)),"")</f>
        <v/>
      </c>
      <c r="O5" s="37" t="str">
        <f>IFERROR(IF(VLOOKUP($M$5,$B$5:$J$1000,3,0)=0,"",VLOOKUP($M$5,$B$5:$J$1000,3,0)),"")</f>
        <v/>
      </c>
      <c r="P5" s="40" t="str">
        <f>IFERROR(IF(VLOOKUP($M$5,$B$5:$J$1000,4,0)=0,"",VLOOKUP($M$5,$B$5:$J$1000,4,0)),"")</f>
        <v/>
      </c>
      <c r="Q5" s="40" t="str">
        <f>IFERROR(IF(VLOOKUP($M$5,$B$5:$J$1000,5,0)=0,"",VLOOKUP($M$5,$B$5:$J$1000,5,0)),"")</f>
        <v/>
      </c>
      <c r="R5" s="38" t="str">
        <f>IFERROR(IF(VLOOKUP($M$5,$B$5:$J$1000,6,0)=0,"",VLOOKUP($M$5,$B$5:$J$1000,6,0)),"")</f>
        <v/>
      </c>
      <c r="S5" s="37" t="str">
        <f>IFERROR(IF(VLOOKUP($M$5,$B$5:$J$1000,7,0)=0,"",VLOOKUP($M$5,$B$5:$J$1000,7,0)),"")</f>
        <v/>
      </c>
      <c r="T5" s="37" t="str">
        <f>IFERROR(IF(VLOOKUP($M$5,$B$5:$J$1000,8,0)=0,"",VLOOKUP($M$5,$B$5:$J$1000,8,0)),"")</f>
        <v/>
      </c>
      <c r="U5" s="37" t="str">
        <f>IFERROR(IF(VLOOKUP($M$5,$B$5:$J$1000,9,0)=0,"",VLOOKUP($M$5,$B$5:$J$1000,9,0)),"")</f>
        <v/>
      </c>
      <c r="V5" s="23"/>
    </row>
    <row r="6" spans="1:22">
      <c r="A6" s="6">
        <f>ROW(A1)</f>
        <v>1</v>
      </c>
      <c r="B6" s="7" t="s">
        <v>114</v>
      </c>
      <c r="C6" s="37" t="str">
        <f>IFERROR(VLOOKUP(B6,'MASTER RECORD'!$B$5:$W$1000,3,0),"")</f>
        <v/>
      </c>
      <c r="D6" s="37" t="str">
        <f>IFERROR(VLOOKUP(B6,'MASTER RECORD'!$B$5:$W$1000,2,0),"")</f>
        <v/>
      </c>
      <c r="E6" s="9">
        <v>15000</v>
      </c>
      <c r="F6" s="9">
        <v>12000</v>
      </c>
      <c r="G6" s="8">
        <v>45708</v>
      </c>
      <c r="H6" s="37" t="str">
        <f>IF(G6=0,"",TEXT(G6,"mmmm"))</f>
        <v>February</v>
      </c>
      <c r="I6" s="37" t="str">
        <f>IF(G6=0,"",TEXT(G6,"yyyy"))</f>
        <v>2025</v>
      </c>
      <c r="J6" s="7"/>
    </row>
    <row r="7" spans="1:22">
      <c r="A7" s="6">
        <f t="shared" ref="A7:A70" si="0">ROW(A2)</f>
        <v>2</v>
      </c>
      <c r="B7" s="7" t="s">
        <v>144</v>
      </c>
      <c r="C7" s="37" t="str">
        <f>IFERROR(VLOOKUP(B7,'MASTER RECORD'!$B$5:$W$1000,3,0),"")</f>
        <v>Teddy</v>
      </c>
      <c r="D7" s="37" t="str">
        <f>IFERROR(VLOOKUP(B7,'MASTER RECORD'!$B$5:$W$1000,2,0),"")</f>
        <v>MALE</v>
      </c>
      <c r="E7" s="9"/>
      <c r="F7" s="9">
        <v>30000</v>
      </c>
      <c r="G7" s="8">
        <v>45691</v>
      </c>
      <c r="H7" s="37" t="str">
        <f t="shared" ref="H7:H70" si="1">IF(G7=0,"",TEXT(G7,"mmmm"))</f>
        <v>February</v>
      </c>
      <c r="I7" s="37" t="str">
        <f t="shared" ref="I7:I70" si="2">IF(G7=0,"",TEXT(G7,"yyyy"))</f>
        <v>2025</v>
      </c>
      <c r="J7" s="7"/>
    </row>
    <row r="8" spans="1:22">
      <c r="A8" s="6">
        <f t="shared" si="0"/>
        <v>3</v>
      </c>
      <c r="B8" s="7" t="s">
        <v>148</v>
      </c>
      <c r="C8" s="37" t="str">
        <f>IFERROR(VLOOKUP(B8,'MASTER RECORD'!$B$5:$W$1000,3,0),"")</f>
        <v>Teddy</v>
      </c>
      <c r="D8" s="37" t="str">
        <f>IFERROR(VLOOKUP(B8,'MASTER RECORD'!$B$5:$W$1000,2,0),"")</f>
        <v>FEMALE</v>
      </c>
      <c r="E8" s="9"/>
      <c r="F8" s="9">
        <v>25000</v>
      </c>
      <c r="G8" s="8">
        <v>46012</v>
      </c>
      <c r="H8" s="37" t="str">
        <f t="shared" si="1"/>
        <v>December</v>
      </c>
      <c r="I8" s="37" t="str">
        <f t="shared" si="2"/>
        <v>2025</v>
      </c>
      <c r="J8" s="7"/>
    </row>
    <row r="9" spans="1:22">
      <c r="A9" s="6">
        <f t="shared" si="0"/>
        <v>4</v>
      </c>
      <c r="B9" s="7" t="s">
        <v>151</v>
      </c>
      <c r="C9" s="37" t="str">
        <f>IFERROR(VLOOKUP(B9,'MASTER RECORD'!$B$5:$W$1000,3,0),"")</f>
        <v/>
      </c>
      <c r="D9" s="37" t="str">
        <f>IFERROR(VLOOKUP(B9,'MASTER RECORD'!$B$5:$W$1000,2,0),"")</f>
        <v/>
      </c>
      <c r="E9" s="9"/>
      <c r="F9" s="9">
        <v>20000</v>
      </c>
      <c r="G9" s="8">
        <v>45967</v>
      </c>
      <c r="H9" s="37" t="str">
        <f t="shared" si="1"/>
        <v>November</v>
      </c>
      <c r="I9" s="37" t="str">
        <f t="shared" si="2"/>
        <v>2025</v>
      </c>
      <c r="J9" s="7"/>
    </row>
    <row r="10" spans="1:22">
      <c r="A10" s="6">
        <f t="shared" si="0"/>
        <v>5</v>
      </c>
      <c r="B10" s="7" t="s">
        <v>150</v>
      </c>
      <c r="C10" s="37" t="str">
        <f>IFERROR(VLOOKUP(B10,'MASTER RECORD'!$B$5:$W$1000,3,0),"")</f>
        <v/>
      </c>
      <c r="D10" s="37" t="str">
        <f>IFERROR(VLOOKUP(B10,'MASTER RECORD'!$B$5:$W$1000,2,0),"")</f>
        <v/>
      </c>
      <c r="E10" s="9"/>
      <c r="F10" s="9">
        <v>26500</v>
      </c>
      <c r="G10" s="8">
        <v>45557</v>
      </c>
      <c r="H10" s="37" t="str">
        <f t="shared" si="1"/>
        <v>September</v>
      </c>
      <c r="I10" s="37" t="str">
        <f t="shared" si="2"/>
        <v>2024</v>
      </c>
      <c r="J10" s="7"/>
    </row>
    <row r="11" spans="1:22">
      <c r="A11" s="6">
        <f t="shared" si="0"/>
        <v>6</v>
      </c>
      <c r="B11" s="7" t="s">
        <v>149</v>
      </c>
      <c r="C11" s="37" t="str">
        <f>IFERROR(VLOOKUP(B11,'MASTER RECORD'!$B$5:$W$1000,3,0),"")</f>
        <v/>
      </c>
      <c r="D11" s="37" t="str">
        <f>IFERROR(VLOOKUP(B11,'MASTER RECORD'!$B$5:$W$1000,2,0),"")</f>
        <v/>
      </c>
      <c r="E11" s="9"/>
      <c r="F11" s="9">
        <v>28400</v>
      </c>
      <c r="G11" s="8">
        <v>45512</v>
      </c>
      <c r="H11" s="37" t="str">
        <f t="shared" si="1"/>
        <v>August</v>
      </c>
      <c r="I11" s="37" t="str">
        <f t="shared" si="2"/>
        <v>2024</v>
      </c>
      <c r="J11" s="7"/>
    </row>
    <row r="12" spans="1:22">
      <c r="A12" s="6">
        <f t="shared" si="0"/>
        <v>7</v>
      </c>
      <c r="B12" s="7" t="s">
        <v>152</v>
      </c>
      <c r="C12" s="37" t="str">
        <f>IFERROR(VLOOKUP(B12,'MASTER RECORD'!$B$5:$W$1000,3,0),"")</f>
        <v>Teddy</v>
      </c>
      <c r="D12" s="37" t="str">
        <f>IFERROR(VLOOKUP(B12,'MASTER RECORD'!$B$5:$W$1000,2,0),"")</f>
        <v>MALE</v>
      </c>
      <c r="E12" s="9"/>
      <c r="F12" s="9">
        <v>30300</v>
      </c>
      <c r="G12" s="8">
        <v>45468</v>
      </c>
      <c r="H12" s="37" t="str">
        <f t="shared" si="1"/>
        <v>June</v>
      </c>
      <c r="I12" s="37" t="str">
        <f t="shared" si="2"/>
        <v>2024</v>
      </c>
      <c r="J12" s="7"/>
    </row>
    <row r="13" spans="1:22">
      <c r="A13" s="6">
        <f t="shared" si="0"/>
        <v>8</v>
      </c>
      <c r="B13" s="7" t="s">
        <v>145</v>
      </c>
      <c r="C13" s="37" t="str">
        <f>IFERROR(VLOOKUP(B13,'MASTER RECORD'!$B$5:$W$1000,3,0),"")</f>
        <v>Teddy</v>
      </c>
      <c r="D13" s="37" t="str">
        <f>IFERROR(VLOOKUP(B13,'MASTER RECORD'!$B$5:$W$1000,2,0),"")</f>
        <v>MALE</v>
      </c>
      <c r="E13" s="9"/>
      <c r="F13" s="9">
        <v>32200</v>
      </c>
      <c r="G13" s="8">
        <v>45423</v>
      </c>
      <c r="H13" s="37" t="str">
        <f t="shared" si="1"/>
        <v>May</v>
      </c>
      <c r="I13" s="37" t="str">
        <f t="shared" si="2"/>
        <v>2024</v>
      </c>
      <c r="J13" s="7"/>
    </row>
    <row r="14" spans="1:22">
      <c r="A14" s="6">
        <f t="shared" si="0"/>
        <v>9</v>
      </c>
      <c r="B14" s="7"/>
      <c r="C14" s="37" t="str">
        <f>IFERROR(VLOOKUP(B14,'MASTER RECORD'!$B$5:$W$1000,3,0),"")</f>
        <v/>
      </c>
      <c r="D14" s="37" t="str">
        <f>IFERROR(VLOOKUP(B14,'MASTER RECORD'!$B$5:$W$1000,2,0),"")</f>
        <v/>
      </c>
      <c r="E14" s="9"/>
      <c r="F14" s="9"/>
      <c r="G14" s="8"/>
      <c r="H14" s="37" t="str">
        <f t="shared" si="1"/>
        <v/>
      </c>
      <c r="I14" s="37" t="str">
        <f t="shared" si="2"/>
        <v/>
      </c>
      <c r="J14" s="7"/>
    </row>
    <row r="15" spans="1:22">
      <c r="A15" s="6">
        <f t="shared" si="0"/>
        <v>10</v>
      </c>
      <c r="B15" s="7"/>
      <c r="C15" s="37" t="str">
        <f>IFERROR(VLOOKUP(B15,'MASTER RECORD'!$B$5:$W$1000,3,0),"")</f>
        <v/>
      </c>
      <c r="D15" s="37" t="str">
        <f>IFERROR(VLOOKUP(B15,'MASTER RECORD'!$B$5:$W$1000,2,0),"")</f>
        <v/>
      </c>
      <c r="E15" s="9"/>
      <c r="F15" s="9"/>
      <c r="G15" s="8"/>
      <c r="H15" s="37" t="str">
        <f t="shared" si="1"/>
        <v/>
      </c>
      <c r="I15" s="37" t="str">
        <f t="shared" si="2"/>
        <v/>
      </c>
      <c r="J15" s="7"/>
    </row>
    <row r="16" spans="1:22">
      <c r="A16" s="6">
        <f t="shared" si="0"/>
        <v>11</v>
      </c>
      <c r="B16" s="7"/>
      <c r="C16" s="37" t="str">
        <f>IFERROR(VLOOKUP(B16,'MASTER RECORD'!$B$5:$W$1000,3,0),"")</f>
        <v/>
      </c>
      <c r="D16" s="37" t="str">
        <f>IFERROR(VLOOKUP(B16,'MASTER RECORD'!$B$5:$W$1000,2,0),"")</f>
        <v/>
      </c>
      <c r="E16" s="9"/>
      <c r="F16" s="9"/>
      <c r="G16" s="8"/>
      <c r="H16" s="37" t="str">
        <f t="shared" si="1"/>
        <v/>
      </c>
      <c r="I16" s="37" t="str">
        <f t="shared" si="2"/>
        <v/>
      </c>
      <c r="J16" s="7"/>
    </row>
    <row r="17" spans="1:10">
      <c r="A17" s="6">
        <f t="shared" si="0"/>
        <v>12</v>
      </c>
      <c r="B17" s="7"/>
      <c r="C17" s="37" t="str">
        <f>IFERROR(VLOOKUP(B17,'MASTER RECORD'!$B$5:$W$1000,3,0),"")</f>
        <v/>
      </c>
      <c r="D17" s="37" t="str">
        <f>IFERROR(VLOOKUP(B17,'MASTER RECORD'!$B$5:$W$1000,2,0),"")</f>
        <v/>
      </c>
      <c r="E17" s="9"/>
      <c r="F17" s="9"/>
      <c r="G17" s="8"/>
      <c r="H17" s="37" t="str">
        <f t="shared" si="1"/>
        <v/>
      </c>
      <c r="I17" s="37" t="str">
        <f t="shared" si="2"/>
        <v/>
      </c>
      <c r="J17" s="7"/>
    </row>
    <row r="18" spans="1:10">
      <c r="A18" s="6">
        <f t="shared" si="0"/>
        <v>13</v>
      </c>
      <c r="B18" s="7"/>
      <c r="C18" s="37" t="str">
        <f>IFERROR(VLOOKUP(B18,'MASTER RECORD'!$B$5:$W$1000,3,0),"")</f>
        <v/>
      </c>
      <c r="D18" s="37" t="str">
        <f>IFERROR(VLOOKUP(B18,'MASTER RECORD'!$B$5:$W$1000,2,0),"")</f>
        <v/>
      </c>
      <c r="E18" s="9"/>
      <c r="F18" s="9"/>
      <c r="G18" s="8"/>
      <c r="H18" s="37" t="str">
        <f t="shared" si="1"/>
        <v/>
      </c>
      <c r="I18" s="37" t="str">
        <f t="shared" si="2"/>
        <v/>
      </c>
      <c r="J18" s="7"/>
    </row>
    <row r="19" spans="1:10">
      <c r="A19" s="6">
        <f t="shared" si="0"/>
        <v>14</v>
      </c>
      <c r="B19" s="7"/>
      <c r="C19" s="37" t="str">
        <f>IFERROR(VLOOKUP(B19,'MASTER RECORD'!$B$5:$W$1000,3,0),"")</f>
        <v/>
      </c>
      <c r="D19" s="37" t="str">
        <f>IFERROR(VLOOKUP(B19,'MASTER RECORD'!$B$5:$W$1000,2,0),"")</f>
        <v/>
      </c>
      <c r="E19" s="9"/>
      <c r="F19" s="9"/>
      <c r="G19" s="8"/>
      <c r="H19" s="37" t="str">
        <f t="shared" si="1"/>
        <v/>
      </c>
      <c r="I19" s="37" t="str">
        <f t="shared" si="2"/>
        <v/>
      </c>
      <c r="J19" s="7"/>
    </row>
    <row r="20" spans="1:10">
      <c r="A20" s="6">
        <f t="shared" si="0"/>
        <v>15</v>
      </c>
      <c r="B20" s="7"/>
      <c r="C20" s="37" t="str">
        <f>IFERROR(VLOOKUP(B20,'MASTER RECORD'!$B$5:$W$1000,3,0),"")</f>
        <v/>
      </c>
      <c r="D20" s="37" t="str">
        <f>IFERROR(VLOOKUP(B20,'MASTER RECORD'!$B$5:$W$1000,2,0),"")</f>
        <v/>
      </c>
      <c r="E20" s="9"/>
      <c r="F20" s="9"/>
      <c r="G20" s="8"/>
      <c r="H20" s="37" t="str">
        <f t="shared" si="1"/>
        <v/>
      </c>
      <c r="I20" s="37" t="str">
        <f t="shared" si="2"/>
        <v/>
      </c>
      <c r="J20" s="7"/>
    </row>
    <row r="21" spans="1:10">
      <c r="A21" s="6">
        <f t="shared" si="0"/>
        <v>16</v>
      </c>
      <c r="B21" s="7"/>
      <c r="C21" s="37" t="str">
        <f>IFERROR(VLOOKUP(B21,'MASTER RECORD'!$B$5:$W$1000,3,0),"")</f>
        <v/>
      </c>
      <c r="D21" s="37" t="str">
        <f>IFERROR(VLOOKUP(B21,'MASTER RECORD'!$B$5:$W$1000,2,0),"")</f>
        <v/>
      </c>
      <c r="E21" s="9"/>
      <c r="F21" s="9"/>
      <c r="G21" s="8"/>
      <c r="H21" s="37" t="str">
        <f t="shared" si="1"/>
        <v/>
      </c>
      <c r="I21" s="37" t="str">
        <f t="shared" si="2"/>
        <v/>
      </c>
      <c r="J21" s="7"/>
    </row>
    <row r="22" spans="1:10">
      <c r="A22" s="6">
        <f t="shared" si="0"/>
        <v>17</v>
      </c>
      <c r="B22" s="7"/>
      <c r="C22" s="37" t="str">
        <f>IFERROR(VLOOKUP(B22,'MASTER RECORD'!$B$5:$W$1000,3,0),"")</f>
        <v/>
      </c>
      <c r="D22" s="37" t="str">
        <f>IFERROR(VLOOKUP(B22,'MASTER RECORD'!$B$5:$W$1000,2,0),"")</f>
        <v/>
      </c>
      <c r="E22" s="9"/>
      <c r="F22" s="9"/>
      <c r="G22" s="8"/>
      <c r="H22" s="37" t="str">
        <f t="shared" si="1"/>
        <v/>
      </c>
      <c r="I22" s="37" t="str">
        <f t="shared" si="2"/>
        <v/>
      </c>
      <c r="J22" s="7"/>
    </row>
    <row r="23" spans="1:10">
      <c r="A23" s="6">
        <f t="shared" si="0"/>
        <v>18</v>
      </c>
      <c r="B23" s="7"/>
      <c r="C23" s="37" t="str">
        <f>IFERROR(VLOOKUP(B23,'MASTER RECORD'!$B$5:$W$1000,3,0),"")</f>
        <v/>
      </c>
      <c r="D23" s="37" t="str">
        <f>IFERROR(VLOOKUP(B23,'MASTER RECORD'!$B$5:$W$1000,2,0),"")</f>
        <v/>
      </c>
      <c r="E23" s="9"/>
      <c r="F23" s="9"/>
      <c r="G23" s="8"/>
      <c r="H23" s="37" t="str">
        <f t="shared" si="1"/>
        <v/>
      </c>
      <c r="I23" s="37" t="str">
        <f t="shared" si="2"/>
        <v/>
      </c>
      <c r="J23" s="7"/>
    </row>
    <row r="24" spans="1:10">
      <c r="A24" s="6">
        <f t="shared" si="0"/>
        <v>19</v>
      </c>
      <c r="B24" s="7"/>
      <c r="C24" s="37" t="str">
        <f>IFERROR(VLOOKUP(B24,'MASTER RECORD'!$B$5:$W$1000,3,0),"")</f>
        <v/>
      </c>
      <c r="D24" s="37" t="str">
        <f>IFERROR(VLOOKUP(B24,'MASTER RECORD'!$B$5:$W$1000,2,0),"")</f>
        <v/>
      </c>
      <c r="E24" s="9"/>
      <c r="F24" s="9"/>
      <c r="G24" s="8"/>
      <c r="H24" s="37" t="str">
        <f t="shared" si="1"/>
        <v/>
      </c>
      <c r="I24" s="37" t="str">
        <f t="shared" si="2"/>
        <v/>
      </c>
      <c r="J24" s="7"/>
    </row>
    <row r="25" spans="1:10">
      <c r="A25" s="6">
        <f t="shared" si="0"/>
        <v>20</v>
      </c>
      <c r="B25" s="7"/>
      <c r="C25" s="37" t="str">
        <f>IFERROR(VLOOKUP(B25,'MASTER RECORD'!$B$5:$W$1000,3,0),"")</f>
        <v/>
      </c>
      <c r="D25" s="37" t="str">
        <f>IFERROR(VLOOKUP(B25,'MASTER RECORD'!$B$5:$W$1000,2,0),"")</f>
        <v/>
      </c>
      <c r="E25" s="9"/>
      <c r="F25" s="9"/>
      <c r="G25" s="8"/>
      <c r="H25" s="37" t="str">
        <f t="shared" si="1"/>
        <v/>
      </c>
      <c r="I25" s="37" t="str">
        <f t="shared" si="2"/>
        <v/>
      </c>
      <c r="J25" s="7"/>
    </row>
    <row r="26" spans="1:10">
      <c r="A26" s="6">
        <f t="shared" si="0"/>
        <v>21</v>
      </c>
      <c r="B26" s="7"/>
      <c r="C26" s="37" t="str">
        <f>IFERROR(VLOOKUP(B26,'MASTER RECORD'!$B$5:$W$1000,3,0),"")</f>
        <v/>
      </c>
      <c r="D26" s="37" t="str">
        <f>IFERROR(VLOOKUP(B26,'MASTER RECORD'!$B$5:$W$1000,2,0),"")</f>
        <v/>
      </c>
      <c r="E26" s="9"/>
      <c r="F26" s="9"/>
      <c r="G26" s="8"/>
      <c r="H26" s="37" t="str">
        <f t="shared" si="1"/>
        <v/>
      </c>
      <c r="I26" s="37" t="str">
        <f t="shared" si="2"/>
        <v/>
      </c>
      <c r="J26" s="7"/>
    </row>
    <row r="27" spans="1:10">
      <c r="A27" s="6">
        <f t="shared" si="0"/>
        <v>22</v>
      </c>
      <c r="B27" s="7"/>
      <c r="C27" s="37" t="str">
        <f>IFERROR(VLOOKUP(B27,'MASTER RECORD'!$B$5:$W$1000,3,0),"")</f>
        <v/>
      </c>
      <c r="D27" s="37" t="str">
        <f>IFERROR(VLOOKUP(B27,'MASTER RECORD'!$B$5:$W$1000,2,0),"")</f>
        <v/>
      </c>
      <c r="E27" s="9"/>
      <c r="F27" s="9"/>
      <c r="G27" s="8"/>
      <c r="H27" s="37" t="str">
        <f t="shared" si="1"/>
        <v/>
      </c>
      <c r="I27" s="37" t="str">
        <f t="shared" si="2"/>
        <v/>
      </c>
      <c r="J27" s="7"/>
    </row>
    <row r="28" spans="1:10">
      <c r="A28" s="6">
        <f t="shared" si="0"/>
        <v>23</v>
      </c>
      <c r="B28" s="7"/>
      <c r="C28" s="37" t="str">
        <f>IFERROR(VLOOKUP(B28,'MASTER RECORD'!$B$5:$W$1000,3,0),"")</f>
        <v/>
      </c>
      <c r="D28" s="37" t="str">
        <f>IFERROR(VLOOKUP(B28,'MASTER RECORD'!$B$5:$W$1000,2,0),"")</f>
        <v/>
      </c>
      <c r="E28" s="9"/>
      <c r="F28" s="9"/>
      <c r="G28" s="8"/>
      <c r="H28" s="37" t="str">
        <f t="shared" si="1"/>
        <v/>
      </c>
      <c r="I28" s="37" t="str">
        <f t="shared" si="2"/>
        <v/>
      </c>
      <c r="J28" s="7"/>
    </row>
    <row r="29" spans="1:10">
      <c r="A29" s="6">
        <f t="shared" si="0"/>
        <v>24</v>
      </c>
      <c r="B29" s="7"/>
      <c r="C29" s="37" t="str">
        <f>IFERROR(VLOOKUP(B29,'MASTER RECORD'!$B$5:$W$1000,3,0),"")</f>
        <v/>
      </c>
      <c r="D29" s="37" t="str">
        <f>IFERROR(VLOOKUP(B29,'MASTER RECORD'!$B$5:$W$1000,2,0),"")</f>
        <v/>
      </c>
      <c r="E29" s="9"/>
      <c r="F29" s="9"/>
      <c r="G29" s="8"/>
      <c r="H29" s="37" t="str">
        <f t="shared" si="1"/>
        <v/>
      </c>
      <c r="I29" s="37" t="str">
        <f t="shared" si="2"/>
        <v/>
      </c>
      <c r="J29" s="7"/>
    </row>
    <row r="30" spans="1:10">
      <c r="A30" s="6">
        <f t="shared" si="0"/>
        <v>25</v>
      </c>
      <c r="B30" s="7"/>
      <c r="C30" s="37" t="str">
        <f>IFERROR(VLOOKUP(B30,'MASTER RECORD'!$B$5:$W$1000,3,0),"")</f>
        <v/>
      </c>
      <c r="D30" s="37" t="str">
        <f>IFERROR(VLOOKUP(B30,'MASTER RECORD'!$B$5:$W$1000,2,0),"")</f>
        <v/>
      </c>
      <c r="E30" s="9"/>
      <c r="F30" s="9"/>
      <c r="G30" s="8"/>
      <c r="H30" s="37" t="str">
        <f t="shared" si="1"/>
        <v/>
      </c>
      <c r="I30" s="37" t="str">
        <f t="shared" si="2"/>
        <v/>
      </c>
      <c r="J30" s="7"/>
    </row>
    <row r="31" spans="1:10">
      <c r="A31" s="6">
        <f t="shared" si="0"/>
        <v>26</v>
      </c>
      <c r="B31" s="7"/>
      <c r="C31" s="37" t="str">
        <f>IFERROR(VLOOKUP(B31,'MASTER RECORD'!$B$5:$W$1000,3,0),"")</f>
        <v/>
      </c>
      <c r="D31" s="37" t="str">
        <f>IFERROR(VLOOKUP(B31,'MASTER RECORD'!$B$5:$W$1000,2,0),"")</f>
        <v/>
      </c>
      <c r="E31" s="9"/>
      <c r="F31" s="9"/>
      <c r="G31" s="8"/>
      <c r="H31" s="37" t="str">
        <f t="shared" si="1"/>
        <v/>
      </c>
      <c r="I31" s="37" t="str">
        <f t="shared" si="2"/>
        <v/>
      </c>
      <c r="J31" s="7"/>
    </row>
    <row r="32" spans="1:10">
      <c r="A32" s="6">
        <f t="shared" si="0"/>
        <v>27</v>
      </c>
      <c r="B32" s="7"/>
      <c r="C32" s="37" t="str">
        <f>IFERROR(VLOOKUP(B32,'MASTER RECORD'!$B$5:$W$1000,3,0),"")</f>
        <v/>
      </c>
      <c r="D32" s="37" t="str">
        <f>IFERROR(VLOOKUP(B32,'MASTER RECORD'!$B$5:$W$1000,2,0),"")</f>
        <v/>
      </c>
      <c r="E32" s="9"/>
      <c r="F32" s="9"/>
      <c r="G32" s="8"/>
      <c r="H32" s="37" t="str">
        <f t="shared" si="1"/>
        <v/>
      </c>
      <c r="I32" s="37" t="str">
        <f t="shared" si="2"/>
        <v/>
      </c>
      <c r="J32" s="7"/>
    </row>
    <row r="33" spans="1:10">
      <c r="A33" s="6">
        <f t="shared" si="0"/>
        <v>28</v>
      </c>
      <c r="B33" s="7"/>
      <c r="C33" s="37" t="str">
        <f>IFERROR(VLOOKUP(B33,'MASTER RECORD'!$B$5:$W$1000,3,0),"")</f>
        <v/>
      </c>
      <c r="D33" s="37" t="str">
        <f>IFERROR(VLOOKUP(B33,'MASTER RECORD'!$B$5:$W$1000,2,0),"")</f>
        <v/>
      </c>
      <c r="E33" s="9"/>
      <c r="F33" s="9"/>
      <c r="G33" s="8"/>
      <c r="H33" s="37" t="str">
        <f t="shared" si="1"/>
        <v/>
      </c>
      <c r="I33" s="37" t="str">
        <f t="shared" si="2"/>
        <v/>
      </c>
      <c r="J33" s="7"/>
    </row>
    <row r="34" spans="1:10">
      <c r="A34" s="6">
        <f t="shared" si="0"/>
        <v>29</v>
      </c>
      <c r="B34" s="7"/>
      <c r="C34" s="37" t="str">
        <f>IFERROR(VLOOKUP(B34,'MASTER RECORD'!$B$5:$W$1000,3,0),"")</f>
        <v/>
      </c>
      <c r="D34" s="37" t="str">
        <f>IFERROR(VLOOKUP(B34,'MASTER RECORD'!$B$5:$W$1000,2,0),"")</f>
        <v/>
      </c>
      <c r="E34" s="9"/>
      <c r="F34" s="9"/>
      <c r="G34" s="8"/>
      <c r="H34" s="37" t="str">
        <f t="shared" si="1"/>
        <v/>
      </c>
      <c r="I34" s="37" t="str">
        <f t="shared" si="2"/>
        <v/>
      </c>
      <c r="J34" s="7"/>
    </row>
    <row r="35" spans="1:10">
      <c r="A35" s="6">
        <f t="shared" si="0"/>
        <v>30</v>
      </c>
      <c r="B35" s="7"/>
      <c r="C35" s="37" t="str">
        <f>IFERROR(VLOOKUP(B35,'MASTER RECORD'!$B$5:$W$1000,3,0),"")</f>
        <v/>
      </c>
      <c r="D35" s="37" t="str">
        <f>IFERROR(VLOOKUP(B35,'MASTER RECORD'!$B$5:$W$1000,2,0),"")</f>
        <v/>
      </c>
      <c r="E35" s="9"/>
      <c r="F35" s="9"/>
      <c r="G35" s="8"/>
      <c r="H35" s="37" t="str">
        <f t="shared" si="1"/>
        <v/>
      </c>
      <c r="I35" s="37" t="str">
        <f t="shared" si="2"/>
        <v/>
      </c>
      <c r="J35" s="7"/>
    </row>
    <row r="36" spans="1:10">
      <c r="A36" s="6">
        <f t="shared" si="0"/>
        <v>31</v>
      </c>
      <c r="B36" s="7"/>
      <c r="C36" s="37" t="str">
        <f>IFERROR(VLOOKUP(B36,'MASTER RECORD'!$B$5:$W$1000,3,0),"")</f>
        <v/>
      </c>
      <c r="D36" s="37" t="str">
        <f>IFERROR(VLOOKUP(B36,'MASTER RECORD'!$B$5:$W$1000,2,0),"")</f>
        <v/>
      </c>
      <c r="E36" s="9"/>
      <c r="F36" s="9"/>
      <c r="G36" s="8"/>
      <c r="H36" s="37" t="str">
        <f t="shared" si="1"/>
        <v/>
      </c>
      <c r="I36" s="37" t="str">
        <f t="shared" si="2"/>
        <v/>
      </c>
      <c r="J36" s="7"/>
    </row>
    <row r="37" spans="1:10">
      <c r="A37" s="6">
        <f t="shared" si="0"/>
        <v>32</v>
      </c>
      <c r="B37" s="7"/>
      <c r="C37" s="37" t="str">
        <f>IFERROR(VLOOKUP(B37,'MASTER RECORD'!$B$5:$W$1000,3,0),"")</f>
        <v/>
      </c>
      <c r="D37" s="37" t="str">
        <f>IFERROR(VLOOKUP(B37,'MASTER RECORD'!$B$5:$W$1000,2,0),"")</f>
        <v/>
      </c>
      <c r="E37" s="9"/>
      <c r="F37" s="9"/>
      <c r="G37" s="8"/>
      <c r="H37" s="37" t="str">
        <f t="shared" si="1"/>
        <v/>
      </c>
      <c r="I37" s="37" t="str">
        <f t="shared" si="2"/>
        <v/>
      </c>
      <c r="J37" s="7"/>
    </row>
    <row r="38" spans="1:10">
      <c r="A38" s="6">
        <f t="shared" si="0"/>
        <v>33</v>
      </c>
      <c r="B38" s="7"/>
      <c r="C38" s="37" t="str">
        <f>IFERROR(VLOOKUP(B38,'MASTER RECORD'!$B$5:$W$1000,3,0),"")</f>
        <v/>
      </c>
      <c r="D38" s="37" t="str">
        <f>IFERROR(VLOOKUP(B38,'MASTER RECORD'!$B$5:$W$1000,2,0),"")</f>
        <v/>
      </c>
      <c r="E38" s="9"/>
      <c r="F38" s="9"/>
      <c r="G38" s="8"/>
      <c r="H38" s="37" t="str">
        <f t="shared" si="1"/>
        <v/>
      </c>
      <c r="I38" s="37" t="str">
        <f t="shared" si="2"/>
        <v/>
      </c>
      <c r="J38" s="7"/>
    </row>
    <row r="39" spans="1:10">
      <c r="A39" s="6">
        <f t="shared" si="0"/>
        <v>34</v>
      </c>
      <c r="B39" s="7"/>
      <c r="C39" s="37" t="str">
        <f>IFERROR(VLOOKUP(B39,'MASTER RECORD'!$B$5:$W$1000,3,0),"")</f>
        <v/>
      </c>
      <c r="D39" s="37" t="str">
        <f>IFERROR(VLOOKUP(B39,'MASTER RECORD'!$B$5:$W$1000,2,0),"")</f>
        <v/>
      </c>
      <c r="E39" s="9"/>
      <c r="F39" s="9"/>
      <c r="G39" s="8"/>
      <c r="H39" s="37" t="str">
        <f t="shared" si="1"/>
        <v/>
      </c>
      <c r="I39" s="37" t="str">
        <f t="shared" si="2"/>
        <v/>
      </c>
      <c r="J39" s="7"/>
    </row>
    <row r="40" spans="1:10">
      <c r="A40" s="6">
        <f t="shared" si="0"/>
        <v>35</v>
      </c>
      <c r="B40" s="7"/>
      <c r="C40" s="37" t="str">
        <f>IFERROR(VLOOKUP(B40,'MASTER RECORD'!$B$5:$W$1000,3,0),"")</f>
        <v/>
      </c>
      <c r="D40" s="37" t="str">
        <f>IFERROR(VLOOKUP(B40,'MASTER RECORD'!$B$5:$W$1000,2,0),"")</f>
        <v/>
      </c>
      <c r="E40" s="9"/>
      <c r="F40" s="9"/>
      <c r="G40" s="8"/>
      <c r="H40" s="37" t="str">
        <f t="shared" si="1"/>
        <v/>
      </c>
      <c r="I40" s="37" t="str">
        <f t="shared" si="2"/>
        <v/>
      </c>
      <c r="J40" s="7"/>
    </row>
    <row r="41" spans="1:10">
      <c r="A41" s="6">
        <f t="shared" si="0"/>
        <v>36</v>
      </c>
      <c r="B41" s="7"/>
      <c r="C41" s="37" t="str">
        <f>IFERROR(VLOOKUP(B41,'MASTER RECORD'!$B$5:$W$1000,3,0),"")</f>
        <v/>
      </c>
      <c r="D41" s="37" t="str">
        <f>IFERROR(VLOOKUP(B41,'MASTER RECORD'!$B$5:$W$1000,2,0),"")</f>
        <v/>
      </c>
      <c r="E41" s="9"/>
      <c r="F41" s="9"/>
      <c r="G41" s="8"/>
      <c r="H41" s="37" t="str">
        <f t="shared" si="1"/>
        <v/>
      </c>
      <c r="I41" s="37" t="str">
        <f t="shared" si="2"/>
        <v/>
      </c>
      <c r="J41" s="7"/>
    </row>
    <row r="42" spans="1:10">
      <c r="A42" s="6">
        <f t="shared" si="0"/>
        <v>37</v>
      </c>
      <c r="B42" s="7"/>
      <c r="C42" s="37" t="str">
        <f>IFERROR(VLOOKUP(B42,'MASTER RECORD'!$B$5:$W$1000,3,0),"")</f>
        <v/>
      </c>
      <c r="D42" s="37" t="str">
        <f>IFERROR(VLOOKUP(B42,'MASTER RECORD'!$B$5:$W$1000,2,0),"")</f>
        <v/>
      </c>
      <c r="E42" s="9"/>
      <c r="F42" s="9"/>
      <c r="G42" s="8"/>
      <c r="H42" s="37" t="str">
        <f t="shared" si="1"/>
        <v/>
      </c>
      <c r="I42" s="37" t="str">
        <f t="shared" si="2"/>
        <v/>
      </c>
      <c r="J42" s="7"/>
    </row>
    <row r="43" spans="1:10">
      <c r="A43" s="6">
        <f t="shared" si="0"/>
        <v>38</v>
      </c>
      <c r="B43" s="7"/>
      <c r="C43" s="37" t="str">
        <f>IFERROR(VLOOKUP(B43,'MASTER RECORD'!$B$5:$W$1000,3,0),"")</f>
        <v/>
      </c>
      <c r="D43" s="37" t="str">
        <f>IFERROR(VLOOKUP(B43,'MASTER RECORD'!$B$5:$W$1000,2,0),"")</f>
        <v/>
      </c>
      <c r="E43" s="9"/>
      <c r="F43" s="9"/>
      <c r="G43" s="8"/>
      <c r="H43" s="37" t="str">
        <f t="shared" si="1"/>
        <v/>
      </c>
      <c r="I43" s="37" t="str">
        <f t="shared" si="2"/>
        <v/>
      </c>
      <c r="J43" s="7"/>
    </row>
    <row r="44" spans="1:10">
      <c r="A44" s="6">
        <f t="shared" si="0"/>
        <v>39</v>
      </c>
      <c r="B44" s="7"/>
      <c r="C44" s="37" t="str">
        <f>IFERROR(VLOOKUP(B44,'MASTER RECORD'!$B$5:$W$1000,3,0),"")</f>
        <v/>
      </c>
      <c r="D44" s="37" t="str">
        <f>IFERROR(VLOOKUP(B44,'MASTER RECORD'!$B$5:$W$1000,2,0),"")</f>
        <v/>
      </c>
      <c r="E44" s="9"/>
      <c r="F44" s="9"/>
      <c r="G44" s="8"/>
      <c r="H44" s="37" t="str">
        <f t="shared" si="1"/>
        <v/>
      </c>
      <c r="I44" s="37" t="str">
        <f t="shared" si="2"/>
        <v/>
      </c>
      <c r="J44" s="7"/>
    </row>
    <row r="45" spans="1:10">
      <c r="A45" s="6">
        <f t="shared" si="0"/>
        <v>40</v>
      </c>
      <c r="B45" s="7"/>
      <c r="C45" s="37" t="str">
        <f>IFERROR(VLOOKUP(B45,'MASTER RECORD'!$B$5:$W$1000,3,0),"")</f>
        <v/>
      </c>
      <c r="D45" s="37" t="str">
        <f>IFERROR(VLOOKUP(B45,'MASTER RECORD'!$B$5:$W$1000,2,0),"")</f>
        <v/>
      </c>
      <c r="E45" s="9"/>
      <c r="F45" s="9"/>
      <c r="G45" s="8"/>
      <c r="H45" s="37" t="str">
        <f t="shared" si="1"/>
        <v/>
      </c>
      <c r="I45" s="37" t="str">
        <f t="shared" si="2"/>
        <v/>
      </c>
      <c r="J45" s="7"/>
    </row>
    <row r="46" spans="1:10">
      <c r="A46" s="6">
        <f t="shared" si="0"/>
        <v>41</v>
      </c>
      <c r="B46" s="7"/>
      <c r="C46" s="37" t="str">
        <f>IFERROR(VLOOKUP(B46,'MASTER RECORD'!$B$5:$W$1000,3,0),"")</f>
        <v/>
      </c>
      <c r="D46" s="37" t="str">
        <f>IFERROR(VLOOKUP(B46,'MASTER RECORD'!$B$5:$W$1000,2,0),"")</f>
        <v/>
      </c>
      <c r="E46" s="9"/>
      <c r="F46" s="9"/>
      <c r="G46" s="8"/>
      <c r="H46" s="37" t="str">
        <f t="shared" si="1"/>
        <v/>
      </c>
      <c r="I46" s="37" t="str">
        <f t="shared" si="2"/>
        <v/>
      </c>
      <c r="J46" s="7"/>
    </row>
    <row r="47" spans="1:10">
      <c r="A47" s="6">
        <f t="shared" si="0"/>
        <v>42</v>
      </c>
      <c r="B47" s="7"/>
      <c r="C47" s="37" t="str">
        <f>IFERROR(VLOOKUP(B47,'MASTER RECORD'!$B$5:$W$1000,3,0),"")</f>
        <v/>
      </c>
      <c r="D47" s="37" t="str">
        <f>IFERROR(VLOOKUP(B47,'MASTER RECORD'!$B$5:$W$1000,2,0),"")</f>
        <v/>
      </c>
      <c r="E47" s="9"/>
      <c r="F47" s="9"/>
      <c r="G47" s="8"/>
      <c r="H47" s="37" t="str">
        <f t="shared" si="1"/>
        <v/>
      </c>
      <c r="I47" s="37" t="str">
        <f t="shared" si="2"/>
        <v/>
      </c>
      <c r="J47" s="7"/>
    </row>
    <row r="48" spans="1:10">
      <c r="A48" s="6">
        <f t="shared" si="0"/>
        <v>43</v>
      </c>
      <c r="B48" s="7"/>
      <c r="C48" s="37" t="str">
        <f>IFERROR(VLOOKUP(B48,'MASTER RECORD'!$B$5:$W$1000,3,0),"")</f>
        <v/>
      </c>
      <c r="D48" s="37" t="str">
        <f>IFERROR(VLOOKUP(B48,'MASTER RECORD'!$B$5:$W$1000,2,0),"")</f>
        <v/>
      </c>
      <c r="E48" s="9"/>
      <c r="F48" s="9"/>
      <c r="G48" s="8"/>
      <c r="H48" s="37" t="str">
        <f t="shared" si="1"/>
        <v/>
      </c>
      <c r="I48" s="37" t="str">
        <f t="shared" si="2"/>
        <v/>
      </c>
      <c r="J48" s="7"/>
    </row>
    <row r="49" spans="1:10">
      <c r="A49" s="6">
        <f t="shared" si="0"/>
        <v>44</v>
      </c>
      <c r="B49" s="7"/>
      <c r="C49" s="37" t="str">
        <f>IFERROR(VLOOKUP(B49,'MASTER RECORD'!$B$5:$W$1000,3,0),"")</f>
        <v/>
      </c>
      <c r="D49" s="37" t="str">
        <f>IFERROR(VLOOKUP(B49,'MASTER RECORD'!$B$5:$W$1000,2,0),"")</f>
        <v/>
      </c>
      <c r="E49" s="9"/>
      <c r="F49" s="9"/>
      <c r="G49" s="8"/>
      <c r="H49" s="37" t="str">
        <f t="shared" si="1"/>
        <v/>
      </c>
      <c r="I49" s="37" t="str">
        <f t="shared" si="2"/>
        <v/>
      </c>
      <c r="J49" s="7"/>
    </row>
    <row r="50" spans="1:10">
      <c r="A50" s="6">
        <f t="shared" si="0"/>
        <v>45</v>
      </c>
      <c r="B50" s="7"/>
      <c r="C50" s="37" t="str">
        <f>IFERROR(VLOOKUP(B50,'MASTER RECORD'!$B$5:$W$1000,3,0),"")</f>
        <v/>
      </c>
      <c r="D50" s="37" t="str">
        <f>IFERROR(VLOOKUP(B50,'MASTER RECORD'!$B$5:$W$1000,2,0),"")</f>
        <v/>
      </c>
      <c r="E50" s="9"/>
      <c r="F50" s="9"/>
      <c r="G50" s="8"/>
      <c r="H50" s="37" t="str">
        <f t="shared" si="1"/>
        <v/>
      </c>
      <c r="I50" s="37" t="str">
        <f t="shared" si="2"/>
        <v/>
      </c>
      <c r="J50" s="7"/>
    </row>
    <row r="51" spans="1:10">
      <c r="A51" s="6">
        <f t="shared" si="0"/>
        <v>46</v>
      </c>
      <c r="B51" s="7"/>
      <c r="C51" s="37" t="str">
        <f>IFERROR(VLOOKUP(B51,'MASTER RECORD'!$B$5:$W$1000,3,0),"")</f>
        <v/>
      </c>
      <c r="D51" s="37" t="str">
        <f>IFERROR(VLOOKUP(B51,'MASTER RECORD'!$B$5:$W$1000,2,0),"")</f>
        <v/>
      </c>
      <c r="E51" s="9"/>
      <c r="F51" s="9"/>
      <c r="G51" s="8"/>
      <c r="H51" s="37" t="str">
        <f t="shared" si="1"/>
        <v/>
      </c>
      <c r="I51" s="37" t="str">
        <f t="shared" si="2"/>
        <v/>
      </c>
      <c r="J51" s="7"/>
    </row>
    <row r="52" spans="1:10">
      <c r="A52" s="6">
        <f t="shared" si="0"/>
        <v>47</v>
      </c>
      <c r="B52" s="7"/>
      <c r="C52" s="37" t="str">
        <f>IFERROR(VLOOKUP(B52,'MASTER RECORD'!$B$5:$W$1000,3,0),"")</f>
        <v/>
      </c>
      <c r="D52" s="37" t="str">
        <f>IFERROR(VLOOKUP(B52,'MASTER RECORD'!$B$5:$W$1000,2,0),"")</f>
        <v/>
      </c>
      <c r="E52" s="9"/>
      <c r="F52" s="9"/>
      <c r="G52" s="8"/>
      <c r="H52" s="37" t="str">
        <f t="shared" si="1"/>
        <v/>
      </c>
      <c r="I52" s="37" t="str">
        <f t="shared" si="2"/>
        <v/>
      </c>
      <c r="J52" s="7"/>
    </row>
    <row r="53" spans="1:10">
      <c r="A53" s="6">
        <f t="shared" si="0"/>
        <v>48</v>
      </c>
      <c r="B53" s="7"/>
      <c r="C53" s="37" t="str">
        <f>IFERROR(VLOOKUP(B53,'MASTER RECORD'!$B$5:$W$1000,3,0),"")</f>
        <v/>
      </c>
      <c r="D53" s="37" t="str">
        <f>IFERROR(VLOOKUP(B53,'MASTER RECORD'!$B$5:$W$1000,2,0),"")</f>
        <v/>
      </c>
      <c r="E53" s="9"/>
      <c r="F53" s="9"/>
      <c r="G53" s="8"/>
      <c r="H53" s="37" t="str">
        <f t="shared" si="1"/>
        <v/>
      </c>
      <c r="I53" s="37" t="str">
        <f t="shared" si="2"/>
        <v/>
      </c>
      <c r="J53" s="7"/>
    </row>
    <row r="54" spans="1:10">
      <c r="A54" s="6">
        <f t="shared" si="0"/>
        <v>49</v>
      </c>
      <c r="B54" s="7"/>
      <c r="C54" s="37" t="str">
        <f>IFERROR(VLOOKUP(B54,'MASTER RECORD'!$B$5:$W$1000,3,0),"")</f>
        <v/>
      </c>
      <c r="D54" s="37" t="str">
        <f>IFERROR(VLOOKUP(B54,'MASTER RECORD'!$B$5:$W$1000,2,0),"")</f>
        <v/>
      </c>
      <c r="E54" s="9"/>
      <c r="F54" s="9"/>
      <c r="G54" s="8"/>
      <c r="H54" s="37" t="str">
        <f t="shared" si="1"/>
        <v/>
      </c>
      <c r="I54" s="37" t="str">
        <f t="shared" si="2"/>
        <v/>
      </c>
      <c r="J54" s="7"/>
    </row>
    <row r="55" spans="1:10">
      <c r="A55" s="6">
        <f t="shared" si="0"/>
        <v>50</v>
      </c>
      <c r="B55" s="7"/>
      <c r="C55" s="37" t="str">
        <f>IFERROR(VLOOKUP(B55,'MASTER RECORD'!$B$5:$W$1000,3,0),"")</f>
        <v/>
      </c>
      <c r="D55" s="37" t="str">
        <f>IFERROR(VLOOKUP(B55,'MASTER RECORD'!$B$5:$W$1000,2,0),"")</f>
        <v/>
      </c>
      <c r="E55" s="9"/>
      <c r="F55" s="9"/>
      <c r="G55" s="8"/>
      <c r="H55" s="37" t="str">
        <f t="shared" si="1"/>
        <v/>
      </c>
      <c r="I55" s="37" t="str">
        <f t="shared" si="2"/>
        <v/>
      </c>
      <c r="J55" s="7"/>
    </row>
    <row r="56" spans="1:10">
      <c r="A56" s="6">
        <f t="shared" si="0"/>
        <v>51</v>
      </c>
      <c r="B56" s="7"/>
      <c r="C56" s="37" t="str">
        <f>IFERROR(VLOOKUP(B56,'MASTER RECORD'!$B$5:$W$1000,3,0),"")</f>
        <v/>
      </c>
      <c r="D56" s="37" t="str">
        <f>IFERROR(VLOOKUP(B56,'MASTER RECORD'!$B$5:$W$1000,2,0),"")</f>
        <v/>
      </c>
      <c r="E56" s="9"/>
      <c r="F56" s="9"/>
      <c r="G56" s="8"/>
      <c r="H56" s="37" t="str">
        <f t="shared" si="1"/>
        <v/>
      </c>
      <c r="I56" s="37" t="str">
        <f t="shared" si="2"/>
        <v/>
      </c>
      <c r="J56" s="7"/>
    </row>
    <row r="57" spans="1:10">
      <c r="A57" s="6">
        <f t="shared" si="0"/>
        <v>52</v>
      </c>
      <c r="B57" s="7"/>
      <c r="C57" s="37" t="str">
        <f>IFERROR(VLOOKUP(B57,'MASTER RECORD'!$B$5:$W$1000,3,0),"")</f>
        <v/>
      </c>
      <c r="D57" s="37" t="str">
        <f>IFERROR(VLOOKUP(B57,'MASTER RECORD'!$B$5:$W$1000,2,0),"")</f>
        <v/>
      </c>
      <c r="E57" s="9"/>
      <c r="F57" s="9"/>
      <c r="G57" s="8"/>
      <c r="H57" s="37" t="str">
        <f t="shared" si="1"/>
        <v/>
      </c>
      <c r="I57" s="37" t="str">
        <f t="shared" si="2"/>
        <v/>
      </c>
      <c r="J57" s="7"/>
    </row>
    <row r="58" spans="1:10">
      <c r="A58" s="6">
        <f t="shared" si="0"/>
        <v>53</v>
      </c>
      <c r="B58" s="7"/>
      <c r="C58" s="37" t="str">
        <f>IFERROR(VLOOKUP(B58,'MASTER RECORD'!$B$5:$W$1000,3,0),"")</f>
        <v/>
      </c>
      <c r="D58" s="37" t="str">
        <f>IFERROR(VLOOKUP(B58,'MASTER RECORD'!$B$5:$W$1000,2,0),"")</f>
        <v/>
      </c>
      <c r="E58" s="9"/>
      <c r="F58" s="9"/>
      <c r="G58" s="8"/>
      <c r="H58" s="37" t="str">
        <f t="shared" si="1"/>
        <v/>
      </c>
      <c r="I58" s="37" t="str">
        <f t="shared" si="2"/>
        <v/>
      </c>
      <c r="J58" s="7"/>
    </row>
    <row r="59" spans="1:10">
      <c r="A59" s="6">
        <f t="shared" si="0"/>
        <v>54</v>
      </c>
      <c r="B59" s="7"/>
      <c r="C59" s="37" t="str">
        <f>IFERROR(VLOOKUP(B59,'MASTER RECORD'!$B$5:$W$1000,3,0),"")</f>
        <v/>
      </c>
      <c r="D59" s="37" t="str">
        <f>IFERROR(VLOOKUP(B59,'MASTER RECORD'!$B$5:$W$1000,2,0),"")</f>
        <v/>
      </c>
      <c r="E59" s="9"/>
      <c r="F59" s="9"/>
      <c r="G59" s="8"/>
      <c r="H59" s="37" t="str">
        <f t="shared" si="1"/>
        <v/>
      </c>
      <c r="I59" s="37" t="str">
        <f t="shared" si="2"/>
        <v/>
      </c>
      <c r="J59" s="7"/>
    </row>
    <row r="60" spans="1:10">
      <c r="A60" s="6">
        <f t="shared" si="0"/>
        <v>55</v>
      </c>
      <c r="B60" s="7"/>
      <c r="C60" s="37" t="str">
        <f>IFERROR(VLOOKUP(B60,'MASTER RECORD'!$B$5:$W$1000,3,0),"")</f>
        <v/>
      </c>
      <c r="D60" s="37" t="str">
        <f>IFERROR(VLOOKUP(B60,'MASTER RECORD'!$B$5:$W$1000,2,0),"")</f>
        <v/>
      </c>
      <c r="E60" s="9"/>
      <c r="F60" s="9"/>
      <c r="G60" s="8"/>
      <c r="H60" s="37" t="str">
        <f t="shared" si="1"/>
        <v/>
      </c>
      <c r="I60" s="37" t="str">
        <f t="shared" si="2"/>
        <v/>
      </c>
      <c r="J60" s="7"/>
    </row>
    <row r="61" spans="1:10">
      <c r="A61" s="6">
        <f t="shared" si="0"/>
        <v>56</v>
      </c>
      <c r="B61" s="7"/>
      <c r="C61" s="37" t="str">
        <f>IFERROR(VLOOKUP(B61,'MASTER RECORD'!$B$5:$W$1000,3,0),"")</f>
        <v/>
      </c>
      <c r="D61" s="37" t="str">
        <f>IFERROR(VLOOKUP(B61,'MASTER RECORD'!$B$5:$W$1000,2,0),"")</f>
        <v/>
      </c>
      <c r="E61" s="9"/>
      <c r="F61" s="9"/>
      <c r="G61" s="8"/>
      <c r="H61" s="37" t="str">
        <f t="shared" si="1"/>
        <v/>
      </c>
      <c r="I61" s="37" t="str">
        <f t="shared" si="2"/>
        <v/>
      </c>
      <c r="J61" s="7"/>
    </row>
    <row r="62" spans="1:10">
      <c r="A62" s="6">
        <f t="shared" si="0"/>
        <v>57</v>
      </c>
      <c r="B62" s="7"/>
      <c r="C62" s="37" t="str">
        <f>IFERROR(VLOOKUP(B62,'MASTER RECORD'!$B$5:$W$1000,3,0),"")</f>
        <v/>
      </c>
      <c r="D62" s="37" t="str">
        <f>IFERROR(VLOOKUP(B62,'MASTER RECORD'!$B$5:$W$1000,2,0),"")</f>
        <v/>
      </c>
      <c r="E62" s="9"/>
      <c r="F62" s="9"/>
      <c r="G62" s="8"/>
      <c r="H62" s="37" t="str">
        <f t="shared" si="1"/>
        <v/>
      </c>
      <c r="I62" s="37" t="str">
        <f t="shared" si="2"/>
        <v/>
      </c>
      <c r="J62" s="7"/>
    </row>
    <row r="63" spans="1:10">
      <c r="A63" s="6">
        <f t="shared" si="0"/>
        <v>58</v>
      </c>
      <c r="B63" s="7"/>
      <c r="C63" s="37" t="str">
        <f>IFERROR(VLOOKUP(B63,'MASTER RECORD'!$B$5:$W$1000,3,0),"")</f>
        <v/>
      </c>
      <c r="D63" s="37" t="str">
        <f>IFERROR(VLOOKUP(B63,'MASTER RECORD'!$B$5:$W$1000,2,0),"")</f>
        <v/>
      </c>
      <c r="E63" s="9"/>
      <c r="F63" s="9"/>
      <c r="G63" s="8"/>
      <c r="H63" s="37" t="str">
        <f t="shared" si="1"/>
        <v/>
      </c>
      <c r="I63" s="37" t="str">
        <f t="shared" si="2"/>
        <v/>
      </c>
      <c r="J63" s="7"/>
    </row>
    <row r="64" spans="1:10">
      <c r="A64" s="6">
        <f t="shared" si="0"/>
        <v>59</v>
      </c>
      <c r="B64" s="7"/>
      <c r="C64" s="37" t="str">
        <f>IFERROR(VLOOKUP(B64,'MASTER RECORD'!$B$5:$W$1000,3,0),"")</f>
        <v/>
      </c>
      <c r="D64" s="37" t="str">
        <f>IFERROR(VLOOKUP(B64,'MASTER RECORD'!$B$5:$W$1000,2,0),"")</f>
        <v/>
      </c>
      <c r="E64" s="9"/>
      <c r="F64" s="9"/>
      <c r="G64" s="8"/>
      <c r="H64" s="37" t="str">
        <f t="shared" si="1"/>
        <v/>
      </c>
      <c r="I64" s="37" t="str">
        <f t="shared" si="2"/>
        <v/>
      </c>
      <c r="J64" s="7"/>
    </row>
    <row r="65" spans="1:10">
      <c r="A65" s="6">
        <f t="shared" si="0"/>
        <v>60</v>
      </c>
      <c r="B65" s="7"/>
      <c r="C65" s="37" t="str">
        <f>IFERROR(VLOOKUP(B65,'MASTER RECORD'!$B$5:$W$1000,3,0),"")</f>
        <v/>
      </c>
      <c r="D65" s="37" t="str">
        <f>IFERROR(VLOOKUP(B65,'MASTER RECORD'!$B$5:$W$1000,2,0),"")</f>
        <v/>
      </c>
      <c r="E65" s="9"/>
      <c r="F65" s="9"/>
      <c r="G65" s="8"/>
      <c r="H65" s="37" t="str">
        <f t="shared" si="1"/>
        <v/>
      </c>
      <c r="I65" s="37" t="str">
        <f t="shared" si="2"/>
        <v/>
      </c>
      <c r="J65" s="7"/>
    </row>
    <row r="66" spans="1:10">
      <c r="A66" s="6">
        <f t="shared" si="0"/>
        <v>61</v>
      </c>
      <c r="B66" s="7"/>
      <c r="C66" s="37" t="str">
        <f>IFERROR(VLOOKUP(B66,'MASTER RECORD'!$B$5:$W$1000,3,0),"")</f>
        <v/>
      </c>
      <c r="D66" s="37" t="str">
        <f>IFERROR(VLOOKUP(B66,'MASTER RECORD'!$B$5:$W$1000,2,0),"")</f>
        <v/>
      </c>
      <c r="E66" s="9"/>
      <c r="F66" s="9"/>
      <c r="G66" s="8"/>
      <c r="H66" s="37" t="str">
        <f t="shared" si="1"/>
        <v/>
      </c>
      <c r="I66" s="37" t="str">
        <f t="shared" si="2"/>
        <v/>
      </c>
      <c r="J66" s="7"/>
    </row>
    <row r="67" spans="1:10">
      <c r="A67" s="6">
        <f t="shared" si="0"/>
        <v>62</v>
      </c>
      <c r="B67" s="7"/>
      <c r="C67" s="37" t="str">
        <f>IFERROR(VLOOKUP(B67,'MASTER RECORD'!$B$5:$W$1000,3,0),"")</f>
        <v/>
      </c>
      <c r="D67" s="37" t="str">
        <f>IFERROR(VLOOKUP(B67,'MASTER RECORD'!$B$5:$W$1000,2,0),"")</f>
        <v/>
      </c>
      <c r="E67" s="9"/>
      <c r="F67" s="9"/>
      <c r="G67" s="8"/>
      <c r="H67" s="37" t="str">
        <f t="shared" si="1"/>
        <v/>
      </c>
      <c r="I67" s="37" t="str">
        <f t="shared" si="2"/>
        <v/>
      </c>
      <c r="J67" s="7"/>
    </row>
    <row r="68" spans="1:10">
      <c r="A68" s="6">
        <f t="shared" si="0"/>
        <v>63</v>
      </c>
      <c r="B68" s="7"/>
      <c r="C68" s="37" t="str">
        <f>IFERROR(VLOOKUP(B68,'MASTER RECORD'!$B$5:$W$1000,3,0),"")</f>
        <v/>
      </c>
      <c r="D68" s="37" t="str">
        <f>IFERROR(VLOOKUP(B68,'MASTER RECORD'!$B$5:$W$1000,2,0),"")</f>
        <v/>
      </c>
      <c r="E68" s="9"/>
      <c r="F68" s="9"/>
      <c r="G68" s="8"/>
      <c r="H68" s="37" t="str">
        <f t="shared" si="1"/>
        <v/>
      </c>
      <c r="I68" s="37" t="str">
        <f t="shared" si="2"/>
        <v/>
      </c>
      <c r="J68" s="7"/>
    </row>
    <row r="69" spans="1:10">
      <c r="A69" s="6">
        <f t="shared" si="0"/>
        <v>64</v>
      </c>
      <c r="B69" s="7"/>
      <c r="C69" s="37" t="str">
        <f>IFERROR(VLOOKUP(B69,'MASTER RECORD'!$B$5:$W$1000,3,0),"")</f>
        <v/>
      </c>
      <c r="D69" s="37" t="str">
        <f>IFERROR(VLOOKUP(B69,'MASTER RECORD'!$B$5:$W$1000,2,0),"")</f>
        <v/>
      </c>
      <c r="E69" s="9"/>
      <c r="F69" s="9"/>
      <c r="G69" s="8"/>
      <c r="H69" s="37" t="str">
        <f t="shared" si="1"/>
        <v/>
      </c>
      <c r="I69" s="37" t="str">
        <f t="shared" si="2"/>
        <v/>
      </c>
      <c r="J69" s="7"/>
    </row>
    <row r="70" spans="1:10">
      <c r="A70" s="6">
        <f t="shared" si="0"/>
        <v>65</v>
      </c>
      <c r="B70" s="7"/>
      <c r="C70" s="37" t="str">
        <f>IFERROR(VLOOKUP(B70,'MASTER RECORD'!$B$5:$W$1000,3,0),"")</f>
        <v/>
      </c>
      <c r="D70" s="37" t="str">
        <f>IFERROR(VLOOKUP(B70,'MASTER RECORD'!$B$5:$W$1000,2,0),"")</f>
        <v/>
      </c>
      <c r="E70" s="9"/>
      <c r="F70" s="9"/>
      <c r="G70" s="8"/>
      <c r="H70" s="37" t="str">
        <f t="shared" si="1"/>
        <v/>
      </c>
      <c r="I70" s="37" t="str">
        <f t="shared" si="2"/>
        <v/>
      </c>
      <c r="J70" s="7"/>
    </row>
    <row r="71" spans="1:10">
      <c r="A71" s="6">
        <f t="shared" ref="A71:A134" si="3">ROW(A66)</f>
        <v>66</v>
      </c>
      <c r="B71" s="7"/>
      <c r="C71" s="37" t="str">
        <f>IFERROR(VLOOKUP(B71,'MASTER RECORD'!$B$5:$W$1000,3,0),"")</f>
        <v/>
      </c>
      <c r="D71" s="37" t="str">
        <f>IFERROR(VLOOKUP(B71,'MASTER RECORD'!$B$5:$W$1000,2,0),"")</f>
        <v/>
      </c>
      <c r="E71" s="9"/>
      <c r="F71" s="9"/>
      <c r="G71" s="8"/>
      <c r="H71" s="37" t="str">
        <f t="shared" ref="H71:H134" si="4">IF(G71=0,"",TEXT(G71,"mmmm"))</f>
        <v/>
      </c>
      <c r="I71" s="37" t="str">
        <f t="shared" ref="I71:I134" si="5">IF(G71=0,"",TEXT(G71,"yyyy"))</f>
        <v/>
      </c>
      <c r="J71" s="7"/>
    </row>
    <row r="72" spans="1:10">
      <c r="A72" s="6">
        <f t="shared" si="3"/>
        <v>67</v>
      </c>
      <c r="B72" s="7"/>
      <c r="C72" s="37" t="str">
        <f>IFERROR(VLOOKUP(B72,'MASTER RECORD'!$B$5:$W$1000,3,0),"")</f>
        <v/>
      </c>
      <c r="D72" s="37" t="str">
        <f>IFERROR(VLOOKUP(B72,'MASTER RECORD'!$B$5:$W$1000,2,0),"")</f>
        <v/>
      </c>
      <c r="E72" s="9"/>
      <c r="F72" s="9"/>
      <c r="G72" s="8"/>
      <c r="H72" s="37" t="str">
        <f t="shared" si="4"/>
        <v/>
      </c>
      <c r="I72" s="37" t="str">
        <f t="shared" si="5"/>
        <v/>
      </c>
      <c r="J72" s="7"/>
    </row>
    <row r="73" spans="1:10">
      <c r="A73" s="6">
        <f t="shared" si="3"/>
        <v>68</v>
      </c>
      <c r="B73" s="7"/>
      <c r="C73" s="37" t="str">
        <f>IFERROR(VLOOKUP(B73,'MASTER RECORD'!$B$5:$W$1000,3,0),"")</f>
        <v/>
      </c>
      <c r="D73" s="37" t="str">
        <f>IFERROR(VLOOKUP(B73,'MASTER RECORD'!$B$5:$W$1000,2,0),"")</f>
        <v/>
      </c>
      <c r="E73" s="9"/>
      <c r="F73" s="9"/>
      <c r="G73" s="8"/>
      <c r="H73" s="37" t="str">
        <f t="shared" si="4"/>
        <v/>
      </c>
      <c r="I73" s="37" t="str">
        <f t="shared" si="5"/>
        <v/>
      </c>
      <c r="J73" s="7"/>
    </row>
    <row r="74" spans="1:10">
      <c r="A74" s="6">
        <f t="shared" si="3"/>
        <v>69</v>
      </c>
      <c r="B74" s="7"/>
      <c r="C74" s="37" t="str">
        <f>IFERROR(VLOOKUP(B74,'MASTER RECORD'!$B$5:$W$1000,3,0),"")</f>
        <v/>
      </c>
      <c r="D74" s="37" t="str">
        <f>IFERROR(VLOOKUP(B74,'MASTER RECORD'!$B$5:$W$1000,2,0),"")</f>
        <v/>
      </c>
      <c r="E74" s="9"/>
      <c r="F74" s="9"/>
      <c r="G74" s="8"/>
      <c r="H74" s="37" t="str">
        <f t="shared" si="4"/>
        <v/>
      </c>
      <c r="I74" s="37" t="str">
        <f t="shared" si="5"/>
        <v/>
      </c>
      <c r="J74" s="7"/>
    </row>
    <row r="75" spans="1:10">
      <c r="A75" s="6">
        <f t="shared" si="3"/>
        <v>70</v>
      </c>
      <c r="B75" s="7"/>
      <c r="C75" s="37" t="str">
        <f>IFERROR(VLOOKUP(B75,'MASTER RECORD'!$B$5:$W$1000,3,0),"")</f>
        <v/>
      </c>
      <c r="D75" s="37" t="str">
        <f>IFERROR(VLOOKUP(B75,'MASTER RECORD'!$B$5:$W$1000,2,0),"")</f>
        <v/>
      </c>
      <c r="E75" s="9"/>
      <c r="F75" s="9"/>
      <c r="G75" s="8"/>
      <c r="H75" s="37" t="str">
        <f t="shared" si="4"/>
        <v/>
      </c>
      <c r="I75" s="37" t="str">
        <f t="shared" si="5"/>
        <v/>
      </c>
      <c r="J75" s="7"/>
    </row>
    <row r="76" spans="1:10">
      <c r="A76" s="6">
        <f t="shared" si="3"/>
        <v>71</v>
      </c>
      <c r="B76" s="7"/>
      <c r="C76" s="37" t="str">
        <f>IFERROR(VLOOKUP(B76,'MASTER RECORD'!$B$5:$W$1000,3,0),"")</f>
        <v/>
      </c>
      <c r="D76" s="37" t="str">
        <f>IFERROR(VLOOKUP(B76,'MASTER RECORD'!$B$5:$W$1000,2,0),"")</f>
        <v/>
      </c>
      <c r="E76" s="9"/>
      <c r="F76" s="9"/>
      <c r="G76" s="8"/>
      <c r="H76" s="37" t="str">
        <f t="shared" si="4"/>
        <v/>
      </c>
      <c r="I76" s="37" t="str">
        <f t="shared" si="5"/>
        <v/>
      </c>
      <c r="J76" s="7"/>
    </row>
    <row r="77" spans="1:10">
      <c r="A77" s="6">
        <f t="shared" si="3"/>
        <v>72</v>
      </c>
      <c r="B77" s="7"/>
      <c r="C77" s="37" t="str">
        <f>IFERROR(VLOOKUP(B77,'MASTER RECORD'!$B$5:$W$1000,3,0),"")</f>
        <v/>
      </c>
      <c r="D77" s="37" t="str">
        <f>IFERROR(VLOOKUP(B77,'MASTER RECORD'!$B$5:$W$1000,2,0),"")</f>
        <v/>
      </c>
      <c r="E77" s="9"/>
      <c r="F77" s="9"/>
      <c r="G77" s="8"/>
      <c r="H77" s="37" t="str">
        <f t="shared" si="4"/>
        <v/>
      </c>
      <c r="I77" s="37" t="str">
        <f t="shared" si="5"/>
        <v/>
      </c>
      <c r="J77" s="7"/>
    </row>
    <row r="78" spans="1:10">
      <c r="A78" s="6">
        <f t="shared" si="3"/>
        <v>73</v>
      </c>
      <c r="B78" s="7"/>
      <c r="C78" s="37" t="str">
        <f>IFERROR(VLOOKUP(B78,'MASTER RECORD'!$B$5:$W$1000,3,0),"")</f>
        <v/>
      </c>
      <c r="D78" s="37" t="str">
        <f>IFERROR(VLOOKUP(B78,'MASTER RECORD'!$B$5:$W$1000,2,0),"")</f>
        <v/>
      </c>
      <c r="E78" s="9"/>
      <c r="F78" s="9"/>
      <c r="G78" s="8"/>
      <c r="H78" s="37" t="str">
        <f t="shared" si="4"/>
        <v/>
      </c>
      <c r="I78" s="37" t="str">
        <f t="shared" si="5"/>
        <v/>
      </c>
      <c r="J78" s="7"/>
    </row>
    <row r="79" spans="1:10">
      <c r="A79" s="6">
        <f t="shared" si="3"/>
        <v>74</v>
      </c>
      <c r="B79" s="7"/>
      <c r="C79" s="37" t="str">
        <f>IFERROR(VLOOKUP(B79,'MASTER RECORD'!$B$5:$W$1000,3,0),"")</f>
        <v/>
      </c>
      <c r="D79" s="37" t="str">
        <f>IFERROR(VLOOKUP(B79,'MASTER RECORD'!$B$5:$W$1000,2,0),"")</f>
        <v/>
      </c>
      <c r="E79" s="9"/>
      <c r="F79" s="9"/>
      <c r="G79" s="8"/>
      <c r="H79" s="37" t="str">
        <f t="shared" si="4"/>
        <v/>
      </c>
      <c r="I79" s="37" t="str">
        <f t="shared" si="5"/>
        <v/>
      </c>
      <c r="J79" s="7"/>
    </row>
    <row r="80" spans="1:10">
      <c r="A80" s="6">
        <f t="shared" si="3"/>
        <v>75</v>
      </c>
      <c r="B80" s="7"/>
      <c r="C80" s="37" t="str">
        <f>IFERROR(VLOOKUP(B80,'MASTER RECORD'!$B$5:$W$1000,3,0),"")</f>
        <v/>
      </c>
      <c r="D80" s="37" t="str">
        <f>IFERROR(VLOOKUP(B80,'MASTER RECORD'!$B$5:$W$1000,2,0),"")</f>
        <v/>
      </c>
      <c r="E80" s="9"/>
      <c r="F80" s="9"/>
      <c r="G80" s="8"/>
      <c r="H80" s="37" t="str">
        <f t="shared" si="4"/>
        <v/>
      </c>
      <c r="I80" s="37" t="str">
        <f t="shared" si="5"/>
        <v/>
      </c>
      <c r="J80" s="7"/>
    </row>
    <row r="81" spans="1:10">
      <c r="A81" s="6">
        <f t="shared" si="3"/>
        <v>76</v>
      </c>
      <c r="B81" s="7"/>
      <c r="C81" s="37" t="str">
        <f>IFERROR(VLOOKUP(B81,'MASTER RECORD'!$B$5:$W$1000,3,0),"")</f>
        <v/>
      </c>
      <c r="D81" s="37" t="str">
        <f>IFERROR(VLOOKUP(B81,'MASTER RECORD'!$B$5:$W$1000,2,0),"")</f>
        <v/>
      </c>
      <c r="E81" s="9"/>
      <c r="F81" s="9"/>
      <c r="G81" s="8"/>
      <c r="H81" s="37" t="str">
        <f t="shared" si="4"/>
        <v/>
      </c>
      <c r="I81" s="37" t="str">
        <f t="shared" si="5"/>
        <v/>
      </c>
      <c r="J81" s="7"/>
    </row>
    <row r="82" spans="1:10">
      <c r="A82" s="6">
        <f t="shared" si="3"/>
        <v>77</v>
      </c>
      <c r="B82" s="7"/>
      <c r="C82" s="37" t="str">
        <f>IFERROR(VLOOKUP(B82,'MASTER RECORD'!$B$5:$W$1000,3,0),"")</f>
        <v/>
      </c>
      <c r="D82" s="37" t="str">
        <f>IFERROR(VLOOKUP(B82,'MASTER RECORD'!$B$5:$W$1000,2,0),"")</f>
        <v/>
      </c>
      <c r="E82" s="9"/>
      <c r="F82" s="9"/>
      <c r="G82" s="8"/>
      <c r="H82" s="37" t="str">
        <f t="shared" si="4"/>
        <v/>
      </c>
      <c r="I82" s="37" t="str">
        <f t="shared" si="5"/>
        <v/>
      </c>
      <c r="J82" s="7"/>
    </row>
    <row r="83" spans="1:10">
      <c r="A83" s="6">
        <f t="shared" si="3"/>
        <v>78</v>
      </c>
      <c r="B83" s="7"/>
      <c r="C83" s="37" t="str">
        <f>IFERROR(VLOOKUP(B83,'MASTER RECORD'!$B$5:$W$1000,3,0),"")</f>
        <v/>
      </c>
      <c r="D83" s="37" t="str">
        <f>IFERROR(VLOOKUP(B83,'MASTER RECORD'!$B$5:$W$1000,2,0),"")</f>
        <v/>
      </c>
      <c r="E83" s="9"/>
      <c r="F83" s="9"/>
      <c r="G83" s="8"/>
      <c r="H83" s="37" t="str">
        <f t="shared" si="4"/>
        <v/>
      </c>
      <c r="I83" s="37" t="str">
        <f t="shared" si="5"/>
        <v/>
      </c>
      <c r="J83" s="7"/>
    </row>
    <row r="84" spans="1:10">
      <c r="A84" s="6">
        <f t="shared" si="3"/>
        <v>79</v>
      </c>
      <c r="B84" s="7"/>
      <c r="C84" s="37" t="str">
        <f>IFERROR(VLOOKUP(B84,'MASTER RECORD'!$B$5:$W$1000,3,0),"")</f>
        <v/>
      </c>
      <c r="D84" s="37" t="str">
        <f>IFERROR(VLOOKUP(B84,'MASTER RECORD'!$B$5:$W$1000,2,0),"")</f>
        <v/>
      </c>
      <c r="E84" s="9"/>
      <c r="F84" s="9"/>
      <c r="G84" s="8"/>
      <c r="H84" s="37" t="str">
        <f t="shared" si="4"/>
        <v/>
      </c>
      <c r="I84" s="37" t="str">
        <f t="shared" si="5"/>
        <v/>
      </c>
      <c r="J84" s="7"/>
    </row>
    <row r="85" spans="1:10">
      <c r="A85" s="6">
        <f t="shared" si="3"/>
        <v>80</v>
      </c>
      <c r="B85" s="7"/>
      <c r="C85" s="37" t="str">
        <f>IFERROR(VLOOKUP(B85,'MASTER RECORD'!$B$5:$W$1000,3,0),"")</f>
        <v/>
      </c>
      <c r="D85" s="37" t="str">
        <f>IFERROR(VLOOKUP(B85,'MASTER RECORD'!$B$5:$W$1000,2,0),"")</f>
        <v/>
      </c>
      <c r="E85" s="9"/>
      <c r="F85" s="9"/>
      <c r="G85" s="8"/>
      <c r="H85" s="37" t="str">
        <f t="shared" si="4"/>
        <v/>
      </c>
      <c r="I85" s="37" t="str">
        <f t="shared" si="5"/>
        <v/>
      </c>
      <c r="J85" s="7"/>
    </row>
    <row r="86" spans="1:10">
      <c r="A86" s="6">
        <f t="shared" si="3"/>
        <v>81</v>
      </c>
      <c r="B86" s="7"/>
      <c r="C86" s="37" t="str">
        <f>IFERROR(VLOOKUP(B86,'MASTER RECORD'!$B$5:$W$1000,3,0),"")</f>
        <v/>
      </c>
      <c r="D86" s="37" t="str">
        <f>IFERROR(VLOOKUP(B86,'MASTER RECORD'!$B$5:$W$1000,2,0),"")</f>
        <v/>
      </c>
      <c r="E86" s="9"/>
      <c r="F86" s="9"/>
      <c r="G86" s="8"/>
      <c r="H86" s="37" t="str">
        <f t="shared" si="4"/>
        <v/>
      </c>
      <c r="I86" s="37" t="str">
        <f t="shared" si="5"/>
        <v/>
      </c>
      <c r="J86" s="7"/>
    </row>
    <row r="87" spans="1:10">
      <c r="A87" s="6">
        <f t="shared" si="3"/>
        <v>82</v>
      </c>
      <c r="B87" s="7"/>
      <c r="C87" s="37" t="str">
        <f>IFERROR(VLOOKUP(B87,'MASTER RECORD'!$B$5:$W$1000,3,0),"")</f>
        <v/>
      </c>
      <c r="D87" s="37" t="str">
        <f>IFERROR(VLOOKUP(B87,'MASTER RECORD'!$B$5:$W$1000,2,0),"")</f>
        <v/>
      </c>
      <c r="E87" s="9"/>
      <c r="F87" s="9"/>
      <c r="G87" s="8"/>
      <c r="H87" s="37" t="str">
        <f t="shared" si="4"/>
        <v/>
      </c>
      <c r="I87" s="37" t="str">
        <f t="shared" si="5"/>
        <v/>
      </c>
      <c r="J87" s="7"/>
    </row>
    <row r="88" spans="1:10">
      <c r="A88" s="6">
        <f t="shared" si="3"/>
        <v>83</v>
      </c>
      <c r="B88" s="7"/>
      <c r="C88" s="37" t="str">
        <f>IFERROR(VLOOKUP(B88,'MASTER RECORD'!$B$5:$W$1000,3,0),"")</f>
        <v/>
      </c>
      <c r="D88" s="37" t="str">
        <f>IFERROR(VLOOKUP(B88,'MASTER RECORD'!$B$5:$W$1000,2,0),"")</f>
        <v/>
      </c>
      <c r="E88" s="9"/>
      <c r="F88" s="9"/>
      <c r="G88" s="8"/>
      <c r="H88" s="37" t="str">
        <f t="shared" si="4"/>
        <v/>
      </c>
      <c r="I88" s="37" t="str">
        <f t="shared" si="5"/>
        <v/>
      </c>
      <c r="J88" s="7"/>
    </row>
    <row r="89" spans="1:10">
      <c r="A89" s="6">
        <f t="shared" si="3"/>
        <v>84</v>
      </c>
      <c r="B89" s="7"/>
      <c r="C89" s="37" t="str">
        <f>IFERROR(VLOOKUP(B89,'MASTER RECORD'!$B$5:$W$1000,3,0),"")</f>
        <v/>
      </c>
      <c r="D89" s="37" t="str">
        <f>IFERROR(VLOOKUP(B89,'MASTER RECORD'!$B$5:$W$1000,2,0),"")</f>
        <v/>
      </c>
      <c r="E89" s="9"/>
      <c r="F89" s="9"/>
      <c r="G89" s="8"/>
      <c r="H89" s="37" t="str">
        <f t="shared" si="4"/>
        <v/>
      </c>
      <c r="I89" s="37" t="str">
        <f t="shared" si="5"/>
        <v/>
      </c>
      <c r="J89" s="7"/>
    </row>
    <row r="90" spans="1:10">
      <c r="A90" s="6">
        <f t="shared" si="3"/>
        <v>85</v>
      </c>
      <c r="B90" s="7"/>
      <c r="C90" s="37" t="str">
        <f>IFERROR(VLOOKUP(B90,'MASTER RECORD'!$B$5:$W$1000,3,0),"")</f>
        <v/>
      </c>
      <c r="D90" s="37" t="str">
        <f>IFERROR(VLOOKUP(B90,'MASTER RECORD'!$B$5:$W$1000,2,0),"")</f>
        <v/>
      </c>
      <c r="E90" s="9"/>
      <c r="F90" s="9"/>
      <c r="G90" s="8"/>
      <c r="H90" s="37" t="str">
        <f t="shared" si="4"/>
        <v/>
      </c>
      <c r="I90" s="37" t="str">
        <f t="shared" si="5"/>
        <v/>
      </c>
      <c r="J90" s="7"/>
    </row>
    <row r="91" spans="1:10">
      <c r="A91" s="6">
        <f t="shared" si="3"/>
        <v>86</v>
      </c>
      <c r="B91" s="7"/>
      <c r="C91" s="37" t="str">
        <f>IFERROR(VLOOKUP(B91,'MASTER RECORD'!$B$5:$W$1000,3,0),"")</f>
        <v/>
      </c>
      <c r="D91" s="37" t="str">
        <f>IFERROR(VLOOKUP(B91,'MASTER RECORD'!$B$5:$W$1000,2,0),"")</f>
        <v/>
      </c>
      <c r="E91" s="9"/>
      <c r="F91" s="9"/>
      <c r="G91" s="8"/>
      <c r="H91" s="37" t="str">
        <f t="shared" si="4"/>
        <v/>
      </c>
      <c r="I91" s="37" t="str">
        <f t="shared" si="5"/>
        <v/>
      </c>
      <c r="J91" s="7"/>
    </row>
    <row r="92" spans="1:10">
      <c r="A92" s="6">
        <f t="shared" si="3"/>
        <v>87</v>
      </c>
      <c r="B92" s="7"/>
      <c r="C92" s="37" t="str">
        <f>IFERROR(VLOOKUP(B92,'MASTER RECORD'!$B$5:$W$1000,3,0),"")</f>
        <v/>
      </c>
      <c r="D92" s="37" t="str">
        <f>IFERROR(VLOOKUP(B92,'MASTER RECORD'!$B$5:$W$1000,2,0),"")</f>
        <v/>
      </c>
      <c r="E92" s="9"/>
      <c r="F92" s="9"/>
      <c r="G92" s="8"/>
      <c r="H92" s="37" t="str">
        <f t="shared" si="4"/>
        <v/>
      </c>
      <c r="I92" s="37" t="str">
        <f t="shared" si="5"/>
        <v/>
      </c>
      <c r="J92" s="7"/>
    </row>
    <row r="93" spans="1:10">
      <c r="A93" s="6">
        <f t="shared" si="3"/>
        <v>88</v>
      </c>
      <c r="B93" s="7"/>
      <c r="C93" s="37" t="str">
        <f>IFERROR(VLOOKUP(B93,'MASTER RECORD'!$B$5:$W$1000,3,0),"")</f>
        <v/>
      </c>
      <c r="D93" s="37" t="str">
        <f>IFERROR(VLOOKUP(B93,'MASTER RECORD'!$B$5:$W$1000,2,0),"")</f>
        <v/>
      </c>
      <c r="E93" s="9"/>
      <c r="F93" s="9"/>
      <c r="G93" s="8"/>
      <c r="H93" s="37" t="str">
        <f t="shared" si="4"/>
        <v/>
      </c>
      <c r="I93" s="37" t="str">
        <f t="shared" si="5"/>
        <v/>
      </c>
      <c r="J93" s="7"/>
    </row>
    <row r="94" spans="1:10">
      <c r="A94" s="6">
        <f t="shared" si="3"/>
        <v>89</v>
      </c>
      <c r="B94" s="7"/>
      <c r="C94" s="37" t="str">
        <f>IFERROR(VLOOKUP(B94,'MASTER RECORD'!$B$5:$W$1000,3,0),"")</f>
        <v/>
      </c>
      <c r="D94" s="37" t="str">
        <f>IFERROR(VLOOKUP(B94,'MASTER RECORD'!$B$5:$W$1000,2,0),"")</f>
        <v/>
      </c>
      <c r="E94" s="9"/>
      <c r="F94" s="9"/>
      <c r="G94" s="8"/>
      <c r="H94" s="37" t="str">
        <f t="shared" si="4"/>
        <v/>
      </c>
      <c r="I94" s="37" t="str">
        <f t="shared" si="5"/>
        <v/>
      </c>
      <c r="J94" s="7"/>
    </row>
    <row r="95" spans="1:10">
      <c r="A95" s="6">
        <f t="shared" si="3"/>
        <v>90</v>
      </c>
      <c r="B95" s="7"/>
      <c r="C95" s="37" t="str">
        <f>IFERROR(VLOOKUP(B95,'MASTER RECORD'!$B$5:$W$1000,3,0),"")</f>
        <v/>
      </c>
      <c r="D95" s="37" t="str">
        <f>IFERROR(VLOOKUP(B95,'MASTER RECORD'!$B$5:$W$1000,2,0),"")</f>
        <v/>
      </c>
      <c r="E95" s="9"/>
      <c r="F95" s="9"/>
      <c r="G95" s="8"/>
      <c r="H95" s="37" t="str">
        <f t="shared" si="4"/>
        <v/>
      </c>
      <c r="I95" s="37" t="str">
        <f t="shared" si="5"/>
        <v/>
      </c>
      <c r="J95" s="7"/>
    </row>
    <row r="96" spans="1:10">
      <c r="A96" s="6">
        <f t="shared" si="3"/>
        <v>91</v>
      </c>
      <c r="B96" s="7"/>
      <c r="C96" s="37" t="str">
        <f>IFERROR(VLOOKUP(B96,'MASTER RECORD'!$B$5:$W$1000,3,0),"")</f>
        <v/>
      </c>
      <c r="D96" s="37" t="str">
        <f>IFERROR(VLOOKUP(B96,'MASTER RECORD'!$B$5:$W$1000,2,0),"")</f>
        <v/>
      </c>
      <c r="E96" s="9"/>
      <c r="F96" s="9"/>
      <c r="G96" s="8"/>
      <c r="H96" s="37" t="str">
        <f t="shared" si="4"/>
        <v/>
      </c>
      <c r="I96" s="37" t="str">
        <f t="shared" si="5"/>
        <v/>
      </c>
      <c r="J96" s="7"/>
    </row>
    <row r="97" spans="1:10">
      <c r="A97" s="6">
        <f t="shared" si="3"/>
        <v>92</v>
      </c>
      <c r="B97" s="7"/>
      <c r="C97" s="37" t="str">
        <f>IFERROR(VLOOKUP(B97,'MASTER RECORD'!$B$5:$W$1000,3,0),"")</f>
        <v/>
      </c>
      <c r="D97" s="37" t="str">
        <f>IFERROR(VLOOKUP(B97,'MASTER RECORD'!$B$5:$W$1000,2,0),"")</f>
        <v/>
      </c>
      <c r="E97" s="9"/>
      <c r="F97" s="9"/>
      <c r="G97" s="8"/>
      <c r="H97" s="37" t="str">
        <f t="shared" si="4"/>
        <v/>
      </c>
      <c r="I97" s="37" t="str">
        <f t="shared" si="5"/>
        <v/>
      </c>
      <c r="J97" s="7"/>
    </row>
    <row r="98" spans="1:10">
      <c r="A98" s="6">
        <f t="shared" si="3"/>
        <v>93</v>
      </c>
      <c r="B98" s="7"/>
      <c r="C98" s="37" t="str">
        <f>IFERROR(VLOOKUP(B98,'MASTER RECORD'!$B$5:$W$1000,3,0),"")</f>
        <v/>
      </c>
      <c r="D98" s="37" t="str">
        <f>IFERROR(VLOOKUP(B98,'MASTER RECORD'!$B$5:$W$1000,2,0),"")</f>
        <v/>
      </c>
      <c r="E98" s="9"/>
      <c r="F98" s="9"/>
      <c r="G98" s="8"/>
      <c r="H98" s="37" t="str">
        <f t="shared" si="4"/>
        <v/>
      </c>
      <c r="I98" s="37" t="str">
        <f t="shared" si="5"/>
        <v/>
      </c>
      <c r="J98" s="7"/>
    </row>
    <row r="99" spans="1:10">
      <c r="A99" s="6">
        <f t="shared" si="3"/>
        <v>94</v>
      </c>
      <c r="B99" s="7"/>
      <c r="C99" s="37" t="str">
        <f>IFERROR(VLOOKUP(B99,'MASTER RECORD'!$B$5:$W$1000,3,0),"")</f>
        <v/>
      </c>
      <c r="D99" s="37" t="str">
        <f>IFERROR(VLOOKUP(B99,'MASTER RECORD'!$B$5:$W$1000,2,0),"")</f>
        <v/>
      </c>
      <c r="E99" s="9"/>
      <c r="F99" s="9"/>
      <c r="G99" s="8"/>
      <c r="H99" s="37" t="str">
        <f t="shared" si="4"/>
        <v/>
      </c>
      <c r="I99" s="37" t="str">
        <f t="shared" si="5"/>
        <v/>
      </c>
      <c r="J99" s="7"/>
    </row>
    <row r="100" spans="1:10">
      <c r="A100" s="6">
        <f t="shared" si="3"/>
        <v>95</v>
      </c>
      <c r="B100" s="7"/>
      <c r="C100" s="37" t="str">
        <f>IFERROR(VLOOKUP(B100,'MASTER RECORD'!$B$5:$W$1000,3,0),"")</f>
        <v/>
      </c>
      <c r="D100" s="37" t="str">
        <f>IFERROR(VLOOKUP(B100,'MASTER RECORD'!$B$5:$W$1000,2,0),"")</f>
        <v/>
      </c>
      <c r="E100" s="9"/>
      <c r="F100" s="9"/>
      <c r="G100" s="8"/>
      <c r="H100" s="37" t="str">
        <f t="shared" si="4"/>
        <v/>
      </c>
      <c r="I100" s="37" t="str">
        <f t="shared" si="5"/>
        <v/>
      </c>
      <c r="J100" s="7"/>
    </row>
    <row r="101" spans="1:10">
      <c r="A101" s="6">
        <f t="shared" si="3"/>
        <v>96</v>
      </c>
      <c r="B101" s="7"/>
      <c r="C101" s="37" t="str">
        <f>IFERROR(VLOOKUP(B101,'MASTER RECORD'!$B$5:$W$1000,3,0),"")</f>
        <v/>
      </c>
      <c r="D101" s="37" t="str">
        <f>IFERROR(VLOOKUP(B101,'MASTER RECORD'!$B$5:$W$1000,2,0),"")</f>
        <v/>
      </c>
      <c r="E101" s="9"/>
      <c r="F101" s="9"/>
      <c r="G101" s="8"/>
      <c r="H101" s="37" t="str">
        <f t="shared" si="4"/>
        <v/>
      </c>
      <c r="I101" s="37" t="str">
        <f t="shared" si="5"/>
        <v/>
      </c>
      <c r="J101" s="7"/>
    </row>
    <row r="102" spans="1:10">
      <c r="A102" s="6">
        <f t="shared" si="3"/>
        <v>97</v>
      </c>
      <c r="B102" s="7"/>
      <c r="C102" s="37" t="str">
        <f>IFERROR(VLOOKUP(B102,'MASTER RECORD'!$B$5:$W$1000,3,0),"")</f>
        <v/>
      </c>
      <c r="D102" s="37" t="str">
        <f>IFERROR(VLOOKUP(B102,'MASTER RECORD'!$B$5:$W$1000,2,0),"")</f>
        <v/>
      </c>
      <c r="E102" s="9"/>
      <c r="F102" s="9"/>
      <c r="G102" s="8"/>
      <c r="H102" s="37" t="str">
        <f t="shared" si="4"/>
        <v/>
      </c>
      <c r="I102" s="37" t="str">
        <f t="shared" si="5"/>
        <v/>
      </c>
      <c r="J102" s="7"/>
    </row>
    <row r="103" spans="1:10">
      <c r="A103" s="6">
        <f t="shared" si="3"/>
        <v>98</v>
      </c>
      <c r="B103" s="7"/>
      <c r="C103" s="37" t="str">
        <f>IFERROR(VLOOKUP(B103,'MASTER RECORD'!$B$5:$W$1000,3,0),"")</f>
        <v/>
      </c>
      <c r="D103" s="37" t="str">
        <f>IFERROR(VLOOKUP(B103,'MASTER RECORD'!$B$5:$W$1000,2,0),"")</f>
        <v/>
      </c>
      <c r="E103" s="9"/>
      <c r="F103" s="9"/>
      <c r="G103" s="8"/>
      <c r="H103" s="37" t="str">
        <f t="shared" si="4"/>
        <v/>
      </c>
      <c r="I103" s="37" t="str">
        <f t="shared" si="5"/>
        <v/>
      </c>
      <c r="J103" s="7"/>
    </row>
    <row r="104" spans="1:10">
      <c r="A104" s="6">
        <f t="shared" si="3"/>
        <v>99</v>
      </c>
      <c r="B104" s="7"/>
      <c r="C104" s="37" t="str">
        <f>IFERROR(VLOOKUP(B104,'MASTER RECORD'!$B$5:$W$1000,3,0),"")</f>
        <v/>
      </c>
      <c r="D104" s="37" t="str">
        <f>IFERROR(VLOOKUP(B104,'MASTER RECORD'!$B$5:$W$1000,2,0),"")</f>
        <v/>
      </c>
      <c r="E104" s="9"/>
      <c r="F104" s="9"/>
      <c r="G104" s="8"/>
      <c r="H104" s="37" t="str">
        <f t="shared" si="4"/>
        <v/>
      </c>
      <c r="I104" s="37" t="str">
        <f t="shared" si="5"/>
        <v/>
      </c>
      <c r="J104" s="7"/>
    </row>
    <row r="105" spans="1:10">
      <c r="A105" s="6">
        <f t="shared" si="3"/>
        <v>100</v>
      </c>
      <c r="B105" s="7"/>
      <c r="C105" s="37" t="str">
        <f>IFERROR(VLOOKUP(B105,'MASTER RECORD'!$B$5:$W$1000,3,0),"")</f>
        <v/>
      </c>
      <c r="D105" s="37" t="str">
        <f>IFERROR(VLOOKUP(B105,'MASTER RECORD'!$B$5:$W$1000,2,0),"")</f>
        <v/>
      </c>
      <c r="E105" s="9"/>
      <c r="F105" s="9"/>
      <c r="G105" s="8"/>
      <c r="H105" s="37" t="str">
        <f t="shared" si="4"/>
        <v/>
      </c>
      <c r="I105" s="37" t="str">
        <f t="shared" si="5"/>
        <v/>
      </c>
      <c r="J105" s="7"/>
    </row>
    <row r="106" spans="1:10">
      <c r="A106" s="6">
        <f t="shared" si="3"/>
        <v>101</v>
      </c>
      <c r="B106" s="7"/>
      <c r="C106" s="37" t="str">
        <f>IFERROR(VLOOKUP(B106,'MASTER RECORD'!$B$5:$W$1000,3,0),"")</f>
        <v/>
      </c>
      <c r="D106" s="37" t="str">
        <f>IFERROR(VLOOKUP(B106,'MASTER RECORD'!$B$5:$W$1000,2,0),"")</f>
        <v/>
      </c>
      <c r="E106" s="9"/>
      <c r="F106" s="9"/>
      <c r="G106" s="8"/>
      <c r="H106" s="37" t="str">
        <f t="shared" si="4"/>
        <v/>
      </c>
      <c r="I106" s="37" t="str">
        <f t="shared" si="5"/>
        <v/>
      </c>
      <c r="J106" s="7"/>
    </row>
    <row r="107" spans="1:10">
      <c r="A107" s="6">
        <f t="shared" si="3"/>
        <v>102</v>
      </c>
      <c r="B107" s="7"/>
      <c r="C107" s="37" t="str">
        <f>IFERROR(VLOOKUP(B107,'MASTER RECORD'!$B$5:$W$1000,3,0),"")</f>
        <v/>
      </c>
      <c r="D107" s="37" t="str">
        <f>IFERROR(VLOOKUP(B107,'MASTER RECORD'!$B$5:$W$1000,2,0),"")</f>
        <v/>
      </c>
      <c r="E107" s="9"/>
      <c r="F107" s="9"/>
      <c r="G107" s="8"/>
      <c r="H107" s="37" t="str">
        <f t="shared" si="4"/>
        <v/>
      </c>
      <c r="I107" s="37" t="str">
        <f t="shared" si="5"/>
        <v/>
      </c>
      <c r="J107" s="7"/>
    </row>
    <row r="108" spans="1:10">
      <c r="A108" s="6">
        <f t="shared" si="3"/>
        <v>103</v>
      </c>
      <c r="B108" s="7"/>
      <c r="C108" s="37" t="str">
        <f>IFERROR(VLOOKUP(B108,'MASTER RECORD'!$B$5:$W$1000,3,0),"")</f>
        <v/>
      </c>
      <c r="D108" s="37" t="str">
        <f>IFERROR(VLOOKUP(B108,'MASTER RECORD'!$B$5:$W$1000,2,0),"")</f>
        <v/>
      </c>
      <c r="E108" s="9"/>
      <c r="F108" s="9"/>
      <c r="G108" s="8"/>
      <c r="H108" s="37" t="str">
        <f t="shared" si="4"/>
        <v/>
      </c>
      <c r="I108" s="37" t="str">
        <f t="shared" si="5"/>
        <v/>
      </c>
      <c r="J108" s="7"/>
    </row>
    <row r="109" spans="1:10">
      <c r="A109" s="6">
        <f t="shared" si="3"/>
        <v>104</v>
      </c>
      <c r="B109" s="7"/>
      <c r="C109" s="37" t="str">
        <f>IFERROR(VLOOKUP(B109,'MASTER RECORD'!$B$5:$W$1000,3,0),"")</f>
        <v/>
      </c>
      <c r="D109" s="37" t="str">
        <f>IFERROR(VLOOKUP(B109,'MASTER RECORD'!$B$5:$W$1000,2,0),"")</f>
        <v/>
      </c>
      <c r="E109" s="9"/>
      <c r="F109" s="9"/>
      <c r="G109" s="8"/>
      <c r="H109" s="37" t="str">
        <f t="shared" si="4"/>
        <v/>
      </c>
      <c r="I109" s="37" t="str">
        <f t="shared" si="5"/>
        <v/>
      </c>
      <c r="J109" s="7"/>
    </row>
    <row r="110" spans="1:10">
      <c r="A110" s="6">
        <f t="shared" si="3"/>
        <v>105</v>
      </c>
      <c r="B110" s="7"/>
      <c r="C110" s="37" t="str">
        <f>IFERROR(VLOOKUP(B110,'MASTER RECORD'!$B$5:$W$1000,3,0),"")</f>
        <v/>
      </c>
      <c r="D110" s="37" t="str">
        <f>IFERROR(VLOOKUP(B110,'MASTER RECORD'!$B$5:$W$1000,2,0),"")</f>
        <v/>
      </c>
      <c r="E110" s="9"/>
      <c r="F110" s="9"/>
      <c r="G110" s="8"/>
      <c r="H110" s="37" t="str">
        <f t="shared" si="4"/>
        <v/>
      </c>
      <c r="I110" s="37" t="str">
        <f t="shared" si="5"/>
        <v/>
      </c>
      <c r="J110" s="7"/>
    </row>
    <row r="111" spans="1:10">
      <c r="A111" s="6">
        <f t="shared" si="3"/>
        <v>106</v>
      </c>
      <c r="B111" s="7"/>
      <c r="C111" s="37" t="str">
        <f>IFERROR(VLOOKUP(B111,'MASTER RECORD'!$B$5:$W$1000,3,0),"")</f>
        <v/>
      </c>
      <c r="D111" s="37" t="str">
        <f>IFERROR(VLOOKUP(B111,'MASTER RECORD'!$B$5:$W$1000,2,0),"")</f>
        <v/>
      </c>
      <c r="E111" s="9"/>
      <c r="F111" s="9"/>
      <c r="G111" s="8"/>
      <c r="H111" s="37" t="str">
        <f t="shared" si="4"/>
        <v/>
      </c>
      <c r="I111" s="37" t="str">
        <f t="shared" si="5"/>
        <v/>
      </c>
      <c r="J111" s="7"/>
    </row>
    <row r="112" spans="1:10">
      <c r="A112" s="6">
        <f t="shared" si="3"/>
        <v>107</v>
      </c>
      <c r="B112" s="7"/>
      <c r="C112" s="37" t="str">
        <f>IFERROR(VLOOKUP(B112,'MASTER RECORD'!$B$5:$W$1000,3,0),"")</f>
        <v/>
      </c>
      <c r="D112" s="37" t="str">
        <f>IFERROR(VLOOKUP(B112,'MASTER RECORD'!$B$5:$W$1000,2,0),"")</f>
        <v/>
      </c>
      <c r="E112" s="9"/>
      <c r="F112" s="9"/>
      <c r="G112" s="8"/>
      <c r="H112" s="37" t="str">
        <f t="shared" si="4"/>
        <v/>
      </c>
      <c r="I112" s="37" t="str">
        <f t="shared" si="5"/>
        <v/>
      </c>
      <c r="J112" s="7"/>
    </row>
    <row r="113" spans="1:10">
      <c r="A113" s="6">
        <f t="shared" si="3"/>
        <v>108</v>
      </c>
      <c r="B113" s="7"/>
      <c r="C113" s="37" t="str">
        <f>IFERROR(VLOOKUP(B113,'MASTER RECORD'!$B$5:$W$1000,3,0),"")</f>
        <v/>
      </c>
      <c r="D113" s="37" t="str">
        <f>IFERROR(VLOOKUP(B113,'MASTER RECORD'!$B$5:$W$1000,2,0),"")</f>
        <v/>
      </c>
      <c r="E113" s="9"/>
      <c r="F113" s="9"/>
      <c r="G113" s="8"/>
      <c r="H113" s="37" t="str">
        <f t="shared" si="4"/>
        <v/>
      </c>
      <c r="I113" s="37" t="str">
        <f t="shared" si="5"/>
        <v/>
      </c>
      <c r="J113" s="7"/>
    </row>
    <row r="114" spans="1:10">
      <c r="A114" s="6">
        <f t="shared" si="3"/>
        <v>109</v>
      </c>
      <c r="B114" s="7"/>
      <c r="C114" s="37" t="str">
        <f>IFERROR(VLOOKUP(B114,'MASTER RECORD'!$B$5:$W$1000,3,0),"")</f>
        <v/>
      </c>
      <c r="D114" s="37" t="str">
        <f>IFERROR(VLOOKUP(B114,'MASTER RECORD'!$B$5:$W$1000,2,0),"")</f>
        <v/>
      </c>
      <c r="E114" s="9"/>
      <c r="F114" s="9"/>
      <c r="G114" s="8"/>
      <c r="H114" s="37" t="str">
        <f t="shared" si="4"/>
        <v/>
      </c>
      <c r="I114" s="37" t="str">
        <f t="shared" si="5"/>
        <v/>
      </c>
      <c r="J114" s="7"/>
    </row>
    <row r="115" spans="1:10">
      <c r="A115" s="6">
        <f t="shared" si="3"/>
        <v>110</v>
      </c>
      <c r="B115" s="7"/>
      <c r="C115" s="37" t="str">
        <f>IFERROR(VLOOKUP(B115,'MASTER RECORD'!$B$5:$W$1000,3,0),"")</f>
        <v/>
      </c>
      <c r="D115" s="37" t="str">
        <f>IFERROR(VLOOKUP(B115,'MASTER RECORD'!$B$5:$W$1000,2,0),"")</f>
        <v/>
      </c>
      <c r="E115" s="9"/>
      <c r="F115" s="9"/>
      <c r="G115" s="8"/>
      <c r="H115" s="37" t="str">
        <f t="shared" si="4"/>
        <v/>
      </c>
      <c r="I115" s="37" t="str">
        <f t="shared" si="5"/>
        <v/>
      </c>
      <c r="J115" s="7"/>
    </row>
    <row r="116" spans="1:10">
      <c r="A116" s="6">
        <f t="shared" si="3"/>
        <v>111</v>
      </c>
      <c r="B116" s="7"/>
      <c r="C116" s="37" t="str">
        <f>IFERROR(VLOOKUP(B116,'MASTER RECORD'!$B$5:$W$1000,3,0),"")</f>
        <v/>
      </c>
      <c r="D116" s="37" t="str">
        <f>IFERROR(VLOOKUP(B116,'MASTER RECORD'!$B$5:$W$1000,2,0),"")</f>
        <v/>
      </c>
      <c r="E116" s="9"/>
      <c r="F116" s="9"/>
      <c r="G116" s="8"/>
      <c r="H116" s="37" t="str">
        <f t="shared" si="4"/>
        <v/>
      </c>
      <c r="I116" s="37" t="str">
        <f t="shared" si="5"/>
        <v/>
      </c>
      <c r="J116" s="7"/>
    </row>
    <row r="117" spans="1:10">
      <c r="A117" s="6">
        <f t="shared" si="3"/>
        <v>112</v>
      </c>
      <c r="B117" s="7"/>
      <c r="C117" s="37" t="str">
        <f>IFERROR(VLOOKUP(B117,'MASTER RECORD'!$B$5:$W$1000,3,0),"")</f>
        <v/>
      </c>
      <c r="D117" s="37" t="str">
        <f>IFERROR(VLOOKUP(B117,'MASTER RECORD'!$B$5:$W$1000,2,0),"")</f>
        <v/>
      </c>
      <c r="E117" s="9"/>
      <c r="F117" s="9"/>
      <c r="G117" s="8"/>
      <c r="H117" s="37" t="str">
        <f t="shared" si="4"/>
        <v/>
      </c>
      <c r="I117" s="37" t="str">
        <f t="shared" si="5"/>
        <v/>
      </c>
      <c r="J117" s="7"/>
    </row>
    <row r="118" spans="1:10">
      <c r="A118" s="6">
        <f t="shared" si="3"/>
        <v>113</v>
      </c>
      <c r="B118" s="7"/>
      <c r="C118" s="37" t="str">
        <f>IFERROR(VLOOKUP(B118,'MASTER RECORD'!$B$5:$W$1000,3,0),"")</f>
        <v/>
      </c>
      <c r="D118" s="37" t="str">
        <f>IFERROR(VLOOKUP(B118,'MASTER RECORD'!$B$5:$W$1000,2,0),"")</f>
        <v/>
      </c>
      <c r="E118" s="9"/>
      <c r="F118" s="9"/>
      <c r="G118" s="8"/>
      <c r="H118" s="37" t="str">
        <f t="shared" si="4"/>
        <v/>
      </c>
      <c r="I118" s="37" t="str">
        <f t="shared" si="5"/>
        <v/>
      </c>
      <c r="J118" s="7"/>
    </row>
    <row r="119" spans="1:10">
      <c r="A119" s="6">
        <f t="shared" si="3"/>
        <v>114</v>
      </c>
      <c r="B119" s="7"/>
      <c r="C119" s="37" t="str">
        <f>IFERROR(VLOOKUP(B119,'MASTER RECORD'!$B$5:$W$1000,3,0),"")</f>
        <v/>
      </c>
      <c r="D119" s="37" t="str">
        <f>IFERROR(VLOOKUP(B119,'MASTER RECORD'!$B$5:$W$1000,2,0),"")</f>
        <v/>
      </c>
      <c r="E119" s="9"/>
      <c r="F119" s="9"/>
      <c r="G119" s="8"/>
      <c r="H119" s="37" t="str">
        <f t="shared" si="4"/>
        <v/>
      </c>
      <c r="I119" s="37" t="str">
        <f t="shared" si="5"/>
        <v/>
      </c>
      <c r="J119" s="7"/>
    </row>
    <row r="120" spans="1:10">
      <c r="A120" s="6">
        <f t="shared" si="3"/>
        <v>115</v>
      </c>
      <c r="B120" s="7"/>
      <c r="C120" s="37" t="str">
        <f>IFERROR(VLOOKUP(B120,'MASTER RECORD'!$B$5:$W$1000,3,0),"")</f>
        <v/>
      </c>
      <c r="D120" s="37" t="str">
        <f>IFERROR(VLOOKUP(B120,'MASTER RECORD'!$B$5:$W$1000,2,0),"")</f>
        <v/>
      </c>
      <c r="E120" s="9"/>
      <c r="F120" s="9"/>
      <c r="G120" s="8"/>
      <c r="H120" s="37" t="str">
        <f t="shared" si="4"/>
        <v/>
      </c>
      <c r="I120" s="37" t="str">
        <f t="shared" si="5"/>
        <v/>
      </c>
      <c r="J120" s="7"/>
    </row>
    <row r="121" spans="1:10">
      <c r="A121" s="6">
        <f t="shared" si="3"/>
        <v>116</v>
      </c>
      <c r="B121" s="7"/>
      <c r="C121" s="37" t="str">
        <f>IFERROR(VLOOKUP(B121,'MASTER RECORD'!$B$5:$W$1000,3,0),"")</f>
        <v/>
      </c>
      <c r="D121" s="37" t="str">
        <f>IFERROR(VLOOKUP(B121,'MASTER RECORD'!$B$5:$W$1000,2,0),"")</f>
        <v/>
      </c>
      <c r="E121" s="9"/>
      <c r="F121" s="9"/>
      <c r="G121" s="8"/>
      <c r="H121" s="37" t="str">
        <f t="shared" si="4"/>
        <v/>
      </c>
      <c r="I121" s="37" t="str">
        <f t="shared" si="5"/>
        <v/>
      </c>
      <c r="J121" s="7"/>
    </row>
    <row r="122" spans="1:10">
      <c r="A122" s="6">
        <f t="shared" si="3"/>
        <v>117</v>
      </c>
      <c r="B122" s="7"/>
      <c r="C122" s="37" t="str">
        <f>IFERROR(VLOOKUP(B122,'MASTER RECORD'!$B$5:$W$1000,3,0),"")</f>
        <v/>
      </c>
      <c r="D122" s="37" t="str">
        <f>IFERROR(VLOOKUP(B122,'MASTER RECORD'!$B$5:$W$1000,2,0),"")</f>
        <v/>
      </c>
      <c r="E122" s="9"/>
      <c r="F122" s="9"/>
      <c r="G122" s="8"/>
      <c r="H122" s="37" t="str">
        <f t="shared" si="4"/>
        <v/>
      </c>
      <c r="I122" s="37" t="str">
        <f t="shared" si="5"/>
        <v/>
      </c>
      <c r="J122" s="7"/>
    </row>
    <row r="123" spans="1:10">
      <c r="A123" s="6">
        <f t="shared" si="3"/>
        <v>118</v>
      </c>
      <c r="B123" s="7"/>
      <c r="C123" s="37" t="str">
        <f>IFERROR(VLOOKUP(B123,'MASTER RECORD'!$B$5:$W$1000,3,0),"")</f>
        <v/>
      </c>
      <c r="D123" s="37" t="str">
        <f>IFERROR(VLOOKUP(B123,'MASTER RECORD'!$B$5:$W$1000,2,0),"")</f>
        <v/>
      </c>
      <c r="E123" s="9"/>
      <c r="F123" s="9"/>
      <c r="G123" s="8"/>
      <c r="H123" s="37" t="str">
        <f t="shared" si="4"/>
        <v/>
      </c>
      <c r="I123" s="37" t="str">
        <f t="shared" si="5"/>
        <v/>
      </c>
      <c r="J123" s="7"/>
    </row>
    <row r="124" spans="1:10">
      <c r="A124" s="6">
        <f t="shared" si="3"/>
        <v>119</v>
      </c>
      <c r="B124" s="7"/>
      <c r="C124" s="37" t="str">
        <f>IFERROR(VLOOKUP(B124,'MASTER RECORD'!$B$5:$W$1000,3,0),"")</f>
        <v/>
      </c>
      <c r="D124" s="37" t="str">
        <f>IFERROR(VLOOKUP(B124,'MASTER RECORD'!$B$5:$W$1000,2,0),"")</f>
        <v/>
      </c>
      <c r="E124" s="9"/>
      <c r="F124" s="9"/>
      <c r="G124" s="8"/>
      <c r="H124" s="37" t="str">
        <f t="shared" si="4"/>
        <v/>
      </c>
      <c r="I124" s="37" t="str">
        <f t="shared" si="5"/>
        <v/>
      </c>
      <c r="J124" s="7"/>
    </row>
    <row r="125" spans="1:10">
      <c r="A125" s="6">
        <f t="shared" si="3"/>
        <v>120</v>
      </c>
      <c r="B125" s="7"/>
      <c r="C125" s="37" t="str">
        <f>IFERROR(VLOOKUP(B125,'MASTER RECORD'!$B$5:$W$1000,3,0),"")</f>
        <v/>
      </c>
      <c r="D125" s="37" t="str">
        <f>IFERROR(VLOOKUP(B125,'MASTER RECORD'!$B$5:$W$1000,2,0),"")</f>
        <v/>
      </c>
      <c r="E125" s="9"/>
      <c r="F125" s="9"/>
      <c r="G125" s="8"/>
      <c r="H125" s="37" t="str">
        <f t="shared" si="4"/>
        <v/>
      </c>
      <c r="I125" s="37" t="str">
        <f t="shared" si="5"/>
        <v/>
      </c>
      <c r="J125" s="7"/>
    </row>
    <row r="126" spans="1:10">
      <c r="A126" s="6">
        <f t="shared" si="3"/>
        <v>121</v>
      </c>
      <c r="B126" s="7"/>
      <c r="C126" s="37" t="str">
        <f>IFERROR(VLOOKUP(B126,'MASTER RECORD'!$B$5:$W$1000,3,0),"")</f>
        <v/>
      </c>
      <c r="D126" s="37" t="str">
        <f>IFERROR(VLOOKUP(B126,'MASTER RECORD'!$B$5:$W$1000,2,0),"")</f>
        <v/>
      </c>
      <c r="E126" s="9"/>
      <c r="F126" s="9"/>
      <c r="G126" s="8"/>
      <c r="H126" s="37" t="str">
        <f t="shared" si="4"/>
        <v/>
      </c>
      <c r="I126" s="37" t="str">
        <f t="shared" si="5"/>
        <v/>
      </c>
      <c r="J126" s="7"/>
    </row>
    <row r="127" spans="1:10">
      <c r="A127" s="6">
        <f t="shared" si="3"/>
        <v>122</v>
      </c>
      <c r="B127" s="7"/>
      <c r="C127" s="37" t="str">
        <f>IFERROR(VLOOKUP(B127,'MASTER RECORD'!$B$5:$W$1000,3,0),"")</f>
        <v/>
      </c>
      <c r="D127" s="37" t="str">
        <f>IFERROR(VLOOKUP(B127,'MASTER RECORD'!$B$5:$W$1000,2,0),"")</f>
        <v/>
      </c>
      <c r="E127" s="9"/>
      <c r="F127" s="9"/>
      <c r="G127" s="8"/>
      <c r="H127" s="37" t="str">
        <f t="shared" si="4"/>
        <v/>
      </c>
      <c r="I127" s="37" t="str">
        <f t="shared" si="5"/>
        <v/>
      </c>
      <c r="J127" s="7"/>
    </row>
    <row r="128" spans="1:10">
      <c r="A128" s="6">
        <f t="shared" si="3"/>
        <v>123</v>
      </c>
      <c r="B128" s="7"/>
      <c r="C128" s="37" t="str">
        <f>IFERROR(VLOOKUP(B128,'MASTER RECORD'!$B$5:$W$1000,3,0),"")</f>
        <v/>
      </c>
      <c r="D128" s="37" t="str">
        <f>IFERROR(VLOOKUP(B128,'MASTER RECORD'!$B$5:$W$1000,2,0),"")</f>
        <v/>
      </c>
      <c r="E128" s="9"/>
      <c r="F128" s="9"/>
      <c r="G128" s="8"/>
      <c r="H128" s="37" t="str">
        <f t="shared" si="4"/>
        <v/>
      </c>
      <c r="I128" s="37" t="str">
        <f t="shared" si="5"/>
        <v/>
      </c>
      <c r="J128" s="7"/>
    </row>
    <row r="129" spans="1:10">
      <c r="A129" s="6">
        <f t="shared" si="3"/>
        <v>124</v>
      </c>
      <c r="B129" s="7"/>
      <c r="C129" s="37" t="str">
        <f>IFERROR(VLOOKUP(B129,'MASTER RECORD'!$B$5:$W$1000,3,0),"")</f>
        <v/>
      </c>
      <c r="D129" s="37" t="str">
        <f>IFERROR(VLOOKUP(B129,'MASTER RECORD'!$B$5:$W$1000,2,0),"")</f>
        <v/>
      </c>
      <c r="E129" s="9"/>
      <c r="F129" s="9"/>
      <c r="G129" s="8"/>
      <c r="H129" s="37" t="str">
        <f t="shared" si="4"/>
        <v/>
      </c>
      <c r="I129" s="37" t="str">
        <f t="shared" si="5"/>
        <v/>
      </c>
      <c r="J129" s="7"/>
    </row>
    <row r="130" spans="1:10">
      <c r="A130" s="6">
        <f t="shared" si="3"/>
        <v>125</v>
      </c>
      <c r="B130" s="7"/>
      <c r="C130" s="37" t="str">
        <f>IFERROR(VLOOKUP(B130,'MASTER RECORD'!$B$5:$W$1000,3,0),"")</f>
        <v/>
      </c>
      <c r="D130" s="37" t="str">
        <f>IFERROR(VLOOKUP(B130,'MASTER RECORD'!$B$5:$W$1000,2,0),"")</f>
        <v/>
      </c>
      <c r="E130" s="9"/>
      <c r="F130" s="9"/>
      <c r="G130" s="8"/>
      <c r="H130" s="37" t="str">
        <f t="shared" si="4"/>
        <v/>
      </c>
      <c r="I130" s="37" t="str">
        <f t="shared" si="5"/>
        <v/>
      </c>
      <c r="J130" s="7"/>
    </row>
    <row r="131" spans="1:10">
      <c r="A131" s="6">
        <f t="shared" si="3"/>
        <v>126</v>
      </c>
      <c r="B131" s="7"/>
      <c r="C131" s="37" t="str">
        <f>IFERROR(VLOOKUP(B131,'MASTER RECORD'!$B$5:$W$1000,3,0),"")</f>
        <v/>
      </c>
      <c r="D131" s="37" t="str">
        <f>IFERROR(VLOOKUP(B131,'MASTER RECORD'!$B$5:$W$1000,2,0),"")</f>
        <v/>
      </c>
      <c r="E131" s="9"/>
      <c r="F131" s="9"/>
      <c r="G131" s="8"/>
      <c r="H131" s="37" t="str">
        <f t="shared" si="4"/>
        <v/>
      </c>
      <c r="I131" s="37" t="str">
        <f t="shared" si="5"/>
        <v/>
      </c>
      <c r="J131" s="7"/>
    </row>
    <row r="132" spans="1:10">
      <c r="A132" s="6">
        <f t="shared" si="3"/>
        <v>127</v>
      </c>
      <c r="B132" s="7"/>
      <c r="C132" s="37" t="str">
        <f>IFERROR(VLOOKUP(B132,'MASTER RECORD'!$B$5:$W$1000,3,0),"")</f>
        <v/>
      </c>
      <c r="D132" s="37" t="str">
        <f>IFERROR(VLOOKUP(B132,'MASTER RECORD'!$B$5:$W$1000,2,0),"")</f>
        <v/>
      </c>
      <c r="E132" s="9"/>
      <c r="F132" s="9"/>
      <c r="G132" s="8"/>
      <c r="H132" s="37" t="str">
        <f t="shared" si="4"/>
        <v/>
      </c>
      <c r="I132" s="37" t="str">
        <f t="shared" si="5"/>
        <v/>
      </c>
      <c r="J132" s="7"/>
    </row>
    <row r="133" spans="1:10">
      <c r="A133" s="6">
        <f t="shared" si="3"/>
        <v>128</v>
      </c>
      <c r="B133" s="7"/>
      <c r="C133" s="37" t="str">
        <f>IFERROR(VLOOKUP(B133,'MASTER RECORD'!$B$5:$W$1000,3,0),"")</f>
        <v/>
      </c>
      <c r="D133" s="37" t="str">
        <f>IFERROR(VLOOKUP(B133,'MASTER RECORD'!$B$5:$W$1000,2,0),"")</f>
        <v/>
      </c>
      <c r="E133" s="9"/>
      <c r="F133" s="9"/>
      <c r="G133" s="8"/>
      <c r="H133" s="37" t="str">
        <f t="shared" si="4"/>
        <v/>
      </c>
      <c r="I133" s="37" t="str">
        <f t="shared" si="5"/>
        <v/>
      </c>
      <c r="J133" s="7"/>
    </row>
    <row r="134" spans="1:10">
      <c r="A134" s="6">
        <f t="shared" si="3"/>
        <v>129</v>
      </c>
      <c r="B134" s="7"/>
      <c r="C134" s="37" t="str">
        <f>IFERROR(VLOOKUP(B134,'MASTER RECORD'!$B$5:$W$1000,3,0),"")</f>
        <v/>
      </c>
      <c r="D134" s="37" t="str">
        <f>IFERROR(VLOOKUP(B134,'MASTER RECORD'!$B$5:$W$1000,2,0),"")</f>
        <v/>
      </c>
      <c r="E134" s="9"/>
      <c r="F134" s="9"/>
      <c r="G134" s="8"/>
      <c r="H134" s="37" t="str">
        <f t="shared" si="4"/>
        <v/>
      </c>
      <c r="I134" s="37" t="str">
        <f t="shared" si="5"/>
        <v/>
      </c>
      <c r="J134" s="7"/>
    </row>
    <row r="135" spans="1:10">
      <c r="A135" s="6">
        <f t="shared" ref="A135:A198" si="6">ROW(A130)</f>
        <v>130</v>
      </c>
      <c r="B135" s="7"/>
      <c r="C135" s="37" t="str">
        <f>IFERROR(VLOOKUP(B135,'MASTER RECORD'!$B$5:$W$1000,3,0),"")</f>
        <v/>
      </c>
      <c r="D135" s="37" t="str">
        <f>IFERROR(VLOOKUP(B135,'MASTER RECORD'!$B$5:$W$1000,2,0),"")</f>
        <v/>
      </c>
      <c r="E135" s="9"/>
      <c r="F135" s="9"/>
      <c r="G135" s="8"/>
      <c r="H135" s="37" t="str">
        <f t="shared" ref="H135:H198" si="7">IF(G135=0,"",TEXT(G135,"mmmm"))</f>
        <v/>
      </c>
      <c r="I135" s="37" t="str">
        <f t="shared" ref="I135:I198" si="8">IF(G135=0,"",TEXT(G135,"yyyy"))</f>
        <v/>
      </c>
      <c r="J135" s="7"/>
    </row>
    <row r="136" spans="1:10">
      <c r="A136" s="6">
        <f t="shared" si="6"/>
        <v>131</v>
      </c>
      <c r="B136" s="7"/>
      <c r="C136" s="37" t="str">
        <f>IFERROR(VLOOKUP(B136,'MASTER RECORD'!$B$5:$W$1000,3,0),"")</f>
        <v/>
      </c>
      <c r="D136" s="37" t="str">
        <f>IFERROR(VLOOKUP(B136,'MASTER RECORD'!$B$5:$W$1000,2,0),"")</f>
        <v/>
      </c>
      <c r="E136" s="9"/>
      <c r="F136" s="9"/>
      <c r="G136" s="8"/>
      <c r="H136" s="37" t="str">
        <f t="shared" si="7"/>
        <v/>
      </c>
      <c r="I136" s="37" t="str">
        <f t="shared" si="8"/>
        <v/>
      </c>
      <c r="J136" s="7"/>
    </row>
    <row r="137" spans="1:10">
      <c r="A137" s="6">
        <f t="shared" si="6"/>
        <v>132</v>
      </c>
      <c r="B137" s="7"/>
      <c r="C137" s="37" t="str">
        <f>IFERROR(VLOOKUP(B137,'MASTER RECORD'!$B$5:$W$1000,3,0),"")</f>
        <v/>
      </c>
      <c r="D137" s="37" t="str">
        <f>IFERROR(VLOOKUP(B137,'MASTER RECORD'!$B$5:$W$1000,2,0),"")</f>
        <v/>
      </c>
      <c r="E137" s="9"/>
      <c r="F137" s="9"/>
      <c r="G137" s="8"/>
      <c r="H137" s="37" t="str">
        <f t="shared" si="7"/>
        <v/>
      </c>
      <c r="I137" s="37" t="str">
        <f t="shared" si="8"/>
        <v/>
      </c>
      <c r="J137" s="7"/>
    </row>
    <row r="138" spans="1:10">
      <c r="A138" s="6">
        <f t="shared" si="6"/>
        <v>133</v>
      </c>
      <c r="B138" s="7"/>
      <c r="C138" s="37" t="str">
        <f>IFERROR(VLOOKUP(B138,'MASTER RECORD'!$B$5:$W$1000,3,0),"")</f>
        <v/>
      </c>
      <c r="D138" s="37" t="str">
        <f>IFERROR(VLOOKUP(B138,'MASTER RECORD'!$B$5:$W$1000,2,0),"")</f>
        <v/>
      </c>
      <c r="E138" s="9"/>
      <c r="F138" s="9"/>
      <c r="G138" s="8"/>
      <c r="H138" s="37" t="str">
        <f t="shared" si="7"/>
        <v/>
      </c>
      <c r="I138" s="37" t="str">
        <f t="shared" si="8"/>
        <v/>
      </c>
      <c r="J138" s="7"/>
    </row>
    <row r="139" spans="1:10">
      <c r="A139" s="6">
        <f t="shared" si="6"/>
        <v>134</v>
      </c>
      <c r="B139" s="7"/>
      <c r="C139" s="37" t="str">
        <f>IFERROR(VLOOKUP(B139,'MASTER RECORD'!$B$5:$W$1000,3,0),"")</f>
        <v/>
      </c>
      <c r="D139" s="37" t="str">
        <f>IFERROR(VLOOKUP(B139,'MASTER RECORD'!$B$5:$W$1000,2,0),"")</f>
        <v/>
      </c>
      <c r="E139" s="9"/>
      <c r="F139" s="9"/>
      <c r="G139" s="8"/>
      <c r="H139" s="37" t="str">
        <f t="shared" si="7"/>
        <v/>
      </c>
      <c r="I139" s="37" t="str">
        <f t="shared" si="8"/>
        <v/>
      </c>
      <c r="J139" s="7"/>
    </row>
    <row r="140" spans="1:10">
      <c r="A140" s="6">
        <f t="shared" si="6"/>
        <v>135</v>
      </c>
      <c r="B140" s="7"/>
      <c r="C140" s="37" t="str">
        <f>IFERROR(VLOOKUP(B140,'MASTER RECORD'!$B$5:$W$1000,3,0),"")</f>
        <v/>
      </c>
      <c r="D140" s="37" t="str">
        <f>IFERROR(VLOOKUP(B140,'MASTER RECORD'!$B$5:$W$1000,2,0),"")</f>
        <v/>
      </c>
      <c r="E140" s="9"/>
      <c r="F140" s="9"/>
      <c r="G140" s="8"/>
      <c r="H140" s="37" t="str">
        <f t="shared" si="7"/>
        <v/>
      </c>
      <c r="I140" s="37" t="str">
        <f t="shared" si="8"/>
        <v/>
      </c>
      <c r="J140" s="7"/>
    </row>
    <row r="141" spans="1:10">
      <c r="A141" s="6">
        <f t="shared" si="6"/>
        <v>136</v>
      </c>
      <c r="B141" s="7"/>
      <c r="C141" s="37" t="str">
        <f>IFERROR(VLOOKUP(B141,'MASTER RECORD'!$B$5:$W$1000,3,0),"")</f>
        <v/>
      </c>
      <c r="D141" s="37" t="str">
        <f>IFERROR(VLOOKUP(B141,'MASTER RECORD'!$B$5:$W$1000,2,0),"")</f>
        <v/>
      </c>
      <c r="E141" s="9"/>
      <c r="F141" s="9"/>
      <c r="G141" s="8"/>
      <c r="H141" s="37" t="str">
        <f t="shared" si="7"/>
        <v/>
      </c>
      <c r="I141" s="37" t="str">
        <f t="shared" si="8"/>
        <v/>
      </c>
      <c r="J141" s="7"/>
    </row>
    <row r="142" spans="1:10">
      <c r="A142" s="6">
        <f t="shared" si="6"/>
        <v>137</v>
      </c>
      <c r="B142" s="7"/>
      <c r="C142" s="37" t="str">
        <f>IFERROR(VLOOKUP(B142,'MASTER RECORD'!$B$5:$W$1000,3,0),"")</f>
        <v/>
      </c>
      <c r="D142" s="37" t="str">
        <f>IFERROR(VLOOKUP(B142,'MASTER RECORD'!$B$5:$W$1000,2,0),"")</f>
        <v/>
      </c>
      <c r="E142" s="9"/>
      <c r="F142" s="9"/>
      <c r="G142" s="8"/>
      <c r="H142" s="37" t="str">
        <f t="shared" si="7"/>
        <v/>
      </c>
      <c r="I142" s="37" t="str">
        <f t="shared" si="8"/>
        <v/>
      </c>
      <c r="J142" s="7"/>
    </row>
    <row r="143" spans="1:10">
      <c r="A143" s="6">
        <f t="shared" si="6"/>
        <v>138</v>
      </c>
      <c r="B143" s="7"/>
      <c r="C143" s="37" t="str">
        <f>IFERROR(VLOOKUP(B143,'MASTER RECORD'!$B$5:$W$1000,3,0),"")</f>
        <v/>
      </c>
      <c r="D143" s="37" t="str">
        <f>IFERROR(VLOOKUP(B143,'MASTER RECORD'!$B$5:$W$1000,2,0),"")</f>
        <v/>
      </c>
      <c r="E143" s="9"/>
      <c r="F143" s="9"/>
      <c r="G143" s="8"/>
      <c r="H143" s="37" t="str">
        <f t="shared" si="7"/>
        <v/>
      </c>
      <c r="I143" s="37" t="str">
        <f t="shared" si="8"/>
        <v/>
      </c>
      <c r="J143" s="7"/>
    </row>
    <row r="144" spans="1:10">
      <c r="A144" s="6">
        <f t="shared" si="6"/>
        <v>139</v>
      </c>
      <c r="B144" s="7"/>
      <c r="C144" s="37" t="str">
        <f>IFERROR(VLOOKUP(B144,'MASTER RECORD'!$B$5:$W$1000,3,0),"")</f>
        <v/>
      </c>
      <c r="D144" s="37" t="str">
        <f>IFERROR(VLOOKUP(B144,'MASTER RECORD'!$B$5:$W$1000,2,0),"")</f>
        <v/>
      </c>
      <c r="E144" s="9"/>
      <c r="F144" s="9"/>
      <c r="G144" s="8"/>
      <c r="H144" s="37" t="str">
        <f t="shared" si="7"/>
        <v/>
      </c>
      <c r="I144" s="37" t="str">
        <f t="shared" si="8"/>
        <v/>
      </c>
      <c r="J144" s="7"/>
    </row>
    <row r="145" spans="1:10">
      <c r="A145" s="6">
        <f t="shared" si="6"/>
        <v>140</v>
      </c>
      <c r="B145" s="7"/>
      <c r="C145" s="37" t="str">
        <f>IFERROR(VLOOKUP(B145,'MASTER RECORD'!$B$5:$W$1000,3,0),"")</f>
        <v/>
      </c>
      <c r="D145" s="37" t="str">
        <f>IFERROR(VLOOKUP(B145,'MASTER RECORD'!$B$5:$W$1000,2,0),"")</f>
        <v/>
      </c>
      <c r="E145" s="9"/>
      <c r="F145" s="9"/>
      <c r="G145" s="8"/>
      <c r="H145" s="37" t="str">
        <f t="shared" si="7"/>
        <v/>
      </c>
      <c r="I145" s="37" t="str">
        <f t="shared" si="8"/>
        <v/>
      </c>
      <c r="J145" s="7"/>
    </row>
    <row r="146" spans="1:10">
      <c r="A146" s="6">
        <f t="shared" si="6"/>
        <v>141</v>
      </c>
      <c r="B146" s="7"/>
      <c r="C146" s="37" t="str">
        <f>IFERROR(VLOOKUP(B146,'MASTER RECORD'!$B$5:$W$1000,3,0),"")</f>
        <v/>
      </c>
      <c r="D146" s="37" t="str">
        <f>IFERROR(VLOOKUP(B146,'MASTER RECORD'!$B$5:$W$1000,2,0),"")</f>
        <v/>
      </c>
      <c r="E146" s="9"/>
      <c r="F146" s="9"/>
      <c r="G146" s="8"/>
      <c r="H146" s="37" t="str">
        <f t="shared" si="7"/>
        <v/>
      </c>
      <c r="I146" s="37" t="str">
        <f t="shared" si="8"/>
        <v/>
      </c>
      <c r="J146" s="7"/>
    </row>
    <row r="147" spans="1:10">
      <c r="A147" s="6">
        <f t="shared" si="6"/>
        <v>142</v>
      </c>
      <c r="B147" s="7"/>
      <c r="C147" s="37" t="str">
        <f>IFERROR(VLOOKUP(B147,'MASTER RECORD'!$B$5:$W$1000,3,0),"")</f>
        <v/>
      </c>
      <c r="D147" s="37" t="str">
        <f>IFERROR(VLOOKUP(B147,'MASTER RECORD'!$B$5:$W$1000,2,0),"")</f>
        <v/>
      </c>
      <c r="E147" s="9"/>
      <c r="F147" s="9"/>
      <c r="G147" s="8"/>
      <c r="H147" s="37" t="str">
        <f t="shared" si="7"/>
        <v/>
      </c>
      <c r="I147" s="37" t="str">
        <f t="shared" si="8"/>
        <v/>
      </c>
      <c r="J147" s="7"/>
    </row>
    <row r="148" spans="1:10">
      <c r="A148" s="6">
        <f t="shared" si="6"/>
        <v>143</v>
      </c>
      <c r="B148" s="7"/>
      <c r="C148" s="37" t="str">
        <f>IFERROR(VLOOKUP(B148,'MASTER RECORD'!$B$5:$W$1000,3,0),"")</f>
        <v/>
      </c>
      <c r="D148" s="37" t="str">
        <f>IFERROR(VLOOKUP(B148,'MASTER RECORD'!$B$5:$W$1000,2,0),"")</f>
        <v/>
      </c>
      <c r="E148" s="9"/>
      <c r="F148" s="9"/>
      <c r="G148" s="8"/>
      <c r="H148" s="37" t="str">
        <f t="shared" si="7"/>
        <v/>
      </c>
      <c r="I148" s="37" t="str">
        <f t="shared" si="8"/>
        <v/>
      </c>
      <c r="J148" s="7"/>
    </row>
    <row r="149" spans="1:10">
      <c r="A149" s="6">
        <f t="shared" si="6"/>
        <v>144</v>
      </c>
      <c r="B149" s="7"/>
      <c r="C149" s="37" t="str">
        <f>IFERROR(VLOOKUP(B149,'MASTER RECORD'!$B$5:$W$1000,3,0),"")</f>
        <v/>
      </c>
      <c r="D149" s="37" t="str">
        <f>IFERROR(VLOOKUP(B149,'MASTER RECORD'!$B$5:$W$1000,2,0),"")</f>
        <v/>
      </c>
      <c r="E149" s="9"/>
      <c r="F149" s="9"/>
      <c r="G149" s="8"/>
      <c r="H149" s="37" t="str">
        <f t="shared" si="7"/>
        <v/>
      </c>
      <c r="I149" s="37" t="str">
        <f t="shared" si="8"/>
        <v/>
      </c>
      <c r="J149" s="7"/>
    </row>
    <row r="150" spans="1:10">
      <c r="A150" s="6">
        <f t="shared" si="6"/>
        <v>145</v>
      </c>
      <c r="B150" s="7"/>
      <c r="C150" s="37" t="str">
        <f>IFERROR(VLOOKUP(B150,'MASTER RECORD'!$B$5:$W$1000,3,0),"")</f>
        <v/>
      </c>
      <c r="D150" s="37" t="str">
        <f>IFERROR(VLOOKUP(B150,'MASTER RECORD'!$B$5:$W$1000,2,0),"")</f>
        <v/>
      </c>
      <c r="E150" s="9"/>
      <c r="F150" s="9"/>
      <c r="G150" s="8"/>
      <c r="H150" s="37" t="str">
        <f t="shared" si="7"/>
        <v/>
      </c>
      <c r="I150" s="37" t="str">
        <f t="shared" si="8"/>
        <v/>
      </c>
      <c r="J150" s="7"/>
    </row>
    <row r="151" spans="1:10">
      <c r="A151" s="6">
        <f t="shared" si="6"/>
        <v>146</v>
      </c>
      <c r="B151" s="7"/>
      <c r="C151" s="37" t="str">
        <f>IFERROR(VLOOKUP(B151,'MASTER RECORD'!$B$5:$W$1000,3,0),"")</f>
        <v/>
      </c>
      <c r="D151" s="37" t="str">
        <f>IFERROR(VLOOKUP(B151,'MASTER RECORD'!$B$5:$W$1000,2,0),"")</f>
        <v/>
      </c>
      <c r="E151" s="9"/>
      <c r="F151" s="9"/>
      <c r="G151" s="8"/>
      <c r="H151" s="37" t="str">
        <f t="shared" si="7"/>
        <v/>
      </c>
      <c r="I151" s="37" t="str">
        <f t="shared" si="8"/>
        <v/>
      </c>
      <c r="J151" s="7"/>
    </row>
    <row r="152" spans="1:10">
      <c r="A152" s="6">
        <f t="shared" si="6"/>
        <v>147</v>
      </c>
      <c r="B152" s="7"/>
      <c r="C152" s="37" t="str">
        <f>IFERROR(VLOOKUP(B152,'MASTER RECORD'!$B$5:$W$1000,3,0),"")</f>
        <v/>
      </c>
      <c r="D152" s="37" t="str">
        <f>IFERROR(VLOOKUP(B152,'MASTER RECORD'!$B$5:$W$1000,2,0),"")</f>
        <v/>
      </c>
      <c r="E152" s="9"/>
      <c r="F152" s="9"/>
      <c r="G152" s="8"/>
      <c r="H152" s="37" t="str">
        <f t="shared" si="7"/>
        <v/>
      </c>
      <c r="I152" s="37" t="str">
        <f t="shared" si="8"/>
        <v/>
      </c>
      <c r="J152" s="7"/>
    </row>
    <row r="153" spans="1:10">
      <c r="A153" s="6">
        <f t="shared" si="6"/>
        <v>148</v>
      </c>
      <c r="B153" s="7"/>
      <c r="C153" s="37" t="str">
        <f>IFERROR(VLOOKUP(B153,'MASTER RECORD'!$B$5:$W$1000,3,0),"")</f>
        <v/>
      </c>
      <c r="D153" s="37" t="str">
        <f>IFERROR(VLOOKUP(B153,'MASTER RECORD'!$B$5:$W$1000,2,0),"")</f>
        <v/>
      </c>
      <c r="E153" s="9"/>
      <c r="F153" s="9"/>
      <c r="G153" s="8"/>
      <c r="H153" s="37" t="str">
        <f t="shared" si="7"/>
        <v/>
      </c>
      <c r="I153" s="37" t="str">
        <f t="shared" si="8"/>
        <v/>
      </c>
      <c r="J153" s="7"/>
    </row>
    <row r="154" spans="1:10">
      <c r="A154" s="6">
        <f t="shared" si="6"/>
        <v>149</v>
      </c>
      <c r="B154" s="7"/>
      <c r="C154" s="37" t="str">
        <f>IFERROR(VLOOKUP(B154,'MASTER RECORD'!$B$5:$W$1000,3,0),"")</f>
        <v/>
      </c>
      <c r="D154" s="37" t="str">
        <f>IFERROR(VLOOKUP(B154,'MASTER RECORD'!$B$5:$W$1000,2,0),"")</f>
        <v/>
      </c>
      <c r="E154" s="9"/>
      <c r="F154" s="9"/>
      <c r="G154" s="8"/>
      <c r="H154" s="37" t="str">
        <f t="shared" si="7"/>
        <v/>
      </c>
      <c r="I154" s="37" t="str">
        <f t="shared" si="8"/>
        <v/>
      </c>
      <c r="J154" s="7"/>
    </row>
    <row r="155" spans="1:10">
      <c r="A155" s="6">
        <f t="shared" si="6"/>
        <v>150</v>
      </c>
      <c r="B155" s="7"/>
      <c r="C155" s="37" t="str">
        <f>IFERROR(VLOOKUP(B155,'MASTER RECORD'!$B$5:$W$1000,3,0),"")</f>
        <v/>
      </c>
      <c r="D155" s="37" t="str">
        <f>IFERROR(VLOOKUP(B155,'MASTER RECORD'!$B$5:$W$1000,2,0),"")</f>
        <v/>
      </c>
      <c r="E155" s="9"/>
      <c r="F155" s="9"/>
      <c r="G155" s="8"/>
      <c r="H155" s="37" t="str">
        <f t="shared" si="7"/>
        <v/>
      </c>
      <c r="I155" s="37" t="str">
        <f t="shared" si="8"/>
        <v/>
      </c>
      <c r="J155" s="7"/>
    </row>
    <row r="156" spans="1:10">
      <c r="A156" s="6">
        <f t="shared" si="6"/>
        <v>151</v>
      </c>
      <c r="B156" s="7"/>
      <c r="C156" s="37" t="str">
        <f>IFERROR(VLOOKUP(B156,'MASTER RECORD'!$B$5:$W$1000,3,0),"")</f>
        <v/>
      </c>
      <c r="D156" s="37" t="str">
        <f>IFERROR(VLOOKUP(B156,'MASTER RECORD'!$B$5:$W$1000,2,0),"")</f>
        <v/>
      </c>
      <c r="E156" s="9"/>
      <c r="F156" s="9"/>
      <c r="G156" s="8"/>
      <c r="H156" s="37" t="str">
        <f t="shared" si="7"/>
        <v/>
      </c>
      <c r="I156" s="37" t="str">
        <f t="shared" si="8"/>
        <v/>
      </c>
      <c r="J156" s="7"/>
    </row>
    <row r="157" spans="1:10">
      <c r="A157" s="6">
        <f t="shared" si="6"/>
        <v>152</v>
      </c>
      <c r="B157" s="7"/>
      <c r="C157" s="37" t="str">
        <f>IFERROR(VLOOKUP(B157,'MASTER RECORD'!$B$5:$W$1000,3,0),"")</f>
        <v/>
      </c>
      <c r="D157" s="37" t="str">
        <f>IFERROR(VLOOKUP(B157,'MASTER RECORD'!$B$5:$W$1000,2,0),"")</f>
        <v/>
      </c>
      <c r="E157" s="9"/>
      <c r="F157" s="9"/>
      <c r="G157" s="8"/>
      <c r="H157" s="37" t="str">
        <f t="shared" si="7"/>
        <v/>
      </c>
      <c r="I157" s="37" t="str">
        <f t="shared" si="8"/>
        <v/>
      </c>
      <c r="J157" s="7"/>
    </row>
    <row r="158" spans="1:10">
      <c r="A158" s="6">
        <f t="shared" si="6"/>
        <v>153</v>
      </c>
      <c r="B158" s="7"/>
      <c r="C158" s="37" t="str">
        <f>IFERROR(VLOOKUP(B158,'MASTER RECORD'!$B$5:$W$1000,3,0),"")</f>
        <v/>
      </c>
      <c r="D158" s="37" t="str">
        <f>IFERROR(VLOOKUP(B158,'MASTER RECORD'!$B$5:$W$1000,2,0),"")</f>
        <v/>
      </c>
      <c r="E158" s="9"/>
      <c r="F158" s="9"/>
      <c r="G158" s="8"/>
      <c r="H158" s="37" t="str">
        <f t="shared" si="7"/>
        <v/>
      </c>
      <c r="I158" s="37" t="str">
        <f t="shared" si="8"/>
        <v/>
      </c>
      <c r="J158" s="7"/>
    </row>
    <row r="159" spans="1:10">
      <c r="A159" s="6">
        <f t="shared" si="6"/>
        <v>154</v>
      </c>
      <c r="B159" s="7"/>
      <c r="C159" s="37" t="str">
        <f>IFERROR(VLOOKUP(B159,'MASTER RECORD'!$B$5:$W$1000,3,0),"")</f>
        <v/>
      </c>
      <c r="D159" s="37" t="str">
        <f>IFERROR(VLOOKUP(B159,'MASTER RECORD'!$B$5:$W$1000,2,0),"")</f>
        <v/>
      </c>
      <c r="E159" s="9"/>
      <c r="F159" s="9"/>
      <c r="G159" s="8"/>
      <c r="H159" s="37" t="str">
        <f t="shared" si="7"/>
        <v/>
      </c>
      <c r="I159" s="37" t="str">
        <f t="shared" si="8"/>
        <v/>
      </c>
      <c r="J159" s="7"/>
    </row>
    <row r="160" spans="1:10">
      <c r="A160" s="6">
        <f t="shared" si="6"/>
        <v>155</v>
      </c>
      <c r="B160" s="7"/>
      <c r="C160" s="37" t="str">
        <f>IFERROR(VLOOKUP(B160,'MASTER RECORD'!$B$5:$W$1000,3,0),"")</f>
        <v/>
      </c>
      <c r="D160" s="37" t="str">
        <f>IFERROR(VLOOKUP(B160,'MASTER RECORD'!$B$5:$W$1000,2,0),"")</f>
        <v/>
      </c>
      <c r="E160" s="9"/>
      <c r="F160" s="9"/>
      <c r="G160" s="8"/>
      <c r="H160" s="37" t="str">
        <f t="shared" si="7"/>
        <v/>
      </c>
      <c r="I160" s="37" t="str">
        <f t="shared" si="8"/>
        <v/>
      </c>
      <c r="J160" s="7"/>
    </row>
    <row r="161" spans="1:10">
      <c r="A161" s="6">
        <f t="shared" si="6"/>
        <v>156</v>
      </c>
      <c r="B161" s="7"/>
      <c r="C161" s="37" t="str">
        <f>IFERROR(VLOOKUP(B161,'MASTER RECORD'!$B$5:$W$1000,3,0),"")</f>
        <v/>
      </c>
      <c r="D161" s="37" t="str">
        <f>IFERROR(VLOOKUP(B161,'MASTER RECORD'!$B$5:$W$1000,2,0),"")</f>
        <v/>
      </c>
      <c r="E161" s="9"/>
      <c r="F161" s="9"/>
      <c r="G161" s="8"/>
      <c r="H161" s="37" t="str">
        <f t="shared" si="7"/>
        <v/>
      </c>
      <c r="I161" s="37" t="str">
        <f t="shared" si="8"/>
        <v/>
      </c>
      <c r="J161" s="7"/>
    </row>
    <row r="162" spans="1:10">
      <c r="A162" s="6">
        <f t="shared" si="6"/>
        <v>157</v>
      </c>
      <c r="B162" s="7"/>
      <c r="C162" s="37" t="str">
        <f>IFERROR(VLOOKUP(B162,'MASTER RECORD'!$B$5:$W$1000,3,0),"")</f>
        <v/>
      </c>
      <c r="D162" s="37" t="str">
        <f>IFERROR(VLOOKUP(B162,'MASTER RECORD'!$B$5:$W$1000,2,0),"")</f>
        <v/>
      </c>
      <c r="E162" s="9"/>
      <c r="F162" s="9"/>
      <c r="G162" s="8"/>
      <c r="H162" s="37" t="str">
        <f t="shared" si="7"/>
        <v/>
      </c>
      <c r="I162" s="37" t="str">
        <f t="shared" si="8"/>
        <v/>
      </c>
      <c r="J162" s="7"/>
    </row>
    <row r="163" spans="1:10">
      <c r="A163" s="6">
        <f t="shared" si="6"/>
        <v>158</v>
      </c>
      <c r="B163" s="7"/>
      <c r="C163" s="37" t="str">
        <f>IFERROR(VLOOKUP(B163,'MASTER RECORD'!$B$5:$W$1000,3,0),"")</f>
        <v/>
      </c>
      <c r="D163" s="37" t="str">
        <f>IFERROR(VLOOKUP(B163,'MASTER RECORD'!$B$5:$W$1000,2,0),"")</f>
        <v/>
      </c>
      <c r="E163" s="9"/>
      <c r="F163" s="9"/>
      <c r="G163" s="8"/>
      <c r="H163" s="37" t="str">
        <f t="shared" si="7"/>
        <v/>
      </c>
      <c r="I163" s="37" t="str">
        <f t="shared" si="8"/>
        <v/>
      </c>
      <c r="J163" s="7"/>
    </row>
    <row r="164" spans="1:10">
      <c r="A164" s="6">
        <f t="shared" si="6"/>
        <v>159</v>
      </c>
      <c r="B164" s="7"/>
      <c r="C164" s="37" t="str">
        <f>IFERROR(VLOOKUP(B164,'MASTER RECORD'!$B$5:$W$1000,3,0),"")</f>
        <v/>
      </c>
      <c r="D164" s="37" t="str">
        <f>IFERROR(VLOOKUP(B164,'MASTER RECORD'!$B$5:$W$1000,2,0),"")</f>
        <v/>
      </c>
      <c r="E164" s="9"/>
      <c r="F164" s="9"/>
      <c r="G164" s="8"/>
      <c r="H164" s="37" t="str">
        <f t="shared" si="7"/>
        <v/>
      </c>
      <c r="I164" s="37" t="str">
        <f t="shared" si="8"/>
        <v/>
      </c>
      <c r="J164" s="7"/>
    </row>
    <row r="165" spans="1:10">
      <c r="A165" s="6">
        <f t="shared" si="6"/>
        <v>160</v>
      </c>
      <c r="B165" s="7"/>
      <c r="C165" s="37" t="str">
        <f>IFERROR(VLOOKUP(B165,'MASTER RECORD'!$B$5:$W$1000,3,0),"")</f>
        <v/>
      </c>
      <c r="D165" s="37" t="str">
        <f>IFERROR(VLOOKUP(B165,'MASTER RECORD'!$B$5:$W$1000,2,0),"")</f>
        <v/>
      </c>
      <c r="E165" s="9"/>
      <c r="F165" s="9"/>
      <c r="G165" s="8"/>
      <c r="H165" s="37" t="str">
        <f t="shared" si="7"/>
        <v/>
      </c>
      <c r="I165" s="37" t="str">
        <f t="shared" si="8"/>
        <v/>
      </c>
      <c r="J165" s="7"/>
    </row>
    <row r="166" spans="1:10">
      <c r="A166" s="6">
        <f t="shared" si="6"/>
        <v>161</v>
      </c>
      <c r="B166" s="7"/>
      <c r="C166" s="37" t="str">
        <f>IFERROR(VLOOKUP(B166,'MASTER RECORD'!$B$5:$W$1000,3,0),"")</f>
        <v/>
      </c>
      <c r="D166" s="37" t="str">
        <f>IFERROR(VLOOKUP(B166,'MASTER RECORD'!$B$5:$W$1000,2,0),"")</f>
        <v/>
      </c>
      <c r="E166" s="9"/>
      <c r="F166" s="9"/>
      <c r="G166" s="8"/>
      <c r="H166" s="37" t="str">
        <f t="shared" si="7"/>
        <v/>
      </c>
      <c r="I166" s="37" t="str">
        <f t="shared" si="8"/>
        <v/>
      </c>
      <c r="J166" s="7"/>
    </row>
    <row r="167" spans="1:10">
      <c r="A167" s="6">
        <f t="shared" si="6"/>
        <v>162</v>
      </c>
      <c r="B167" s="7"/>
      <c r="C167" s="37" t="str">
        <f>IFERROR(VLOOKUP(B167,'MASTER RECORD'!$B$5:$W$1000,3,0),"")</f>
        <v/>
      </c>
      <c r="D167" s="37" t="str">
        <f>IFERROR(VLOOKUP(B167,'MASTER RECORD'!$B$5:$W$1000,2,0),"")</f>
        <v/>
      </c>
      <c r="E167" s="9"/>
      <c r="F167" s="9"/>
      <c r="G167" s="8"/>
      <c r="H167" s="37" t="str">
        <f t="shared" si="7"/>
        <v/>
      </c>
      <c r="I167" s="37" t="str">
        <f t="shared" si="8"/>
        <v/>
      </c>
      <c r="J167" s="7"/>
    </row>
    <row r="168" spans="1:10">
      <c r="A168" s="6">
        <f t="shared" si="6"/>
        <v>163</v>
      </c>
      <c r="B168" s="7"/>
      <c r="C168" s="37" t="str">
        <f>IFERROR(VLOOKUP(B168,'MASTER RECORD'!$B$5:$W$1000,3,0),"")</f>
        <v/>
      </c>
      <c r="D168" s="37" t="str">
        <f>IFERROR(VLOOKUP(B168,'MASTER RECORD'!$B$5:$W$1000,2,0),"")</f>
        <v/>
      </c>
      <c r="E168" s="9"/>
      <c r="F168" s="9"/>
      <c r="G168" s="8"/>
      <c r="H168" s="37" t="str">
        <f t="shared" si="7"/>
        <v/>
      </c>
      <c r="I168" s="37" t="str">
        <f t="shared" si="8"/>
        <v/>
      </c>
      <c r="J168" s="7"/>
    </row>
    <row r="169" spans="1:10">
      <c r="A169" s="6">
        <f t="shared" si="6"/>
        <v>164</v>
      </c>
      <c r="B169" s="7"/>
      <c r="C169" s="37" t="str">
        <f>IFERROR(VLOOKUP(B169,'MASTER RECORD'!$B$5:$W$1000,3,0),"")</f>
        <v/>
      </c>
      <c r="D169" s="37" t="str">
        <f>IFERROR(VLOOKUP(B169,'MASTER RECORD'!$B$5:$W$1000,2,0),"")</f>
        <v/>
      </c>
      <c r="E169" s="9"/>
      <c r="F169" s="9"/>
      <c r="G169" s="8"/>
      <c r="H169" s="37" t="str">
        <f t="shared" si="7"/>
        <v/>
      </c>
      <c r="I169" s="37" t="str">
        <f t="shared" si="8"/>
        <v/>
      </c>
      <c r="J169" s="7"/>
    </row>
    <row r="170" spans="1:10">
      <c r="A170" s="6">
        <f t="shared" si="6"/>
        <v>165</v>
      </c>
      <c r="B170" s="7"/>
      <c r="C170" s="37" t="str">
        <f>IFERROR(VLOOKUP(B170,'MASTER RECORD'!$B$5:$W$1000,3,0),"")</f>
        <v/>
      </c>
      <c r="D170" s="37" t="str">
        <f>IFERROR(VLOOKUP(B170,'MASTER RECORD'!$B$5:$W$1000,2,0),"")</f>
        <v/>
      </c>
      <c r="E170" s="9"/>
      <c r="F170" s="9"/>
      <c r="G170" s="8"/>
      <c r="H170" s="37" t="str">
        <f t="shared" si="7"/>
        <v/>
      </c>
      <c r="I170" s="37" t="str">
        <f t="shared" si="8"/>
        <v/>
      </c>
      <c r="J170" s="7"/>
    </row>
    <row r="171" spans="1:10">
      <c r="A171" s="6">
        <f t="shared" si="6"/>
        <v>166</v>
      </c>
      <c r="B171" s="7"/>
      <c r="C171" s="37" t="str">
        <f>IFERROR(VLOOKUP(B171,'MASTER RECORD'!$B$5:$W$1000,3,0),"")</f>
        <v/>
      </c>
      <c r="D171" s="37" t="str">
        <f>IFERROR(VLOOKUP(B171,'MASTER RECORD'!$B$5:$W$1000,2,0),"")</f>
        <v/>
      </c>
      <c r="E171" s="9"/>
      <c r="F171" s="9"/>
      <c r="G171" s="8"/>
      <c r="H171" s="37" t="str">
        <f t="shared" si="7"/>
        <v/>
      </c>
      <c r="I171" s="37" t="str">
        <f t="shared" si="8"/>
        <v/>
      </c>
      <c r="J171" s="7"/>
    </row>
    <row r="172" spans="1:10">
      <c r="A172" s="6">
        <f t="shared" si="6"/>
        <v>167</v>
      </c>
      <c r="B172" s="7"/>
      <c r="C172" s="37" t="str">
        <f>IFERROR(VLOOKUP(B172,'MASTER RECORD'!$B$5:$W$1000,3,0),"")</f>
        <v/>
      </c>
      <c r="D172" s="37" t="str">
        <f>IFERROR(VLOOKUP(B172,'MASTER RECORD'!$B$5:$W$1000,2,0),"")</f>
        <v/>
      </c>
      <c r="E172" s="9"/>
      <c r="F172" s="9"/>
      <c r="G172" s="8"/>
      <c r="H172" s="37" t="str">
        <f t="shared" si="7"/>
        <v/>
      </c>
      <c r="I172" s="37" t="str">
        <f t="shared" si="8"/>
        <v/>
      </c>
      <c r="J172" s="7"/>
    </row>
    <row r="173" spans="1:10">
      <c r="A173" s="6">
        <f t="shared" si="6"/>
        <v>168</v>
      </c>
      <c r="B173" s="7"/>
      <c r="C173" s="37" t="str">
        <f>IFERROR(VLOOKUP(B173,'MASTER RECORD'!$B$5:$W$1000,3,0),"")</f>
        <v/>
      </c>
      <c r="D173" s="37" t="str">
        <f>IFERROR(VLOOKUP(B173,'MASTER RECORD'!$B$5:$W$1000,2,0),"")</f>
        <v/>
      </c>
      <c r="E173" s="9"/>
      <c r="F173" s="9"/>
      <c r="G173" s="8"/>
      <c r="H173" s="37" t="str">
        <f t="shared" si="7"/>
        <v/>
      </c>
      <c r="I173" s="37" t="str">
        <f t="shared" si="8"/>
        <v/>
      </c>
      <c r="J173" s="7"/>
    </row>
    <row r="174" spans="1:10">
      <c r="A174" s="6">
        <f t="shared" si="6"/>
        <v>169</v>
      </c>
      <c r="B174" s="7"/>
      <c r="C174" s="37" t="str">
        <f>IFERROR(VLOOKUP(B174,'MASTER RECORD'!$B$5:$W$1000,3,0),"")</f>
        <v/>
      </c>
      <c r="D174" s="37" t="str">
        <f>IFERROR(VLOOKUP(B174,'MASTER RECORD'!$B$5:$W$1000,2,0),"")</f>
        <v/>
      </c>
      <c r="E174" s="9"/>
      <c r="F174" s="9"/>
      <c r="G174" s="8"/>
      <c r="H174" s="37" t="str">
        <f t="shared" si="7"/>
        <v/>
      </c>
      <c r="I174" s="37" t="str">
        <f t="shared" si="8"/>
        <v/>
      </c>
      <c r="J174" s="7"/>
    </row>
    <row r="175" spans="1:10">
      <c r="A175" s="6">
        <f t="shared" si="6"/>
        <v>170</v>
      </c>
      <c r="B175" s="7"/>
      <c r="C175" s="37" t="str">
        <f>IFERROR(VLOOKUP(B175,'MASTER RECORD'!$B$5:$W$1000,3,0),"")</f>
        <v/>
      </c>
      <c r="D175" s="37" t="str">
        <f>IFERROR(VLOOKUP(B175,'MASTER RECORD'!$B$5:$W$1000,2,0),"")</f>
        <v/>
      </c>
      <c r="E175" s="9"/>
      <c r="F175" s="9"/>
      <c r="G175" s="8"/>
      <c r="H175" s="37" t="str">
        <f t="shared" si="7"/>
        <v/>
      </c>
      <c r="I175" s="37" t="str">
        <f t="shared" si="8"/>
        <v/>
      </c>
      <c r="J175" s="7"/>
    </row>
    <row r="176" spans="1:10">
      <c r="A176" s="6">
        <f t="shared" si="6"/>
        <v>171</v>
      </c>
      <c r="B176" s="7"/>
      <c r="C176" s="37" t="str">
        <f>IFERROR(VLOOKUP(B176,'MASTER RECORD'!$B$5:$W$1000,3,0),"")</f>
        <v/>
      </c>
      <c r="D176" s="37" t="str">
        <f>IFERROR(VLOOKUP(B176,'MASTER RECORD'!$B$5:$W$1000,2,0),"")</f>
        <v/>
      </c>
      <c r="E176" s="9"/>
      <c r="F176" s="9"/>
      <c r="G176" s="8"/>
      <c r="H176" s="37" t="str">
        <f t="shared" si="7"/>
        <v/>
      </c>
      <c r="I176" s="37" t="str">
        <f t="shared" si="8"/>
        <v/>
      </c>
      <c r="J176" s="7"/>
    </row>
    <row r="177" spans="1:10">
      <c r="A177" s="6">
        <f t="shared" si="6"/>
        <v>172</v>
      </c>
      <c r="B177" s="7"/>
      <c r="C177" s="37" t="str">
        <f>IFERROR(VLOOKUP(B177,'MASTER RECORD'!$B$5:$W$1000,3,0),"")</f>
        <v/>
      </c>
      <c r="D177" s="37" t="str">
        <f>IFERROR(VLOOKUP(B177,'MASTER RECORD'!$B$5:$W$1000,2,0),"")</f>
        <v/>
      </c>
      <c r="E177" s="9"/>
      <c r="F177" s="9"/>
      <c r="G177" s="8"/>
      <c r="H177" s="37" t="str">
        <f t="shared" si="7"/>
        <v/>
      </c>
      <c r="I177" s="37" t="str">
        <f t="shared" si="8"/>
        <v/>
      </c>
      <c r="J177" s="7"/>
    </row>
    <row r="178" spans="1:10">
      <c r="A178" s="6">
        <f t="shared" si="6"/>
        <v>173</v>
      </c>
      <c r="B178" s="7"/>
      <c r="C178" s="37" t="str">
        <f>IFERROR(VLOOKUP(B178,'MASTER RECORD'!$B$5:$W$1000,3,0),"")</f>
        <v/>
      </c>
      <c r="D178" s="37" t="str">
        <f>IFERROR(VLOOKUP(B178,'MASTER RECORD'!$B$5:$W$1000,2,0),"")</f>
        <v/>
      </c>
      <c r="E178" s="9"/>
      <c r="F178" s="9"/>
      <c r="G178" s="8"/>
      <c r="H178" s="37" t="str">
        <f t="shared" si="7"/>
        <v/>
      </c>
      <c r="I178" s="37" t="str">
        <f t="shared" si="8"/>
        <v/>
      </c>
      <c r="J178" s="7"/>
    </row>
    <row r="179" spans="1:10">
      <c r="A179" s="6">
        <f t="shared" si="6"/>
        <v>174</v>
      </c>
      <c r="B179" s="7"/>
      <c r="C179" s="37" t="str">
        <f>IFERROR(VLOOKUP(B179,'MASTER RECORD'!$B$5:$W$1000,3,0),"")</f>
        <v/>
      </c>
      <c r="D179" s="37" t="str">
        <f>IFERROR(VLOOKUP(B179,'MASTER RECORD'!$B$5:$W$1000,2,0),"")</f>
        <v/>
      </c>
      <c r="E179" s="9"/>
      <c r="F179" s="9"/>
      <c r="G179" s="8"/>
      <c r="H179" s="37" t="str">
        <f t="shared" si="7"/>
        <v/>
      </c>
      <c r="I179" s="37" t="str">
        <f t="shared" si="8"/>
        <v/>
      </c>
      <c r="J179" s="7"/>
    </row>
    <row r="180" spans="1:10">
      <c r="A180" s="6">
        <f t="shared" si="6"/>
        <v>175</v>
      </c>
      <c r="B180" s="7"/>
      <c r="C180" s="37" t="str">
        <f>IFERROR(VLOOKUP(B180,'MASTER RECORD'!$B$5:$W$1000,3,0),"")</f>
        <v/>
      </c>
      <c r="D180" s="37" t="str">
        <f>IFERROR(VLOOKUP(B180,'MASTER RECORD'!$B$5:$W$1000,2,0),"")</f>
        <v/>
      </c>
      <c r="E180" s="9"/>
      <c r="F180" s="9"/>
      <c r="G180" s="8"/>
      <c r="H180" s="37" t="str">
        <f t="shared" si="7"/>
        <v/>
      </c>
      <c r="I180" s="37" t="str">
        <f t="shared" si="8"/>
        <v/>
      </c>
      <c r="J180" s="7"/>
    </row>
    <row r="181" spans="1:10">
      <c r="A181" s="6">
        <f t="shared" si="6"/>
        <v>176</v>
      </c>
      <c r="B181" s="7"/>
      <c r="C181" s="37" t="str">
        <f>IFERROR(VLOOKUP(B181,'MASTER RECORD'!$B$5:$W$1000,3,0),"")</f>
        <v/>
      </c>
      <c r="D181" s="37" t="str">
        <f>IFERROR(VLOOKUP(B181,'MASTER RECORD'!$B$5:$W$1000,2,0),"")</f>
        <v/>
      </c>
      <c r="E181" s="9"/>
      <c r="F181" s="9"/>
      <c r="G181" s="8"/>
      <c r="H181" s="37" t="str">
        <f t="shared" si="7"/>
        <v/>
      </c>
      <c r="I181" s="37" t="str">
        <f t="shared" si="8"/>
        <v/>
      </c>
      <c r="J181" s="7"/>
    </row>
    <row r="182" spans="1:10">
      <c r="A182" s="6">
        <f t="shared" si="6"/>
        <v>177</v>
      </c>
      <c r="B182" s="7"/>
      <c r="C182" s="37" t="str">
        <f>IFERROR(VLOOKUP(B182,'MASTER RECORD'!$B$5:$W$1000,3,0),"")</f>
        <v/>
      </c>
      <c r="D182" s="37" t="str">
        <f>IFERROR(VLOOKUP(B182,'MASTER RECORD'!$B$5:$W$1000,2,0),"")</f>
        <v/>
      </c>
      <c r="E182" s="9"/>
      <c r="F182" s="9"/>
      <c r="G182" s="8"/>
      <c r="H182" s="37" t="str">
        <f t="shared" si="7"/>
        <v/>
      </c>
      <c r="I182" s="37" t="str">
        <f t="shared" si="8"/>
        <v/>
      </c>
      <c r="J182" s="7"/>
    </row>
    <row r="183" spans="1:10">
      <c r="A183" s="6">
        <f t="shared" si="6"/>
        <v>178</v>
      </c>
      <c r="B183" s="7"/>
      <c r="C183" s="37" t="str">
        <f>IFERROR(VLOOKUP(B183,'MASTER RECORD'!$B$5:$W$1000,3,0),"")</f>
        <v/>
      </c>
      <c r="D183" s="37" t="str">
        <f>IFERROR(VLOOKUP(B183,'MASTER RECORD'!$B$5:$W$1000,2,0),"")</f>
        <v/>
      </c>
      <c r="E183" s="9"/>
      <c r="F183" s="9"/>
      <c r="G183" s="8"/>
      <c r="H183" s="37" t="str">
        <f t="shared" si="7"/>
        <v/>
      </c>
      <c r="I183" s="37" t="str">
        <f t="shared" si="8"/>
        <v/>
      </c>
      <c r="J183" s="7"/>
    </row>
    <row r="184" spans="1:10">
      <c r="A184" s="6">
        <f t="shared" si="6"/>
        <v>179</v>
      </c>
      <c r="B184" s="7"/>
      <c r="C184" s="37" t="str">
        <f>IFERROR(VLOOKUP(B184,'MASTER RECORD'!$B$5:$W$1000,3,0),"")</f>
        <v/>
      </c>
      <c r="D184" s="37" t="str">
        <f>IFERROR(VLOOKUP(B184,'MASTER RECORD'!$B$5:$W$1000,2,0),"")</f>
        <v/>
      </c>
      <c r="E184" s="9"/>
      <c r="F184" s="9"/>
      <c r="G184" s="8"/>
      <c r="H184" s="37" t="str">
        <f t="shared" si="7"/>
        <v/>
      </c>
      <c r="I184" s="37" t="str">
        <f t="shared" si="8"/>
        <v/>
      </c>
      <c r="J184" s="7"/>
    </row>
    <row r="185" spans="1:10">
      <c r="A185" s="6">
        <f t="shared" si="6"/>
        <v>180</v>
      </c>
      <c r="B185" s="7"/>
      <c r="C185" s="37" t="str">
        <f>IFERROR(VLOOKUP(B185,'MASTER RECORD'!$B$5:$W$1000,3,0),"")</f>
        <v/>
      </c>
      <c r="D185" s="37" t="str">
        <f>IFERROR(VLOOKUP(B185,'MASTER RECORD'!$B$5:$W$1000,2,0),"")</f>
        <v/>
      </c>
      <c r="E185" s="9"/>
      <c r="F185" s="9"/>
      <c r="G185" s="8"/>
      <c r="H185" s="37" t="str">
        <f t="shared" si="7"/>
        <v/>
      </c>
      <c r="I185" s="37" t="str">
        <f t="shared" si="8"/>
        <v/>
      </c>
      <c r="J185" s="7"/>
    </row>
    <row r="186" spans="1:10">
      <c r="A186" s="6">
        <f t="shared" si="6"/>
        <v>181</v>
      </c>
      <c r="B186" s="7"/>
      <c r="C186" s="37" t="str">
        <f>IFERROR(VLOOKUP(B186,'MASTER RECORD'!$B$5:$W$1000,3,0),"")</f>
        <v/>
      </c>
      <c r="D186" s="37" t="str">
        <f>IFERROR(VLOOKUP(B186,'MASTER RECORD'!$B$5:$W$1000,2,0),"")</f>
        <v/>
      </c>
      <c r="E186" s="9"/>
      <c r="F186" s="9"/>
      <c r="G186" s="8"/>
      <c r="H186" s="37" t="str">
        <f t="shared" si="7"/>
        <v/>
      </c>
      <c r="I186" s="37" t="str">
        <f t="shared" si="8"/>
        <v/>
      </c>
      <c r="J186" s="7"/>
    </row>
    <row r="187" spans="1:10">
      <c r="A187" s="6">
        <f t="shared" si="6"/>
        <v>182</v>
      </c>
      <c r="B187" s="7"/>
      <c r="C187" s="37" t="str">
        <f>IFERROR(VLOOKUP(B187,'MASTER RECORD'!$B$5:$W$1000,3,0),"")</f>
        <v/>
      </c>
      <c r="D187" s="37" t="str">
        <f>IFERROR(VLOOKUP(B187,'MASTER RECORD'!$B$5:$W$1000,2,0),"")</f>
        <v/>
      </c>
      <c r="E187" s="9"/>
      <c r="F187" s="9"/>
      <c r="G187" s="8"/>
      <c r="H187" s="37" t="str">
        <f t="shared" si="7"/>
        <v/>
      </c>
      <c r="I187" s="37" t="str">
        <f t="shared" si="8"/>
        <v/>
      </c>
      <c r="J187" s="7"/>
    </row>
    <row r="188" spans="1:10">
      <c r="A188" s="6">
        <f t="shared" si="6"/>
        <v>183</v>
      </c>
      <c r="B188" s="7"/>
      <c r="C188" s="37" t="str">
        <f>IFERROR(VLOOKUP(B188,'MASTER RECORD'!$B$5:$W$1000,3,0),"")</f>
        <v/>
      </c>
      <c r="D188" s="37" t="str">
        <f>IFERROR(VLOOKUP(B188,'MASTER RECORD'!$B$5:$W$1000,2,0),"")</f>
        <v/>
      </c>
      <c r="E188" s="9"/>
      <c r="F188" s="9"/>
      <c r="G188" s="8"/>
      <c r="H188" s="37" t="str">
        <f t="shared" si="7"/>
        <v/>
      </c>
      <c r="I188" s="37" t="str">
        <f t="shared" si="8"/>
        <v/>
      </c>
      <c r="J188" s="7"/>
    </row>
    <row r="189" spans="1:10">
      <c r="A189" s="6">
        <f t="shared" si="6"/>
        <v>184</v>
      </c>
      <c r="B189" s="7"/>
      <c r="C189" s="37" t="str">
        <f>IFERROR(VLOOKUP(B189,'MASTER RECORD'!$B$5:$W$1000,3,0),"")</f>
        <v/>
      </c>
      <c r="D189" s="37" t="str">
        <f>IFERROR(VLOOKUP(B189,'MASTER RECORD'!$B$5:$W$1000,2,0),"")</f>
        <v/>
      </c>
      <c r="E189" s="9"/>
      <c r="F189" s="9"/>
      <c r="G189" s="8"/>
      <c r="H189" s="37" t="str">
        <f t="shared" si="7"/>
        <v/>
      </c>
      <c r="I189" s="37" t="str">
        <f t="shared" si="8"/>
        <v/>
      </c>
      <c r="J189" s="7"/>
    </row>
    <row r="190" spans="1:10">
      <c r="A190" s="6">
        <f t="shared" si="6"/>
        <v>185</v>
      </c>
      <c r="B190" s="7"/>
      <c r="C190" s="37" t="str">
        <f>IFERROR(VLOOKUP(B190,'MASTER RECORD'!$B$5:$W$1000,3,0),"")</f>
        <v/>
      </c>
      <c r="D190" s="37" t="str">
        <f>IFERROR(VLOOKUP(B190,'MASTER RECORD'!$B$5:$W$1000,2,0),"")</f>
        <v/>
      </c>
      <c r="E190" s="9"/>
      <c r="F190" s="9"/>
      <c r="G190" s="8"/>
      <c r="H190" s="37" t="str">
        <f t="shared" si="7"/>
        <v/>
      </c>
      <c r="I190" s="37" t="str">
        <f t="shared" si="8"/>
        <v/>
      </c>
      <c r="J190" s="7"/>
    </row>
    <row r="191" spans="1:10">
      <c r="A191" s="6">
        <f t="shared" si="6"/>
        <v>186</v>
      </c>
      <c r="B191" s="7"/>
      <c r="C191" s="37" t="str">
        <f>IFERROR(VLOOKUP(B191,'MASTER RECORD'!$B$5:$W$1000,3,0),"")</f>
        <v/>
      </c>
      <c r="D191" s="37" t="str">
        <f>IFERROR(VLOOKUP(B191,'MASTER RECORD'!$B$5:$W$1000,2,0),"")</f>
        <v/>
      </c>
      <c r="E191" s="9"/>
      <c r="F191" s="9"/>
      <c r="G191" s="8"/>
      <c r="H191" s="37" t="str">
        <f t="shared" si="7"/>
        <v/>
      </c>
      <c r="I191" s="37" t="str">
        <f t="shared" si="8"/>
        <v/>
      </c>
      <c r="J191" s="7"/>
    </row>
    <row r="192" spans="1:10">
      <c r="A192" s="6">
        <f t="shared" si="6"/>
        <v>187</v>
      </c>
      <c r="B192" s="7"/>
      <c r="C192" s="37" t="str">
        <f>IFERROR(VLOOKUP(B192,'MASTER RECORD'!$B$5:$W$1000,3,0),"")</f>
        <v/>
      </c>
      <c r="D192" s="37" t="str">
        <f>IFERROR(VLOOKUP(B192,'MASTER RECORD'!$B$5:$W$1000,2,0),"")</f>
        <v/>
      </c>
      <c r="E192" s="9"/>
      <c r="F192" s="9"/>
      <c r="G192" s="8"/>
      <c r="H192" s="37" t="str">
        <f t="shared" si="7"/>
        <v/>
      </c>
      <c r="I192" s="37" t="str">
        <f t="shared" si="8"/>
        <v/>
      </c>
      <c r="J192" s="7"/>
    </row>
    <row r="193" spans="1:10">
      <c r="A193" s="6">
        <f t="shared" si="6"/>
        <v>188</v>
      </c>
      <c r="B193" s="7"/>
      <c r="C193" s="37" t="str">
        <f>IFERROR(VLOOKUP(B193,'MASTER RECORD'!$B$5:$W$1000,3,0),"")</f>
        <v/>
      </c>
      <c r="D193" s="37" t="str">
        <f>IFERROR(VLOOKUP(B193,'MASTER RECORD'!$B$5:$W$1000,2,0),"")</f>
        <v/>
      </c>
      <c r="E193" s="9"/>
      <c r="F193" s="9"/>
      <c r="G193" s="8"/>
      <c r="H193" s="37" t="str">
        <f t="shared" si="7"/>
        <v/>
      </c>
      <c r="I193" s="37" t="str">
        <f t="shared" si="8"/>
        <v/>
      </c>
      <c r="J193" s="7"/>
    </row>
    <row r="194" spans="1:10">
      <c r="A194" s="6">
        <f t="shared" si="6"/>
        <v>189</v>
      </c>
      <c r="B194" s="7"/>
      <c r="C194" s="37" t="str">
        <f>IFERROR(VLOOKUP(B194,'MASTER RECORD'!$B$5:$W$1000,3,0),"")</f>
        <v/>
      </c>
      <c r="D194" s="37" t="str">
        <f>IFERROR(VLOOKUP(B194,'MASTER RECORD'!$B$5:$W$1000,2,0),"")</f>
        <v/>
      </c>
      <c r="E194" s="9"/>
      <c r="F194" s="9"/>
      <c r="G194" s="8"/>
      <c r="H194" s="37" t="str">
        <f t="shared" si="7"/>
        <v/>
      </c>
      <c r="I194" s="37" t="str">
        <f t="shared" si="8"/>
        <v/>
      </c>
      <c r="J194" s="7"/>
    </row>
    <row r="195" spans="1:10">
      <c r="A195" s="6">
        <f t="shared" si="6"/>
        <v>190</v>
      </c>
      <c r="B195" s="7"/>
      <c r="C195" s="37" t="str">
        <f>IFERROR(VLOOKUP(B195,'MASTER RECORD'!$B$5:$W$1000,3,0),"")</f>
        <v/>
      </c>
      <c r="D195" s="37" t="str">
        <f>IFERROR(VLOOKUP(B195,'MASTER RECORD'!$B$5:$W$1000,2,0),"")</f>
        <v/>
      </c>
      <c r="E195" s="9"/>
      <c r="F195" s="9"/>
      <c r="G195" s="8"/>
      <c r="H195" s="37" t="str">
        <f t="shared" si="7"/>
        <v/>
      </c>
      <c r="I195" s="37" t="str">
        <f t="shared" si="8"/>
        <v/>
      </c>
      <c r="J195" s="7"/>
    </row>
    <row r="196" spans="1:10">
      <c r="A196" s="6">
        <f t="shared" si="6"/>
        <v>191</v>
      </c>
      <c r="B196" s="7"/>
      <c r="C196" s="37" t="str">
        <f>IFERROR(VLOOKUP(B196,'MASTER RECORD'!$B$5:$W$1000,3,0),"")</f>
        <v/>
      </c>
      <c r="D196" s="37" t="str">
        <f>IFERROR(VLOOKUP(B196,'MASTER RECORD'!$B$5:$W$1000,2,0),"")</f>
        <v/>
      </c>
      <c r="E196" s="9"/>
      <c r="F196" s="9"/>
      <c r="G196" s="8"/>
      <c r="H196" s="37" t="str">
        <f t="shared" si="7"/>
        <v/>
      </c>
      <c r="I196" s="37" t="str">
        <f t="shared" si="8"/>
        <v/>
      </c>
      <c r="J196" s="7"/>
    </row>
    <row r="197" spans="1:10">
      <c r="A197" s="6">
        <f t="shared" si="6"/>
        <v>192</v>
      </c>
      <c r="B197" s="7"/>
      <c r="C197" s="37" t="str">
        <f>IFERROR(VLOOKUP(B197,'MASTER RECORD'!$B$5:$W$1000,3,0),"")</f>
        <v/>
      </c>
      <c r="D197" s="37" t="str">
        <f>IFERROR(VLOOKUP(B197,'MASTER RECORD'!$B$5:$W$1000,2,0),"")</f>
        <v/>
      </c>
      <c r="E197" s="9"/>
      <c r="F197" s="9"/>
      <c r="G197" s="8"/>
      <c r="H197" s="37" t="str">
        <f t="shared" si="7"/>
        <v/>
      </c>
      <c r="I197" s="37" t="str">
        <f t="shared" si="8"/>
        <v/>
      </c>
      <c r="J197" s="7"/>
    </row>
    <row r="198" spans="1:10">
      <c r="A198" s="6">
        <f t="shared" si="6"/>
        <v>193</v>
      </c>
      <c r="B198" s="7"/>
      <c r="C198" s="37" t="str">
        <f>IFERROR(VLOOKUP(B198,'MASTER RECORD'!$B$5:$W$1000,3,0),"")</f>
        <v/>
      </c>
      <c r="D198" s="37" t="str">
        <f>IFERROR(VLOOKUP(B198,'MASTER RECORD'!$B$5:$W$1000,2,0),"")</f>
        <v/>
      </c>
      <c r="E198" s="9"/>
      <c r="F198" s="9"/>
      <c r="G198" s="8"/>
      <c r="H198" s="37" t="str">
        <f t="shared" si="7"/>
        <v/>
      </c>
      <c r="I198" s="37" t="str">
        <f t="shared" si="8"/>
        <v/>
      </c>
      <c r="J198" s="7"/>
    </row>
    <row r="199" spans="1:10">
      <c r="A199" s="6">
        <f t="shared" ref="A199:A262" si="9">ROW(A194)</f>
        <v>194</v>
      </c>
      <c r="B199" s="7"/>
      <c r="C199" s="37" t="str">
        <f>IFERROR(VLOOKUP(B199,'MASTER RECORD'!$B$5:$W$1000,3,0),"")</f>
        <v/>
      </c>
      <c r="D199" s="37" t="str">
        <f>IFERROR(VLOOKUP(B199,'MASTER RECORD'!$B$5:$W$1000,2,0),"")</f>
        <v/>
      </c>
      <c r="E199" s="9"/>
      <c r="F199" s="9"/>
      <c r="G199" s="8"/>
      <c r="H199" s="37" t="str">
        <f t="shared" ref="H199:H262" si="10">IF(G199=0,"",TEXT(G199,"mmmm"))</f>
        <v/>
      </c>
      <c r="I199" s="37" t="str">
        <f t="shared" ref="I199:I262" si="11">IF(G199=0,"",TEXT(G199,"yyyy"))</f>
        <v/>
      </c>
      <c r="J199" s="7"/>
    </row>
    <row r="200" spans="1:10">
      <c r="A200" s="6">
        <f t="shared" si="9"/>
        <v>195</v>
      </c>
      <c r="B200" s="7"/>
      <c r="C200" s="37" t="str">
        <f>IFERROR(VLOOKUP(B200,'MASTER RECORD'!$B$5:$W$1000,3,0),"")</f>
        <v/>
      </c>
      <c r="D200" s="37" t="str">
        <f>IFERROR(VLOOKUP(B200,'MASTER RECORD'!$B$5:$W$1000,2,0),"")</f>
        <v/>
      </c>
      <c r="E200" s="9"/>
      <c r="F200" s="9"/>
      <c r="G200" s="8"/>
      <c r="H200" s="37" t="str">
        <f t="shared" si="10"/>
        <v/>
      </c>
      <c r="I200" s="37" t="str">
        <f t="shared" si="11"/>
        <v/>
      </c>
      <c r="J200" s="7"/>
    </row>
    <row r="201" spans="1:10">
      <c r="A201" s="6">
        <f t="shared" si="9"/>
        <v>196</v>
      </c>
      <c r="B201" s="7"/>
      <c r="C201" s="37" t="str">
        <f>IFERROR(VLOOKUP(B201,'MASTER RECORD'!$B$5:$W$1000,3,0),"")</f>
        <v/>
      </c>
      <c r="D201" s="37" t="str">
        <f>IFERROR(VLOOKUP(B201,'MASTER RECORD'!$B$5:$W$1000,2,0),"")</f>
        <v/>
      </c>
      <c r="E201" s="9"/>
      <c r="F201" s="9"/>
      <c r="G201" s="8"/>
      <c r="H201" s="37" t="str">
        <f t="shared" si="10"/>
        <v/>
      </c>
      <c r="I201" s="37" t="str">
        <f t="shared" si="11"/>
        <v/>
      </c>
      <c r="J201" s="7"/>
    </row>
    <row r="202" spans="1:10">
      <c r="A202" s="6">
        <f t="shared" si="9"/>
        <v>197</v>
      </c>
      <c r="B202" s="7"/>
      <c r="C202" s="37" t="str">
        <f>IFERROR(VLOOKUP(B202,'MASTER RECORD'!$B$5:$W$1000,3,0),"")</f>
        <v/>
      </c>
      <c r="D202" s="37" t="str">
        <f>IFERROR(VLOOKUP(B202,'MASTER RECORD'!$B$5:$W$1000,2,0),"")</f>
        <v/>
      </c>
      <c r="E202" s="9"/>
      <c r="F202" s="9"/>
      <c r="G202" s="8"/>
      <c r="H202" s="37" t="str">
        <f t="shared" si="10"/>
        <v/>
      </c>
      <c r="I202" s="37" t="str">
        <f t="shared" si="11"/>
        <v/>
      </c>
      <c r="J202" s="7"/>
    </row>
    <row r="203" spans="1:10">
      <c r="A203" s="6">
        <f t="shared" si="9"/>
        <v>198</v>
      </c>
      <c r="B203" s="7"/>
      <c r="C203" s="37" t="str">
        <f>IFERROR(VLOOKUP(B203,'MASTER RECORD'!$B$5:$W$1000,3,0),"")</f>
        <v/>
      </c>
      <c r="D203" s="37" t="str">
        <f>IFERROR(VLOOKUP(B203,'MASTER RECORD'!$B$5:$W$1000,2,0),"")</f>
        <v/>
      </c>
      <c r="E203" s="9"/>
      <c r="F203" s="9"/>
      <c r="G203" s="8"/>
      <c r="H203" s="37" t="str">
        <f t="shared" si="10"/>
        <v/>
      </c>
      <c r="I203" s="37" t="str">
        <f t="shared" si="11"/>
        <v/>
      </c>
      <c r="J203" s="7"/>
    </row>
    <row r="204" spans="1:10">
      <c r="A204" s="6">
        <f t="shared" si="9"/>
        <v>199</v>
      </c>
      <c r="B204" s="7"/>
      <c r="C204" s="37" t="str">
        <f>IFERROR(VLOOKUP(B204,'MASTER RECORD'!$B$5:$W$1000,3,0),"")</f>
        <v/>
      </c>
      <c r="D204" s="37" t="str">
        <f>IFERROR(VLOOKUP(B204,'MASTER RECORD'!$B$5:$W$1000,2,0),"")</f>
        <v/>
      </c>
      <c r="E204" s="9"/>
      <c r="F204" s="9"/>
      <c r="G204" s="8"/>
      <c r="H204" s="37" t="str">
        <f t="shared" si="10"/>
        <v/>
      </c>
      <c r="I204" s="37" t="str">
        <f t="shared" si="11"/>
        <v/>
      </c>
      <c r="J204" s="7"/>
    </row>
    <row r="205" spans="1:10">
      <c r="A205" s="6">
        <f t="shared" si="9"/>
        <v>200</v>
      </c>
      <c r="B205" s="7"/>
      <c r="C205" s="37" t="str">
        <f>IFERROR(VLOOKUP(B205,'MASTER RECORD'!$B$5:$W$1000,3,0),"")</f>
        <v/>
      </c>
      <c r="D205" s="37" t="str">
        <f>IFERROR(VLOOKUP(B205,'MASTER RECORD'!$B$5:$W$1000,2,0),"")</f>
        <v/>
      </c>
      <c r="E205" s="9"/>
      <c r="F205" s="9"/>
      <c r="G205" s="8"/>
      <c r="H205" s="37" t="str">
        <f t="shared" si="10"/>
        <v/>
      </c>
      <c r="I205" s="37" t="str">
        <f t="shared" si="11"/>
        <v/>
      </c>
      <c r="J205" s="7"/>
    </row>
    <row r="206" spans="1:10">
      <c r="A206" s="6">
        <f t="shared" si="9"/>
        <v>201</v>
      </c>
      <c r="B206" s="7"/>
      <c r="C206" s="37" t="str">
        <f>IFERROR(VLOOKUP(B206,'MASTER RECORD'!$B$5:$W$1000,3,0),"")</f>
        <v/>
      </c>
      <c r="D206" s="37" t="str">
        <f>IFERROR(VLOOKUP(B206,'MASTER RECORD'!$B$5:$W$1000,2,0),"")</f>
        <v/>
      </c>
      <c r="E206" s="9"/>
      <c r="F206" s="9"/>
      <c r="G206" s="8"/>
      <c r="H206" s="37" t="str">
        <f t="shared" si="10"/>
        <v/>
      </c>
      <c r="I206" s="37" t="str">
        <f t="shared" si="11"/>
        <v/>
      </c>
      <c r="J206" s="7"/>
    </row>
    <row r="207" spans="1:10">
      <c r="A207" s="6">
        <f t="shared" si="9"/>
        <v>202</v>
      </c>
      <c r="B207" s="7"/>
      <c r="C207" s="37" t="str">
        <f>IFERROR(VLOOKUP(B207,'MASTER RECORD'!$B$5:$W$1000,3,0),"")</f>
        <v/>
      </c>
      <c r="D207" s="37" t="str">
        <f>IFERROR(VLOOKUP(B207,'MASTER RECORD'!$B$5:$W$1000,2,0),"")</f>
        <v/>
      </c>
      <c r="E207" s="9"/>
      <c r="F207" s="9"/>
      <c r="G207" s="8"/>
      <c r="H207" s="37" t="str">
        <f t="shared" si="10"/>
        <v/>
      </c>
      <c r="I207" s="37" t="str">
        <f t="shared" si="11"/>
        <v/>
      </c>
      <c r="J207" s="7"/>
    </row>
    <row r="208" spans="1:10">
      <c r="A208" s="6">
        <f t="shared" si="9"/>
        <v>203</v>
      </c>
      <c r="B208" s="7"/>
      <c r="C208" s="37" t="str">
        <f>IFERROR(VLOOKUP(B208,'MASTER RECORD'!$B$5:$W$1000,3,0),"")</f>
        <v/>
      </c>
      <c r="D208" s="37" t="str">
        <f>IFERROR(VLOOKUP(B208,'MASTER RECORD'!$B$5:$W$1000,2,0),"")</f>
        <v/>
      </c>
      <c r="E208" s="9"/>
      <c r="F208" s="9"/>
      <c r="G208" s="8"/>
      <c r="H208" s="37" t="str">
        <f t="shared" si="10"/>
        <v/>
      </c>
      <c r="I208" s="37" t="str">
        <f t="shared" si="11"/>
        <v/>
      </c>
      <c r="J208" s="7"/>
    </row>
    <row r="209" spans="1:10">
      <c r="A209" s="6">
        <f t="shared" si="9"/>
        <v>204</v>
      </c>
      <c r="B209" s="7"/>
      <c r="C209" s="37" t="str">
        <f>IFERROR(VLOOKUP(B209,'MASTER RECORD'!$B$5:$W$1000,3,0),"")</f>
        <v/>
      </c>
      <c r="D209" s="37" t="str">
        <f>IFERROR(VLOOKUP(B209,'MASTER RECORD'!$B$5:$W$1000,2,0),"")</f>
        <v/>
      </c>
      <c r="E209" s="9"/>
      <c r="F209" s="9"/>
      <c r="G209" s="8"/>
      <c r="H209" s="37" t="str">
        <f t="shared" si="10"/>
        <v/>
      </c>
      <c r="I209" s="37" t="str">
        <f t="shared" si="11"/>
        <v/>
      </c>
      <c r="J209" s="7"/>
    </row>
    <row r="210" spans="1:10">
      <c r="A210" s="6">
        <f t="shared" si="9"/>
        <v>205</v>
      </c>
      <c r="B210" s="7"/>
      <c r="C210" s="37" t="str">
        <f>IFERROR(VLOOKUP(B210,'MASTER RECORD'!$B$5:$W$1000,3,0),"")</f>
        <v/>
      </c>
      <c r="D210" s="37" t="str">
        <f>IFERROR(VLOOKUP(B210,'MASTER RECORD'!$B$5:$W$1000,2,0),"")</f>
        <v/>
      </c>
      <c r="E210" s="9"/>
      <c r="F210" s="9"/>
      <c r="G210" s="8"/>
      <c r="H210" s="37" t="str">
        <f t="shared" si="10"/>
        <v/>
      </c>
      <c r="I210" s="37" t="str">
        <f t="shared" si="11"/>
        <v/>
      </c>
      <c r="J210" s="7"/>
    </row>
    <row r="211" spans="1:10">
      <c r="A211" s="6">
        <f t="shared" si="9"/>
        <v>206</v>
      </c>
      <c r="B211" s="7"/>
      <c r="C211" s="37" t="str">
        <f>IFERROR(VLOOKUP(B211,'MASTER RECORD'!$B$5:$W$1000,3,0),"")</f>
        <v/>
      </c>
      <c r="D211" s="37" t="str">
        <f>IFERROR(VLOOKUP(B211,'MASTER RECORD'!$B$5:$W$1000,2,0),"")</f>
        <v/>
      </c>
      <c r="E211" s="9"/>
      <c r="F211" s="9"/>
      <c r="G211" s="8"/>
      <c r="H211" s="37" t="str">
        <f t="shared" si="10"/>
        <v/>
      </c>
      <c r="I211" s="37" t="str">
        <f t="shared" si="11"/>
        <v/>
      </c>
      <c r="J211" s="7"/>
    </row>
    <row r="212" spans="1:10">
      <c r="A212" s="6">
        <f t="shared" si="9"/>
        <v>207</v>
      </c>
      <c r="B212" s="7"/>
      <c r="C212" s="37" t="str">
        <f>IFERROR(VLOOKUP(B212,'MASTER RECORD'!$B$5:$W$1000,3,0),"")</f>
        <v/>
      </c>
      <c r="D212" s="37" t="str">
        <f>IFERROR(VLOOKUP(B212,'MASTER RECORD'!$B$5:$W$1000,2,0),"")</f>
        <v/>
      </c>
      <c r="E212" s="9"/>
      <c r="F212" s="9"/>
      <c r="G212" s="8"/>
      <c r="H212" s="37" t="str">
        <f t="shared" si="10"/>
        <v/>
      </c>
      <c r="I212" s="37" t="str">
        <f t="shared" si="11"/>
        <v/>
      </c>
      <c r="J212" s="7"/>
    </row>
    <row r="213" spans="1:10">
      <c r="A213" s="6">
        <f t="shared" si="9"/>
        <v>208</v>
      </c>
      <c r="B213" s="7"/>
      <c r="C213" s="37" t="str">
        <f>IFERROR(VLOOKUP(B213,'MASTER RECORD'!$B$5:$W$1000,3,0),"")</f>
        <v/>
      </c>
      <c r="D213" s="37" t="str">
        <f>IFERROR(VLOOKUP(B213,'MASTER RECORD'!$B$5:$W$1000,2,0),"")</f>
        <v/>
      </c>
      <c r="E213" s="9"/>
      <c r="F213" s="9"/>
      <c r="G213" s="8"/>
      <c r="H213" s="37" t="str">
        <f t="shared" si="10"/>
        <v/>
      </c>
      <c r="I213" s="37" t="str">
        <f t="shared" si="11"/>
        <v/>
      </c>
      <c r="J213" s="7"/>
    </row>
    <row r="214" spans="1:10">
      <c r="A214" s="6">
        <f t="shared" si="9"/>
        <v>209</v>
      </c>
      <c r="B214" s="7"/>
      <c r="C214" s="37" t="str">
        <f>IFERROR(VLOOKUP(B214,'MASTER RECORD'!$B$5:$W$1000,3,0),"")</f>
        <v/>
      </c>
      <c r="D214" s="37" t="str">
        <f>IFERROR(VLOOKUP(B214,'MASTER RECORD'!$B$5:$W$1000,2,0),"")</f>
        <v/>
      </c>
      <c r="E214" s="9"/>
      <c r="F214" s="9"/>
      <c r="G214" s="8"/>
      <c r="H214" s="37" t="str">
        <f t="shared" si="10"/>
        <v/>
      </c>
      <c r="I214" s="37" t="str">
        <f t="shared" si="11"/>
        <v/>
      </c>
      <c r="J214" s="7"/>
    </row>
    <row r="215" spans="1:10">
      <c r="A215" s="6">
        <f t="shared" si="9"/>
        <v>210</v>
      </c>
      <c r="B215" s="7"/>
      <c r="C215" s="37" t="str">
        <f>IFERROR(VLOOKUP(B215,'MASTER RECORD'!$B$5:$W$1000,3,0),"")</f>
        <v/>
      </c>
      <c r="D215" s="37" t="str">
        <f>IFERROR(VLOOKUP(B215,'MASTER RECORD'!$B$5:$W$1000,2,0),"")</f>
        <v/>
      </c>
      <c r="E215" s="9"/>
      <c r="F215" s="9"/>
      <c r="G215" s="8"/>
      <c r="H215" s="37" t="str">
        <f t="shared" si="10"/>
        <v/>
      </c>
      <c r="I215" s="37" t="str">
        <f t="shared" si="11"/>
        <v/>
      </c>
      <c r="J215" s="7"/>
    </row>
    <row r="216" spans="1:10">
      <c r="A216" s="6">
        <f t="shared" si="9"/>
        <v>211</v>
      </c>
      <c r="B216" s="7"/>
      <c r="C216" s="37" t="str">
        <f>IFERROR(VLOOKUP(B216,'MASTER RECORD'!$B$5:$W$1000,3,0),"")</f>
        <v/>
      </c>
      <c r="D216" s="37" t="str">
        <f>IFERROR(VLOOKUP(B216,'MASTER RECORD'!$B$5:$W$1000,2,0),"")</f>
        <v/>
      </c>
      <c r="E216" s="9"/>
      <c r="F216" s="9"/>
      <c r="G216" s="8"/>
      <c r="H216" s="37" t="str">
        <f t="shared" si="10"/>
        <v/>
      </c>
      <c r="I216" s="37" t="str">
        <f t="shared" si="11"/>
        <v/>
      </c>
      <c r="J216" s="7"/>
    </row>
    <row r="217" spans="1:10">
      <c r="A217" s="6">
        <f t="shared" si="9"/>
        <v>212</v>
      </c>
      <c r="B217" s="7"/>
      <c r="C217" s="37" t="str">
        <f>IFERROR(VLOOKUP(B217,'MASTER RECORD'!$B$5:$W$1000,3,0),"")</f>
        <v/>
      </c>
      <c r="D217" s="37" t="str">
        <f>IFERROR(VLOOKUP(B217,'MASTER RECORD'!$B$5:$W$1000,2,0),"")</f>
        <v/>
      </c>
      <c r="E217" s="9"/>
      <c r="F217" s="9"/>
      <c r="G217" s="8"/>
      <c r="H217" s="37" t="str">
        <f t="shared" si="10"/>
        <v/>
      </c>
      <c r="I217" s="37" t="str">
        <f t="shared" si="11"/>
        <v/>
      </c>
      <c r="J217" s="7"/>
    </row>
    <row r="218" spans="1:10">
      <c r="A218" s="6">
        <f t="shared" si="9"/>
        <v>213</v>
      </c>
      <c r="B218" s="7"/>
      <c r="C218" s="37" t="str">
        <f>IFERROR(VLOOKUP(B218,'MASTER RECORD'!$B$5:$W$1000,3,0),"")</f>
        <v/>
      </c>
      <c r="D218" s="37" t="str">
        <f>IFERROR(VLOOKUP(B218,'MASTER RECORD'!$B$5:$W$1000,2,0),"")</f>
        <v/>
      </c>
      <c r="E218" s="9"/>
      <c r="F218" s="9"/>
      <c r="G218" s="8"/>
      <c r="H218" s="37" t="str">
        <f t="shared" si="10"/>
        <v/>
      </c>
      <c r="I218" s="37" t="str">
        <f t="shared" si="11"/>
        <v/>
      </c>
      <c r="J218" s="7"/>
    </row>
    <row r="219" spans="1:10">
      <c r="A219" s="6">
        <f t="shared" si="9"/>
        <v>214</v>
      </c>
      <c r="B219" s="7"/>
      <c r="C219" s="37" t="str">
        <f>IFERROR(VLOOKUP(B219,'MASTER RECORD'!$B$5:$W$1000,3,0),"")</f>
        <v/>
      </c>
      <c r="D219" s="37" t="str">
        <f>IFERROR(VLOOKUP(B219,'MASTER RECORD'!$B$5:$W$1000,2,0),"")</f>
        <v/>
      </c>
      <c r="E219" s="9"/>
      <c r="F219" s="9"/>
      <c r="G219" s="8"/>
      <c r="H219" s="37" t="str">
        <f t="shared" si="10"/>
        <v/>
      </c>
      <c r="I219" s="37" t="str">
        <f t="shared" si="11"/>
        <v/>
      </c>
      <c r="J219" s="7"/>
    </row>
    <row r="220" spans="1:10">
      <c r="A220" s="6">
        <f t="shared" si="9"/>
        <v>215</v>
      </c>
      <c r="B220" s="7"/>
      <c r="C220" s="37" t="str">
        <f>IFERROR(VLOOKUP(B220,'MASTER RECORD'!$B$5:$W$1000,3,0),"")</f>
        <v/>
      </c>
      <c r="D220" s="37" t="str">
        <f>IFERROR(VLOOKUP(B220,'MASTER RECORD'!$B$5:$W$1000,2,0),"")</f>
        <v/>
      </c>
      <c r="E220" s="9"/>
      <c r="F220" s="9"/>
      <c r="G220" s="8"/>
      <c r="H220" s="37" t="str">
        <f t="shared" si="10"/>
        <v/>
      </c>
      <c r="I220" s="37" t="str">
        <f t="shared" si="11"/>
        <v/>
      </c>
      <c r="J220" s="7"/>
    </row>
    <row r="221" spans="1:10">
      <c r="A221" s="6">
        <f t="shared" si="9"/>
        <v>216</v>
      </c>
      <c r="B221" s="7"/>
      <c r="C221" s="37" t="str">
        <f>IFERROR(VLOOKUP(B221,'MASTER RECORD'!$B$5:$W$1000,3,0),"")</f>
        <v/>
      </c>
      <c r="D221" s="37" t="str">
        <f>IFERROR(VLOOKUP(B221,'MASTER RECORD'!$B$5:$W$1000,2,0),"")</f>
        <v/>
      </c>
      <c r="E221" s="9"/>
      <c r="F221" s="9"/>
      <c r="G221" s="8"/>
      <c r="H221" s="37" t="str">
        <f t="shared" si="10"/>
        <v/>
      </c>
      <c r="I221" s="37" t="str">
        <f t="shared" si="11"/>
        <v/>
      </c>
      <c r="J221" s="7"/>
    </row>
    <row r="222" spans="1:10">
      <c r="A222" s="6">
        <f t="shared" si="9"/>
        <v>217</v>
      </c>
      <c r="B222" s="7"/>
      <c r="C222" s="37" t="str">
        <f>IFERROR(VLOOKUP(B222,'MASTER RECORD'!$B$5:$W$1000,3,0),"")</f>
        <v/>
      </c>
      <c r="D222" s="37" t="str">
        <f>IFERROR(VLOOKUP(B222,'MASTER RECORD'!$B$5:$W$1000,2,0),"")</f>
        <v/>
      </c>
      <c r="E222" s="9"/>
      <c r="F222" s="9"/>
      <c r="G222" s="8"/>
      <c r="H222" s="37" t="str">
        <f t="shared" si="10"/>
        <v/>
      </c>
      <c r="I222" s="37" t="str">
        <f t="shared" si="11"/>
        <v/>
      </c>
      <c r="J222" s="7"/>
    </row>
    <row r="223" spans="1:10">
      <c r="A223" s="6">
        <f t="shared" si="9"/>
        <v>218</v>
      </c>
      <c r="B223" s="7"/>
      <c r="C223" s="37" t="str">
        <f>IFERROR(VLOOKUP(B223,'MASTER RECORD'!$B$5:$W$1000,3,0),"")</f>
        <v/>
      </c>
      <c r="D223" s="37" t="str">
        <f>IFERROR(VLOOKUP(B223,'MASTER RECORD'!$B$5:$W$1000,2,0),"")</f>
        <v/>
      </c>
      <c r="E223" s="9"/>
      <c r="F223" s="9"/>
      <c r="G223" s="8"/>
      <c r="H223" s="37" t="str">
        <f t="shared" si="10"/>
        <v/>
      </c>
      <c r="I223" s="37" t="str">
        <f t="shared" si="11"/>
        <v/>
      </c>
      <c r="J223" s="7"/>
    </row>
    <row r="224" spans="1:10">
      <c r="A224" s="6">
        <f t="shared" si="9"/>
        <v>219</v>
      </c>
      <c r="B224" s="7"/>
      <c r="C224" s="37" t="str">
        <f>IFERROR(VLOOKUP(B224,'MASTER RECORD'!$B$5:$W$1000,3,0),"")</f>
        <v/>
      </c>
      <c r="D224" s="37" t="str">
        <f>IFERROR(VLOOKUP(B224,'MASTER RECORD'!$B$5:$W$1000,2,0),"")</f>
        <v/>
      </c>
      <c r="E224" s="9"/>
      <c r="F224" s="9"/>
      <c r="G224" s="8"/>
      <c r="H224" s="37" t="str">
        <f t="shared" si="10"/>
        <v/>
      </c>
      <c r="I224" s="37" t="str">
        <f t="shared" si="11"/>
        <v/>
      </c>
      <c r="J224" s="7"/>
    </row>
    <row r="225" spans="1:10">
      <c r="A225" s="6">
        <f t="shared" si="9"/>
        <v>220</v>
      </c>
      <c r="B225" s="7"/>
      <c r="C225" s="37" t="str">
        <f>IFERROR(VLOOKUP(B225,'MASTER RECORD'!$B$5:$W$1000,3,0),"")</f>
        <v/>
      </c>
      <c r="D225" s="37" t="str">
        <f>IFERROR(VLOOKUP(B225,'MASTER RECORD'!$B$5:$W$1000,2,0),"")</f>
        <v/>
      </c>
      <c r="E225" s="9"/>
      <c r="F225" s="9"/>
      <c r="G225" s="8"/>
      <c r="H225" s="37" t="str">
        <f t="shared" si="10"/>
        <v/>
      </c>
      <c r="I225" s="37" t="str">
        <f t="shared" si="11"/>
        <v/>
      </c>
      <c r="J225" s="7"/>
    </row>
    <row r="226" spans="1:10">
      <c r="A226" s="6">
        <f t="shared" si="9"/>
        <v>221</v>
      </c>
      <c r="B226" s="7"/>
      <c r="C226" s="37" t="str">
        <f>IFERROR(VLOOKUP(B226,'MASTER RECORD'!$B$5:$W$1000,3,0),"")</f>
        <v/>
      </c>
      <c r="D226" s="37" t="str">
        <f>IFERROR(VLOOKUP(B226,'MASTER RECORD'!$B$5:$W$1000,2,0),"")</f>
        <v/>
      </c>
      <c r="E226" s="9"/>
      <c r="F226" s="9"/>
      <c r="G226" s="8"/>
      <c r="H226" s="37" t="str">
        <f t="shared" si="10"/>
        <v/>
      </c>
      <c r="I226" s="37" t="str">
        <f t="shared" si="11"/>
        <v/>
      </c>
      <c r="J226" s="7"/>
    </row>
    <row r="227" spans="1:10">
      <c r="A227" s="6">
        <f t="shared" si="9"/>
        <v>222</v>
      </c>
      <c r="B227" s="7"/>
      <c r="C227" s="37" t="str">
        <f>IFERROR(VLOOKUP(B227,'MASTER RECORD'!$B$5:$W$1000,3,0),"")</f>
        <v/>
      </c>
      <c r="D227" s="37" t="str">
        <f>IFERROR(VLOOKUP(B227,'MASTER RECORD'!$B$5:$W$1000,2,0),"")</f>
        <v/>
      </c>
      <c r="E227" s="9"/>
      <c r="F227" s="9"/>
      <c r="G227" s="8"/>
      <c r="H227" s="37" t="str">
        <f t="shared" si="10"/>
        <v/>
      </c>
      <c r="I227" s="37" t="str">
        <f t="shared" si="11"/>
        <v/>
      </c>
      <c r="J227" s="7"/>
    </row>
    <row r="228" spans="1:10">
      <c r="A228" s="6">
        <f t="shared" si="9"/>
        <v>223</v>
      </c>
      <c r="B228" s="7"/>
      <c r="C228" s="37" t="str">
        <f>IFERROR(VLOOKUP(B228,'MASTER RECORD'!$B$5:$W$1000,3,0),"")</f>
        <v/>
      </c>
      <c r="D228" s="37" t="str">
        <f>IFERROR(VLOOKUP(B228,'MASTER RECORD'!$B$5:$W$1000,2,0),"")</f>
        <v/>
      </c>
      <c r="E228" s="9"/>
      <c r="F228" s="9"/>
      <c r="G228" s="8"/>
      <c r="H228" s="37" t="str">
        <f t="shared" si="10"/>
        <v/>
      </c>
      <c r="I228" s="37" t="str">
        <f t="shared" si="11"/>
        <v/>
      </c>
      <c r="J228" s="7"/>
    </row>
    <row r="229" spans="1:10">
      <c r="A229" s="6">
        <f t="shared" si="9"/>
        <v>224</v>
      </c>
      <c r="B229" s="7"/>
      <c r="C229" s="37" t="str">
        <f>IFERROR(VLOOKUP(B229,'MASTER RECORD'!$B$5:$W$1000,3,0),"")</f>
        <v/>
      </c>
      <c r="D229" s="37" t="str">
        <f>IFERROR(VLOOKUP(B229,'MASTER RECORD'!$B$5:$W$1000,2,0),"")</f>
        <v/>
      </c>
      <c r="E229" s="9"/>
      <c r="F229" s="9"/>
      <c r="G229" s="8"/>
      <c r="H229" s="37" t="str">
        <f t="shared" si="10"/>
        <v/>
      </c>
      <c r="I229" s="37" t="str">
        <f t="shared" si="11"/>
        <v/>
      </c>
      <c r="J229" s="7"/>
    </row>
    <row r="230" spans="1:10">
      <c r="A230" s="6">
        <f t="shared" si="9"/>
        <v>225</v>
      </c>
      <c r="B230" s="7"/>
      <c r="C230" s="37" t="str">
        <f>IFERROR(VLOOKUP(B230,'MASTER RECORD'!$B$5:$W$1000,3,0),"")</f>
        <v/>
      </c>
      <c r="D230" s="37" t="str">
        <f>IFERROR(VLOOKUP(B230,'MASTER RECORD'!$B$5:$W$1000,2,0),"")</f>
        <v/>
      </c>
      <c r="E230" s="9"/>
      <c r="F230" s="9"/>
      <c r="G230" s="8"/>
      <c r="H230" s="37" t="str">
        <f t="shared" si="10"/>
        <v/>
      </c>
      <c r="I230" s="37" t="str">
        <f t="shared" si="11"/>
        <v/>
      </c>
      <c r="J230" s="7"/>
    </row>
    <row r="231" spans="1:10">
      <c r="A231" s="6">
        <f t="shared" si="9"/>
        <v>226</v>
      </c>
      <c r="B231" s="7"/>
      <c r="C231" s="37" t="str">
        <f>IFERROR(VLOOKUP(B231,'MASTER RECORD'!$B$5:$W$1000,3,0),"")</f>
        <v/>
      </c>
      <c r="D231" s="37" t="str">
        <f>IFERROR(VLOOKUP(B231,'MASTER RECORD'!$B$5:$W$1000,2,0),"")</f>
        <v/>
      </c>
      <c r="E231" s="9"/>
      <c r="F231" s="9"/>
      <c r="G231" s="8"/>
      <c r="H231" s="37" t="str">
        <f t="shared" si="10"/>
        <v/>
      </c>
      <c r="I231" s="37" t="str">
        <f t="shared" si="11"/>
        <v/>
      </c>
      <c r="J231" s="7"/>
    </row>
    <row r="232" spans="1:10">
      <c r="A232" s="6">
        <f t="shared" si="9"/>
        <v>227</v>
      </c>
      <c r="B232" s="7"/>
      <c r="C232" s="37" t="str">
        <f>IFERROR(VLOOKUP(B232,'MASTER RECORD'!$B$5:$W$1000,3,0),"")</f>
        <v/>
      </c>
      <c r="D232" s="37" t="str">
        <f>IFERROR(VLOOKUP(B232,'MASTER RECORD'!$B$5:$W$1000,2,0),"")</f>
        <v/>
      </c>
      <c r="E232" s="9"/>
      <c r="F232" s="9"/>
      <c r="G232" s="8"/>
      <c r="H232" s="37" t="str">
        <f t="shared" si="10"/>
        <v/>
      </c>
      <c r="I232" s="37" t="str">
        <f t="shared" si="11"/>
        <v/>
      </c>
      <c r="J232" s="7"/>
    </row>
    <row r="233" spans="1:10">
      <c r="A233" s="6">
        <f t="shared" si="9"/>
        <v>228</v>
      </c>
      <c r="B233" s="7"/>
      <c r="C233" s="37" t="str">
        <f>IFERROR(VLOOKUP(B233,'MASTER RECORD'!$B$5:$W$1000,3,0),"")</f>
        <v/>
      </c>
      <c r="D233" s="37" t="str">
        <f>IFERROR(VLOOKUP(B233,'MASTER RECORD'!$B$5:$W$1000,2,0),"")</f>
        <v/>
      </c>
      <c r="E233" s="9"/>
      <c r="F233" s="9"/>
      <c r="G233" s="8"/>
      <c r="H233" s="37" t="str">
        <f t="shared" si="10"/>
        <v/>
      </c>
      <c r="I233" s="37" t="str">
        <f t="shared" si="11"/>
        <v/>
      </c>
      <c r="J233" s="7"/>
    </row>
    <row r="234" spans="1:10">
      <c r="A234" s="6">
        <f t="shared" si="9"/>
        <v>229</v>
      </c>
      <c r="B234" s="7"/>
      <c r="C234" s="37" t="str">
        <f>IFERROR(VLOOKUP(B234,'MASTER RECORD'!$B$5:$W$1000,3,0),"")</f>
        <v/>
      </c>
      <c r="D234" s="37" t="str">
        <f>IFERROR(VLOOKUP(B234,'MASTER RECORD'!$B$5:$W$1000,2,0),"")</f>
        <v/>
      </c>
      <c r="E234" s="9"/>
      <c r="F234" s="9"/>
      <c r="G234" s="8"/>
      <c r="H234" s="37" t="str">
        <f t="shared" si="10"/>
        <v/>
      </c>
      <c r="I234" s="37" t="str">
        <f t="shared" si="11"/>
        <v/>
      </c>
      <c r="J234" s="7"/>
    </row>
    <row r="235" spans="1:10">
      <c r="A235" s="6">
        <f t="shared" si="9"/>
        <v>230</v>
      </c>
      <c r="B235" s="7"/>
      <c r="C235" s="37" t="str">
        <f>IFERROR(VLOOKUP(B235,'MASTER RECORD'!$B$5:$W$1000,3,0),"")</f>
        <v/>
      </c>
      <c r="D235" s="37" t="str">
        <f>IFERROR(VLOOKUP(B235,'MASTER RECORD'!$B$5:$W$1000,2,0),"")</f>
        <v/>
      </c>
      <c r="E235" s="9"/>
      <c r="F235" s="9"/>
      <c r="G235" s="8"/>
      <c r="H235" s="37" t="str">
        <f t="shared" si="10"/>
        <v/>
      </c>
      <c r="I235" s="37" t="str">
        <f t="shared" si="11"/>
        <v/>
      </c>
      <c r="J235" s="7"/>
    </row>
    <row r="236" spans="1:10">
      <c r="A236" s="6">
        <f t="shared" si="9"/>
        <v>231</v>
      </c>
      <c r="B236" s="7"/>
      <c r="C236" s="37" t="str">
        <f>IFERROR(VLOOKUP(B236,'MASTER RECORD'!$B$5:$W$1000,3,0),"")</f>
        <v/>
      </c>
      <c r="D236" s="37" t="str">
        <f>IFERROR(VLOOKUP(B236,'MASTER RECORD'!$B$5:$W$1000,2,0),"")</f>
        <v/>
      </c>
      <c r="E236" s="9"/>
      <c r="F236" s="9"/>
      <c r="G236" s="8"/>
      <c r="H236" s="37" t="str">
        <f t="shared" si="10"/>
        <v/>
      </c>
      <c r="I236" s="37" t="str">
        <f t="shared" si="11"/>
        <v/>
      </c>
      <c r="J236" s="7"/>
    </row>
    <row r="237" spans="1:10">
      <c r="A237" s="6">
        <f t="shared" si="9"/>
        <v>232</v>
      </c>
      <c r="B237" s="7"/>
      <c r="C237" s="37" t="str">
        <f>IFERROR(VLOOKUP(B237,'MASTER RECORD'!$B$5:$W$1000,3,0),"")</f>
        <v/>
      </c>
      <c r="D237" s="37" t="str">
        <f>IFERROR(VLOOKUP(B237,'MASTER RECORD'!$B$5:$W$1000,2,0),"")</f>
        <v/>
      </c>
      <c r="E237" s="9"/>
      <c r="F237" s="9"/>
      <c r="G237" s="8"/>
      <c r="H237" s="37" t="str">
        <f t="shared" si="10"/>
        <v/>
      </c>
      <c r="I237" s="37" t="str">
        <f t="shared" si="11"/>
        <v/>
      </c>
      <c r="J237" s="7"/>
    </row>
    <row r="238" spans="1:10">
      <c r="A238" s="6">
        <f t="shared" si="9"/>
        <v>233</v>
      </c>
      <c r="B238" s="7"/>
      <c r="C238" s="37" t="str">
        <f>IFERROR(VLOOKUP(B238,'MASTER RECORD'!$B$5:$W$1000,3,0),"")</f>
        <v/>
      </c>
      <c r="D238" s="37" t="str">
        <f>IFERROR(VLOOKUP(B238,'MASTER RECORD'!$B$5:$W$1000,2,0),"")</f>
        <v/>
      </c>
      <c r="E238" s="9"/>
      <c r="F238" s="9"/>
      <c r="G238" s="8"/>
      <c r="H238" s="37" t="str">
        <f t="shared" si="10"/>
        <v/>
      </c>
      <c r="I238" s="37" t="str">
        <f t="shared" si="11"/>
        <v/>
      </c>
      <c r="J238" s="7"/>
    </row>
    <row r="239" spans="1:10">
      <c r="A239" s="6">
        <f t="shared" si="9"/>
        <v>234</v>
      </c>
      <c r="B239" s="7"/>
      <c r="C239" s="37" t="str">
        <f>IFERROR(VLOOKUP(B239,'MASTER RECORD'!$B$5:$W$1000,3,0),"")</f>
        <v/>
      </c>
      <c r="D239" s="37" t="str">
        <f>IFERROR(VLOOKUP(B239,'MASTER RECORD'!$B$5:$W$1000,2,0),"")</f>
        <v/>
      </c>
      <c r="E239" s="9"/>
      <c r="F239" s="9"/>
      <c r="G239" s="8"/>
      <c r="H239" s="37" t="str">
        <f t="shared" si="10"/>
        <v/>
      </c>
      <c r="I239" s="37" t="str">
        <f t="shared" si="11"/>
        <v/>
      </c>
      <c r="J239" s="7"/>
    </row>
    <row r="240" spans="1:10">
      <c r="A240" s="6">
        <f t="shared" si="9"/>
        <v>235</v>
      </c>
      <c r="B240" s="7"/>
      <c r="C240" s="37" t="str">
        <f>IFERROR(VLOOKUP(B240,'MASTER RECORD'!$B$5:$W$1000,3,0),"")</f>
        <v/>
      </c>
      <c r="D240" s="37" t="str">
        <f>IFERROR(VLOOKUP(B240,'MASTER RECORD'!$B$5:$W$1000,2,0),"")</f>
        <v/>
      </c>
      <c r="E240" s="9"/>
      <c r="F240" s="9"/>
      <c r="G240" s="8"/>
      <c r="H240" s="37" t="str">
        <f t="shared" si="10"/>
        <v/>
      </c>
      <c r="I240" s="37" t="str">
        <f t="shared" si="11"/>
        <v/>
      </c>
      <c r="J240" s="7"/>
    </row>
    <row r="241" spans="1:10">
      <c r="A241" s="6">
        <f t="shared" si="9"/>
        <v>236</v>
      </c>
      <c r="B241" s="7"/>
      <c r="C241" s="37" t="str">
        <f>IFERROR(VLOOKUP(B241,'MASTER RECORD'!$B$5:$W$1000,3,0),"")</f>
        <v/>
      </c>
      <c r="D241" s="37" t="str">
        <f>IFERROR(VLOOKUP(B241,'MASTER RECORD'!$B$5:$W$1000,2,0),"")</f>
        <v/>
      </c>
      <c r="E241" s="9"/>
      <c r="F241" s="9"/>
      <c r="G241" s="8"/>
      <c r="H241" s="37" t="str">
        <f t="shared" si="10"/>
        <v/>
      </c>
      <c r="I241" s="37" t="str">
        <f t="shared" si="11"/>
        <v/>
      </c>
      <c r="J241" s="7"/>
    </row>
    <row r="242" spans="1:10">
      <c r="A242" s="6">
        <f t="shared" si="9"/>
        <v>237</v>
      </c>
      <c r="B242" s="7"/>
      <c r="C242" s="37" t="str">
        <f>IFERROR(VLOOKUP(B242,'MASTER RECORD'!$B$5:$W$1000,3,0),"")</f>
        <v/>
      </c>
      <c r="D242" s="37" t="str">
        <f>IFERROR(VLOOKUP(B242,'MASTER RECORD'!$B$5:$W$1000,2,0),"")</f>
        <v/>
      </c>
      <c r="E242" s="9"/>
      <c r="F242" s="9"/>
      <c r="G242" s="8"/>
      <c r="H242" s="37" t="str">
        <f t="shared" si="10"/>
        <v/>
      </c>
      <c r="I242" s="37" t="str">
        <f t="shared" si="11"/>
        <v/>
      </c>
      <c r="J242" s="7"/>
    </row>
    <row r="243" spans="1:10">
      <c r="A243" s="6">
        <f t="shared" si="9"/>
        <v>238</v>
      </c>
      <c r="B243" s="7"/>
      <c r="C243" s="37" t="str">
        <f>IFERROR(VLOOKUP(B243,'MASTER RECORD'!$B$5:$W$1000,3,0),"")</f>
        <v/>
      </c>
      <c r="D243" s="37" t="str">
        <f>IFERROR(VLOOKUP(B243,'MASTER RECORD'!$B$5:$W$1000,2,0),"")</f>
        <v/>
      </c>
      <c r="E243" s="9"/>
      <c r="F243" s="9"/>
      <c r="G243" s="8"/>
      <c r="H243" s="37" t="str">
        <f t="shared" si="10"/>
        <v/>
      </c>
      <c r="I243" s="37" t="str">
        <f t="shared" si="11"/>
        <v/>
      </c>
      <c r="J243" s="7"/>
    </row>
    <row r="244" spans="1:10">
      <c r="A244" s="6">
        <f t="shared" si="9"/>
        <v>239</v>
      </c>
      <c r="B244" s="7"/>
      <c r="C244" s="37" t="str">
        <f>IFERROR(VLOOKUP(B244,'MASTER RECORD'!$B$5:$W$1000,3,0),"")</f>
        <v/>
      </c>
      <c r="D244" s="37" t="str">
        <f>IFERROR(VLOOKUP(B244,'MASTER RECORD'!$B$5:$W$1000,2,0),"")</f>
        <v/>
      </c>
      <c r="E244" s="9"/>
      <c r="F244" s="9"/>
      <c r="G244" s="8"/>
      <c r="H244" s="37" t="str">
        <f t="shared" si="10"/>
        <v/>
      </c>
      <c r="I244" s="37" t="str">
        <f t="shared" si="11"/>
        <v/>
      </c>
      <c r="J244" s="7"/>
    </row>
    <row r="245" spans="1:10">
      <c r="A245" s="6">
        <f t="shared" si="9"/>
        <v>240</v>
      </c>
      <c r="B245" s="7"/>
      <c r="C245" s="37" t="str">
        <f>IFERROR(VLOOKUP(B245,'MASTER RECORD'!$B$5:$W$1000,3,0),"")</f>
        <v/>
      </c>
      <c r="D245" s="37" t="str">
        <f>IFERROR(VLOOKUP(B245,'MASTER RECORD'!$B$5:$W$1000,2,0),"")</f>
        <v/>
      </c>
      <c r="E245" s="9"/>
      <c r="F245" s="9"/>
      <c r="G245" s="8"/>
      <c r="H245" s="37" t="str">
        <f t="shared" si="10"/>
        <v/>
      </c>
      <c r="I245" s="37" t="str">
        <f t="shared" si="11"/>
        <v/>
      </c>
      <c r="J245" s="7"/>
    </row>
    <row r="246" spans="1:10">
      <c r="A246" s="6">
        <f t="shared" si="9"/>
        <v>241</v>
      </c>
      <c r="B246" s="7"/>
      <c r="C246" s="37" t="str">
        <f>IFERROR(VLOOKUP(B246,'MASTER RECORD'!$B$5:$W$1000,3,0),"")</f>
        <v/>
      </c>
      <c r="D246" s="37" t="str">
        <f>IFERROR(VLOOKUP(B246,'MASTER RECORD'!$B$5:$W$1000,2,0),"")</f>
        <v/>
      </c>
      <c r="E246" s="9"/>
      <c r="F246" s="9"/>
      <c r="G246" s="8"/>
      <c r="H246" s="37" t="str">
        <f t="shared" si="10"/>
        <v/>
      </c>
      <c r="I246" s="37" t="str">
        <f t="shared" si="11"/>
        <v/>
      </c>
      <c r="J246" s="7"/>
    </row>
    <row r="247" spans="1:10">
      <c r="A247" s="6">
        <f t="shared" si="9"/>
        <v>242</v>
      </c>
      <c r="B247" s="7"/>
      <c r="C247" s="37" t="str">
        <f>IFERROR(VLOOKUP(B247,'MASTER RECORD'!$B$5:$W$1000,3,0),"")</f>
        <v/>
      </c>
      <c r="D247" s="37" t="str">
        <f>IFERROR(VLOOKUP(B247,'MASTER RECORD'!$B$5:$W$1000,2,0),"")</f>
        <v/>
      </c>
      <c r="E247" s="9"/>
      <c r="F247" s="9"/>
      <c r="G247" s="8"/>
      <c r="H247" s="37" t="str">
        <f t="shared" si="10"/>
        <v/>
      </c>
      <c r="I247" s="37" t="str">
        <f t="shared" si="11"/>
        <v/>
      </c>
      <c r="J247" s="7"/>
    </row>
    <row r="248" spans="1:10">
      <c r="A248" s="6">
        <f t="shared" si="9"/>
        <v>243</v>
      </c>
      <c r="B248" s="7"/>
      <c r="C248" s="37" t="str">
        <f>IFERROR(VLOOKUP(B248,'MASTER RECORD'!$B$5:$W$1000,3,0),"")</f>
        <v/>
      </c>
      <c r="D248" s="37" t="str">
        <f>IFERROR(VLOOKUP(B248,'MASTER RECORD'!$B$5:$W$1000,2,0),"")</f>
        <v/>
      </c>
      <c r="E248" s="9"/>
      <c r="F248" s="9"/>
      <c r="G248" s="8"/>
      <c r="H248" s="37" t="str">
        <f t="shared" si="10"/>
        <v/>
      </c>
      <c r="I248" s="37" t="str">
        <f t="shared" si="11"/>
        <v/>
      </c>
      <c r="J248" s="7"/>
    </row>
    <row r="249" spans="1:10">
      <c r="A249" s="6">
        <f t="shared" si="9"/>
        <v>244</v>
      </c>
      <c r="B249" s="7"/>
      <c r="C249" s="37" t="str">
        <f>IFERROR(VLOOKUP(B249,'MASTER RECORD'!$B$5:$W$1000,3,0),"")</f>
        <v/>
      </c>
      <c r="D249" s="37" t="str">
        <f>IFERROR(VLOOKUP(B249,'MASTER RECORD'!$B$5:$W$1000,2,0),"")</f>
        <v/>
      </c>
      <c r="E249" s="9"/>
      <c r="F249" s="9"/>
      <c r="G249" s="8"/>
      <c r="H249" s="37" t="str">
        <f t="shared" si="10"/>
        <v/>
      </c>
      <c r="I249" s="37" t="str">
        <f t="shared" si="11"/>
        <v/>
      </c>
      <c r="J249" s="7"/>
    </row>
    <row r="250" spans="1:10">
      <c r="A250" s="6">
        <f t="shared" si="9"/>
        <v>245</v>
      </c>
      <c r="B250" s="7"/>
      <c r="C250" s="37" t="str">
        <f>IFERROR(VLOOKUP(B250,'MASTER RECORD'!$B$5:$W$1000,3,0),"")</f>
        <v/>
      </c>
      <c r="D250" s="37" t="str">
        <f>IFERROR(VLOOKUP(B250,'MASTER RECORD'!$B$5:$W$1000,2,0),"")</f>
        <v/>
      </c>
      <c r="E250" s="9"/>
      <c r="F250" s="9"/>
      <c r="G250" s="8"/>
      <c r="H250" s="37" t="str">
        <f t="shared" si="10"/>
        <v/>
      </c>
      <c r="I250" s="37" t="str">
        <f t="shared" si="11"/>
        <v/>
      </c>
      <c r="J250" s="7"/>
    </row>
    <row r="251" spans="1:10">
      <c r="A251" s="6">
        <f t="shared" si="9"/>
        <v>246</v>
      </c>
      <c r="B251" s="7"/>
      <c r="C251" s="37" t="str">
        <f>IFERROR(VLOOKUP(B251,'MASTER RECORD'!$B$5:$W$1000,3,0),"")</f>
        <v/>
      </c>
      <c r="D251" s="37" t="str">
        <f>IFERROR(VLOOKUP(B251,'MASTER RECORD'!$B$5:$W$1000,2,0),"")</f>
        <v/>
      </c>
      <c r="E251" s="9"/>
      <c r="F251" s="9"/>
      <c r="G251" s="8"/>
      <c r="H251" s="37" t="str">
        <f t="shared" si="10"/>
        <v/>
      </c>
      <c r="I251" s="37" t="str">
        <f t="shared" si="11"/>
        <v/>
      </c>
      <c r="J251" s="7"/>
    </row>
    <row r="252" spans="1:10">
      <c r="A252" s="6">
        <f t="shared" si="9"/>
        <v>247</v>
      </c>
      <c r="B252" s="7"/>
      <c r="C252" s="37" t="str">
        <f>IFERROR(VLOOKUP(B252,'MASTER RECORD'!$B$5:$W$1000,3,0),"")</f>
        <v/>
      </c>
      <c r="D252" s="37" t="str">
        <f>IFERROR(VLOOKUP(B252,'MASTER RECORD'!$B$5:$W$1000,2,0),"")</f>
        <v/>
      </c>
      <c r="E252" s="9"/>
      <c r="F252" s="9"/>
      <c r="G252" s="8"/>
      <c r="H252" s="37" t="str">
        <f t="shared" si="10"/>
        <v/>
      </c>
      <c r="I252" s="37" t="str">
        <f t="shared" si="11"/>
        <v/>
      </c>
      <c r="J252" s="7"/>
    </row>
    <row r="253" spans="1:10">
      <c r="A253" s="6">
        <f t="shared" si="9"/>
        <v>248</v>
      </c>
      <c r="B253" s="7"/>
      <c r="C253" s="37" t="str">
        <f>IFERROR(VLOOKUP(B253,'MASTER RECORD'!$B$5:$W$1000,3,0),"")</f>
        <v/>
      </c>
      <c r="D253" s="37" t="str">
        <f>IFERROR(VLOOKUP(B253,'MASTER RECORD'!$B$5:$W$1000,2,0),"")</f>
        <v/>
      </c>
      <c r="E253" s="9"/>
      <c r="F253" s="9"/>
      <c r="G253" s="8"/>
      <c r="H253" s="37" t="str">
        <f t="shared" si="10"/>
        <v/>
      </c>
      <c r="I253" s="37" t="str">
        <f t="shared" si="11"/>
        <v/>
      </c>
      <c r="J253" s="7"/>
    </row>
    <row r="254" spans="1:10">
      <c r="A254" s="6">
        <f t="shared" si="9"/>
        <v>249</v>
      </c>
      <c r="B254" s="7"/>
      <c r="C254" s="37" t="str">
        <f>IFERROR(VLOOKUP(B254,'MASTER RECORD'!$B$5:$W$1000,3,0),"")</f>
        <v/>
      </c>
      <c r="D254" s="37" t="str">
        <f>IFERROR(VLOOKUP(B254,'MASTER RECORD'!$B$5:$W$1000,2,0),"")</f>
        <v/>
      </c>
      <c r="E254" s="9"/>
      <c r="F254" s="9"/>
      <c r="G254" s="8"/>
      <c r="H254" s="37" t="str">
        <f t="shared" si="10"/>
        <v/>
      </c>
      <c r="I254" s="37" t="str">
        <f t="shared" si="11"/>
        <v/>
      </c>
      <c r="J254" s="7"/>
    </row>
    <row r="255" spans="1:10">
      <c r="A255" s="6">
        <f t="shared" si="9"/>
        <v>250</v>
      </c>
      <c r="B255" s="7"/>
      <c r="C255" s="37" t="str">
        <f>IFERROR(VLOOKUP(B255,'MASTER RECORD'!$B$5:$W$1000,3,0),"")</f>
        <v/>
      </c>
      <c r="D255" s="37" t="str">
        <f>IFERROR(VLOOKUP(B255,'MASTER RECORD'!$B$5:$W$1000,2,0),"")</f>
        <v/>
      </c>
      <c r="E255" s="9"/>
      <c r="F255" s="9"/>
      <c r="G255" s="8"/>
      <c r="H255" s="37" t="str">
        <f t="shared" si="10"/>
        <v/>
      </c>
      <c r="I255" s="37" t="str">
        <f t="shared" si="11"/>
        <v/>
      </c>
      <c r="J255" s="7"/>
    </row>
    <row r="256" spans="1:10">
      <c r="A256" s="6">
        <f t="shared" si="9"/>
        <v>251</v>
      </c>
      <c r="B256" s="7"/>
      <c r="C256" s="37" t="str">
        <f>IFERROR(VLOOKUP(B256,'MASTER RECORD'!$B$5:$W$1000,3,0),"")</f>
        <v/>
      </c>
      <c r="D256" s="37" t="str">
        <f>IFERROR(VLOOKUP(B256,'MASTER RECORD'!$B$5:$W$1000,2,0),"")</f>
        <v/>
      </c>
      <c r="E256" s="9"/>
      <c r="F256" s="9"/>
      <c r="G256" s="8"/>
      <c r="H256" s="37" t="str">
        <f t="shared" si="10"/>
        <v/>
      </c>
      <c r="I256" s="37" t="str">
        <f t="shared" si="11"/>
        <v/>
      </c>
      <c r="J256" s="7"/>
    </row>
    <row r="257" spans="1:10">
      <c r="A257" s="6">
        <f t="shared" si="9"/>
        <v>252</v>
      </c>
      <c r="B257" s="7"/>
      <c r="C257" s="37" t="str">
        <f>IFERROR(VLOOKUP(B257,'MASTER RECORD'!$B$5:$W$1000,3,0),"")</f>
        <v/>
      </c>
      <c r="D257" s="37" t="str">
        <f>IFERROR(VLOOKUP(B257,'MASTER RECORD'!$B$5:$W$1000,2,0),"")</f>
        <v/>
      </c>
      <c r="E257" s="9"/>
      <c r="F257" s="9"/>
      <c r="G257" s="8"/>
      <c r="H257" s="37" t="str">
        <f t="shared" si="10"/>
        <v/>
      </c>
      <c r="I257" s="37" t="str">
        <f t="shared" si="11"/>
        <v/>
      </c>
      <c r="J257" s="7"/>
    </row>
    <row r="258" spans="1:10">
      <c r="A258" s="6">
        <f t="shared" si="9"/>
        <v>253</v>
      </c>
      <c r="B258" s="7"/>
      <c r="C258" s="37" t="str">
        <f>IFERROR(VLOOKUP(B258,'MASTER RECORD'!$B$5:$W$1000,3,0),"")</f>
        <v/>
      </c>
      <c r="D258" s="37" t="str">
        <f>IFERROR(VLOOKUP(B258,'MASTER RECORD'!$B$5:$W$1000,2,0),"")</f>
        <v/>
      </c>
      <c r="E258" s="9"/>
      <c r="F258" s="9"/>
      <c r="G258" s="8"/>
      <c r="H258" s="37" t="str">
        <f t="shared" si="10"/>
        <v/>
      </c>
      <c r="I258" s="37" t="str">
        <f t="shared" si="11"/>
        <v/>
      </c>
      <c r="J258" s="7"/>
    </row>
    <row r="259" spans="1:10">
      <c r="A259" s="6">
        <f t="shared" si="9"/>
        <v>254</v>
      </c>
      <c r="B259" s="7"/>
      <c r="C259" s="37" t="str">
        <f>IFERROR(VLOOKUP(B259,'MASTER RECORD'!$B$5:$W$1000,3,0),"")</f>
        <v/>
      </c>
      <c r="D259" s="37" t="str">
        <f>IFERROR(VLOOKUP(B259,'MASTER RECORD'!$B$5:$W$1000,2,0),"")</f>
        <v/>
      </c>
      <c r="E259" s="9"/>
      <c r="F259" s="9"/>
      <c r="G259" s="8"/>
      <c r="H259" s="37" t="str">
        <f t="shared" si="10"/>
        <v/>
      </c>
      <c r="I259" s="37" t="str">
        <f t="shared" si="11"/>
        <v/>
      </c>
      <c r="J259" s="7"/>
    </row>
    <row r="260" spans="1:10">
      <c r="A260" s="6">
        <f t="shared" si="9"/>
        <v>255</v>
      </c>
      <c r="B260" s="7"/>
      <c r="C260" s="37" t="str">
        <f>IFERROR(VLOOKUP(B260,'MASTER RECORD'!$B$5:$W$1000,3,0),"")</f>
        <v/>
      </c>
      <c r="D260" s="37" t="str">
        <f>IFERROR(VLOOKUP(B260,'MASTER RECORD'!$B$5:$W$1000,2,0),"")</f>
        <v/>
      </c>
      <c r="E260" s="9"/>
      <c r="F260" s="9"/>
      <c r="G260" s="8"/>
      <c r="H260" s="37" t="str">
        <f t="shared" si="10"/>
        <v/>
      </c>
      <c r="I260" s="37" t="str">
        <f t="shared" si="11"/>
        <v/>
      </c>
      <c r="J260" s="7"/>
    </row>
    <row r="261" spans="1:10">
      <c r="A261" s="6">
        <f t="shared" si="9"/>
        <v>256</v>
      </c>
      <c r="B261" s="7"/>
      <c r="C261" s="37" t="str">
        <f>IFERROR(VLOOKUP(B261,'MASTER RECORD'!$B$5:$W$1000,3,0),"")</f>
        <v/>
      </c>
      <c r="D261" s="37" t="str">
        <f>IFERROR(VLOOKUP(B261,'MASTER RECORD'!$B$5:$W$1000,2,0),"")</f>
        <v/>
      </c>
      <c r="E261" s="9"/>
      <c r="F261" s="9"/>
      <c r="G261" s="8"/>
      <c r="H261" s="37" t="str">
        <f t="shared" si="10"/>
        <v/>
      </c>
      <c r="I261" s="37" t="str">
        <f t="shared" si="11"/>
        <v/>
      </c>
      <c r="J261" s="7"/>
    </row>
    <row r="262" spans="1:10">
      <c r="A262" s="6">
        <f t="shared" si="9"/>
        <v>257</v>
      </c>
      <c r="B262" s="7"/>
      <c r="C262" s="37" t="str">
        <f>IFERROR(VLOOKUP(B262,'MASTER RECORD'!$B$5:$W$1000,3,0),"")</f>
        <v/>
      </c>
      <c r="D262" s="37" t="str">
        <f>IFERROR(VLOOKUP(B262,'MASTER RECORD'!$B$5:$W$1000,2,0),"")</f>
        <v/>
      </c>
      <c r="E262" s="9"/>
      <c r="F262" s="9"/>
      <c r="G262" s="8"/>
      <c r="H262" s="37" t="str">
        <f t="shared" si="10"/>
        <v/>
      </c>
      <c r="I262" s="37" t="str">
        <f t="shared" si="11"/>
        <v/>
      </c>
      <c r="J262" s="7"/>
    </row>
    <row r="263" spans="1:10">
      <c r="A263" s="6">
        <f t="shared" ref="A263:A326" si="12">ROW(A258)</f>
        <v>258</v>
      </c>
      <c r="B263" s="7"/>
      <c r="C263" s="37" t="str">
        <f>IFERROR(VLOOKUP(B263,'MASTER RECORD'!$B$5:$W$1000,3,0),"")</f>
        <v/>
      </c>
      <c r="D263" s="37" t="str">
        <f>IFERROR(VLOOKUP(B263,'MASTER RECORD'!$B$5:$W$1000,2,0),"")</f>
        <v/>
      </c>
      <c r="E263" s="9"/>
      <c r="F263" s="9"/>
      <c r="G263" s="8"/>
      <c r="H263" s="37" t="str">
        <f t="shared" ref="H263:H326" si="13">IF(G263=0,"",TEXT(G263,"mmmm"))</f>
        <v/>
      </c>
      <c r="I263" s="37" t="str">
        <f t="shared" ref="I263:I326" si="14">IF(G263=0,"",TEXT(G263,"yyyy"))</f>
        <v/>
      </c>
      <c r="J263" s="7"/>
    </row>
    <row r="264" spans="1:10">
      <c r="A264" s="6">
        <f t="shared" si="12"/>
        <v>259</v>
      </c>
      <c r="B264" s="7"/>
      <c r="C264" s="37" t="str">
        <f>IFERROR(VLOOKUP(B264,'MASTER RECORD'!$B$5:$W$1000,3,0),"")</f>
        <v/>
      </c>
      <c r="D264" s="37" t="str">
        <f>IFERROR(VLOOKUP(B264,'MASTER RECORD'!$B$5:$W$1000,2,0),"")</f>
        <v/>
      </c>
      <c r="E264" s="9"/>
      <c r="F264" s="9"/>
      <c r="G264" s="8"/>
      <c r="H264" s="37" t="str">
        <f t="shared" si="13"/>
        <v/>
      </c>
      <c r="I264" s="37" t="str">
        <f t="shared" si="14"/>
        <v/>
      </c>
      <c r="J264" s="7"/>
    </row>
    <row r="265" spans="1:10">
      <c r="A265" s="6">
        <f t="shared" si="12"/>
        <v>260</v>
      </c>
      <c r="B265" s="7"/>
      <c r="C265" s="37" t="str">
        <f>IFERROR(VLOOKUP(B265,'MASTER RECORD'!$B$5:$W$1000,3,0),"")</f>
        <v/>
      </c>
      <c r="D265" s="37" t="str">
        <f>IFERROR(VLOOKUP(B265,'MASTER RECORD'!$B$5:$W$1000,2,0),"")</f>
        <v/>
      </c>
      <c r="E265" s="9"/>
      <c r="F265" s="9"/>
      <c r="G265" s="8"/>
      <c r="H265" s="37" t="str">
        <f t="shared" si="13"/>
        <v/>
      </c>
      <c r="I265" s="37" t="str">
        <f t="shared" si="14"/>
        <v/>
      </c>
      <c r="J265" s="7"/>
    </row>
    <row r="266" spans="1:10">
      <c r="A266" s="6">
        <f t="shared" si="12"/>
        <v>261</v>
      </c>
      <c r="B266" s="7"/>
      <c r="C266" s="37" t="str">
        <f>IFERROR(VLOOKUP(B266,'MASTER RECORD'!$B$5:$W$1000,3,0),"")</f>
        <v/>
      </c>
      <c r="D266" s="37" t="str">
        <f>IFERROR(VLOOKUP(B266,'MASTER RECORD'!$B$5:$W$1000,2,0),"")</f>
        <v/>
      </c>
      <c r="E266" s="9"/>
      <c r="F266" s="9"/>
      <c r="G266" s="8"/>
      <c r="H266" s="37" t="str">
        <f t="shared" si="13"/>
        <v/>
      </c>
      <c r="I266" s="37" t="str">
        <f t="shared" si="14"/>
        <v/>
      </c>
      <c r="J266" s="7"/>
    </row>
    <row r="267" spans="1:10">
      <c r="A267" s="6">
        <f t="shared" si="12"/>
        <v>262</v>
      </c>
      <c r="B267" s="7"/>
      <c r="C267" s="37" t="str">
        <f>IFERROR(VLOOKUP(B267,'MASTER RECORD'!$B$5:$W$1000,3,0),"")</f>
        <v/>
      </c>
      <c r="D267" s="37" t="str">
        <f>IFERROR(VLOOKUP(B267,'MASTER RECORD'!$B$5:$W$1000,2,0),"")</f>
        <v/>
      </c>
      <c r="E267" s="9"/>
      <c r="F267" s="9"/>
      <c r="G267" s="8"/>
      <c r="H267" s="37" t="str">
        <f t="shared" si="13"/>
        <v/>
      </c>
      <c r="I267" s="37" t="str">
        <f t="shared" si="14"/>
        <v/>
      </c>
      <c r="J267" s="7"/>
    </row>
    <row r="268" spans="1:10">
      <c r="A268" s="6">
        <f t="shared" si="12"/>
        <v>263</v>
      </c>
      <c r="B268" s="7"/>
      <c r="C268" s="37" t="str">
        <f>IFERROR(VLOOKUP(B268,'MASTER RECORD'!$B$5:$W$1000,3,0),"")</f>
        <v/>
      </c>
      <c r="D268" s="37" t="str">
        <f>IFERROR(VLOOKUP(B268,'MASTER RECORD'!$B$5:$W$1000,2,0),"")</f>
        <v/>
      </c>
      <c r="E268" s="9"/>
      <c r="F268" s="9"/>
      <c r="G268" s="8"/>
      <c r="H268" s="37" t="str">
        <f t="shared" si="13"/>
        <v/>
      </c>
      <c r="I268" s="37" t="str">
        <f t="shared" si="14"/>
        <v/>
      </c>
      <c r="J268" s="7"/>
    </row>
    <row r="269" spans="1:10">
      <c r="A269" s="6">
        <f t="shared" si="12"/>
        <v>264</v>
      </c>
      <c r="B269" s="7"/>
      <c r="C269" s="37" t="str">
        <f>IFERROR(VLOOKUP(B269,'MASTER RECORD'!$B$5:$W$1000,3,0),"")</f>
        <v/>
      </c>
      <c r="D269" s="37" t="str">
        <f>IFERROR(VLOOKUP(B269,'MASTER RECORD'!$B$5:$W$1000,2,0),"")</f>
        <v/>
      </c>
      <c r="E269" s="9"/>
      <c r="F269" s="9"/>
      <c r="G269" s="8"/>
      <c r="H269" s="37" t="str">
        <f t="shared" si="13"/>
        <v/>
      </c>
      <c r="I269" s="37" t="str">
        <f t="shared" si="14"/>
        <v/>
      </c>
      <c r="J269" s="7"/>
    </row>
    <row r="270" spans="1:10">
      <c r="A270" s="6">
        <f t="shared" si="12"/>
        <v>265</v>
      </c>
      <c r="B270" s="7"/>
      <c r="C270" s="37" t="str">
        <f>IFERROR(VLOOKUP(B270,'MASTER RECORD'!$B$5:$W$1000,3,0),"")</f>
        <v/>
      </c>
      <c r="D270" s="37" t="str">
        <f>IFERROR(VLOOKUP(B270,'MASTER RECORD'!$B$5:$W$1000,2,0),"")</f>
        <v/>
      </c>
      <c r="E270" s="9"/>
      <c r="F270" s="9"/>
      <c r="G270" s="8"/>
      <c r="H270" s="37" t="str">
        <f t="shared" si="13"/>
        <v/>
      </c>
      <c r="I270" s="37" t="str">
        <f t="shared" si="14"/>
        <v/>
      </c>
      <c r="J270" s="7"/>
    </row>
    <row r="271" spans="1:10">
      <c r="A271" s="6">
        <f t="shared" si="12"/>
        <v>266</v>
      </c>
      <c r="B271" s="7"/>
      <c r="C271" s="37" t="str">
        <f>IFERROR(VLOOKUP(B271,'MASTER RECORD'!$B$5:$W$1000,3,0),"")</f>
        <v/>
      </c>
      <c r="D271" s="37" t="str">
        <f>IFERROR(VLOOKUP(B271,'MASTER RECORD'!$B$5:$W$1000,2,0),"")</f>
        <v/>
      </c>
      <c r="E271" s="9"/>
      <c r="F271" s="9"/>
      <c r="G271" s="8"/>
      <c r="H271" s="37" t="str">
        <f t="shared" si="13"/>
        <v/>
      </c>
      <c r="I271" s="37" t="str">
        <f t="shared" si="14"/>
        <v/>
      </c>
      <c r="J271" s="7"/>
    </row>
    <row r="272" spans="1:10">
      <c r="A272" s="6">
        <f t="shared" si="12"/>
        <v>267</v>
      </c>
      <c r="B272" s="7"/>
      <c r="C272" s="37" t="str">
        <f>IFERROR(VLOOKUP(B272,'MASTER RECORD'!$B$5:$W$1000,3,0),"")</f>
        <v/>
      </c>
      <c r="D272" s="37" t="str">
        <f>IFERROR(VLOOKUP(B272,'MASTER RECORD'!$B$5:$W$1000,2,0),"")</f>
        <v/>
      </c>
      <c r="E272" s="9"/>
      <c r="F272" s="9"/>
      <c r="G272" s="8"/>
      <c r="H272" s="37" t="str">
        <f t="shared" si="13"/>
        <v/>
      </c>
      <c r="I272" s="37" t="str">
        <f t="shared" si="14"/>
        <v/>
      </c>
      <c r="J272" s="7"/>
    </row>
    <row r="273" spans="1:10">
      <c r="A273" s="6">
        <f t="shared" si="12"/>
        <v>268</v>
      </c>
      <c r="B273" s="7"/>
      <c r="C273" s="37" t="str">
        <f>IFERROR(VLOOKUP(B273,'MASTER RECORD'!$B$5:$W$1000,3,0),"")</f>
        <v/>
      </c>
      <c r="D273" s="37" t="str">
        <f>IFERROR(VLOOKUP(B273,'MASTER RECORD'!$B$5:$W$1000,2,0),"")</f>
        <v/>
      </c>
      <c r="E273" s="9"/>
      <c r="F273" s="9"/>
      <c r="G273" s="8"/>
      <c r="H273" s="37" t="str">
        <f t="shared" si="13"/>
        <v/>
      </c>
      <c r="I273" s="37" t="str">
        <f t="shared" si="14"/>
        <v/>
      </c>
      <c r="J273" s="7"/>
    </row>
    <row r="274" spans="1:10">
      <c r="A274" s="6">
        <f t="shared" si="12"/>
        <v>269</v>
      </c>
      <c r="B274" s="7"/>
      <c r="C274" s="37" t="str">
        <f>IFERROR(VLOOKUP(B274,'MASTER RECORD'!$B$5:$W$1000,3,0),"")</f>
        <v/>
      </c>
      <c r="D274" s="37" t="str">
        <f>IFERROR(VLOOKUP(B274,'MASTER RECORD'!$B$5:$W$1000,2,0),"")</f>
        <v/>
      </c>
      <c r="E274" s="9"/>
      <c r="F274" s="9"/>
      <c r="G274" s="8"/>
      <c r="H274" s="37" t="str">
        <f t="shared" si="13"/>
        <v/>
      </c>
      <c r="I274" s="37" t="str">
        <f t="shared" si="14"/>
        <v/>
      </c>
      <c r="J274" s="7"/>
    </row>
    <row r="275" spans="1:10">
      <c r="A275" s="6">
        <f t="shared" si="12"/>
        <v>270</v>
      </c>
      <c r="B275" s="7"/>
      <c r="C275" s="37" t="str">
        <f>IFERROR(VLOOKUP(B275,'MASTER RECORD'!$B$5:$W$1000,3,0),"")</f>
        <v/>
      </c>
      <c r="D275" s="37" t="str">
        <f>IFERROR(VLOOKUP(B275,'MASTER RECORD'!$B$5:$W$1000,2,0),"")</f>
        <v/>
      </c>
      <c r="E275" s="9"/>
      <c r="F275" s="9"/>
      <c r="G275" s="8"/>
      <c r="H275" s="37" t="str">
        <f t="shared" si="13"/>
        <v/>
      </c>
      <c r="I275" s="37" t="str">
        <f t="shared" si="14"/>
        <v/>
      </c>
      <c r="J275" s="7"/>
    </row>
    <row r="276" spans="1:10">
      <c r="A276" s="6">
        <f t="shared" si="12"/>
        <v>271</v>
      </c>
      <c r="B276" s="7"/>
      <c r="C276" s="37" t="str">
        <f>IFERROR(VLOOKUP(B276,'MASTER RECORD'!$B$5:$W$1000,3,0),"")</f>
        <v/>
      </c>
      <c r="D276" s="37" t="str">
        <f>IFERROR(VLOOKUP(B276,'MASTER RECORD'!$B$5:$W$1000,2,0),"")</f>
        <v/>
      </c>
      <c r="E276" s="9"/>
      <c r="F276" s="9"/>
      <c r="G276" s="8"/>
      <c r="H276" s="37" t="str">
        <f t="shared" si="13"/>
        <v/>
      </c>
      <c r="I276" s="37" t="str">
        <f t="shared" si="14"/>
        <v/>
      </c>
      <c r="J276" s="7"/>
    </row>
    <row r="277" spans="1:10">
      <c r="A277" s="6">
        <f t="shared" si="12"/>
        <v>272</v>
      </c>
      <c r="B277" s="7"/>
      <c r="C277" s="37" t="str">
        <f>IFERROR(VLOOKUP(B277,'MASTER RECORD'!$B$5:$W$1000,3,0),"")</f>
        <v/>
      </c>
      <c r="D277" s="37" t="str">
        <f>IFERROR(VLOOKUP(B277,'MASTER RECORD'!$B$5:$W$1000,2,0),"")</f>
        <v/>
      </c>
      <c r="E277" s="9"/>
      <c r="F277" s="9"/>
      <c r="G277" s="8"/>
      <c r="H277" s="37" t="str">
        <f t="shared" si="13"/>
        <v/>
      </c>
      <c r="I277" s="37" t="str">
        <f t="shared" si="14"/>
        <v/>
      </c>
      <c r="J277" s="7"/>
    </row>
    <row r="278" spans="1:10">
      <c r="A278" s="6">
        <f t="shared" si="12"/>
        <v>273</v>
      </c>
      <c r="B278" s="7"/>
      <c r="C278" s="37" t="str">
        <f>IFERROR(VLOOKUP(B278,'MASTER RECORD'!$B$5:$W$1000,3,0),"")</f>
        <v/>
      </c>
      <c r="D278" s="37" t="str">
        <f>IFERROR(VLOOKUP(B278,'MASTER RECORD'!$B$5:$W$1000,2,0),"")</f>
        <v/>
      </c>
      <c r="E278" s="9"/>
      <c r="F278" s="9"/>
      <c r="G278" s="8"/>
      <c r="H278" s="37" t="str">
        <f t="shared" si="13"/>
        <v/>
      </c>
      <c r="I278" s="37" t="str">
        <f t="shared" si="14"/>
        <v/>
      </c>
      <c r="J278" s="7"/>
    </row>
    <row r="279" spans="1:10">
      <c r="A279" s="6">
        <f t="shared" si="12"/>
        <v>274</v>
      </c>
      <c r="B279" s="7"/>
      <c r="C279" s="37" t="str">
        <f>IFERROR(VLOOKUP(B279,'MASTER RECORD'!$B$5:$W$1000,3,0),"")</f>
        <v/>
      </c>
      <c r="D279" s="37" t="str">
        <f>IFERROR(VLOOKUP(B279,'MASTER RECORD'!$B$5:$W$1000,2,0),"")</f>
        <v/>
      </c>
      <c r="E279" s="9"/>
      <c r="F279" s="9"/>
      <c r="G279" s="8"/>
      <c r="H279" s="37" t="str">
        <f t="shared" si="13"/>
        <v/>
      </c>
      <c r="I279" s="37" t="str">
        <f t="shared" si="14"/>
        <v/>
      </c>
      <c r="J279" s="7"/>
    </row>
    <row r="280" spans="1:10">
      <c r="A280" s="6">
        <f t="shared" si="12"/>
        <v>275</v>
      </c>
      <c r="B280" s="7"/>
      <c r="C280" s="37" t="str">
        <f>IFERROR(VLOOKUP(B280,'MASTER RECORD'!$B$5:$W$1000,3,0),"")</f>
        <v/>
      </c>
      <c r="D280" s="37" t="str">
        <f>IFERROR(VLOOKUP(B280,'MASTER RECORD'!$B$5:$W$1000,2,0),"")</f>
        <v/>
      </c>
      <c r="E280" s="9"/>
      <c r="F280" s="9"/>
      <c r="G280" s="8"/>
      <c r="H280" s="37" t="str">
        <f t="shared" si="13"/>
        <v/>
      </c>
      <c r="I280" s="37" t="str">
        <f t="shared" si="14"/>
        <v/>
      </c>
      <c r="J280" s="7"/>
    </row>
    <row r="281" spans="1:10">
      <c r="A281" s="6">
        <f t="shared" si="12"/>
        <v>276</v>
      </c>
      <c r="B281" s="7"/>
      <c r="C281" s="37" t="str">
        <f>IFERROR(VLOOKUP(B281,'MASTER RECORD'!$B$5:$W$1000,3,0),"")</f>
        <v/>
      </c>
      <c r="D281" s="37" t="str">
        <f>IFERROR(VLOOKUP(B281,'MASTER RECORD'!$B$5:$W$1000,2,0),"")</f>
        <v/>
      </c>
      <c r="E281" s="9"/>
      <c r="F281" s="9"/>
      <c r="G281" s="8"/>
      <c r="H281" s="37" t="str">
        <f t="shared" si="13"/>
        <v/>
      </c>
      <c r="I281" s="37" t="str">
        <f t="shared" si="14"/>
        <v/>
      </c>
      <c r="J281" s="7"/>
    </row>
    <row r="282" spans="1:10">
      <c r="A282" s="6">
        <f t="shared" si="12"/>
        <v>277</v>
      </c>
      <c r="B282" s="7"/>
      <c r="C282" s="37" t="str">
        <f>IFERROR(VLOOKUP(B282,'MASTER RECORD'!$B$5:$W$1000,3,0),"")</f>
        <v/>
      </c>
      <c r="D282" s="37" t="str">
        <f>IFERROR(VLOOKUP(B282,'MASTER RECORD'!$B$5:$W$1000,2,0),"")</f>
        <v/>
      </c>
      <c r="E282" s="9"/>
      <c r="F282" s="9"/>
      <c r="G282" s="8"/>
      <c r="H282" s="37" t="str">
        <f t="shared" si="13"/>
        <v/>
      </c>
      <c r="I282" s="37" t="str">
        <f t="shared" si="14"/>
        <v/>
      </c>
      <c r="J282" s="7"/>
    </row>
    <row r="283" spans="1:10">
      <c r="A283" s="6">
        <f t="shared" si="12"/>
        <v>278</v>
      </c>
      <c r="B283" s="7"/>
      <c r="C283" s="37" t="str">
        <f>IFERROR(VLOOKUP(B283,'MASTER RECORD'!$B$5:$W$1000,3,0),"")</f>
        <v/>
      </c>
      <c r="D283" s="37" t="str">
        <f>IFERROR(VLOOKUP(B283,'MASTER RECORD'!$B$5:$W$1000,2,0),"")</f>
        <v/>
      </c>
      <c r="E283" s="9"/>
      <c r="F283" s="9"/>
      <c r="G283" s="8"/>
      <c r="H283" s="37" t="str">
        <f t="shared" si="13"/>
        <v/>
      </c>
      <c r="I283" s="37" t="str">
        <f t="shared" si="14"/>
        <v/>
      </c>
      <c r="J283" s="7"/>
    </row>
    <row r="284" spans="1:10">
      <c r="A284" s="6">
        <f t="shared" si="12"/>
        <v>279</v>
      </c>
      <c r="B284" s="7"/>
      <c r="C284" s="37" t="str">
        <f>IFERROR(VLOOKUP(B284,'MASTER RECORD'!$B$5:$W$1000,3,0),"")</f>
        <v/>
      </c>
      <c r="D284" s="37" t="str">
        <f>IFERROR(VLOOKUP(B284,'MASTER RECORD'!$B$5:$W$1000,2,0),"")</f>
        <v/>
      </c>
      <c r="E284" s="9"/>
      <c r="F284" s="9"/>
      <c r="G284" s="8"/>
      <c r="H284" s="37" t="str">
        <f t="shared" si="13"/>
        <v/>
      </c>
      <c r="I284" s="37" t="str">
        <f t="shared" si="14"/>
        <v/>
      </c>
      <c r="J284" s="7"/>
    </row>
    <row r="285" spans="1:10">
      <c r="A285" s="6">
        <f t="shared" si="12"/>
        <v>280</v>
      </c>
      <c r="B285" s="7"/>
      <c r="C285" s="37" t="str">
        <f>IFERROR(VLOOKUP(B285,'MASTER RECORD'!$B$5:$W$1000,3,0),"")</f>
        <v/>
      </c>
      <c r="D285" s="37" t="str">
        <f>IFERROR(VLOOKUP(B285,'MASTER RECORD'!$B$5:$W$1000,2,0),"")</f>
        <v/>
      </c>
      <c r="E285" s="9"/>
      <c r="F285" s="9"/>
      <c r="G285" s="8"/>
      <c r="H285" s="37" t="str">
        <f t="shared" si="13"/>
        <v/>
      </c>
      <c r="I285" s="37" t="str">
        <f t="shared" si="14"/>
        <v/>
      </c>
      <c r="J285" s="7"/>
    </row>
    <row r="286" spans="1:10">
      <c r="A286" s="6">
        <f t="shared" si="12"/>
        <v>281</v>
      </c>
      <c r="B286" s="7"/>
      <c r="C286" s="37" t="str">
        <f>IFERROR(VLOOKUP(B286,'MASTER RECORD'!$B$5:$W$1000,3,0),"")</f>
        <v/>
      </c>
      <c r="D286" s="37" t="str">
        <f>IFERROR(VLOOKUP(B286,'MASTER RECORD'!$B$5:$W$1000,2,0),"")</f>
        <v/>
      </c>
      <c r="E286" s="9"/>
      <c r="F286" s="9"/>
      <c r="G286" s="8"/>
      <c r="H286" s="37" t="str">
        <f t="shared" si="13"/>
        <v/>
      </c>
      <c r="I286" s="37" t="str">
        <f t="shared" si="14"/>
        <v/>
      </c>
      <c r="J286" s="7"/>
    </row>
    <row r="287" spans="1:10">
      <c r="A287" s="6">
        <f t="shared" si="12"/>
        <v>282</v>
      </c>
      <c r="B287" s="7"/>
      <c r="C287" s="37" t="str">
        <f>IFERROR(VLOOKUP(B287,'MASTER RECORD'!$B$5:$W$1000,3,0),"")</f>
        <v/>
      </c>
      <c r="D287" s="37" t="str">
        <f>IFERROR(VLOOKUP(B287,'MASTER RECORD'!$B$5:$W$1000,2,0),"")</f>
        <v/>
      </c>
      <c r="E287" s="9"/>
      <c r="F287" s="9"/>
      <c r="G287" s="8"/>
      <c r="H287" s="37" t="str">
        <f t="shared" si="13"/>
        <v/>
      </c>
      <c r="I287" s="37" t="str">
        <f t="shared" si="14"/>
        <v/>
      </c>
      <c r="J287" s="7"/>
    </row>
    <row r="288" spans="1:10">
      <c r="A288" s="6">
        <f t="shared" si="12"/>
        <v>283</v>
      </c>
      <c r="B288" s="7"/>
      <c r="C288" s="37" t="str">
        <f>IFERROR(VLOOKUP(B288,'MASTER RECORD'!$B$5:$W$1000,3,0),"")</f>
        <v/>
      </c>
      <c r="D288" s="37" t="str">
        <f>IFERROR(VLOOKUP(B288,'MASTER RECORD'!$B$5:$W$1000,2,0),"")</f>
        <v/>
      </c>
      <c r="E288" s="9"/>
      <c r="F288" s="9"/>
      <c r="G288" s="8"/>
      <c r="H288" s="37" t="str">
        <f t="shared" si="13"/>
        <v/>
      </c>
      <c r="I288" s="37" t="str">
        <f t="shared" si="14"/>
        <v/>
      </c>
      <c r="J288" s="7"/>
    </row>
    <row r="289" spans="1:10">
      <c r="A289" s="6">
        <f t="shared" si="12"/>
        <v>284</v>
      </c>
      <c r="B289" s="7"/>
      <c r="C289" s="37" t="str">
        <f>IFERROR(VLOOKUP(B289,'MASTER RECORD'!$B$5:$W$1000,3,0),"")</f>
        <v/>
      </c>
      <c r="D289" s="37" t="str">
        <f>IFERROR(VLOOKUP(B289,'MASTER RECORD'!$B$5:$W$1000,2,0),"")</f>
        <v/>
      </c>
      <c r="E289" s="9"/>
      <c r="F289" s="9"/>
      <c r="G289" s="8"/>
      <c r="H289" s="37" t="str">
        <f t="shared" si="13"/>
        <v/>
      </c>
      <c r="I289" s="37" t="str">
        <f t="shared" si="14"/>
        <v/>
      </c>
      <c r="J289" s="7"/>
    </row>
    <row r="290" spans="1:10">
      <c r="A290" s="6">
        <f t="shared" si="12"/>
        <v>285</v>
      </c>
      <c r="B290" s="7"/>
      <c r="C290" s="37" t="str">
        <f>IFERROR(VLOOKUP(B290,'MASTER RECORD'!$B$5:$W$1000,3,0),"")</f>
        <v/>
      </c>
      <c r="D290" s="37" t="str">
        <f>IFERROR(VLOOKUP(B290,'MASTER RECORD'!$B$5:$W$1000,2,0),"")</f>
        <v/>
      </c>
      <c r="E290" s="9"/>
      <c r="F290" s="9"/>
      <c r="G290" s="8"/>
      <c r="H290" s="37" t="str">
        <f t="shared" si="13"/>
        <v/>
      </c>
      <c r="I290" s="37" t="str">
        <f t="shared" si="14"/>
        <v/>
      </c>
      <c r="J290" s="7"/>
    </row>
    <row r="291" spans="1:10">
      <c r="A291" s="6">
        <f t="shared" si="12"/>
        <v>286</v>
      </c>
      <c r="B291" s="7"/>
      <c r="C291" s="37" t="str">
        <f>IFERROR(VLOOKUP(B291,'MASTER RECORD'!$B$5:$W$1000,3,0),"")</f>
        <v/>
      </c>
      <c r="D291" s="37" t="str">
        <f>IFERROR(VLOOKUP(B291,'MASTER RECORD'!$B$5:$W$1000,2,0),"")</f>
        <v/>
      </c>
      <c r="E291" s="9"/>
      <c r="F291" s="9"/>
      <c r="G291" s="8"/>
      <c r="H291" s="37" t="str">
        <f t="shared" si="13"/>
        <v/>
      </c>
      <c r="I291" s="37" t="str">
        <f t="shared" si="14"/>
        <v/>
      </c>
      <c r="J291" s="7"/>
    </row>
    <row r="292" spans="1:10">
      <c r="A292" s="6">
        <f t="shared" si="12"/>
        <v>287</v>
      </c>
      <c r="B292" s="7"/>
      <c r="C292" s="37" t="str">
        <f>IFERROR(VLOOKUP(B292,'MASTER RECORD'!$B$5:$W$1000,3,0),"")</f>
        <v/>
      </c>
      <c r="D292" s="37" t="str">
        <f>IFERROR(VLOOKUP(B292,'MASTER RECORD'!$B$5:$W$1000,2,0),"")</f>
        <v/>
      </c>
      <c r="E292" s="9"/>
      <c r="F292" s="9"/>
      <c r="G292" s="8"/>
      <c r="H292" s="37" t="str">
        <f t="shared" si="13"/>
        <v/>
      </c>
      <c r="I292" s="37" t="str">
        <f t="shared" si="14"/>
        <v/>
      </c>
      <c r="J292" s="7"/>
    </row>
    <row r="293" spans="1:10">
      <c r="A293" s="6">
        <f t="shared" si="12"/>
        <v>288</v>
      </c>
      <c r="B293" s="7"/>
      <c r="C293" s="37" t="str">
        <f>IFERROR(VLOOKUP(B293,'MASTER RECORD'!$B$5:$W$1000,3,0),"")</f>
        <v/>
      </c>
      <c r="D293" s="37" t="str">
        <f>IFERROR(VLOOKUP(B293,'MASTER RECORD'!$B$5:$W$1000,2,0),"")</f>
        <v/>
      </c>
      <c r="E293" s="9"/>
      <c r="F293" s="9"/>
      <c r="G293" s="8"/>
      <c r="H293" s="37" t="str">
        <f t="shared" si="13"/>
        <v/>
      </c>
      <c r="I293" s="37" t="str">
        <f t="shared" si="14"/>
        <v/>
      </c>
      <c r="J293" s="7"/>
    </row>
    <row r="294" spans="1:10">
      <c r="A294" s="6">
        <f t="shared" si="12"/>
        <v>289</v>
      </c>
      <c r="B294" s="7"/>
      <c r="C294" s="37" t="str">
        <f>IFERROR(VLOOKUP(B294,'MASTER RECORD'!$B$5:$W$1000,3,0),"")</f>
        <v/>
      </c>
      <c r="D294" s="37" t="str">
        <f>IFERROR(VLOOKUP(B294,'MASTER RECORD'!$B$5:$W$1000,2,0),"")</f>
        <v/>
      </c>
      <c r="E294" s="9"/>
      <c r="F294" s="9"/>
      <c r="G294" s="8"/>
      <c r="H294" s="37" t="str">
        <f t="shared" si="13"/>
        <v/>
      </c>
      <c r="I294" s="37" t="str">
        <f t="shared" si="14"/>
        <v/>
      </c>
      <c r="J294" s="7"/>
    </row>
    <row r="295" spans="1:10">
      <c r="A295" s="6">
        <f t="shared" si="12"/>
        <v>290</v>
      </c>
      <c r="B295" s="7"/>
      <c r="C295" s="37" t="str">
        <f>IFERROR(VLOOKUP(B295,'MASTER RECORD'!$B$5:$W$1000,3,0),"")</f>
        <v/>
      </c>
      <c r="D295" s="37" t="str">
        <f>IFERROR(VLOOKUP(B295,'MASTER RECORD'!$B$5:$W$1000,2,0),"")</f>
        <v/>
      </c>
      <c r="E295" s="9"/>
      <c r="F295" s="9"/>
      <c r="G295" s="8"/>
      <c r="H295" s="37" t="str">
        <f t="shared" si="13"/>
        <v/>
      </c>
      <c r="I295" s="37" t="str">
        <f t="shared" si="14"/>
        <v/>
      </c>
      <c r="J295" s="7"/>
    </row>
    <row r="296" spans="1:10">
      <c r="A296" s="6">
        <f t="shared" si="12"/>
        <v>291</v>
      </c>
      <c r="B296" s="7"/>
      <c r="C296" s="37" t="str">
        <f>IFERROR(VLOOKUP(B296,'MASTER RECORD'!$B$5:$W$1000,3,0),"")</f>
        <v/>
      </c>
      <c r="D296" s="37" t="str">
        <f>IFERROR(VLOOKUP(B296,'MASTER RECORD'!$B$5:$W$1000,2,0),"")</f>
        <v/>
      </c>
      <c r="E296" s="9"/>
      <c r="F296" s="9"/>
      <c r="G296" s="8"/>
      <c r="H296" s="37" t="str">
        <f t="shared" si="13"/>
        <v/>
      </c>
      <c r="I296" s="37" t="str">
        <f t="shared" si="14"/>
        <v/>
      </c>
      <c r="J296" s="7"/>
    </row>
    <row r="297" spans="1:10">
      <c r="A297" s="6">
        <f t="shared" si="12"/>
        <v>292</v>
      </c>
      <c r="B297" s="7"/>
      <c r="C297" s="37" t="str">
        <f>IFERROR(VLOOKUP(B297,'MASTER RECORD'!$B$5:$W$1000,3,0),"")</f>
        <v/>
      </c>
      <c r="D297" s="37" t="str">
        <f>IFERROR(VLOOKUP(B297,'MASTER RECORD'!$B$5:$W$1000,2,0),"")</f>
        <v/>
      </c>
      <c r="E297" s="9"/>
      <c r="F297" s="9"/>
      <c r="G297" s="8"/>
      <c r="H297" s="37" t="str">
        <f t="shared" si="13"/>
        <v/>
      </c>
      <c r="I297" s="37" t="str">
        <f t="shared" si="14"/>
        <v/>
      </c>
      <c r="J297" s="7"/>
    </row>
    <row r="298" spans="1:10">
      <c r="A298" s="6">
        <f t="shared" si="12"/>
        <v>293</v>
      </c>
      <c r="B298" s="7"/>
      <c r="C298" s="37" t="str">
        <f>IFERROR(VLOOKUP(B298,'MASTER RECORD'!$B$5:$W$1000,3,0),"")</f>
        <v/>
      </c>
      <c r="D298" s="37" t="str">
        <f>IFERROR(VLOOKUP(B298,'MASTER RECORD'!$B$5:$W$1000,2,0),"")</f>
        <v/>
      </c>
      <c r="E298" s="9"/>
      <c r="F298" s="9"/>
      <c r="G298" s="8"/>
      <c r="H298" s="37" t="str">
        <f t="shared" si="13"/>
        <v/>
      </c>
      <c r="I298" s="37" t="str">
        <f t="shared" si="14"/>
        <v/>
      </c>
      <c r="J298" s="7"/>
    </row>
    <row r="299" spans="1:10">
      <c r="A299" s="6">
        <f t="shared" si="12"/>
        <v>294</v>
      </c>
      <c r="B299" s="7"/>
      <c r="C299" s="37" t="str">
        <f>IFERROR(VLOOKUP(B299,'MASTER RECORD'!$B$5:$W$1000,3,0),"")</f>
        <v/>
      </c>
      <c r="D299" s="37" t="str">
        <f>IFERROR(VLOOKUP(B299,'MASTER RECORD'!$B$5:$W$1000,2,0),"")</f>
        <v/>
      </c>
      <c r="E299" s="9"/>
      <c r="F299" s="9"/>
      <c r="G299" s="8"/>
      <c r="H299" s="37" t="str">
        <f t="shared" si="13"/>
        <v/>
      </c>
      <c r="I299" s="37" t="str">
        <f t="shared" si="14"/>
        <v/>
      </c>
      <c r="J299" s="7"/>
    </row>
    <row r="300" spans="1:10">
      <c r="A300" s="6">
        <f t="shared" si="12"/>
        <v>295</v>
      </c>
      <c r="B300" s="7"/>
      <c r="C300" s="37" t="str">
        <f>IFERROR(VLOOKUP(B300,'MASTER RECORD'!$B$5:$W$1000,3,0),"")</f>
        <v/>
      </c>
      <c r="D300" s="37" t="str">
        <f>IFERROR(VLOOKUP(B300,'MASTER RECORD'!$B$5:$W$1000,2,0),"")</f>
        <v/>
      </c>
      <c r="E300" s="9"/>
      <c r="F300" s="9"/>
      <c r="G300" s="8"/>
      <c r="H300" s="37" t="str">
        <f t="shared" si="13"/>
        <v/>
      </c>
      <c r="I300" s="37" t="str">
        <f t="shared" si="14"/>
        <v/>
      </c>
      <c r="J300" s="7"/>
    </row>
    <row r="301" spans="1:10">
      <c r="A301" s="6">
        <f t="shared" si="12"/>
        <v>296</v>
      </c>
      <c r="B301" s="7"/>
      <c r="C301" s="37" t="str">
        <f>IFERROR(VLOOKUP(B301,'MASTER RECORD'!$B$5:$W$1000,3,0),"")</f>
        <v/>
      </c>
      <c r="D301" s="37" t="str">
        <f>IFERROR(VLOOKUP(B301,'MASTER RECORD'!$B$5:$W$1000,2,0),"")</f>
        <v/>
      </c>
      <c r="E301" s="9"/>
      <c r="F301" s="9"/>
      <c r="G301" s="8"/>
      <c r="H301" s="37" t="str">
        <f t="shared" si="13"/>
        <v/>
      </c>
      <c r="I301" s="37" t="str">
        <f t="shared" si="14"/>
        <v/>
      </c>
      <c r="J301" s="7"/>
    </row>
    <row r="302" spans="1:10">
      <c r="A302" s="6">
        <f t="shared" si="12"/>
        <v>297</v>
      </c>
      <c r="B302" s="7"/>
      <c r="C302" s="37" t="str">
        <f>IFERROR(VLOOKUP(B302,'MASTER RECORD'!$B$5:$W$1000,3,0),"")</f>
        <v/>
      </c>
      <c r="D302" s="37" t="str">
        <f>IFERROR(VLOOKUP(B302,'MASTER RECORD'!$B$5:$W$1000,2,0),"")</f>
        <v/>
      </c>
      <c r="E302" s="9"/>
      <c r="F302" s="9"/>
      <c r="G302" s="8"/>
      <c r="H302" s="37" t="str">
        <f t="shared" si="13"/>
        <v/>
      </c>
      <c r="I302" s="37" t="str">
        <f t="shared" si="14"/>
        <v/>
      </c>
      <c r="J302" s="7"/>
    </row>
    <row r="303" spans="1:10">
      <c r="A303" s="6">
        <f t="shared" si="12"/>
        <v>298</v>
      </c>
      <c r="B303" s="7"/>
      <c r="C303" s="37" t="str">
        <f>IFERROR(VLOOKUP(B303,'MASTER RECORD'!$B$5:$W$1000,3,0),"")</f>
        <v/>
      </c>
      <c r="D303" s="37" t="str">
        <f>IFERROR(VLOOKUP(B303,'MASTER RECORD'!$B$5:$W$1000,2,0),"")</f>
        <v/>
      </c>
      <c r="E303" s="9"/>
      <c r="F303" s="9"/>
      <c r="G303" s="8"/>
      <c r="H303" s="37" t="str">
        <f t="shared" si="13"/>
        <v/>
      </c>
      <c r="I303" s="37" t="str">
        <f t="shared" si="14"/>
        <v/>
      </c>
      <c r="J303" s="7"/>
    </row>
    <row r="304" spans="1:10">
      <c r="A304" s="6">
        <f t="shared" si="12"/>
        <v>299</v>
      </c>
      <c r="B304" s="7"/>
      <c r="C304" s="37" t="str">
        <f>IFERROR(VLOOKUP(B304,'MASTER RECORD'!$B$5:$W$1000,3,0),"")</f>
        <v/>
      </c>
      <c r="D304" s="37" t="str">
        <f>IFERROR(VLOOKUP(B304,'MASTER RECORD'!$B$5:$W$1000,2,0),"")</f>
        <v/>
      </c>
      <c r="E304" s="9"/>
      <c r="F304" s="9"/>
      <c r="G304" s="8"/>
      <c r="H304" s="37" t="str">
        <f t="shared" si="13"/>
        <v/>
      </c>
      <c r="I304" s="37" t="str">
        <f t="shared" si="14"/>
        <v/>
      </c>
      <c r="J304" s="7"/>
    </row>
    <row r="305" spans="1:10">
      <c r="A305" s="6">
        <f t="shared" si="12"/>
        <v>300</v>
      </c>
      <c r="B305" s="7"/>
      <c r="C305" s="37" t="str">
        <f>IFERROR(VLOOKUP(B305,'MASTER RECORD'!$B$5:$W$1000,3,0),"")</f>
        <v/>
      </c>
      <c r="D305" s="37" t="str">
        <f>IFERROR(VLOOKUP(B305,'MASTER RECORD'!$B$5:$W$1000,2,0),"")</f>
        <v/>
      </c>
      <c r="E305" s="9"/>
      <c r="F305" s="9"/>
      <c r="G305" s="8"/>
      <c r="H305" s="37" t="str">
        <f t="shared" si="13"/>
        <v/>
      </c>
      <c r="I305" s="37" t="str">
        <f t="shared" si="14"/>
        <v/>
      </c>
      <c r="J305" s="7"/>
    </row>
    <row r="306" spans="1:10">
      <c r="A306" s="6">
        <f t="shared" si="12"/>
        <v>301</v>
      </c>
      <c r="B306" s="7"/>
      <c r="C306" s="37" t="str">
        <f>IFERROR(VLOOKUP(B306,'MASTER RECORD'!$B$5:$W$1000,3,0),"")</f>
        <v/>
      </c>
      <c r="D306" s="37" t="str">
        <f>IFERROR(VLOOKUP(B306,'MASTER RECORD'!$B$5:$W$1000,2,0),"")</f>
        <v/>
      </c>
      <c r="E306" s="9"/>
      <c r="F306" s="9"/>
      <c r="G306" s="8"/>
      <c r="H306" s="37" t="str">
        <f t="shared" si="13"/>
        <v/>
      </c>
      <c r="I306" s="37" t="str">
        <f t="shared" si="14"/>
        <v/>
      </c>
      <c r="J306" s="7"/>
    </row>
    <row r="307" spans="1:10">
      <c r="A307" s="6">
        <f t="shared" si="12"/>
        <v>302</v>
      </c>
      <c r="B307" s="7"/>
      <c r="C307" s="37" t="str">
        <f>IFERROR(VLOOKUP(B307,'MASTER RECORD'!$B$5:$W$1000,3,0),"")</f>
        <v/>
      </c>
      <c r="D307" s="37" t="str">
        <f>IFERROR(VLOOKUP(B307,'MASTER RECORD'!$B$5:$W$1000,2,0),"")</f>
        <v/>
      </c>
      <c r="E307" s="9"/>
      <c r="F307" s="9"/>
      <c r="G307" s="8"/>
      <c r="H307" s="37" t="str">
        <f t="shared" si="13"/>
        <v/>
      </c>
      <c r="I307" s="37" t="str">
        <f t="shared" si="14"/>
        <v/>
      </c>
      <c r="J307" s="7"/>
    </row>
    <row r="308" spans="1:10">
      <c r="A308" s="6">
        <f t="shared" si="12"/>
        <v>303</v>
      </c>
      <c r="B308" s="7"/>
      <c r="C308" s="37" t="str">
        <f>IFERROR(VLOOKUP(B308,'MASTER RECORD'!$B$5:$W$1000,3,0),"")</f>
        <v/>
      </c>
      <c r="D308" s="37" t="str">
        <f>IFERROR(VLOOKUP(B308,'MASTER RECORD'!$B$5:$W$1000,2,0),"")</f>
        <v/>
      </c>
      <c r="E308" s="9"/>
      <c r="F308" s="9"/>
      <c r="G308" s="8"/>
      <c r="H308" s="37" t="str">
        <f t="shared" si="13"/>
        <v/>
      </c>
      <c r="I308" s="37" t="str">
        <f t="shared" si="14"/>
        <v/>
      </c>
      <c r="J308" s="7"/>
    </row>
    <row r="309" spans="1:10">
      <c r="A309" s="6">
        <f t="shared" si="12"/>
        <v>304</v>
      </c>
      <c r="B309" s="7"/>
      <c r="C309" s="37" t="str">
        <f>IFERROR(VLOOKUP(B309,'MASTER RECORD'!$B$5:$W$1000,3,0),"")</f>
        <v/>
      </c>
      <c r="D309" s="37" t="str">
        <f>IFERROR(VLOOKUP(B309,'MASTER RECORD'!$B$5:$W$1000,2,0),"")</f>
        <v/>
      </c>
      <c r="E309" s="9"/>
      <c r="F309" s="9"/>
      <c r="G309" s="8"/>
      <c r="H309" s="37" t="str">
        <f t="shared" si="13"/>
        <v/>
      </c>
      <c r="I309" s="37" t="str">
        <f t="shared" si="14"/>
        <v/>
      </c>
      <c r="J309" s="7"/>
    </row>
    <row r="310" spans="1:10">
      <c r="A310" s="6">
        <f t="shared" si="12"/>
        <v>305</v>
      </c>
      <c r="B310" s="7"/>
      <c r="C310" s="37" t="str">
        <f>IFERROR(VLOOKUP(B310,'MASTER RECORD'!$B$5:$W$1000,3,0),"")</f>
        <v/>
      </c>
      <c r="D310" s="37" t="str">
        <f>IFERROR(VLOOKUP(B310,'MASTER RECORD'!$B$5:$W$1000,2,0),"")</f>
        <v/>
      </c>
      <c r="E310" s="9"/>
      <c r="F310" s="9"/>
      <c r="G310" s="8"/>
      <c r="H310" s="37" t="str">
        <f t="shared" si="13"/>
        <v/>
      </c>
      <c r="I310" s="37" t="str">
        <f t="shared" si="14"/>
        <v/>
      </c>
      <c r="J310" s="7"/>
    </row>
    <row r="311" spans="1:10">
      <c r="A311" s="6">
        <f t="shared" si="12"/>
        <v>306</v>
      </c>
      <c r="B311" s="7"/>
      <c r="C311" s="37" t="str">
        <f>IFERROR(VLOOKUP(B311,'MASTER RECORD'!$B$5:$W$1000,3,0),"")</f>
        <v/>
      </c>
      <c r="D311" s="37" t="str">
        <f>IFERROR(VLOOKUP(B311,'MASTER RECORD'!$B$5:$W$1000,2,0),"")</f>
        <v/>
      </c>
      <c r="E311" s="9"/>
      <c r="F311" s="9"/>
      <c r="G311" s="8"/>
      <c r="H311" s="37" t="str">
        <f t="shared" si="13"/>
        <v/>
      </c>
      <c r="I311" s="37" t="str">
        <f t="shared" si="14"/>
        <v/>
      </c>
      <c r="J311" s="7"/>
    </row>
    <row r="312" spans="1:10">
      <c r="A312" s="6">
        <f t="shared" si="12"/>
        <v>307</v>
      </c>
      <c r="B312" s="7"/>
      <c r="C312" s="37" t="str">
        <f>IFERROR(VLOOKUP(B312,'MASTER RECORD'!$B$5:$W$1000,3,0),"")</f>
        <v/>
      </c>
      <c r="D312" s="37" t="str">
        <f>IFERROR(VLOOKUP(B312,'MASTER RECORD'!$B$5:$W$1000,2,0),"")</f>
        <v/>
      </c>
      <c r="E312" s="9"/>
      <c r="F312" s="9"/>
      <c r="G312" s="8"/>
      <c r="H312" s="37" t="str">
        <f t="shared" si="13"/>
        <v/>
      </c>
      <c r="I312" s="37" t="str">
        <f t="shared" si="14"/>
        <v/>
      </c>
      <c r="J312" s="7"/>
    </row>
    <row r="313" spans="1:10">
      <c r="A313" s="6">
        <f t="shared" si="12"/>
        <v>308</v>
      </c>
      <c r="B313" s="7"/>
      <c r="C313" s="37" t="str">
        <f>IFERROR(VLOOKUP(B313,'MASTER RECORD'!$B$5:$W$1000,3,0),"")</f>
        <v/>
      </c>
      <c r="D313" s="37" t="str">
        <f>IFERROR(VLOOKUP(B313,'MASTER RECORD'!$B$5:$W$1000,2,0),"")</f>
        <v/>
      </c>
      <c r="E313" s="9"/>
      <c r="F313" s="9"/>
      <c r="G313" s="8"/>
      <c r="H313" s="37" t="str">
        <f t="shared" si="13"/>
        <v/>
      </c>
      <c r="I313" s="37" t="str">
        <f t="shared" si="14"/>
        <v/>
      </c>
      <c r="J313" s="7"/>
    </row>
    <row r="314" spans="1:10">
      <c r="A314" s="6">
        <f t="shared" si="12"/>
        <v>309</v>
      </c>
      <c r="B314" s="7"/>
      <c r="C314" s="37" t="str">
        <f>IFERROR(VLOOKUP(B314,'MASTER RECORD'!$B$5:$W$1000,3,0),"")</f>
        <v/>
      </c>
      <c r="D314" s="37" t="str">
        <f>IFERROR(VLOOKUP(B314,'MASTER RECORD'!$B$5:$W$1000,2,0),"")</f>
        <v/>
      </c>
      <c r="E314" s="9"/>
      <c r="F314" s="9"/>
      <c r="G314" s="8"/>
      <c r="H314" s="37" t="str">
        <f t="shared" si="13"/>
        <v/>
      </c>
      <c r="I314" s="37" t="str">
        <f t="shared" si="14"/>
        <v/>
      </c>
      <c r="J314" s="7"/>
    </row>
    <row r="315" spans="1:10">
      <c r="A315" s="6">
        <f t="shared" si="12"/>
        <v>310</v>
      </c>
      <c r="B315" s="7"/>
      <c r="C315" s="37" t="str">
        <f>IFERROR(VLOOKUP(B315,'MASTER RECORD'!$B$5:$W$1000,3,0),"")</f>
        <v/>
      </c>
      <c r="D315" s="37" t="str">
        <f>IFERROR(VLOOKUP(B315,'MASTER RECORD'!$B$5:$W$1000,2,0),"")</f>
        <v/>
      </c>
      <c r="E315" s="9"/>
      <c r="F315" s="9"/>
      <c r="G315" s="8"/>
      <c r="H315" s="37" t="str">
        <f t="shared" si="13"/>
        <v/>
      </c>
      <c r="I315" s="37" t="str">
        <f t="shared" si="14"/>
        <v/>
      </c>
      <c r="J315" s="7"/>
    </row>
    <row r="316" spans="1:10">
      <c r="A316" s="6">
        <f t="shared" si="12"/>
        <v>311</v>
      </c>
      <c r="B316" s="7"/>
      <c r="C316" s="37" t="str">
        <f>IFERROR(VLOOKUP(B316,'MASTER RECORD'!$B$5:$W$1000,3,0),"")</f>
        <v/>
      </c>
      <c r="D316" s="37" t="str">
        <f>IFERROR(VLOOKUP(B316,'MASTER RECORD'!$B$5:$W$1000,2,0),"")</f>
        <v/>
      </c>
      <c r="E316" s="9"/>
      <c r="F316" s="9"/>
      <c r="G316" s="8"/>
      <c r="H316" s="37" t="str">
        <f t="shared" si="13"/>
        <v/>
      </c>
      <c r="I316" s="37" t="str">
        <f t="shared" si="14"/>
        <v/>
      </c>
      <c r="J316" s="7"/>
    </row>
    <row r="317" spans="1:10">
      <c r="A317" s="6">
        <f t="shared" si="12"/>
        <v>312</v>
      </c>
      <c r="B317" s="7"/>
      <c r="C317" s="37" t="str">
        <f>IFERROR(VLOOKUP(B317,'MASTER RECORD'!$B$5:$W$1000,3,0),"")</f>
        <v/>
      </c>
      <c r="D317" s="37" t="str">
        <f>IFERROR(VLOOKUP(B317,'MASTER RECORD'!$B$5:$W$1000,2,0),"")</f>
        <v/>
      </c>
      <c r="E317" s="9"/>
      <c r="F317" s="9"/>
      <c r="G317" s="8"/>
      <c r="H317" s="37" t="str">
        <f t="shared" si="13"/>
        <v/>
      </c>
      <c r="I317" s="37" t="str">
        <f t="shared" si="14"/>
        <v/>
      </c>
      <c r="J317" s="7"/>
    </row>
    <row r="318" spans="1:10">
      <c r="A318" s="6">
        <f t="shared" si="12"/>
        <v>313</v>
      </c>
      <c r="B318" s="7"/>
      <c r="C318" s="37" t="str">
        <f>IFERROR(VLOOKUP(B318,'MASTER RECORD'!$B$5:$W$1000,3,0),"")</f>
        <v/>
      </c>
      <c r="D318" s="37" t="str">
        <f>IFERROR(VLOOKUP(B318,'MASTER RECORD'!$B$5:$W$1000,2,0),"")</f>
        <v/>
      </c>
      <c r="E318" s="9"/>
      <c r="F318" s="9"/>
      <c r="G318" s="8"/>
      <c r="H318" s="37" t="str">
        <f t="shared" si="13"/>
        <v/>
      </c>
      <c r="I318" s="37" t="str">
        <f t="shared" si="14"/>
        <v/>
      </c>
      <c r="J318" s="7"/>
    </row>
    <row r="319" spans="1:10">
      <c r="A319" s="6">
        <f t="shared" si="12"/>
        <v>314</v>
      </c>
      <c r="B319" s="7"/>
      <c r="C319" s="37" t="str">
        <f>IFERROR(VLOOKUP(B319,'MASTER RECORD'!$B$5:$W$1000,3,0),"")</f>
        <v/>
      </c>
      <c r="D319" s="37" t="str">
        <f>IFERROR(VLOOKUP(B319,'MASTER RECORD'!$B$5:$W$1000,2,0),"")</f>
        <v/>
      </c>
      <c r="E319" s="9"/>
      <c r="F319" s="9"/>
      <c r="G319" s="8"/>
      <c r="H319" s="37" t="str">
        <f t="shared" si="13"/>
        <v/>
      </c>
      <c r="I319" s="37" t="str">
        <f t="shared" si="14"/>
        <v/>
      </c>
      <c r="J319" s="7"/>
    </row>
    <row r="320" spans="1:10">
      <c r="A320" s="6">
        <f t="shared" si="12"/>
        <v>315</v>
      </c>
      <c r="B320" s="7"/>
      <c r="C320" s="37" t="str">
        <f>IFERROR(VLOOKUP(B320,'MASTER RECORD'!$B$5:$W$1000,3,0),"")</f>
        <v/>
      </c>
      <c r="D320" s="37" t="str">
        <f>IFERROR(VLOOKUP(B320,'MASTER RECORD'!$B$5:$W$1000,2,0),"")</f>
        <v/>
      </c>
      <c r="E320" s="9"/>
      <c r="F320" s="9"/>
      <c r="G320" s="8"/>
      <c r="H320" s="37" t="str">
        <f t="shared" si="13"/>
        <v/>
      </c>
      <c r="I320" s="37" t="str">
        <f t="shared" si="14"/>
        <v/>
      </c>
      <c r="J320" s="7"/>
    </row>
    <row r="321" spans="1:10">
      <c r="A321" s="6">
        <f t="shared" si="12"/>
        <v>316</v>
      </c>
      <c r="B321" s="7"/>
      <c r="C321" s="37" t="str">
        <f>IFERROR(VLOOKUP(B321,'MASTER RECORD'!$B$5:$W$1000,3,0),"")</f>
        <v/>
      </c>
      <c r="D321" s="37" t="str">
        <f>IFERROR(VLOOKUP(B321,'MASTER RECORD'!$B$5:$W$1000,2,0),"")</f>
        <v/>
      </c>
      <c r="E321" s="9"/>
      <c r="F321" s="9"/>
      <c r="G321" s="8"/>
      <c r="H321" s="37" t="str">
        <f t="shared" si="13"/>
        <v/>
      </c>
      <c r="I321" s="37" t="str">
        <f t="shared" si="14"/>
        <v/>
      </c>
      <c r="J321" s="7"/>
    </row>
    <row r="322" spans="1:10">
      <c r="A322" s="6">
        <f t="shared" si="12"/>
        <v>317</v>
      </c>
      <c r="B322" s="7"/>
      <c r="C322" s="37" t="str">
        <f>IFERROR(VLOOKUP(B322,'MASTER RECORD'!$B$5:$W$1000,3,0),"")</f>
        <v/>
      </c>
      <c r="D322" s="37" t="str">
        <f>IFERROR(VLOOKUP(B322,'MASTER RECORD'!$B$5:$W$1000,2,0),"")</f>
        <v/>
      </c>
      <c r="E322" s="9"/>
      <c r="F322" s="9"/>
      <c r="G322" s="8"/>
      <c r="H322" s="37" t="str">
        <f t="shared" si="13"/>
        <v/>
      </c>
      <c r="I322" s="37" t="str">
        <f t="shared" si="14"/>
        <v/>
      </c>
      <c r="J322" s="7"/>
    </row>
    <row r="323" spans="1:10">
      <c r="A323" s="6">
        <f t="shared" si="12"/>
        <v>318</v>
      </c>
      <c r="B323" s="7"/>
      <c r="C323" s="37" t="str">
        <f>IFERROR(VLOOKUP(B323,'MASTER RECORD'!$B$5:$W$1000,3,0),"")</f>
        <v/>
      </c>
      <c r="D323" s="37" t="str">
        <f>IFERROR(VLOOKUP(B323,'MASTER RECORD'!$B$5:$W$1000,2,0),"")</f>
        <v/>
      </c>
      <c r="E323" s="9"/>
      <c r="F323" s="9"/>
      <c r="G323" s="8"/>
      <c r="H323" s="37" t="str">
        <f t="shared" si="13"/>
        <v/>
      </c>
      <c r="I323" s="37" t="str">
        <f t="shared" si="14"/>
        <v/>
      </c>
      <c r="J323" s="7"/>
    </row>
    <row r="324" spans="1:10">
      <c r="A324" s="6">
        <f t="shared" si="12"/>
        <v>319</v>
      </c>
      <c r="B324" s="7"/>
      <c r="C324" s="37" t="str">
        <f>IFERROR(VLOOKUP(B324,'MASTER RECORD'!$B$5:$W$1000,3,0),"")</f>
        <v/>
      </c>
      <c r="D324" s="37" t="str">
        <f>IFERROR(VLOOKUP(B324,'MASTER RECORD'!$B$5:$W$1000,2,0),"")</f>
        <v/>
      </c>
      <c r="E324" s="9"/>
      <c r="F324" s="9"/>
      <c r="G324" s="8"/>
      <c r="H324" s="37" t="str">
        <f t="shared" si="13"/>
        <v/>
      </c>
      <c r="I324" s="37" t="str">
        <f t="shared" si="14"/>
        <v/>
      </c>
      <c r="J324" s="7"/>
    </row>
    <row r="325" spans="1:10">
      <c r="A325" s="6">
        <f t="shared" si="12"/>
        <v>320</v>
      </c>
      <c r="B325" s="7"/>
      <c r="C325" s="37" t="str">
        <f>IFERROR(VLOOKUP(B325,'MASTER RECORD'!$B$5:$W$1000,3,0),"")</f>
        <v/>
      </c>
      <c r="D325" s="37" t="str">
        <f>IFERROR(VLOOKUP(B325,'MASTER RECORD'!$B$5:$W$1000,2,0),"")</f>
        <v/>
      </c>
      <c r="E325" s="9"/>
      <c r="F325" s="9"/>
      <c r="G325" s="8"/>
      <c r="H325" s="37" t="str">
        <f t="shared" si="13"/>
        <v/>
      </c>
      <c r="I325" s="37" t="str">
        <f t="shared" si="14"/>
        <v/>
      </c>
      <c r="J325" s="7"/>
    </row>
    <row r="326" spans="1:10">
      <c r="A326" s="6">
        <f t="shared" si="12"/>
        <v>321</v>
      </c>
      <c r="B326" s="7"/>
      <c r="C326" s="37" t="str">
        <f>IFERROR(VLOOKUP(B326,'MASTER RECORD'!$B$5:$W$1000,3,0),"")</f>
        <v/>
      </c>
      <c r="D326" s="37" t="str">
        <f>IFERROR(VLOOKUP(B326,'MASTER RECORD'!$B$5:$W$1000,2,0),"")</f>
        <v/>
      </c>
      <c r="E326" s="9"/>
      <c r="F326" s="9"/>
      <c r="G326" s="8"/>
      <c r="H326" s="37" t="str">
        <f t="shared" si="13"/>
        <v/>
      </c>
      <c r="I326" s="37" t="str">
        <f t="shared" si="14"/>
        <v/>
      </c>
      <c r="J326" s="7"/>
    </row>
    <row r="327" spans="1:10">
      <c r="A327" s="6">
        <f t="shared" ref="A327:A390" si="15">ROW(A322)</f>
        <v>322</v>
      </c>
      <c r="B327" s="7"/>
      <c r="C327" s="37" t="str">
        <f>IFERROR(VLOOKUP(B327,'MASTER RECORD'!$B$5:$W$1000,3,0),"")</f>
        <v/>
      </c>
      <c r="D327" s="37" t="str">
        <f>IFERROR(VLOOKUP(B327,'MASTER RECORD'!$B$5:$W$1000,2,0),"")</f>
        <v/>
      </c>
      <c r="E327" s="9"/>
      <c r="F327" s="9"/>
      <c r="G327" s="8"/>
      <c r="H327" s="37" t="str">
        <f t="shared" ref="H327:H390" si="16">IF(G327=0,"",TEXT(G327,"mmmm"))</f>
        <v/>
      </c>
      <c r="I327" s="37" t="str">
        <f t="shared" ref="I327:I390" si="17">IF(G327=0,"",TEXT(G327,"yyyy"))</f>
        <v/>
      </c>
      <c r="J327" s="7"/>
    </row>
    <row r="328" spans="1:10">
      <c r="A328" s="6">
        <f t="shared" si="15"/>
        <v>323</v>
      </c>
      <c r="B328" s="7"/>
      <c r="C328" s="37" t="str">
        <f>IFERROR(VLOOKUP(B328,'MASTER RECORD'!$B$5:$W$1000,3,0),"")</f>
        <v/>
      </c>
      <c r="D328" s="37" t="str">
        <f>IFERROR(VLOOKUP(B328,'MASTER RECORD'!$B$5:$W$1000,2,0),"")</f>
        <v/>
      </c>
      <c r="E328" s="9"/>
      <c r="F328" s="9"/>
      <c r="G328" s="8"/>
      <c r="H328" s="37" t="str">
        <f t="shared" si="16"/>
        <v/>
      </c>
      <c r="I328" s="37" t="str">
        <f t="shared" si="17"/>
        <v/>
      </c>
      <c r="J328" s="7"/>
    </row>
    <row r="329" spans="1:10">
      <c r="A329" s="6">
        <f t="shared" si="15"/>
        <v>324</v>
      </c>
      <c r="B329" s="7"/>
      <c r="C329" s="37" t="str">
        <f>IFERROR(VLOOKUP(B329,'MASTER RECORD'!$B$5:$W$1000,3,0),"")</f>
        <v/>
      </c>
      <c r="D329" s="37" t="str">
        <f>IFERROR(VLOOKUP(B329,'MASTER RECORD'!$B$5:$W$1000,2,0),"")</f>
        <v/>
      </c>
      <c r="E329" s="9"/>
      <c r="F329" s="9"/>
      <c r="G329" s="8"/>
      <c r="H329" s="37" t="str">
        <f t="shared" si="16"/>
        <v/>
      </c>
      <c r="I329" s="37" t="str">
        <f t="shared" si="17"/>
        <v/>
      </c>
      <c r="J329" s="7"/>
    </row>
    <row r="330" spans="1:10">
      <c r="A330" s="6">
        <f t="shared" si="15"/>
        <v>325</v>
      </c>
      <c r="B330" s="7"/>
      <c r="C330" s="37" t="str">
        <f>IFERROR(VLOOKUP(B330,'MASTER RECORD'!$B$5:$W$1000,3,0),"")</f>
        <v/>
      </c>
      <c r="D330" s="37" t="str">
        <f>IFERROR(VLOOKUP(B330,'MASTER RECORD'!$B$5:$W$1000,2,0),"")</f>
        <v/>
      </c>
      <c r="E330" s="9"/>
      <c r="F330" s="9"/>
      <c r="G330" s="8"/>
      <c r="H330" s="37" t="str">
        <f t="shared" si="16"/>
        <v/>
      </c>
      <c r="I330" s="37" t="str">
        <f t="shared" si="17"/>
        <v/>
      </c>
      <c r="J330" s="7"/>
    </row>
    <row r="331" spans="1:10">
      <c r="A331" s="6">
        <f t="shared" si="15"/>
        <v>326</v>
      </c>
      <c r="B331" s="7"/>
      <c r="C331" s="37" t="str">
        <f>IFERROR(VLOOKUP(B331,'MASTER RECORD'!$B$5:$W$1000,3,0),"")</f>
        <v/>
      </c>
      <c r="D331" s="37" t="str">
        <f>IFERROR(VLOOKUP(B331,'MASTER RECORD'!$B$5:$W$1000,2,0),"")</f>
        <v/>
      </c>
      <c r="E331" s="9"/>
      <c r="F331" s="9"/>
      <c r="G331" s="8"/>
      <c r="H331" s="37" t="str">
        <f t="shared" si="16"/>
        <v/>
      </c>
      <c r="I331" s="37" t="str">
        <f t="shared" si="17"/>
        <v/>
      </c>
      <c r="J331" s="7"/>
    </row>
    <row r="332" spans="1:10">
      <c r="A332" s="6">
        <f t="shared" si="15"/>
        <v>327</v>
      </c>
      <c r="B332" s="7"/>
      <c r="C332" s="37" t="str">
        <f>IFERROR(VLOOKUP(B332,'MASTER RECORD'!$B$5:$W$1000,3,0),"")</f>
        <v/>
      </c>
      <c r="D332" s="37" t="str">
        <f>IFERROR(VLOOKUP(B332,'MASTER RECORD'!$B$5:$W$1000,2,0),"")</f>
        <v/>
      </c>
      <c r="E332" s="9"/>
      <c r="F332" s="9"/>
      <c r="G332" s="8"/>
      <c r="H332" s="37" t="str">
        <f t="shared" si="16"/>
        <v/>
      </c>
      <c r="I332" s="37" t="str">
        <f t="shared" si="17"/>
        <v/>
      </c>
      <c r="J332" s="7"/>
    </row>
    <row r="333" spans="1:10">
      <c r="A333" s="6">
        <f t="shared" si="15"/>
        <v>328</v>
      </c>
      <c r="B333" s="7"/>
      <c r="C333" s="37" t="str">
        <f>IFERROR(VLOOKUP(B333,'MASTER RECORD'!$B$5:$W$1000,3,0),"")</f>
        <v/>
      </c>
      <c r="D333" s="37" t="str">
        <f>IFERROR(VLOOKUP(B333,'MASTER RECORD'!$B$5:$W$1000,2,0),"")</f>
        <v/>
      </c>
      <c r="E333" s="9"/>
      <c r="F333" s="9"/>
      <c r="G333" s="8"/>
      <c r="H333" s="37" t="str">
        <f t="shared" si="16"/>
        <v/>
      </c>
      <c r="I333" s="37" t="str">
        <f t="shared" si="17"/>
        <v/>
      </c>
      <c r="J333" s="7"/>
    </row>
    <row r="334" spans="1:10">
      <c r="A334" s="6">
        <f t="shared" si="15"/>
        <v>329</v>
      </c>
      <c r="B334" s="7"/>
      <c r="C334" s="37" t="str">
        <f>IFERROR(VLOOKUP(B334,'MASTER RECORD'!$B$5:$W$1000,3,0),"")</f>
        <v/>
      </c>
      <c r="D334" s="37" t="str">
        <f>IFERROR(VLOOKUP(B334,'MASTER RECORD'!$B$5:$W$1000,2,0),"")</f>
        <v/>
      </c>
      <c r="E334" s="9"/>
      <c r="F334" s="9"/>
      <c r="G334" s="8"/>
      <c r="H334" s="37" t="str">
        <f t="shared" si="16"/>
        <v/>
      </c>
      <c r="I334" s="37" t="str">
        <f t="shared" si="17"/>
        <v/>
      </c>
      <c r="J334" s="7"/>
    </row>
    <row r="335" spans="1:10">
      <c r="A335" s="6">
        <f t="shared" si="15"/>
        <v>330</v>
      </c>
      <c r="B335" s="7"/>
      <c r="C335" s="37" t="str">
        <f>IFERROR(VLOOKUP(B335,'MASTER RECORD'!$B$5:$W$1000,3,0),"")</f>
        <v/>
      </c>
      <c r="D335" s="37" t="str">
        <f>IFERROR(VLOOKUP(B335,'MASTER RECORD'!$B$5:$W$1000,2,0),"")</f>
        <v/>
      </c>
      <c r="E335" s="9"/>
      <c r="F335" s="9"/>
      <c r="G335" s="8"/>
      <c r="H335" s="37" t="str">
        <f t="shared" si="16"/>
        <v/>
      </c>
      <c r="I335" s="37" t="str">
        <f t="shared" si="17"/>
        <v/>
      </c>
      <c r="J335" s="7"/>
    </row>
    <row r="336" spans="1:10">
      <c r="A336" s="6">
        <f t="shared" si="15"/>
        <v>331</v>
      </c>
      <c r="B336" s="7"/>
      <c r="C336" s="37" t="str">
        <f>IFERROR(VLOOKUP(B336,'MASTER RECORD'!$B$5:$W$1000,3,0),"")</f>
        <v/>
      </c>
      <c r="D336" s="37" t="str">
        <f>IFERROR(VLOOKUP(B336,'MASTER RECORD'!$B$5:$W$1000,2,0),"")</f>
        <v/>
      </c>
      <c r="E336" s="9"/>
      <c r="F336" s="9"/>
      <c r="G336" s="8"/>
      <c r="H336" s="37" t="str">
        <f t="shared" si="16"/>
        <v/>
      </c>
      <c r="I336" s="37" t="str">
        <f t="shared" si="17"/>
        <v/>
      </c>
      <c r="J336" s="7"/>
    </row>
    <row r="337" spans="1:10">
      <c r="A337" s="6">
        <f t="shared" si="15"/>
        <v>332</v>
      </c>
      <c r="B337" s="7"/>
      <c r="C337" s="37" t="str">
        <f>IFERROR(VLOOKUP(B337,'MASTER RECORD'!$B$5:$W$1000,3,0),"")</f>
        <v/>
      </c>
      <c r="D337" s="37" t="str">
        <f>IFERROR(VLOOKUP(B337,'MASTER RECORD'!$B$5:$W$1000,2,0),"")</f>
        <v/>
      </c>
      <c r="E337" s="9"/>
      <c r="F337" s="9"/>
      <c r="G337" s="8"/>
      <c r="H337" s="37" t="str">
        <f t="shared" si="16"/>
        <v/>
      </c>
      <c r="I337" s="37" t="str">
        <f t="shared" si="17"/>
        <v/>
      </c>
      <c r="J337" s="7"/>
    </row>
    <row r="338" spans="1:10">
      <c r="A338" s="6">
        <f t="shared" si="15"/>
        <v>333</v>
      </c>
      <c r="B338" s="7"/>
      <c r="C338" s="37" t="str">
        <f>IFERROR(VLOOKUP(B338,'MASTER RECORD'!$B$5:$W$1000,3,0),"")</f>
        <v/>
      </c>
      <c r="D338" s="37" t="str">
        <f>IFERROR(VLOOKUP(B338,'MASTER RECORD'!$B$5:$W$1000,2,0),"")</f>
        <v/>
      </c>
      <c r="E338" s="9"/>
      <c r="F338" s="9"/>
      <c r="G338" s="8"/>
      <c r="H338" s="37" t="str">
        <f t="shared" si="16"/>
        <v/>
      </c>
      <c r="I338" s="37" t="str">
        <f t="shared" si="17"/>
        <v/>
      </c>
      <c r="J338" s="7"/>
    </row>
    <row r="339" spans="1:10">
      <c r="A339" s="6">
        <f t="shared" si="15"/>
        <v>334</v>
      </c>
      <c r="B339" s="7"/>
      <c r="C339" s="37" t="str">
        <f>IFERROR(VLOOKUP(B339,'MASTER RECORD'!$B$5:$W$1000,3,0),"")</f>
        <v/>
      </c>
      <c r="D339" s="37" t="str">
        <f>IFERROR(VLOOKUP(B339,'MASTER RECORD'!$B$5:$W$1000,2,0),"")</f>
        <v/>
      </c>
      <c r="E339" s="9"/>
      <c r="F339" s="9"/>
      <c r="G339" s="8"/>
      <c r="H339" s="37" t="str">
        <f t="shared" si="16"/>
        <v/>
      </c>
      <c r="I339" s="37" t="str">
        <f t="shared" si="17"/>
        <v/>
      </c>
      <c r="J339" s="7"/>
    </row>
    <row r="340" spans="1:10">
      <c r="A340" s="6">
        <f t="shared" si="15"/>
        <v>335</v>
      </c>
      <c r="B340" s="7"/>
      <c r="C340" s="37" t="str">
        <f>IFERROR(VLOOKUP(B340,'MASTER RECORD'!$B$5:$W$1000,3,0),"")</f>
        <v/>
      </c>
      <c r="D340" s="37" t="str">
        <f>IFERROR(VLOOKUP(B340,'MASTER RECORD'!$B$5:$W$1000,2,0),"")</f>
        <v/>
      </c>
      <c r="E340" s="9"/>
      <c r="F340" s="9"/>
      <c r="G340" s="8"/>
      <c r="H340" s="37" t="str">
        <f t="shared" si="16"/>
        <v/>
      </c>
      <c r="I340" s="37" t="str">
        <f t="shared" si="17"/>
        <v/>
      </c>
      <c r="J340" s="7"/>
    </row>
    <row r="341" spans="1:10">
      <c r="A341" s="6">
        <f t="shared" si="15"/>
        <v>336</v>
      </c>
      <c r="B341" s="7"/>
      <c r="C341" s="37" t="str">
        <f>IFERROR(VLOOKUP(B341,'MASTER RECORD'!$B$5:$W$1000,3,0),"")</f>
        <v/>
      </c>
      <c r="D341" s="37" t="str">
        <f>IFERROR(VLOOKUP(B341,'MASTER RECORD'!$B$5:$W$1000,2,0),"")</f>
        <v/>
      </c>
      <c r="E341" s="9"/>
      <c r="F341" s="9"/>
      <c r="G341" s="8"/>
      <c r="H341" s="37" t="str">
        <f t="shared" si="16"/>
        <v/>
      </c>
      <c r="I341" s="37" t="str">
        <f t="shared" si="17"/>
        <v/>
      </c>
      <c r="J341" s="7"/>
    </row>
    <row r="342" spans="1:10">
      <c r="A342" s="6">
        <f t="shared" si="15"/>
        <v>337</v>
      </c>
      <c r="B342" s="7"/>
      <c r="C342" s="37" t="str">
        <f>IFERROR(VLOOKUP(B342,'MASTER RECORD'!$B$5:$W$1000,3,0),"")</f>
        <v/>
      </c>
      <c r="D342" s="37" t="str">
        <f>IFERROR(VLOOKUP(B342,'MASTER RECORD'!$B$5:$W$1000,2,0),"")</f>
        <v/>
      </c>
      <c r="E342" s="9"/>
      <c r="F342" s="9"/>
      <c r="G342" s="8"/>
      <c r="H342" s="37" t="str">
        <f t="shared" si="16"/>
        <v/>
      </c>
      <c r="I342" s="37" t="str">
        <f t="shared" si="17"/>
        <v/>
      </c>
      <c r="J342" s="7"/>
    </row>
    <row r="343" spans="1:10">
      <c r="A343" s="6">
        <f t="shared" si="15"/>
        <v>338</v>
      </c>
      <c r="B343" s="7"/>
      <c r="C343" s="37" t="str">
        <f>IFERROR(VLOOKUP(B343,'MASTER RECORD'!$B$5:$W$1000,3,0),"")</f>
        <v/>
      </c>
      <c r="D343" s="37" t="str">
        <f>IFERROR(VLOOKUP(B343,'MASTER RECORD'!$B$5:$W$1000,2,0),"")</f>
        <v/>
      </c>
      <c r="E343" s="9"/>
      <c r="F343" s="9"/>
      <c r="G343" s="8"/>
      <c r="H343" s="37" t="str">
        <f t="shared" si="16"/>
        <v/>
      </c>
      <c r="I343" s="37" t="str">
        <f t="shared" si="17"/>
        <v/>
      </c>
      <c r="J343" s="7"/>
    </row>
    <row r="344" spans="1:10">
      <c r="A344" s="6">
        <f t="shared" si="15"/>
        <v>339</v>
      </c>
      <c r="B344" s="7"/>
      <c r="C344" s="37" t="str">
        <f>IFERROR(VLOOKUP(B344,'MASTER RECORD'!$B$5:$W$1000,3,0),"")</f>
        <v/>
      </c>
      <c r="D344" s="37" t="str">
        <f>IFERROR(VLOOKUP(B344,'MASTER RECORD'!$B$5:$W$1000,2,0),"")</f>
        <v/>
      </c>
      <c r="E344" s="9"/>
      <c r="F344" s="9"/>
      <c r="G344" s="8"/>
      <c r="H344" s="37" t="str">
        <f t="shared" si="16"/>
        <v/>
      </c>
      <c r="I344" s="37" t="str">
        <f t="shared" si="17"/>
        <v/>
      </c>
      <c r="J344" s="7"/>
    </row>
    <row r="345" spans="1:10">
      <c r="A345" s="6">
        <f t="shared" si="15"/>
        <v>340</v>
      </c>
      <c r="B345" s="7"/>
      <c r="C345" s="37" t="str">
        <f>IFERROR(VLOOKUP(B345,'MASTER RECORD'!$B$5:$W$1000,3,0),"")</f>
        <v/>
      </c>
      <c r="D345" s="37" t="str">
        <f>IFERROR(VLOOKUP(B345,'MASTER RECORD'!$B$5:$W$1000,2,0),"")</f>
        <v/>
      </c>
      <c r="E345" s="9"/>
      <c r="F345" s="9"/>
      <c r="G345" s="8"/>
      <c r="H345" s="37" t="str">
        <f t="shared" si="16"/>
        <v/>
      </c>
      <c r="I345" s="37" t="str">
        <f t="shared" si="17"/>
        <v/>
      </c>
      <c r="J345" s="7"/>
    </row>
    <row r="346" spans="1:10">
      <c r="A346" s="6">
        <f t="shared" si="15"/>
        <v>341</v>
      </c>
      <c r="B346" s="7"/>
      <c r="C346" s="37" t="str">
        <f>IFERROR(VLOOKUP(B346,'MASTER RECORD'!$B$5:$W$1000,3,0),"")</f>
        <v/>
      </c>
      <c r="D346" s="37" t="str">
        <f>IFERROR(VLOOKUP(B346,'MASTER RECORD'!$B$5:$W$1000,2,0),"")</f>
        <v/>
      </c>
      <c r="E346" s="9"/>
      <c r="F346" s="9"/>
      <c r="G346" s="8"/>
      <c r="H346" s="37" t="str">
        <f t="shared" si="16"/>
        <v/>
      </c>
      <c r="I346" s="37" t="str">
        <f t="shared" si="17"/>
        <v/>
      </c>
      <c r="J346" s="7"/>
    </row>
    <row r="347" spans="1:10">
      <c r="A347" s="6">
        <f t="shared" si="15"/>
        <v>342</v>
      </c>
      <c r="B347" s="7"/>
      <c r="C347" s="37" t="str">
        <f>IFERROR(VLOOKUP(B347,'MASTER RECORD'!$B$5:$W$1000,3,0),"")</f>
        <v/>
      </c>
      <c r="D347" s="37" t="str">
        <f>IFERROR(VLOOKUP(B347,'MASTER RECORD'!$B$5:$W$1000,2,0),"")</f>
        <v/>
      </c>
      <c r="E347" s="9"/>
      <c r="F347" s="9"/>
      <c r="G347" s="8"/>
      <c r="H347" s="37" t="str">
        <f t="shared" si="16"/>
        <v/>
      </c>
      <c r="I347" s="37" t="str">
        <f t="shared" si="17"/>
        <v/>
      </c>
      <c r="J347" s="7"/>
    </row>
    <row r="348" spans="1:10">
      <c r="A348" s="6">
        <f t="shared" si="15"/>
        <v>343</v>
      </c>
      <c r="B348" s="7"/>
      <c r="C348" s="37" t="str">
        <f>IFERROR(VLOOKUP(B348,'MASTER RECORD'!$B$5:$W$1000,3,0),"")</f>
        <v/>
      </c>
      <c r="D348" s="37" t="str">
        <f>IFERROR(VLOOKUP(B348,'MASTER RECORD'!$B$5:$W$1000,2,0),"")</f>
        <v/>
      </c>
      <c r="E348" s="9"/>
      <c r="F348" s="9"/>
      <c r="G348" s="8"/>
      <c r="H348" s="37" t="str">
        <f t="shared" si="16"/>
        <v/>
      </c>
      <c r="I348" s="37" t="str">
        <f t="shared" si="17"/>
        <v/>
      </c>
      <c r="J348" s="7"/>
    </row>
    <row r="349" spans="1:10">
      <c r="A349" s="6">
        <f t="shared" si="15"/>
        <v>344</v>
      </c>
      <c r="B349" s="7"/>
      <c r="C349" s="37" t="str">
        <f>IFERROR(VLOOKUP(B349,'MASTER RECORD'!$B$5:$W$1000,3,0),"")</f>
        <v/>
      </c>
      <c r="D349" s="37" t="str">
        <f>IFERROR(VLOOKUP(B349,'MASTER RECORD'!$B$5:$W$1000,2,0),"")</f>
        <v/>
      </c>
      <c r="E349" s="9"/>
      <c r="F349" s="9"/>
      <c r="G349" s="8"/>
      <c r="H349" s="37" t="str">
        <f t="shared" si="16"/>
        <v/>
      </c>
      <c r="I349" s="37" t="str">
        <f t="shared" si="17"/>
        <v/>
      </c>
      <c r="J349" s="7"/>
    </row>
    <row r="350" spans="1:10">
      <c r="A350" s="6">
        <f t="shared" si="15"/>
        <v>345</v>
      </c>
      <c r="B350" s="7"/>
      <c r="C350" s="37" t="str">
        <f>IFERROR(VLOOKUP(B350,'MASTER RECORD'!$B$5:$W$1000,3,0),"")</f>
        <v/>
      </c>
      <c r="D350" s="37" t="str">
        <f>IFERROR(VLOOKUP(B350,'MASTER RECORD'!$B$5:$W$1000,2,0),"")</f>
        <v/>
      </c>
      <c r="E350" s="9"/>
      <c r="F350" s="9"/>
      <c r="G350" s="8"/>
      <c r="H350" s="37" t="str">
        <f t="shared" si="16"/>
        <v/>
      </c>
      <c r="I350" s="37" t="str">
        <f t="shared" si="17"/>
        <v/>
      </c>
      <c r="J350" s="7"/>
    </row>
    <row r="351" spans="1:10">
      <c r="A351" s="6">
        <f t="shared" si="15"/>
        <v>346</v>
      </c>
      <c r="B351" s="7"/>
      <c r="C351" s="37" t="str">
        <f>IFERROR(VLOOKUP(B351,'MASTER RECORD'!$B$5:$W$1000,3,0),"")</f>
        <v/>
      </c>
      <c r="D351" s="37" t="str">
        <f>IFERROR(VLOOKUP(B351,'MASTER RECORD'!$B$5:$W$1000,2,0),"")</f>
        <v/>
      </c>
      <c r="E351" s="9"/>
      <c r="F351" s="9"/>
      <c r="G351" s="8"/>
      <c r="H351" s="37" t="str">
        <f t="shared" si="16"/>
        <v/>
      </c>
      <c r="I351" s="37" t="str">
        <f t="shared" si="17"/>
        <v/>
      </c>
      <c r="J351" s="7"/>
    </row>
    <row r="352" spans="1:10">
      <c r="A352" s="6">
        <f t="shared" si="15"/>
        <v>347</v>
      </c>
      <c r="B352" s="7"/>
      <c r="C352" s="37" t="str">
        <f>IFERROR(VLOOKUP(B352,'MASTER RECORD'!$B$5:$W$1000,3,0),"")</f>
        <v/>
      </c>
      <c r="D352" s="37" t="str">
        <f>IFERROR(VLOOKUP(B352,'MASTER RECORD'!$B$5:$W$1000,2,0),"")</f>
        <v/>
      </c>
      <c r="E352" s="9"/>
      <c r="F352" s="9"/>
      <c r="G352" s="8"/>
      <c r="H352" s="37" t="str">
        <f t="shared" si="16"/>
        <v/>
      </c>
      <c r="I352" s="37" t="str">
        <f t="shared" si="17"/>
        <v/>
      </c>
      <c r="J352" s="7"/>
    </row>
    <row r="353" spans="1:10">
      <c r="A353" s="6">
        <f t="shared" si="15"/>
        <v>348</v>
      </c>
      <c r="B353" s="7"/>
      <c r="C353" s="37" t="str">
        <f>IFERROR(VLOOKUP(B353,'MASTER RECORD'!$B$5:$W$1000,3,0),"")</f>
        <v/>
      </c>
      <c r="D353" s="37" t="str">
        <f>IFERROR(VLOOKUP(B353,'MASTER RECORD'!$B$5:$W$1000,2,0),"")</f>
        <v/>
      </c>
      <c r="E353" s="9"/>
      <c r="F353" s="9"/>
      <c r="G353" s="8"/>
      <c r="H353" s="37" t="str">
        <f t="shared" si="16"/>
        <v/>
      </c>
      <c r="I353" s="37" t="str">
        <f t="shared" si="17"/>
        <v/>
      </c>
      <c r="J353" s="7"/>
    </row>
    <row r="354" spans="1:10">
      <c r="A354" s="6">
        <f t="shared" si="15"/>
        <v>349</v>
      </c>
      <c r="B354" s="7"/>
      <c r="C354" s="37" t="str">
        <f>IFERROR(VLOOKUP(B354,'MASTER RECORD'!$B$5:$W$1000,3,0),"")</f>
        <v/>
      </c>
      <c r="D354" s="37" t="str">
        <f>IFERROR(VLOOKUP(B354,'MASTER RECORD'!$B$5:$W$1000,2,0),"")</f>
        <v/>
      </c>
      <c r="E354" s="9"/>
      <c r="F354" s="9"/>
      <c r="G354" s="8"/>
      <c r="H354" s="37" t="str">
        <f t="shared" si="16"/>
        <v/>
      </c>
      <c r="I354" s="37" t="str">
        <f t="shared" si="17"/>
        <v/>
      </c>
      <c r="J354" s="7"/>
    </row>
    <row r="355" spans="1:10">
      <c r="A355" s="6">
        <f t="shared" si="15"/>
        <v>350</v>
      </c>
      <c r="B355" s="7"/>
      <c r="C355" s="37" t="str">
        <f>IFERROR(VLOOKUP(B355,'MASTER RECORD'!$B$5:$W$1000,3,0),"")</f>
        <v/>
      </c>
      <c r="D355" s="37" t="str">
        <f>IFERROR(VLOOKUP(B355,'MASTER RECORD'!$B$5:$W$1000,2,0),"")</f>
        <v/>
      </c>
      <c r="E355" s="9"/>
      <c r="F355" s="9"/>
      <c r="G355" s="8"/>
      <c r="H355" s="37" t="str">
        <f t="shared" si="16"/>
        <v/>
      </c>
      <c r="I355" s="37" t="str">
        <f t="shared" si="17"/>
        <v/>
      </c>
      <c r="J355" s="7"/>
    </row>
    <row r="356" spans="1:10">
      <c r="A356" s="6">
        <f t="shared" si="15"/>
        <v>351</v>
      </c>
      <c r="B356" s="7"/>
      <c r="C356" s="37" t="str">
        <f>IFERROR(VLOOKUP(B356,'MASTER RECORD'!$B$5:$W$1000,3,0),"")</f>
        <v/>
      </c>
      <c r="D356" s="37" t="str">
        <f>IFERROR(VLOOKUP(B356,'MASTER RECORD'!$B$5:$W$1000,2,0),"")</f>
        <v/>
      </c>
      <c r="E356" s="9"/>
      <c r="F356" s="9"/>
      <c r="G356" s="8"/>
      <c r="H356" s="37" t="str">
        <f t="shared" si="16"/>
        <v/>
      </c>
      <c r="I356" s="37" t="str">
        <f t="shared" si="17"/>
        <v/>
      </c>
      <c r="J356" s="7"/>
    </row>
    <row r="357" spans="1:10">
      <c r="A357" s="6">
        <f t="shared" si="15"/>
        <v>352</v>
      </c>
      <c r="B357" s="7"/>
      <c r="C357" s="37" t="str">
        <f>IFERROR(VLOOKUP(B357,'MASTER RECORD'!$B$5:$W$1000,3,0),"")</f>
        <v/>
      </c>
      <c r="D357" s="37" t="str">
        <f>IFERROR(VLOOKUP(B357,'MASTER RECORD'!$B$5:$W$1000,2,0),"")</f>
        <v/>
      </c>
      <c r="E357" s="9"/>
      <c r="F357" s="9"/>
      <c r="G357" s="8"/>
      <c r="H357" s="37" t="str">
        <f t="shared" si="16"/>
        <v/>
      </c>
      <c r="I357" s="37" t="str">
        <f t="shared" si="17"/>
        <v/>
      </c>
      <c r="J357" s="7"/>
    </row>
    <row r="358" spans="1:10">
      <c r="A358" s="6">
        <f t="shared" si="15"/>
        <v>353</v>
      </c>
      <c r="B358" s="7"/>
      <c r="C358" s="37" t="str">
        <f>IFERROR(VLOOKUP(B358,'MASTER RECORD'!$B$5:$W$1000,3,0),"")</f>
        <v/>
      </c>
      <c r="D358" s="37" t="str">
        <f>IFERROR(VLOOKUP(B358,'MASTER RECORD'!$B$5:$W$1000,2,0),"")</f>
        <v/>
      </c>
      <c r="E358" s="9"/>
      <c r="F358" s="9"/>
      <c r="G358" s="8"/>
      <c r="H358" s="37" t="str">
        <f t="shared" si="16"/>
        <v/>
      </c>
      <c r="I358" s="37" t="str">
        <f t="shared" si="17"/>
        <v/>
      </c>
      <c r="J358" s="7"/>
    </row>
    <row r="359" spans="1:10">
      <c r="A359" s="6">
        <f t="shared" si="15"/>
        <v>354</v>
      </c>
      <c r="B359" s="7"/>
      <c r="C359" s="37" t="str">
        <f>IFERROR(VLOOKUP(B359,'MASTER RECORD'!$B$5:$W$1000,3,0),"")</f>
        <v/>
      </c>
      <c r="D359" s="37" t="str">
        <f>IFERROR(VLOOKUP(B359,'MASTER RECORD'!$B$5:$W$1000,2,0),"")</f>
        <v/>
      </c>
      <c r="E359" s="9"/>
      <c r="F359" s="9"/>
      <c r="G359" s="8"/>
      <c r="H359" s="37" t="str">
        <f t="shared" si="16"/>
        <v/>
      </c>
      <c r="I359" s="37" t="str">
        <f t="shared" si="17"/>
        <v/>
      </c>
      <c r="J359" s="7"/>
    </row>
    <row r="360" spans="1:10">
      <c r="A360" s="6">
        <f t="shared" si="15"/>
        <v>355</v>
      </c>
      <c r="B360" s="7"/>
      <c r="C360" s="37" t="str">
        <f>IFERROR(VLOOKUP(B360,'MASTER RECORD'!$B$5:$W$1000,3,0),"")</f>
        <v/>
      </c>
      <c r="D360" s="37" t="str">
        <f>IFERROR(VLOOKUP(B360,'MASTER RECORD'!$B$5:$W$1000,2,0),"")</f>
        <v/>
      </c>
      <c r="E360" s="9"/>
      <c r="F360" s="9"/>
      <c r="G360" s="8"/>
      <c r="H360" s="37" t="str">
        <f t="shared" si="16"/>
        <v/>
      </c>
      <c r="I360" s="37" t="str">
        <f t="shared" si="17"/>
        <v/>
      </c>
      <c r="J360" s="7"/>
    </row>
    <row r="361" spans="1:10">
      <c r="A361" s="6">
        <f t="shared" si="15"/>
        <v>356</v>
      </c>
      <c r="B361" s="7"/>
      <c r="C361" s="37" t="str">
        <f>IFERROR(VLOOKUP(B361,'MASTER RECORD'!$B$5:$W$1000,3,0),"")</f>
        <v/>
      </c>
      <c r="D361" s="37" t="str">
        <f>IFERROR(VLOOKUP(B361,'MASTER RECORD'!$B$5:$W$1000,2,0),"")</f>
        <v/>
      </c>
      <c r="E361" s="9"/>
      <c r="F361" s="9"/>
      <c r="G361" s="8"/>
      <c r="H361" s="37" t="str">
        <f t="shared" si="16"/>
        <v/>
      </c>
      <c r="I361" s="37" t="str">
        <f t="shared" si="17"/>
        <v/>
      </c>
      <c r="J361" s="7"/>
    </row>
    <row r="362" spans="1:10">
      <c r="A362" s="6">
        <f t="shared" si="15"/>
        <v>357</v>
      </c>
      <c r="B362" s="7"/>
      <c r="C362" s="37" t="str">
        <f>IFERROR(VLOOKUP(B362,'MASTER RECORD'!$B$5:$W$1000,3,0),"")</f>
        <v/>
      </c>
      <c r="D362" s="37" t="str">
        <f>IFERROR(VLOOKUP(B362,'MASTER RECORD'!$B$5:$W$1000,2,0),"")</f>
        <v/>
      </c>
      <c r="E362" s="9"/>
      <c r="F362" s="9"/>
      <c r="G362" s="8"/>
      <c r="H362" s="37" t="str">
        <f t="shared" si="16"/>
        <v/>
      </c>
      <c r="I362" s="37" t="str">
        <f t="shared" si="17"/>
        <v/>
      </c>
      <c r="J362" s="7"/>
    </row>
    <row r="363" spans="1:10">
      <c r="A363" s="6">
        <f t="shared" si="15"/>
        <v>358</v>
      </c>
      <c r="B363" s="7"/>
      <c r="C363" s="37" t="str">
        <f>IFERROR(VLOOKUP(B363,'MASTER RECORD'!$B$5:$W$1000,3,0),"")</f>
        <v/>
      </c>
      <c r="D363" s="37" t="str">
        <f>IFERROR(VLOOKUP(B363,'MASTER RECORD'!$B$5:$W$1000,2,0),"")</f>
        <v/>
      </c>
      <c r="E363" s="9"/>
      <c r="F363" s="9"/>
      <c r="G363" s="8"/>
      <c r="H363" s="37" t="str">
        <f t="shared" si="16"/>
        <v/>
      </c>
      <c r="I363" s="37" t="str">
        <f t="shared" si="17"/>
        <v/>
      </c>
      <c r="J363" s="7"/>
    </row>
    <row r="364" spans="1:10">
      <c r="A364" s="6">
        <f t="shared" si="15"/>
        <v>359</v>
      </c>
      <c r="B364" s="7"/>
      <c r="C364" s="37" t="str">
        <f>IFERROR(VLOOKUP(B364,'MASTER RECORD'!$B$5:$W$1000,3,0),"")</f>
        <v/>
      </c>
      <c r="D364" s="37" t="str">
        <f>IFERROR(VLOOKUP(B364,'MASTER RECORD'!$B$5:$W$1000,2,0),"")</f>
        <v/>
      </c>
      <c r="E364" s="9"/>
      <c r="F364" s="9"/>
      <c r="G364" s="8"/>
      <c r="H364" s="37" t="str">
        <f t="shared" si="16"/>
        <v/>
      </c>
      <c r="I364" s="37" t="str">
        <f t="shared" si="17"/>
        <v/>
      </c>
      <c r="J364" s="7"/>
    </row>
    <row r="365" spans="1:10">
      <c r="A365" s="6">
        <f t="shared" si="15"/>
        <v>360</v>
      </c>
      <c r="B365" s="7"/>
      <c r="C365" s="37" t="str">
        <f>IFERROR(VLOOKUP(B365,'MASTER RECORD'!$B$5:$W$1000,3,0),"")</f>
        <v/>
      </c>
      <c r="D365" s="37" t="str">
        <f>IFERROR(VLOOKUP(B365,'MASTER RECORD'!$B$5:$W$1000,2,0),"")</f>
        <v/>
      </c>
      <c r="E365" s="9"/>
      <c r="F365" s="9"/>
      <c r="G365" s="8"/>
      <c r="H365" s="37" t="str">
        <f t="shared" si="16"/>
        <v/>
      </c>
      <c r="I365" s="37" t="str">
        <f t="shared" si="17"/>
        <v/>
      </c>
      <c r="J365" s="7"/>
    </row>
    <row r="366" spans="1:10">
      <c r="A366" s="6">
        <f t="shared" si="15"/>
        <v>361</v>
      </c>
      <c r="B366" s="7"/>
      <c r="C366" s="37" t="str">
        <f>IFERROR(VLOOKUP(B366,'MASTER RECORD'!$B$5:$W$1000,3,0),"")</f>
        <v/>
      </c>
      <c r="D366" s="37" t="str">
        <f>IFERROR(VLOOKUP(B366,'MASTER RECORD'!$B$5:$W$1000,2,0),"")</f>
        <v/>
      </c>
      <c r="E366" s="9"/>
      <c r="F366" s="9"/>
      <c r="G366" s="8"/>
      <c r="H366" s="37" t="str">
        <f t="shared" si="16"/>
        <v/>
      </c>
      <c r="I366" s="37" t="str">
        <f t="shared" si="17"/>
        <v/>
      </c>
      <c r="J366" s="7"/>
    </row>
    <row r="367" spans="1:10">
      <c r="A367" s="6">
        <f t="shared" si="15"/>
        <v>362</v>
      </c>
      <c r="B367" s="7"/>
      <c r="C367" s="37" t="str">
        <f>IFERROR(VLOOKUP(B367,'MASTER RECORD'!$B$5:$W$1000,3,0),"")</f>
        <v/>
      </c>
      <c r="D367" s="37" t="str">
        <f>IFERROR(VLOOKUP(B367,'MASTER RECORD'!$B$5:$W$1000,2,0),"")</f>
        <v/>
      </c>
      <c r="E367" s="9"/>
      <c r="F367" s="9"/>
      <c r="G367" s="8"/>
      <c r="H367" s="37" t="str">
        <f t="shared" si="16"/>
        <v/>
      </c>
      <c r="I367" s="37" t="str">
        <f t="shared" si="17"/>
        <v/>
      </c>
      <c r="J367" s="7"/>
    </row>
    <row r="368" spans="1:10">
      <c r="A368" s="6">
        <f t="shared" si="15"/>
        <v>363</v>
      </c>
      <c r="B368" s="7"/>
      <c r="C368" s="37" t="str">
        <f>IFERROR(VLOOKUP(B368,'MASTER RECORD'!$B$5:$W$1000,3,0),"")</f>
        <v/>
      </c>
      <c r="D368" s="37" t="str">
        <f>IFERROR(VLOOKUP(B368,'MASTER RECORD'!$B$5:$W$1000,2,0),"")</f>
        <v/>
      </c>
      <c r="E368" s="9"/>
      <c r="F368" s="9"/>
      <c r="G368" s="8"/>
      <c r="H368" s="37" t="str">
        <f t="shared" si="16"/>
        <v/>
      </c>
      <c r="I368" s="37" t="str">
        <f t="shared" si="17"/>
        <v/>
      </c>
      <c r="J368" s="7"/>
    </row>
    <row r="369" spans="1:10">
      <c r="A369" s="6">
        <f t="shared" si="15"/>
        <v>364</v>
      </c>
      <c r="B369" s="7"/>
      <c r="C369" s="37" t="str">
        <f>IFERROR(VLOOKUP(B369,'MASTER RECORD'!$B$5:$W$1000,3,0),"")</f>
        <v/>
      </c>
      <c r="D369" s="37" t="str">
        <f>IFERROR(VLOOKUP(B369,'MASTER RECORD'!$B$5:$W$1000,2,0),"")</f>
        <v/>
      </c>
      <c r="E369" s="9"/>
      <c r="F369" s="9"/>
      <c r="G369" s="8"/>
      <c r="H369" s="37" t="str">
        <f t="shared" si="16"/>
        <v/>
      </c>
      <c r="I369" s="37" t="str">
        <f t="shared" si="17"/>
        <v/>
      </c>
      <c r="J369" s="7"/>
    </row>
    <row r="370" spans="1:10">
      <c r="A370" s="6">
        <f t="shared" si="15"/>
        <v>365</v>
      </c>
      <c r="B370" s="7"/>
      <c r="C370" s="37" t="str">
        <f>IFERROR(VLOOKUP(B370,'MASTER RECORD'!$B$5:$W$1000,3,0),"")</f>
        <v/>
      </c>
      <c r="D370" s="37" t="str">
        <f>IFERROR(VLOOKUP(B370,'MASTER RECORD'!$B$5:$W$1000,2,0),"")</f>
        <v/>
      </c>
      <c r="E370" s="9"/>
      <c r="F370" s="9"/>
      <c r="G370" s="8"/>
      <c r="H370" s="37" t="str">
        <f t="shared" si="16"/>
        <v/>
      </c>
      <c r="I370" s="37" t="str">
        <f t="shared" si="17"/>
        <v/>
      </c>
      <c r="J370" s="7"/>
    </row>
    <row r="371" spans="1:10">
      <c r="A371" s="6">
        <f t="shared" si="15"/>
        <v>366</v>
      </c>
      <c r="B371" s="7"/>
      <c r="C371" s="37" t="str">
        <f>IFERROR(VLOOKUP(B371,'MASTER RECORD'!$B$5:$W$1000,3,0),"")</f>
        <v/>
      </c>
      <c r="D371" s="37" t="str">
        <f>IFERROR(VLOOKUP(B371,'MASTER RECORD'!$B$5:$W$1000,2,0),"")</f>
        <v/>
      </c>
      <c r="E371" s="9"/>
      <c r="F371" s="9"/>
      <c r="G371" s="8"/>
      <c r="H371" s="37" t="str">
        <f t="shared" si="16"/>
        <v/>
      </c>
      <c r="I371" s="37" t="str">
        <f t="shared" si="17"/>
        <v/>
      </c>
      <c r="J371" s="7"/>
    </row>
    <row r="372" spans="1:10">
      <c r="A372" s="6">
        <f t="shared" si="15"/>
        <v>367</v>
      </c>
      <c r="B372" s="7"/>
      <c r="C372" s="37" t="str">
        <f>IFERROR(VLOOKUP(B372,'MASTER RECORD'!$B$5:$W$1000,3,0),"")</f>
        <v/>
      </c>
      <c r="D372" s="37" t="str">
        <f>IFERROR(VLOOKUP(B372,'MASTER RECORD'!$B$5:$W$1000,2,0),"")</f>
        <v/>
      </c>
      <c r="E372" s="9"/>
      <c r="F372" s="9"/>
      <c r="G372" s="8"/>
      <c r="H372" s="37" t="str">
        <f t="shared" si="16"/>
        <v/>
      </c>
      <c r="I372" s="37" t="str">
        <f t="shared" si="17"/>
        <v/>
      </c>
      <c r="J372" s="7"/>
    </row>
    <row r="373" spans="1:10">
      <c r="A373" s="6">
        <f t="shared" si="15"/>
        <v>368</v>
      </c>
      <c r="B373" s="7"/>
      <c r="C373" s="37" t="str">
        <f>IFERROR(VLOOKUP(B373,'MASTER RECORD'!$B$5:$W$1000,3,0),"")</f>
        <v/>
      </c>
      <c r="D373" s="37" t="str">
        <f>IFERROR(VLOOKUP(B373,'MASTER RECORD'!$B$5:$W$1000,2,0),"")</f>
        <v/>
      </c>
      <c r="E373" s="9"/>
      <c r="F373" s="9"/>
      <c r="G373" s="8"/>
      <c r="H373" s="37" t="str">
        <f t="shared" si="16"/>
        <v/>
      </c>
      <c r="I373" s="37" t="str">
        <f t="shared" si="17"/>
        <v/>
      </c>
      <c r="J373" s="7"/>
    </row>
    <row r="374" spans="1:10">
      <c r="A374" s="6">
        <f t="shared" si="15"/>
        <v>369</v>
      </c>
      <c r="B374" s="7"/>
      <c r="C374" s="37" t="str">
        <f>IFERROR(VLOOKUP(B374,'MASTER RECORD'!$B$5:$W$1000,3,0),"")</f>
        <v/>
      </c>
      <c r="D374" s="37" t="str">
        <f>IFERROR(VLOOKUP(B374,'MASTER RECORD'!$B$5:$W$1000,2,0),"")</f>
        <v/>
      </c>
      <c r="E374" s="9"/>
      <c r="F374" s="9"/>
      <c r="G374" s="8"/>
      <c r="H374" s="37" t="str">
        <f t="shared" si="16"/>
        <v/>
      </c>
      <c r="I374" s="37" t="str">
        <f t="shared" si="17"/>
        <v/>
      </c>
      <c r="J374" s="7"/>
    </row>
    <row r="375" spans="1:10">
      <c r="A375" s="6">
        <f t="shared" si="15"/>
        <v>370</v>
      </c>
      <c r="B375" s="7"/>
      <c r="C375" s="37" t="str">
        <f>IFERROR(VLOOKUP(B375,'MASTER RECORD'!$B$5:$W$1000,3,0),"")</f>
        <v/>
      </c>
      <c r="D375" s="37" t="str">
        <f>IFERROR(VLOOKUP(B375,'MASTER RECORD'!$B$5:$W$1000,2,0),"")</f>
        <v/>
      </c>
      <c r="E375" s="9"/>
      <c r="F375" s="9"/>
      <c r="G375" s="8"/>
      <c r="H375" s="37" t="str">
        <f t="shared" si="16"/>
        <v/>
      </c>
      <c r="I375" s="37" t="str">
        <f t="shared" si="17"/>
        <v/>
      </c>
      <c r="J375" s="7"/>
    </row>
    <row r="376" spans="1:10">
      <c r="A376" s="6">
        <f t="shared" si="15"/>
        <v>371</v>
      </c>
      <c r="B376" s="7"/>
      <c r="C376" s="37" t="str">
        <f>IFERROR(VLOOKUP(B376,'MASTER RECORD'!$B$5:$W$1000,3,0),"")</f>
        <v/>
      </c>
      <c r="D376" s="37" t="str">
        <f>IFERROR(VLOOKUP(B376,'MASTER RECORD'!$B$5:$W$1000,2,0),"")</f>
        <v/>
      </c>
      <c r="E376" s="9"/>
      <c r="F376" s="9"/>
      <c r="G376" s="8"/>
      <c r="H376" s="37" t="str">
        <f t="shared" si="16"/>
        <v/>
      </c>
      <c r="I376" s="37" t="str">
        <f t="shared" si="17"/>
        <v/>
      </c>
      <c r="J376" s="7"/>
    </row>
    <row r="377" spans="1:10">
      <c r="A377" s="6">
        <f t="shared" si="15"/>
        <v>372</v>
      </c>
      <c r="B377" s="7"/>
      <c r="C377" s="37" t="str">
        <f>IFERROR(VLOOKUP(B377,'MASTER RECORD'!$B$5:$W$1000,3,0),"")</f>
        <v/>
      </c>
      <c r="D377" s="37" t="str">
        <f>IFERROR(VLOOKUP(B377,'MASTER RECORD'!$B$5:$W$1000,2,0),"")</f>
        <v/>
      </c>
      <c r="E377" s="9"/>
      <c r="F377" s="9"/>
      <c r="G377" s="8"/>
      <c r="H377" s="37" t="str">
        <f t="shared" si="16"/>
        <v/>
      </c>
      <c r="I377" s="37" t="str">
        <f t="shared" si="17"/>
        <v/>
      </c>
      <c r="J377" s="7"/>
    </row>
    <row r="378" spans="1:10">
      <c r="A378" s="6">
        <f t="shared" si="15"/>
        <v>373</v>
      </c>
      <c r="B378" s="7"/>
      <c r="C378" s="37" t="str">
        <f>IFERROR(VLOOKUP(B378,'MASTER RECORD'!$B$5:$W$1000,3,0),"")</f>
        <v/>
      </c>
      <c r="D378" s="37" t="str">
        <f>IFERROR(VLOOKUP(B378,'MASTER RECORD'!$B$5:$W$1000,2,0),"")</f>
        <v/>
      </c>
      <c r="E378" s="9"/>
      <c r="F378" s="9"/>
      <c r="G378" s="8"/>
      <c r="H378" s="37" t="str">
        <f t="shared" si="16"/>
        <v/>
      </c>
      <c r="I378" s="37" t="str">
        <f t="shared" si="17"/>
        <v/>
      </c>
      <c r="J378" s="7"/>
    </row>
    <row r="379" spans="1:10">
      <c r="A379" s="6">
        <f t="shared" si="15"/>
        <v>374</v>
      </c>
      <c r="B379" s="7"/>
      <c r="C379" s="37" t="str">
        <f>IFERROR(VLOOKUP(B379,'MASTER RECORD'!$B$5:$W$1000,3,0),"")</f>
        <v/>
      </c>
      <c r="D379" s="37" t="str">
        <f>IFERROR(VLOOKUP(B379,'MASTER RECORD'!$B$5:$W$1000,2,0),"")</f>
        <v/>
      </c>
      <c r="E379" s="9"/>
      <c r="F379" s="9"/>
      <c r="G379" s="8"/>
      <c r="H379" s="37" t="str">
        <f t="shared" si="16"/>
        <v/>
      </c>
      <c r="I379" s="37" t="str">
        <f t="shared" si="17"/>
        <v/>
      </c>
      <c r="J379" s="7"/>
    </row>
    <row r="380" spans="1:10">
      <c r="A380" s="6">
        <f t="shared" si="15"/>
        <v>375</v>
      </c>
      <c r="B380" s="7"/>
      <c r="C380" s="37" t="str">
        <f>IFERROR(VLOOKUP(B380,'MASTER RECORD'!$B$5:$W$1000,3,0),"")</f>
        <v/>
      </c>
      <c r="D380" s="37" t="str">
        <f>IFERROR(VLOOKUP(B380,'MASTER RECORD'!$B$5:$W$1000,2,0),"")</f>
        <v/>
      </c>
      <c r="E380" s="9"/>
      <c r="F380" s="9"/>
      <c r="G380" s="8"/>
      <c r="H380" s="37" t="str">
        <f t="shared" si="16"/>
        <v/>
      </c>
      <c r="I380" s="37" t="str">
        <f t="shared" si="17"/>
        <v/>
      </c>
      <c r="J380" s="7"/>
    </row>
    <row r="381" spans="1:10">
      <c r="A381" s="6">
        <f t="shared" si="15"/>
        <v>376</v>
      </c>
      <c r="B381" s="7"/>
      <c r="C381" s="37" t="str">
        <f>IFERROR(VLOOKUP(B381,'MASTER RECORD'!$B$5:$W$1000,3,0),"")</f>
        <v/>
      </c>
      <c r="D381" s="37" t="str">
        <f>IFERROR(VLOOKUP(B381,'MASTER RECORD'!$B$5:$W$1000,2,0),"")</f>
        <v/>
      </c>
      <c r="E381" s="9"/>
      <c r="F381" s="9"/>
      <c r="G381" s="8"/>
      <c r="H381" s="37" t="str">
        <f t="shared" si="16"/>
        <v/>
      </c>
      <c r="I381" s="37" t="str">
        <f t="shared" si="17"/>
        <v/>
      </c>
      <c r="J381" s="7"/>
    </row>
    <row r="382" spans="1:10">
      <c r="A382" s="6">
        <f t="shared" si="15"/>
        <v>377</v>
      </c>
      <c r="B382" s="7"/>
      <c r="C382" s="37" t="str">
        <f>IFERROR(VLOOKUP(B382,'MASTER RECORD'!$B$5:$W$1000,3,0),"")</f>
        <v/>
      </c>
      <c r="D382" s="37" t="str">
        <f>IFERROR(VLOOKUP(B382,'MASTER RECORD'!$B$5:$W$1000,2,0),"")</f>
        <v/>
      </c>
      <c r="E382" s="9"/>
      <c r="F382" s="9"/>
      <c r="G382" s="8"/>
      <c r="H382" s="37" t="str">
        <f t="shared" si="16"/>
        <v/>
      </c>
      <c r="I382" s="37" t="str">
        <f t="shared" si="17"/>
        <v/>
      </c>
      <c r="J382" s="7"/>
    </row>
    <row r="383" spans="1:10">
      <c r="A383" s="6">
        <f t="shared" si="15"/>
        <v>378</v>
      </c>
      <c r="B383" s="7"/>
      <c r="C383" s="37" t="str">
        <f>IFERROR(VLOOKUP(B383,'MASTER RECORD'!$B$5:$W$1000,3,0),"")</f>
        <v/>
      </c>
      <c r="D383" s="37" t="str">
        <f>IFERROR(VLOOKUP(B383,'MASTER RECORD'!$B$5:$W$1000,2,0),"")</f>
        <v/>
      </c>
      <c r="E383" s="9"/>
      <c r="F383" s="9"/>
      <c r="G383" s="8"/>
      <c r="H383" s="37" t="str">
        <f t="shared" si="16"/>
        <v/>
      </c>
      <c r="I383" s="37" t="str">
        <f t="shared" si="17"/>
        <v/>
      </c>
      <c r="J383" s="7"/>
    </row>
    <row r="384" spans="1:10">
      <c r="A384" s="6">
        <f t="shared" si="15"/>
        <v>379</v>
      </c>
      <c r="B384" s="7"/>
      <c r="C384" s="37" t="str">
        <f>IFERROR(VLOOKUP(B384,'MASTER RECORD'!$B$5:$W$1000,3,0),"")</f>
        <v/>
      </c>
      <c r="D384" s="37" t="str">
        <f>IFERROR(VLOOKUP(B384,'MASTER RECORD'!$B$5:$W$1000,2,0),"")</f>
        <v/>
      </c>
      <c r="E384" s="9"/>
      <c r="F384" s="9"/>
      <c r="G384" s="8"/>
      <c r="H384" s="37" t="str">
        <f t="shared" si="16"/>
        <v/>
      </c>
      <c r="I384" s="37" t="str">
        <f t="shared" si="17"/>
        <v/>
      </c>
      <c r="J384" s="7"/>
    </row>
    <row r="385" spans="1:10">
      <c r="A385" s="6">
        <f t="shared" si="15"/>
        <v>380</v>
      </c>
      <c r="B385" s="7"/>
      <c r="C385" s="37" t="str">
        <f>IFERROR(VLOOKUP(B385,'MASTER RECORD'!$B$5:$W$1000,3,0),"")</f>
        <v/>
      </c>
      <c r="D385" s="37" t="str">
        <f>IFERROR(VLOOKUP(B385,'MASTER RECORD'!$B$5:$W$1000,2,0),"")</f>
        <v/>
      </c>
      <c r="E385" s="9"/>
      <c r="F385" s="9"/>
      <c r="G385" s="8"/>
      <c r="H385" s="37" t="str">
        <f t="shared" si="16"/>
        <v/>
      </c>
      <c r="I385" s="37" t="str">
        <f t="shared" si="17"/>
        <v/>
      </c>
      <c r="J385" s="7"/>
    </row>
    <row r="386" spans="1:10">
      <c r="A386" s="6">
        <f t="shared" si="15"/>
        <v>381</v>
      </c>
      <c r="B386" s="7"/>
      <c r="C386" s="37" t="str">
        <f>IFERROR(VLOOKUP(B386,'MASTER RECORD'!$B$5:$W$1000,3,0),"")</f>
        <v/>
      </c>
      <c r="D386" s="37" t="str">
        <f>IFERROR(VLOOKUP(B386,'MASTER RECORD'!$B$5:$W$1000,2,0),"")</f>
        <v/>
      </c>
      <c r="E386" s="9"/>
      <c r="F386" s="9"/>
      <c r="G386" s="8"/>
      <c r="H386" s="37" t="str">
        <f t="shared" si="16"/>
        <v/>
      </c>
      <c r="I386" s="37" t="str">
        <f t="shared" si="17"/>
        <v/>
      </c>
      <c r="J386" s="7"/>
    </row>
    <row r="387" spans="1:10">
      <c r="A387" s="6">
        <f t="shared" si="15"/>
        <v>382</v>
      </c>
      <c r="B387" s="7"/>
      <c r="C387" s="37" t="str">
        <f>IFERROR(VLOOKUP(B387,'MASTER RECORD'!$B$5:$W$1000,3,0),"")</f>
        <v/>
      </c>
      <c r="D387" s="37" t="str">
        <f>IFERROR(VLOOKUP(B387,'MASTER RECORD'!$B$5:$W$1000,2,0),"")</f>
        <v/>
      </c>
      <c r="E387" s="9"/>
      <c r="F387" s="9"/>
      <c r="G387" s="8"/>
      <c r="H387" s="37" t="str">
        <f t="shared" si="16"/>
        <v/>
      </c>
      <c r="I387" s="37" t="str">
        <f t="shared" si="17"/>
        <v/>
      </c>
      <c r="J387" s="7"/>
    </row>
    <row r="388" spans="1:10">
      <c r="A388" s="6">
        <f t="shared" si="15"/>
        <v>383</v>
      </c>
      <c r="B388" s="7"/>
      <c r="C388" s="37" t="str">
        <f>IFERROR(VLOOKUP(B388,'MASTER RECORD'!$B$5:$W$1000,3,0),"")</f>
        <v/>
      </c>
      <c r="D388" s="37" t="str">
        <f>IFERROR(VLOOKUP(B388,'MASTER RECORD'!$B$5:$W$1000,2,0),"")</f>
        <v/>
      </c>
      <c r="E388" s="9"/>
      <c r="F388" s="9"/>
      <c r="G388" s="8"/>
      <c r="H388" s="37" t="str">
        <f t="shared" si="16"/>
        <v/>
      </c>
      <c r="I388" s="37" t="str">
        <f t="shared" si="17"/>
        <v/>
      </c>
      <c r="J388" s="7"/>
    </row>
    <row r="389" spans="1:10">
      <c r="A389" s="6">
        <f t="shared" si="15"/>
        <v>384</v>
      </c>
      <c r="B389" s="7"/>
      <c r="C389" s="37" t="str">
        <f>IFERROR(VLOOKUP(B389,'MASTER RECORD'!$B$5:$W$1000,3,0),"")</f>
        <v/>
      </c>
      <c r="D389" s="37" t="str">
        <f>IFERROR(VLOOKUP(B389,'MASTER RECORD'!$B$5:$W$1000,2,0),"")</f>
        <v/>
      </c>
      <c r="E389" s="9"/>
      <c r="F389" s="9"/>
      <c r="G389" s="8"/>
      <c r="H389" s="37" t="str">
        <f t="shared" si="16"/>
        <v/>
      </c>
      <c r="I389" s="37" t="str">
        <f t="shared" si="17"/>
        <v/>
      </c>
      <c r="J389" s="7"/>
    </row>
    <row r="390" spans="1:10">
      <c r="A390" s="6">
        <f t="shared" si="15"/>
        <v>385</v>
      </c>
      <c r="B390" s="7"/>
      <c r="C390" s="37" t="str">
        <f>IFERROR(VLOOKUP(B390,'MASTER RECORD'!$B$5:$W$1000,3,0),"")</f>
        <v/>
      </c>
      <c r="D390" s="37" t="str">
        <f>IFERROR(VLOOKUP(B390,'MASTER RECORD'!$B$5:$W$1000,2,0),"")</f>
        <v/>
      </c>
      <c r="E390" s="9"/>
      <c r="F390" s="9"/>
      <c r="G390" s="8"/>
      <c r="H390" s="37" t="str">
        <f t="shared" si="16"/>
        <v/>
      </c>
      <c r="I390" s="37" t="str">
        <f t="shared" si="17"/>
        <v/>
      </c>
      <c r="J390" s="7"/>
    </row>
    <row r="391" spans="1:10">
      <c r="A391" s="6">
        <f t="shared" ref="A391:A454" si="18">ROW(A386)</f>
        <v>386</v>
      </c>
      <c r="B391" s="7"/>
      <c r="C391" s="37" t="str">
        <f>IFERROR(VLOOKUP(B391,'MASTER RECORD'!$B$5:$W$1000,3,0),"")</f>
        <v/>
      </c>
      <c r="D391" s="37" t="str">
        <f>IFERROR(VLOOKUP(B391,'MASTER RECORD'!$B$5:$W$1000,2,0),"")</f>
        <v/>
      </c>
      <c r="E391" s="9"/>
      <c r="F391" s="9"/>
      <c r="G391" s="8"/>
      <c r="H391" s="37" t="str">
        <f t="shared" ref="H391:H454" si="19">IF(G391=0,"",TEXT(G391,"mmmm"))</f>
        <v/>
      </c>
      <c r="I391" s="37" t="str">
        <f t="shared" ref="I391:I454" si="20">IF(G391=0,"",TEXT(G391,"yyyy"))</f>
        <v/>
      </c>
      <c r="J391" s="7"/>
    </row>
    <row r="392" spans="1:10">
      <c r="A392" s="6">
        <f t="shared" si="18"/>
        <v>387</v>
      </c>
      <c r="B392" s="7"/>
      <c r="C392" s="37" t="str">
        <f>IFERROR(VLOOKUP(B392,'MASTER RECORD'!$B$5:$W$1000,3,0),"")</f>
        <v/>
      </c>
      <c r="D392" s="37" t="str">
        <f>IFERROR(VLOOKUP(B392,'MASTER RECORD'!$B$5:$W$1000,2,0),"")</f>
        <v/>
      </c>
      <c r="E392" s="9"/>
      <c r="F392" s="9"/>
      <c r="G392" s="8"/>
      <c r="H392" s="37" t="str">
        <f t="shared" si="19"/>
        <v/>
      </c>
      <c r="I392" s="37" t="str">
        <f t="shared" si="20"/>
        <v/>
      </c>
      <c r="J392" s="7"/>
    </row>
    <row r="393" spans="1:10">
      <c r="A393" s="6">
        <f t="shared" si="18"/>
        <v>388</v>
      </c>
      <c r="B393" s="7"/>
      <c r="C393" s="37" t="str">
        <f>IFERROR(VLOOKUP(B393,'MASTER RECORD'!$B$5:$W$1000,3,0),"")</f>
        <v/>
      </c>
      <c r="D393" s="37" t="str">
        <f>IFERROR(VLOOKUP(B393,'MASTER RECORD'!$B$5:$W$1000,2,0),"")</f>
        <v/>
      </c>
      <c r="E393" s="9"/>
      <c r="F393" s="9"/>
      <c r="G393" s="8"/>
      <c r="H393" s="37" t="str">
        <f t="shared" si="19"/>
        <v/>
      </c>
      <c r="I393" s="37" t="str">
        <f t="shared" si="20"/>
        <v/>
      </c>
      <c r="J393" s="7"/>
    </row>
    <row r="394" spans="1:10">
      <c r="A394" s="6">
        <f t="shared" si="18"/>
        <v>389</v>
      </c>
      <c r="B394" s="7"/>
      <c r="C394" s="37" t="str">
        <f>IFERROR(VLOOKUP(B394,'MASTER RECORD'!$B$5:$W$1000,3,0),"")</f>
        <v/>
      </c>
      <c r="D394" s="37" t="str">
        <f>IFERROR(VLOOKUP(B394,'MASTER RECORD'!$B$5:$W$1000,2,0),"")</f>
        <v/>
      </c>
      <c r="E394" s="9"/>
      <c r="F394" s="9"/>
      <c r="G394" s="8"/>
      <c r="H394" s="37" t="str">
        <f t="shared" si="19"/>
        <v/>
      </c>
      <c r="I394" s="37" t="str">
        <f t="shared" si="20"/>
        <v/>
      </c>
      <c r="J394" s="7"/>
    </row>
    <row r="395" spans="1:10">
      <c r="A395" s="6">
        <f t="shared" si="18"/>
        <v>390</v>
      </c>
      <c r="B395" s="7"/>
      <c r="C395" s="37" t="str">
        <f>IFERROR(VLOOKUP(B395,'MASTER RECORD'!$B$5:$W$1000,3,0),"")</f>
        <v/>
      </c>
      <c r="D395" s="37" t="str">
        <f>IFERROR(VLOOKUP(B395,'MASTER RECORD'!$B$5:$W$1000,2,0),"")</f>
        <v/>
      </c>
      <c r="E395" s="9"/>
      <c r="F395" s="9"/>
      <c r="G395" s="8"/>
      <c r="H395" s="37" t="str">
        <f t="shared" si="19"/>
        <v/>
      </c>
      <c r="I395" s="37" t="str">
        <f t="shared" si="20"/>
        <v/>
      </c>
      <c r="J395" s="7"/>
    </row>
    <row r="396" spans="1:10">
      <c r="A396" s="6">
        <f t="shared" si="18"/>
        <v>391</v>
      </c>
      <c r="B396" s="7"/>
      <c r="C396" s="37" t="str">
        <f>IFERROR(VLOOKUP(B396,'MASTER RECORD'!$B$5:$W$1000,3,0),"")</f>
        <v/>
      </c>
      <c r="D396" s="37" t="str">
        <f>IFERROR(VLOOKUP(B396,'MASTER RECORD'!$B$5:$W$1000,2,0),"")</f>
        <v/>
      </c>
      <c r="E396" s="9"/>
      <c r="F396" s="9"/>
      <c r="G396" s="8"/>
      <c r="H396" s="37" t="str">
        <f t="shared" si="19"/>
        <v/>
      </c>
      <c r="I396" s="37" t="str">
        <f t="shared" si="20"/>
        <v/>
      </c>
      <c r="J396" s="7"/>
    </row>
    <row r="397" spans="1:10">
      <c r="A397" s="6">
        <f t="shared" si="18"/>
        <v>392</v>
      </c>
      <c r="B397" s="7"/>
      <c r="C397" s="37" t="str">
        <f>IFERROR(VLOOKUP(B397,'MASTER RECORD'!$B$5:$W$1000,3,0),"")</f>
        <v/>
      </c>
      <c r="D397" s="37" t="str">
        <f>IFERROR(VLOOKUP(B397,'MASTER RECORD'!$B$5:$W$1000,2,0),"")</f>
        <v/>
      </c>
      <c r="E397" s="9"/>
      <c r="F397" s="9"/>
      <c r="G397" s="8"/>
      <c r="H397" s="37" t="str">
        <f t="shared" si="19"/>
        <v/>
      </c>
      <c r="I397" s="37" t="str">
        <f t="shared" si="20"/>
        <v/>
      </c>
      <c r="J397" s="7"/>
    </row>
    <row r="398" spans="1:10">
      <c r="A398" s="6">
        <f t="shared" si="18"/>
        <v>393</v>
      </c>
      <c r="B398" s="7"/>
      <c r="C398" s="37" t="str">
        <f>IFERROR(VLOOKUP(B398,'MASTER RECORD'!$B$5:$W$1000,3,0),"")</f>
        <v/>
      </c>
      <c r="D398" s="37" t="str">
        <f>IFERROR(VLOOKUP(B398,'MASTER RECORD'!$B$5:$W$1000,2,0),"")</f>
        <v/>
      </c>
      <c r="E398" s="9"/>
      <c r="F398" s="9"/>
      <c r="G398" s="8"/>
      <c r="H398" s="37" t="str">
        <f t="shared" si="19"/>
        <v/>
      </c>
      <c r="I398" s="37" t="str">
        <f t="shared" si="20"/>
        <v/>
      </c>
      <c r="J398" s="7"/>
    </row>
    <row r="399" spans="1:10">
      <c r="A399" s="6">
        <f t="shared" si="18"/>
        <v>394</v>
      </c>
      <c r="B399" s="7"/>
      <c r="C399" s="37" t="str">
        <f>IFERROR(VLOOKUP(B399,'MASTER RECORD'!$B$5:$W$1000,3,0),"")</f>
        <v/>
      </c>
      <c r="D399" s="37" t="str">
        <f>IFERROR(VLOOKUP(B399,'MASTER RECORD'!$B$5:$W$1000,2,0),"")</f>
        <v/>
      </c>
      <c r="E399" s="9"/>
      <c r="F399" s="9"/>
      <c r="G399" s="8"/>
      <c r="H399" s="37" t="str">
        <f t="shared" si="19"/>
        <v/>
      </c>
      <c r="I399" s="37" t="str">
        <f t="shared" si="20"/>
        <v/>
      </c>
      <c r="J399" s="7"/>
    </row>
    <row r="400" spans="1:10">
      <c r="A400" s="6">
        <f t="shared" si="18"/>
        <v>395</v>
      </c>
      <c r="B400" s="7"/>
      <c r="C400" s="37" t="str">
        <f>IFERROR(VLOOKUP(B400,'MASTER RECORD'!$B$5:$W$1000,3,0),"")</f>
        <v/>
      </c>
      <c r="D400" s="37" t="str">
        <f>IFERROR(VLOOKUP(B400,'MASTER RECORD'!$B$5:$W$1000,2,0),"")</f>
        <v/>
      </c>
      <c r="E400" s="9"/>
      <c r="F400" s="9"/>
      <c r="G400" s="8"/>
      <c r="H400" s="37" t="str">
        <f t="shared" si="19"/>
        <v/>
      </c>
      <c r="I400" s="37" t="str">
        <f t="shared" si="20"/>
        <v/>
      </c>
      <c r="J400" s="7"/>
    </row>
    <row r="401" spans="1:10">
      <c r="A401" s="6">
        <f t="shared" si="18"/>
        <v>396</v>
      </c>
      <c r="B401" s="7"/>
      <c r="C401" s="37" t="str">
        <f>IFERROR(VLOOKUP(B401,'MASTER RECORD'!$B$5:$W$1000,3,0),"")</f>
        <v/>
      </c>
      <c r="D401" s="37" t="str">
        <f>IFERROR(VLOOKUP(B401,'MASTER RECORD'!$B$5:$W$1000,2,0),"")</f>
        <v/>
      </c>
      <c r="E401" s="9"/>
      <c r="F401" s="9"/>
      <c r="G401" s="8"/>
      <c r="H401" s="37" t="str">
        <f t="shared" si="19"/>
        <v/>
      </c>
      <c r="I401" s="37" t="str">
        <f t="shared" si="20"/>
        <v/>
      </c>
      <c r="J401" s="7"/>
    </row>
    <row r="402" spans="1:10">
      <c r="A402" s="6">
        <f t="shared" si="18"/>
        <v>397</v>
      </c>
      <c r="B402" s="7"/>
      <c r="C402" s="37" t="str">
        <f>IFERROR(VLOOKUP(B402,'MASTER RECORD'!$B$5:$W$1000,3,0),"")</f>
        <v/>
      </c>
      <c r="D402" s="37" t="str">
        <f>IFERROR(VLOOKUP(B402,'MASTER RECORD'!$B$5:$W$1000,2,0),"")</f>
        <v/>
      </c>
      <c r="E402" s="9"/>
      <c r="F402" s="9"/>
      <c r="G402" s="8"/>
      <c r="H402" s="37" t="str">
        <f t="shared" si="19"/>
        <v/>
      </c>
      <c r="I402" s="37" t="str">
        <f t="shared" si="20"/>
        <v/>
      </c>
      <c r="J402" s="7"/>
    </row>
    <row r="403" spans="1:10">
      <c r="A403" s="6">
        <f t="shared" si="18"/>
        <v>398</v>
      </c>
      <c r="B403" s="7"/>
      <c r="C403" s="37" t="str">
        <f>IFERROR(VLOOKUP(B403,'MASTER RECORD'!$B$5:$W$1000,3,0),"")</f>
        <v/>
      </c>
      <c r="D403" s="37" t="str">
        <f>IFERROR(VLOOKUP(B403,'MASTER RECORD'!$B$5:$W$1000,2,0),"")</f>
        <v/>
      </c>
      <c r="E403" s="9"/>
      <c r="F403" s="9"/>
      <c r="G403" s="8"/>
      <c r="H403" s="37" t="str">
        <f t="shared" si="19"/>
        <v/>
      </c>
      <c r="I403" s="37" t="str">
        <f t="shared" si="20"/>
        <v/>
      </c>
      <c r="J403" s="7"/>
    </row>
    <row r="404" spans="1:10">
      <c r="A404" s="6">
        <f t="shared" si="18"/>
        <v>399</v>
      </c>
      <c r="B404" s="7"/>
      <c r="C404" s="37" t="str">
        <f>IFERROR(VLOOKUP(B404,'MASTER RECORD'!$B$5:$W$1000,3,0),"")</f>
        <v/>
      </c>
      <c r="D404" s="37" t="str">
        <f>IFERROR(VLOOKUP(B404,'MASTER RECORD'!$B$5:$W$1000,2,0),"")</f>
        <v/>
      </c>
      <c r="E404" s="9"/>
      <c r="F404" s="9"/>
      <c r="G404" s="8"/>
      <c r="H404" s="37" t="str">
        <f t="shared" si="19"/>
        <v/>
      </c>
      <c r="I404" s="37" t="str">
        <f t="shared" si="20"/>
        <v/>
      </c>
      <c r="J404" s="7"/>
    </row>
    <row r="405" spans="1:10">
      <c r="A405" s="6">
        <f t="shared" si="18"/>
        <v>400</v>
      </c>
      <c r="B405" s="7"/>
      <c r="C405" s="37" t="str">
        <f>IFERROR(VLOOKUP(B405,'MASTER RECORD'!$B$5:$W$1000,3,0),"")</f>
        <v/>
      </c>
      <c r="D405" s="37" t="str">
        <f>IFERROR(VLOOKUP(B405,'MASTER RECORD'!$B$5:$W$1000,2,0),"")</f>
        <v/>
      </c>
      <c r="E405" s="9"/>
      <c r="F405" s="9"/>
      <c r="G405" s="8"/>
      <c r="H405" s="37" t="str">
        <f t="shared" si="19"/>
        <v/>
      </c>
      <c r="I405" s="37" t="str">
        <f t="shared" si="20"/>
        <v/>
      </c>
      <c r="J405" s="7"/>
    </row>
    <row r="406" spans="1:10">
      <c r="A406" s="6">
        <f t="shared" si="18"/>
        <v>401</v>
      </c>
      <c r="B406" s="7"/>
      <c r="C406" s="37" t="str">
        <f>IFERROR(VLOOKUP(B406,'MASTER RECORD'!$B$5:$W$1000,3,0),"")</f>
        <v/>
      </c>
      <c r="D406" s="37" t="str">
        <f>IFERROR(VLOOKUP(B406,'MASTER RECORD'!$B$5:$W$1000,2,0),"")</f>
        <v/>
      </c>
      <c r="E406" s="9"/>
      <c r="F406" s="9"/>
      <c r="G406" s="8"/>
      <c r="H406" s="37" t="str">
        <f t="shared" si="19"/>
        <v/>
      </c>
      <c r="I406" s="37" t="str">
        <f t="shared" si="20"/>
        <v/>
      </c>
      <c r="J406" s="7"/>
    </row>
    <row r="407" spans="1:10">
      <c r="A407" s="6">
        <f t="shared" si="18"/>
        <v>402</v>
      </c>
      <c r="B407" s="7"/>
      <c r="C407" s="37" t="str">
        <f>IFERROR(VLOOKUP(B407,'MASTER RECORD'!$B$5:$W$1000,3,0),"")</f>
        <v/>
      </c>
      <c r="D407" s="37" t="str">
        <f>IFERROR(VLOOKUP(B407,'MASTER RECORD'!$B$5:$W$1000,2,0),"")</f>
        <v/>
      </c>
      <c r="E407" s="9"/>
      <c r="F407" s="9"/>
      <c r="G407" s="8"/>
      <c r="H407" s="37" t="str">
        <f t="shared" si="19"/>
        <v/>
      </c>
      <c r="I407" s="37" t="str">
        <f t="shared" si="20"/>
        <v/>
      </c>
      <c r="J407" s="7"/>
    </row>
    <row r="408" spans="1:10">
      <c r="A408" s="6">
        <f t="shared" si="18"/>
        <v>403</v>
      </c>
      <c r="B408" s="7"/>
      <c r="C408" s="37" t="str">
        <f>IFERROR(VLOOKUP(B408,'MASTER RECORD'!$B$5:$W$1000,3,0),"")</f>
        <v/>
      </c>
      <c r="D408" s="37" t="str">
        <f>IFERROR(VLOOKUP(B408,'MASTER RECORD'!$B$5:$W$1000,2,0),"")</f>
        <v/>
      </c>
      <c r="E408" s="9"/>
      <c r="F408" s="9"/>
      <c r="G408" s="8"/>
      <c r="H408" s="37" t="str">
        <f t="shared" si="19"/>
        <v/>
      </c>
      <c r="I408" s="37" t="str">
        <f t="shared" si="20"/>
        <v/>
      </c>
      <c r="J408" s="7"/>
    </row>
    <row r="409" spans="1:10">
      <c r="A409" s="6">
        <f t="shared" si="18"/>
        <v>404</v>
      </c>
      <c r="B409" s="7"/>
      <c r="C409" s="37" t="str">
        <f>IFERROR(VLOOKUP(B409,'MASTER RECORD'!$B$5:$W$1000,3,0),"")</f>
        <v/>
      </c>
      <c r="D409" s="37" t="str">
        <f>IFERROR(VLOOKUP(B409,'MASTER RECORD'!$B$5:$W$1000,2,0),"")</f>
        <v/>
      </c>
      <c r="E409" s="9"/>
      <c r="F409" s="9"/>
      <c r="G409" s="8"/>
      <c r="H409" s="37" t="str">
        <f t="shared" si="19"/>
        <v/>
      </c>
      <c r="I409" s="37" t="str">
        <f t="shared" si="20"/>
        <v/>
      </c>
      <c r="J409" s="7"/>
    </row>
    <row r="410" spans="1:10">
      <c r="A410" s="6">
        <f t="shared" si="18"/>
        <v>405</v>
      </c>
      <c r="B410" s="7"/>
      <c r="C410" s="37" t="str">
        <f>IFERROR(VLOOKUP(B410,'MASTER RECORD'!$B$5:$W$1000,3,0),"")</f>
        <v/>
      </c>
      <c r="D410" s="37" t="str">
        <f>IFERROR(VLOOKUP(B410,'MASTER RECORD'!$B$5:$W$1000,2,0),"")</f>
        <v/>
      </c>
      <c r="E410" s="9"/>
      <c r="F410" s="9"/>
      <c r="G410" s="8"/>
      <c r="H410" s="37" t="str">
        <f t="shared" si="19"/>
        <v/>
      </c>
      <c r="I410" s="37" t="str">
        <f t="shared" si="20"/>
        <v/>
      </c>
      <c r="J410" s="7"/>
    </row>
    <row r="411" spans="1:10">
      <c r="A411" s="6">
        <f t="shared" si="18"/>
        <v>406</v>
      </c>
      <c r="B411" s="7"/>
      <c r="C411" s="37" t="str">
        <f>IFERROR(VLOOKUP(B411,'MASTER RECORD'!$B$5:$W$1000,3,0),"")</f>
        <v/>
      </c>
      <c r="D411" s="37" t="str">
        <f>IFERROR(VLOOKUP(B411,'MASTER RECORD'!$B$5:$W$1000,2,0),"")</f>
        <v/>
      </c>
      <c r="E411" s="9"/>
      <c r="F411" s="9"/>
      <c r="G411" s="8"/>
      <c r="H411" s="37" t="str">
        <f t="shared" si="19"/>
        <v/>
      </c>
      <c r="I411" s="37" t="str">
        <f t="shared" si="20"/>
        <v/>
      </c>
      <c r="J411" s="7"/>
    </row>
    <row r="412" spans="1:10">
      <c r="A412" s="6">
        <f t="shared" si="18"/>
        <v>407</v>
      </c>
      <c r="B412" s="7"/>
      <c r="C412" s="37" t="str">
        <f>IFERROR(VLOOKUP(B412,'MASTER RECORD'!$B$5:$W$1000,3,0),"")</f>
        <v/>
      </c>
      <c r="D412" s="37" t="str">
        <f>IFERROR(VLOOKUP(B412,'MASTER RECORD'!$B$5:$W$1000,2,0),"")</f>
        <v/>
      </c>
      <c r="E412" s="9"/>
      <c r="F412" s="9"/>
      <c r="G412" s="8"/>
      <c r="H412" s="37" t="str">
        <f t="shared" si="19"/>
        <v/>
      </c>
      <c r="I412" s="37" t="str">
        <f t="shared" si="20"/>
        <v/>
      </c>
      <c r="J412" s="7"/>
    </row>
    <row r="413" spans="1:10">
      <c r="A413" s="6">
        <f t="shared" si="18"/>
        <v>408</v>
      </c>
      <c r="B413" s="7"/>
      <c r="C413" s="37" t="str">
        <f>IFERROR(VLOOKUP(B413,'MASTER RECORD'!$B$5:$W$1000,3,0),"")</f>
        <v/>
      </c>
      <c r="D413" s="37" t="str">
        <f>IFERROR(VLOOKUP(B413,'MASTER RECORD'!$B$5:$W$1000,2,0),"")</f>
        <v/>
      </c>
      <c r="E413" s="9"/>
      <c r="F413" s="9"/>
      <c r="G413" s="8"/>
      <c r="H413" s="37" t="str">
        <f t="shared" si="19"/>
        <v/>
      </c>
      <c r="I413" s="37" t="str">
        <f t="shared" si="20"/>
        <v/>
      </c>
      <c r="J413" s="7"/>
    </row>
    <row r="414" spans="1:10">
      <c r="A414" s="6">
        <f t="shared" si="18"/>
        <v>409</v>
      </c>
      <c r="B414" s="7"/>
      <c r="C414" s="37" t="str">
        <f>IFERROR(VLOOKUP(B414,'MASTER RECORD'!$B$5:$W$1000,3,0),"")</f>
        <v/>
      </c>
      <c r="D414" s="37" t="str">
        <f>IFERROR(VLOOKUP(B414,'MASTER RECORD'!$B$5:$W$1000,2,0),"")</f>
        <v/>
      </c>
      <c r="E414" s="9"/>
      <c r="F414" s="9"/>
      <c r="G414" s="8"/>
      <c r="H414" s="37" t="str">
        <f t="shared" si="19"/>
        <v/>
      </c>
      <c r="I414" s="37" t="str">
        <f t="shared" si="20"/>
        <v/>
      </c>
      <c r="J414" s="7"/>
    </row>
    <row r="415" spans="1:10">
      <c r="A415" s="6">
        <f t="shared" si="18"/>
        <v>410</v>
      </c>
      <c r="B415" s="7"/>
      <c r="C415" s="37" t="str">
        <f>IFERROR(VLOOKUP(B415,'MASTER RECORD'!$B$5:$W$1000,3,0),"")</f>
        <v/>
      </c>
      <c r="D415" s="37" t="str">
        <f>IFERROR(VLOOKUP(B415,'MASTER RECORD'!$B$5:$W$1000,2,0),"")</f>
        <v/>
      </c>
      <c r="E415" s="9"/>
      <c r="F415" s="9"/>
      <c r="G415" s="8"/>
      <c r="H415" s="37" t="str">
        <f t="shared" si="19"/>
        <v/>
      </c>
      <c r="I415" s="37" t="str">
        <f t="shared" si="20"/>
        <v/>
      </c>
      <c r="J415" s="7"/>
    </row>
    <row r="416" spans="1:10">
      <c r="A416" s="6">
        <f t="shared" si="18"/>
        <v>411</v>
      </c>
      <c r="B416" s="7"/>
      <c r="C416" s="37" t="str">
        <f>IFERROR(VLOOKUP(B416,'MASTER RECORD'!$B$5:$W$1000,3,0),"")</f>
        <v/>
      </c>
      <c r="D416" s="37" t="str">
        <f>IFERROR(VLOOKUP(B416,'MASTER RECORD'!$B$5:$W$1000,2,0),"")</f>
        <v/>
      </c>
      <c r="E416" s="9"/>
      <c r="F416" s="9"/>
      <c r="G416" s="8"/>
      <c r="H416" s="37" t="str">
        <f t="shared" si="19"/>
        <v/>
      </c>
      <c r="I416" s="37" t="str">
        <f t="shared" si="20"/>
        <v/>
      </c>
      <c r="J416" s="7"/>
    </row>
    <row r="417" spans="1:10">
      <c r="A417" s="6">
        <f t="shared" si="18"/>
        <v>412</v>
      </c>
      <c r="B417" s="7"/>
      <c r="C417" s="37" t="str">
        <f>IFERROR(VLOOKUP(B417,'MASTER RECORD'!$B$5:$W$1000,3,0),"")</f>
        <v/>
      </c>
      <c r="D417" s="37" t="str">
        <f>IFERROR(VLOOKUP(B417,'MASTER RECORD'!$B$5:$W$1000,2,0),"")</f>
        <v/>
      </c>
      <c r="E417" s="9"/>
      <c r="F417" s="9"/>
      <c r="G417" s="8"/>
      <c r="H417" s="37" t="str">
        <f t="shared" si="19"/>
        <v/>
      </c>
      <c r="I417" s="37" t="str">
        <f t="shared" si="20"/>
        <v/>
      </c>
      <c r="J417" s="7"/>
    </row>
    <row r="418" spans="1:10">
      <c r="A418" s="6">
        <f t="shared" si="18"/>
        <v>413</v>
      </c>
      <c r="B418" s="7"/>
      <c r="C418" s="37" t="str">
        <f>IFERROR(VLOOKUP(B418,'MASTER RECORD'!$B$5:$W$1000,3,0),"")</f>
        <v/>
      </c>
      <c r="D418" s="37" t="str">
        <f>IFERROR(VLOOKUP(B418,'MASTER RECORD'!$B$5:$W$1000,2,0),"")</f>
        <v/>
      </c>
      <c r="E418" s="9"/>
      <c r="F418" s="9"/>
      <c r="G418" s="8"/>
      <c r="H418" s="37" t="str">
        <f t="shared" si="19"/>
        <v/>
      </c>
      <c r="I418" s="37" t="str">
        <f t="shared" si="20"/>
        <v/>
      </c>
      <c r="J418" s="7"/>
    </row>
    <row r="419" spans="1:10">
      <c r="A419" s="6">
        <f t="shared" si="18"/>
        <v>414</v>
      </c>
      <c r="B419" s="7"/>
      <c r="C419" s="37" t="str">
        <f>IFERROR(VLOOKUP(B419,'MASTER RECORD'!$B$5:$W$1000,3,0),"")</f>
        <v/>
      </c>
      <c r="D419" s="37" t="str">
        <f>IFERROR(VLOOKUP(B419,'MASTER RECORD'!$B$5:$W$1000,2,0),"")</f>
        <v/>
      </c>
      <c r="E419" s="9"/>
      <c r="F419" s="9"/>
      <c r="G419" s="8"/>
      <c r="H419" s="37" t="str">
        <f t="shared" si="19"/>
        <v/>
      </c>
      <c r="I419" s="37" t="str">
        <f t="shared" si="20"/>
        <v/>
      </c>
      <c r="J419" s="7"/>
    </row>
    <row r="420" spans="1:10">
      <c r="A420" s="6">
        <f t="shared" si="18"/>
        <v>415</v>
      </c>
      <c r="B420" s="7"/>
      <c r="C420" s="37" t="str">
        <f>IFERROR(VLOOKUP(B420,'MASTER RECORD'!$B$5:$W$1000,3,0),"")</f>
        <v/>
      </c>
      <c r="D420" s="37" t="str">
        <f>IFERROR(VLOOKUP(B420,'MASTER RECORD'!$B$5:$W$1000,2,0),"")</f>
        <v/>
      </c>
      <c r="E420" s="9"/>
      <c r="F420" s="9"/>
      <c r="G420" s="8"/>
      <c r="H420" s="37" t="str">
        <f t="shared" si="19"/>
        <v/>
      </c>
      <c r="I420" s="37" t="str">
        <f t="shared" si="20"/>
        <v/>
      </c>
      <c r="J420" s="7"/>
    </row>
    <row r="421" spans="1:10">
      <c r="A421" s="6">
        <f t="shared" si="18"/>
        <v>416</v>
      </c>
      <c r="B421" s="7"/>
      <c r="C421" s="37" t="str">
        <f>IFERROR(VLOOKUP(B421,'MASTER RECORD'!$B$5:$W$1000,3,0),"")</f>
        <v/>
      </c>
      <c r="D421" s="37" t="str">
        <f>IFERROR(VLOOKUP(B421,'MASTER RECORD'!$B$5:$W$1000,2,0),"")</f>
        <v/>
      </c>
      <c r="E421" s="9"/>
      <c r="F421" s="9"/>
      <c r="G421" s="8"/>
      <c r="H421" s="37" t="str">
        <f t="shared" si="19"/>
        <v/>
      </c>
      <c r="I421" s="37" t="str">
        <f t="shared" si="20"/>
        <v/>
      </c>
      <c r="J421" s="7"/>
    </row>
    <row r="422" spans="1:10">
      <c r="A422" s="6">
        <f t="shared" si="18"/>
        <v>417</v>
      </c>
      <c r="B422" s="7"/>
      <c r="C422" s="37" t="str">
        <f>IFERROR(VLOOKUP(B422,'MASTER RECORD'!$B$5:$W$1000,3,0),"")</f>
        <v/>
      </c>
      <c r="D422" s="37" t="str">
        <f>IFERROR(VLOOKUP(B422,'MASTER RECORD'!$B$5:$W$1000,2,0),"")</f>
        <v/>
      </c>
      <c r="E422" s="9"/>
      <c r="F422" s="9"/>
      <c r="G422" s="8"/>
      <c r="H422" s="37" t="str">
        <f t="shared" si="19"/>
        <v/>
      </c>
      <c r="I422" s="37" t="str">
        <f t="shared" si="20"/>
        <v/>
      </c>
      <c r="J422" s="7"/>
    </row>
    <row r="423" spans="1:10">
      <c r="A423" s="6">
        <f t="shared" si="18"/>
        <v>418</v>
      </c>
      <c r="B423" s="7"/>
      <c r="C423" s="37" t="str">
        <f>IFERROR(VLOOKUP(B423,'MASTER RECORD'!$B$5:$W$1000,3,0),"")</f>
        <v/>
      </c>
      <c r="D423" s="37" t="str">
        <f>IFERROR(VLOOKUP(B423,'MASTER RECORD'!$B$5:$W$1000,2,0),"")</f>
        <v/>
      </c>
      <c r="E423" s="9"/>
      <c r="F423" s="9"/>
      <c r="G423" s="8"/>
      <c r="H423" s="37" t="str">
        <f t="shared" si="19"/>
        <v/>
      </c>
      <c r="I423" s="37" t="str">
        <f t="shared" si="20"/>
        <v/>
      </c>
      <c r="J423" s="7"/>
    </row>
    <row r="424" spans="1:10">
      <c r="A424" s="6">
        <f t="shared" si="18"/>
        <v>419</v>
      </c>
      <c r="B424" s="7"/>
      <c r="C424" s="37" t="str">
        <f>IFERROR(VLOOKUP(B424,'MASTER RECORD'!$B$5:$W$1000,3,0),"")</f>
        <v/>
      </c>
      <c r="D424" s="37" t="str">
        <f>IFERROR(VLOOKUP(B424,'MASTER RECORD'!$B$5:$W$1000,2,0),"")</f>
        <v/>
      </c>
      <c r="E424" s="9"/>
      <c r="F424" s="9"/>
      <c r="G424" s="8"/>
      <c r="H424" s="37" t="str">
        <f t="shared" si="19"/>
        <v/>
      </c>
      <c r="I424" s="37" t="str">
        <f t="shared" si="20"/>
        <v/>
      </c>
      <c r="J424" s="7"/>
    </row>
    <row r="425" spans="1:10">
      <c r="A425" s="6">
        <f t="shared" si="18"/>
        <v>420</v>
      </c>
      <c r="B425" s="7"/>
      <c r="C425" s="37" t="str">
        <f>IFERROR(VLOOKUP(B425,'MASTER RECORD'!$B$5:$W$1000,3,0),"")</f>
        <v/>
      </c>
      <c r="D425" s="37" t="str">
        <f>IFERROR(VLOOKUP(B425,'MASTER RECORD'!$B$5:$W$1000,2,0),"")</f>
        <v/>
      </c>
      <c r="E425" s="9"/>
      <c r="F425" s="9"/>
      <c r="G425" s="8"/>
      <c r="H425" s="37" t="str">
        <f t="shared" si="19"/>
        <v/>
      </c>
      <c r="I425" s="37" t="str">
        <f t="shared" si="20"/>
        <v/>
      </c>
      <c r="J425" s="7"/>
    </row>
    <row r="426" spans="1:10">
      <c r="A426" s="6">
        <f t="shared" si="18"/>
        <v>421</v>
      </c>
      <c r="B426" s="7"/>
      <c r="C426" s="37" t="str">
        <f>IFERROR(VLOOKUP(B426,'MASTER RECORD'!$B$5:$W$1000,3,0),"")</f>
        <v/>
      </c>
      <c r="D426" s="37" t="str">
        <f>IFERROR(VLOOKUP(B426,'MASTER RECORD'!$B$5:$W$1000,2,0),"")</f>
        <v/>
      </c>
      <c r="E426" s="9"/>
      <c r="F426" s="9"/>
      <c r="G426" s="8"/>
      <c r="H426" s="37" t="str">
        <f t="shared" si="19"/>
        <v/>
      </c>
      <c r="I426" s="37" t="str">
        <f t="shared" si="20"/>
        <v/>
      </c>
      <c r="J426" s="7"/>
    </row>
    <row r="427" spans="1:10">
      <c r="A427" s="6">
        <f t="shared" si="18"/>
        <v>422</v>
      </c>
      <c r="B427" s="7"/>
      <c r="C427" s="37" t="str">
        <f>IFERROR(VLOOKUP(B427,'MASTER RECORD'!$B$5:$W$1000,3,0),"")</f>
        <v/>
      </c>
      <c r="D427" s="37" t="str">
        <f>IFERROR(VLOOKUP(B427,'MASTER RECORD'!$B$5:$W$1000,2,0),"")</f>
        <v/>
      </c>
      <c r="E427" s="9"/>
      <c r="F427" s="9"/>
      <c r="G427" s="8"/>
      <c r="H427" s="37" t="str">
        <f t="shared" si="19"/>
        <v/>
      </c>
      <c r="I427" s="37" t="str">
        <f t="shared" si="20"/>
        <v/>
      </c>
      <c r="J427" s="7"/>
    </row>
    <row r="428" spans="1:10">
      <c r="A428" s="6">
        <f t="shared" si="18"/>
        <v>423</v>
      </c>
      <c r="B428" s="7"/>
      <c r="C428" s="37" t="str">
        <f>IFERROR(VLOOKUP(B428,'MASTER RECORD'!$B$5:$W$1000,3,0),"")</f>
        <v/>
      </c>
      <c r="D428" s="37" t="str">
        <f>IFERROR(VLOOKUP(B428,'MASTER RECORD'!$B$5:$W$1000,2,0),"")</f>
        <v/>
      </c>
      <c r="E428" s="9"/>
      <c r="F428" s="9"/>
      <c r="G428" s="8"/>
      <c r="H428" s="37" t="str">
        <f t="shared" si="19"/>
        <v/>
      </c>
      <c r="I428" s="37" t="str">
        <f t="shared" si="20"/>
        <v/>
      </c>
      <c r="J428" s="7"/>
    </row>
    <row r="429" spans="1:10">
      <c r="A429" s="6">
        <f t="shared" si="18"/>
        <v>424</v>
      </c>
      <c r="B429" s="7"/>
      <c r="C429" s="37" t="str">
        <f>IFERROR(VLOOKUP(B429,'MASTER RECORD'!$B$5:$W$1000,3,0),"")</f>
        <v/>
      </c>
      <c r="D429" s="37" t="str">
        <f>IFERROR(VLOOKUP(B429,'MASTER RECORD'!$B$5:$W$1000,2,0),"")</f>
        <v/>
      </c>
      <c r="E429" s="9"/>
      <c r="F429" s="9"/>
      <c r="G429" s="8"/>
      <c r="H429" s="37" t="str">
        <f t="shared" si="19"/>
        <v/>
      </c>
      <c r="I429" s="37" t="str">
        <f t="shared" si="20"/>
        <v/>
      </c>
      <c r="J429" s="7"/>
    </row>
    <row r="430" spans="1:10">
      <c r="A430" s="6">
        <f t="shared" si="18"/>
        <v>425</v>
      </c>
      <c r="B430" s="7"/>
      <c r="C430" s="37" t="str">
        <f>IFERROR(VLOOKUP(B430,'MASTER RECORD'!$B$5:$W$1000,3,0),"")</f>
        <v/>
      </c>
      <c r="D430" s="37" t="str">
        <f>IFERROR(VLOOKUP(B430,'MASTER RECORD'!$B$5:$W$1000,2,0),"")</f>
        <v/>
      </c>
      <c r="E430" s="9"/>
      <c r="F430" s="9"/>
      <c r="G430" s="8"/>
      <c r="H430" s="37" t="str">
        <f t="shared" si="19"/>
        <v/>
      </c>
      <c r="I430" s="37" t="str">
        <f t="shared" si="20"/>
        <v/>
      </c>
      <c r="J430" s="7"/>
    </row>
    <row r="431" spans="1:10">
      <c r="A431" s="6">
        <f t="shared" si="18"/>
        <v>426</v>
      </c>
      <c r="B431" s="7"/>
      <c r="C431" s="37" t="str">
        <f>IFERROR(VLOOKUP(B431,'MASTER RECORD'!$B$5:$W$1000,3,0),"")</f>
        <v/>
      </c>
      <c r="D431" s="37" t="str">
        <f>IFERROR(VLOOKUP(B431,'MASTER RECORD'!$B$5:$W$1000,2,0),"")</f>
        <v/>
      </c>
      <c r="E431" s="9"/>
      <c r="F431" s="9"/>
      <c r="G431" s="8"/>
      <c r="H431" s="37" t="str">
        <f t="shared" si="19"/>
        <v/>
      </c>
      <c r="I431" s="37" t="str">
        <f t="shared" si="20"/>
        <v/>
      </c>
      <c r="J431" s="7"/>
    </row>
    <row r="432" spans="1:10">
      <c r="A432" s="6">
        <f t="shared" si="18"/>
        <v>427</v>
      </c>
      <c r="B432" s="7"/>
      <c r="C432" s="37" t="str">
        <f>IFERROR(VLOOKUP(B432,'MASTER RECORD'!$B$5:$W$1000,3,0),"")</f>
        <v/>
      </c>
      <c r="D432" s="37" t="str">
        <f>IFERROR(VLOOKUP(B432,'MASTER RECORD'!$B$5:$W$1000,2,0),"")</f>
        <v/>
      </c>
      <c r="E432" s="9"/>
      <c r="F432" s="9"/>
      <c r="G432" s="8"/>
      <c r="H432" s="37" t="str">
        <f t="shared" si="19"/>
        <v/>
      </c>
      <c r="I432" s="37" t="str">
        <f t="shared" si="20"/>
        <v/>
      </c>
      <c r="J432" s="7"/>
    </row>
    <row r="433" spans="1:10">
      <c r="A433" s="6">
        <f t="shared" si="18"/>
        <v>428</v>
      </c>
      <c r="B433" s="7"/>
      <c r="C433" s="37" t="str">
        <f>IFERROR(VLOOKUP(B433,'MASTER RECORD'!$B$5:$W$1000,3,0),"")</f>
        <v/>
      </c>
      <c r="D433" s="37" t="str">
        <f>IFERROR(VLOOKUP(B433,'MASTER RECORD'!$B$5:$W$1000,2,0),"")</f>
        <v/>
      </c>
      <c r="E433" s="9"/>
      <c r="F433" s="9"/>
      <c r="G433" s="8"/>
      <c r="H433" s="37" t="str">
        <f t="shared" si="19"/>
        <v/>
      </c>
      <c r="I433" s="37" t="str">
        <f t="shared" si="20"/>
        <v/>
      </c>
      <c r="J433" s="7"/>
    </row>
    <row r="434" spans="1:10">
      <c r="A434" s="6">
        <f t="shared" si="18"/>
        <v>429</v>
      </c>
      <c r="B434" s="7"/>
      <c r="C434" s="37" t="str">
        <f>IFERROR(VLOOKUP(B434,'MASTER RECORD'!$B$5:$W$1000,3,0),"")</f>
        <v/>
      </c>
      <c r="D434" s="37" t="str">
        <f>IFERROR(VLOOKUP(B434,'MASTER RECORD'!$B$5:$W$1000,2,0),"")</f>
        <v/>
      </c>
      <c r="E434" s="9"/>
      <c r="F434" s="9"/>
      <c r="G434" s="8"/>
      <c r="H434" s="37" t="str">
        <f t="shared" si="19"/>
        <v/>
      </c>
      <c r="I434" s="37" t="str">
        <f t="shared" si="20"/>
        <v/>
      </c>
      <c r="J434" s="7"/>
    </row>
    <row r="435" spans="1:10">
      <c r="A435" s="6">
        <f t="shared" si="18"/>
        <v>430</v>
      </c>
      <c r="B435" s="7"/>
      <c r="C435" s="37" t="str">
        <f>IFERROR(VLOOKUP(B435,'MASTER RECORD'!$B$5:$W$1000,3,0),"")</f>
        <v/>
      </c>
      <c r="D435" s="37" t="str">
        <f>IFERROR(VLOOKUP(B435,'MASTER RECORD'!$B$5:$W$1000,2,0),"")</f>
        <v/>
      </c>
      <c r="E435" s="9"/>
      <c r="F435" s="9"/>
      <c r="G435" s="8"/>
      <c r="H435" s="37" t="str">
        <f t="shared" si="19"/>
        <v/>
      </c>
      <c r="I435" s="37" t="str">
        <f t="shared" si="20"/>
        <v/>
      </c>
      <c r="J435" s="7"/>
    </row>
    <row r="436" spans="1:10">
      <c r="A436" s="6">
        <f t="shared" si="18"/>
        <v>431</v>
      </c>
      <c r="B436" s="7"/>
      <c r="C436" s="37" t="str">
        <f>IFERROR(VLOOKUP(B436,'MASTER RECORD'!$B$5:$W$1000,3,0),"")</f>
        <v/>
      </c>
      <c r="D436" s="37" t="str">
        <f>IFERROR(VLOOKUP(B436,'MASTER RECORD'!$B$5:$W$1000,2,0),"")</f>
        <v/>
      </c>
      <c r="E436" s="9"/>
      <c r="F436" s="9"/>
      <c r="G436" s="8"/>
      <c r="H436" s="37" t="str">
        <f t="shared" si="19"/>
        <v/>
      </c>
      <c r="I436" s="37" t="str">
        <f t="shared" si="20"/>
        <v/>
      </c>
      <c r="J436" s="7"/>
    </row>
    <row r="437" spans="1:10">
      <c r="A437" s="6">
        <f t="shared" si="18"/>
        <v>432</v>
      </c>
      <c r="B437" s="7"/>
      <c r="C437" s="37" t="str">
        <f>IFERROR(VLOOKUP(B437,'MASTER RECORD'!$B$5:$W$1000,3,0),"")</f>
        <v/>
      </c>
      <c r="D437" s="37" t="str">
        <f>IFERROR(VLOOKUP(B437,'MASTER RECORD'!$B$5:$W$1000,2,0),"")</f>
        <v/>
      </c>
      <c r="E437" s="9"/>
      <c r="F437" s="9"/>
      <c r="G437" s="8"/>
      <c r="H437" s="37" t="str">
        <f t="shared" si="19"/>
        <v/>
      </c>
      <c r="I437" s="37" t="str">
        <f t="shared" si="20"/>
        <v/>
      </c>
      <c r="J437" s="7"/>
    </row>
    <row r="438" spans="1:10">
      <c r="A438" s="6">
        <f t="shared" si="18"/>
        <v>433</v>
      </c>
      <c r="B438" s="7"/>
      <c r="C438" s="37" t="str">
        <f>IFERROR(VLOOKUP(B438,'MASTER RECORD'!$B$5:$W$1000,3,0),"")</f>
        <v/>
      </c>
      <c r="D438" s="37" t="str">
        <f>IFERROR(VLOOKUP(B438,'MASTER RECORD'!$B$5:$W$1000,2,0),"")</f>
        <v/>
      </c>
      <c r="E438" s="9"/>
      <c r="F438" s="9"/>
      <c r="G438" s="8"/>
      <c r="H438" s="37" t="str">
        <f t="shared" si="19"/>
        <v/>
      </c>
      <c r="I438" s="37" t="str">
        <f t="shared" si="20"/>
        <v/>
      </c>
      <c r="J438" s="7"/>
    </row>
    <row r="439" spans="1:10">
      <c r="A439" s="6">
        <f t="shared" si="18"/>
        <v>434</v>
      </c>
      <c r="B439" s="7"/>
      <c r="C439" s="37" t="str">
        <f>IFERROR(VLOOKUP(B439,'MASTER RECORD'!$B$5:$W$1000,3,0),"")</f>
        <v/>
      </c>
      <c r="D439" s="37" t="str">
        <f>IFERROR(VLOOKUP(B439,'MASTER RECORD'!$B$5:$W$1000,2,0),"")</f>
        <v/>
      </c>
      <c r="E439" s="9"/>
      <c r="F439" s="9"/>
      <c r="G439" s="8"/>
      <c r="H439" s="37" t="str">
        <f t="shared" si="19"/>
        <v/>
      </c>
      <c r="I439" s="37" t="str">
        <f t="shared" si="20"/>
        <v/>
      </c>
      <c r="J439" s="7"/>
    </row>
    <row r="440" spans="1:10">
      <c r="A440" s="6">
        <f t="shared" si="18"/>
        <v>435</v>
      </c>
      <c r="B440" s="7"/>
      <c r="C440" s="37" t="str">
        <f>IFERROR(VLOOKUP(B440,'MASTER RECORD'!$B$5:$W$1000,3,0),"")</f>
        <v/>
      </c>
      <c r="D440" s="37" t="str">
        <f>IFERROR(VLOOKUP(B440,'MASTER RECORD'!$B$5:$W$1000,2,0),"")</f>
        <v/>
      </c>
      <c r="E440" s="9"/>
      <c r="F440" s="9"/>
      <c r="G440" s="8"/>
      <c r="H440" s="37" t="str">
        <f t="shared" si="19"/>
        <v/>
      </c>
      <c r="I440" s="37" t="str">
        <f t="shared" si="20"/>
        <v/>
      </c>
      <c r="J440" s="7"/>
    </row>
    <row r="441" spans="1:10">
      <c r="A441" s="6">
        <f t="shared" si="18"/>
        <v>436</v>
      </c>
      <c r="B441" s="7"/>
      <c r="C441" s="37" t="str">
        <f>IFERROR(VLOOKUP(B441,'MASTER RECORD'!$B$5:$W$1000,3,0),"")</f>
        <v/>
      </c>
      <c r="D441" s="37" t="str">
        <f>IFERROR(VLOOKUP(B441,'MASTER RECORD'!$B$5:$W$1000,2,0),"")</f>
        <v/>
      </c>
      <c r="E441" s="9"/>
      <c r="F441" s="9"/>
      <c r="G441" s="8"/>
      <c r="H441" s="37" t="str">
        <f t="shared" si="19"/>
        <v/>
      </c>
      <c r="I441" s="37" t="str">
        <f t="shared" si="20"/>
        <v/>
      </c>
      <c r="J441" s="7"/>
    </row>
    <row r="442" spans="1:10">
      <c r="A442" s="6">
        <f t="shared" si="18"/>
        <v>437</v>
      </c>
      <c r="B442" s="7"/>
      <c r="C442" s="37" t="str">
        <f>IFERROR(VLOOKUP(B442,'MASTER RECORD'!$B$5:$W$1000,3,0),"")</f>
        <v/>
      </c>
      <c r="D442" s="37" t="str">
        <f>IFERROR(VLOOKUP(B442,'MASTER RECORD'!$B$5:$W$1000,2,0),"")</f>
        <v/>
      </c>
      <c r="E442" s="9"/>
      <c r="F442" s="9"/>
      <c r="G442" s="8"/>
      <c r="H442" s="37" t="str">
        <f t="shared" si="19"/>
        <v/>
      </c>
      <c r="I442" s="37" t="str">
        <f t="shared" si="20"/>
        <v/>
      </c>
      <c r="J442" s="7"/>
    </row>
    <row r="443" spans="1:10">
      <c r="A443" s="6">
        <f t="shared" si="18"/>
        <v>438</v>
      </c>
      <c r="B443" s="7"/>
      <c r="C443" s="37" t="str">
        <f>IFERROR(VLOOKUP(B443,'MASTER RECORD'!$B$5:$W$1000,3,0),"")</f>
        <v/>
      </c>
      <c r="D443" s="37" t="str">
        <f>IFERROR(VLOOKUP(B443,'MASTER RECORD'!$B$5:$W$1000,2,0),"")</f>
        <v/>
      </c>
      <c r="E443" s="9"/>
      <c r="F443" s="9"/>
      <c r="G443" s="8"/>
      <c r="H443" s="37" t="str">
        <f t="shared" si="19"/>
        <v/>
      </c>
      <c r="I443" s="37" t="str">
        <f t="shared" si="20"/>
        <v/>
      </c>
      <c r="J443" s="7"/>
    </row>
    <row r="444" spans="1:10">
      <c r="A444" s="6">
        <f t="shared" si="18"/>
        <v>439</v>
      </c>
      <c r="B444" s="7"/>
      <c r="C444" s="37" t="str">
        <f>IFERROR(VLOOKUP(B444,'MASTER RECORD'!$B$5:$W$1000,3,0),"")</f>
        <v/>
      </c>
      <c r="D444" s="37" t="str">
        <f>IFERROR(VLOOKUP(B444,'MASTER RECORD'!$B$5:$W$1000,2,0),"")</f>
        <v/>
      </c>
      <c r="E444" s="9"/>
      <c r="F444" s="9"/>
      <c r="G444" s="8"/>
      <c r="H444" s="37" t="str">
        <f t="shared" si="19"/>
        <v/>
      </c>
      <c r="I444" s="37" t="str">
        <f t="shared" si="20"/>
        <v/>
      </c>
      <c r="J444" s="7"/>
    </row>
    <row r="445" spans="1:10">
      <c r="A445" s="6">
        <f t="shared" si="18"/>
        <v>440</v>
      </c>
      <c r="B445" s="7"/>
      <c r="C445" s="37" t="str">
        <f>IFERROR(VLOOKUP(B445,'MASTER RECORD'!$B$5:$W$1000,3,0),"")</f>
        <v/>
      </c>
      <c r="D445" s="37" t="str">
        <f>IFERROR(VLOOKUP(B445,'MASTER RECORD'!$B$5:$W$1000,2,0),"")</f>
        <v/>
      </c>
      <c r="E445" s="9"/>
      <c r="F445" s="9"/>
      <c r="G445" s="8"/>
      <c r="H445" s="37" t="str">
        <f t="shared" si="19"/>
        <v/>
      </c>
      <c r="I445" s="37" t="str">
        <f t="shared" si="20"/>
        <v/>
      </c>
      <c r="J445" s="7"/>
    </row>
    <row r="446" spans="1:10">
      <c r="A446" s="6">
        <f t="shared" si="18"/>
        <v>441</v>
      </c>
      <c r="B446" s="7"/>
      <c r="C446" s="37" t="str">
        <f>IFERROR(VLOOKUP(B446,'MASTER RECORD'!$B$5:$W$1000,3,0),"")</f>
        <v/>
      </c>
      <c r="D446" s="37" t="str">
        <f>IFERROR(VLOOKUP(B446,'MASTER RECORD'!$B$5:$W$1000,2,0),"")</f>
        <v/>
      </c>
      <c r="E446" s="9"/>
      <c r="F446" s="9"/>
      <c r="G446" s="8"/>
      <c r="H446" s="37" t="str">
        <f t="shared" si="19"/>
        <v/>
      </c>
      <c r="I446" s="37" t="str">
        <f t="shared" si="20"/>
        <v/>
      </c>
      <c r="J446" s="7"/>
    </row>
    <row r="447" spans="1:10">
      <c r="A447" s="6">
        <f t="shared" si="18"/>
        <v>442</v>
      </c>
      <c r="B447" s="7"/>
      <c r="C447" s="37" t="str">
        <f>IFERROR(VLOOKUP(B447,'MASTER RECORD'!$B$5:$W$1000,3,0),"")</f>
        <v/>
      </c>
      <c r="D447" s="37" t="str">
        <f>IFERROR(VLOOKUP(B447,'MASTER RECORD'!$B$5:$W$1000,2,0),"")</f>
        <v/>
      </c>
      <c r="E447" s="9"/>
      <c r="F447" s="9"/>
      <c r="G447" s="8"/>
      <c r="H447" s="37" t="str">
        <f t="shared" si="19"/>
        <v/>
      </c>
      <c r="I447" s="37" t="str">
        <f t="shared" si="20"/>
        <v/>
      </c>
      <c r="J447" s="7"/>
    </row>
    <row r="448" spans="1:10">
      <c r="A448" s="6">
        <f t="shared" si="18"/>
        <v>443</v>
      </c>
      <c r="B448" s="7"/>
      <c r="C448" s="37" t="str">
        <f>IFERROR(VLOOKUP(B448,'MASTER RECORD'!$B$5:$W$1000,3,0),"")</f>
        <v/>
      </c>
      <c r="D448" s="37" t="str">
        <f>IFERROR(VLOOKUP(B448,'MASTER RECORD'!$B$5:$W$1000,2,0),"")</f>
        <v/>
      </c>
      <c r="E448" s="9"/>
      <c r="F448" s="9"/>
      <c r="G448" s="8"/>
      <c r="H448" s="37" t="str">
        <f t="shared" si="19"/>
        <v/>
      </c>
      <c r="I448" s="37" t="str">
        <f t="shared" si="20"/>
        <v/>
      </c>
      <c r="J448" s="7"/>
    </row>
    <row r="449" spans="1:10">
      <c r="A449" s="6">
        <f t="shared" si="18"/>
        <v>444</v>
      </c>
      <c r="B449" s="7"/>
      <c r="C449" s="37" t="str">
        <f>IFERROR(VLOOKUP(B449,'MASTER RECORD'!$B$5:$W$1000,3,0),"")</f>
        <v/>
      </c>
      <c r="D449" s="37" t="str">
        <f>IFERROR(VLOOKUP(B449,'MASTER RECORD'!$B$5:$W$1000,2,0),"")</f>
        <v/>
      </c>
      <c r="E449" s="9"/>
      <c r="F449" s="9"/>
      <c r="G449" s="8"/>
      <c r="H449" s="37" t="str">
        <f t="shared" si="19"/>
        <v/>
      </c>
      <c r="I449" s="37" t="str">
        <f t="shared" si="20"/>
        <v/>
      </c>
      <c r="J449" s="7"/>
    </row>
    <row r="450" spans="1:10">
      <c r="A450" s="6">
        <f t="shared" si="18"/>
        <v>445</v>
      </c>
      <c r="B450" s="7"/>
      <c r="C450" s="37" t="str">
        <f>IFERROR(VLOOKUP(B450,'MASTER RECORD'!$B$5:$W$1000,3,0),"")</f>
        <v/>
      </c>
      <c r="D450" s="37" t="str">
        <f>IFERROR(VLOOKUP(B450,'MASTER RECORD'!$B$5:$W$1000,2,0),"")</f>
        <v/>
      </c>
      <c r="E450" s="9"/>
      <c r="F450" s="9"/>
      <c r="G450" s="8"/>
      <c r="H450" s="37" t="str">
        <f t="shared" si="19"/>
        <v/>
      </c>
      <c r="I450" s="37" t="str">
        <f t="shared" si="20"/>
        <v/>
      </c>
      <c r="J450" s="7"/>
    </row>
    <row r="451" spans="1:10">
      <c r="A451" s="6">
        <f t="shared" si="18"/>
        <v>446</v>
      </c>
      <c r="B451" s="7"/>
      <c r="C451" s="37" t="str">
        <f>IFERROR(VLOOKUP(B451,'MASTER RECORD'!$B$5:$W$1000,3,0),"")</f>
        <v/>
      </c>
      <c r="D451" s="37" t="str">
        <f>IFERROR(VLOOKUP(B451,'MASTER RECORD'!$B$5:$W$1000,2,0),"")</f>
        <v/>
      </c>
      <c r="E451" s="9"/>
      <c r="F451" s="9"/>
      <c r="G451" s="8"/>
      <c r="H451" s="37" t="str">
        <f t="shared" si="19"/>
        <v/>
      </c>
      <c r="I451" s="37" t="str">
        <f t="shared" si="20"/>
        <v/>
      </c>
      <c r="J451" s="7"/>
    </row>
    <row r="452" spans="1:10">
      <c r="A452" s="6">
        <f t="shared" si="18"/>
        <v>447</v>
      </c>
      <c r="B452" s="7"/>
      <c r="C452" s="37" t="str">
        <f>IFERROR(VLOOKUP(B452,'MASTER RECORD'!$B$5:$W$1000,3,0),"")</f>
        <v/>
      </c>
      <c r="D452" s="37" t="str">
        <f>IFERROR(VLOOKUP(B452,'MASTER RECORD'!$B$5:$W$1000,2,0),"")</f>
        <v/>
      </c>
      <c r="E452" s="9"/>
      <c r="F452" s="9"/>
      <c r="G452" s="8"/>
      <c r="H452" s="37" t="str">
        <f t="shared" si="19"/>
        <v/>
      </c>
      <c r="I452" s="37" t="str">
        <f t="shared" si="20"/>
        <v/>
      </c>
      <c r="J452" s="7"/>
    </row>
    <row r="453" spans="1:10">
      <c r="A453" s="6">
        <f t="shared" si="18"/>
        <v>448</v>
      </c>
      <c r="B453" s="7"/>
      <c r="C453" s="37" t="str">
        <f>IFERROR(VLOOKUP(B453,'MASTER RECORD'!$B$5:$W$1000,3,0),"")</f>
        <v/>
      </c>
      <c r="D453" s="37" t="str">
        <f>IFERROR(VLOOKUP(B453,'MASTER RECORD'!$B$5:$W$1000,2,0),"")</f>
        <v/>
      </c>
      <c r="E453" s="9"/>
      <c r="F453" s="9"/>
      <c r="G453" s="8"/>
      <c r="H453" s="37" t="str">
        <f t="shared" si="19"/>
        <v/>
      </c>
      <c r="I453" s="37" t="str">
        <f t="shared" si="20"/>
        <v/>
      </c>
      <c r="J453" s="7"/>
    </row>
    <row r="454" spans="1:10">
      <c r="A454" s="6">
        <f t="shared" si="18"/>
        <v>449</v>
      </c>
      <c r="B454" s="7"/>
      <c r="C454" s="37" t="str">
        <f>IFERROR(VLOOKUP(B454,'MASTER RECORD'!$B$5:$W$1000,3,0),"")</f>
        <v/>
      </c>
      <c r="D454" s="37" t="str">
        <f>IFERROR(VLOOKUP(B454,'MASTER RECORD'!$B$5:$W$1000,2,0),"")</f>
        <v/>
      </c>
      <c r="E454" s="9"/>
      <c r="F454" s="9"/>
      <c r="G454" s="8"/>
      <c r="H454" s="37" t="str">
        <f t="shared" si="19"/>
        <v/>
      </c>
      <c r="I454" s="37" t="str">
        <f t="shared" si="20"/>
        <v/>
      </c>
      <c r="J454" s="7"/>
    </row>
    <row r="455" spans="1:10">
      <c r="A455" s="6">
        <f t="shared" ref="A455:A518" si="21">ROW(A450)</f>
        <v>450</v>
      </c>
      <c r="B455" s="7"/>
      <c r="C455" s="37" t="str">
        <f>IFERROR(VLOOKUP(B455,'MASTER RECORD'!$B$5:$W$1000,3,0),"")</f>
        <v/>
      </c>
      <c r="D455" s="37" t="str">
        <f>IFERROR(VLOOKUP(B455,'MASTER RECORD'!$B$5:$W$1000,2,0),"")</f>
        <v/>
      </c>
      <c r="E455" s="9"/>
      <c r="F455" s="9"/>
      <c r="G455" s="8"/>
      <c r="H455" s="37" t="str">
        <f t="shared" ref="H455:H518" si="22">IF(G455=0,"",TEXT(G455,"mmmm"))</f>
        <v/>
      </c>
      <c r="I455" s="37" t="str">
        <f t="shared" ref="I455:I518" si="23">IF(G455=0,"",TEXT(G455,"yyyy"))</f>
        <v/>
      </c>
      <c r="J455" s="7"/>
    </row>
    <row r="456" spans="1:10">
      <c r="A456" s="6">
        <f t="shared" si="21"/>
        <v>451</v>
      </c>
      <c r="B456" s="7"/>
      <c r="C456" s="37" t="str">
        <f>IFERROR(VLOOKUP(B456,'MASTER RECORD'!$B$5:$W$1000,3,0),"")</f>
        <v/>
      </c>
      <c r="D456" s="37" t="str">
        <f>IFERROR(VLOOKUP(B456,'MASTER RECORD'!$B$5:$W$1000,2,0),"")</f>
        <v/>
      </c>
      <c r="E456" s="9"/>
      <c r="F456" s="9"/>
      <c r="G456" s="8"/>
      <c r="H456" s="37" t="str">
        <f t="shared" si="22"/>
        <v/>
      </c>
      <c r="I456" s="37" t="str">
        <f t="shared" si="23"/>
        <v/>
      </c>
      <c r="J456" s="7"/>
    </row>
    <row r="457" spans="1:10">
      <c r="A457" s="6">
        <f t="shared" si="21"/>
        <v>452</v>
      </c>
      <c r="B457" s="7"/>
      <c r="C457" s="37" t="str">
        <f>IFERROR(VLOOKUP(B457,'MASTER RECORD'!$B$5:$W$1000,3,0),"")</f>
        <v/>
      </c>
      <c r="D457" s="37" t="str">
        <f>IFERROR(VLOOKUP(B457,'MASTER RECORD'!$B$5:$W$1000,2,0),"")</f>
        <v/>
      </c>
      <c r="E457" s="9"/>
      <c r="F457" s="9"/>
      <c r="G457" s="8"/>
      <c r="H457" s="37" t="str">
        <f t="shared" si="22"/>
        <v/>
      </c>
      <c r="I457" s="37" t="str">
        <f t="shared" si="23"/>
        <v/>
      </c>
      <c r="J457" s="7"/>
    </row>
    <row r="458" spans="1:10">
      <c r="A458" s="6">
        <f t="shared" si="21"/>
        <v>453</v>
      </c>
      <c r="B458" s="7"/>
      <c r="C458" s="37" t="str">
        <f>IFERROR(VLOOKUP(B458,'MASTER RECORD'!$B$5:$W$1000,3,0),"")</f>
        <v/>
      </c>
      <c r="D458" s="37" t="str">
        <f>IFERROR(VLOOKUP(B458,'MASTER RECORD'!$B$5:$W$1000,2,0),"")</f>
        <v/>
      </c>
      <c r="E458" s="9"/>
      <c r="F458" s="9"/>
      <c r="G458" s="8"/>
      <c r="H458" s="37" t="str">
        <f t="shared" si="22"/>
        <v/>
      </c>
      <c r="I458" s="37" t="str">
        <f t="shared" si="23"/>
        <v/>
      </c>
      <c r="J458" s="7"/>
    </row>
    <row r="459" spans="1:10">
      <c r="A459" s="6">
        <f t="shared" si="21"/>
        <v>454</v>
      </c>
      <c r="B459" s="7"/>
      <c r="C459" s="37" t="str">
        <f>IFERROR(VLOOKUP(B459,'MASTER RECORD'!$B$5:$W$1000,3,0),"")</f>
        <v/>
      </c>
      <c r="D459" s="37" t="str">
        <f>IFERROR(VLOOKUP(B459,'MASTER RECORD'!$B$5:$W$1000,2,0),"")</f>
        <v/>
      </c>
      <c r="E459" s="9"/>
      <c r="F459" s="9"/>
      <c r="G459" s="8"/>
      <c r="H459" s="37" t="str">
        <f t="shared" si="22"/>
        <v/>
      </c>
      <c r="I459" s="37" t="str">
        <f t="shared" si="23"/>
        <v/>
      </c>
      <c r="J459" s="7"/>
    </row>
    <row r="460" spans="1:10">
      <c r="A460" s="6">
        <f t="shared" si="21"/>
        <v>455</v>
      </c>
      <c r="B460" s="7"/>
      <c r="C460" s="37" t="str">
        <f>IFERROR(VLOOKUP(B460,'MASTER RECORD'!$B$5:$W$1000,3,0),"")</f>
        <v/>
      </c>
      <c r="D460" s="37" t="str">
        <f>IFERROR(VLOOKUP(B460,'MASTER RECORD'!$B$5:$W$1000,2,0),"")</f>
        <v/>
      </c>
      <c r="E460" s="9"/>
      <c r="F460" s="9"/>
      <c r="G460" s="8"/>
      <c r="H460" s="37" t="str">
        <f t="shared" si="22"/>
        <v/>
      </c>
      <c r="I460" s="37" t="str">
        <f t="shared" si="23"/>
        <v/>
      </c>
      <c r="J460" s="7"/>
    </row>
    <row r="461" spans="1:10">
      <c r="A461" s="6">
        <f t="shared" si="21"/>
        <v>456</v>
      </c>
      <c r="B461" s="7"/>
      <c r="C461" s="37" t="str">
        <f>IFERROR(VLOOKUP(B461,'MASTER RECORD'!$B$5:$W$1000,3,0),"")</f>
        <v/>
      </c>
      <c r="D461" s="37" t="str">
        <f>IFERROR(VLOOKUP(B461,'MASTER RECORD'!$B$5:$W$1000,2,0),"")</f>
        <v/>
      </c>
      <c r="E461" s="9"/>
      <c r="F461" s="9"/>
      <c r="G461" s="8"/>
      <c r="H461" s="37" t="str">
        <f t="shared" si="22"/>
        <v/>
      </c>
      <c r="I461" s="37" t="str">
        <f t="shared" si="23"/>
        <v/>
      </c>
      <c r="J461" s="7"/>
    </row>
    <row r="462" spans="1:10">
      <c r="A462" s="6">
        <f t="shared" si="21"/>
        <v>457</v>
      </c>
      <c r="B462" s="7"/>
      <c r="C462" s="37" t="str">
        <f>IFERROR(VLOOKUP(B462,'MASTER RECORD'!$B$5:$W$1000,3,0),"")</f>
        <v/>
      </c>
      <c r="D462" s="37" t="str">
        <f>IFERROR(VLOOKUP(B462,'MASTER RECORD'!$B$5:$W$1000,2,0),"")</f>
        <v/>
      </c>
      <c r="E462" s="9"/>
      <c r="F462" s="9"/>
      <c r="G462" s="8"/>
      <c r="H462" s="37" t="str">
        <f t="shared" si="22"/>
        <v/>
      </c>
      <c r="I462" s="37" t="str">
        <f t="shared" si="23"/>
        <v/>
      </c>
      <c r="J462" s="7"/>
    </row>
    <row r="463" spans="1:10">
      <c r="A463" s="6">
        <f t="shared" si="21"/>
        <v>458</v>
      </c>
      <c r="B463" s="7"/>
      <c r="C463" s="37" t="str">
        <f>IFERROR(VLOOKUP(B463,'MASTER RECORD'!$B$5:$W$1000,3,0),"")</f>
        <v/>
      </c>
      <c r="D463" s="37" t="str">
        <f>IFERROR(VLOOKUP(B463,'MASTER RECORD'!$B$5:$W$1000,2,0),"")</f>
        <v/>
      </c>
      <c r="E463" s="9"/>
      <c r="F463" s="9"/>
      <c r="G463" s="8"/>
      <c r="H463" s="37" t="str">
        <f t="shared" si="22"/>
        <v/>
      </c>
      <c r="I463" s="37" t="str">
        <f t="shared" si="23"/>
        <v/>
      </c>
      <c r="J463" s="7"/>
    </row>
    <row r="464" spans="1:10">
      <c r="A464" s="6">
        <f t="shared" si="21"/>
        <v>459</v>
      </c>
      <c r="B464" s="7"/>
      <c r="C464" s="37" t="str">
        <f>IFERROR(VLOOKUP(B464,'MASTER RECORD'!$B$5:$W$1000,3,0),"")</f>
        <v/>
      </c>
      <c r="D464" s="37" t="str">
        <f>IFERROR(VLOOKUP(B464,'MASTER RECORD'!$B$5:$W$1000,2,0),"")</f>
        <v/>
      </c>
      <c r="E464" s="9"/>
      <c r="F464" s="9"/>
      <c r="G464" s="8"/>
      <c r="H464" s="37" t="str">
        <f t="shared" si="22"/>
        <v/>
      </c>
      <c r="I464" s="37" t="str">
        <f t="shared" si="23"/>
        <v/>
      </c>
      <c r="J464" s="7"/>
    </row>
    <row r="465" spans="1:10">
      <c r="A465" s="6">
        <f t="shared" si="21"/>
        <v>460</v>
      </c>
      <c r="B465" s="7"/>
      <c r="C465" s="37" t="str">
        <f>IFERROR(VLOOKUP(B465,'MASTER RECORD'!$B$5:$W$1000,3,0),"")</f>
        <v/>
      </c>
      <c r="D465" s="37" t="str">
        <f>IFERROR(VLOOKUP(B465,'MASTER RECORD'!$B$5:$W$1000,2,0),"")</f>
        <v/>
      </c>
      <c r="E465" s="9"/>
      <c r="F465" s="9"/>
      <c r="G465" s="8"/>
      <c r="H465" s="37" t="str">
        <f t="shared" si="22"/>
        <v/>
      </c>
      <c r="I465" s="37" t="str">
        <f t="shared" si="23"/>
        <v/>
      </c>
      <c r="J465" s="7"/>
    </row>
    <row r="466" spans="1:10">
      <c r="A466" s="6">
        <f t="shared" si="21"/>
        <v>461</v>
      </c>
      <c r="B466" s="7"/>
      <c r="C466" s="37" t="str">
        <f>IFERROR(VLOOKUP(B466,'MASTER RECORD'!$B$5:$W$1000,3,0),"")</f>
        <v/>
      </c>
      <c r="D466" s="37" t="str">
        <f>IFERROR(VLOOKUP(B466,'MASTER RECORD'!$B$5:$W$1000,2,0),"")</f>
        <v/>
      </c>
      <c r="E466" s="9"/>
      <c r="F466" s="9"/>
      <c r="G466" s="8"/>
      <c r="H466" s="37" t="str">
        <f t="shared" si="22"/>
        <v/>
      </c>
      <c r="I466" s="37" t="str">
        <f t="shared" si="23"/>
        <v/>
      </c>
      <c r="J466" s="7"/>
    </row>
    <row r="467" spans="1:10">
      <c r="A467" s="6">
        <f t="shared" si="21"/>
        <v>462</v>
      </c>
      <c r="B467" s="7"/>
      <c r="C467" s="37" t="str">
        <f>IFERROR(VLOOKUP(B467,'MASTER RECORD'!$B$5:$W$1000,3,0),"")</f>
        <v/>
      </c>
      <c r="D467" s="37" t="str">
        <f>IFERROR(VLOOKUP(B467,'MASTER RECORD'!$B$5:$W$1000,2,0),"")</f>
        <v/>
      </c>
      <c r="E467" s="9"/>
      <c r="F467" s="9"/>
      <c r="G467" s="8"/>
      <c r="H467" s="37" t="str">
        <f t="shared" si="22"/>
        <v/>
      </c>
      <c r="I467" s="37" t="str">
        <f t="shared" si="23"/>
        <v/>
      </c>
      <c r="J467" s="7"/>
    </row>
    <row r="468" spans="1:10">
      <c r="A468" s="6">
        <f t="shared" si="21"/>
        <v>463</v>
      </c>
      <c r="B468" s="7"/>
      <c r="C468" s="37" t="str">
        <f>IFERROR(VLOOKUP(B468,'MASTER RECORD'!$B$5:$W$1000,3,0),"")</f>
        <v/>
      </c>
      <c r="D468" s="37" t="str">
        <f>IFERROR(VLOOKUP(B468,'MASTER RECORD'!$B$5:$W$1000,2,0),"")</f>
        <v/>
      </c>
      <c r="E468" s="9"/>
      <c r="F468" s="9"/>
      <c r="G468" s="8"/>
      <c r="H468" s="37" t="str">
        <f t="shared" si="22"/>
        <v/>
      </c>
      <c r="I468" s="37" t="str">
        <f t="shared" si="23"/>
        <v/>
      </c>
      <c r="J468" s="7"/>
    </row>
    <row r="469" spans="1:10">
      <c r="A469" s="6">
        <f t="shared" si="21"/>
        <v>464</v>
      </c>
      <c r="B469" s="7"/>
      <c r="C469" s="37" t="str">
        <f>IFERROR(VLOOKUP(B469,'MASTER RECORD'!$B$5:$W$1000,3,0),"")</f>
        <v/>
      </c>
      <c r="D469" s="37" t="str">
        <f>IFERROR(VLOOKUP(B469,'MASTER RECORD'!$B$5:$W$1000,2,0),"")</f>
        <v/>
      </c>
      <c r="E469" s="9"/>
      <c r="F469" s="9"/>
      <c r="G469" s="8"/>
      <c r="H469" s="37" t="str">
        <f t="shared" si="22"/>
        <v/>
      </c>
      <c r="I469" s="37" t="str">
        <f t="shared" si="23"/>
        <v/>
      </c>
      <c r="J469" s="7"/>
    </row>
    <row r="470" spans="1:10">
      <c r="A470" s="6">
        <f t="shared" si="21"/>
        <v>465</v>
      </c>
      <c r="B470" s="7"/>
      <c r="C470" s="37" t="str">
        <f>IFERROR(VLOOKUP(B470,'MASTER RECORD'!$B$5:$W$1000,3,0),"")</f>
        <v/>
      </c>
      <c r="D470" s="37" t="str">
        <f>IFERROR(VLOOKUP(B470,'MASTER RECORD'!$B$5:$W$1000,2,0),"")</f>
        <v/>
      </c>
      <c r="E470" s="9"/>
      <c r="F470" s="9"/>
      <c r="G470" s="8"/>
      <c r="H470" s="37" t="str">
        <f t="shared" si="22"/>
        <v/>
      </c>
      <c r="I470" s="37" t="str">
        <f t="shared" si="23"/>
        <v/>
      </c>
      <c r="J470" s="7"/>
    </row>
    <row r="471" spans="1:10">
      <c r="A471" s="6">
        <f t="shared" si="21"/>
        <v>466</v>
      </c>
      <c r="B471" s="7"/>
      <c r="C471" s="37" t="str">
        <f>IFERROR(VLOOKUP(B471,'MASTER RECORD'!$B$5:$W$1000,3,0),"")</f>
        <v/>
      </c>
      <c r="D471" s="37" t="str">
        <f>IFERROR(VLOOKUP(B471,'MASTER RECORD'!$B$5:$W$1000,2,0),"")</f>
        <v/>
      </c>
      <c r="E471" s="9"/>
      <c r="F471" s="9"/>
      <c r="G471" s="8"/>
      <c r="H471" s="37" t="str">
        <f t="shared" si="22"/>
        <v/>
      </c>
      <c r="I471" s="37" t="str">
        <f t="shared" si="23"/>
        <v/>
      </c>
      <c r="J471" s="7"/>
    </row>
    <row r="472" spans="1:10">
      <c r="A472" s="6">
        <f t="shared" si="21"/>
        <v>467</v>
      </c>
      <c r="B472" s="7"/>
      <c r="C472" s="37" t="str">
        <f>IFERROR(VLOOKUP(B472,'MASTER RECORD'!$B$5:$W$1000,3,0),"")</f>
        <v/>
      </c>
      <c r="D472" s="37" t="str">
        <f>IFERROR(VLOOKUP(B472,'MASTER RECORD'!$B$5:$W$1000,2,0),"")</f>
        <v/>
      </c>
      <c r="E472" s="9"/>
      <c r="F472" s="9"/>
      <c r="G472" s="8"/>
      <c r="H472" s="37" t="str">
        <f t="shared" si="22"/>
        <v/>
      </c>
      <c r="I472" s="37" t="str">
        <f t="shared" si="23"/>
        <v/>
      </c>
      <c r="J472" s="7"/>
    </row>
    <row r="473" spans="1:10">
      <c r="A473" s="6">
        <f t="shared" si="21"/>
        <v>468</v>
      </c>
      <c r="B473" s="7"/>
      <c r="C473" s="37" t="str">
        <f>IFERROR(VLOOKUP(B473,'MASTER RECORD'!$B$5:$W$1000,3,0),"")</f>
        <v/>
      </c>
      <c r="D473" s="37" t="str">
        <f>IFERROR(VLOOKUP(B473,'MASTER RECORD'!$B$5:$W$1000,2,0),"")</f>
        <v/>
      </c>
      <c r="E473" s="9"/>
      <c r="F473" s="9"/>
      <c r="G473" s="8"/>
      <c r="H473" s="37" t="str">
        <f t="shared" si="22"/>
        <v/>
      </c>
      <c r="I473" s="37" t="str">
        <f t="shared" si="23"/>
        <v/>
      </c>
      <c r="J473" s="7"/>
    </row>
    <row r="474" spans="1:10">
      <c r="A474" s="6">
        <f t="shared" si="21"/>
        <v>469</v>
      </c>
      <c r="B474" s="7"/>
      <c r="C474" s="37" t="str">
        <f>IFERROR(VLOOKUP(B474,'MASTER RECORD'!$B$5:$W$1000,3,0),"")</f>
        <v/>
      </c>
      <c r="D474" s="37" t="str">
        <f>IFERROR(VLOOKUP(B474,'MASTER RECORD'!$B$5:$W$1000,2,0),"")</f>
        <v/>
      </c>
      <c r="E474" s="9"/>
      <c r="F474" s="9"/>
      <c r="G474" s="8"/>
      <c r="H474" s="37" t="str">
        <f t="shared" si="22"/>
        <v/>
      </c>
      <c r="I474" s="37" t="str">
        <f t="shared" si="23"/>
        <v/>
      </c>
      <c r="J474" s="7"/>
    </row>
    <row r="475" spans="1:10">
      <c r="A475" s="6">
        <f t="shared" si="21"/>
        <v>470</v>
      </c>
      <c r="B475" s="7"/>
      <c r="C475" s="37" t="str">
        <f>IFERROR(VLOOKUP(B475,'MASTER RECORD'!$B$5:$W$1000,3,0),"")</f>
        <v/>
      </c>
      <c r="D475" s="37" t="str">
        <f>IFERROR(VLOOKUP(B475,'MASTER RECORD'!$B$5:$W$1000,2,0),"")</f>
        <v/>
      </c>
      <c r="E475" s="9"/>
      <c r="F475" s="9"/>
      <c r="G475" s="8"/>
      <c r="H475" s="37" t="str">
        <f t="shared" si="22"/>
        <v/>
      </c>
      <c r="I475" s="37" t="str">
        <f t="shared" si="23"/>
        <v/>
      </c>
      <c r="J475" s="7"/>
    </row>
    <row r="476" spans="1:10">
      <c r="A476" s="6">
        <f t="shared" si="21"/>
        <v>471</v>
      </c>
      <c r="B476" s="7"/>
      <c r="C476" s="37" t="str">
        <f>IFERROR(VLOOKUP(B476,'MASTER RECORD'!$B$5:$W$1000,3,0),"")</f>
        <v/>
      </c>
      <c r="D476" s="37" t="str">
        <f>IFERROR(VLOOKUP(B476,'MASTER RECORD'!$B$5:$W$1000,2,0),"")</f>
        <v/>
      </c>
      <c r="E476" s="9"/>
      <c r="F476" s="9"/>
      <c r="G476" s="8"/>
      <c r="H476" s="37" t="str">
        <f t="shared" si="22"/>
        <v/>
      </c>
      <c r="I476" s="37" t="str">
        <f t="shared" si="23"/>
        <v/>
      </c>
      <c r="J476" s="7"/>
    </row>
    <row r="477" spans="1:10">
      <c r="A477" s="6">
        <f t="shared" si="21"/>
        <v>472</v>
      </c>
      <c r="B477" s="7"/>
      <c r="C477" s="37" t="str">
        <f>IFERROR(VLOOKUP(B477,'MASTER RECORD'!$B$5:$W$1000,3,0),"")</f>
        <v/>
      </c>
      <c r="D477" s="37" t="str">
        <f>IFERROR(VLOOKUP(B477,'MASTER RECORD'!$B$5:$W$1000,2,0),"")</f>
        <v/>
      </c>
      <c r="E477" s="9"/>
      <c r="F477" s="9"/>
      <c r="G477" s="8"/>
      <c r="H477" s="37" t="str">
        <f t="shared" si="22"/>
        <v/>
      </c>
      <c r="I477" s="37" t="str">
        <f t="shared" si="23"/>
        <v/>
      </c>
      <c r="J477" s="7"/>
    </row>
    <row r="478" spans="1:10">
      <c r="A478" s="6">
        <f t="shared" si="21"/>
        <v>473</v>
      </c>
      <c r="B478" s="7"/>
      <c r="C478" s="37" t="str">
        <f>IFERROR(VLOOKUP(B478,'MASTER RECORD'!$B$5:$W$1000,3,0),"")</f>
        <v/>
      </c>
      <c r="D478" s="37" t="str">
        <f>IFERROR(VLOOKUP(B478,'MASTER RECORD'!$B$5:$W$1000,2,0),"")</f>
        <v/>
      </c>
      <c r="E478" s="9"/>
      <c r="F478" s="9"/>
      <c r="G478" s="8"/>
      <c r="H478" s="37" t="str">
        <f t="shared" si="22"/>
        <v/>
      </c>
      <c r="I478" s="37" t="str">
        <f t="shared" si="23"/>
        <v/>
      </c>
      <c r="J478" s="7"/>
    </row>
    <row r="479" spans="1:10">
      <c r="A479" s="6">
        <f t="shared" si="21"/>
        <v>474</v>
      </c>
      <c r="B479" s="7"/>
      <c r="C479" s="37" t="str">
        <f>IFERROR(VLOOKUP(B479,'MASTER RECORD'!$B$5:$W$1000,3,0),"")</f>
        <v/>
      </c>
      <c r="D479" s="37" t="str">
        <f>IFERROR(VLOOKUP(B479,'MASTER RECORD'!$B$5:$W$1000,2,0),"")</f>
        <v/>
      </c>
      <c r="E479" s="9"/>
      <c r="F479" s="9"/>
      <c r="G479" s="8"/>
      <c r="H479" s="37" t="str">
        <f t="shared" si="22"/>
        <v/>
      </c>
      <c r="I479" s="37" t="str">
        <f t="shared" si="23"/>
        <v/>
      </c>
      <c r="J479" s="7"/>
    </row>
    <row r="480" spans="1:10">
      <c r="A480" s="6">
        <f t="shared" si="21"/>
        <v>475</v>
      </c>
      <c r="B480" s="7"/>
      <c r="C480" s="37" t="str">
        <f>IFERROR(VLOOKUP(B480,'MASTER RECORD'!$B$5:$W$1000,3,0),"")</f>
        <v/>
      </c>
      <c r="D480" s="37" t="str">
        <f>IFERROR(VLOOKUP(B480,'MASTER RECORD'!$B$5:$W$1000,2,0),"")</f>
        <v/>
      </c>
      <c r="E480" s="9"/>
      <c r="F480" s="9"/>
      <c r="G480" s="8"/>
      <c r="H480" s="37" t="str">
        <f t="shared" si="22"/>
        <v/>
      </c>
      <c r="I480" s="37" t="str">
        <f t="shared" si="23"/>
        <v/>
      </c>
      <c r="J480" s="7"/>
    </row>
    <row r="481" spans="1:10">
      <c r="A481" s="6">
        <f t="shared" si="21"/>
        <v>476</v>
      </c>
      <c r="B481" s="7"/>
      <c r="C481" s="37" t="str">
        <f>IFERROR(VLOOKUP(B481,'MASTER RECORD'!$B$5:$W$1000,3,0),"")</f>
        <v/>
      </c>
      <c r="D481" s="37" t="str">
        <f>IFERROR(VLOOKUP(B481,'MASTER RECORD'!$B$5:$W$1000,2,0),"")</f>
        <v/>
      </c>
      <c r="E481" s="9"/>
      <c r="F481" s="9"/>
      <c r="G481" s="8"/>
      <c r="H481" s="37" t="str">
        <f t="shared" si="22"/>
        <v/>
      </c>
      <c r="I481" s="37" t="str">
        <f t="shared" si="23"/>
        <v/>
      </c>
      <c r="J481" s="7"/>
    </row>
    <row r="482" spans="1:10">
      <c r="A482" s="6">
        <f t="shared" si="21"/>
        <v>477</v>
      </c>
      <c r="B482" s="7"/>
      <c r="C482" s="37" t="str">
        <f>IFERROR(VLOOKUP(B482,'MASTER RECORD'!$B$5:$W$1000,3,0),"")</f>
        <v/>
      </c>
      <c r="D482" s="37" t="str">
        <f>IFERROR(VLOOKUP(B482,'MASTER RECORD'!$B$5:$W$1000,2,0),"")</f>
        <v/>
      </c>
      <c r="E482" s="9"/>
      <c r="F482" s="9"/>
      <c r="G482" s="8"/>
      <c r="H482" s="37" t="str">
        <f t="shared" si="22"/>
        <v/>
      </c>
      <c r="I482" s="37" t="str">
        <f t="shared" si="23"/>
        <v/>
      </c>
      <c r="J482" s="7"/>
    </row>
    <row r="483" spans="1:10">
      <c r="A483" s="6">
        <f t="shared" si="21"/>
        <v>478</v>
      </c>
      <c r="B483" s="7"/>
      <c r="C483" s="37" t="str">
        <f>IFERROR(VLOOKUP(B483,'MASTER RECORD'!$B$5:$W$1000,3,0),"")</f>
        <v/>
      </c>
      <c r="D483" s="37" t="str">
        <f>IFERROR(VLOOKUP(B483,'MASTER RECORD'!$B$5:$W$1000,2,0),"")</f>
        <v/>
      </c>
      <c r="E483" s="9"/>
      <c r="F483" s="9"/>
      <c r="G483" s="8"/>
      <c r="H483" s="37" t="str">
        <f t="shared" si="22"/>
        <v/>
      </c>
      <c r="I483" s="37" t="str">
        <f t="shared" si="23"/>
        <v/>
      </c>
      <c r="J483" s="7"/>
    </row>
    <row r="484" spans="1:10">
      <c r="A484" s="6">
        <f t="shared" si="21"/>
        <v>479</v>
      </c>
      <c r="B484" s="7"/>
      <c r="C484" s="37" t="str">
        <f>IFERROR(VLOOKUP(B484,'MASTER RECORD'!$B$5:$W$1000,3,0),"")</f>
        <v/>
      </c>
      <c r="D484" s="37" t="str">
        <f>IFERROR(VLOOKUP(B484,'MASTER RECORD'!$B$5:$W$1000,2,0),"")</f>
        <v/>
      </c>
      <c r="E484" s="9"/>
      <c r="F484" s="9"/>
      <c r="G484" s="8"/>
      <c r="H484" s="37" t="str">
        <f t="shared" si="22"/>
        <v/>
      </c>
      <c r="I484" s="37" t="str">
        <f t="shared" si="23"/>
        <v/>
      </c>
      <c r="J484" s="7"/>
    </row>
    <row r="485" spans="1:10">
      <c r="A485" s="6">
        <f t="shared" si="21"/>
        <v>480</v>
      </c>
      <c r="B485" s="7"/>
      <c r="C485" s="37" t="str">
        <f>IFERROR(VLOOKUP(B485,'MASTER RECORD'!$B$5:$W$1000,3,0),"")</f>
        <v/>
      </c>
      <c r="D485" s="37" t="str">
        <f>IFERROR(VLOOKUP(B485,'MASTER RECORD'!$B$5:$W$1000,2,0),"")</f>
        <v/>
      </c>
      <c r="E485" s="9"/>
      <c r="F485" s="9"/>
      <c r="G485" s="8"/>
      <c r="H485" s="37" t="str">
        <f t="shared" si="22"/>
        <v/>
      </c>
      <c r="I485" s="37" t="str">
        <f t="shared" si="23"/>
        <v/>
      </c>
      <c r="J485" s="7"/>
    </row>
    <row r="486" spans="1:10">
      <c r="A486" s="6">
        <f t="shared" si="21"/>
        <v>481</v>
      </c>
      <c r="B486" s="7"/>
      <c r="C486" s="37" t="str">
        <f>IFERROR(VLOOKUP(B486,'MASTER RECORD'!$B$5:$W$1000,3,0),"")</f>
        <v/>
      </c>
      <c r="D486" s="37" t="str">
        <f>IFERROR(VLOOKUP(B486,'MASTER RECORD'!$B$5:$W$1000,2,0),"")</f>
        <v/>
      </c>
      <c r="E486" s="9"/>
      <c r="F486" s="9"/>
      <c r="G486" s="8"/>
      <c r="H486" s="37" t="str">
        <f t="shared" si="22"/>
        <v/>
      </c>
      <c r="I486" s="37" t="str">
        <f t="shared" si="23"/>
        <v/>
      </c>
      <c r="J486" s="7"/>
    </row>
    <row r="487" spans="1:10">
      <c r="A487" s="6">
        <f t="shared" si="21"/>
        <v>482</v>
      </c>
      <c r="B487" s="7"/>
      <c r="C487" s="37" t="str">
        <f>IFERROR(VLOOKUP(B487,'MASTER RECORD'!$B$5:$W$1000,3,0),"")</f>
        <v/>
      </c>
      <c r="D487" s="37" t="str">
        <f>IFERROR(VLOOKUP(B487,'MASTER RECORD'!$B$5:$W$1000,2,0),"")</f>
        <v/>
      </c>
      <c r="E487" s="9"/>
      <c r="F487" s="9"/>
      <c r="G487" s="8"/>
      <c r="H487" s="37" t="str">
        <f t="shared" si="22"/>
        <v/>
      </c>
      <c r="I487" s="37" t="str">
        <f t="shared" si="23"/>
        <v/>
      </c>
      <c r="J487" s="7"/>
    </row>
    <row r="488" spans="1:10">
      <c r="A488" s="6">
        <f t="shared" si="21"/>
        <v>483</v>
      </c>
      <c r="B488" s="7"/>
      <c r="C488" s="37" t="str">
        <f>IFERROR(VLOOKUP(B488,'MASTER RECORD'!$B$5:$W$1000,3,0),"")</f>
        <v/>
      </c>
      <c r="D488" s="37" t="str">
        <f>IFERROR(VLOOKUP(B488,'MASTER RECORD'!$B$5:$W$1000,2,0),"")</f>
        <v/>
      </c>
      <c r="E488" s="9"/>
      <c r="F488" s="9"/>
      <c r="G488" s="8"/>
      <c r="H488" s="37" t="str">
        <f t="shared" si="22"/>
        <v/>
      </c>
      <c r="I488" s="37" t="str">
        <f t="shared" si="23"/>
        <v/>
      </c>
      <c r="J488" s="7"/>
    </row>
    <row r="489" spans="1:10">
      <c r="A489" s="6">
        <f t="shared" si="21"/>
        <v>484</v>
      </c>
      <c r="B489" s="7"/>
      <c r="C489" s="37" t="str">
        <f>IFERROR(VLOOKUP(B489,'MASTER RECORD'!$B$5:$W$1000,3,0),"")</f>
        <v/>
      </c>
      <c r="D489" s="37" t="str">
        <f>IFERROR(VLOOKUP(B489,'MASTER RECORD'!$B$5:$W$1000,2,0),"")</f>
        <v/>
      </c>
      <c r="E489" s="9"/>
      <c r="F489" s="9"/>
      <c r="G489" s="8"/>
      <c r="H489" s="37" t="str">
        <f t="shared" si="22"/>
        <v/>
      </c>
      <c r="I489" s="37" t="str">
        <f t="shared" si="23"/>
        <v/>
      </c>
      <c r="J489" s="7"/>
    </row>
    <row r="490" spans="1:10">
      <c r="A490" s="6">
        <f t="shared" si="21"/>
        <v>485</v>
      </c>
      <c r="B490" s="7"/>
      <c r="C490" s="37" t="str">
        <f>IFERROR(VLOOKUP(B490,'MASTER RECORD'!$B$5:$W$1000,3,0),"")</f>
        <v/>
      </c>
      <c r="D490" s="37" t="str">
        <f>IFERROR(VLOOKUP(B490,'MASTER RECORD'!$B$5:$W$1000,2,0),"")</f>
        <v/>
      </c>
      <c r="E490" s="9"/>
      <c r="F490" s="9"/>
      <c r="G490" s="8"/>
      <c r="H490" s="37" t="str">
        <f t="shared" si="22"/>
        <v/>
      </c>
      <c r="I490" s="37" t="str">
        <f t="shared" si="23"/>
        <v/>
      </c>
      <c r="J490" s="7"/>
    </row>
    <row r="491" spans="1:10">
      <c r="A491" s="6">
        <f t="shared" si="21"/>
        <v>486</v>
      </c>
      <c r="B491" s="7"/>
      <c r="C491" s="37" t="str">
        <f>IFERROR(VLOOKUP(B491,'MASTER RECORD'!$B$5:$W$1000,3,0),"")</f>
        <v/>
      </c>
      <c r="D491" s="37" t="str">
        <f>IFERROR(VLOOKUP(B491,'MASTER RECORD'!$B$5:$W$1000,2,0),"")</f>
        <v/>
      </c>
      <c r="E491" s="9"/>
      <c r="F491" s="9"/>
      <c r="G491" s="8"/>
      <c r="H491" s="37" t="str">
        <f t="shared" si="22"/>
        <v/>
      </c>
      <c r="I491" s="37" t="str">
        <f t="shared" si="23"/>
        <v/>
      </c>
      <c r="J491" s="7"/>
    </row>
    <row r="492" spans="1:10">
      <c r="A492" s="6">
        <f t="shared" si="21"/>
        <v>487</v>
      </c>
      <c r="B492" s="7"/>
      <c r="C492" s="37" t="str">
        <f>IFERROR(VLOOKUP(B492,'MASTER RECORD'!$B$5:$W$1000,3,0),"")</f>
        <v/>
      </c>
      <c r="D492" s="37" t="str">
        <f>IFERROR(VLOOKUP(B492,'MASTER RECORD'!$B$5:$W$1000,2,0),"")</f>
        <v/>
      </c>
      <c r="E492" s="9"/>
      <c r="F492" s="9"/>
      <c r="G492" s="8"/>
      <c r="H492" s="37" t="str">
        <f t="shared" si="22"/>
        <v/>
      </c>
      <c r="I492" s="37" t="str">
        <f t="shared" si="23"/>
        <v/>
      </c>
      <c r="J492" s="7"/>
    </row>
    <row r="493" spans="1:10">
      <c r="A493" s="6">
        <f t="shared" si="21"/>
        <v>488</v>
      </c>
      <c r="B493" s="7"/>
      <c r="C493" s="37" t="str">
        <f>IFERROR(VLOOKUP(B493,'MASTER RECORD'!$B$5:$W$1000,3,0),"")</f>
        <v/>
      </c>
      <c r="D493" s="37" t="str">
        <f>IFERROR(VLOOKUP(B493,'MASTER RECORD'!$B$5:$W$1000,2,0),"")</f>
        <v/>
      </c>
      <c r="E493" s="9"/>
      <c r="F493" s="9"/>
      <c r="G493" s="8"/>
      <c r="H493" s="37" t="str">
        <f t="shared" si="22"/>
        <v/>
      </c>
      <c r="I493" s="37" t="str">
        <f t="shared" si="23"/>
        <v/>
      </c>
      <c r="J493" s="7"/>
    </row>
    <row r="494" spans="1:10">
      <c r="A494" s="6">
        <f t="shared" si="21"/>
        <v>489</v>
      </c>
      <c r="B494" s="7"/>
      <c r="C494" s="37" t="str">
        <f>IFERROR(VLOOKUP(B494,'MASTER RECORD'!$B$5:$W$1000,3,0),"")</f>
        <v/>
      </c>
      <c r="D494" s="37" t="str">
        <f>IFERROR(VLOOKUP(B494,'MASTER RECORD'!$B$5:$W$1000,2,0),"")</f>
        <v/>
      </c>
      <c r="E494" s="9"/>
      <c r="F494" s="9"/>
      <c r="G494" s="8"/>
      <c r="H494" s="37" t="str">
        <f t="shared" si="22"/>
        <v/>
      </c>
      <c r="I494" s="37" t="str">
        <f t="shared" si="23"/>
        <v/>
      </c>
      <c r="J494" s="7"/>
    </row>
    <row r="495" spans="1:10">
      <c r="A495" s="6">
        <f t="shared" si="21"/>
        <v>490</v>
      </c>
      <c r="B495" s="7"/>
      <c r="C495" s="37" t="str">
        <f>IFERROR(VLOOKUP(B495,'MASTER RECORD'!$B$5:$W$1000,3,0),"")</f>
        <v/>
      </c>
      <c r="D495" s="37" t="str">
        <f>IFERROR(VLOOKUP(B495,'MASTER RECORD'!$B$5:$W$1000,2,0),"")</f>
        <v/>
      </c>
      <c r="E495" s="9"/>
      <c r="F495" s="9"/>
      <c r="G495" s="8"/>
      <c r="H495" s="37" t="str">
        <f t="shared" si="22"/>
        <v/>
      </c>
      <c r="I495" s="37" t="str">
        <f t="shared" si="23"/>
        <v/>
      </c>
      <c r="J495" s="7"/>
    </row>
    <row r="496" spans="1:10">
      <c r="A496" s="6">
        <f t="shared" si="21"/>
        <v>491</v>
      </c>
      <c r="B496" s="7"/>
      <c r="C496" s="37" t="str">
        <f>IFERROR(VLOOKUP(B496,'MASTER RECORD'!$B$5:$W$1000,3,0),"")</f>
        <v/>
      </c>
      <c r="D496" s="37" t="str">
        <f>IFERROR(VLOOKUP(B496,'MASTER RECORD'!$B$5:$W$1000,2,0),"")</f>
        <v/>
      </c>
      <c r="E496" s="9"/>
      <c r="F496" s="9"/>
      <c r="G496" s="8"/>
      <c r="H496" s="37" t="str">
        <f t="shared" si="22"/>
        <v/>
      </c>
      <c r="I496" s="37" t="str">
        <f t="shared" si="23"/>
        <v/>
      </c>
      <c r="J496" s="7"/>
    </row>
    <row r="497" spans="1:10">
      <c r="A497" s="6">
        <f t="shared" si="21"/>
        <v>492</v>
      </c>
      <c r="B497" s="7"/>
      <c r="C497" s="37" t="str">
        <f>IFERROR(VLOOKUP(B497,'MASTER RECORD'!$B$5:$W$1000,3,0),"")</f>
        <v/>
      </c>
      <c r="D497" s="37" t="str">
        <f>IFERROR(VLOOKUP(B497,'MASTER RECORD'!$B$5:$W$1000,2,0),"")</f>
        <v/>
      </c>
      <c r="E497" s="9"/>
      <c r="F497" s="9"/>
      <c r="G497" s="8"/>
      <c r="H497" s="37" t="str">
        <f t="shared" si="22"/>
        <v/>
      </c>
      <c r="I497" s="37" t="str">
        <f t="shared" si="23"/>
        <v/>
      </c>
      <c r="J497" s="7"/>
    </row>
    <row r="498" spans="1:10">
      <c r="A498" s="6">
        <f t="shared" si="21"/>
        <v>493</v>
      </c>
      <c r="B498" s="7"/>
      <c r="C498" s="37" t="str">
        <f>IFERROR(VLOOKUP(B498,'MASTER RECORD'!$B$5:$W$1000,3,0),"")</f>
        <v/>
      </c>
      <c r="D498" s="37" t="str">
        <f>IFERROR(VLOOKUP(B498,'MASTER RECORD'!$B$5:$W$1000,2,0),"")</f>
        <v/>
      </c>
      <c r="E498" s="9"/>
      <c r="F498" s="9"/>
      <c r="G498" s="8"/>
      <c r="H498" s="37" t="str">
        <f t="shared" si="22"/>
        <v/>
      </c>
      <c r="I498" s="37" t="str">
        <f t="shared" si="23"/>
        <v/>
      </c>
      <c r="J498" s="7"/>
    </row>
    <row r="499" spans="1:10">
      <c r="A499" s="6">
        <f t="shared" si="21"/>
        <v>494</v>
      </c>
      <c r="B499" s="7"/>
      <c r="C499" s="37" t="str">
        <f>IFERROR(VLOOKUP(B499,'MASTER RECORD'!$B$5:$W$1000,3,0),"")</f>
        <v/>
      </c>
      <c r="D499" s="37" t="str">
        <f>IFERROR(VLOOKUP(B499,'MASTER RECORD'!$B$5:$W$1000,2,0),"")</f>
        <v/>
      </c>
      <c r="E499" s="9"/>
      <c r="F499" s="9"/>
      <c r="G499" s="8"/>
      <c r="H499" s="37" t="str">
        <f t="shared" si="22"/>
        <v/>
      </c>
      <c r="I499" s="37" t="str">
        <f t="shared" si="23"/>
        <v/>
      </c>
      <c r="J499" s="7"/>
    </row>
    <row r="500" spans="1:10">
      <c r="A500" s="6">
        <f t="shared" si="21"/>
        <v>495</v>
      </c>
      <c r="B500" s="7"/>
      <c r="C500" s="37" t="str">
        <f>IFERROR(VLOOKUP(B500,'MASTER RECORD'!$B$5:$W$1000,3,0),"")</f>
        <v/>
      </c>
      <c r="D500" s="37" t="str">
        <f>IFERROR(VLOOKUP(B500,'MASTER RECORD'!$B$5:$W$1000,2,0),"")</f>
        <v/>
      </c>
      <c r="E500" s="9"/>
      <c r="F500" s="9"/>
      <c r="G500" s="8"/>
      <c r="H500" s="37" t="str">
        <f t="shared" si="22"/>
        <v/>
      </c>
      <c r="I500" s="37" t="str">
        <f t="shared" si="23"/>
        <v/>
      </c>
      <c r="J500" s="7"/>
    </row>
    <row r="501" spans="1:10">
      <c r="A501" s="6">
        <f t="shared" si="21"/>
        <v>496</v>
      </c>
      <c r="B501" s="7"/>
      <c r="C501" s="37" t="str">
        <f>IFERROR(VLOOKUP(B501,'MASTER RECORD'!$B$5:$W$1000,3,0),"")</f>
        <v/>
      </c>
      <c r="D501" s="37" t="str">
        <f>IFERROR(VLOOKUP(B501,'MASTER RECORD'!$B$5:$W$1000,2,0),"")</f>
        <v/>
      </c>
      <c r="E501" s="9"/>
      <c r="F501" s="9"/>
      <c r="G501" s="8"/>
      <c r="H501" s="37" t="str">
        <f t="shared" si="22"/>
        <v/>
      </c>
      <c r="I501" s="37" t="str">
        <f t="shared" si="23"/>
        <v/>
      </c>
      <c r="J501" s="7"/>
    </row>
    <row r="502" spans="1:10">
      <c r="A502" s="6">
        <f t="shared" si="21"/>
        <v>497</v>
      </c>
      <c r="B502" s="7"/>
      <c r="C502" s="37" t="str">
        <f>IFERROR(VLOOKUP(B502,'MASTER RECORD'!$B$5:$W$1000,3,0),"")</f>
        <v/>
      </c>
      <c r="D502" s="37" t="str">
        <f>IFERROR(VLOOKUP(B502,'MASTER RECORD'!$B$5:$W$1000,2,0),"")</f>
        <v/>
      </c>
      <c r="E502" s="9"/>
      <c r="F502" s="9"/>
      <c r="G502" s="8"/>
      <c r="H502" s="37" t="str">
        <f t="shared" si="22"/>
        <v/>
      </c>
      <c r="I502" s="37" t="str">
        <f t="shared" si="23"/>
        <v/>
      </c>
      <c r="J502" s="7"/>
    </row>
    <row r="503" spans="1:10">
      <c r="A503" s="6">
        <f t="shared" si="21"/>
        <v>498</v>
      </c>
      <c r="B503" s="7"/>
      <c r="C503" s="37" t="str">
        <f>IFERROR(VLOOKUP(B503,'MASTER RECORD'!$B$5:$W$1000,3,0),"")</f>
        <v/>
      </c>
      <c r="D503" s="37" t="str">
        <f>IFERROR(VLOOKUP(B503,'MASTER RECORD'!$B$5:$W$1000,2,0),"")</f>
        <v/>
      </c>
      <c r="E503" s="9"/>
      <c r="F503" s="9"/>
      <c r="G503" s="8"/>
      <c r="H503" s="37" t="str">
        <f t="shared" si="22"/>
        <v/>
      </c>
      <c r="I503" s="37" t="str">
        <f t="shared" si="23"/>
        <v/>
      </c>
      <c r="J503" s="7"/>
    </row>
    <row r="504" spans="1:10">
      <c r="A504" s="6">
        <f t="shared" si="21"/>
        <v>499</v>
      </c>
      <c r="B504" s="7"/>
      <c r="C504" s="37" t="str">
        <f>IFERROR(VLOOKUP(B504,'MASTER RECORD'!$B$5:$W$1000,3,0),"")</f>
        <v/>
      </c>
      <c r="D504" s="37" t="str">
        <f>IFERROR(VLOOKUP(B504,'MASTER RECORD'!$B$5:$W$1000,2,0),"")</f>
        <v/>
      </c>
      <c r="E504" s="9"/>
      <c r="F504" s="9"/>
      <c r="G504" s="8"/>
      <c r="H504" s="37" t="str">
        <f t="shared" si="22"/>
        <v/>
      </c>
      <c r="I504" s="37" t="str">
        <f t="shared" si="23"/>
        <v/>
      </c>
      <c r="J504" s="7"/>
    </row>
    <row r="505" spans="1:10">
      <c r="A505" s="6">
        <f t="shared" si="21"/>
        <v>500</v>
      </c>
      <c r="B505" s="7"/>
      <c r="C505" s="37" t="str">
        <f>IFERROR(VLOOKUP(B505,'MASTER RECORD'!$B$5:$W$1000,3,0),"")</f>
        <v/>
      </c>
      <c r="D505" s="37" t="str">
        <f>IFERROR(VLOOKUP(B505,'MASTER RECORD'!$B$5:$W$1000,2,0),"")</f>
        <v/>
      </c>
      <c r="E505" s="9"/>
      <c r="F505" s="9"/>
      <c r="G505" s="8"/>
      <c r="H505" s="37" t="str">
        <f t="shared" si="22"/>
        <v/>
      </c>
      <c r="I505" s="37" t="str">
        <f t="shared" si="23"/>
        <v/>
      </c>
      <c r="J505" s="7"/>
    </row>
    <row r="506" spans="1:10">
      <c r="A506" s="6">
        <f t="shared" si="21"/>
        <v>501</v>
      </c>
      <c r="B506" s="7"/>
      <c r="C506" s="37" t="str">
        <f>IFERROR(VLOOKUP(B506,'MASTER RECORD'!$B$5:$W$1000,3,0),"")</f>
        <v/>
      </c>
      <c r="D506" s="37" t="str">
        <f>IFERROR(VLOOKUP(B506,'MASTER RECORD'!$B$5:$W$1000,2,0),"")</f>
        <v/>
      </c>
      <c r="E506" s="9"/>
      <c r="F506" s="9"/>
      <c r="G506" s="8"/>
      <c r="H506" s="37" t="str">
        <f t="shared" si="22"/>
        <v/>
      </c>
      <c r="I506" s="37" t="str">
        <f t="shared" si="23"/>
        <v/>
      </c>
      <c r="J506" s="7"/>
    </row>
    <row r="507" spans="1:10">
      <c r="A507" s="6">
        <f t="shared" si="21"/>
        <v>502</v>
      </c>
      <c r="B507" s="7"/>
      <c r="C507" s="37" t="str">
        <f>IFERROR(VLOOKUP(B507,'MASTER RECORD'!$B$5:$W$1000,3,0),"")</f>
        <v/>
      </c>
      <c r="D507" s="37" t="str">
        <f>IFERROR(VLOOKUP(B507,'MASTER RECORD'!$B$5:$W$1000,2,0),"")</f>
        <v/>
      </c>
      <c r="E507" s="9"/>
      <c r="F507" s="9"/>
      <c r="G507" s="8"/>
      <c r="H507" s="37" t="str">
        <f t="shared" si="22"/>
        <v/>
      </c>
      <c r="I507" s="37" t="str">
        <f t="shared" si="23"/>
        <v/>
      </c>
      <c r="J507" s="7"/>
    </row>
    <row r="508" spans="1:10">
      <c r="A508" s="6">
        <f t="shared" si="21"/>
        <v>503</v>
      </c>
      <c r="B508" s="7"/>
      <c r="C508" s="37" t="str">
        <f>IFERROR(VLOOKUP(B508,'MASTER RECORD'!$B$5:$W$1000,3,0),"")</f>
        <v/>
      </c>
      <c r="D508" s="37" t="str">
        <f>IFERROR(VLOOKUP(B508,'MASTER RECORD'!$B$5:$W$1000,2,0),"")</f>
        <v/>
      </c>
      <c r="E508" s="9"/>
      <c r="F508" s="9"/>
      <c r="G508" s="8"/>
      <c r="H508" s="37" t="str">
        <f t="shared" si="22"/>
        <v/>
      </c>
      <c r="I508" s="37" t="str">
        <f t="shared" si="23"/>
        <v/>
      </c>
      <c r="J508" s="7"/>
    </row>
    <row r="509" spans="1:10">
      <c r="A509" s="6">
        <f t="shared" si="21"/>
        <v>504</v>
      </c>
      <c r="B509" s="7"/>
      <c r="C509" s="37" t="str">
        <f>IFERROR(VLOOKUP(B509,'MASTER RECORD'!$B$5:$W$1000,3,0),"")</f>
        <v/>
      </c>
      <c r="D509" s="37" t="str">
        <f>IFERROR(VLOOKUP(B509,'MASTER RECORD'!$B$5:$W$1000,2,0),"")</f>
        <v/>
      </c>
      <c r="E509" s="9"/>
      <c r="F509" s="9"/>
      <c r="G509" s="8"/>
      <c r="H509" s="37" t="str">
        <f t="shared" si="22"/>
        <v/>
      </c>
      <c r="I509" s="37" t="str">
        <f t="shared" si="23"/>
        <v/>
      </c>
      <c r="J509" s="7"/>
    </row>
    <row r="510" spans="1:10">
      <c r="A510" s="6">
        <f t="shared" si="21"/>
        <v>505</v>
      </c>
      <c r="B510" s="7"/>
      <c r="C510" s="37" t="str">
        <f>IFERROR(VLOOKUP(B510,'MASTER RECORD'!$B$5:$W$1000,3,0),"")</f>
        <v/>
      </c>
      <c r="D510" s="37" t="str">
        <f>IFERROR(VLOOKUP(B510,'MASTER RECORD'!$B$5:$W$1000,2,0),"")</f>
        <v/>
      </c>
      <c r="E510" s="9"/>
      <c r="F510" s="9"/>
      <c r="G510" s="8"/>
      <c r="H510" s="37" t="str">
        <f t="shared" si="22"/>
        <v/>
      </c>
      <c r="I510" s="37" t="str">
        <f t="shared" si="23"/>
        <v/>
      </c>
      <c r="J510" s="7"/>
    </row>
    <row r="511" spans="1:10">
      <c r="A511" s="6">
        <f t="shared" si="21"/>
        <v>506</v>
      </c>
      <c r="B511" s="7"/>
      <c r="C511" s="37" t="str">
        <f>IFERROR(VLOOKUP(B511,'MASTER RECORD'!$B$5:$W$1000,3,0),"")</f>
        <v/>
      </c>
      <c r="D511" s="37" t="str">
        <f>IFERROR(VLOOKUP(B511,'MASTER RECORD'!$B$5:$W$1000,2,0),"")</f>
        <v/>
      </c>
      <c r="E511" s="9"/>
      <c r="F511" s="9"/>
      <c r="G511" s="8"/>
      <c r="H511" s="37" t="str">
        <f t="shared" si="22"/>
        <v/>
      </c>
      <c r="I511" s="37" t="str">
        <f t="shared" si="23"/>
        <v/>
      </c>
      <c r="J511" s="7"/>
    </row>
    <row r="512" spans="1:10">
      <c r="A512" s="6">
        <f t="shared" si="21"/>
        <v>507</v>
      </c>
      <c r="B512" s="7"/>
      <c r="C512" s="37" t="str">
        <f>IFERROR(VLOOKUP(B512,'MASTER RECORD'!$B$5:$W$1000,3,0),"")</f>
        <v/>
      </c>
      <c r="D512" s="37" t="str">
        <f>IFERROR(VLOOKUP(B512,'MASTER RECORD'!$B$5:$W$1000,2,0),"")</f>
        <v/>
      </c>
      <c r="E512" s="9"/>
      <c r="F512" s="9"/>
      <c r="G512" s="8"/>
      <c r="H512" s="37" t="str">
        <f t="shared" si="22"/>
        <v/>
      </c>
      <c r="I512" s="37" t="str">
        <f t="shared" si="23"/>
        <v/>
      </c>
      <c r="J512" s="7"/>
    </row>
    <row r="513" spans="1:10">
      <c r="A513" s="6">
        <f t="shared" si="21"/>
        <v>508</v>
      </c>
      <c r="B513" s="7"/>
      <c r="C513" s="37" t="str">
        <f>IFERROR(VLOOKUP(B513,'MASTER RECORD'!$B$5:$W$1000,3,0),"")</f>
        <v/>
      </c>
      <c r="D513" s="37" t="str">
        <f>IFERROR(VLOOKUP(B513,'MASTER RECORD'!$B$5:$W$1000,2,0),"")</f>
        <v/>
      </c>
      <c r="E513" s="9"/>
      <c r="F513" s="9"/>
      <c r="G513" s="8"/>
      <c r="H513" s="37" t="str">
        <f t="shared" si="22"/>
        <v/>
      </c>
      <c r="I513" s="37" t="str">
        <f t="shared" si="23"/>
        <v/>
      </c>
      <c r="J513" s="7"/>
    </row>
    <row r="514" spans="1:10">
      <c r="A514" s="6">
        <f t="shared" si="21"/>
        <v>509</v>
      </c>
      <c r="B514" s="7"/>
      <c r="C514" s="37" t="str">
        <f>IFERROR(VLOOKUP(B514,'MASTER RECORD'!$B$5:$W$1000,3,0),"")</f>
        <v/>
      </c>
      <c r="D514" s="37" t="str">
        <f>IFERROR(VLOOKUP(B514,'MASTER RECORD'!$B$5:$W$1000,2,0),"")</f>
        <v/>
      </c>
      <c r="E514" s="9"/>
      <c r="F514" s="9"/>
      <c r="G514" s="8"/>
      <c r="H514" s="37" t="str">
        <f t="shared" si="22"/>
        <v/>
      </c>
      <c r="I514" s="37" t="str">
        <f t="shared" si="23"/>
        <v/>
      </c>
      <c r="J514" s="7"/>
    </row>
    <row r="515" spans="1:10">
      <c r="A515" s="6">
        <f t="shared" si="21"/>
        <v>510</v>
      </c>
      <c r="B515" s="7"/>
      <c r="C515" s="37" t="str">
        <f>IFERROR(VLOOKUP(B515,'MASTER RECORD'!$B$5:$W$1000,3,0),"")</f>
        <v/>
      </c>
      <c r="D515" s="37" t="str">
        <f>IFERROR(VLOOKUP(B515,'MASTER RECORD'!$B$5:$W$1000,2,0),"")</f>
        <v/>
      </c>
      <c r="E515" s="9"/>
      <c r="F515" s="9"/>
      <c r="G515" s="8"/>
      <c r="H515" s="37" t="str">
        <f t="shared" si="22"/>
        <v/>
      </c>
      <c r="I515" s="37" t="str">
        <f t="shared" si="23"/>
        <v/>
      </c>
      <c r="J515" s="7"/>
    </row>
    <row r="516" spans="1:10">
      <c r="A516" s="6">
        <f t="shared" si="21"/>
        <v>511</v>
      </c>
      <c r="B516" s="7"/>
      <c r="C516" s="37" t="str">
        <f>IFERROR(VLOOKUP(B516,'MASTER RECORD'!$B$5:$W$1000,3,0),"")</f>
        <v/>
      </c>
      <c r="D516" s="37" t="str">
        <f>IFERROR(VLOOKUP(B516,'MASTER RECORD'!$B$5:$W$1000,2,0),"")</f>
        <v/>
      </c>
      <c r="E516" s="9"/>
      <c r="F516" s="9"/>
      <c r="G516" s="8"/>
      <c r="H516" s="37" t="str">
        <f t="shared" si="22"/>
        <v/>
      </c>
      <c r="I516" s="37" t="str">
        <f t="shared" si="23"/>
        <v/>
      </c>
      <c r="J516" s="7"/>
    </row>
    <row r="517" spans="1:10">
      <c r="A517" s="6">
        <f t="shared" si="21"/>
        <v>512</v>
      </c>
      <c r="B517" s="7"/>
      <c r="C517" s="37" t="str">
        <f>IFERROR(VLOOKUP(B517,'MASTER RECORD'!$B$5:$W$1000,3,0),"")</f>
        <v/>
      </c>
      <c r="D517" s="37" t="str">
        <f>IFERROR(VLOOKUP(B517,'MASTER RECORD'!$B$5:$W$1000,2,0),"")</f>
        <v/>
      </c>
      <c r="E517" s="9"/>
      <c r="F517" s="9"/>
      <c r="G517" s="8"/>
      <c r="H517" s="37" t="str">
        <f t="shared" si="22"/>
        <v/>
      </c>
      <c r="I517" s="37" t="str">
        <f t="shared" si="23"/>
        <v/>
      </c>
      <c r="J517" s="7"/>
    </row>
    <row r="518" spans="1:10">
      <c r="A518" s="6">
        <f t="shared" si="21"/>
        <v>513</v>
      </c>
      <c r="B518" s="7"/>
      <c r="C518" s="37" t="str">
        <f>IFERROR(VLOOKUP(B518,'MASTER RECORD'!$B$5:$W$1000,3,0),"")</f>
        <v/>
      </c>
      <c r="D518" s="37" t="str">
        <f>IFERROR(VLOOKUP(B518,'MASTER RECORD'!$B$5:$W$1000,2,0),"")</f>
        <v/>
      </c>
      <c r="E518" s="9"/>
      <c r="F518" s="9"/>
      <c r="G518" s="8"/>
      <c r="H518" s="37" t="str">
        <f t="shared" si="22"/>
        <v/>
      </c>
      <c r="I518" s="37" t="str">
        <f t="shared" si="23"/>
        <v/>
      </c>
      <c r="J518" s="7"/>
    </row>
    <row r="519" spans="1:10">
      <c r="A519" s="6">
        <f t="shared" ref="A519:A582" si="24">ROW(A514)</f>
        <v>514</v>
      </c>
      <c r="B519" s="7"/>
      <c r="C519" s="37" t="str">
        <f>IFERROR(VLOOKUP(B519,'MASTER RECORD'!$B$5:$W$1000,3,0),"")</f>
        <v/>
      </c>
      <c r="D519" s="37" t="str">
        <f>IFERROR(VLOOKUP(B519,'MASTER RECORD'!$B$5:$W$1000,2,0),"")</f>
        <v/>
      </c>
      <c r="E519" s="9"/>
      <c r="F519" s="9"/>
      <c r="G519" s="8"/>
      <c r="H519" s="37" t="str">
        <f t="shared" ref="H519:H582" si="25">IF(G519=0,"",TEXT(G519,"mmmm"))</f>
        <v/>
      </c>
      <c r="I519" s="37" t="str">
        <f t="shared" ref="I519:I582" si="26">IF(G519=0,"",TEXT(G519,"yyyy"))</f>
        <v/>
      </c>
      <c r="J519" s="7"/>
    </row>
    <row r="520" spans="1:10">
      <c r="A520" s="6">
        <f t="shared" si="24"/>
        <v>515</v>
      </c>
      <c r="B520" s="7"/>
      <c r="C520" s="37" t="str">
        <f>IFERROR(VLOOKUP(B520,'MASTER RECORD'!$B$5:$W$1000,3,0),"")</f>
        <v/>
      </c>
      <c r="D520" s="37" t="str">
        <f>IFERROR(VLOOKUP(B520,'MASTER RECORD'!$B$5:$W$1000,2,0),"")</f>
        <v/>
      </c>
      <c r="E520" s="9"/>
      <c r="F520" s="9"/>
      <c r="G520" s="8"/>
      <c r="H520" s="37" t="str">
        <f t="shared" si="25"/>
        <v/>
      </c>
      <c r="I520" s="37" t="str">
        <f t="shared" si="26"/>
        <v/>
      </c>
      <c r="J520" s="7"/>
    </row>
    <row r="521" spans="1:10">
      <c r="A521" s="6">
        <f t="shared" si="24"/>
        <v>516</v>
      </c>
      <c r="B521" s="7"/>
      <c r="C521" s="37" t="str">
        <f>IFERROR(VLOOKUP(B521,'MASTER RECORD'!$B$5:$W$1000,3,0),"")</f>
        <v/>
      </c>
      <c r="D521" s="37" t="str">
        <f>IFERROR(VLOOKUP(B521,'MASTER RECORD'!$B$5:$W$1000,2,0),"")</f>
        <v/>
      </c>
      <c r="E521" s="9"/>
      <c r="F521" s="9"/>
      <c r="G521" s="8"/>
      <c r="H521" s="37" t="str">
        <f t="shared" si="25"/>
        <v/>
      </c>
      <c r="I521" s="37" t="str">
        <f t="shared" si="26"/>
        <v/>
      </c>
      <c r="J521" s="7"/>
    </row>
    <row r="522" spans="1:10">
      <c r="A522" s="6">
        <f t="shared" si="24"/>
        <v>517</v>
      </c>
      <c r="B522" s="7"/>
      <c r="C522" s="37" t="str">
        <f>IFERROR(VLOOKUP(B522,'MASTER RECORD'!$B$5:$W$1000,3,0),"")</f>
        <v/>
      </c>
      <c r="D522" s="37" t="str">
        <f>IFERROR(VLOOKUP(B522,'MASTER RECORD'!$B$5:$W$1000,2,0),"")</f>
        <v/>
      </c>
      <c r="E522" s="9"/>
      <c r="F522" s="9"/>
      <c r="G522" s="8"/>
      <c r="H522" s="37" t="str">
        <f t="shared" si="25"/>
        <v/>
      </c>
      <c r="I522" s="37" t="str">
        <f t="shared" si="26"/>
        <v/>
      </c>
      <c r="J522" s="7"/>
    </row>
    <row r="523" spans="1:10">
      <c r="A523" s="6">
        <f t="shared" si="24"/>
        <v>518</v>
      </c>
      <c r="B523" s="7"/>
      <c r="C523" s="37" t="str">
        <f>IFERROR(VLOOKUP(B523,'MASTER RECORD'!$B$5:$W$1000,3,0),"")</f>
        <v/>
      </c>
      <c r="D523" s="37" t="str">
        <f>IFERROR(VLOOKUP(B523,'MASTER RECORD'!$B$5:$W$1000,2,0),"")</f>
        <v/>
      </c>
      <c r="E523" s="9"/>
      <c r="F523" s="9"/>
      <c r="G523" s="8"/>
      <c r="H523" s="37" t="str">
        <f t="shared" si="25"/>
        <v/>
      </c>
      <c r="I523" s="37" t="str">
        <f t="shared" si="26"/>
        <v/>
      </c>
      <c r="J523" s="7"/>
    </row>
    <row r="524" spans="1:10">
      <c r="A524" s="6">
        <f t="shared" si="24"/>
        <v>519</v>
      </c>
      <c r="B524" s="7"/>
      <c r="C524" s="37" t="str">
        <f>IFERROR(VLOOKUP(B524,'MASTER RECORD'!$B$5:$W$1000,3,0),"")</f>
        <v/>
      </c>
      <c r="D524" s="37" t="str">
        <f>IFERROR(VLOOKUP(B524,'MASTER RECORD'!$B$5:$W$1000,2,0),"")</f>
        <v/>
      </c>
      <c r="E524" s="9"/>
      <c r="F524" s="9"/>
      <c r="G524" s="8"/>
      <c r="H524" s="37" t="str">
        <f t="shared" si="25"/>
        <v/>
      </c>
      <c r="I524" s="37" t="str">
        <f t="shared" si="26"/>
        <v/>
      </c>
      <c r="J524" s="7"/>
    </row>
    <row r="525" spans="1:10">
      <c r="A525" s="6">
        <f t="shared" si="24"/>
        <v>520</v>
      </c>
      <c r="B525" s="7"/>
      <c r="C525" s="37" t="str">
        <f>IFERROR(VLOOKUP(B525,'MASTER RECORD'!$B$5:$W$1000,3,0),"")</f>
        <v/>
      </c>
      <c r="D525" s="37" t="str">
        <f>IFERROR(VLOOKUP(B525,'MASTER RECORD'!$B$5:$W$1000,2,0),"")</f>
        <v/>
      </c>
      <c r="E525" s="9"/>
      <c r="F525" s="9"/>
      <c r="G525" s="8"/>
      <c r="H525" s="37" t="str">
        <f t="shared" si="25"/>
        <v/>
      </c>
      <c r="I525" s="37" t="str">
        <f t="shared" si="26"/>
        <v/>
      </c>
      <c r="J525" s="7"/>
    </row>
    <row r="526" spans="1:10">
      <c r="A526" s="6">
        <f t="shared" si="24"/>
        <v>521</v>
      </c>
      <c r="B526" s="7"/>
      <c r="C526" s="37" t="str">
        <f>IFERROR(VLOOKUP(B526,'MASTER RECORD'!$B$5:$W$1000,3,0),"")</f>
        <v/>
      </c>
      <c r="D526" s="37" t="str">
        <f>IFERROR(VLOOKUP(B526,'MASTER RECORD'!$B$5:$W$1000,2,0),"")</f>
        <v/>
      </c>
      <c r="E526" s="9"/>
      <c r="F526" s="9"/>
      <c r="G526" s="8"/>
      <c r="H526" s="37" t="str">
        <f t="shared" si="25"/>
        <v/>
      </c>
      <c r="I526" s="37" t="str">
        <f t="shared" si="26"/>
        <v/>
      </c>
      <c r="J526" s="7"/>
    </row>
    <row r="527" spans="1:10">
      <c r="A527" s="6">
        <f t="shared" si="24"/>
        <v>522</v>
      </c>
      <c r="B527" s="7"/>
      <c r="C527" s="37" t="str">
        <f>IFERROR(VLOOKUP(B527,'MASTER RECORD'!$B$5:$W$1000,3,0),"")</f>
        <v/>
      </c>
      <c r="D527" s="37" t="str">
        <f>IFERROR(VLOOKUP(B527,'MASTER RECORD'!$B$5:$W$1000,2,0),"")</f>
        <v/>
      </c>
      <c r="E527" s="9"/>
      <c r="F527" s="9"/>
      <c r="G527" s="8"/>
      <c r="H527" s="37" t="str">
        <f t="shared" si="25"/>
        <v/>
      </c>
      <c r="I527" s="37" t="str">
        <f t="shared" si="26"/>
        <v/>
      </c>
      <c r="J527" s="7"/>
    </row>
    <row r="528" spans="1:10">
      <c r="A528" s="6">
        <f t="shared" si="24"/>
        <v>523</v>
      </c>
      <c r="B528" s="7"/>
      <c r="C528" s="37" t="str">
        <f>IFERROR(VLOOKUP(B528,'MASTER RECORD'!$B$5:$W$1000,3,0),"")</f>
        <v/>
      </c>
      <c r="D528" s="37" t="str">
        <f>IFERROR(VLOOKUP(B528,'MASTER RECORD'!$B$5:$W$1000,2,0),"")</f>
        <v/>
      </c>
      <c r="E528" s="9"/>
      <c r="F528" s="9"/>
      <c r="G528" s="8"/>
      <c r="H528" s="37" t="str">
        <f t="shared" si="25"/>
        <v/>
      </c>
      <c r="I528" s="37" t="str">
        <f t="shared" si="26"/>
        <v/>
      </c>
      <c r="J528" s="7"/>
    </row>
    <row r="529" spans="1:10">
      <c r="A529" s="6">
        <f t="shared" si="24"/>
        <v>524</v>
      </c>
      <c r="B529" s="7"/>
      <c r="C529" s="37" t="str">
        <f>IFERROR(VLOOKUP(B529,'MASTER RECORD'!$B$5:$W$1000,3,0),"")</f>
        <v/>
      </c>
      <c r="D529" s="37" t="str">
        <f>IFERROR(VLOOKUP(B529,'MASTER RECORD'!$B$5:$W$1000,2,0),"")</f>
        <v/>
      </c>
      <c r="E529" s="9"/>
      <c r="F529" s="9"/>
      <c r="G529" s="8"/>
      <c r="H529" s="37" t="str">
        <f t="shared" si="25"/>
        <v/>
      </c>
      <c r="I529" s="37" t="str">
        <f t="shared" si="26"/>
        <v/>
      </c>
      <c r="J529" s="7"/>
    </row>
    <row r="530" spans="1:10">
      <c r="A530" s="6">
        <f t="shared" si="24"/>
        <v>525</v>
      </c>
      <c r="B530" s="7"/>
      <c r="C530" s="37" t="str">
        <f>IFERROR(VLOOKUP(B530,'MASTER RECORD'!$B$5:$W$1000,3,0),"")</f>
        <v/>
      </c>
      <c r="D530" s="37" t="str">
        <f>IFERROR(VLOOKUP(B530,'MASTER RECORD'!$B$5:$W$1000,2,0),"")</f>
        <v/>
      </c>
      <c r="E530" s="9"/>
      <c r="F530" s="9"/>
      <c r="G530" s="8"/>
      <c r="H530" s="37" t="str">
        <f t="shared" si="25"/>
        <v/>
      </c>
      <c r="I530" s="37" t="str">
        <f t="shared" si="26"/>
        <v/>
      </c>
      <c r="J530" s="7"/>
    </row>
    <row r="531" spans="1:10">
      <c r="A531" s="6">
        <f t="shared" si="24"/>
        <v>526</v>
      </c>
      <c r="B531" s="7"/>
      <c r="C531" s="37" t="str">
        <f>IFERROR(VLOOKUP(B531,'MASTER RECORD'!$B$5:$W$1000,3,0),"")</f>
        <v/>
      </c>
      <c r="D531" s="37" t="str">
        <f>IFERROR(VLOOKUP(B531,'MASTER RECORD'!$B$5:$W$1000,2,0),"")</f>
        <v/>
      </c>
      <c r="E531" s="9"/>
      <c r="F531" s="9"/>
      <c r="G531" s="8"/>
      <c r="H531" s="37" t="str">
        <f t="shared" si="25"/>
        <v/>
      </c>
      <c r="I531" s="37" t="str">
        <f t="shared" si="26"/>
        <v/>
      </c>
      <c r="J531" s="7"/>
    </row>
    <row r="532" spans="1:10">
      <c r="A532" s="6">
        <f t="shared" si="24"/>
        <v>527</v>
      </c>
      <c r="B532" s="7"/>
      <c r="C532" s="37" t="str">
        <f>IFERROR(VLOOKUP(B532,'MASTER RECORD'!$B$5:$W$1000,3,0),"")</f>
        <v/>
      </c>
      <c r="D532" s="37" t="str">
        <f>IFERROR(VLOOKUP(B532,'MASTER RECORD'!$B$5:$W$1000,2,0),"")</f>
        <v/>
      </c>
      <c r="E532" s="9"/>
      <c r="F532" s="9"/>
      <c r="G532" s="8"/>
      <c r="H532" s="37" t="str">
        <f t="shared" si="25"/>
        <v/>
      </c>
      <c r="I532" s="37" t="str">
        <f t="shared" si="26"/>
        <v/>
      </c>
      <c r="J532" s="7"/>
    </row>
    <row r="533" spans="1:10">
      <c r="A533" s="6">
        <f t="shared" si="24"/>
        <v>528</v>
      </c>
      <c r="B533" s="7"/>
      <c r="C533" s="37" t="str">
        <f>IFERROR(VLOOKUP(B533,'MASTER RECORD'!$B$5:$W$1000,3,0),"")</f>
        <v/>
      </c>
      <c r="D533" s="37" t="str">
        <f>IFERROR(VLOOKUP(B533,'MASTER RECORD'!$B$5:$W$1000,2,0),"")</f>
        <v/>
      </c>
      <c r="E533" s="9"/>
      <c r="F533" s="9"/>
      <c r="G533" s="8"/>
      <c r="H533" s="37" t="str">
        <f t="shared" si="25"/>
        <v/>
      </c>
      <c r="I533" s="37" t="str">
        <f t="shared" si="26"/>
        <v/>
      </c>
      <c r="J533" s="7"/>
    </row>
    <row r="534" spans="1:10">
      <c r="A534" s="6">
        <f t="shared" si="24"/>
        <v>529</v>
      </c>
      <c r="B534" s="7"/>
      <c r="C534" s="37" t="str">
        <f>IFERROR(VLOOKUP(B534,'MASTER RECORD'!$B$5:$W$1000,3,0),"")</f>
        <v/>
      </c>
      <c r="D534" s="37" t="str">
        <f>IFERROR(VLOOKUP(B534,'MASTER RECORD'!$B$5:$W$1000,2,0),"")</f>
        <v/>
      </c>
      <c r="E534" s="9"/>
      <c r="F534" s="9"/>
      <c r="G534" s="8"/>
      <c r="H534" s="37" t="str">
        <f t="shared" si="25"/>
        <v/>
      </c>
      <c r="I534" s="37" t="str">
        <f t="shared" si="26"/>
        <v/>
      </c>
      <c r="J534" s="7"/>
    </row>
    <row r="535" spans="1:10">
      <c r="A535" s="6">
        <f t="shared" si="24"/>
        <v>530</v>
      </c>
      <c r="B535" s="7"/>
      <c r="C535" s="37" t="str">
        <f>IFERROR(VLOOKUP(B535,'MASTER RECORD'!$B$5:$W$1000,3,0),"")</f>
        <v/>
      </c>
      <c r="D535" s="37" t="str">
        <f>IFERROR(VLOOKUP(B535,'MASTER RECORD'!$B$5:$W$1000,2,0),"")</f>
        <v/>
      </c>
      <c r="E535" s="9"/>
      <c r="F535" s="9"/>
      <c r="G535" s="8"/>
      <c r="H535" s="37" t="str">
        <f t="shared" si="25"/>
        <v/>
      </c>
      <c r="I535" s="37" t="str">
        <f t="shared" si="26"/>
        <v/>
      </c>
      <c r="J535" s="7"/>
    </row>
    <row r="536" spans="1:10">
      <c r="A536" s="6">
        <f t="shared" si="24"/>
        <v>531</v>
      </c>
      <c r="B536" s="7"/>
      <c r="C536" s="37" t="str">
        <f>IFERROR(VLOOKUP(B536,'MASTER RECORD'!$B$5:$W$1000,3,0),"")</f>
        <v/>
      </c>
      <c r="D536" s="37" t="str">
        <f>IFERROR(VLOOKUP(B536,'MASTER RECORD'!$B$5:$W$1000,2,0),"")</f>
        <v/>
      </c>
      <c r="E536" s="9"/>
      <c r="F536" s="9"/>
      <c r="G536" s="8"/>
      <c r="H536" s="37" t="str">
        <f t="shared" si="25"/>
        <v/>
      </c>
      <c r="I536" s="37" t="str">
        <f t="shared" si="26"/>
        <v/>
      </c>
      <c r="J536" s="7"/>
    </row>
    <row r="537" spans="1:10">
      <c r="A537" s="6">
        <f t="shared" si="24"/>
        <v>532</v>
      </c>
      <c r="B537" s="7"/>
      <c r="C537" s="37" t="str">
        <f>IFERROR(VLOOKUP(B537,'MASTER RECORD'!$B$5:$W$1000,3,0),"")</f>
        <v/>
      </c>
      <c r="D537" s="37" t="str">
        <f>IFERROR(VLOOKUP(B537,'MASTER RECORD'!$B$5:$W$1000,2,0),"")</f>
        <v/>
      </c>
      <c r="E537" s="9"/>
      <c r="F537" s="9"/>
      <c r="G537" s="8"/>
      <c r="H537" s="37" t="str">
        <f t="shared" si="25"/>
        <v/>
      </c>
      <c r="I537" s="37" t="str">
        <f t="shared" si="26"/>
        <v/>
      </c>
      <c r="J537" s="7"/>
    </row>
    <row r="538" spans="1:10">
      <c r="A538" s="6">
        <f t="shared" si="24"/>
        <v>533</v>
      </c>
      <c r="B538" s="7"/>
      <c r="C538" s="37" t="str">
        <f>IFERROR(VLOOKUP(B538,'MASTER RECORD'!$B$5:$W$1000,3,0),"")</f>
        <v/>
      </c>
      <c r="D538" s="37" t="str">
        <f>IFERROR(VLOOKUP(B538,'MASTER RECORD'!$B$5:$W$1000,2,0),"")</f>
        <v/>
      </c>
      <c r="E538" s="9"/>
      <c r="F538" s="9"/>
      <c r="G538" s="8"/>
      <c r="H538" s="37" t="str">
        <f t="shared" si="25"/>
        <v/>
      </c>
      <c r="I538" s="37" t="str">
        <f t="shared" si="26"/>
        <v/>
      </c>
      <c r="J538" s="7"/>
    </row>
    <row r="539" spans="1:10">
      <c r="A539" s="6">
        <f t="shared" si="24"/>
        <v>534</v>
      </c>
      <c r="B539" s="7"/>
      <c r="C539" s="37" t="str">
        <f>IFERROR(VLOOKUP(B539,'MASTER RECORD'!$B$5:$W$1000,3,0),"")</f>
        <v/>
      </c>
      <c r="D539" s="37" t="str">
        <f>IFERROR(VLOOKUP(B539,'MASTER RECORD'!$B$5:$W$1000,2,0),"")</f>
        <v/>
      </c>
      <c r="E539" s="9"/>
      <c r="F539" s="9"/>
      <c r="G539" s="8"/>
      <c r="H539" s="37" t="str">
        <f t="shared" si="25"/>
        <v/>
      </c>
      <c r="I539" s="37" t="str">
        <f t="shared" si="26"/>
        <v/>
      </c>
      <c r="J539" s="7"/>
    </row>
    <row r="540" spans="1:10">
      <c r="A540" s="6">
        <f t="shared" si="24"/>
        <v>535</v>
      </c>
      <c r="B540" s="7"/>
      <c r="C540" s="37" t="str">
        <f>IFERROR(VLOOKUP(B540,'MASTER RECORD'!$B$5:$W$1000,3,0),"")</f>
        <v/>
      </c>
      <c r="D540" s="37" t="str">
        <f>IFERROR(VLOOKUP(B540,'MASTER RECORD'!$B$5:$W$1000,2,0),"")</f>
        <v/>
      </c>
      <c r="E540" s="9"/>
      <c r="F540" s="9"/>
      <c r="G540" s="8"/>
      <c r="H540" s="37" t="str">
        <f t="shared" si="25"/>
        <v/>
      </c>
      <c r="I540" s="37" t="str">
        <f t="shared" si="26"/>
        <v/>
      </c>
      <c r="J540" s="7"/>
    </row>
    <row r="541" spans="1:10">
      <c r="A541" s="6">
        <f t="shared" si="24"/>
        <v>536</v>
      </c>
      <c r="B541" s="7"/>
      <c r="C541" s="37" t="str">
        <f>IFERROR(VLOOKUP(B541,'MASTER RECORD'!$B$5:$W$1000,3,0),"")</f>
        <v/>
      </c>
      <c r="D541" s="37" t="str">
        <f>IFERROR(VLOOKUP(B541,'MASTER RECORD'!$B$5:$W$1000,2,0),"")</f>
        <v/>
      </c>
      <c r="E541" s="9"/>
      <c r="F541" s="9"/>
      <c r="G541" s="8"/>
      <c r="H541" s="37" t="str">
        <f t="shared" si="25"/>
        <v/>
      </c>
      <c r="I541" s="37" t="str">
        <f t="shared" si="26"/>
        <v/>
      </c>
      <c r="J541" s="7"/>
    </row>
    <row r="542" spans="1:10">
      <c r="A542" s="6">
        <f t="shared" si="24"/>
        <v>537</v>
      </c>
      <c r="B542" s="7"/>
      <c r="C542" s="37" t="str">
        <f>IFERROR(VLOOKUP(B542,'MASTER RECORD'!$B$5:$W$1000,3,0),"")</f>
        <v/>
      </c>
      <c r="D542" s="37" t="str">
        <f>IFERROR(VLOOKUP(B542,'MASTER RECORD'!$B$5:$W$1000,2,0),"")</f>
        <v/>
      </c>
      <c r="E542" s="9"/>
      <c r="F542" s="9"/>
      <c r="G542" s="8"/>
      <c r="H542" s="37" t="str">
        <f t="shared" si="25"/>
        <v/>
      </c>
      <c r="I542" s="37" t="str">
        <f t="shared" si="26"/>
        <v/>
      </c>
      <c r="J542" s="7"/>
    </row>
    <row r="543" spans="1:10">
      <c r="A543" s="6">
        <f t="shared" si="24"/>
        <v>538</v>
      </c>
      <c r="B543" s="7"/>
      <c r="C543" s="37" t="str">
        <f>IFERROR(VLOOKUP(B543,'MASTER RECORD'!$B$5:$W$1000,3,0),"")</f>
        <v/>
      </c>
      <c r="D543" s="37" t="str">
        <f>IFERROR(VLOOKUP(B543,'MASTER RECORD'!$B$5:$W$1000,2,0),"")</f>
        <v/>
      </c>
      <c r="E543" s="9"/>
      <c r="F543" s="9"/>
      <c r="G543" s="8"/>
      <c r="H543" s="37" t="str">
        <f t="shared" si="25"/>
        <v/>
      </c>
      <c r="I543" s="37" t="str">
        <f t="shared" si="26"/>
        <v/>
      </c>
      <c r="J543" s="7"/>
    </row>
    <row r="544" spans="1:10">
      <c r="A544" s="6">
        <f t="shared" si="24"/>
        <v>539</v>
      </c>
      <c r="B544" s="7"/>
      <c r="C544" s="37" t="str">
        <f>IFERROR(VLOOKUP(B544,'MASTER RECORD'!$B$5:$W$1000,3,0),"")</f>
        <v/>
      </c>
      <c r="D544" s="37" t="str">
        <f>IFERROR(VLOOKUP(B544,'MASTER RECORD'!$B$5:$W$1000,2,0),"")</f>
        <v/>
      </c>
      <c r="E544" s="9"/>
      <c r="F544" s="9"/>
      <c r="G544" s="8"/>
      <c r="H544" s="37" t="str">
        <f t="shared" si="25"/>
        <v/>
      </c>
      <c r="I544" s="37" t="str">
        <f t="shared" si="26"/>
        <v/>
      </c>
      <c r="J544" s="7"/>
    </row>
    <row r="545" spans="1:10">
      <c r="A545" s="6">
        <f t="shared" si="24"/>
        <v>540</v>
      </c>
      <c r="B545" s="7"/>
      <c r="C545" s="37" t="str">
        <f>IFERROR(VLOOKUP(B545,'MASTER RECORD'!$B$5:$W$1000,3,0),"")</f>
        <v/>
      </c>
      <c r="D545" s="37" t="str">
        <f>IFERROR(VLOOKUP(B545,'MASTER RECORD'!$B$5:$W$1000,2,0),"")</f>
        <v/>
      </c>
      <c r="E545" s="9"/>
      <c r="F545" s="9"/>
      <c r="G545" s="8"/>
      <c r="H545" s="37" t="str">
        <f t="shared" si="25"/>
        <v/>
      </c>
      <c r="I545" s="37" t="str">
        <f t="shared" si="26"/>
        <v/>
      </c>
      <c r="J545" s="7"/>
    </row>
    <row r="546" spans="1:10">
      <c r="A546" s="6">
        <f t="shared" si="24"/>
        <v>541</v>
      </c>
      <c r="B546" s="7"/>
      <c r="C546" s="37" t="str">
        <f>IFERROR(VLOOKUP(B546,'MASTER RECORD'!$B$5:$W$1000,3,0),"")</f>
        <v/>
      </c>
      <c r="D546" s="37" t="str">
        <f>IFERROR(VLOOKUP(B546,'MASTER RECORD'!$B$5:$W$1000,2,0),"")</f>
        <v/>
      </c>
      <c r="E546" s="9"/>
      <c r="F546" s="9"/>
      <c r="G546" s="8"/>
      <c r="H546" s="37" t="str">
        <f t="shared" si="25"/>
        <v/>
      </c>
      <c r="I546" s="37" t="str">
        <f t="shared" si="26"/>
        <v/>
      </c>
      <c r="J546" s="7"/>
    </row>
    <row r="547" spans="1:10">
      <c r="A547" s="6">
        <f t="shared" si="24"/>
        <v>542</v>
      </c>
      <c r="B547" s="7"/>
      <c r="C547" s="37" t="str">
        <f>IFERROR(VLOOKUP(B547,'MASTER RECORD'!$B$5:$W$1000,3,0),"")</f>
        <v/>
      </c>
      <c r="D547" s="37" t="str">
        <f>IFERROR(VLOOKUP(B547,'MASTER RECORD'!$B$5:$W$1000,2,0),"")</f>
        <v/>
      </c>
      <c r="E547" s="9"/>
      <c r="F547" s="9"/>
      <c r="G547" s="8"/>
      <c r="H547" s="37" t="str">
        <f t="shared" si="25"/>
        <v/>
      </c>
      <c r="I547" s="37" t="str">
        <f t="shared" si="26"/>
        <v/>
      </c>
      <c r="J547" s="7"/>
    </row>
    <row r="548" spans="1:10">
      <c r="A548" s="6">
        <f t="shared" si="24"/>
        <v>543</v>
      </c>
      <c r="B548" s="7"/>
      <c r="C548" s="37" t="str">
        <f>IFERROR(VLOOKUP(B548,'MASTER RECORD'!$B$5:$W$1000,3,0),"")</f>
        <v/>
      </c>
      <c r="D548" s="37" t="str">
        <f>IFERROR(VLOOKUP(B548,'MASTER RECORD'!$B$5:$W$1000,2,0),"")</f>
        <v/>
      </c>
      <c r="E548" s="9"/>
      <c r="F548" s="9"/>
      <c r="G548" s="8"/>
      <c r="H548" s="37" t="str">
        <f t="shared" si="25"/>
        <v/>
      </c>
      <c r="I548" s="37" t="str">
        <f t="shared" si="26"/>
        <v/>
      </c>
      <c r="J548" s="7"/>
    </row>
    <row r="549" spans="1:10">
      <c r="A549" s="6">
        <f t="shared" si="24"/>
        <v>544</v>
      </c>
      <c r="B549" s="7"/>
      <c r="C549" s="37" t="str">
        <f>IFERROR(VLOOKUP(B549,'MASTER RECORD'!$B$5:$W$1000,3,0),"")</f>
        <v/>
      </c>
      <c r="D549" s="37" t="str">
        <f>IFERROR(VLOOKUP(B549,'MASTER RECORD'!$B$5:$W$1000,2,0),"")</f>
        <v/>
      </c>
      <c r="E549" s="9"/>
      <c r="F549" s="9"/>
      <c r="G549" s="8"/>
      <c r="H549" s="37" t="str">
        <f t="shared" si="25"/>
        <v/>
      </c>
      <c r="I549" s="37" t="str">
        <f t="shared" si="26"/>
        <v/>
      </c>
      <c r="J549" s="7"/>
    </row>
    <row r="550" spans="1:10">
      <c r="A550" s="6">
        <f t="shared" si="24"/>
        <v>545</v>
      </c>
      <c r="B550" s="7"/>
      <c r="C550" s="37" t="str">
        <f>IFERROR(VLOOKUP(B550,'MASTER RECORD'!$B$5:$W$1000,3,0),"")</f>
        <v/>
      </c>
      <c r="D550" s="37" t="str">
        <f>IFERROR(VLOOKUP(B550,'MASTER RECORD'!$B$5:$W$1000,2,0),"")</f>
        <v/>
      </c>
      <c r="E550" s="9"/>
      <c r="F550" s="9"/>
      <c r="G550" s="8"/>
      <c r="H550" s="37" t="str">
        <f t="shared" si="25"/>
        <v/>
      </c>
      <c r="I550" s="37" t="str">
        <f t="shared" si="26"/>
        <v/>
      </c>
      <c r="J550" s="7"/>
    </row>
    <row r="551" spans="1:10">
      <c r="A551" s="6">
        <f t="shared" si="24"/>
        <v>546</v>
      </c>
      <c r="B551" s="7"/>
      <c r="C551" s="37" t="str">
        <f>IFERROR(VLOOKUP(B551,'MASTER RECORD'!$B$5:$W$1000,3,0),"")</f>
        <v/>
      </c>
      <c r="D551" s="37" t="str">
        <f>IFERROR(VLOOKUP(B551,'MASTER RECORD'!$B$5:$W$1000,2,0),"")</f>
        <v/>
      </c>
      <c r="E551" s="9"/>
      <c r="F551" s="9"/>
      <c r="G551" s="8"/>
      <c r="H551" s="37" t="str">
        <f t="shared" si="25"/>
        <v/>
      </c>
      <c r="I551" s="37" t="str">
        <f t="shared" si="26"/>
        <v/>
      </c>
      <c r="J551" s="7"/>
    </row>
    <row r="552" spans="1:10">
      <c r="A552" s="6">
        <f t="shared" si="24"/>
        <v>547</v>
      </c>
      <c r="B552" s="7"/>
      <c r="C552" s="37" t="str">
        <f>IFERROR(VLOOKUP(B552,'MASTER RECORD'!$B$5:$W$1000,3,0),"")</f>
        <v/>
      </c>
      <c r="D552" s="37" t="str">
        <f>IFERROR(VLOOKUP(B552,'MASTER RECORD'!$B$5:$W$1000,2,0),"")</f>
        <v/>
      </c>
      <c r="E552" s="9"/>
      <c r="F552" s="9"/>
      <c r="G552" s="8"/>
      <c r="H552" s="37" t="str">
        <f t="shared" si="25"/>
        <v/>
      </c>
      <c r="I552" s="37" t="str">
        <f t="shared" si="26"/>
        <v/>
      </c>
      <c r="J552" s="7"/>
    </row>
    <row r="553" spans="1:10">
      <c r="A553" s="6">
        <f t="shared" si="24"/>
        <v>548</v>
      </c>
      <c r="B553" s="7"/>
      <c r="C553" s="37" t="str">
        <f>IFERROR(VLOOKUP(B553,'MASTER RECORD'!$B$5:$W$1000,3,0),"")</f>
        <v/>
      </c>
      <c r="D553" s="37" t="str">
        <f>IFERROR(VLOOKUP(B553,'MASTER RECORD'!$B$5:$W$1000,2,0),"")</f>
        <v/>
      </c>
      <c r="E553" s="9"/>
      <c r="F553" s="9"/>
      <c r="G553" s="8"/>
      <c r="H553" s="37" t="str">
        <f t="shared" si="25"/>
        <v/>
      </c>
      <c r="I553" s="37" t="str">
        <f t="shared" si="26"/>
        <v/>
      </c>
      <c r="J553" s="7"/>
    </row>
    <row r="554" spans="1:10">
      <c r="A554" s="6">
        <f t="shared" si="24"/>
        <v>549</v>
      </c>
      <c r="B554" s="7"/>
      <c r="C554" s="37" t="str">
        <f>IFERROR(VLOOKUP(B554,'MASTER RECORD'!$B$5:$W$1000,3,0),"")</f>
        <v/>
      </c>
      <c r="D554" s="37" t="str">
        <f>IFERROR(VLOOKUP(B554,'MASTER RECORD'!$B$5:$W$1000,2,0),"")</f>
        <v/>
      </c>
      <c r="E554" s="9"/>
      <c r="F554" s="9"/>
      <c r="G554" s="8"/>
      <c r="H554" s="37" t="str">
        <f t="shared" si="25"/>
        <v/>
      </c>
      <c r="I554" s="37" t="str">
        <f t="shared" si="26"/>
        <v/>
      </c>
      <c r="J554" s="7"/>
    </row>
    <row r="555" spans="1:10">
      <c r="A555" s="6">
        <f t="shared" si="24"/>
        <v>550</v>
      </c>
      <c r="B555" s="7"/>
      <c r="C555" s="37" t="str">
        <f>IFERROR(VLOOKUP(B555,'MASTER RECORD'!$B$5:$W$1000,3,0),"")</f>
        <v/>
      </c>
      <c r="D555" s="37" t="str">
        <f>IFERROR(VLOOKUP(B555,'MASTER RECORD'!$B$5:$W$1000,2,0),"")</f>
        <v/>
      </c>
      <c r="E555" s="9"/>
      <c r="F555" s="9"/>
      <c r="G555" s="8"/>
      <c r="H555" s="37" t="str">
        <f t="shared" si="25"/>
        <v/>
      </c>
      <c r="I555" s="37" t="str">
        <f t="shared" si="26"/>
        <v/>
      </c>
      <c r="J555" s="7"/>
    </row>
    <row r="556" spans="1:10">
      <c r="A556" s="6">
        <f t="shared" si="24"/>
        <v>551</v>
      </c>
      <c r="B556" s="7"/>
      <c r="C556" s="37" t="str">
        <f>IFERROR(VLOOKUP(B556,'MASTER RECORD'!$B$5:$W$1000,3,0),"")</f>
        <v/>
      </c>
      <c r="D556" s="37" t="str">
        <f>IFERROR(VLOOKUP(B556,'MASTER RECORD'!$B$5:$W$1000,2,0),"")</f>
        <v/>
      </c>
      <c r="E556" s="9"/>
      <c r="F556" s="9"/>
      <c r="G556" s="8"/>
      <c r="H556" s="37" t="str">
        <f t="shared" si="25"/>
        <v/>
      </c>
      <c r="I556" s="37" t="str">
        <f t="shared" si="26"/>
        <v/>
      </c>
      <c r="J556" s="7"/>
    </row>
    <row r="557" spans="1:10">
      <c r="A557" s="6">
        <f t="shared" si="24"/>
        <v>552</v>
      </c>
      <c r="B557" s="7"/>
      <c r="C557" s="37" t="str">
        <f>IFERROR(VLOOKUP(B557,'MASTER RECORD'!$B$5:$W$1000,3,0),"")</f>
        <v/>
      </c>
      <c r="D557" s="37" t="str">
        <f>IFERROR(VLOOKUP(B557,'MASTER RECORD'!$B$5:$W$1000,2,0),"")</f>
        <v/>
      </c>
      <c r="E557" s="9"/>
      <c r="F557" s="9"/>
      <c r="G557" s="8"/>
      <c r="H557" s="37" t="str">
        <f t="shared" si="25"/>
        <v/>
      </c>
      <c r="I557" s="37" t="str">
        <f t="shared" si="26"/>
        <v/>
      </c>
      <c r="J557" s="7"/>
    </row>
    <row r="558" spans="1:10">
      <c r="A558" s="6">
        <f t="shared" si="24"/>
        <v>553</v>
      </c>
      <c r="B558" s="7"/>
      <c r="C558" s="37" t="str">
        <f>IFERROR(VLOOKUP(B558,'MASTER RECORD'!$B$5:$W$1000,3,0),"")</f>
        <v/>
      </c>
      <c r="D558" s="37" t="str">
        <f>IFERROR(VLOOKUP(B558,'MASTER RECORD'!$B$5:$W$1000,2,0),"")</f>
        <v/>
      </c>
      <c r="E558" s="9"/>
      <c r="F558" s="9"/>
      <c r="G558" s="8"/>
      <c r="H558" s="37" t="str">
        <f t="shared" si="25"/>
        <v/>
      </c>
      <c r="I558" s="37" t="str">
        <f t="shared" si="26"/>
        <v/>
      </c>
      <c r="J558" s="7"/>
    </row>
    <row r="559" spans="1:10">
      <c r="A559" s="6">
        <f t="shared" si="24"/>
        <v>554</v>
      </c>
      <c r="B559" s="7"/>
      <c r="C559" s="37" t="str">
        <f>IFERROR(VLOOKUP(B559,'MASTER RECORD'!$B$5:$W$1000,3,0),"")</f>
        <v/>
      </c>
      <c r="D559" s="37" t="str">
        <f>IFERROR(VLOOKUP(B559,'MASTER RECORD'!$B$5:$W$1000,2,0),"")</f>
        <v/>
      </c>
      <c r="E559" s="9"/>
      <c r="F559" s="9"/>
      <c r="G559" s="8"/>
      <c r="H559" s="37" t="str">
        <f t="shared" si="25"/>
        <v/>
      </c>
      <c r="I559" s="37" t="str">
        <f t="shared" si="26"/>
        <v/>
      </c>
      <c r="J559" s="7"/>
    </row>
    <row r="560" spans="1:10">
      <c r="A560" s="6">
        <f t="shared" si="24"/>
        <v>555</v>
      </c>
      <c r="B560" s="7"/>
      <c r="C560" s="37" t="str">
        <f>IFERROR(VLOOKUP(B560,'MASTER RECORD'!$B$5:$W$1000,3,0),"")</f>
        <v/>
      </c>
      <c r="D560" s="37" t="str">
        <f>IFERROR(VLOOKUP(B560,'MASTER RECORD'!$B$5:$W$1000,2,0),"")</f>
        <v/>
      </c>
      <c r="E560" s="9"/>
      <c r="F560" s="9"/>
      <c r="G560" s="8"/>
      <c r="H560" s="37" t="str">
        <f t="shared" si="25"/>
        <v/>
      </c>
      <c r="I560" s="37" t="str">
        <f t="shared" si="26"/>
        <v/>
      </c>
      <c r="J560" s="7"/>
    </row>
    <row r="561" spans="1:10">
      <c r="A561" s="6">
        <f t="shared" si="24"/>
        <v>556</v>
      </c>
      <c r="B561" s="7"/>
      <c r="C561" s="37" t="str">
        <f>IFERROR(VLOOKUP(B561,'MASTER RECORD'!$B$5:$W$1000,3,0),"")</f>
        <v/>
      </c>
      <c r="D561" s="37" t="str">
        <f>IFERROR(VLOOKUP(B561,'MASTER RECORD'!$B$5:$W$1000,2,0),"")</f>
        <v/>
      </c>
      <c r="E561" s="9"/>
      <c r="F561" s="9"/>
      <c r="G561" s="8"/>
      <c r="H561" s="37" t="str">
        <f t="shared" si="25"/>
        <v/>
      </c>
      <c r="I561" s="37" t="str">
        <f t="shared" si="26"/>
        <v/>
      </c>
      <c r="J561" s="7"/>
    </row>
    <row r="562" spans="1:10">
      <c r="A562" s="6">
        <f t="shared" si="24"/>
        <v>557</v>
      </c>
      <c r="B562" s="7"/>
      <c r="C562" s="37" t="str">
        <f>IFERROR(VLOOKUP(B562,'MASTER RECORD'!$B$5:$W$1000,3,0),"")</f>
        <v/>
      </c>
      <c r="D562" s="37" t="str">
        <f>IFERROR(VLOOKUP(B562,'MASTER RECORD'!$B$5:$W$1000,2,0),"")</f>
        <v/>
      </c>
      <c r="E562" s="9"/>
      <c r="F562" s="9"/>
      <c r="G562" s="8"/>
      <c r="H562" s="37" t="str">
        <f t="shared" si="25"/>
        <v/>
      </c>
      <c r="I562" s="37" t="str">
        <f t="shared" si="26"/>
        <v/>
      </c>
      <c r="J562" s="7"/>
    </row>
    <row r="563" spans="1:10">
      <c r="A563" s="6">
        <f t="shared" si="24"/>
        <v>558</v>
      </c>
      <c r="B563" s="7"/>
      <c r="C563" s="37" t="str">
        <f>IFERROR(VLOOKUP(B563,'MASTER RECORD'!$B$5:$W$1000,3,0),"")</f>
        <v/>
      </c>
      <c r="D563" s="37" t="str">
        <f>IFERROR(VLOOKUP(B563,'MASTER RECORD'!$B$5:$W$1000,2,0),"")</f>
        <v/>
      </c>
      <c r="E563" s="9"/>
      <c r="F563" s="9"/>
      <c r="G563" s="8"/>
      <c r="H563" s="37" t="str">
        <f t="shared" si="25"/>
        <v/>
      </c>
      <c r="I563" s="37" t="str">
        <f t="shared" si="26"/>
        <v/>
      </c>
      <c r="J563" s="7"/>
    </row>
    <row r="564" spans="1:10">
      <c r="A564" s="6">
        <f t="shared" si="24"/>
        <v>559</v>
      </c>
      <c r="B564" s="7"/>
      <c r="C564" s="37" t="str">
        <f>IFERROR(VLOOKUP(B564,'MASTER RECORD'!$B$5:$W$1000,3,0),"")</f>
        <v/>
      </c>
      <c r="D564" s="37" t="str">
        <f>IFERROR(VLOOKUP(B564,'MASTER RECORD'!$B$5:$W$1000,2,0),"")</f>
        <v/>
      </c>
      <c r="E564" s="9"/>
      <c r="F564" s="9"/>
      <c r="G564" s="8"/>
      <c r="H564" s="37" t="str">
        <f t="shared" si="25"/>
        <v/>
      </c>
      <c r="I564" s="37" t="str">
        <f t="shared" si="26"/>
        <v/>
      </c>
      <c r="J564" s="7"/>
    </row>
    <row r="565" spans="1:10">
      <c r="A565" s="6">
        <f t="shared" si="24"/>
        <v>560</v>
      </c>
      <c r="B565" s="7"/>
      <c r="C565" s="37" t="str">
        <f>IFERROR(VLOOKUP(B565,'MASTER RECORD'!$B$5:$W$1000,3,0),"")</f>
        <v/>
      </c>
      <c r="D565" s="37" t="str">
        <f>IFERROR(VLOOKUP(B565,'MASTER RECORD'!$B$5:$W$1000,2,0),"")</f>
        <v/>
      </c>
      <c r="E565" s="9"/>
      <c r="F565" s="9"/>
      <c r="G565" s="8"/>
      <c r="H565" s="37" t="str">
        <f t="shared" si="25"/>
        <v/>
      </c>
      <c r="I565" s="37" t="str">
        <f t="shared" si="26"/>
        <v/>
      </c>
      <c r="J565" s="7"/>
    </row>
    <row r="566" spans="1:10">
      <c r="A566" s="6">
        <f t="shared" si="24"/>
        <v>561</v>
      </c>
      <c r="B566" s="7"/>
      <c r="C566" s="37" t="str">
        <f>IFERROR(VLOOKUP(B566,'MASTER RECORD'!$B$5:$W$1000,3,0),"")</f>
        <v/>
      </c>
      <c r="D566" s="37" t="str">
        <f>IFERROR(VLOOKUP(B566,'MASTER RECORD'!$B$5:$W$1000,2,0),"")</f>
        <v/>
      </c>
      <c r="E566" s="9"/>
      <c r="F566" s="9"/>
      <c r="G566" s="8"/>
      <c r="H566" s="37" t="str">
        <f t="shared" si="25"/>
        <v/>
      </c>
      <c r="I566" s="37" t="str">
        <f t="shared" si="26"/>
        <v/>
      </c>
      <c r="J566" s="7"/>
    </row>
    <row r="567" spans="1:10">
      <c r="A567" s="6">
        <f t="shared" si="24"/>
        <v>562</v>
      </c>
      <c r="B567" s="7"/>
      <c r="C567" s="37" t="str">
        <f>IFERROR(VLOOKUP(B567,'MASTER RECORD'!$B$5:$W$1000,3,0),"")</f>
        <v/>
      </c>
      <c r="D567" s="37" t="str">
        <f>IFERROR(VLOOKUP(B567,'MASTER RECORD'!$B$5:$W$1000,2,0),"")</f>
        <v/>
      </c>
      <c r="E567" s="9"/>
      <c r="F567" s="9"/>
      <c r="G567" s="8"/>
      <c r="H567" s="37" t="str">
        <f t="shared" si="25"/>
        <v/>
      </c>
      <c r="I567" s="37" t="str">
        <f t="shared" si="26"/>
        <v/>
      </c>
      <c r="J567" s="7"/>
    </row>
    <row r="568" spans="1:10">
      <c r="A568" s="6">
        <f t="shared" si="24"/>
        <v>563</v>
      </c>
      <c r="B568" s="7"/>
      <c r="C568" s="37" t="str">
        <f>IFERROR(VLOOKUP(B568,'MASTER RECORD'!$B$5:$W$1000,3,0),"")</f>
        <v/>
      </c>
      <c r="D568" s="37" t="str">
        <f>IFERROR(VLOOKUP(B568,'MASTER RECORD'!$B$5:$W$1000,2,0),"")</f>
        <v/>
      </c>
      <c r="E568" s="9"/>
      <c r="F568" s="9"/>
      <c r="G568" s="8"/>
      <c r="H568" s="37" t="str">
        <f t="shared" si="25"/>
        <v/>
      </c>
      <c r="I568" s="37" t="str">
        <f t="shared" si="26"/>
        <v/>
      </c>
      <c r="J568" s="7"/>
    </row>
    <row r="569" spans="1:10">
      <c r="A569" s="6">
        <f t="shared" si="24"/>
        <v>564</v>
      </c>
      <c r="B569" s="7"/>
      <c r="C569" s="37" t="str">
        <f>IFERROR(VLOOKUP(B569,'MASTER RECORD'!$B$5:$W$1000,3,0),"")</f>
        <v/>
      </c>
      <c r="D569" s="37" t="str">
        <f>IFERROR(VLOOKUP(B569,'MASTER RECORD'!$B$5:$W$1000,2,0),"")</f>
        <v/>
      </c>
      <c r="E569" s="9"/>
      <c r="F569" s="9"/>
      <c r="G569" s="8"/>
      <c r="H569" s="37" t="str">
        <f t="shared" si="25"/>
        <v/>
      </c>
      <c r="I569" s="37" t="str">
        <f t="shared" si="26"/>
        <v/>
      </c>
      <c r="J569" s="7"/>
    </row>
    <row r="570" spans="1:10">
      <c r="A570" s="6">
        <f t="shared" si="24"/>
        <v>565</v>
      </c>
      <c r="B570" s="7"/>
      <c r="C570" s="37" t="str">
        <f>IFERROR(VLOOKUP(B570,'MASTER RECORD'!$B$5:$W$1000,3,0),"")</f>
        <v/>
      </c>
      <c r="D570" s="37" t="str">
        <f>IFERROR(VLOOKUP(B570,'MASTER RECORD'!$B$5:$W$1000,2,0),"")</f>
        <v/>
      </c>
      <c r="E570" s="9"/>
      <c r="F570" s="9"/>
      <c r="G570" s="8"/>
      <c r="H570" s="37" t="str">
        <f t="shared" si="25"/>
        <v/>
      </c>
      <c r="I570" s="37" t="str">
        <f t="shared" si="26"/>
        <v/>
      </c>
      <c r="J570" s="7"/>
    </row>
    <row r="571" spans="1:10">
      <c r="A571" s="6">
        <f t="shared" si="24"/>
        <v>566</v>
      </c>
      <c r="B571" s="7"/>
      <c r="C571" s="37" t="str">
        <f>IFERROR(VLOOKUP(B571,'MASTER RECORD'!$B$5:$W$1000,3,0),"")</f>
        <v/>
      </c>
      <c r="D571" s="37" t="str">
        <f>IFERROR(VLOOKUP(B571,'MASTER RECORD'!$B$5:$W$1000,2,0),"")</f>
        <v/>
      </c>
      <c r="E571" s="9"/>
      <c r="F571" s="9"/>
      <c r="G571" s="8"/>
      <c r="H571" s="37" t="str">
        <f t="shared" si="25"/>
        <v/>
      </c>
      <c r="I571" s="37" t="str">
        <f t="shared" si="26"/>
        <v/>
      </c>
      <c r="J571" s="7"/>
    </row>
    <row r="572" spans="1:10">
      <c r="A572" s="6">
        <f t="shared" si="24"/>
        <v>567</v>
      </c>
      <c r="B572" s="7"/>
      <c r="C572" s="37" t="str">
        <f>IFERROR(VLOOKUP(B572,'MASTER RECORD'!$B$5:$W$1000,3,0),"")</f>
        <v/>
      </c>
      <c r="D572" s="37" t="str">
        <f>IFERROR(VLOOKUP(B572,'MASTER RECORD'!$B$5:$W$1000,2,0),"")</f>
        <v/>
      </c>
      <c r="E572" s="9"/>
      <c r="F572" s="9"/>
      <c r="G572" s="8"/>
      <c r="H572" s="37" t="str">
        <f t="shared" si="25"/>
        <v/>
      </c>
      <c r="I572" s="37" t="str">
        <f t="shared" si="26"/>
        <v/>
      </c>
      <c r="J572" s="7"/>
    </row>
    <row r="573" spans="1:10">
      <c r="A573" s="6">
        <f t="shared" si="24"/>
        <v>568</v>
      </c>
      <c r="B573" s="7"/>
      <c r="C573" s="37" t="str">
        <f>IFERROR(VLOOKUP(B573,'MASTER RECORD'!$B$5:$W$1000,3,0),"")</f>
        <v/>
      </c>
      <c r="D573" s="37" t="str">
        <f>IFERROR(VLOOKUP(B573,'MASTER RECORD'!$B$5:$W$1000,2,0),"")</f>
        <v/>
      </c>
      <c r="E573" s="9"/>
      <c r="F573" s="9"/>
      <c r="G573" s="8"/>
      <c r="H573" s="37" t="str">
        <f t="shared" si="25"/>
        <v/>
      </c>
      <c r="I573" s="37" t="str">
        <f t="shared" si="26"/>
        <v/>
      </c>
      <c r="J573" s="7"/>
    </row>
    <row r="574" spans="1:10">
      <c r="A574" s="6">
        <f t="shared" si="24"/>
        <v>569</v>
      </c>
      <c r="B574" s="7"/>
      <c r="C574" s="37" t="str">
        <f>IFERROR(VLOOKUP(B574,'MASTER RECORD'!$B$5:$W$1000,3,0),"")</f>
        <v/>
      </c>
      <c r="D574" s="37" t="str">
        <f>IFERROR(VLOOKUP(B574,'MASTER RECORD'!$B$5:$W$1000,2,0),"")</f>
        <v/>
      </c>
      <c r="E574" s="9"/>
      <c r="F574" s="9"/>
      <c r="G574" s="8"/>
      <c r="H574" s="37" t="str">
        <f t="shared" si="25"/>
        <v/>
      </c>
      <c r="I574" s="37" t="str">
        <f t="shared" si="26"/>
        <v/>
      </c>
      <c r="J574" s="7"/>
    </row>
    <row r="575" spans="1:10">
      <c r="A575" s="6">
        <f t="shared" si="24"/>
        <v>570</v>
      </c>
      <c r="B575" s="7"/>
      <c r="C575" s="37" t="str">
        <f>IFERROR(VLOOKUP(B575,'MASTER RECORD'!$B$5:$W$1000,3,0),"")</f>
        <v/>
      </c>
      <c r="D575" s="37" t="str">
        <f>IFERROR(VLOOKUP(B575,'MASTER RECORD'!$B$5:$W$1000,2,0),"")</f>
        <v/>
      </c>
      <c r="E575" s="9"/>
      <c r="F575" s="9"/>
      <c r="G575" s="8"/>
      <c r="H575" s="37" t="str">
        <f t="shared" si="25"/>
        <v/>
      </c>
      <c r="I575" s="37" t="str">
        <f t="shared" si="26"/>
        <v/>
      </c>
      <c r="J575" s="7"/>
    </row>
    <row r="576" spans="1:10">
      <c r="A576" s="6">
        <f t="shared" si="24"/>
        <v>571</v>
      </c>
      <c r="B576" s="7"/>
      <c r="C576" s="37" t="str">
        <f>IFERROR(VLOOKUP(B576,'MASTER RECORD'!$B$5:$W$1000,3,0),"")</f>
        <v/>
      </c>
      <c r="D576" s="37" t="str">
        <f>IFERROR(VLOOKUP(B576,'MASTER RECORD'!$B$5:$W$1000,2,0),"")</f>
        <v/>
      </c>
      <c r="E576" s="9"/>
      <c r="F576" s="9"/>
      <c r="G576" s="8"/>
      <c r="H576" s="37" t="str">
        <f t="shared" si="25"/>
        <v/>
      </c>
      <c r="I576" s="37" t="str">
        <f t="shared" si="26"/>
        <v/>
      </c>
      <c r="J576" s="7"/>
    </row>
    <row r="577" spans="1:10">
      <c r="A577" s="6">
        <f t="shared" si="24"/>
        <v>572</v>
      </c>
      <c r="B577" s="7"/>
      <c r="C577" s="37" t="str">
        <f>IFERROR(VLOOKUP(B577,'MASTER RECORD'!$B$5:$W$1000,3,0),"")</f>
        <v/>
      </c>
      <c r="D577" s="37" t="str">
        <f>IFERROR(VLOOKUP(B577,'MASTER RECORD'!$B$5:$W$1000,2,0),"")</f>
        <v/>
      </c>
      <c r="E577" s="9"/>
      <c r="F577" s="9"/>
      <c r="G577" s="8"/>
      <c r="H577" s="37" t="str">
        <f t="shared" si="25"/>
        <v/>
      </c>
      <c r="I577" s="37" t="str">
        <f t="shared" si="26"/>
        <v/>
      </c>
      <c r="J577" s="7"/>
    </row>
    <row r="578" spans="1:10">
      <c r="A578" s="6">
        <f t="shared" si="24"/>
        <v>573</v>
      </c>
      <c r="B578" s="7"/>
      <c r="C578" s="37" t="str">
        <f>IFERROR(VLOOKUP(B578,'MASTER RECORD'!$B$5:$W$1000,3,0),"")</f>
        <v/>
      </c>
      <c r="D578" s="37" t="str">
        <f>IFERROR(VLOOKUP(B578,'MASTER RECORD'!$B$5:$W$1000,2,0),"")</f>
        <v/>
      </c>
      <c r="E578" s="9"/>
      <c r="F578" s="9"/>
      <c r="G578" s="8"/>
      <c r="H578" s="37" t="str">
        <f t="shared" si="25"/>
        <v/>
      </c>
      <c r="I578" s="37" t="str">
        <f t="shared" si="26"/>
        <v/>
      </c>
      <c r="J578" s="7"/>
    </row>
    <row r="579" spans="1:10">
      <c r="A579" s="6">
        <f t="shared" si="24"/>
        <v>574</v>
      </c>
      <c r="B579" s="7"/>
      <c r="C579" s="37" t="str">
        <f>IFERROR(VLOOKUP(B579,'MASTER RECORD'!$B$5:$W$1000,3,0),"")</f>
        <v/>
      </c>
      <c r="D579" s="37" t="str">
        <f>IFERROR(VLOOKUP(B579,'MASTER RECORD'!$B$5:$W$1000,2,0),"")</f>
        <v/>
      </c>
      <c r="E579" s="9"/>
      <c r="F579" s="9"/>
      <c r="G579" s="8"/>
      <c r="H579" s="37" t="str">
        <f t="shared" si="25"/>
        <v/>
      </c>
      <c r="I579" s="37" t="str">
        <f t="shared" si="26"/>
        <v/>
      </c>
      <c r="J579" s="7"/>
    </row>
    <row r="580" spans="1:10">
      <c r="A580" s="6">
        <f t="shared" si="24"/>
        <v>575</v>
      </c>
      <c r="B580" s="7"/>
      <c r="C580" s="37" t="str">
        <f>IFERROR(VLOOKUP(B580,'MASTER RECORD'!$B$5:$W$1000,3,0),"")</f>
        <v/>
      </c>
      <c r="D580" s="37" t="str">
        <f>IFERROR(VLOOKUP(B580,'MASTER RECORD'!$B$5:$W$1000,2,0),"")</f>
        <v/>
      </c>
      <c r="E580" s="9"/>
      <c r="F580" s="9"/>
      <c r="G580" s="8"/>
      <c r="H580" s="37" t="str">
        <f t="shared" si="25"/>
        <v/>
      </c>
      <c r="I580" s="37" t="str">
        <f t="shared" si="26"/>
        <v/>
      </c>
      <c r="J580" s="7"/>
    </row>
    <row r="581" spans="1:10">
      <c r="A581" s="6">
        <f t="shared" si="24"/>
        <v>576</v>
      </c>
      <c r="B581" s="7"/>
      <c r="C581" s="37" t="str">
        <f>IFERROR(VLOOKUP(B581,'MASTER RECORD'!$B$5:$W$1000,3,0),"")</f>
        <v/>
      </c>
      <c r="D581" s="37" t="str">
        <f>IFERROR(VLOOKUP(B581,'MASTER RECORD'!$B$5:$W$1000,2,0),"")</f>
        <v/>
      </c>
      <c r="E581" s="9"/>
      <c r="F581" s="9"/>
      <c r="G581" s="8"/>
      <c r="H581" s="37" t="str">
        <f t="shared" si="25"/>
        <v/>
      </c>
      <c r="I581" s="37" t="str">
        <f t="shared" si="26"/>
        <v/>
      </c>
      <c r="J581" s="7"/>
    </row>
    <row r="582" spans="1:10">
      <c r="A582" s="6">
        <f t="shared" si="24"/>
        <v>577</v>
      </c>
      <c r="B582" s="7"/>
      <c r="C582" s="37" t="str">
        <f>IFERROR(VLOOKUP(B582,'MASTER RECORD'!$B$5:$W$1000,3,0),"")</f>
        <v/>
      </c>
      <c r="D582" s="37" t="str">
        <f>IFERROR(VLOOKUP(B582,'MASTER RECORD'!$B$5:$W$1000,2,0),"")</f>
        <v/>
      </c>
      <c r="E582" s="9"/>
      <c r="F582" s="9"/>
      <c r="G582" s="8"/>
      <c r="H582" s="37" t="str">
        <f t="shared" si="25"/>
        <v/>
      </c>
      <c r="I582" s="37" t="str">
        <f t="shared" si="26"/>
        <v/>
      </c>
      <c r="J582" s="7"/>
    </row>
    <row r="583" spans="1:10">
      <c r="A583" s="6">
        <f t="shared" ref="A583:A634" si="27">ROW(A578)</f>
        <v>578</v>
      </c>
      <c r="B583" s="7"/>
      <c r="C583" s="37" t="str">
        <f>IFERROR(VLOOKUP(B583,'MASTER RECORD'!$B$5:$W$1000,3,0),"")</f>
        <v/>
      </c>
      <c r="D583" s="37" t="str">
        <f>IFERROR(VLOOKUP(B583,'MASTER RECORD'!$B$5:$W$1000,2,0),"")</f>
        <v/>
      </c>
      <c r="E583" s="9"/>
      <c r="F583" s="9"/>
      <c r="G583" s="8"/>
      <c r="H583" s="37" t="str">
        <f t="shared" ref="H583:H634" si="28">IF(G583=0,"",TEXT(G583,"mmmm"))</f>
        <v/>
      </c>
      <c r="I583" s="37" t="str">
        <f t="shared" ref="I583:I634" si="29">IF(G583=0,"",TEXT(G583,"yyyy"))</f>
        <v/>
      </c>
      <c r="J583" s="7"/>
    </row>
    <row r="584" spans="1:10">
      <c r="A584" s="6">
        <f t="shared" si="27"/>
        <v>579</v>
      </c>
      <c r="B584" s="7"/>
      <c r="C584" s="37" t="str">
        <f>IFERROR(VLOOKUP(B584,'MASTER RECORD'!$B$5:$W$1000,3,0),"")</f>
        <v/>
      </c>
      <c r="D584" s="37" t="str">
        <f>IFERROR(VLOOKUP(B584,'MASTER RECORD'!$B$5:$W$1000,2,0),"")</f>
        <v/>
      </c>
      <c r="E584" s="9"/>
      <c r="F584" s="9"/>
      <c r="G584" s="8"/>
      <c r="H584" s="37" t="str">
        <f t="shared" si="28"/>
        <v/>
      </c>
      <c r="I584" s="37" t="str">
        <f t="shared" si="29"/>
        <v/>
      </c>
      <c r="J584" s="7"/>
    </row>
    <row r="585" spans="1:10">
      <c r="A585" s="6">
        <f t="shared" si="27"/>
        <v>580</v>
      </c>
      <c r="B585" s="7"/>
      <c r="C585" s="37" t="str">
        <f>IFERROR(VLOOKUP(B585,'MASTER RECORD'!$B$5:$W$1000,3,0),"")</f>
        <v/>
      </c>
      <c r="D585" s="37" t="str">
        <f>IFERROR(VLOOKUP(B585,'MASTER RECORD'!$B$5:$W$1000,2,0),"")</f>
        <v/>
      </c>
      <c r="E585" s="9"/>
      <c r="F585" s="9"/>
      <c r="G585" s="8"/>
      <c r="H585" s="37" t="str">
        <f t="shared" si="28"/>
        <v/>
      </c>
      <c r="I585" s="37" t="str">
        <f t="shared" si="29"/>
        <v/>
      </c>
      <c r="J585" s="7"/>
    </row>
    <row r="586" spans="1:10">
      <c r="A586" s="6">
        <f t="shared" si="27"/>
        <v>581</v>
      </c>
      <c r="B586" s="7"/>
      <c r="C586" s="37" t="str">
        <f>IFERROR(VLOOKUP(B586,'MASTER RECORD'!$B$5:$W$1000,3,0),"")</f>
        <v/>
      </c>
      <c r="D586" s="37" t="str">
        <f>IFERROR(VLOOKUP(B586,'MASTER RECORD'!$B$5:$W$1000,2,0),"")</f>
        <v/>
      </c>
      <c r="E586" s="9"/>
      <c r="F586" s="9"/>
      <c r="G586" s="8"/>
      <c r="H586" s="37" t="str">
        <f t="shared" si="28"/>
        <v/>
      </c>
      <c r="I586" s="37" t="str">
        <f t="shared" si="29"/>
        <v/>
      </c>
      <c r="J586" s="7"/>
    </row>
    <row r="587" spans="1:10">
      <c r="A587" s="6">
        <f t="shared" si="27"/>
        <v>582</v>
      </c>
      <c r="B587" s="7"/>
      <c r="C587" s="37" t="str">
        <f>IFERROR(VLOOKUP(B587,'MASTER RECORD'!$B$5:$W$1000,3,0),"")</f>
        <v/>
      </c>
      <c r="D587" s="37" t="str">
        <f>IFERROR(VLOOKUP(B587,'MASTER RECORD'!$B$5:$W$1000,2,0),"")</f>
        <v/>
      </c>
      <c r="E587" s="9"/>
      <c r="F587" s="9"/>
      <c r="G587" s="8"/>
      <c r="H587" s="37" t="str">
        <f t="shared" si="28"/>
        <v/>
      </c>
      <c r="I587" s="37" t="str">
        <f t="shared" si="29"/>
        <v/>
      </c>
      <c r="J587" s="7"/>
    </row>
    <row r="588" spans="1:10">
      <c r="A588" s="6">
        <f t="shared" si="27"/>
        <v>583</v>
      </c>
      <c r="B588" s="7"/>
      <c r="C588" s="37" t="str">
        <f>IFERROR(VLOOKUP(B588,'MASTER RECORD'!$B$5:$W$1000,3,0),"")</f>
        <v/>
      </c>
      <c r="D588" s="37" t="str">
        <f>IFERROR(VLOOKUP(B588,'MASTER RECORD'!$B$5:$W$1000,2,0),"")</f>
        <v/>
      </c>
      <c r="E588" s="9"/>
      <c r="F588" s="9"/>
      <c r="G588" s="8"/>
      <c r="H588" s="37" t="str">
        <f t="shared" si="28"/>
        <v/>
      </c>
      <c r="I588" s="37" t="str">
        <f t="shared" si="29"/>
        <v/>
      </c>
      <c r="J588" s="7"/>
    </row>
    <row r="589" spans="1:10">
      <c r="A589" s="6">
        <f t="shared" si="27"/>
        <v>584</v>
      </c>
      <c r="B589" s="7"/>
      <c r="C589" s="37" t="str">
        <f>IFERROR(VLOOKUP(B589,'MASTER RECORD'!$B$5:$W$1000,3,0),"")</f>
        <v/>
      </c>
      <c r="D589" s="37" t="str">
        <f>IFERROR(VLOOKUP(B589,'MASTER RECORD'!$B$5:$W$1000,2,0),"")</f>
        <v/>
      </c>
      <c r="E589" s="9"/>
      <c r="F589" s="9"/>
      <c r="G589" s="8"/>
      <c r="H589" s="37" t="str">
        <f t="shared" si="28"/>
        <v/>
      </c>
      <c r="I589" s="37" t="str">
        <f t="shared" si="29"/>
        <v/>
      </c>
      <c r="J589" s="7"/>
    </row>
    <row r="590" spans="1:10">
      <c r="A590" s="6">
        <f t="shared" si="27"/>
        <v>585</v>
      </c>
      <c r="B590" s="7"/>
      <c r="C590" s="37" t="str">
        <f>IFERROR(VLOOKUP(B590,'MASTER RECORD'!$B$5:$W$1000,3,0),"")</f>
        <v/>
      </c>
      <c r="D590" s="37" t="str">
        <f>IFERROR(VLOOKUP(B590,'MASTER RECORD'!$B$5:$W$1000,2,0),"")</f>
        <v/>
      </c>
      <c r="E590" s="9"/>
      <c r="F590" s="9"/>
      <c r="G590" s="8"/>
      <c r="H590" s="37" t="str">
        <f t="shared" si="28"/>
        <v/>
      </c>
      <c r="I590" s="37" t="str">
        <f t="shared" si="29"/>
        <v/>
      </c>
      <c r="J590" s="7"/>
    </row>
    <row r="591" spans="1:10">
      <c r="A591" s="6">
        <f t="shared" si="27"/>
        <v>586</v>
      </c>
      <c r="B591" s="7"/>
      <c r="C591" s="37" t="str">
        <f>IFERROR(VLOOKUP(B591,'MASTER RECORD'!$B$5:$W$1000,3,0),"")</f>
        <v/>
      </c>
      <c r="D591" s="37" t="str">
        <f>IFERROR(VLOOKUP(B591,'MASTER RECORD'!$B$5:$W$1000,2,0),"")</f>
        <v/>
      </c>
      <c r="E591" s="9"/>
      <c r="F591" s="9"/>
      <c r="G591" s="8"/>
      <c r="H591" s="37" t="str">
        <f t="shared" si="28"/>
        <v/>
      </c>
      <c r="I591" s="37" t="str">
        <f t="shared" si="29"/>
        <v/>
      </c>
      <c r="J591" s="7"/>
    </row>
    <row r="592" spans="1:10">
      <c r="A592" s="6">
        <f t="shared" si="27"/>
        <v>587</v>
      </c>
      <c r="B592" s="7"/>
      <c r="C592" s="37" t="str">
        <f>IFERROR(VLOOKUP(B592,'MASTER RECORD'!$B$5:$W$1000,3,0),"")</f>
        <v/>
      </c>
      <c r="D592" s="37" t="str">
        <f>IFERROR(VLOOKUP(B592,'MASTER RECORD'!$B$5:$W$1000,2,0),"")</f>
        <v/>
      </c>
      <c r="E592" s="9"/>
      <c r="F592" s="9"/>
      <c r="G592" s="8"/>
      <c r="H592" s="37" t="str">
        <f t="shared" si="28"/>
        <v/>
      </c>
      <c r="I592" s="37" t="str">
        <f t="shared" si="29"/>
        <v/>
      </c>
      <c r="J592" s="7"/>
    </row>
    <row r="593" spans="1:10">
      <c r="A593" s="6">
        <f t="shared" si="27"/>
        <v>588</v>
      </c>
      <c r="B593" s="7"/>
      <c r="C593" s="37" t="str">
        <f>IFERROR(VLOOKUP(B593,'MASTER RECORD'!$B$5:$W$1000,3,0),"")</f>
        <v/>
      </c>
      <c r="D593" s="37" t="str">
        <f>IFERROR(VLOOKUP(B593,'MASTER RECORD'!$B$5:$W$1000,2,0),"")</f>
        <v/>
      </c>
      <c r="E593" s="9"/>
      <c r="F593" s="9"/>
      <c r="G593" s="8"/>
      <c r="H593" s="37" t="str">
        <f t="shared" si="28"/>
        <v/>
      </c>
      <c r="I593" s="37" t="str">
        <f t="shared" si="29"/>
        <v/>
      </c>
      <c r="J593" s="7"/>
    </row>
    <row r="594" spans="1:10">
      <c r="A594" s="6">
        <f t="shared" si="27"/>
        <v>589</v>
      </c>
      <c r="B594" s="7"/>
      <c r="C594" s="37" t="str">
        <f>IFERROR(VLOOKUP(B594,'MASTER RECORD'!$B$5:$W$1000,3,0),"")</f>
        <v/>
      </c>
      <c r="D594" s="37" t="str">
        <f>IFERROR(VLOOKUP(B594,'MASTER RECORD'!$B$5:$W$1000,2,0),"")</f>
        <v/>
      </c>
      <c r="E594" s="9"/>
      <c r="F594" s="9"/>
      <c r="G594" s="8"/>
      <c r="H594" s="37" t="str">
        <f t="shared" si="28"/>
        <v/>
      </c>
      <c r="I594" s="37" t="str">
        <f t="shared" si="29"/>
        <v/>
      </c>
      <c r="J594" s="7"/>
    </row>
    <row r="595" spans="1:10">
      <c r="A595" s="6">
        <f t="shared" si="27"/>
        <v>590</v>
      </c>
      <c r="B595" s="7"/>
      <c r="C595" s="37" t="str">
        <f>IFERROR(VLOOKUP(B595,'MASTER RECORD'!$B$5:$W$1000,3,0),"")</f>
        <v/>
      </c>
      <c r="D595" s="37" t="str">
        <f>IFERROR(VLOOKUP(B595,'MASTER RECORD'!$B$5:$W$1000,2,0),"")</f>
        <v/>
      </c>
      <c r="E595" s="9"/>
      <c r="F595" s="9"/>
      <c r="G595" s="8"/>
      <c r="H595" s="37" t="str">
        <f t="shared" si="28"/>
        <v/>
      </c>
      <c r="I595" s="37" t="str">
        <f t="shared" si="29"/>
        <v/>
      </c>
      <c r="J595" s="7"/>
    </row>
    <row r="596" spans="1:10">
      <c r="A596" s="6">
        <f t="shared" si="27"/>
        <v>591</v>
      </c>
      <c r="B596" s="7"/>
      <c r="C596" s="37" t="str">
        <f>IFERROR(VLOOKUP(B596,'MASTER RECORD'!$B$5:$W$1000,3,0),"")</f>
        <v/>
      </c>
      <c r="D596" s="37" t="str">
        <f>IFERROR(VLOOKUP(B596,'MASTER RECORD'!$B$5:$W$1000,2,0),"")</f>
        <v/>
      </c>
      <c r="E596" s="9"/>
      <c r="F596" s="9"/>
      <c r="G596" s="8"/>
      <c r="H596" s="37" t="str">
        <f t="shared" si="28"/>
        <v/>
      </c>
      <c r="I596" s="37" t="str">
        <f t="shared" si="29"/>
        <v/>
      </c>
      <c r="J596" s="7"/>
    </row>
    <row r="597" spans="1:10">
      <c r="A597" s="6">
        <f t="shared" si="27"/>
        <v>592</v>
      </c>
      <c r="B597" s="7"/>
      <c r="C597" s="37" t="str">
        <f>IFERROR(VLOOKUP(B597,'MASTER RECORD'!$B$5:$W$1000,3,0),"")</f>
        <v/>
      </c>
      <c r="D597" s="37" t="str">
        <f>IFERROR(VLOOKUP(B597,'MASTER RECORD'!$B$5:$W$1000,2,0),"")</f>
        <v/>
      </c>
      <c r="E597" s="9"/>
      <c r="F597" s="9"/>
      <c r="G597" s="8"/>
      <c r="H597" s="37" t="str">
        <f t="shared" si="28"/>
        <v/>
      </c>
      <c r="I597" s="37" t="str">
        <f t="shared" si="29"/>
        <v/>
      </c>
      <c r="J597" s="7"/>
    </row>
    <row r="598" spans="1:10">
      <c r="A598" s="6">
        <f t="shared" si="27"/>
        <v>593</v>
      </c>
      <c r="B598" s="7"/>
      <c r="C598" s="37" t="str">
        <f>IFERROR(VLOOKUP(B598,'MASTER RECORD'!$B$5:$W$1000,3,0),"")</f>
        <v/>
      </c>
      <c r="D598" s="37" t="str">
        <f>IFERROR(VLOOKUP(B598,'MASTER RECORD'!$B$5:$W$1000,2,0),"")</f>
        <v/>
      </c>
      <c r="E598" s="9"/>
      <c r="F598" s="9"/>
      <c r="G598" s="8"/>
      <c r="H598" s="37" t="str">
        <f t="shared" si="28"/>
        <v/>
      </c>
      <c r="I598" s="37" t="str">
        <f t="shared" si="29"/>
        <v/>
      </c>
      <c r="J598" s="7"/>
    </row>
    <row r="599" spans="1:10">
      <c r="A599" s="6">
        <f t="shared" si="27"/>
        <v>594</v>
      </c>
      <c r="B599" s="7"/>
      <c r="C599" s="37" t="str">
        <f>IFERROR(VLOOKUP(B599,'MASTER RECORD'!$B$5:$W$1000,3,0),"")</f>
        <v/>
      </c>
      <c r="D599" s="37" t="str">
        <f>IFERROR(VLOOKUP(B599,'MASTER RECORD'!$B$5:$W$1000,2,0),"")</f>
        <v/>
      </c>
      <c r="E599" s="9"/>
      <c r="F599" s="9"/>
      <c r="G599" s="8"/>
      <c r="H599" s="37" t="str">
        <f t="shared" si="28"/>
        <v/>
      </c>
      <c r="I599" s="37" t="str">
        <f t="shared" si="29"/>
        <v/>
      </c>
      <c r="J599" s="7"/>
    </row>
    <row r="600" spans="1:10">
      <c r="A600" s="6">
        <f t="shared" si="27"/>
        <v>595</v>
      </c>
      <c r="B600" s="7"/>
      <c r="C600" s="37" t="str">
        <f>IFERROR(VLOOKUP(B600,'MASTER RECORD'!$B$5:$W$1000,3,0),"")</f>
        <v/>
      </c>
      <c r="D600" s="37" t="str">
        <f>IFERROR(VLOOKUP(B600,'MASTER RECORD'!$B$5:$W$1000,2,0),"")</f>
        <v/>
      </c>
      <c r="E600" s="9"/>
      <c r="F600" s="9"/>
      <c r="G600" s="8"/>
      <c r="H600" s="37" t="str">
        <f t="shared" si="28"/>
        <v/>
      </c>
      <c r="I600" s="37" t="str">
        <f t="shared" si="29"/>
        <v/>
      </c>
      <c r="J600" s="7"/>
    </row>
    <row r="601" spans="1:10">
      <c r="A601" s="6">
        <f t="shared" si="27"/>
        <v>596</v>
      </c>
      <c r="B601" s="7"/>
      <c r="C601" s="37" t="str">
        <f>IFERROR(VLOOKUP(B601,'MASTER RECORD'!$B$5:$W$1000,3,0),"")</f>
        <v/>
      </c>
      <c r="D601" s="37" t="str">
        <f>IFERROR(VLOOKUP(B601,'MASTER RECORD'!$B$5:$W$1000,2,0),"")</f>
        <v/>
      </c>
      <c r="E601" s="9"/>
      <c r="F601" s="9"/>
      <c r="G601" s="8"/>
      <c r="H601" s="37" t="str">
        <f t="shared" si="28"/>
        <v/>
      </c>
      <c r="I601" s="37" t="str">
        <f t="shared" si="29"/>
        <v/>
      </c>
      <c r="J601" s="7"/>
    </row>
    <row r="602" spans="1:10">
      <c r="A602" s="6">
        <f t="shared" si="27"/>
        <v>597</v>
      </c>
      <c r="B602" s="7"/>
      <c r="C602" s="37" t="str">
        <f>IFERROR(VLOOKUP(B602,'MASTER RECORD'!$B$5:$W$1000,3,0),"")</f>
        <v/>
      </c>
      <c r="D602" s="37" t="str">
        <f>IFERROR(VLOOKUP(B602,'MASTER RECORD'!$B$5:$W$1000,2,0),"")</f>
        <v/>
      </c>
      <c r="E602" s="9"/>
      <c r="F602" s="9"/>
      <c r="G602" s="8"/>
      <c r="H602" s="37" t="str">
        <f t="shared" si="28"/>
        <v/>
      </c>
      <c r="I602" s="37" t="str">
        <f t="shared" si="29"/>
        <v/>
      </c>
      <c r="J602" s="7"/>
    </row>
    <row r="603" spans="1:10">
      <c r="A603" s="6">
        <f t="shared" si="27"/>
        <v>598</v>
      </c>
      <c r="B603" s="7"/>
      <c r="C603" s="37" t="str">
        <f>IFERROR(VLOOKUP(B603,'MASTER RECORD'!$B$5:$W$1000,3,0),"")</f>
        <v/>
      </c>
      <c r="D603" s="37" t="str">
        <f>IFERROR(VLOOKUP(B603,'MASTER RECORD'!$B$5:$W$1000,2,0),"")</f>
        <v/>
      </c>
      <c r="E603" s="9"/>
      <c r="F603" s="9"/>
      <c r="G603" s="8"/>
      <c r="H603" s="37" t="str">
        <f t="shared" si="28"/>
        <v/>
      </c>
      <c r="I603" s="37" t="str">
        <f t="shared" si="29"/>
        <v/>
      </c>
      <c r="J603" s="7"/>
    </row>
    <row r="604" spans="1:10">
      <c r="A604" s="6">
        <f t="shared" si="27"/>
        <v>599</v>
      </c>
      <c r="B604" s="7"/>
      <c r="C604" s="37" t="str">
        <f>IFERROR(VLOOKUP(B604,'MASTER RECORD'!$B$5:$W$1000,3,0),"")</f>
        <v/>
      </c>
      <c r="D604" s="37" t="str">
        <f>IFERROR(VLOOKUP(B604,'MASTER RECORD'!$B$5:$W$1000,2,0),"")</f>
        <v/>
      </c>
      <c r="E604" s="9"/>
      <c r="F604" s="9"/>
      <c r="G604" s="8"/>
      <c r="H604" s="37" t="str">
        <f t="shared" si="28"/>
        <v/>
      </c>
      <c r="I604" s="37" t="str">
        <f t="shared" si="29"/>
        <v/>
      </c>
      <c r="J604" s="7"/>
    </row>
    <row r="605" spans="1:10">
      <c r="A605" s="6">
        <f t="shared" si="27"/>
        <v>600</v>
      </c>
      <c r="B605" s="7"/>
      <c r="C605" s="37" t="str">
        <f>IFERROR(VLOOKUP(B605,'MASTER RECORD'!$B$5:$W$1000,3,0),"")</f>
        <v/>
      </c>
      <c r="D605" s="37" t="str">
        <f>IFERROR(VLOOKUP(B605,'MASTER RECORD'!$B$5:$W$1000,2,0),"")</f>
        <v/>
      </c>
      <c r="E605" s="9"/>
      <c r="F605" s="9"/>
      <c r="G605" s="8"/>
      <c r="H605" s="37" t="str">
        <f t="shared" si="28"/>
        <v/>
      </c>
      <c r="I605" s="37" t="str">
        <f t="shared" si="29"/>
        <v/>
      </c>
      <c r="J605" s="7"/>
    </row>
    <row r="606" spans="1:10">
      <c r="A606" s="6">
        <f t="shared" si="27"/>
        <v>601</v>
      </c>
      <c r="B606" s="7"/>
      <c r="C606" s="37" t="str">
        <f>IFERROR(VLOOKUP(B606,'MASTER RECORD'!$B$5:$W$1000,3,0),"")</f>
        <v/>
      </c>
      <c r="D606" s="37" t="str">
        <f>IFERROR(VLOOKUP(B606,'MASTER RECORD'!$B$5:$W$1000,2,0),"")</f>
        <v/>
      </c>
      <c r="E606" s="9"/>
      <c r="F606" s="9"/>
      <c r="G606" s="8"/>
      <c r="H606" s="37" t="str">
        <f t="shared" si="28"/>
        <v/>
      </c>
      <c r="I606" s="37" t="str">
        <f t="shared" si="29"/>
        <v/>
      </c>
      <c r="J606" s="7"/>
    </row>
    <row r="607" spans="1:10">
      <c r="A607" s="6">
        <f t="shared" si="27"/>
        <v>602</v>
      </c>
      <c r="B607" s="7"/>
      <c r="C607" s="37" t="str">
        <f>IFERROR(VLOOKUP(B607,'MASTER RECORD'!$B$5:$W$1000,3,0),"")</f>
        <v/>
      </c>
      <c r="D607" s="37" t="str">
        <f>IFERROR(VLOOKUP(B607,'MASTER RECORD'!$B$5:$W$1000,2,0),"")</f>
        <v/>
      </c>
      <c r="E607" s="9"/>
      <c r="F607" s="9"/>
      <c r="G607" s="8"/>
      <c r="H607" s="37" t="str">
        <f t="shared" si="28"/>
        <v/>
      </c>
      <c r="I607" s="37" t="str">
        <f t="shared" si="29"/>
        <v/>
      </c>
      <c r="J607" s="7"/>
    </row>
    <row r="608" spans="1:10">
      <c r="A608" s="6">
        <f t="shared" si="27"/>
        <v>603</v>
      </c>
      <c r="B608" s="7"/>
      <c r="C608" s="37" t="str">
        <f>IFERROR(VLOOKUP(B608,'MASTER RECORD'!$B$5:$W$1000,3,0),"")</f>
        <v/>
      </c>
      <c r="D608" s="37" t="str">
        <f>IFERROR(VLOOKUP(B608,'MASTER RECORD'!$B$5:$W$1000,2,0),"")</f>
        <v/>
      </c>
      <c r="E608" s="9"/>
      <c r="F608" s="9"/>
      <c r="G608" s="8"/>
      <c r="H608" s="37" t="str">
        <f t="shared" si="28"/>
        <v/>
      </c>
      <c r="I608" s="37" t="str">
        <f t="shared" si="29"/>
        <v/>
      </c>
      <c r="J608" s="7"/>
    </row>
    <row r="609" spans="1:10">
      <c r="A609" s="6">
        <f t="shared" si="27"/>
        <v>604</v>
      </c>
      <c r="B609" s="7"/>
      <c r="C609" s="37" t="str">
        <f>IFERROR(VLOOKUP(B609,'MASTER RECORD'!$B$5:$W$1000,3,0),"")</f>
        <v/>
      </c>
      <c r="D609" s="37" t="str">
        <f>IFERROR(VLOOKUP(B609,'MASTER RECORD'!$B$5:$W$1000,2,0),"")</f>
        <v/>
      </c>
      <c r="E609" s="9"/>
      <c r="F609" s="9"/>
      <c r="G609" s="8"/>
      <c r="H609" s="37" t="str">
        <f t="shared" si="28"/>
        <v/>
      </c>
      <c r="I609" s="37" t="str">
        <f t="shared" si="29"/>
        <v/>
      </c>
      <c r="J609" s="7"/>
    </row>
    <row r="610" spans="1:10">
      <c r="A610" s="6">
        <f t="shared" si="27"/>
        <v>605</v>
      </c>
      <c r="B610" s="7"/>
      <c r="C610" s="37" t="str">
        <f>IFERROR(VLOOKUP(B610,'MASTER RECORD'!$B$5:$W$1000,3,0),"")</f>
        <v/>
      </c>
      <c r="D610" s="37" t="str">
        <f>IFERROR(VLOOKUP(B610,'MASTER RECORD'!$B$5:$W$1000,2,0),"")</f>
        <v/>
      </c>
      <c r="E610" s="9"/>
      <c r="F610" s="9"/>
      <c r="G610" s="8"/>
      <c r="H610" s="37" t="str">
        <f t="shared" si="28"/>
        <v/>
      </c>
      <c r="I610" s="37" t="str">
        <f t="shared" si="29"/>
        <v/>
      </c>
      <c r="J610" s="7"/>
    </row>
    <row r="611" spans="1:10">
      <c r="A611" s="6">
        <f t="shared" si="27"/>
        <v>606</v>
      </c>
      <c r="B611" s="7"/>
      <c r="C611" s="37" t="str">
        <f>IFERROR(VLOOKUP(B611,'MASTER RECORD'!$B$5:$W$1000,3,0),"")</f>
        <v/>
      </c>
      <c r="D611" s="37" t="str">
        <f>IFERROR(VLOOKUP(B611,'MASTER RECORD'!$B$5:$W$1000,2,0),"")</f>
        <v/>
      </c>
      <c r="E611" s="9"/>
      <c r="F611" s="9"/>
      <c r="G611" s="8"/>
      <c r="H611" s="37" t="str">
        <f t="shared" si="28"/>
        <v/>
      </c>
      <c r="I611" s="37" t="str">
        <f t="shared" si="29"/>
        <v/>
      </c>
      <c r="J611" s="7"/>
    </row>
    <row r="612" spans="1:10">
      <c r="A612" s="6">
        <f t="shared" si="27"/>
        <v>607</v>
      </c>
      <c r="B612" s="7"/>
      <c r="C612" s="37" t="str">
        <f>IFERROR(VLOOKUP(B612,'MASTER RECORD'!$B$5:$W$1000,3,0),"")</f>
        <v/>
      </c>
      <c r="D612" s="37" t="str">
        <f>IFERROR(VLOOKUP(B612,'MASTER RECORD'!$B$5:$W$1000,2,0),"")</f>
        <v/>
      </c>
      <c r="E612" s="9"/>
      <c r="F612" s="9"/>
      <c r="G612" s="8"/>
      <c r="H612" s="37" t="str">
        <f t="shared" si="28"/>
        <v/>
      </c>
      <c r="I612" s="37" t="str">
        <f t="shared" si="29"/>
        <v/>
      </c>
      <c r="J612" s="7"/>
    </row>
    <row r="613" spans="1:10">
      <c r="A613" s="6">
        <f t="shared" si="27"/>
        <v>608</v>
      </c>
      <c r="B613" s="7"/>
      <c r="C613" s="37" t="str">
        <f>IFERROR(VLOOKUP(B613,'MASTER RECORD'!$B$5:$W$1000,3,0),"")</f>
        <v/>
      </c>
      <c r="D613" s="37" t="str">
        <f>IFERROR(VLOOKUP(B613,'MASTER RECORD'!$B$5:$W$1000,2,0),"")</f>
        <v/>
      </c>
      <c r="E613" s="9"/>
      <c r="F613" s="9"/>
      <c r="G613" s="8"/>
      <c r="H613" s="37" t="str">
        <f t="shared" si="28"/>
        <v/>
      </c>
      <c r="I613" s="37" t="str">
        <f t="shared" si="29"/>
        <v/>
      </c>
      <c r="J613" s="7"/>
    </row>
    <row r="614" spans="1:10">
      <c r="A614" s="6">
        <f t="shared" si="27"/>
        <v>609</v>
      </c>
      <c r="B614" s="7"/>
      <c r="C614" s="37" t="str">
        <f>IFERROR(VLOOKUP(B614,'MASTER RECORD'!$B$5:$W$1000,3,0),"")</f>
        <v/>
      </c>
      <c r="D614" s="37" t="str">
        <f>IFERROR(VLOOKUP(B614,'MASTER RECORD'!$B$5:$W$1000,2,0),"")</f>
        <v/>
      </c>
      <c r="E614" s="9"/>
      <c r="F614" s="9"/>
      <c r="G614" s="8"/>
      <c r="H614" s="37" t="str">
        <f t="shared" si="28"/>
        <v/>
      </c>
      <c r="I614" s="37" t="str">
        <f t="shared" si="29"/>
        <v/>
      </c>
      <c r="J614" s="7"/>
    </row>
    <row r="615" spans="1:10">
      <c r="A615" s="6">
        <f t="shared" si="27"/>
        <v>610</v>
      </c>
      <c r="B615" s="7"/>
      <c r="C615" s="37" t="str">
        <f>IFERROR(VLOOKUP(B615,'MASTER RECORD'!$B$5:$W$1000,3,0),"")</f>
        <v/>
      </c>
      <c r="D615" s="37" t="str">
        <f>IFERROR(VLOOKUP(B615,'MASTER RECORD'!$B$5:$W$1000,2,0),"")</f>
        <v/>
      </c>
      <c r="E615" s="9"/>
      <c r="F615" s="9"/>
      <c r="G615" s="8"/>
      <c r="H615" s="37" t="str">
        <f t="shared" si="28"/>
        <v/>
      </c>
      <c r="I615" s="37" t="str">
        <f t="shared" si="29"/>
        <v/>
      </c>
      <c r="J615" s="7"/>
    </row>
    <row r="616" spans="1:10">
      <c r="A616" s="6">
        <f t="shared" si="27"/>
        <v>611</v>
      </c>
      <c r="B616" s="7"/>
      <c r="C616" s="37" t="str">
        <f>IFERROR(VLOOKUP(B616,'MASTER RECORD'!$B$5:$W$1000,3,0),"")</f>
        <v/>
      </c>
      <c r="D616" s="37" t="str">
        <f>IFERROR(VLOOKUP(B616,'MASTER RECORD'!$B$5:$W$1000,2,0),"")</f>
        <v/>
      </c>
      <c r="E616" s="9"/>
      <c r="F616" s="9"/>
      <c r="G616" s="8"/>
      <c r="H616" s="37" t="str">
        <f t="shared" si="28"/>
        <v/>
      </c>
      <c r="I616" s="37" t="str">
        <f t="shared" si="29"/>
        <v/>
      </c>
      <c r="J616" s="7"/>
    </row>
    <row r="617" spans="1:10">
      <c r="A617" s="6">
        <f t="shared" si="27"/>
        <v>612</v>
      </c>
      <c r="B617" s="7"/>
      <c r="C617" s="37" t="str">
        <f>IFERROR(VLOOKUP(B617,'MASTER RECORD'!$B$5:$W$1000,3,0),"")</f>
        <v/>
      </c>
      <c r="D617" s="37" t="str">
        <f>IFERROR(VLOOKUP(B617,'MASTER RECORD'!$B$5:$W$1000,2,0),"")</f>
        <v/>
      </c>
      <c r="E617" s="9"/>
      <c r="F617" s="9"/>
      <c r="G617" s="8"/>
      <c r="H617" s="37" t="str">
        <f t="shared" si="28"/>
        <v/>
      </c>
      <c r="I617" s="37" t="str">
        <f t="shared" si="29"/>
        <v/>
      </c>
      <c r="J617" s="7"/>
    </row>
    <row r="618" spans="1:10">
      <c r="A618" s="6">
        <f t="shared" si="27"/>
        <v>613</v>
      </c>
      <c r="B618" s="7"/>
      <c r="C618" s="37" t="str">
        <f>IFERROR(VLOOKUP(B618,'MASTER RECORD'!$B$5:$W$1000,3,0),"")</f>
        <v/>
      </c>
      <c r="D618" s="37" t="str">
        <f>IFERROR(VLOOKUP(B618,'MASTER RECORD'!$B$5:$W$1000,2,0),"")</f>
        <v/>
      </c>
      <c r="E618" s="9"/>
      <c r="F618" s="9"/>
      <c r="G618" s="8"/>
      <c r="H618" s="37" t="str">
        <f t="shared" si="28"/>
        <v/>
      </c>
      <c r="I618" s="37" t="str">
        <f t="shared" si="29"/>
        <v/>
      </c>
      <c r="J618" s="7"/>
    </row>
    <row r="619" spans="1:10">
      <c r="A619" s="6">
        <f t="shared" si="27"/>
        <v>614</v>
      </c>
      <c r="B619" s="7"/>
      <c r="C619" s="37" t="str">
        <f>IFERROR(VLOOKUP(B619,'MASTER RECORD'!$B$5:$W$1000,3,0),"")</f>
        <v/>
      </c>
      <c r="D619" s="37" t="str">
        <f>IFERROR(VLOOKUP(B619,'MASTER RECORD'!$B$5:$W$1000,2,0),"")</f>
        <v/>
      </c>
      <c r="E619" s="9"/>
      <c r="F619" s="9"/>
      <c r="G619" s="8"/>
      <c r="H619" s="37" t="str">
        <f t="shared" si="28"/>
        <v/>
      </c>
      <c r="I619" s="37" t="str">
        <f t="shared" si="29"/>
        <v/>
      </c>
      <c r="J619" s="7"/>
    </row>
    <row r="620" spans="1:10">
      <c r="A620" s="6">
        <f t="shared" si="27"/>
        <v>615</v>
      </c>
      <c r="B620" s="7"/>
      <c r="C620" s="37" t="str">
        <f>IFERROR(VLOOKUP(B620,'MASTER RECORD'!$B$5:$W$1000,3,0),"")</f>
        <v/>
      </c>
      <c r="D620" s="37" t="str">
        <f>IFERROR(VLOOKUP(B620,'MASTER RECORD'!$B$5:$W$1000,2,0),"")</f>
        <v/>
      </c>
      <c r="E620" s="9"/>
      <c r="F620" s="9"/>
      <c r="G620" s="8"/>
      <c r="H620" s="37" t="str">
        <f t="shared" si="28"/>
        <v/>
      </c>
      <c r="I620" s="37" t="str">
        <f t="shared" si="29"/>
        <v/>
      </c>
      <c r="J620" s="7"/>
    </row>
    <row r="621" spans="1:10">
      <c r="A621" s="6">
        <f t="shared" si="27"/>
        <v>616</v>
      </c>
      <c r="B621" s="7"/>
      <c r="C621" s="37" t="str">
        <f>IFERROR(VLOOKUP(B621,'MASTER RECORD'!$B$5:$W$1000,3,0),"")</f>
        <v/>
      </c>
      <c r="D621" s="37" t="str">
        <f>IFERROR(VLOOKUP(B621,'MASTER RECORD'!$B$5:$W$1000,2,0),"")</f>
        <v/>
      </c>
      <c r="E621" s="9"/>
      <c r="F621" s="9"/>
      <c r="G621" s="8"/>
      <c r="H621" s="37" t="str">
        <f t="shared" si="28"/>
        <v/>
      </c>
      <c r="I621" s="37" t="str">
        <f t="shared" si="29"/>
        <v/>
      </c>
      <c r="J621" s="7"/>
    </row>
    <row r="622" spans="1:10">
      <c r="A622" s="6">
        <f t="shared" si="27"/>
        <v>617</v>
      </c>
      <c r="B622" s="7"/>
      <c r="C622" s="37" t="str">
        <f>IFERROR(VLOOKUP(B622,'MASTER RECORD'!$B$5:$W$1000,3,0),"")</f>
        <v/>
      </c>
      <c r="D622" s="37" t="str">
        <f>IFERROR(VLOOKUP(B622,'MASTER RECORD'!$B$5:$W$1000,2,0),"")</f>
        <v/>
      </c>
      <c r="E622" s="9"/>
      <c r="F622" s="9"/>
      <c r="G622" s="8"/>
      <c r="H622" s="37" t="str">
        <f t="shared" si="28"/>
        <v/>
      </c>
      <c r="I622" s="37" t="str">
        <f t="shared" si="29"/>
        <v/>
      </c>
      <c r="J622" s="7"/>
    </row>
    <row r="623" spans="1:10">
      <c r="A623" s="6">
        <f t="shared" si="27"/>
        <v>618</v>
      </c>
      <c r="B623" s="7"/>
      <c r="C623" s="37" t="str">
        <f>IFERROR(VLOOKUP(B623,'MASTER RECORD'!$B$5:$W$1000,3,0),"")</f>
        <v/>
      </c>
      <c r="D623" s="37" t="str">
        <f>IFERROR(VLOOKUP(B623,'MASTER RECORD'!$B$5:$W$1000,2,0),"")</f>
        <v/>
      </c>
      <c r="E623" s="9"/>
      <c r="F623" s="9"/>
      <c r="G623" s="8"/>
      <c r="H623" s="37" t="str">
        <f t="shared" si="28"/>
        <v/>
      </c>
      <c r="I623" s="37" t="str">
        <f t="shared" si="29"/>
        <v/>
      </c>
      <c r="J623" s="7"/>
    </row>
    <row r="624" spans="1:10">
      <c r="A624" s="6">
        <f t="shared" si="27"/>
        <v>619</v>
      </c>
      <c r="B624" s="7"/>
      <c r="C624" s="37" t="str">
        <f>IFERROR(VLOOKUP(B624,'MASTER RECORD'!$B$5:$W$1000,3,0),"")</f>
        <v/>
      </c>
      <c r="D624" s="37" t="str">
        <f>IFERROR(VLOOKUP(B624,'MASTER RECORD'!$B$5:$W$1000,2,0),"")</f>
        <v/>
      </c>
      <c r="E624" s="9"/>
      <c r="F624" s="9"/>
      <c r="G624" s="8"/>
      <c r="H624" s="37" t="str">
        <f t="shared" si="28"/>
        <v/>
      </c>
      <c r="I624" s="37" t="str">
        <f t="shared" si="29"/>
        <v/>
      </c>
      <c r="J624" s="7"/>
    </row>
    <row r="625" spans="1:10">
      <c r="A625" s="6">
        <f t="shared" si="27"/>
        <v>620</v>
      </c>
      <c r="B625" s="7"/>
      <c r="C625" s="37" t="str">
        <f>IFERROR(VLOOKUP(B625,'MASTER RECORD'!$B$5:$W$1000,3,0),"")</f>
        <v/>
      </c>
      <c r="D625" s="37" t="str">
        <f>IFERROR(VLOOKUP(B625,'MASTER RECORD'!$B$5:$W$1000,2,0),"")</f>
        <v/>
      </c>
      <c r="E625" s="9"/>
      <c r="F625" s="9"/>
      <c r="G625" s="8"/>
      <c r="H625" s="37" t="str">
        <f t="shared" si="28"/>
        <v/>
      </c>
      <c r="I625" s="37" t="str">
        <f t="shared" si="29"/>
        <v/>
      </c>
      <c r="J625" s="7"/>
    </row>
    <row r="626" spans="1:10">
      <c r="A626" s="6">
        <f t="shared" si="27"/>
        <v>621</v>
      </c>
      <c r="B626" s="7"/>
      <c r="C626" s="37" t="str">
        <f>IFERROR(VLOOKUP(B626,'MASTER RECORD'!$B$5:$W$1000,3,0),"")</f>
        <v/>
      </c>
      <c r="D626" s="37" t="str">
        <f>IFERROR(VLOOKUP(B626,'MASTER RECORD'!$B$5:$W$1000,2,0),"")</f>
        <v/>
      </c>
      <c r="E626" s="9"/>
      <c r="F626" s="9"/>
      <c r="G626" s="8"/>
      <c r="H626" s="37" t="str">
        <f t="shared" si="28"/>
        <v/>
      </c>
      <c r="I626" s="37" t="str">
        <f t="shared" si="29"/>
        <v/>
      </c>
      <c r="J626" s="7"/>
    </row>
    <row r="627" spans="1:10">
      <c r="A627" s="6">
        <f t="shared" si="27"/>
        <v>622</v>
      </c>
      <c r="B627" s="7"/>
      <c r="C627" s="37" t="str">
        <f>IFERROR(VLOOKUP(B627,'MASTER RECORD'!$B$5:$W$1000,3,0),"")</f>
        <v/>
      </c>
      <c r="D627" s="37" t="str">
        <f>IFERROR(VLOOKUP(B627,'MASTER RECORD'!$B$5:$W$1000,2,0),"")</f>
        <v/>
      </c>
      <c r="E627" s="9"/>
      <c r="F627" s="9"/>
      <c r="G627" s="8"/>
      <c r="H627" s="37" t="str">
        <f t="shared" si="28"/>
        <v/>
      </c>
      <c r="I627" s="37" t="str">
        <f t="shared" si="29"/>
        <v/>
      </c>
      <c r="J627" s="7"/>
    </row>
    <row r="628" spans="1:10">
      <c r="A628" s="6">
        <f t="shared" si="27"/>
        <v>623</v>
      </c>
      <c r="B628" s="7"/>
      <c r="C628" s="37" t="str">
        <f>IFERROR(VLOOKUP(B628,'MASTER RECORD'!$B$5:$W$1000,3,0),"")</f>
        <v/>
      </c>
      <c r="D628" s="37" t="str">
        <f>IFERROR(VLOOKUP(B628,'MASTER RECORD'!$B$5:$W$1000,2,0),"")</f>
        <v/>
      </c>
      <c r="E628" s="9"/>
      <c r="F628" s="9"/>
      <c r="G628" s="8"/>
      <c r="H628" s="37" t="str">
        <f t="shared" si="28"/>
        <v/>
      </c>
      <c r="I628" s="37" t="str">
        <f t="shared" si="29"/>
        <v/>
      </c>
      <c r="J628" s="7"/>
    </row>
    <row r="629" spans="1:10">
      <c r="A629" s="6">
        <f t="shared" si="27"/>
        <v>624</v>
      </c>
      <c r="B629" s="7"/>
      <c r="C629" s="37" t="str">
        <f>IFERROR(VLOOKUP(B629,'MASTER RECORD'!$B$5:$W$1000,3,0),"")</f>
        <v/>
      </c>
      <c r="D629" s="37" t="str">
        <f>IFERROR(VLOOKUP(B629,'MASTER RECORD'!$B$5:$W$1000,2,0),"")</f>
        <v/>
      </c>
      <c r="E629" s="9"/>
      <c r="F629" s="9"/>
      <c r="G629" s="8"/>
      <c r="H629" s="37" t="str">
        <f t="shared" si="28"/>
        <v/>
      </c>
      <c r="I629" s="37" t="str">
        <f t="shared" si="29"/>
        <v/>
      </c>
      <c r="J629" s="7"/>
    </row>
    <row r="630" spans="1:10">
      <c r="A630" s="6">
        <f t="shared" si="27"/>
        <v>625</v>
      </c>
      <c r="B630" s="7"/>
      <c r="C630" s="37" t="str">
        <f>IFERROR(VLOOKUP(B630,'MASTER RECORD'!$B$5:$W$1000,3,0),"")</f>
        <v/>
      </c>
      <c r="D630" s="37" t="str">
        <f>IFERROR(VLOOKUP(B630,'MASTER RECORD'!$B$5:$W$1000,2,0),"")</f>
        <v/>
      </c>
      <c r="E630" s="9"/>
      <c r="F630" s="9"/>
      <c r="G630" s="8"/>
      <c r="H630" s="37" t="str">
        <f t="shared" si="28"/>
        <v/>
      </c>
      <c r="I630" s="37" t="str">
        <f t="shared" si="29"/>
        <v/>
      </c>
      <c r="J630" s="7"/>
    </row>
    <row r="631" spans="1:10">
      <c r="A631" s="6">
        <f t="shared" si="27"/>
        <v>626</v>
      </c>
      <c r="B631" s="7"/>
      <c r="C631" s="37" t="str">
        <f>IFERROR(VLOOKUP(B631,'MASTER RECORD'!$B$5:$W$1000,3,0),"")</f>
        <v/>
      </c>
      <c r="D631" s="37" t="str">
        <f>IFERROR(VLOOKUP(B631,'MASTER RECORD'!$B$5:$W$1000,2,0),"")</f>
        <v/>
      </c>
      <c r="E631" s="9"/>
      <c r="F631" s="9"/>
      <c r="G631" s="8"/>
      <c r="H631" s="37" t="str">
        <f t="shared" si="28"/>
        <v/>
      </c>
      <c r="I631" s="37" t="str">
        <f t="shared" si="29"/>
        <v/>
      </c>
      <c r="J631" s="7"/>
    </row>
    <row r="632" spans="1:10">
      <c r="A632" s="6">
        <f t="shared" si="27"/>
        <v>627</v>
      </c>
      <c r="B632" s="7"/>
      <c r="C632" s="37" t="str">
        <f>IFERROR(VLOOKUP(B632,'MASTER RECORD'!$B$5:$W$1000,3,0),"")</f>
        <v/>
      </c>
      <c r="D632" s="37" t="str">
        <f>IFERROR(VLOOKUP(B632,'MASTER RECORD'!$B$5:$W$1000,2,0),"")</f>
        <v/>
      </c>
      <c r="E632" s="9"/>
      <c r="F632" s="9"/>
      <c r="G632" s="8"/>
      <c r="H632" s="37" t="str">
        <f t="shared" si="28"/>
        <v/>
      </c>
      <c r="I632" s="37" t="str">
        <f t="shared" si="29"/>
        <v/>
      </c>
      <c r="J632" s="7"/>
    </row>
    <row r="633" spans="1:10">
      <c r="A633" s="6">
        <f t="shared" si="27"/>
        <v>628</v>
      </c>
      <c r="B633" s="7"/>
      <c r="C633" s="37" t="str">
        <f>IFERROR(VLOOKUP(B633,'MASTER RECORD'!$B$5:$W$1000,3,0),"")</f>
        <v/>
      </c>
      <c r="D633" s="37" t="str">
        <f>IFERROR(VLOOKUP(B633,'MASTER RECORD'!$B$5:$W$1000,2,0),"")</f>
        <v/>
      </c>
      <c r="E633" s="9"/>
      <c r="F633" s="9"/>
      <c r="G633" s="8"/>
      <c r="H633" s="37" t="str">
        <f t="shared" si="28"/>
        <v/>
      </c>
      <c r="I633" s="37" t="str">
        <f t="shared" si="29"/>
        <v/>
      </c>
      <c r="J633" s="7"/>
    </row>
    <row r="634" spans="1:10">
      <c r="A634" s="6">
        <f t="shared" si="27"/>
        <v>629</v>
      </c>
      <c r="B634" s="7"/>
      <c r="C634" s="37" t="str">
        <f>IFERROR(VLOOKUP(B634,'MASTER RECORD'!$B$5:$W$1000,3,0),"")</f>
        <v/>
      </c>
      <c r="D634" s="37" t="str">
        <f>IFERROR(VLOOKUP(B634,'MASTER RECORD'!$B$5:$W$1000,2,0),"")</f>
        <v/>
      </c>
      <c r="E634" s="9"/>
      <c r="F634" s="9"/>
      <c r="G634" s="8"/>
      <c r="H634" s="37" t="str">
        <f t="shared" si="28"/>
        <v/>
      </c>
      <c r="I634" s="37" t="str">
        <f t="shared" si="29"/>
        <v/>
      </c>
      <c r="J634" s="7"/>
    </row>
  </sheetData>
  <mergeCells count="4">
    <mergeCell ref="A1:J2"/>
    <mergeCell ref="A4:J4"/>
    <mergeCell ref="M1:Q1"/>
    <mergeCell ref="M2:O2"/>
  </mergeCells>
  <phoneticPr fontId="11"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8DFD7E5-617F-A649-AC80-ABA26F2519F1}">
          <x14:formula1>
            <xm:f>'MASTER RECORD'!$B$6:$B$504</xm:f>
          </x14:formula1>
          <xm:sqref>B6:B634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577C-BE4F-2742-ADD2-46D2137CC636}">
  <sheetPr codeName="Sheet5">
    <tabColor theme="2" tint="-9.9978637043366805E-2"/>
  </sheetPr>
  <dimension ref="A1:W833"/>
  <sheetViews>
    <sheetView showGridLines="0" zoomScaleNormal="100" workbookViewId="0">
      <pane ySplit="5" topLeftCell="A6" activePane="bottomLeft" state="frozen"/>
      <selection pane="bottomLeft" activeCell="B27" sqref="B27"/>
    </sheetView>
  </sheetViews>
  <sheetFormatPr baseColWidth="10" defaultColWidth="10.83203125" defaultRowHeight="16"/>
  <cols>
    <col min="1" max="1" width="4.1640625" bestFit="1" customWidth="1"/>
    <col min="2" max="4" width="10.83203125" style="27" customWidth="1"/>
    <col min="5" max="8" width="10.83203125" style="53" customWidth="1"/>
    <col min="9" max="9" width="9.1640625" style="27" customWidth="1"/>
    <col min="10" max="10" width="14.1640625" style="54" customWidth="1"/>
    <col min="11" max="11" width="36.1640625" style="27" customWidth="1"/>
    <col min="12" max="13" width="2.5" style="33" customWidth="1"/>
    <col min="14" max="16" width="10.83203125" customWidth="1"/>
    <col min="17" max="17" width="10.83203125" bestFit="1" customWidth="1"/>
    <col min="18" max="20" width="10.83203125" customWidth="1"/>
    <col min="21" max="21" width="15.1640625" customWidth="1"/>
    <col min="22" max="22" width="4.33203125" customWidth="1"/>
  </cols>
  <sheetData>
    <row r="1" spans="1:23" ht="18">
      <c r="A1" s="137" t="s">
        <v>21</v>
      </c>
      <c r="B1" s="138"/>
      <c r="C1" s="138"/>
      <c r="D1" s="138"/>
      <c r="E1" s="138"/>
      <c r="F1" s="138"/>
      <c r="G1" s="138"/>
      <c r="H1" s="138"/>
      <c r="I1" s="138"/>
      <c r="J1" s="138"/>
      <c r="K1" s="138"/>
      <c r="M1" s="23"/>
      <c r="N1" s="143" t="s">
        <v>94</v>
      </c>
      <c r="O1" s="143"/>
      <c r="P1" s="143"/>
      <c r="Q1" s="143"/>
      <c r="R1" s="143"/>
      <c r="S1" s="23"/>
      <c r="T1" s="23"/>
      <c r="U1" s="23"/>
      <c r="V1" s="23"/>
      <c r="W1" s="33"/>
    </row>
    <row r="2" spans="1:23" ht="18">
      <c r="A2" s="139"/>
      <c r="B2" s="140"/>
      <c r="C2" s="140"/>
      <c r="D2" s="140"/>
      <c r="E2" s="140"/>
      <c r="F2" s="140"/>
      <c r="G2" s="140"/>
      <c r="H2" s="140"/>
      <c r="I2" s="140"/>
      <c r="J2" s="140"/>
      <c r="K2" s="140"/>
      <c r="M2" s="23"/>
      <c r="N2" s="147" t="s">
        <v>95</v>
      </c>
      <c r="O2" s="147"/>
      <c r="P2" s="147"/>
      <c r="Q2" s="34"/>
      <c r="R2" s="34"/>
      <c r="S2" s="23"/>
      <c r="T2" s="23"/>
      <c r="U2" s="23"/>
      <c r="V2" s="23"/>
      <c r="W2" s="33"/>
    </row>
    <row r="3" spans="1:23" ht="4" customHeight="1">
      <c r="A3" s="11"/>
      <c r="B3" s="12"/>
      <c r="C3" s="12"/>
      <c r="D3" s="12"/>
      <c r="E3" s="12"/>
      <c r="F3" s="12"/>
      <c r="G3" s="12"/>
      <c r="H3" s="12"/>
      <c r="I3" s="12"/>
      <c r="J3" s="12"/>
      <c r="K3" s="12"/>
      <c r="M3" s="25"/>
      <c r="N3" s="25"/>
      <c r="O3" s="25"/>
      <c r="P3" s="25"/>
      <c r="Q3" s="25"/>
      <c r="R3" s="25"/>
      <c r="S3" s="25"/>
      <c r="T3" s="25"/>
      <c r="U3" s="25"/>
      <c r="V3" s="25"/>
      <c r="W3" s="33"/>
    </row>
    <row r="4" spans="1:23" ht="18" customHeight="1">
      <c r="A4" s="145" t="s">
        <v>107</v>
      </c>
      <c r="B4" s="146"/>
      <c r="C4" s="146"/>
      <c r="D4" s="146"/>
      <c r="E4" s="146"/>
      <c r="F4" s="146"/>
      <c r="G4" s="146"/>
      <c r="H4" s="146"/>
      <c r="I4" s="146"/>
      <c r="J4" s="146"/>
      <c r="K4" s="146"/>
      <c r="M4" s="23"/>
      <c r="N4" s="29" t="s">
        <v>0</v>
      </c>
      <c r="O4" s="30" t="s">
        <v>2</v>
      </c>
      <c r="P4" s="29" t="s">
        <v>1</v>
      </c>
      <c r="Q4" s="29" t="s">
        <v>44</v>
      </c>
      <c r="R4" s="31" t="s">
        <v>91</v>
      </c>
      <c r="S4" s="30" t="s">
        <v>35</v>
      </c>
      <c r="T4" s="30" t="s">
        <v>92</v>
      </c>
      <c r="U4" s="30" t="s">
        <v>93</v>
      </c>
      <c r="V4" s="23"/>
      <c r="W4" s="33"/>
    </row>
    <row r="5" spans="1:23">
      <c r="A5" s="29" t="s">
        <v>13</v>
      </c>
      <c r="B5" s="29" t="s">
        <v>0</v>
      </c>
      <c r="C5" s="30" t="s">
        <v>2</v>
      </c>
      <c r="D5" s="29" t="s">
        <v>1</v>
      </c>
      <c r="E5" s="29" t="s">
        <v>44</v>
      </c>
      <c r="F5" s="31" t="s">
        <v>91</v>
      </c>
      <c r="G5" s="31" t="s">
        <v>153</v>
      </c>
      <c r="H5" s="31" t="s">
        <v>154</v>
      </c>
      <c r="I5" s="30" t="s">
        <v>35</v>
      </c>
      <c r="J5" s="32" t="s">
        <v>92</v>
      </c>
      <c r="K5" s="30" t="s">
        <v>93</v>
      </c>
      <c r="M5" s="23"/>
      <c r="N5" s="17"/>
      <c r="O5" s="35" t="str">
        <f>IFERROR(IF(VLOOKUP($N$5,$B$5:$K$1000,2,0)=0,"",VLOOKUP($N$5,$B$5:$K$1000,2,0)),"")</f>
        <v/>
      </c>
      <c r="P5" s="35" t="str">
        <f>IFERROR(IF(VLOOKUP($N$5,$B$5:$K$1000,3,0)=0,"",VLOOKUP($N$5,$B$5:$K$1000,3,0)),"")</f>
        <v/>
      </c>
      <c r="Q5" s="36" t="str">
        <f>IFERROR(IF(VLOOKUP($N$5,$B$5:$K$1000,4,0)=0,"",VLOOKUP($N$5,$B$5:$K$1000,4,0)),"")</f>
        <v/>
      </c>
      <c r="R5" s="36" t="str">
        <f>IFERROR(IF(VLOOKUP($N$5,$B$5:$K$1000,5,0)=0,"",VLOOKUP($N$5,$B$5:$K$1000,5,0)),"")</f>
        <v/>
      </c>
      <c r="S5" s="35" t="str">
        <f>IFERROR(IF(VLOOKUP($N$5,$B$5:$K$1000,6,0)=0,"",VLOOKUP($N$5,$B$5:$K$1000,6,0)),"")</f>
        <v/>
      </c>
      <c r="T5" s="39" t="str">
        <f>IFERROR(IF(VLOOKUP($N$5,$B$5:$K$1000,7,0)=0,"",VLOOKUP($N$5,$B$5:$K$1000,7,0)),"")</f>
        <v/>
      </c>
      <c r="U5" s="35" t="str">
        <f>IFERROR(IF(VLOOKUP($N$5,$B$5:$K$1000,8,0)=0,"",VLOOKUP($N$5,$B$5:$K$1000,8,0)),"")</f>
        <v/>
      </c>
      <c r="V5" s="23"/>
      <c r="W5" s="33"/>
    </row>
    <row r="6" spans="1:23">
      <c r="A6" s="6">
        <f>ROW(A1)</f>
        <v>1</v>
      </c>
      <c r="B6" s="49" t="s">
        <v>173</v>
      </c>
      <c r="C6" s="35" t="str">
        <f>IFERROR(VLOOKUP(B6,'MASTER RECORD'!$B$5:$W$1000,3,0),"")</f>
        <v>Teddy</v>
      </c>
      <c r="D6" s="35" t="str">
        <f>IFERROR(VLOOKUP(B6,'MASTER RECORD'!$B$5:$W$1000,2,0),"")</f>
        <v>MALE</v>
      </c>
      <c r="E6" s="36">
        <f>IFERROR(VLOOKUP(B6,'MASTER RECORD'!$B$5:$W$1000,9,0),"")</f>
        <v>44980</v>
      </c>
      <c r="F6" s="18">
        <v>45780</v>
      </c>
      <c r="G6" s="18" t="str">
        <f>IF($F6=0,"",TEXT($F6,"mmmm"))</f>
        <v>May</v>
      </c>
      <c r="H6" s="18" t="str">
        <f>IF($F6=0,"",TEXT($F6,"yyyy"))</f>
        <v>2025</v>
      </c>
      <c r="I6" s="35" t="str">
        <f>IFERROR(DATEDIF(E6,F6,"Y")&amp;"."&amp;DATEDIF(E6,F6,"YM"),"")</f>
        <v>2.2</v>
      </c>
      <c r="J6" s="50"/>
      <c r="K6" s="17"/>
    </row>
    <row r="7" spans="1:23">
      <c r="A7" s="6">
        <f t="shared" ref="A7:A70" si="0">ROW(A2)</f>
        <v>2</v>
      </c>
      <c r="B7" s="49" t="s">
        <v>174</v>
      </c>
      <c r="C7" s="35" t="str">
        <f>IFERROR(VLOOKUP(B7,'MASTER RECORD'!$B$5:$W$1000,3,0),"")</f>
        <v>Teddy</v>
      </c>
      <c r="D7" s="35" t="str">
        <f>IFERROR(VLOOKUP(B7,'MASTER RECORD'!$B$5:$W$1000,2,0),"")</f>
        <v>MALE</v>
      </c>
      <c r="E7" s="36">
        <f>IFERROR(VLOOKUP(B7,'MASTER RECORD'!$B$5:$W$1000,9,0),"")</f>
        <v>44979</v>
      </c>
      <c r="F7" s="18">
        <v>45781</v>
      </c>
      <c r="G7" s="18" t="str">
        <f t="shared" ref="G7:G70" si="1">IF($F7=0,"",TEXT($F7,"mmmm"))</f>
        <v>May</v>
      </c>
      <c r="H7" s="18" t="str">
        <f t="shared" ref="H7:H70" si="2">IF($F7=0,"",TEXT($F7,"yyyy"))</f>
        <v>2025</v>
      </c>
      <c r="I7" s="35" t="str">
        <f t="shared" ref="I7:I70" si="3">IFERROR(DATEDIF(E7,F7,"Y")&amp;"."&amp;DATEDIF(E7,F7,"YM"),"")</f>
        <v>2.2</v>
      </c>
      <c r="J7" s="50"/>
      <c r="K7" s="17"/>
    </row>
    <row r="8" spans="1:23">
      <c r="A8" s="6">
        <f t="shared" si="0"/>
        <v>3</v>
      </c>
      <c r="B8" s="49" t="s">
        <v>175</v>
      </c>
      <c r="C8" s="35" t="str">
        <f>IFERROR(VLOOKUP(B8,'MASTER RECORD'!$B$5:$W$1000,3,0),"")</f>
        <v/>
      </c>
      <c r="D8" s="35" t="str">
        <f>IFERROR(VLOOKUP(B8,'MASTER RECORD'!$B$5:$W$1000,2,0),"")</f>
        <v/>
      </c>
      <c r="E8" s="36" t="str">
        <f>IFERROR(VLOOKUP(B8,'MASTER RECORD'!$B$5:$W$1000,9,0),"")</f>
        <v/>
      </c>
      <c r="F8" s="18">
        <v>45782</v>
      </c>
      <c r="G8" s="18" t="str">
        <f t="shared" si="1"/>
        <v>May</v>
      </c>
      <c r="H8" s="18" t="str">
        <f t="shared" si="2"/>
        <v>2025</v>
      </c>
      <c r="I8" s="35" t="str">
        <f t="shared" si="3"/>
        <v/>
      </c>
      <c r="J8" s="50"/>
      <c r="K8" s="17"/>
    </row>
    <row r="9" spans="1:23">
      <c r="A9" s="6">
        <f t="shared" si="0"/>
        <v>4</v>
      </c>
      <c r="B9" s="49" t="s">
        <v>176</v>
      </c>
      <c r="C9" s="35" t="str">
        <f>IFERROR(VLOOKUP(B9,'MASTER RECORD'!$B$5:$W$1000,3,0),"")</f>
        <v>Teddy</v>
      </c>
      <c r="D9" s="35" t="str">
        <f>IFERROR(VLOOKUP(B9,'MASTER RECORD'!$B$5:$W$1000,2,0),"")</f>
        <v>MALE</v>
      </c>
      <c r="E9" s="36">
        <f>IFERROR(VLOOKUP(B9,'MASTER RECORD'!$B$5:$W$1000,9,0),"")</f>
        <v>44976</v>
      </c>
      <c r="F9" s="18">
        <v>45783</v>
      </c>
      <c r="G9" s="18" t="str">
        <f t="shared" si="1"/>
        <v>May</v>
      </c>
      <c r="H9" s="18" t="str">
        <f t="shared" si="2"/>
        <v>2025</v>
      </c>
      <c r="I9" s="35" t="str">
        <f t="shared" si="3"/>
        <v>2.2</v>
      </c>
      <c r="J9" s="50"/>
      <c r="K9" s="17"/>
    </row>
    <row r="10" spans="1:23">
      <c r="A10" s="6">
        <f t="shared" si="0"/>
        <v>5</v>
      </c>
      <c r="B10" s="49"/>
      <c r="C10" s="35" t="str">
        <f>IFERROR(VLOOKUP(B10,'MASTER RECORD'!$B$5:$W$1000,3,0),"")</f>
        <v/>
      </c>
      <c r="D10" s="35" t="str">
        <f>IFERROR(VLOOKUP(B10,'MASTER RECORD'!$B$5:$W$1000,2,0),"")</f>
        <v/>
      </c>
      <c r="E10" s="36" t="str">
        <f>IFERROR(VLOOKUP(B10,'MASTER RECORD'!$B$5:$W$1000,9,0),"")</f>
        <v/>
      </c>
      <c r="F10" s="18"/>
      <c r="G10" s="18" t="str">
        <f t="shared" si="1"/>
        <v/>
      </c>
      <c r="H10" s="18" t="str">
        <f t="shared" si="2"/>
        <v/>
      </c>
      <c r="I10" s="35" t="str">
        <f t="shared" si="3"/>
        <v/>
      </c>
      <c r="J10" s="50"/>
      <c r="K10" s="17"/>
    </row>
    <row r="11" spans="1:23">
      <c r="A11" s="6">
        <f t="shared" si="0"/>
        <v>6</v>
      </c>
      <c r="B11" s="49"/>
      <c r="C11" s="35" t="str">
        <f>IFERROR(VLOOKUP(B11,'MASTER RECORD'!$B$5:$W$1000,3,0),"")</f>
        <v/>
      </c>
      <c r="D11" s="35" t="str">
        <f>IFERROR(VLOOKUP(B11,'MASTER RECORD'!$B$5:$W$1000,2,0),"")</f>
        <v/>
      </c>
      <c r="E11" s="36" t="str">
        <f>IFERROR(VLOOKUP(B11,'MASTER RECORD'!$B$5:$W$1000,9,0),"")</f>
        <v/>
      </c>
      <c r="F11" s="18"/>
      <c r="G11" s="18" t="str">
        <f t="shared" si="1"/>
        <v/>
      </c>
      <c r="H11" s="18" t="str">
        <f t="shared" si="2"/>
        <v/>
      </c>
      <c r="I11" s="35" t="str">
        <f t="shared" si="3"/>
        <v/>
      </c>
      <c r="J11" s="50"/>
      <c r="K11" s="17"/>
    </row>
    <row r="12" spans="1:23">
      <c r="A12" s="6">
        <f t="shared" si="0"/>
        <v>7</v>
      </c>
      <c r="B12" s="49"/>
      <c r="C12" s="35" t="str">
        <f>IFERROR(VLOOKUP(B12,'MASTER RECORD'!$B$5:$W$1000,3,0),"")</f>
        <v/>
      </c>
      <c r="D12" s="35" t="str">
        <f>IFERROR(VLOOKUP(B12,'MASTER RECORD'!$B$5:$W$1000,2,0),"")</f>
        <v/>
      </c>
      <c r="E12" s="36" t="str">
        <f>IFERROR(VLOOKUP(B12,'MASTER RECORD'!$B$5:$W$1000,9,0),"")</f>
        <v/>
      </c>
      <c r="F12" s="18"/>
      <c r="G12" s="18" t="str">
        <f t="shared" si="1"/>
        <v/>
      </c>
      <c r="H12" s="18" t="str">
        <f t="shared" si="2"/>
        <v/>
      </c>
      <c r="I12" s="35" t="str">
        <f t="shared" si="3"/>
        <v/>
      </c>
      <c r="J12" s="50"/>
      <c r="K12" s="17"/>
    </row>
    <row r="13" spans="1:23">
      <c r="A13" s="6">
        <f t="shared" si="0"/>
        <v>8</v>
      </c>
      <c r="B13" s="49"/>
      <c r="C13" s="35" t="str">
        <f>IFERROR(VLOOKUP(B13,'MASTER RECORD'!$B$5:$W$1000,3,0),"")</f>
        <v/>
      </c>
      <c r="D13" s="35" t="str">
        <f>IFERROR(VLOOKUP(B13,'MASTER RECORD'!$B$5:$W$1000,2,0),"")</f>
        <v/>
      </c>
      <c r="E13" s="36" t="str">
        <f>IFERROR(VLOOKUP(B13,'MASTER RECORD'!$B$5:$W$1000,9,0),"")</f>
        <v/>
      </c>
      <c r="F13" s="18"/>
      <c r="G13" s="18" t="str">
        <f t="shared" si="1"/>
        <v/>
      </c>
      <c r="H13" s="18" t="str">
        <f t="shared" si="2"/>
        <v/>
      </c>
      <c r="I13" s="35" t="str">
        <f t="shared" si="3"/>
        <v/>
      </c>
      <c r="J13" s="50"/>
      <c r="K13" s="17"/>
    </row>
    <row r="14" spans="1:23">
      <c r="A14" s="6">
        <f t="shared" si="0"/>
        <v>9</v>
      </c>
      <c r="B14" s="49"/>
      <c r="C14" s="35" t="str">
        <f>IFERROR(VLOOKUP(B14,'MASTER RECORD'!$B$5:$W$1000,3,0),"")</f>
        <v/>
      </c>
      <c r="D14" s="35" t="str">
        <f>IFERROR(VLOOKUP(B14,'MASTER RECORD'!$B$5:$W$1000,2,0),"")</f>
        <v/>
      </c>
      <c r="E14" s="36" t="str">
        <f>IFERROR(VLOOKUP(B14,'MASTER RECORD'!$B$5:$W$1000,9,0),"")</f>
        <v/>
      </c>
      <c r="F14" s="18"/>
      <c r="G14" s="18" t="str">
        <f t="shared" si="1"/>
        <v/>
      </c>
      <c r="H14" s="18" t="str">
        <f t="shared" si="2"/>
        <v/>
      </c>
      <c r="I14" s="35" t="str">
        <f t="shared" si="3"/>
        <v/>
      </c>
      <c r="J14" s="50"/>
      <c r="K14" s="17"/>
    </row>
    <row r="15" spans="1:23">
      <c r="A15" s="6">
        <f t="shared" si="0"/>
        <v>10</v>
      </c>
      <c r="B15" s="49"/>
      <c r="C15" s="35" t="str">
        <f>IFERROR(VLOOKUP(B15,'MASTER RECORD'!$B$5:$W$1000,3,0),"")</f>
        <v/>
      </c>
      <c r="D15" s="35" t="str">
        <f>IFERROR(VLOOKUP(B15,'MASTER RECORD'!$B$5:$W$1000,2,0),"")</f>
        <v/>
      </c>
      <c r="E15" s="36" t="str">
        <f>IFERROR(VLOOKUP(B15,'MASTER RECORD'!$B$5:$W$1000,9,0),"")</f>
        <v/>
      </c>
      <c r="F15" s="18"/>
      <c r="G15" s="18" t="str">
        <f t="shared" si="1"/>
        <v/>
      </c>
      <c r="H15" s="18" t="str">
        <f t="shared" si="2"/>
        <v/>
      </c>
      <c r="I15" s="35" t="str">
        <f t="shared" si="3"/>
        <v/>
      </c>
      <c r="J15" s="50"/>
      <c r="K15" s="17"/>
    </row>
    <row r="16" spans="1:23">
      <c r="A16" s="6">
        <f t="shared" si="0"/>
        <v>11</v>
      </c>
      <c r="B16" s="49"/>
      <c r="C16" s="35" t="str">
        <f>IFERROR(VLOOKUP(B16,'MASTER RECORD'!$B$5:$W$1000,3,0),"")</f>
        <v/>
      </c>
      <c r="D16" s="35" t="str">
        <f>IFERROR(VLOOKUP(B16,'MASTER RECORD'!$B$5:$W$1000,2,0),"")</f>
        <v/>
      </c>
      <c r="E16" s="36" t="str">
        <f>IFERROR(VLOOKUP(B16,'MASTER RECORD'!$B$5:$W$1000,9,0),"")</f>
        <v/>
      </c>
      <c r="F16" s="18"/>
      <c r="G16" s="18" t="str">
        <f t="shared" si="1"/>
        <v/>
      </c>
      <c r="H16" s="18" t="str">
        <f t="shared" si="2"/>
        <v/>
      </c>
      <c r="I16" s="35" t="str">
        <f t="shared" si="3"/>
        <v/>
      </c>
      <c r="J16" s="50"/>
      <c r="K16" s="17"/>
    </row>
    <row r="17" spans="1:11">
      <c r="A17" s="6">
        <f t="shared" si="0"/>
        <v>12</v>
      </c>
      <c r="B17" s="49"/>
      <c r="C17" s="35" t="str">
        <f>IFERROR(VLOOKUP(B17,'MASTER RECORD'!$B$5:$W$1000,3,0),"")</f>
        <v/>
      </c>
      <c r="D17" s="35" t="str">
        <f>IFERROR(VLOOKUP(B17,'MASTER RECORD'!$B$5:$W$1000,2,0),"")</f>
        <v/>
      </c>
      <c r="E17" s="36" t="str">
        <f>IFERROR(VLOOKUP(B17,'MASTER RECORD'!$B$5:$W$1000,9,0),"")</f>
        <v/>
      </c>
      <c r="F17" s="18"/>
      <c r="G17" s="18" t="str">
        <f t="shared" si="1"/>
        <v/>
      </c>
      <c r="H17" s="18" t="str">
        <f t="shared" si="2"/>
        <v/>
      </c>
      <c r="I17" s="35" t="str">
        <f t="shared" si="3"/>
        <v/>
      </c>
      <c r="J17" s="50"/>
      <c r="K17" s="17"/>
    </row>
    <row r="18" spans="1:11">
      <c r="A18" s="6">
        <f t="shared" si="0"/>
        <v>13</v>
      </c>
      <c r="B18" s="49"/>
      <c r="C18" s="35" t="str">
        <f>IFERROR(VLOOKUP(B18,'MASTER RECORD'!$B$5:$W$1000,3,0),"")</f>
        <v/>
      </c>
      <c r="D18" s="35" t="str">
        <f>IFERROR(VLOOKUP(B18,'MASTER RECORD'!$B$5:$W$1000,2,0),"")</f>
        <v/>
      </c>
      <c r="E18" s="36" t="str">
        <f>IFERROR(VLOOKUP(B18,'MASTER RECORD'!$B$5:$W$1000,9,0),"")</f>
        <v/>
      </c>
      <c r="F18" s="18"/>
      <c r="G18" s="18" t="str">
        <f t="shared" si="1"/>
        <v/>
      </c>
      <c r="H18" s="18" t="str">
        <f t="shared" si="2"/>
        <v/>
      </c>
      <c r="I18" s="35" t="str">
        <f t="shared" si="3"/>
        <v/>
      </c>
      <c r="J18" s="50"/>
      <c r="K18" s="17"/>
    </row>
    <row r="19" spans="1:11">
      <c r="A19" s="6">
        <f t="shared" si="0"/>
        <v>14</v>
      </c>
      <c r="B19" s="49"/>
      <c r="C19" s="35" t="str">
        <f>IFERROR(VLOOKUP(B19,'MASTER RECORD'!$B$5:$W$1000,3,0),"")</f>
        <v/>
      </c>
      <c r="D19" s="35" t="str">
        <f>IFERROR(VLOOKUP(B19,'MASTER RECORD'!$B$5:$W$1000,2,0),"")</f>
        <v/>
      </c>
      <c r="E19" s="36" t="str">
        <f>IFERROR(VLOOKUP(B19,'MASTER RECORD'!$B$5:$W$1000,9,0),"")</f>
        <v/>
      </c>
      <c r="F19" s="18"/>
      <c r="G19" s="18" t="str">
        <f t="shared" si="1"/>
        <v/>
      </c>
      <c r="H19" s="18" t="str">
        <f t="shared" si="2"/>
        <v/>
      </c>
      <c r="I19" s="35" t="str">
        <f t="shared" si="3"/>
        <v/>
      </c>
      <c r="J19" s="50"/>
      <c r="K19" s="17"/>
    </row>
    <row r="20" spans="1:11">
      <c r="A20" s="6">
        <f t="shared" si="0"/>
        <v>15</v>
      </c>
      <c r="B20" s="49"/>
      <c r="C20" s="35" t="str">
        <f>IFERROR(VLOOKUP(B20,'MASTER RECORD'!$B$5:$W$1000,3,0),"")</f>
        <v/>
      </c>
      <c r="D20" s="35" t="str">
        <f>IFERROR(VLOOKUP(B20,'MASTER RECORD'!$B$5:$W$1000,2,0),"")</f>
        <v/>
      </c>
      <c r="E20" s="36" t="str">
        <f>IFERROR(VLOOKUP(B20,'MASTER RECORD'!$B$5:$W$1000,9,0),"")</f>
        <v/>
      </c>
      <c r="F20" s="18"/>
      <c r="G20" s="18" t="str">
        <f t="shared" si="1"/>
        <v/>
      </c>
      <c r="H20" s="18" t="str">
        <f t="shared" si="2"/>
        <v/>
      </c>
      <c r="I20" s="35" t="str">
        <f t="shared" si="3"/>
        <v/>
      </c>
      <c r="J20" s="50"/>
      <c r="K20" s="17"/>
    </row>
    <row r="21" spans="1:11">
      <c r="A21" s="6">
        <f t="shared" si="0"/>
        <v>16</v>
      </c>
      <c r="B21" s="49"/>
      <c r="C21" s="35" t="str">
        <f>IFERROR(VLOOKUP(B21,'MASTER RECORD'!$B$5:$W$1000,3,0),"")</f>
        <v/>
      </c>
      <c r="D21" s="35" t="str">
        <f>IFERROR(VLOOKUP(B21,'MASTER RECORD'!$B$5:$W$1000,2,0),"")</f>
        <v/>
      </c>
      <c r="E21" s="36" t="str">
        <f>IFERROR(VLOOKUP(B21,'MASTER RECORD'!$B$5:$W$1000,9,0),"")</f>
        <v/>
      </c>
      <c r="F21" s="18"/>
      <c r="G21" s="18" t="str">
        <f t="shared" si="1"/>
        <v/>
      </c>
      <c r="H21" s="18" t="str">
        <f t="shared" si="2"/>
        <v/>
      </c>
      <c r="I21" s="35" t="str">
        <f t="shared" si="3"/>
        <v/>
      </c>
      <c r="J21" s="50"/>
      <c r="K21" s="17"/>
    </row>
    <row r="22" spans="1:11">
      <c r="A22" s="6">
        <f t="shared" si="0"/>
        <v>17</v>
      </c>
      <c r="B22" s="49"/>
      <c r="C22" s="35" t="str">
        <f>IFERROR(VLOOKUP(B22,'MASTER RECORD'!$B$5:$W$1000,3,0),"")</f>
        <v/>
      </c>
      <c r="D22" s="35" t="str">
        <f>IFERROR(VLOOKUP(B22,'MASTER RECORD'!$B$5:$W$1000,2,0),"")</f>
        <v/>
      </c>
      <c r="E22" s="36" t="str">
        <f>IFERROR(VLOOKUP(B22,'MASTER RECORD'!$B$5:$W$1000,9,0),"")</f>
        <v/>
      </c>
      <c r="F22" s="18"/>
      <c r="G22" s="18" t="str">
        <f t="shared" si="1"/>
        <v/>
      </c>
      <c r="H22" s="18" t="str">
        <f t="shared" si="2"/>
        <v/>
      </c>
      <c r="I22" s="35" t="str">
        <f t="shared" si="3"/>
        <v/>
      </c>
      <c r="J22" s="50"/>
      <c r="K22" s="17"/>
    </row>
    <row r="23" spans="1:11">
      <c r="A23" s="6">
        <f t="shared" si="0"/>
        <v>18</v>
      </c>
      <c r="B23" s="49"/>
      <c r="C23" s="35" t="str">
        <f>IFERROR(VLOOKUP(B23,'MASTER RECORD'!$B$5:$W$1000,3,0),"")</f>
        <v/>
      </c>
      <c r="D23" s="35" t="str">
        <f>IFERROR(VLOOKUP(B23,'MASTER RECORD'!$B$5:$W$1000,2,0),"")</f>
        <v/>
      </c>
      <c r="E23" s="36" t="str">
        <f>IFERROR(VLOOKUP(B23,'MASTER RECORD'!$B$5:$W$1000,9,0),"")</f>
        <v/>
      </c>
      <c r="F23" s="18"/>
      <c r="G23" s="18" t="str">
        <f t="shared" si="1"/>
        <v/>
      </c>
      <c r="H23" s="18" t="str">
        <f t="shared" si="2"/>
        <v/>
      </c>
      <c r="I23" s="35" t="str">
        <f t="shared" si="3"/>
        <v/>
      </c>
      <c r="J23" s="50"/>
      <c r="K23" s="17"/>
    </row>
    <row r="24" spans="1:11">
      <c r="A24" s="6">
        <f t="shared" si="0"/>
        <v>19</v>
      </c>
      <c r="B24" s="49"/>
      <c r="C24" s="35" t="str">
        <f>IFERROR(VLOOKUP(B24,'MASTER RECORD'!$B$5:$W$1000,3,0),"")</f>
        <v/>
      </c>
      <c r="D24" s="35" t="str">
        <f>IFERROR(VLOOKUP(B24,'MASTER RECORD'!$B$5:$W$1000,2,0),"")</f>
        <v/>
      </c>
      <c r="E24" s="36" t="str">
        <f>IFERROR(VLOOKUP(B24,'MASTER RECORD'!$B$5:$W$1000,9,0),"")</f>
        <v/>
      </c>
      <c r="F24" s="18"/>
      <c r="G24" s="18" t="str">
        <f t="shared" si="1"/>
        <v/>
      </c>
      <c r="H24" s="18" t="str">
        <f t="shared" si="2"/>
        <v/>
      </c>
      <c r="I24" s="35" t="str">
        <f t="shared" si="3"/>
        <v/>
      </c>
      <c r="J24" s="50"/>
      <c r="K24" s="17"/>
    </row>
    <row r="25" spans="1:11">
      <c r="A25" s="6">
        <f t="shared" si="0"/>
        <v>20</v>
      </c>
      <c r="B25" s="49"/>
      <c r="C25" s="35" t="str">
        <f>IFERROR(VLOOKUP(B25,'MASTER RECORD'!$B$5:$W$1000,3,0),"")</f>
        <v/>
      </c>
      <c r="D25" s="35" t="str">
        <f>IFERROR(VLOOKUP(B25,'MASTER RECORD'!$B$5:$W$1000,2,0),"")</f>
        <v/>
      </c>
      <c r="E25" s="36" t="str">
        <f>IFERROR(VLOOKUP(B25,'MASTER RECORD'!$B$5:$W$1000,9,0),"")</f>
        <v/>
      </c>
      <c r="F25" s="51"/>
      <c r="G25" s="18" t="str">
        <f t="shared" si="1"/>
        <v/>
      </c>
      <c r="H25" s="18" t="str">
        <f t="shared" si="2"/>
        <v/>
      </c>
      <c r="I25" s="35" t="str">
        <f t="shared" si="3"/>
        <v/>
      </c>
      <c r="J25" s="50"/>
      <c r="K25" s="17"/>
    </row>
    <row r="26" spans="1:11">
      <c r="A26" s="6">
        <f t="shared" si="0"/>
        <v>21</v>
      </c>
      <c r="B26" s="49"/>
      <c r="C26" s="35" t="str">
        <f>IFERROR(VLOOKUP(B26,'MASTER RECORD'!$B$5:$W$1000,3,0),"")</f>
        <v/>
      </c>
      <c r="D26" s="35" t="str">
        <f>IFERROR(VLOOKUP(B26,'MASTER RECORD'!$B$5:$W$1000,2,0),"")</f>
        <v/>
      </c>
      <c r="E26" s="36" t="str">
        <f>IFERROR(VLOOKUP(B26,'MASTER RECORD'!$B$5:$W$1000,9,0),"")</f>
        <v/>
      </c>
      <c r="F26" s="18"/>
      <c r="G26" s="18" t="str">
        <f t="shared" si="1"/>
        <v/>
      </c>
      <c r="H26" s="18" t="str">
        <f t="shared" si="2"/>
        <v/>
      </c>
      <c r="I26" s="35" t="str">
        <f t="shared" si="3"/>
        <v/>
      </c>
      <c r="J26" s="50"/>
      <c r="K26" s="17"/>
    </row>
    <row r="27" spans="1:11">
      <c r="A27" s="6">
        <f t="shared" si="0"/>
        <v>22</v>
      </c>
      <c r="B27" s="49"/>
      <c r="C27" s="35" t="str">
        <f>IFERROR(VLOOKUP(B27,'MASTER RECORD'!$B$5:$W$1000,3,0),"")</f>
        <v/>
      </c>
      <c r="D27" s="35" t="str">
        <f>IFERROR(VLOOKUP(B27,'MASTER RECORD'!$B$5:$W$1000,2,0),"")</f>
        <v/>
      </c>
      <c r="E27" s="36" t="str">
        <f>IFERROR(VLOOKUP(B27,'MASTER RECORD'!$B$5:$W$1000,9,0),"")</f>
        <v/>
      </c>
      <c r="F27" s="18"/>
      <c r="G27" s="18" t="str">
        <f t="shared" si="1"/>
        <v/>
      </c>
      <c r="H27" s="18" t="str">
        <f t="shared" si="2"/>
        <v/>
      </c>
      <c r="I27" s="35" t="str">
        <f t="shared" si="3"/>
        <v/>
      </c>
      <c r="J27" s="50"/>
      <c r="K27" s="17"/>
    </row>
    <row r="28" spans="1:11">
      <c r="A28" s="6">
        <f t="shared" si="0"/>
        <v>23</v>
      </c>
      <c r="B28" s="49"/>
      <c r="C28" s="35" t="str">
        <f>IFERROR(VLOOKUP(B28,'MASTER RECORD'!$B$5:$W$1000,3,0),"")</f>
        <v/>
      </c>
      <c r="D28" s="35" t="str">
        <f>IFERROR(VLOOKUP(B28,'MASTER RECORD'!$B$5:$W$1000,2,0),"")</f>
        <v/>
      </c>
      <c r="E28" s="36" t="str">
        <f>IFERROR(VLOOKUP(B28,'MASTER RECORD'!$B$5:$W$1000,9,0),"")</f>
        <v/>
      </c>
      <c r="F28" s="18"/>
      <c r="G28" s="18" t="str">
        <f t="shared" si="1"/>
        <v/>
      </c>
      <c r="H28" s="18" t="str">
        <f t="shared" si="2"/>
        <v/>
      </c>
      <c r="I28" s="35" t="str">
        <f t="shared" si="3"/>
        <v/>
      </c>
      <c r="J28" s="50"/>
      <c r="K28" s="17"/>
    </row>
    <row r="29" spans="1:11">
      <c r="A29" s="6">
        <f t="shared" si="0"/>
        <v>24</v>
      </c>
      <c r="B29" s="49"/>
      <c r="C29" s="35" t="str">
        <f>IFERROR(VLOOKUP(B29,'MASTER RECORD'!$B$5:$W$1000,3,0),"")</f>
        <v/>
      </c>
      <c r="D29" s="35" t="str">
        <f>IFERROR(VLOOKUP(B29,'MASTER RECORD'!$B$5:$W$1000,2,0),"")</f>
        <v/>
      </c>
      <c r="E29" s="36" t="str">
        <f>IFERROR(VLOOKUP(B29,'MASTER RECORD'!$B$5:$W$1000,9,0),"")</f>
        <v/>
      </c>
      <c r="F29" s="18"/>
      <c r="G29" s="18" t="str">
        <f t="shared" si="1"/>
        <v/>
      </c>
      <c r="H29" s="18" t="str">
        <f t="shared" si="2"/>
        <v/>
      </c>
      <c r="I29" s="35" t="str">
        <f t="shared" si="3"/>
        <v/>
      </c>
      <c r="J29" s="50"/>
      <c r="K29" s="17"/>
    </row>
    <row r="30" spans="1:11">
      <c r="A30" s="6">
        <f t="shared" si="0"/>
        <v>25</v>
      </c>
      <c r="B30" s="49"/>
      <c r="C30" s="35" t="str">
        <f>IFERROR(VLOOKUP(B30,'MASTER RECORD'!$B$5:$W$1000,3,0),"")</f>
        <v/>
      </c>
      <c r="D30" s="35" t="str">
        <f>IFERROR(VLOOKUP(B30,'MASTER RECORD'!$B$5:$W$1000,2,0),"")</f>
        <v/>
      </c>
      <c r="E30" s="36" t="str">
        <f>IFERROR(VLOOKUP(B30,'MASTER RECORD'!$B$5:$W$1000,9,0),"")</f>
        <v/>
      </c>
      <c r="F30" s="18"/>
      <c r="G30" s="18" t="str">
        <f t="shared" si="1"/>
        <v/>
      </c>
      <c r="H30" s="18" t="str">
        <f t="shared" si="2"/>
        <v/>
      </c>
      <c r="I30" s="35" t="str">
        <f t="shared" si="3"/>
        <v/>
      </c>
      <c r="J30" s="50"/>
      <c r="K30" s="17"/>
    </row>
    <row r="31" spans="1:11">
      <c r="A31" s="6">
        <f t="shared" si="0"/>
        <v>26</v>
      </c>
      <c r="B31" s="49"/>
      <c r="C31" s="35" t="str">
        <f>IFERROR(VLOOKUP(B31,'MASTER RECORD'!$B$5:$W$1000,3,0),"")</f>
        <v/>
      </c>
      <c r="D31" s="35" t="str">
        <f>IFERROR(VLOOKUP(B31,'MASTER RECORD'!$B$5:$W$1000,2,0),"")</f>
        <v/>
      </c>
      <c r="E31" s="36" t="str">
        <f>IFERROR(VLOOKUP(B31,'MASTER RECORD'!$B$5:$W$1000,9,0),"")</f>
        <v/>
      </c>
      <c r="F31" s="18"/>
      <c r="G31" s="18" t="str">
        <f t="shared" si="1"/>
        <v/>
      </c>
      <c r="H31" s="18" t="str">
        <f t="shared" si="2"/>
        <v/>
      </c>
      <c r="I31" s="35" t="str">
        <f t="shared" si="3"/>
        <v/>
      </c>
      <c r="J31" s="50"/>
      <c r="K31" s="17"/>
    </row>
    <row r="32" spans="1:11">
      <c r="A32" s="6">
        <f t="shared" si="0"/>
        <v>27</v>
      </c>
      <c r="B32" s="49"/>
      <c r="C32" s="35" t="str">
        <f>IFERROR(VLOOKUP(B32,'MASTER RECORD'!$B$5:$W$1000,3,0),"")</f>
        <v/>
      </c>
      <c r="D32" s="35" t="str">
        <f>IFERROR(VLOOKUP(B32,'MASTER RECORD'!$B$5:$W$1000,2,0),"")</f>
        <v/>
      </c>
      <c r="E32" s="36" t="str">
        <f>IFERROR(VLOOKUP(B32,'MASTER RECORD'!$B$5:$W$1000,9,0),"")</f>
        <v/>
      </c>
      <c r="F32" s="18"/>
      <c r="G32" s="18" t="str">
        <f t="shared" si="1"/>
        <v/>
      </c>
      <c r="H32" s="18" t="str">
        <f t="shared" si="2"/>
        <v/>
      </c>
      <c r="I32" s="35" t="str">
        <f t="shared" si="3"/>
        <v/>
      </c>
      <c r="J32" s="50"/>
      <c r="K32" s="17"/>
    </row>
    <row r="33" spans="1:11">
      <c r="A33" s="6">
        <f t="shared" si="0"/>
        <v>28</v>
      </c>
      <c r="B33" s="49"/>
      <c r="C33" s="35" t="str">
        <f>IFERROR(VLOOKUP(B33,'MASTER RECORD'!$B$5:$W$1000,3,0),"")</f>
        <v/>
      </c>
      <c r="D33" s="35" t="str">
        <f>IFERROR(VLOOKUP(B33,'MASTER RECORD'!$B$5:$W$1000,2,0),"")</f>
        <v/>
      </c>
      <c r="E33" s="36" t="str">
        <f>IFERROR(VLOOKUP(B33,'MASTER RECORD'!$B$5:$W$1000,9,0),"")</f>
        <v/>
      </c>
      <c r="F33" s="18"/>
      <c r="G33" s="18" t="str">
        <f t="shared" si="1"/>
        <v/>
      </c>
      <c r="H33" s="18" t="str">
        <f t="shared" si="2"/>
        <v/>
      </c>
      <c r="I33" s="35" t="str">
        <f t="shared" si="3"/>
        <v/>
      </c>
      <c r="J33" s="50"/>
      <c r="K33" s="17"/>
    </row>
    <row r="34" spans="1:11">
      <c r="A34" s="6">
        <f t="shared" si="0"/>
        <v>29</v>
      </c>
      <c r="B34" s="49"/>
      <c r="C34" s="35" t="str">
        <f>IFERROR(VLOOKUP(B34,'MASTER RECORD'!$B$5:$W$1000,3,0),"")</f>
        <v/>
      </c>
      <c r="D34" s="35" t="str">
        <f>IFERROR(VLOOKUP(B34,'MASTER RECORD'!$B$5:$W$1000,2,0),"")</f>
        <v/>
      </c>
      <c r="E34" s="36" t="str">
        <f>IFERROR(VLOOKUP(B34,'MASTER RECORD'!$B$5:$W$1000,9,0),"")</f>
        <v/>
      </c>
      <c r="F34" s="18"/>
      <c r="G34" s="18" t="str">
        <f t="shared" si="1"/>
        <v/>
      </c>
      <c r="H34" s="18" t="str">
        <f t="shared" si="2"/>
        <v/>
      </c>
      <c r="I34" s="35" t="str">
        <f t="shared" si="3"/>
        <v/>
      </c>
      <c r="J34" s="50"/>
      <c r="K34" s="17"/>
    </row>
    <row r="35" spans="1:11">
      <c r="A35" s="6">
        <f t="shared" si="0"/>
        <v>30</v>
      </c>
      <c r="B35" s="49"/>
      <c r="C35" s="35" t="str">
        <f>IFERROR(VLOOKUP(B35,'MASTER RECORD'!$B$5:$W$1000,3,0),"")</f>
        <v/>
      </c>
      <c r="D35" s="35" t="str">
        <f>IFERROR(VLOOKUP(B35,'MASTER RECORD'!$B$5:$W$1000,2,0),"")</f>
        <v/>
      </c>
      <c r="E35" s="36" t="str">
        <f>IFERROR(VLOOKUP(B35,'MASTER RECORD'!$B$5:$W$1000,9,0),"")</f>
        <v/>
      </c>
      <c r="F35" s="18"/>
      <c r="G35" s="18" t="str">
        <f t="shared" si="1"/>
        <v/>
      </c>
      <c r="H35" s="18" t="str">
        <f t="shared" si="2"/>
        <v/>
      </c>
      <c r="I35" s="35" t="str">
        <f t="shared" si="3"/>
        <v/>
      </c>
      <c r="J35" s="50"/>
      <c r="K35" s="17"/>
    </row>
    <row r="36" spans="1:11">
      <c r="A36" s="6">
        <f t="shared" si="0"/>
        <v>31</v>
      </c>
      <c r="B36" s="49"/>
      <c r="C36" s="35" t="str">
        <f>IFERROR(VLOOKUP(B36,'MASTER RECORD'!$B$5:$W$1000,3,0),"")</f>
        <v/>
      </c>
      <c r="D36" s="35" t="str">
        <f>IFERROR(VLOOKUP(B36,'MASTER RECORD'!$B$5:$W$1000,2,0),"")</f>
        <v/>
      </c>
      <c r="E36" s="36" t="str">
        <f>IFERROR(VLOOKUP(B36,'MASTER RECORD'!$B$5:$W$1000,9,0),"")</f>
        <v/>
      </c>
      <c r="F36" s="18"/>
      <c r="G36" s="18" t="str">
        <f t="shared" si="1"/>
        <v/>
      </c>
      <c r="H36" s="18" t="str">
        <f t="shared" si="2"/>
        <v/>
      </c>
      <c r="I36" s="35" t="str">
        <f t="shared" si="3"/>
        <v/>
      </c>
      <c r="J36" s="50"/>
      <c r="K36" s="17"/>
    </row>
    <row r="37" spans="1:11">
      <c r="A37" s="6">
        <f t="shared" si="0"/>
        <v>32</v>
      </c>
      <c r="B37" s="49"/>
      <c r="C37" s="35" t="str">
        <f>IFERROR(VLOOKUP(B37,'MASTER RECORD'!$B$5:$W$1000,3,0),"")</f>
        <v/>
      </c>
      <c r="D37" s="35" t="str">
        <f>IFERROR(VLOOKUP(B37,'MASTER RECORD'!$B$5:$W$1000,2,0),"")</f>
        <v/>
      </c>
      <c r="E37" s="36" t="str">
        <f>IFERROR(VLOOKUP(B37,'MASTER RECORD'!$B$5:$W$1000,9,0),"")</f>
        <v/>
      </c>
      <c r="F37" s="18"/>
      <c r="G37" s="18" t="str">
        <f t="shared" si="1"/>
        <v/>
      </c>
      <c r="H37" s="18" t="str">
        <f t="shared" si="2"/>
        <v/>
      </c>
      <c r="I37" s="35" t="str">
        <f t="shared" si="3"/>
        <v/>
      </c>
      <c r="J37" s="50"/>
      <c r="K37" s="17"/>
    </row>
    <row r="38" spans="1:11">
      <c r="A38" s="6">
        <f t="shared" si="0"/>
        <v>33</v>
      </c>
      <c r="B38" s="49"/>
      <c r="C38" s="35" t="str">
        <f>IFERROR(VLOOKUP(B38,'MASTER RECORD'!$B$5:$W$1000,3,0),"")</f>
        <v/>
      </c>
      <c r="D38" s="35" t="str">
        <f>IFERROR(VLOOKUP(B38,'MASTER RECORD'!$B$5:$W$1000,2,0),"")</f>
        <v/>
      </c>
      <c r="E38" s="36" t="str">
        <f>IFERROR(VLOOKUP(B38,'MASTER RECORD'!$B$5:$W$1000,9,0),"")</f>
        <v/>
      </c>
      <c r="F38" s="18"/>
      <c r="G38" s="18" t="str">
        <f t="shared" si="1"/>
        <v/>
      </c>
      <c r="H38" s="18" t="str">
        <f t="shared" si="2"/>
        <v/>
      </c>
      <c r="I38" s="35" t="str">
        <f t="shared" si="3"/>
        <v/>
      </c>
      <c r="J38" s="50"/>
      <c r="K38" s="17"/>
    </row>
    <row r="39" spans="1:11">
      <c r="A39" s="6">
        <f t="shared" si="0"/>
        <v>34</v>
      </c>
      <c r="B39" s="49"/>
      <c r="C39" s="35" t="str">
        <f>IFERROR(VLOOKUP(B39,'MASTER RECORD'!$B$5:$W$1000,3,0),"")</f>
        <v/>
      </c>
      <c r="D39" s="35" t="str">
        <f>IFERROR(VLOOKUP(B39,'MASTER RECORD'!$B$5:$W$1000,2,0),"")</f>
        <v/>
      </c>
      <c r="E39" s="36" t="str">
        <f>IFERROR(VLOOKUP(B39,'MASTER RECORD'!$B$5:$W$1000,9,0),"")</f>
        <v/>
      </c>
      <c r="F39" s="18"/>
      <c r="G39" s="18" t="str">
        <f t="shared" si="1"/>
        <v/>
      </c>
      <c r="H39" s="18" t="str">
        <f t="shared" si="2"/>
        <v/>
      </c>
      <c r="I39" s="35" t="str">
        <f t="shared" si="3"/>
        <v/>
      </c>
      <c r="J39" s="50"/>
      <c r="K39" s="17"/>
    </row>
    <row r="40" spans="1:11">
      <c r="A40" s="6">
        <f t="shared" si="0"/>
        <v>35</v>
      </c>
      <c r="B40" s="49"/>
      <c r="C40" s="35" t="str">
        <f>IFERROR(VLOOKUP(B40,'MASTER RECORD'!$B$5:$W$1000,3,0),"")</f>
        <v/>
      </c>
      <c r="D40" s="35" t="str">
        <f>IFERROR(VLOOKUP(B40,'MASTER RECORD'!$B$5:$W$1000,2,0),"")</f>
        <v/>
      </c>
      <c r="E40" s="36" t="str">
        <f>IFERROR(VLOOKUP(B40,'MASTER RECORD'!$B$5:$W$1000,9,0),"")</f>
        <v/>
      </c>
      <c r="F40" s="18"/>
      <c r="G40" s="18" t="str">
        <f t="shared" si="1"/>
        <v/>
      </c>
      <c r="H40" s="18" t="str">
        <f t="shared" si="2"/>
        <v/>
      </c>
      <c r="I40" s="35" t="str">
        <f t="shared" si="3"/>
        <v/>
      </c>
      <c r="J40" s="50"/>
      <c r="K40" s="17"/>
    </row>
    <row r="41" spans="1:11">
      <c r="A41" s="6">
        <f t="shared" si="0"/>
        <v>36</v>
      </c>
      <c r="B41" s="49"/>
      <c r="C41" s="35" t="str">
        <f>IFERROR(VLOOKUP(B41,'MASTER RECORD'!$B$5:$W$1000,3,0),"")</f>
        <v/>
      </c>
      <c r="D41" s="35" t="str">
        <f>IFERROR(VLOOKUP(B41,'MASTER RECORD'!$B$5:$W$1000,2,0),"")</f>
        <v/>
      </c>
      <c r="E41" s="36" t="str">
        <f>IFERROR(VLOOKUP(B41,'MASTER RECORD'!$B$5:$W$1000,9,0),"")</f>
        <v/>
      </c>
      <c r="F41" s="18"/>
      <c r="G41" s="18" t="str">
        <f t="shared" si="1"/>
        <v/>
      </c>
      <c r="H41" s="18" t="str">
        <f t="shared" si="2"/>
        <v/>
      </c>
      <c r="I41" s="35" t="str">
        <f t="shared" si="3"/>
        <v/>
      </c>
      <c r="J41" s="50"/>
      <c r="K41" s="17"/>
    </row>
    <row r="42" spans="1:11">
      <c r="A42" s="6">
        <f t="shared" si="0"/>
        <v>37</v>
      </c>
      <c r="B42" s="49"/>
      <c r="C42" s="35" t="str">
        <f>IFERROR(VLOOKUP(B42,'MASTER RECORD'!$B$5:$W$1000,3,0),"")</f>
        <v/>
      </c>
      <c r="D42" s="35" t="str">
        <f>IFERROR(VLOOKUP(B42,'MASTER RECORD'!$B$5:$W$1000,2,0),"")</f>
        <v/>
      </c>
      <c r="E42" s="36" t="str">
        <f>IFERROR(VLOOKUP(B42,'MASTER RECORD'!$B$5:$W$1000,9,0),"")</f>
        <v/>
      </c>
      <c r="F42" s="18"/>
      <c r="G42" s="18" t="str">
        <f t="shared" si="1"/>
        <v/>
      </c>
      <c r="H42" s="18" t="str">
        <f t="shared" si="2"/>
        <v/>
      </c>
      <c r="I42" s="35" t="str">
        <f t="shared" si="3"/>
        <v/>
      </c>
      <c r="J42" s="50"/>
      <c r="K42" s="17"/>
    </row>
    <row r="43" spans="1:11">
      <c r="A43" s="6">
        <f t="shared" si="0"/>
        <v>38</v>
      </c>
      <c r="B43" s="49"/>
      <c r="C43" s="35" t="str">
        <f>IFERROR(VLOOKUP(B43,'MASTER RECORD'!$B$5:$W$1000,3,0),"")</f>
        <v/>
      </c>
      <c r="D43" s="35" t="str">
        <f>IFERROR(VLOOKUP(B43,'MASTER RECORD'!$B$5:$W$1000,2,0),"")</f>
        <v/>
      </c>
      <c r="E43" s="36" t="str">
        <f>IFERROR(VLOOKUP(B43,'MASTER RECORD'!$B$5:$W$1000,9,0),"")</f>
        <v/>
      </c>
      <c r="F43" s="18"/>
      <c r="G43" s="18" t="str">
        <f t="shared" si="1"/>
        <v/>
      </c>
      <c r="H43" s="18" t="str">
        <f t="shared" si="2"/>
        <v/>
      </c>
      <c r="I43" s="35" t="str">
        <f t="shared" si="3"/>
        <v/>
      </c>
      <c r="J43" s="50"/>
      <c r="K43" s="17"/>
    </row>
    <row r="44" spans="1:11">
      <c r="A44" s="6">
        <f t="shared" si="0"/>
        <v>39</v>
      </c>
      <c r="B44" s="49"/>
      <c r="C44" s="35" t="str">
        <f>IFERROR(VLOOKUP(B44,'MASTER RECORD'!$B$5:$W$1000,3,0),"")</f>
        <v/>
      </c>
      <c r="D44" s="35" t="str">
        <f>IFERROR(VLOOKUP(B44,'MASTER RECORD'!$B$5:$W$1000,2,0),"")</f>
        <v/>
      </c>
      <c r="E44" s="36" t="str">
        <f>IFERROR(VLOOKUP(B44,'MASTER RECORD'!$B$5:$W$1000,9,0),"")</f>
        <v/>
      </c>
      <c r="F44" s="18"/>
      <c r="G44" s="18" t="str">
        <f t="shared" si="1"/>
        <v/>
      </c>
      <c r="H44" s="18" t="str">
        <f t="shared" si="2"/>
        <v/>
      </c>
      <c r="I44" s="35" t="str">
        <f t="shared" si="3"/>
        <v/>
      </c>
      <c r="J44" s="50"/>
      <c r="K44" s="17"/>
    </row>
    <row r="45" spans="1:11">
      <c r="A45" s="6">
        <f t="shared" si="0"/>
        <v>40</v>
      </c>
      <c r="B45" s="49"/>
      <c r="C45" s="35" t="str">
        <f>IFERROR(VLOOKUP(B45,'MASTER RECORD'!$B$5:$W$1000,3,0),"")</f>
        <v/>
      </c>
      <c r="D45" s="35" t="str">
        <f>IFERROR(VLOOKUP(B45,'MASTER RECORD'!$B$5:$W$1000,2,0),"")</f>
        <v/>
      </c>
      <c r="E45" s="36" t="str">
        <f>IFERROR(VLOOKUP(B45,'MASTER RECORD'!$B$5:$W$1000,9,0),"")</f>
        <v/>
      </c>
      <c r="F45" s="18"/>
      <c r="G45" s="18" t="str">
        <f t="shared" si="1"/>
        <v/>
      </c>
      <c r="H45" s="18" t="str">
        <f t="shared" si="2"/>
        <v/>
      </c>
      <c r="I45" s="35" t="str">
        <f t="shared" si="3"/>
        <v/>
      </c>
      <c r="J45" s="50"/>
      <c r="K45" s="17"/>
    </row>
    <row r="46" spans="1:11">
      <c r="A46" s="6">
        <f t="shared" si="0"/>
        <v>41</v>
      </c>
      <c r="B46" s="49"/>
      <c r="C46" s="35" t="str">
        <f>IFERROR(VLOOKUP(B46,'MASTER RECORD'!$B$5:$W$1000,3,0),"")</f>
        <v/>
      </c>
      <c r="D46" s="35" t="str">
        <f>IFERROR(VLOOKUP(B46,'MASTER RECORD'!$B$5:$W$1000,2,0),"")</f>
        <v/>
      </c>
      <c r="E46" s="36" t="str">
        <f>IFERROR(VLOOKUP(B46,'MASTER RECORD'!$B$5:$W$1000,9,0),"")</f>
        <v/>
      </c>
      <c r="F46" s="18"/>
      <c r="G46" s="18" t="str">
        <f t="shared" si="1"/>
        <v/>
      </c>
      <c r="H46" s="18" t="str">
        <f t="shared" si="2"/>
        <v/>
      </c>
      <c r="I46" s="35" t="str">
        <f t="shared" si="3"/>
        <v/>
      </c>
      <c r="J46" s="50"/>
      <c r="K46" s="17"/>
    </row>
    <row r="47" spans="1:11">
      <c r="A47" s="6">
        <f t="shared" si="0"/>
        <v>42</v>
      </c>
      <c r="B47" s="49"/>
      <c r="C47" s="35" t="str">
        <f>IFERROR(VLOOKUP(B47,'MASTER RECORD'!$B$5:$W$1000,3,0),"")</f>
        <v/>
      </c>
      <c r="D47" s="35" t="str">
        <f>IFERROR(VLOOKUP(B47,'MASTER RECORD'!$B$5:$W$1000,2,0),"")</f>
        <v/>
      </c>
      <c r="E47" s="36" t="str">
        <f>IFERROR(VLOOKUP(B47,'MASTER RECORD'!$B$5:$W$1000,9,0),"")</f>
        <v/>
      </c>
      <c r="F47" s="18"/>
      <c r="G47" s="18" t="str">
        <f t="shared" si="1"/>
        <v/>
      </c>
      <c r="H47" s="18" t="str">
        <f t="shared" si="2"/>
        <v/>
      </c>
      <c r="I47" s="35" t="str">
        <f t="shared" si="3"/>
        <v/>
      </c>
      <c r="J47" s="50"/>
      <c r="K47" s="17"/>
    </row>
    <row r="48" spans="1:11">
      <c r="A48" s="6">
        <f t="shared" si="0"/>
        <v>43</v>
      </c>
      <c r="B48" s="49"/>
      <c r="C48" s="35" t="str">
        <f>IFERROR(VLOOKUP(B48,'MASTER RECORD'!$B$5:$W$1000,3,0),"")</f>
        <v/>
      </c>
      <c r="D48" s="35" t="str">
        <f>IFERROR(VLOOKUP(B48,'MASTER RECORD'!$B$5:$W$1000,2,0),"")</f>
        <v/>
      </c>
      <c r="E48" s="36" t="str">
        <f>IFERROR(VLOOKUP(B48,'MASTER RECORD'!$B$5:$W$1000,9,0),"")</f>
        <v/>
      </c>
      <c r="F48" s="18"/>
      <c r="G48" s="18" t="str">
        <f t="shared" si="1"/>
        <v/>
      </c>
      <c r="H48" s="18" t="str">
        <f t="shared" si="2"/>
        <v/>
      </c>
      <c r="I48" s="35" t="str">
        <f t="shared" si="3"/>
        <v/>
      </c>
      <c r="J48" s="50"/>
      <c r="K48" s="17"/>
    </row>
    <row r="49" spans="1:11">
      <c r="A49" s="6">
        <f t="shared" si="0"/>
        <v>44</v>
      </c>
      <c r="B49" s="49"/>
      <c r="C49" s="35" t="str">
        <f>IFERROR(VLOOKUP(B49,'MASTER RECORD'!$B$5:$W$1000,3,0),"")</f>
        <v/>
      </c>
      <c r="D49" s="35" t="str">
        <f>IFERROR(VLOOKUP(B49,'MASTER RECORD'!$B$5:$W$1000,2,0),"")</f>
        <v/>
      </c>
      <c r="E49" s="36" t="str">
        <f>IFERROR(VLOOKUP(B49,'MASTER RECORD'!$B$5:$W$1000,9,0),"")</f>
        <v/>
      </c>
      <c r="F49" s="18"/>
      <c r="G49" s="18" t="str">
        <f t="shared" si="1"/>
        <v/>
      </c>
      <c r="H49" s="18" t="str">
        <f t="shared" si="2"/>
        <v/>
      </c>
      <c r="I49" s="35" t="str">
        <f t="shared" si="3"/>
        <v/>
      </c>
      <c r="J49" s="50"/>
      <c r="K49" s="17"/>
    </row>
    <row r="50" spans="1:11">
      <c r="A50" s="6">
        <f t="shared" si="0"/>
        <v>45</v>
      </c>
      <c r="B50" s="49"/>
      <c r="C50" s="35" t="str">
        <f>IFERROR(VLOOKUP(B50,'MASTER RECORD'!$B$5:$W$1000,3,0),"")</f>
        <v/>
      </c>
      <c r="D50" s="35" t="str">
        <f>IFERROR(VLOOKUP(B50,'MASTER RECORD'!$B$5:$W$1000,2,0),"")</f>
        <v/>
      </c>
      <c r="E50" s="36" t="str">
        <f>IFERROR(VLOOKUP(B50,'MASTER RECORD'!$B$5:$W$1000,9,0),"")</f>
        <v/>
      </c>
      <c r="F50" s="18"/>
      <c r="G50" s="18" t="str">
        <f t="shared" si="1"/>
        <v/>
      </c>
      <c r="H50" s="18" t="str">
        <f t="shared" si="2"/>
        <v/>
      </c>
      <c r="I50" s="35" t="str">
        <f t="shared" si="3"/>
        <v/>
      </c>
      <c r="J50" s="50"/>
      <c r="K50" s="17"/>
    </row>
    <row r="51" spans="1:11">
      <c r="A51" s="6">
        <f t="shared" si="0"/>
        <v>46</v>
      </c>
      <c r="B51" s="49"/>
      <c r="C51" s="35" t="str">
        <f>IFERROR(VLOOKUP(B51,'MASTER RECORD'!$B$5:$W$1000,3,0),"")</f>
        <v/>
      </c>
      <c r="D51" s="35" t="str">
        <f>IFERROR(VLOOKUP(B51,'MASTER RECORD'!$B$5:$W$1000,2,0),"")</f>
        <v/>
      </c>
      <c r="E51" s="36" t="str">
        <f>IFERROR(VLOOKUP(B51,'MASTER RECORD'!$B$5:$W$1000,9,0),"")</f>
        <v/>
      </c>
      <c r="F51" s="18"/>
      <c r="G51" s="18" t="str">
        <f t="shared" si="1"/>
        <v/>
      </c>
      <c r="H51" s="18" t="str">
        <f t="shared" si="2"/>
        <v/>
      </c>
      <c r="I51" s="35" t="str">
        <f t="shared" si="3"/>
        <v/>
      </c>
      <c r="J51" s="50"/>
      <c r="K51" s="17"/>
    </row>
    <row r="52" spans="1:11">
      <c r="A52" s="6">
        <f t="shared" si="0"/>
        <v>47</v>
      </c>
      <c r="B52" s="49"/>
      <c r="C52" s="35" t="str">
        <f>IFERROR(VLOOKUP(B52,'MASTER RECORD'!$B$5:$W$1000,3,0),"")</f>
        <v/>
      </c>
      <c r="D52" s="35" t="str">
        <f>IFERROR(VLOOKUP(B52,'MASTER RECORD'!$B$5:$W$1000,2,0),"")</f>
        <v/>
      </c>
      <c r="E52" s="36" t="str">
        <f>IFERROR(VLOOKUP(B52,'MASTER RECORD'!$B$5:$W$1000,9,0),"")</f>
        <v/>
      </c>
      <c r="F52" s="18"/>
      <c r="G52" s="18" t="str">
        <f t="shared" si="1"/>
        <v/>
      </c>
      <c r="H52" s="18" t="str">
        <f t="shared" si="2"/>
        <v/>
      </c>
      <c r="I52" s="35" t="str">
        <f t="shared" si="3"/>
        <v/>
      </c>
      <c r="J52" s="50"/>
      <c r="K52" s="17"/>
    </row>
    <row r="53" spans="1:11">
      <c r="A53" s="6">
        <f t="shared" si="0"/>
        <v>48</v>
      </c>
      <c r="B53" s="49"/>
      <c r="C53" s="35" t="str">
        <f>IFERROR(VLOOKUP(B53,'MASTER RECORD'!$B$5:$W$1000,3,0),"")</f>
        <v/>
      </c>
      <c r="D53" s="35" t="str">
        <f>IFERROR(VLOOKUP(B53,'MASTER RECORD'!$B$5:$W$1000,2,0),"")</f>
        <v/>
      </c>
      <c r="E53" s="36" t="str">
        <f>IFERROR(VLOOKUP(B53,'MASTER RECORD'!$B$5:$W$1000,9,0),"")</f>
        <v/>
      </c>
      <c r="F53" s="18"/>
      <c r="G53" s="18" t="str">
        <f t="shared" si="1"/>
        <v/>
      </c>
      <c r="H53" s="18" t="str">
        <f t="shared" si="2"/>
        <v/>
      </c>
      <c r="I53" s="35" t="str">
        <f t="shared" si="3"/>
        <v/>
      </c>
      <c r="J53" s="50"/>
      <c r="K53" s="17"/>
    </row>
    <row r="54" spans="1:11">
      <c r="A54" s="6">
        <f t="shared" si="0"/>
        <v>49</v>
      </c>
      <c r="B54" s="49"/>
      <c r="C54" s="35" t="str">
        <f>IFERROR(VLOOKUP(B54,'MASTER RECORD'!$B$5:$W$1000,3,0),"")</f>
        <v/>
      </c>
      <c r="D54" s="35" t="str">
        <f>IFERROR(VLOOKUP(B54,'MASTER RECORD'!$B$5:$W$1000,2,0),"")</f>
        <v/>
      </c>
      <c r="E54" s="36" t="str">
        <f>IFERROR(VLOOKUP(B54,'MASTER RECORD'!$B$5:$W$1000,9,0),"")</f>
        <v/>
      </c>
      <c r="F54" s="18"/>
      <c r="G54" s="18" t="str">
        <f t="shared" si="1"/>
        <v/>
      </c>
      <c r="H54" s="18" t="str">
        <f t="shared" si="2"/>
        <v/>
      </c>
      <c r="I54" s="35" t="str">
        <f t="shared" si="3"/>
        <v/>
      </c>
      <c r="J54" s="50"/>
      <c r="K54" s="17"/>
    </row>
    <row r="55" spans="1:11">
      <c r="A55" s="6">
        <f t="shared" si="0"/>
        <v>50</v>
      </c>
      <c r="B55" s="49"/>
      <c r="C55" s="35" t="str">
        <f>IFERROR(VLOOKUP(B55,'MASTER RECORD'!$B$5:$W$1000,3,0),"")</f>
        <v/>
      </c>
      <c r="D55" s="35" t="str">
        <f>IFERROR(VLOOKUP(B55,'MASTER RECORD'!$B$5:$W$1000,2,0),"")</f>
        <v/>
      </c>
      <c r="E55" s="36" t="str">
        <f>IFERROR(VLOOKUP(B55,'MASTER RECORD'!$B$5:$W$1000,9,0),"")</f>
        <v/>
      </c>
      <c r="F55" s="18"/>
      <c r="G55" s="18" t="str">
        <f t="shared" si="1"/>
        <v/>
      </c>
      <c r="H55" s="18" t="str">
        <f t="shared" si="2"/>
        <v/>
      </c>
      <c r="I55" s="35" t="str">
        <f t="shared" si="3"/>
        <v/>
      </c>
      <c r="J55" s="50"/>
      <c r="K55" s="17"/>
    </row>
    <row r="56" spans="1:11">
      <c r="A56" s="6">
        <f t="shared" si="0"/>
        <v>51</v>
      </c>
      <c r="B56" s="49"/>
      <c r="C56" s="35" t="str">
        <f>IFERROR(VLOOKUP(B56,'MASTER RECORD'!$B$5:$W$1000,3,0),"")</f>
        <v/>
      </c>
      <c r="D56" s="35" t="str">
        <f>IFERROR(VLOOKUP(B56,'MASTER RECORD'!$B$5:$W$1000,2,0),"")</f>
        <v/>
      </c>
      <c r="E56" s="36" t="str">
        <f>IFERROR(VLOOKUP(B56,'MASTER RECORD'!$B$5:$W$1000,9,0),"")</f>
        <v/>
      </c>
      <c r="F56" s="18"/>
      <c r="G56" s="18" t="str">
        <f t="shared" si="1"/>
        <v/>
      </c>
      <c r="H56" s="18" t="str">
        <f t="shared" si="2"/>
        <v/>
      </c>
      <c r="I56" s="35" t="str">
        <f t="shared" si="3"/>
        <v/>
      </c>
      <c r="J56" s="50"/>
      <c r="K56" s="17"/>
    </row>
    <row r="57" spans="1:11">
      <c r="A57" s="6">
        <f t="shared" si="0"/>
        <v>52</v>
      </c>
      <c r="B57" s="49"/>
      <c r="C57" s="35" t="str">
        <f>IFERROR(VLOOKUP(B57,'MASTER RECORD'!$B$5:$W$1000,3,0),"")</f>
        <v/>
      </c>
      <c r="D57" s="35" t="str">
        <f>IFERROR(VLOOKUP(B57,'MASTER RECORD'!$B$5:$W$1000,2,0),"")</f>
        <v/>
      </c>
      <c r="E57" s="36" t="str">
        <f>IFERROR(VLOOKUP(B57,'MASTER RECORD'!$B$5:$W$1000,9,0),"")</f>
        <v/>
      </c>
      <c r="F57" s="18"/>
      <c r="G57" s="18" t="str">
        <f t="shared" si="1"/>
        <v/>
      </c>
      <c r="H57" s="18" t="str">
        <f t="shared" si="2"/>
        <v/>
      </c>
      <c r="I57" s="35" t="str">
        <f t="shared" si="3"/>
        <v/>
      </c>
      <c r="J57" s="50"/>
      <c r="K57" s="17"/>
    </row>
    <row r="58" spans="1:11">
      <c r="A58" s="6">
        <f t="shared" si="0"/>
        <v>53</v>
      </c>
      <c r="B58" s="49"/>
      <c r="C58" s="35" t="str">
        <f>IFERROR(VLOOKUP(B58,'MASTER RECORD'!$B$5:$W$1000,3,0),"")</f>
        <v/>
      </c>
      <c r="D58" s="35" t="str">
        <f>IFERROR(VLOOKUP(B58,'MASTER RECORD'!$B$5:$W$1000,2,0),"")</f>
        <v/>
      </c>
      <c r="E58" s="36" t="str">
        <f>IFERROR(VLOOKUP(B58,'MASTER RECORD'!$B$5:$W$1000,9,0),"")</f>
        <v/>
      </c>
      <c r="F58" s="18"/>
      <c r="G58" s="18" t="str">
        <f t="shared" si="1"/>
        <v/>
      </c>
      <c r="H58" s="18" t="str">
        <f t="shared" si="2"/>
        <v/>
      </c>
      <c r="I58" s="35" t="str">
        <f t="shared" si="3"/>
        <v/>
      </c>
      <c r="J58" s="50"/>
      <c r="K58" s="17"/>
    </row>
    <row r="59" spans="1:11">
      <c r="A59" s="6">
        <f t="shared" si="0"/>
        <v>54</v>
      </c>
      <c r="B59" s="49"/>
      <c r="C59" s="35" t="str">
        <f>IFERROR(VLOOKUP(B59,'MASTER RECORD'!$B$5:$W$1000,3,0),"")</f>
        <v/>
      </c>
      <c r="D59" s="35" t="str">
        <f>IFERROR(VLOOKUP(B59,'MASTER RECORD'!$B$5:$W$1000,2,0),"")</f>
        <v/>
      </c>
      <c r="E59" s="36" t="str">
        <f>IFERROR(VLOOKUP(B59,'MASTER RECORD'!$B$5:$W$1000,9,0),"")</f>
        <v/>
      </c>
      <c r="F59" s="18"/>
      <c r="G59" s="18" t="str">
        <f t="shared" si="1"/>
        <v/>
      </c>
      <c r="H59" s="18" t="str">
        <f t="shared" si="2"/>
        <v/>
      </c>
      <c r="I59" s="35" t="str">
        <f t="shared" si="3"/>
        <v/>
      </c>
      <c r="J59" s="50"/>
      <c r="K59" s="17"/>
    </row>
    <row r="60" spans="1:11">
      <c r="A60" s="6">
        <f t="shared" si="0"/>
        <v>55</v>
      </c>
      <c r="B60" s="49"/>
      <c r="C60" s="35" t="str">
        <f>IFERROR(VLOOKUP(B60,'MASTER RECORD'!$B$5:$W$1000,3,0),"")</f>
        <v/>
      </c>
      <c r="D60" s="35" t="str">
        <f>IFERROR(VLOOKUP(B60,'MASTER RECORD'!$B$5:$W$1000,2,0),"")</f>
        <v/>
      </c>
      <c r="E60" s="36" t="str">
        <f>IFERROR(VLOOKUP(B60,'MASTER RECORD'!$B$5:$W$1000,9,0),"")</f>
        <v/>
      </c>
      <c r="F60" s="18"/>
      <c r="G60" s="18" t="str">
        <f t="shared" si="1"/>
        <v/>
      </c>
      <c r="H60" s="18" t="str">
        <f t="shared" si="2"/>
        <v/>
      </c>
      <c r="I60" s="35" t="str">
        <f t="shared" si="3"/>
        <v/>
      </c>
      <c r="J60" s="50"/>
      <c r="K60" s="17"/>
    </row>
    <row r="61" spans="1:11">
      <c r="A61" s="6">
        <f t="shared" si="0"/>
        <v>56</v>
      </c>
      <c r="B61" s="49"/>
      <c r="C61" s="35" t="str">
        <f>IFERROR(VLOOKUP(B61,'MASTER RECORD'!$B$5:$W$1000,3,0),"")</f>
        <v/>
      </c>
      <c r="D61" s="35" t="str">
        <f>IFERROR(VLOOKUP(B61,'MASTER RECORD'!$B$5:$W$1000,2,0),"")</f>
        <v/>
      </c>
      <c r="E61" s="36" t="str">
        <f>IFERROR(VLOOKUP(B61,'MASTER RECORD'!$B$5:$W$1000,9,0),"")</f>
        <v/>
      </c>
      <c r="F61" s="18"/>
      <c r="G61" s="18" t="str">
        <f t="shared" si="1"/>
        <v/>
      </c>
      <c r="H61" s="18" t="str">
        <f t="shared" si="2"/>
        <v/>
      </c>
      <c r="I61" s="35" t="str">
        <f t="shared" si="3"/>
        <v/>
      </c>
      <c r="J61" s="50"/>
      <c r="K61" s="17"/>
    </row>
    <row r="62" spans="1:11">
      <c r="A62" s="6">
        <f t="shared" si="0"/>
        <v>57</v>
      </c>
      <c r="B62" s="49"/>
      <c r="C62" s="35" t="str">
        <f>IFERROR(VLOOKUP(B62,'MASTER RECORD'!$B$5:$W$1000,3,0),"")</f>
        <v/>
      </c>
      <c r="D62" s="35" t="str">
        <f>IFERROR(VLOOKUP(B62,'MASTER RECORD'!$B$5:$W$1000,2,0),"")</f>
        <v/>
      </c>
      <c r="E62" s="36" t="str">
        <f>IFERROR(VLOOKUP(B62,'MASTER RECORD'!$B$5:$W$1000,9,0),"")</f>
        <v/>
      </c>
      <c r="F62" s="18"/>
      <c r="G62" s="18" t="str">
        <f t="shared" si="1"/>
        <v/>
      </c>
      <c r="H62" s="18" t="str">
        <f t="shared" si="2"/>
        <v/>
      </c>
      <c r="I62" s="35" t="str">
        <f t="shared" si="3"/>
        <v/>
      </c>
      <c r="J62" s="50"/>
      <c r="K62" s="17"/>
    </row>
    <row r="63" spans="1:11">
      <c r="A63" s="6">
        <f t="shared" si="0"/>
        <v>58</v>
      </c>
      <c r="B63" s="49"/>
      <c r="C63" s="35" t="str">
        <f>IFERROR(VLOOKUP(B63,'MASTER RECORD'!$B$5:$W$1000,3,0),"")</f>
        <v/>
      </c>
      <c r="D63" s="35" t="str">
        <f>IFERROR(VLOOKUP(B63,'MASTER RECORD'!$B$5:$W$1000,2,0),"")</f>
        <v/>
      </c>
      <c r="E63" s="36" t="str">
        <f>IFERROR(VLOOKUP(B63,'MASTER RECORD'!$B$5:$W$1000,9,0),"")</f>
        <v/>
      </c>
      <c r="F63" s="18"/>
      <c r="G63" s="18" t="str">
        <f t="shared" si="1"/>
        <v/>
      </c>
      <c r="H63" s="18" t="str">
        <f t="shared" si="2"/>
        <v/>
      </c>
      <c r="I63" s="35" t="str">
        <f t="shared" si="3"/>
        <v/>
      </c>
      <c r="J63" s="50"/>
      <c r="K63" s="17"/>
    </row>
    <row r="64" spans="1:11">
      <c r="A64" s="6">
        <f t="shared" si="0"/>
        <v>59</v>
      </c>
      <c r="B64" s="49"/>
      <c r="C64" s="35" t="str">
        <f>IFERROR(VLOOKUP(B64,'MASTER RECORD'!$B$5:$W$1000,3,0),"")</f>
        <v/>
      </c>
      <c r="D64" s="35" t="str">
        <f>IFERROR(VLOOKUP(B64,'MASTER RECORD'!$B$5:$W$1000,2,0),"")</f>
        <v/>
      </c>
      <c r="E64" s="36" t="str">
        <f>IFERROR(VLOOKUP(B64,'MASTER RECORD'!$B$5:$W$1000,9,0),"")</f>
        <v/>
      </c>
      <c r="F64" s="18"/>
      <c r="G64" s="18" t="str">
        <f t="shared" si="1"/>
        <v/>
      </c>
      <c r="H64" s="18" t="str">
        <f t="shared" si="2"/>
        <v/>
      </c>
      <c r="I64" s="35" t="str">
        <f t="shared" si="3"/>
        <v/>
      </c>
      <c r="J64" s="50"/>
      <c r="K64" s="17"/>
    </row>
    <row r="65" spans="1:11">
      <c r="A65" s="6">
        <f t="shared" si="0"/>
        <v>60</v>
      </c>
      <c r="B65" s="49"/>
      <c r="C65" s="35" t="str">
        <f>IFERROR(VLOOKUP(B65,'MASTER RECORD'!$B$5:$W$1000,3,0),"")</f>
        <v/>
      </c>
      <c r="D65" s="35" t="str">
        <f>IFERROR(VLOOKUP(B65,'MASTER RECORD'!$B$5:$W$1000,2,0),"")</f>
        <v/>
      </c>
      <c r="E65" s="36" t="str">
        <f>IFERROR(VLOOKUP(B65,'MASTER RECORD'!$B$5:$W$1000,9,0),"")</f>
        <v/>
      </c>
      <c r="F65" s="18"/>
      <c r="G65" s="18" t="str">
        <f t="shared" si="1"/>
        <v/>
      </c>
      <c r="H65" s="18" t="str">
        <f t="shared" si="2"/>
        <v/>
      </c>
      <c r="I65" s="35" t="str">
        <f t="shared" si="3"/>
        <v/>
      </c>
      <c r="J65" s="50"/>
      <c r="K65" s="17"/>
    </row>
    <row r="66" spans="1:11">
      <c r="A66" s="6">
        <f t="shared" si="0"/>
        <v>61</v>
      </c>
      <c r="B66" s="49"/>
      <c r="C66" s="35" t="str">
        <f>IFERROR(VLOOKUP(B66,'MASTER RECORD'!$B$5:$W$1000,3,0),"")</f>
        <v/>
      </c>
      <c r="D66" s="35" t="str">
        <f>IFERROR(VLOOKUP(B66,'MASTER RECORD'!$B$5:$W$1000,2,0),"")</f>
        <v/>
      </c>
      <c r="E66" s="36" t="str">
        <f>IFERROR(VLOOKUP(B66,'MASTER RECORD'!$B$5:$W$1000,9,0),"")</f>
        <v/>
      </c>
      <c r="F66" s="18"/>
      <c r="G66" s="18" t="str">
        <f t="shared" si="1"/>
        <v/>
      </c>
      <c r="H66" s="18" t="str">
        <f t="shared" si="2"/>
        <v/>
      </c>
      <c r="I66" s="35" t="str">
        <f t="shared" si="3"/>
        <v/>
      </c>
      <c r="J66" s="50"/>
      <c r="K66" s="17"/>
    </row>
    <row r="67" spans="1:11">
      <c r="A67" s="6">
        <f t="shared" si="0"/>
        <v>62</v>
      </c>
      <c r="B67" s="49"/>
      <c r="C67" s="35" t="str">
        <f>IFERROR(VLOOKUP(B67,'MASTER RECORD'!$B$5:$W$1000,3,0),"")</f>
        <v/>
      </c>
      <c r="D67" s="35" t="str">
        <f>IFERROR(VLOOKUP(B67,'MASTER RECORD'!$B$5:$W$1000,2,0),"")</f>
        <v/>
      </c>
      <c r="E67" s="36" t="str">
        <f>IFERROR(VLOOKUP(B67,'MASTER RECORD'!$B$5:$W$1000,9,0),"")</f>
        <v/>
      </c>
      <c r="F67" s="18"/>
      <c r="G67" s="18" t="str">
        <f t="shared" si="1"/>
        <v/>
      </c>
      <c r="H67" s="18" t="str">
        <f t="shared" si="2"/>
        <v/>
      </c>
      <c r="I67" s="35" t="str">
        <f t="shared" si="3"/>
        <v/>
      </c>
      <c r="J67" s="50"/>
      <c r="K67" s="17"/>
    </row>
    <row r="68" spans="1:11">
      <c r="A68" s="6">
        <f t="shared" si="0"/>
        <v>63</v>
      </c>
      <c r="B68" s="49"/>
      <c r="C68" s="35" t="str">
        <f>IFERROR(VLOOKUP(B68,'MASTER RECORD'!$B$5:$W$1000,3,0),"")</f>
        <v/>
      </c>
      <c r="D68" s="35" t="str">
        <f>IFERROR(VLOOKUP(B68,'MASTER RECORD'!$B$5:$W$1000,2,0),"")</f>
        <v/>
      </c>
      <c r="E68" s="36" t="str">
        <f>IFERROR(VLOOKUP(B68,'MASTER RECORD'!$B$5:$W$1000,9,0),"")</f>
        <v/>
      </c>
      <c r="F68" s="18"/>
      <c r="G68" s="18" t="str">
        <f t="shared" si="1"/>
        <v/>
      </c>
      <c r="H68" s="18" t="str">
        <f t="shared" si="2"/>
        <v/>
      </c>
      <c r="I68" s="35" t="str">
        <f t="shared" si="3"/>
        <v/>
      </c>
      <c r="J68" s="50"/>
      <c r="K68" s="17"/>
    </row>
    <row r="69" spans="1:11">
      <c r="A69" s="6">
        <f t="shared" si="0"/>
        <v>64</v>
      </c>
      <c r="B69" s="49"/>
      <c r="C69" s="35" t="str">
        <f>IFERROR(VLOOKUP(B69,'MASTER RECORD'!$B$5:$W$1000,3,0),"")</f>
        <v/>
      </c>
      <c r="D69" s="35" t="str">
        <f>IFERROR(VLOOKUP(B69,'MASTER RECORD'!$B$5:$W$1000,2,0),"")</f>
        <v/>
      </c>
      <c r="E69" s="36" t="str">
        <f>IFERROR(VLOOKUP(B69,'MASTER RECORD'!$B$5:$W$1000,9,0),"")</f>
        <v/>
      </c>
      <c r="F69" s="18"/>
      <c r="G69" s="18" t="str">
        <f t="shared" si="1"/>
        <v/>
      </c>
      <c r="H69" s="18" t="str">
        <f t="shared" si="2"/>
        <v/>
      </c>
      <c r="I69" s="35" t="str">
        <f t="shared" si="3"/>
        <v/>
      </c>
      <c r="J69" s="50"/>
      <c r="K69" s="17"/>
    </row>
    <row r="70" spans="1:11">
      <c r="A70" s="6">
        <f t="shared" si="0"/>
        <v>65</v>
      </c>
      <c r="B70" s="49"/>
      <c r="C70" s="35" t="str">
        <f>IFERROR(VLOOKUP(B70,'MASTER RECORD'!$B$5:$W$1000,3,0),"")</f>
        <v/>
      </c>
      <c r="D70" s="35" t="str">
        <f>IFERROR(VLOOKUP(B70,'MASTER RECORD'!$B$5:$W$1000,2,0),"")</f>
        <v/>
      </c>
      <c r="E70" s="36" t="str">
        <f>IFERROR(VLOOKUP(B70,'MASTER RECORD'!$B$5:$W$1000,9,0),"")</f>
        <v/>
      </c>
      <c r="F70" s="18"/>
      <c r="G70" s="18" t="str">
        <f t="shared" si="1"/>
        <v/>
      </c>
      <c r="H70" s="18" t="str">
        <f t="shared" si="2"/>
        <v/>
      </c>
      <c r="I70" s="35" t="str">
        <f t="shared" si="3"/>
        <v/>
      </c>
      <c r="J70" s="50"/>
      <c r="K70" s="17"/>
    </row>
    <row r="71" spans="1:11">
      <c r="A71" s="6">
        <f t="shared" ref="A71:A134" si="4">ROW(A66)</f>
        <v>66</v>
      </c>
      <c r="B71" s="49"/>
      <c r="C71" s="35" t="str">
        <f>IFERROR(VLOOKUP(B71,'MASTER RECORD'!$B$5:$W$1000,3,0),"")</f>
        <v/>
      </c>
      <c r="D71" s="35" t="str">
        <f>IFERROR(VLOOKUP(B71,'MASTER RECORD'!$B$5:$W$1000,2,0),"")</f>
        <v/>
      </c>
      <c r="E71" s="36" t="str">
        <f>IFERROR(VLOOKUP(B71,'MASTER RECORD'!$B$5:$W$1000,9,0),"")</f>
        <v/>
      </c>
      <c r="F71" s="18"/>
      <c r="G71" s="18" t="str">
        <f t="shared" ref="G71:G134" si="5">IF($F71=0,"",TEXT($F71,"mmmm"))</f>
        <v/>
      </c>
      <c r="H71" s="18" t="str">
        <f t="shared" ref="H71:H134" si="6">IF($F71=0,"",TEXT($F71,"yyyy"))</f>
        <v/>
      </c>
      <c r="I71" s="35" t="str">
        <f t="shared" ref="I71:I134" si="7">IFERROR(DATEDIF(E71,F71,"Y")&amp;"."&amp;DATEDIF(E71,F71,"YM"),"")</f>
        <v/>
      </c>
      <c r="J71" s="50"/>
      <c r="K71" s="17"/>
    </row>
    <row r="72" spans="1:11">
      <c r="A72" s="6">
        <f t="shared" si="4"/>
        <v>67</v>
      </c>
      <c r="B72" s="49"/>
      <c r="C72" s="35" t="str">
        <f>IFERROR(VLOOKUP(B72,'MASTER RECORD'!$B$5:$W$1000,3,0),"")</f>
        <v/>
      </c>
      <c r="D72" s="35" t="str">
        <f>IFERROR(VLOOKUP(B72,'MASTER RECORD'!$B$5:$W$1000,2,0),"")</f>
        <v/>
      </c>
      <c r="E72" s="36" t="str">
        <f>IFERROR(VLOOKUP(B72,'MASTER RECORD'!$B$5:$W$1000,9,0),"")</f>
        <v/>
      </c>
      <c r="F72" s="18"/>
      <c r="G72" s="18" t="str">
        <f t="shared" si="5"/>
        <v/>
      </c>
      <c r="H72" s="18" t="str">
        <f t="shared" si="6"/>
        <v/>
      </c>
      <c r="I72" s="35" t="str">
        <f t="shared" si="7"/>
        <v/>
      </c>
      <c r="J72" s="50"/>
      <c r="K72" s="17"/>
    </row>
    <row r="73" spans="1:11">
      <c r="A73" s="6">
        <f t="shared" si="4"/>
        <v>68</v>
      </c>
      <c r="B73" s="49"/>
      <c r="C73" s="35" t="str">
        <f>IFERROR(VLOOKUP(B73,'MASTER RECORD'!$B$5:$W$1000,3,0),"")</f>
        <v/>
      </c>
      <c r="D73" s="35" t="str">
        <f>IFERROR(VLOOKUP(B73,'MASTER RECORD'!$B$5:$W$1000,2,0),"")</f>
        <v/>
      </c>
      <c r="E73" s="36" t="str">
        <f>IFERROR(VLOOKUP(B73,'MASTER RECORD'!$B$5:$W$1000,9,0),"")</f>
        <v/>
      </c>
      <c r="F73" s="18"/>
      <c r="G73" s="18" t="str">
        <f t="shared" si="5"/>
        <v/>
      </c>
      <c r="H73" s="18" t="str">
        <f t="shared" si="6"/>
        <v/>
      </c>
      <c r="I73" s="35" t="str">
        <f t="shared" si="7"/>
        <v/>
      </c>
      <c r="J73" s="50"/>
      <c r="K73" s="17"/>
    </row>
    <row r="74" spans="1:11">
      <c r="A74" s="6">
        <f t="shared" si="4"/>
        <v>69</v>
      </c>
      <c r="B74" s="49"/>
      <c r="C74" s="35" t="str">
        <f>IFERROR(VLOOKUP(B74,'MASTER RECORD'!$B$5:$W$1000,3,0),"")</f>
        <v/>
      </c>
      <c r="D74" s="35" t="str">
        <f>IFERROR(VLOOKUP(B74,'MASTER RECORD'!$B$5:$W$1000,2,0),"")</f>
        <v/>
      </c>
      <c r="E74" s="36" t="str">
        <f>IFERROR(VLOOKUP(B74,'MASTER RECORD'!$B$5:$W$1000,9,0),"")</f>
        <v/>
      </c>
      <c r="F74" s="18"/>
      <c r="G74" s="18" t="str">
        <f t="shared" si="5"/>
        <v/>
      </c>
      <c r="H74" s="18" t="str">
        <f t="shared" si="6"/>
        <v/>
      </c>
      <c r="I74" s="35" t="str">
        <f t="shared" si="7"/>
        <v/>
      </c>
      <c r="J74" s="50"/>
      <c r="K74" s="17"/>
    </row>
    <row r="75" spans="1:11">
      <c r="A75" s="6">
        <f t="shared" si="4"/>
        <v>70</v>
      </c>
      <c r="B75" s="49"/>
      <c r="C75" s="35" t="str">
        <f>IFERROR(VLOOKUP(B75,'MASTER RECORD'!$B$5:$W$1000,3,0),"")</f>
        <v/>
      </c>
      <c r="D75" s="35" t="str">
        <f>IFERROR(VLOOKUP(B75,'MASTER RECORD'!$B$5:$W$1000,2,0),"")</f>
        <v/>
      </c>
      <c r="E75" s="36" t="str">
        <f>IFERROR(VLOOKUP(B75,'MASTER RECORD'!$B$5:$W$1000,9,0),"")</f>
        <v/>
      </c>
      <c r="F75" s="18"/>
      <c r="G75" s="18" t="str">
        <f t="shared" si="5"/>
        <v/>
      </c>
      <c r="H75" s="18" t="str">
        <f t="shared" si="6"/>
        <v/>
      </c>
      <c r="I75" s="35" t="str">
        <f t="shared" si="7"/>
        <v/>
      </c>
      <c r="J75" s="50"/>
      <c r="K75" s="17"/>
    </row>
    <row r="76" spans="1:11">
      <c r="A76" s="6">
        <f t="shared" si="4"/>
        <v>71</v>
      </c>
      <c r="B76" s="49"/>
      <c r="C76" s="35" t="str">
        <f>IFERROR(VLOOKUP(B76,'MASTER RECORD'!$B$5:$W$1000,3,0),"")</f>
        <v/>
      </c>
      <c r="D76" s="35" t="str">
        <f>IFERROR(VLOOKUP(B76,'MASTER RECORD'!$B$5:$W$1000,2,0),"")</f>
        <v/>
      </c>
      <c r="E76" s="36" t="str">
        <f>IFERROR(VLOOKUP(B76,'MASTER RECORD'!$B$5:$W$1000,9,0),"")</f>
        <v/>
      </c>
      <c r="F76" s="18"/>
      <c r="G76" s="18" t="str">
        <f t="shared" si="5"/>
        <v/>
      </c>
      <c r="H76" s="18" t="str">
        <f t="shared" si="6"/>
        <v/>
      </c>
      <c r="I76" s="35" t="str">
        <f t="shared" si="7"/>
        <v/>
      </c>
      <c r="J76" s="50"/>
      <c r="K76" s="17"/>
    </row>
    <row r="77" spans="1:11">
      <c r="A77" s="6">
        <f t="shared" si="4"/>
        <v>72</v>
      </c>
      <c r="B77" s="49"/>
      <c r="C77" s="35" t="str">
        <f>IFERROR(VLOOKUP(B77,'MASTER RECORD'!$B$5:$W$1000,3,0),"")</f>
        <v/>
      </c>
      <c r="D77" s="35" t="str">
        <f>IFERROR(VLOOKUP(B77,'MASTER RECORD'!$B$5:$W$1000,2,0),"")</f>
        <v/>
      </c>
      <c r="E77" s="36" t="str">
        <f>IFERROR(VLOOKUP(B77,'MASTER RECORD'!$B$5:$W$1000,9,0),"")</f>
        <v/>
      </c>
      <c r="F77" s="18"/>
      <c r="G77" s="18" t="str">
        <f t="shared" si="5"/>
        <v/>
      </c>
      <c r="H77" s="18" t="str">
        <f t="shared" si="6"/>
        <v/>
      </c>
      <c r="I77" s="35" t="str">
        <f t="shared" si="7"/>
        <v/>
      </c>
      <c r="J77" s="50"/>
      <c r="K77" s="17"/>
    </row>
    <row r="78" spans="1:11">
      <c r="A78" s="6">
        <f t="shared" si="4"/>
        <v>73</v>
      </c>
      <c r="B78" s="49"/>
      <c r="C78" s="35" t="str">
        <f>IFERROR(VLOOKUP(B78,'MASTER RECORD'!$B$5:$W$1000,3,0),"")</f>
        <v/>
      </c>
      <c r="D78" s="35" t="str">
        <f>IFERROR(VLOOKUP(B78,'MASTER RECORD'!$B$5:$W$1000,2,0),"")</f>
        <v/>
      </c>
      <c r="E78" s="36" t="str">
        <f>IFERROR(VLOOKUP(B78,'MASTER RECORD'!$B$5:$W$1000,9,0),"")</f>
        <v/>
      </c>
      <c r="F78" s="18"/>
      <c r="G78" s="18" t="str">
        <f t="shared" si="5"/>
        <v/>
      </c>
      <c r="H78" s="18" t="str">
        <f t="shared" si="6"/>
        <v/>
      </c>
      <c r="I78" s="35" t="str">
        <f t="shared" si="7"/>
        <v/>
      </c>
      <c r="J78" s="50"/>
      <c r="K78" s="17"/>
    </row>
    <row r="79" spans="1:11">
      <c r="A79" s="6">
        <f t="shared" si="4"/>
        <v>74</v>
      </c>
      <c r="B79" s="49"/>
      <c r="C79" s="35" t="str">
        <f>IFERROR(VLOOKUP(B79,'MASTER RECORD'!$B$5:$W$1000,3,0),"")</f>
        <v/>
      </c>
      <c r="D79" s="35" t="str">
        <f>IFERROR(VLOOKUP(B79,'MASTER RECORD'!$B$5:$W$1000,2,0),"")</f>
        <v/>
      </c>
      <c r="E79" s="36" t="str">
        <f>IFERROR(VLOOKUP(B79,'MASTER RECORD'!$B$5:$W$1000,9,0),"")</f>
        <v/>
      </c>
      <c r="F79" s="18"/>
      <c r="G79" s="18" t="str">
        <f t="shared" si="5"/>
        <v/>
      </c>
      <c r="H79" s="18" t="str">
        <f t="shared" si="6"/>
        <v/>
      </c>
      <c r="I79" s="35" t="str">
        <f t="shared" si="7"/>
        <v/>
      </c>
      <c r="J79" s="50"/>
      <c r="K79" s="17"/>
    </row>
    <row r="80" spans="1:11">
      <c r="A80" s="6">
        <f t="shared" si="4"/>
        <v>75</v>
      </c>
      <c r="B80" s="49"/>
      <c r="C80" s="35" t="str">
        <f>IFERROR(VLOOKUP(B80,'MASTER RECORD'!$B$5:$W$1000,3,0),"")</f>
        <v/>
      </c>
      <c r="D80" s="35" t="str">
        <f>IFERROR(VLOOKUP(B80,'MASTER RECORD'!$B$5:$W$1000,2,0),"")</f>
        <v/>
      </c>
      <c r="E80" s="36" t="str">
        <f>IFERROR(VLOOKUP(B80,'MASTER RECORD'!$B$5:$W$1000,9,0),"")</f>
        <v/>
      </c>
      <c r="F80" s="18"/>
      <c r="G80" s="18" t="str">
        <f t="shared" si="5"/>
        <v/>
      </c>
      <c r="H80" s="18" t="str">
        <f t="shared" si="6"/>
        <v/>
      </c>
      <c r="I80" s="35" t="str">
        <f t="shared" si="7"/>
        <v/>
      </c>
      <c r="J80" s="50"/>
      <c r="K80" s="17"/>
    </row>
    <row r="81" spans="1:11">
      <c r="A81" s="6">
        <f t="shared" si="4"/>
        <v>76</v>
      </c>
      <c r="B81" s="49"/>
      <c r="C81" s="35" t="str">
        <f>IFERROR(VLOOKUP(B81,'MASTER RECORD'!$B$5:$W$1000,3,0),"")</f>
        <v/>
      </c>
      <c r="D81" s="35" t="str">
        <f>IFERROR(VLOOKUP(B81,'MASTER RECORD'!$B$5:$W$1000,2,0),"")</f>
        <v/>
      </c>
      <c r="E81" s="36" t="str">
        <f>IFERROR(VLOOKUP(B81,'MASTER RECORD'!$B$5:$W$1000,9,0),"")</f>
        <v/>
      </c>
      <c r="F81" s="18"/>
      <c r="G81" s="18" t="str">
        <f t="shared" si="5"/>
        <v/>
      </c>
      <c r="H81" s="18" t="str">
        <f t="shared" si="6"/>
        <v/>
      </c>
      <c r="I81" s="35" t="str">
        <f t="shared" si="7"/>
        <v/>
      </c>
      <c r="J81" s="50"/>
      <c r="K81" s="17"/>
    </row>
    <row r="82" spans="1:11">
      <c r="A82" s="6">
        <f t="shared" si="4"/>
        <v>77</v>
      </c>
      <c r="B82" s="49"/>
      <c r="C82" s="35" t="str">
        <f>IFERROR(VLOOKUP(B82,'MASTER RECORD'!$B$5:$W$1000,3,0),"")</f>
        <v/>
      </c>
      <c r="D82" s="35" t="str">
        <f>IFERROR(VLOOKUP(B82,'MASTER RECORD'!$B$5:$W$1000,2,0),"")</f>
        <v/>
      </c>
      <c r="E82" s="36" t="str">
        <f>IFERROR(VLOOKUP(B82,'MASTER RECORD'!$B$5:$W$1000,9,0),"")</f>
        <v/>
      </c>
      <c r="F82" s="18"/>
      <c r="G82" s="18" t="str">
        <f t="shared" si="5"/>
        <v/>
      </c>
      <c r="H82" s="18" t="str">
        <f t="shared" si="6"/>
        <v/>
      </c>
      <c r="I82" s="35" t="str">
        <f t="shared" si="7"/>
        <v/>
      </c>
      <c r="J82" s="50"/>
      <c r="K82" s="17"/>
    </row>
    <row r="83" spans="1:11">
      <c r="A83" s="6">
        <f t="shared" si="4"/>
        <v>78</v>
      </c>
      <c r="B83" s="49"/>
      <c r="C83" s="35" t="str">
        <f>IFERROR(VLOOKUP(B83,'MASTER RECORD'!$B$5:$W$1000,3,0),"")</f>
        <v/>
      </c>
      <c r="D83" s="35" t="str">
        <f>IFERROR(VLOOKUP(B83,'MASTER RECORD'!$B$5:$W$1000,2,0),"")</f>
        <v/>
      </c>
      <c r="E83" s="36" t="str">
        <f>IFERROR(VLOOKUP(B83,'MASTER RECORD'!$B$5:$W$1000,9,0),"")</f>
        <v/>
      </c>
      <c r="F83" s="18"/>
      <c r="G83" s="18" t="str">
        <f t="shared" si="5"/>
        <v/>
      </c>
      <c r="H83" s="18" t="str">
        <f t="shared" si="6"/>
        <v/>
      </c>
      <c r="I83" s="35" t="str">
        <f t="shared" si="7"/>
        <v/>
      </c>
      <c r="J83" s="50"/>
      <c r="K83" s="17"/>
    </row>
    <row r="84" spans="1:11">
      <c r="A84" s="6">
        <f t="shared" si="4"/>
        <v>79</v>
      </c>
      <c r="B84" s="49"/>
      <c r="C84" s="35" t="str">
        <f>IFERROR(VLOOKUP(B84,'MASTER RECORD'!$B$5:$W$1000,3,0),"")</f>
        <v/>
      </c>
      <c r="D84" s="35" t="str">
        <f>IFERROR(VLOOKUP(B84,'MASTER RECORD'!$B$5:$W$1000,2,0),"")</f>
        <v/>
      </c>
      <c r="E84" s="36" t="str">
        <f>IFERROR(VLOOKUP(B84,'MASTER RECORD'!$B$5:$W$1000,9,0),"")</f>
        <v/>
      </c>
      <c r="F84" s="18"/>
      <c r="G84" s="18" t="str">
        <f t="shared" si="5"/>
        <v/>
      </c>
      <c r="H84" s="18" t="str">
        <f t="shared" si="6"/>
        <v/>
      </c>
      <c r="I84" s="35" t="str">
        <f t="shared" si="7"/>
        <v/>
      </c>
      <c r="J84" s="50"/>
      <c r="K84" s="17"/>
    </row>
    <row r="85" spans="1:11">
      <c r="A85" s="6">
        <f t="shared" si="4"/>
        <v>80</v>
      </c>
      <c r="B85" s="49"/>
      <c r="C85" s="35" t="str">
        <f>IFERROR(VLOOKUP(B85,'MASTER RECORD'!$B$5:$W$1000,3,0),"")</f>
        <v/>
      </c>
      <c r="D85" s="35" t="str">
        <f>IFERROR(VLOOKUP(B85,'MASTER RECORD'!$B$5:$W$1000,2,0),"")</f>
        <v/>
      </c>
      <c r="E85" s="36" t="str">
        <f>IFERROR(VLOOKUP(B85,'MASTER RECORD'!$B$5:$W$1000,9,0),"")</f>
        <v/>
      </c>
      <c r="F85" s="18"/>
      <c r="G85" s="18" t="str">
        <f t="shared" si="5"/>
        <v/>
      </c>
      <c r="H85" s="18" t="str">
        <f t="shared" si="6"/>
        <v/>
      </c>
      <c r="I85" s="35" t="str">
        <f t="shared" si="7"/>
        <v/>
      </c>
      <c r="J85" s="50"/>
      <c r="K85" s="17"/>
    </row>
    <row r="86" spans="1:11">
      <c r="A86" s="6">
        <f t="shared" si="4"/>
        <v>81</v>
      </c>
      <c r="B86" s="49"/>
      <c r="C86" s="35" t="str">
        <f>IFERROR(VLOOKUP(B86,'MASTER RECORD'!$B$5:$W$1000,3,0),"")</f>
        <v/>
      </c>
      <c r="D86" s="35" t="str">
        <f>IFERROR(VLOOKUP(B86,'MASTER RECORD'!$B$5:$W$1000,2,0),"")</f>
        <v/>
      </c>
      <c r="E86" s="36" t="str">
        <f>IFERROR(VLOOKUP(B86,'MASTER RECORD'!$B$5:$W$1000,9,0),"")</f>
        <v/>
      </c>
      <c r="F86" s="18"/>
      <c r="G86" s="18" t="str">
        <f t="shared" si="5"/>
        <v/>
      </c>
      <c r="H86" s="18" t="str">
        <f t="shared" si="6"/>
        <v/>
      </c>
      <c r="I86" s="35" t="str">
        <f t="shared" si="7"/>
        <v/>
      </c>
      <c r="J86" s="50"/>
      <c r="K86" s="17"/>
    </row>
    <row r="87" spans="1:11">
      <c r="A87" s="6">
        <f t="shared" si="4"/>
        <v>82</v>
      </c>
      <c r="B87" s="49"/>
      <c r="C87" s="35" t="str">
        <f>IFERROR(VLOOKUP(B87,'MASTER RECORD'!$B$5:$W$1000,3,0),"")</f>
        <v/>
      </c>
      <c r="D87" s="35" t="str">
        <f>IFERROR(VLOOKUP(B87,'MASTER RECORD'!$B$5:$W$1000,2,0),"")</f>
        <v/>
      </c>
      <c r="E87" s="36" t="str">
        <f>IFERROR(VLOOKUP(B87,'MASTER RECORD'!$B$5:$W$1000,9,0),"")</f>
        <v/>
      </c>
      <c r="F87" s="18"/>
      <c r="G87" s="18" t="str">
        <f t="shared" si="5"/>
        <v/>
      </c>
      <c r="H87" s="18" t="str">
        <f t="shared" si="6"/>
        <v/>
      </c>
      <c r="I87" s="35" t="str">
        <f t="shared" si="7"/>
        <v/>
      </c>
      <c r="J87" s="50"/>
      <c r="K87" s="17"/>
    </row>
    <row r="88" spans="1:11">
      <c r="A88" s="6">
        <f t="shared" si="4"/>
        <v>83</v>
      </c>
      <c r="B88" s="49"/>
      <c r="C88" s="35" t="str">
        <f>IFERROR(VLOOKUP(B88,'MASTER RECORD'!$B$5:$W$1000,3,0),"")</f>
        <v/>
      </c>
      <c r="D88" s="35" t="str">
        <f>IFERROR(VLOOKUP(B88,'MASTER RECORD'!$B$5:$W$1000,2,0),"")</f>
        <v/>
      </c>
      <c r="E88" s="36" t="str">
        <f>IFERROR(VLOOKUP(B88,'MASTER RECORD'!$B$5:$W$1000,9,0),"")</f>
        <v/>
      </c>
      <c r="F88" s="18"/>
      <c r="G88" s="18" t="str">
        <f t="shared" si="5"/>
        <v/>
      </c>
      <c r="H88" s="18" t="str">
        <f t="shared" si="6"/>
        <v/>
      </c>
      <c r="I88" s="35" t="str">
        <f t="shared" si="7"/>
        <v/>
      </c>
      <c r="J88" s="50"/>
      <c r="K88" s="17"/>
    </row>
    <row r="89" spans="1:11">
      <c r="A89" s="6">
        <f t="shared" si="4"/>
        <v>84</v>
      </c>
      <c r="B89" s="49"/>
      <c r="C89" s="35" t="str">
        <f>IFERROR(VLOOKUP(B89,'MASTER RECORD'!$B$5:$W$1000,3,0),"")</f>
        <v/>
      </c>
      <c r="D89" s="35" t="str">
        <f>IFERROR(VLOOKUP(B89,'MASTER RECORD'!$B$5:$W$1000,2,0),"")</f>
        <v/>
      </c>
      <c r="E89" s="36" t="str">
        <f>IFERROR(VLOOKUP(B89,'MASTER RECORD'!$B$5:$W$1000,9,0),"")</f>
        <v/>
      </c>
      <c r="F89" s="18"/>
      <c r="G89" s="18" t="str">
        <f t="shared" si="5"/>
        <v/>
      </c>
      <c r="H89" s="18" t="str">
        <f t="shared" si="6"/>
        <v/>
      </c>
      <c r="I89" s="35" t="str">
        <f t="shared" si="7"/>
        <v/>
      </c>
      <c r="J89" s="50"/>
      <c r="K89" s="17"/>
    </row>
    <row r="90" spans="1:11">
      <c r="A90" s="6">
        <f t="shared" si="4"/>
        <v>85</v>
      </c>
      <c r="B90" s="49"/>
      <c r="C90" s="35" t="str">
        <f>IFERROR(VLOOKUP(B90,'MASTER RECORD'!$B$5:$W$1000,3,0),"")</f>
        <v/>
      </c>
      <c r="D90" s="35" t="str">
        <f>IFERROR(VLOOKUP(B90,'MASTER RECORD'!$B$5:$W$1000,2,0),"")</f>
        <v/>
      </c>
      <c r="E90" s="36" t="str">
        <f>IFERROR(VLOOKUP(B90,'MASTER RECORD'!$B$5:$W$1000,9,0),"")</f>
        <v/>
      </c>
      <c r="F90" s="18"/>
      <c r="G90" s="18" t="str">
        <f t="shared" si="5"/>
        <v/>
      </c>
      <c r="H90" s="18" t="str">
        <f t="shared" si="6"/>
        <v/>
      </c>
      <c r="I90" s="35" t="str">
        <f t="shared" si="7"/>
        <v/>
      </c>
      <c r="J90" s="50"/>
      <c r="K90" s="17"/>
    </row>
    <row r="91" spans="1:11">
      <c r="A91" s="6">
        <f t="shared" si="4"/>
        <v>86</v>
      </c>
      <c r="B91" s="49"/>
      <c r="C91" s="35" t="str">
        <f>IFERROR(VLOOKUP(B91,'MASTER RECORD'!$B$5:$W$1000,3,0),"")</f>
        <v/>
      </c>
      <c r="D91" s="35" t="str">
        <f>IFERROR(VLOOKUP(B91,'MASTER RECORD'!$B$5:$W$1000,2,0),"")</f>
        <v/>
      </c>
      <c r="E91" s="36" t="str">
        <f>IFERROR(VLOOKUP(B91,'MASTER RECORD'!$B$5:$W$1000,9,0),"")</f>
        <v/>
      </c>
      <c r="F91" s="18"/>
      <c r="G91" s="18" t="str">
        <f t="shared" si="5"/>
        <v/>
      </c>
      <c r="H91" s="18" t="str">
        <f t="shared" si="6"/>
        <v/>
      </c>
      <c r="I91" s="35" t="str">
        <f t="shared" si="7"/>
        <v/>
      </c>
      <c r="J91" s="50"/>
      <c r="K91" s="17"/>
    </row>
    <row r="92" spans="1:11">
      <c r="A92" s="6">
        <f t="shared" si="4"/>
        <v>87</v>
      </c>
      <c r="B92" s="49"/>
      <c r="C92" s="35" t="str">
        <f>IFERROR(VLOOKUP(B92,'MASTER RECORD'!$B$5:$W$1000,3,0),"")</f>
        <v/>
      </c>
      <c r="D92" s="35" t="str">
        <f>IFERROR(VLOOKUP(B92,'MASTER RECORD'!$B$5:$W$1000,2,0),"")</f>
        <v/>
      </c>
      <c r="E92" s="36" t="str">
        <f>IFERROR(VLOOKUP(B92,'MASTER RECORD'!$B$5:$W$1000,9,0),"")</f>
        <v/>
      </c>
      <c r="F92" s="18"/>
      <c r="G92" s="18" t="str">
        <f t="shared" si="5"/>
        <v/>
      </c>
      <c r="H92" s="18" t="str">
        <f t="shared" si="6"/>
        <v/>
      </c>
      <c r="I92" s="35" t="str">
        <f t="shared" si="7"/>
        <v/>
      </c>
      <c r="J92" s="50"/>
      <c r="K92" s="17"/>
    </row>
    <row r="93" spans="1:11">
      <c r="A93" s="6">
        <f t="shared" si="4"/>
        <v>88</v>
      </c>
      <c r="B93" s="49"/>
      <c r="C93" s="35" t="str">
        <f>IFERROR(VLOOKUP(B93,'MASTER RECORD'!$B$5:$W$1000,3,0),"")</f>
        <v/>
      </c>
      <c r="D93" s="35" t="str">
        <f>IFERROR(VLOOKUP(B93,'MASTER RECORD'!$B$5:$W$1000,2,0),"")</f>
        <v/>
      </c>
      <c r="E93" s="36" t="str">
        <f>IFERROR(VLOOKUP(B93,'MASTER RECORD'!$B$5:$W$1000,9,0),"")</f>
        <v/>
      </c>
      <c r="F93" s="18"/>
      <c r="G93" s="18" t="str">
        <f t="shared" si="5"/>
        <v/>
      </c>
      <c r="H93" s="18" t="str">
        <f t="shared" si="6"/>
        <v/>
      </c>
      <c r="I93" s="35" t="str">
        <f t="shared" si="7"/>
        <v/>
      </c>
      <c r="J93" s="50"/>
      <c r="K93" s="17"/>
    </row>
    <row r="94" spans="1:11">
      <c r="A94" s="6">
        <f t="shared" si="4"/>
        <v>89</v>
      </c>
      <c r="B94" s="49"/>
      <c r="C94" s="35" t="str">
        <f>IFERROR(VLOOKUP(B94,'MASTER RECORD'!$B$5:$W$1000,3,0),"")</f>
        <v/>
      </c>
      <c r="D94" s="35" t="str">
        <f>IFERROR(VLOOKUP(B94,'MASTER RECORD'!$B$5:$W$1000,2,0),"")</f>
        <v/>
      </c>
      <c r="E94" s="36" t="str">
        <f>IFERROR(VLOOKUP(B94,'MASTER RECORD'!$B$5:$W$1000,9,0),"")</f>
        <v/>
      </c>
      <c r="F94" s="18"/>
      <c r="G94" s="18" t="str">
        <f t="shared" si="5"/>
        <v/>
      </c>
      <c r="H94" s="18" t="str">
        <f t="shared" si="6"/>
        <v/>
      </c>
      <c r="I94" s="35" t="str">
        <f t="shared" si="7"/>
        <v/>
      </c>
      <c r="J94" s="50"/>
      <c r="K94" s="17"/>
    </row>
    <row r="95" spans="1:11">
      <c r="A95" s="6">
        <f t="shared" si="4"/>
        <v>90</v>
      </c>
      <c r="B95" s="49"/>
      <c r="C95" s="35" t="str">
        <f>IFERROR(VLOOKUP(B95,'MASTER RECORD'!$B$5:$W$1000,3,0),"")</f>
        <v/>
      </c>
      <c r="D95" s="35" t="str">
        <f>IFERROR(VLOOKUP(B95,'MASTER RECORD'!$B$5:$W$1000,2,0),"")</f>
        <v/>
      </c>
      <c r="E95" s="36" t="str">
        <f>IFERROR(VLOOKUP(B95,'MASTER RECORD'!$B$5:$W$1000,9,0),"")</f>
        <v/>
      </c>
      <c r="F95" s="18"/>
      <c r="G95" s="18" t="str">
        <f t="shared" si="5"/>
        <v/>
      </c>
      <c r="H95" s="18" t="str">
        <f t="shared" si="6"/>
        <v/>
      </c>
      <c r="I95" s="35" t="str">
        <f t="shared" si="7"/>
        <v/>
      </c>
      <c r="J95" s="50"/>
      <c r="K95" s="17"/>
    </row>
    <row r="96" spans="1:11">
      <c r="A96" s="6">
        <f t="shared" si="4"/>
        <v>91</v>
      </c>
      <c r="B96" s="49"/>
      <c r="C96" s="35" t="str">
        <f>IFERROR(VLOOKUP(B96,'MASTER RECORD'!$B$5:$W$1000,3,0),"")</f>
        <v/>
      </c>
      <c r="D96" s="35" t="str">
        <f>IFERROR(VLOOKUP(B96,'MASTER RECORD'!$B$5:$W$1000,2,0),"")</f>
        <v/>
      </c>
      <c r="E96" s="36" t="str">
        <f>IFERROR(VLOOKUP(B96,'MASTER RECORD'!$B$5:$W$1000,9,0),"")</f>
        <v/>
      </c>
      <c r="F96" s="18"/>
      <c r="G96" s="18" t="str">
        <f t="shared" si="5"/>
        <v/>
      </c>
      <c r="H96" s="18" t="str">
        <f t="shared" si="6"/>
        <v/>
      </c>
      <c r="I96" s="35" t="str">
        <f t="shared" si="7"/>
        <v/>
      </c>
      <c r="J96" s="50"/>
      <c r="K96" s="17"/>
    </row>
    <row r="97" spans="1:11">
      <c r="A97" s="6">
        <f t="shared" si="4"/>
        <v>92</v>
      </c>
      <c r="B97" s="49"/>
      <c r="C97" s="35" t="str">
        <f>IFERROR(VLOOKUP(B97,'MASTER RECORD'!$B$5:$W$1000,3,0),"")</f>
        <v/>
      </c>
      <c r="D97" s="35" t="str">
        <f>IFERROR(VLOOKUP(B97,'MASTER RECORD'!$B$5:$W$1000,2,0),"")</f>
        <v/>
      </c>
      <c r="E97" s="36" t="str">
        <f>IFERROR(VLOOKUP(B97,'MASTER RECORD'!$B$5:$W$1000,9,0),"")</f>
        <v/>
      </c>
      <c r="F97" s="18"/>
      <c r="G97" s="18" t="str">
        <f t="shared" si="5"/>
        <v/>
      </c>
      <c r="H97" s="18" t="str">
        <f t="shared" si="6"/>
        <v/>
      </c>
      <c r="I97" s="35" t="str">
        <f t="shared" si="7"/>
        <v/>
      </c>
      <c r="J97" s="50"/>
      <c r="K97" s="17"/>
    </row>
    <row r="98" spans="1:11">
      <c r="A98" s="6">
        <f t="shared" si="4"/>
        <v>93</v>
      </c>
      <c r="B98" s="49"/>
      <c r="C98" s="35" t="str">
        <f>IFERROR(VLOOKUP(B98,'MASTER RECORD'!$B$5:$W$1000,3,0),"")</f>
        <v/>
      </c>
      <c r="D98" s="35" t="str">
        <f>IFERROR(VLOOKUP(B98,'MASTER RECORD'!$B$5:$W$1000,2,0),"")</f>
        <v/>
      </c>
      <c r="E98" s="36" t="str">
        <f>IFERROR(VLOOKUP(B98,'MASTER RECORD'!$B$5:$W$1000,9,0),"")</f>
        <v/>
      </c>
      <c r="F98" s="18"/>
      <c r="G98" s="18" t="str">
        <f t="shared" si="5"/>
        <v/>
      </c>
      <c r="H98" s="18" t="str">
        <f t="shared" si="6"/>
        <v/>
      </c>
      <c r="I98" s="35" t="str">
        <f t="shared" si="7"/>
        <v/>
      </c>
      <c r="J98" s="50"/>
      <c r="K98" s="17"/>
    </row>
    <row r="99" spans="1:11">
      <c r="A99" s="6">
        <f t="shared" si="4"/>
        <v>94</v>
      </c>
      <c r="B99" s="49"/>
      <c r="C99" s="35" t="str">
        <f>IFERROR(VLOOKUP(B99,'MASTER RECORD'!$B$5:$W$1000,3,0),"")</f>
        <v/>
      </c>
      <c r="D99" s="35" t="str">
        <f>IFERROR(VLOOKUP(B99,'MASTER RECORD'!$B$5:$W$1000,2,0),"")</f>
        <v/>
      </c>
      <c r="E99" s="36" t="str">
        <f>IFERROR(VLOOKUP(B99,'MASTER RECORD'!$B$5:$W$1000,9,0),"")</f>
        <v/>
      </c>
      <c r="F99" s="18"/>
      <c r="G99" s="18" t="str">
        <f t="shared" si="5"/>
        <v/>
      </c>
      <c r="H99" s="18" t="str">
        <f t="shared" si="6"/>
        <v/>
      </c>
      <c r="I99" s="35" t="str">
        <f t="shared" si="7"/>
        <v/>
      </c>
      <c r="J99" s="50"/>
      <c r="K99" s="17"/>
    </row>
    <row r="100" spans="1:11">
      <c r="A100" s="6">
        <f t="shared" si="4"/>
        <v>95</v>
      </c>
      <c r="B100" s="49"/>
      <c r="C100" s="35" t="str">
        <f>IFERROR(VLOOKUP(B100,'MASTER RECORD'!$B$5:$W$1000,3,0),"")</f>
        <v/>
      </c>
      <c r="D100" s="35" t="str">
        <f>IFERROR(VLOOKUP(B100,'MASTER RECORD'!$B$5:$W$1000,2,0),"")</f>
        <v/>
      </c>
      <c r="E100" s="36" t="str">
        <f>IFERROR(VLOOKUP(B100,'MASTER RECORD'!$B$5:$W$1000,9,0),"")</f>
        <v/>
      </c>
      <c r="F100" s="18"/>
      <c r="G100" s="18" t="str">
        <f t="shared" si="5"/>
        <v/>
      </c>
      <c r="H100" s="18" t="str">
        <f t="shared" si="6"/>
        <v/>
      </c>
      <c r="I100" s="35" t="str">
        <f t="shared" si="7"/>
        <v/>
      </c>
      <c r="J100" s="50"/>
      <c r="K100" s="17"/>
    </row>
    <row r="101" spans="1:11">
      <c r="A101" s="6">
        <f t="shared" si="4"/>
        <v>96</v>
      </c>
      <c r="B101" s="49"/>
      <c r="C101" s="35" t="str">
        <f>IFERROR(VLOOKUP(B101,'MASTER RECORD'!$B$5:$W$1000,3,0),"")</f>
        <v/>
      </c>
      <c r="D101" s="35" t="str">
        <f>IFERROR(VLOOKUP(B101,'MASTER RECORD'!$B$5:$W$1000,2,0),"")</f>
        <v/>
      </c>
      <c r="E101" s="36" t="str">
        <f>IFERROR(VLOOKUP(B101,'MASTER RECORD'!$B$5:$W$1000,9,0),"")</f>
        <v/>
      </c>
      <c r="F101" s="18"/>
      <c r="G101" s="18" t="str">
        <f t="shared" si="5"/>
        <v/>
      </c>
      <c r="H101" s="18" t="str">
        <f t="shared" si="6"/>
        <v/>
      </c>
      <c r="I101" s="35" t="str">
        <f t="shared" si="7"/>
        <v/>
      </c>
      <c r="J101" s="50"/>
      <c r="K101" s="17"/>
    </row>
    <row r="102" spans="1:11">
      <c r="A102" s="6">
        <f t="shared" si="4"/>
        <v>97</v>
      </c>
      <c r="B102" s="49"/>
      <c r="C102" s="35" t="str">
        <f>IFERROR(VLOOKUP(B102,'MASTER RECORD'!$B$5:$W$1000,3,0),"")</f>
        <v/>
      </c>
      <c r="D102" s="35" t="str">
        <f>IFERROR(VLOOKUP(B102,'MASTER RECORD'!$B$5:$W$1000,2,0),"")</f>
        <v/>
      </c>
      <c r="E102" s="36" t="str">
        <f>IFERROR(VLOOKUP(B102,'MASTER RECORD'!$B$5:$W$1000,9,0),"")</f>
        <v/>
      </c>
      <c r="F102" s="18"/>
      <c r="G102" s="18" t="str">
        <f t="shared" si="5"/>
        <v/>
      </c>
      <c r="H102" s="18" t="str">
        <f t="shared" si="6"/>
        <v/>
      </c>
      <c r="I102" s="35" t="str">
        <f t="shared" si="7"/>
        <v/>
      </c>
      <c r="J102" s="50"/>
      <c r="K102" s="17"/>
    </row>
    <row r="103" spans="1:11">
      <c r="A103" s="6">
        <f t="shared" si="4"/>
        <v>98</v>
      </c>
      <c r="B103" s="49"/>
      <c r="C103" s="35" t="str">
        <f>IFERROR(VLOOKUP(B103,'MASTER RECORD'!$B$5:$W$1000,3,0),"")</f>
        <v/>
      </c>
      <c r="D103" s="35" t="str">
        <f>IFERROR(VLOOKUP(B103,'MASTER RECORD'!$B$5:$W$1000,2,0),"")</f>
        <v/>
      </c>
      <c r="E103" s="36" t="str">
        <f>IFERROR(VLOOKUP(B103,'MASTER RECORD'!$B$5:$W$1000,9,0),"")</f>
        <v/>
      </c>
      <c r="F103" s="18"/>
      <c r="G103" s="18" t="str">
        <f t="shared" si="5"/>
        <v/>
      </c>
      <c r="H103" s="18" t="str">
        <f t="shared" si="6"/>
        <v/>
      </c>
      <c r="I103" s="35" t="str">
        <f t="shared" si="7"/>
        <v/>
      </c>
      <c r="J103" s="50"/>
      <c r="K103" s="17"/>
    </row>
    <row r="104" spans="1:11">
      <c r="A104" s="6">
        <f t="shared" si="4"/>
        <v>99</v>
      </c>
      <c r="B104" s="49"/>
      <c r="C104" s="35" t="str">
        <f>IFERROR(VLOOKUP(B104,'MASTER RECORD'!$B$5:$W$1000,3,0),"")</f>
        <v/>
      </c>
      <c r="D104" s="35" t="str">
        <f>IFERROR(VLOOKUP(B104,'MASTER RECORD'!$B$5:$W$1000,2,0),"")</f>
        <v/>
      </c>
      <c r="E104" s="36" t="str">
        <f>IFERROR(VLOOKUP(B104,'MASTER RECORD'!$B$5:$W$1000,9,0),"")</f>
        <v/>
      </c>
      <c r="F104" s="18"/>
      <c r="G104" s="18" t="str">
        <f t="shared" si="5"/>
        <v/>
      </c>
      <c r="H104" s="18" t="str">
        <f t="shared" si="6"/>
        <v/>
      </c>
      <c r="I104" s="35" t="str">
        <f t="shared" si="7"/>
        <v/>
      </c>
      <c r="J104" s="50"/>
      <c r="K104" s="17"/>
    </row>
    <row r="105" spans="1:11">
      <c r="A105" s="6">
        <f t="shared" si="4"/>
        <v>100</v>
      </c>
      <c r="B105" s="49"/>
      <c r="C105" s="35" t="str">
        <f>IFERROR(VLOOKUP(B105,'MASTER RECORD'!$B$5:$W$1000,3,0),"")</f>
        <v/>
      </c>
      <c r="D105" s="35" t="str">
        <f>IFERROR(VLOOKUP(B105,'MASTER RECORD'!$B$5:$W$1000,2,0),"")</f>
        <v/>
      </c>
      <c r="E105" s="36" t="str">
        <f>IFERROR(VLOOKUP(B105,'MASTER RECORD'!$B$5:$W$1000,9,0),"")</f>
        <v/>
      </c>
      <c r="F105" s="18"/>
      <c r="G105" s="18" t="str">
        <f t="shared" si="5"/>
        <v/>
      </c>
      <c r="H105" s="18" t="str">
        <f t="shared" si="6"/>
        <v/>
      </c>
      <c r="I105" s="35" t="str">
        <f t="shared" si="7"/>
        <v/>
      </c>
      <c r="J105" s="50"/>
      <c r="K105" s="17"/>
    </row>
    <row r="106" spans="1:11">
      <c r="A106" s="6">
        <f t="shared" si="4"/>
        <v>101</v>
      </c>
      <c r="B106" s="49"/>
      <c r="C106" s="35" t="str">
        <f>IFERROR(VLOOKUP(B106,'MASTER RECORD'!$B$5:$W$1000,3,0),"")</f>
        <v/>
      </c>
      <c r="D106" s="35" t="str">
        <f>IFERROR(VLOOKUP(B106,'MASTER RECORD'!$B$5:$W$1000,2,0),"")</f>
        <v/>
      </c>
      <c r="E106" s="36" t="str">
        <f>IFERROR(VLOOKUP(B106,'MASTER RECORD'!$B$5:$W$1000,9,0),"")</f>
        <v/>
      </c>
      <c r="F106" s="18"/>
      <c r="G106" s="18" t="str">
        <f t="shared" si="5"/>
        <v/>
      </c>
      <c r="H106" s="18" t="str">
        <f t="shared" si="6"/>
        <v/>
      </c>
      <c r="I106" s="35" t="str">
        <f t="shared" si="7"/>
        <v/>
      </c>
      <c r="J106" s="50"/>
      <c r="K106" s="17"/>
    </row>
    <row r="107" spans="1:11">
      <c r="A107" s="6">
        <f t="shared" si="4"/>
        <v>102</v>
      </c>
      <c r="B107" s="49"/>
      <c r="C107" s="35" t="str">
        <f>IFERROR(VLOOKUP(B107,'MASTER RECORD'!$B$5:$W$1000,3,0),"")</f>
        <v/>
      </c>
      <c r="D107" s="35" t="str">
        <f>IFERROR(VLOOKUP(B107,'MASTER RECORD'!$B$5:$W$1000,2,0),"")</f>
        <v/>
      </c>
      <c r="E107" s="36" t="str">
        <f>IFERROR(VLOOKUP(B107,'MASTER RECORD'!$B$5:$W$1000,9,0),"")</f>
        <v/>
      </c>
      <c r="F107" s="18"/>
      <c r="G107" s="18" t="str">
        <f t="shared" si="5"/>
        <v/>
      </c>
      <c r="H107" s="18" t="str">
        <f t="shared" si="6"/>
        <v/>
      </c>
      <c r="I107" s="35" t="str">
        <f t="shared" si="7"/>
        <v/>
      </c>
      <c r="J107" s="50"/>
      <c r="K107" s="17"/>
    </row>
    <row r="108" spans="1:11">
      <c r="A108" s="6">
        <f t="shared" si="4"/>
        <v>103</v>
      </c>
      <c r="B108" s="49"/>
      <c r="C108" s="35" t="str">
        <f>IFERROR(VLOOKUP(B108,'MASTER RECORD'!$B$5:$W$1000,3,0),"")</f>
        <v/>
      </c>
      <c r="D108" s="35" t="str">
        <f>IFERROR(VLOOKUP(B108,'MASTER RECORD'!$B$5:$W$1000,2,0),"")</f>
        <v/>
      </c>
      <c r="E108" s="36" t="str">
        <f>IFERROR(VLOOKUP(B108,'MASTER RECORD'!$B$5:$W$1000,9,0),"")</f>
        <v/>
      </c>
      <c r="F108" s="18"/>
      <c r="G108" s="18" t="str">
        <f t="shared" si="5"/>
        <v/>
      </c>
      <c r="H108" s="18" t="str">
        <f t="shared" si="6"/>
        <v/>
      </c>
      <c r="I108" s="35" t="str">
        <f t="shared" si="7"/>
        <v/>
      </c>
      <c r="J108" s="50"/>
      <c r="K108" s="17"/>
    </row>
    <row r="109" spans="1:11">
      <c r="A109" s="6">
        <f t="shared" si="4"/>
        <v>104</v>
      </c>
      <c r="B109" s="49"/>
      <c r="C109" s="35" t="str">
        <f>IFERROR(VLOOKUP(B109,'MASTER RECORD'!$B$5:$W$1000,3,0),"")</f>
        <v/>
      </c>
      <c r="D109" s="35" t="str">
        <f>IFERROR(VLOOKUP(B109,'MASTER RECORD'!$B$5:$W$1000,2,0),"")</f>
        <v/>
      </c>
      <c r="E109" s="36" t="str">
        <f>IFERROR(VLOOKUP(B109,'MASTER RECORD'!$B$5:$W$1000,9,0),"")</f>
        <v/>
      </c>
      <c r="F109" s="18"/>
      <c r="G109" s="18" t="str">
        <f t="shared" si="5"/>
        <v/>
      </c>
      <c r="H109" s="18" t="str">
        <f t="shared" si="6"/>
        <v/>
      </c>
      <c r="I109" s="35" t="str">
        <f t="shared" si="7"/>
        <v/>
      </c>
      <c r="J109" s="50"/>
      <c r="K109" s="17"/>
    </row>
    <row r="110" spans="1:11">
      <c r="A110" s="6">
        <f t="shared" si="4"/>
        <v>105</v>
      </c>
      <c r="B110" s="49"/>
      <c r="C110" s="35" t="str">
        <f>IFERROR(VLOOKUP(B110,'MASTER RECORD'!$B$5:$W$1000,3,0),"")</f>
        <v/>
      </c>
      <c r="D110" s="35" t="str">
        <f>IFERROR(VLOOKUP(B110,'MASTER RECORD'!$B$5:$W$1000,2,0),"")</f>
        <v/>
      </c>
      <c r="E110" s="36" t="str">
        <f>IFERROR(VLOOKUP(B110,'MASTER RECORD'!$B$5:$W$1000,9,0),"")</f>
        <v/>
      </c>
      <c r="F110" s="18"/>
      <c r="G110" s="18" t="str">
        <f t="shared" si="5"/>
        <v/>
      </c>
      <c r="H110" s="18" t="str">
        <f t="shared" si="6"/>
        <v/>
      </c>
      <c r="I110" s="35" t="str">
        <f t="shared" si="7"/>
        <v/>
      </c>
      <c r="J110" s="50"/>
      <c r="K110" s="17"/>
    </row>
    <row r="111" spans="1:11">
      <c r="A111" s="6">
        <f t="shared" si="4"/>
        <v>106</v>
      </c>
      <c r="B111" s="49"/>
      <c r="C111" s="35" t="str">
        <f>IFERROR(VLOOKUP(B111,'MASTER RECORD'!$B$5:$W$1000,3,0),"")</f>
        <v/>
      </c>
      <c r="D111" s="35" t="str">
        <f>IFERROR(VLOOKUP(B111,'MASTER RECORD'!$B$5:$W$1000,2,0),"")</f>
        <v/>
      </c>
      <c r="E111" s="36" t="str">
        <f>IFERROR(VLOOKUP(B111,'MASTER RECORD'!$B$5:$W$1000,9,0),"")</f>
        <v/>
      </c>
      <c r="F111" s="18"/>
      <c r="G111" s="18" t="str">
        <f t="shared" si="5"/>
        <v/>
      </c>
      <c r="H111" s="18" t="str">
        <f t="shared" si="6"/>
        <v/>
      </c>
      <c r="I111" s="35" t="str">
        <f t="shared" si="7"/>
        <v/>
      </c>
      <c r="J111" s="50"/>
      <c r="K111" s="17"/>
    </row>
    <row r="112" spans="1:11">
      <c r="A112" s="6">
        <f t="shared" si="4"/>
        <v>107</v>
      </c>
      <c r="B112" s="49"/>
      <c r="C112" s="35" t="str">
        <f>IFERROR(VLOOKUP(B112,'MASTER RECORD'!$B$5:$W$1000,3,0),"")</f>
        <v/>
      </c>
      <c r="D112" s="35" t="str">
        <f>IFERROR(VLOOKUP(B112,'MASTER RECORD'!$B$5:$W$1000,2,0),"")</f>
        <v/>
      </c>
      <c r="E112" s="36" t="str">
        <f>IFERROR(VLOOKUP(B112,'MASTER RECORD'!$B$5:$W$1000,9,0),"")</f>
        <v/>
      </c>
      <c r="F112" s="18"/>
      <c r="G112" s="18" t="str">
        <f t="shared" si="5"/>
        <v/>
      </c>
      <c r="H112" s="18" t="str">
        <f t="shared" si="6"/>
        <v/>
      </c>
      <c r="I112" s="35" t="str">
        <f t="shared" si="7"/>
        <v/>
      </c>
      <c r="J112" s="50"/>
      <c r="K112" s="17"/>
    </row>
    <row r="113" spans="1:11">
      <c r="A113" s="6">
        <f t="shared" si="4"/>
        <v>108</v>
      </c>
      <c r="B113" s="49"/>
      <c r="C113" s="35" t="str">
        <f>IFERROR(VLOOKUP(B113,'MASTER RECORD'!$B$5:$W$1000,3,0),"")</f>
        <v/>
      </c>
      <c r="D113" s="35" t="str">
        <f>IFERROR(VLOOKUP(B113,'MASTER RECORD'!$B$5:$W$1000,2,0),"")</f>
        <v/>
      </c>
      <c r="E113" s="36" t="str">
        <f>IFERROR(VLOOKUP(B113,'MASTER RECORD'!$B$5:$W$1000,9,0),"")</f>
        <v/>
      </c>
      <c r="F113" s="18"/>
      <c r="G113" s="18" t="str">
        <f t="shared" si="5"/>
        <v/>
      </c>
      <c r="H113" s="18" t="str">
        <f t="shared" si="6"/>
        <v/>
      </c>
      <c r="I113" s="35" t="str">
        <f t="shared" si="7"/>
        <v/>
      </c>
      <c r="J113" s="50"/>
      <c r="K113" s="17"/>
    </row>
    <row r="114" spans="1:11">
      <c r="A114" s="6">
        <f t="shared" si="4"/>
        <v>109</v>
      </c>
      <c r="B114" s="49"/>
      <c r="C114" s="35" t="str">
        <f>IFERROR(VLOOKUP(B114,'MASTER RECORD'!$B$5:$W$1000,3,0),"")</f>
        <v/>
      </c>
      <c r="D114" s="35" t="str">
        <f>IFERROR(VLOOKUP(B114,'MASTER RECORD'!$B$5:$W$1000,2,0),"")</f>
        <v/>
      </c>
      <c r="E114" s="36" t="str">
        <f>IFERROR(VLOOKUP(B114,'MASTER RECORD'!$B$5:$W$1000,9,0),"")</f>
        <v/>
      </c>
      <c r="F114" s="18"/>
      <c r="G114" s="18" t="str">
        <f t="shared" si="5"/>
        <v/>
      </c>
      <c r="H114" s="18" t="str">
        <f t="shared" si="6"/>
        <v/>
      </c>
      <c r="I114" s="35" t="str">
        <f t="shared" si="7"/>
        <v/>
      </c>
      <c r="J114" s="50"/>
      <c r="K114" s="17"/>
    </row>
    <row r="115" spans="1:11">
      <c r="A115" s="6">
        <f t="shared" si="4"/>
        <v>110</v>
      </c>
      <c r="B115" s="49"/>
      <c r="C115" s="35" t="str">
        <f>IFERROR(VLOOKUP(B115,'MASTER RECORD'!$B$5:$W$1000,3,0),"")</f>
        <v/>
      </c>
      <c r="D115" s="35" t="str">
        <f>IFERROR(VLOOKUP(B115,'MASTER RECORD'!$B$5:$W$1000,2,0),"")</f>
        <v/>
      </c>
      <c r="E115" s="36" t="str">
        <f>IFERROR(VLOOKUP(B115,'MASTER RECORD'!$B$5:$W$1000,9,0),"")</f>
        <v/>
      </c>
      <c r="F115" s="18"/>
      <c r="G115" s="18" t="str">
        <f t="shared" si="5"/>
        <v/>
      </c>
      <c r="H115" s="18" t="str">
        <f t="shared" si="6"/>
        <v/>
      </c>
      <c r="I115" s="35" t="str">
        <f t="shared" si="7"/>
        <v/>
      </c>
      <c r="J115" s="50"/>
      <c r="K115" s="17"/>
    </row>
    <row r="116" spans="1:11">
      <c r="A116" s="6">
        <f t="shared" si="4"/>
        <v>111</v>
      </c>
      <c r="B116" s="49"/>
      <c r="C116" s="35" t="str">
        <f>IFERROR(VLOOKUP(B116,'MASTER RECORD'!$B$5:$W$1000,3,0),"")</f>
        <v/>
      </c>
      <c r="D116" s="35" t="str">
        <f>IFERROR(VLOOKUP(B116,'MASTER RECORD'!$B$5:$W$1000,2,0),"")</f>
        <v/>
      </c>
      <c r="E116" s="36" t="str">
        <f>IFERROR(VLOOKUP(B116,'MASTER RECORD'!$B$5:$W$1000,9,0),"")</f>
        <v/>
      </c>
      <c r="F116" s="18"/>
      <c r="G116" s="18" t="str">
        <f t="shared" si="5"/>
        <v/>
      </c>
      <c r="H116" s="18" t="str">
        <f t="shared" si="6"/>
        <v/>
      </c>
      <c r="I116" s="35" t="str">
        <f t="shared" si="7"/>
        <v/>
      </c>
      <c r="J116" s="50"/>
      <c r="K116" s="17"/>
    </row>
    <row r="117" spans="1:11">
      <c r="A117" s="6">
        <f t="shared" si="4"/>
        <v>112</v>
      </c>
      <c r="B117" s="49"/>
      <c r="C117" s="35" t="str">
        <f>IFERROR(VLOOKUP(B117,'MASTER RECORD'!$B$5:$W$1000,3,0),"")</f>
        <v/>
      </c>
      <c r="D117" s="35" t="str">
        <f>IFERROR(VLOOKUP(B117,'MASTER RECORD'!$B$5:$W$1000,2,0),"")</f>
        <v/>
      </c>
      <c r="E117" s="36" t="str">
        <f>IFERROR(VLOOKUP(B117,'MASTER RECORD'!$B$5:$W$1000,9,0),"")</f>
        <v/>
      </c>
      <c r="F117" s="18"/>
      <c r="G117" s="18" t="str">
        <f t="shared" si="5"/>
        <v/>
      </c>
      <c r="H117" s="18" t="str">
        <f t="shared" si="6"/>
        <v/>
      </c>
      <c r="I117" s="35" t="str">
        <f t="shared" si="7"/>
        <v/>
      </c>
      <c r="J117" s="50"/>
      <c r="K117" s="17"/>
    </row>
    <row r="118" spans="1:11">
      <c r="A118" s="6">
        <f t="shared" si="4"/>
        <v>113</v>
      </c>
      <c r="B118" s="49"/>
      <c r="C118" s="35" t="str">
        <f>IFERROR(VLOOKUP(B118,'MASTER RECORD'!$B$5:$W$1000,3,0),"")</f>
        <v/>
      </c>
      <c r="D118" s="35" t="str">
        <f>IFERROR(VLOOKUP(B118,'MASTER RECORD'!$B$5:$W$1000,2,0),"")</f>
        <v/>
      </c>
      <c r="E118" s="36" t="str">
        <f>IFERROR(VLOOKUP(B118,'MASTER RECORD'!$B$5:$W$1000,9,0),"")</f>
        <v/>
      </c>
      <c r="F118" s="18"/>
      <c r="G118" s="18" t="str">
        <f t="shared" si="5"/>
        <v/>
      </c>
      <c r="H118" s="18" t="str">
        <f t="shared" si="6"/>
        <v/>
      </c>
      <c r="I118" s="35" t="str">
        <f t="shared" si="7"/>
        <v/>
      </c>
      <c r="J118" s="50"/>
      <c r="K118" s="17"/>
    </row>
    <row r="119" spans="1:11">
      <c r="A119" s="6">
        <f t="shared" si="4"/>
        <v>114</v>
      </c>
      <c r="B119" s="49"/>
      <c r="C119" s="35" t="str">
        <f>IFERROR(VLOOKUP(B119,'MASTER RECORD'!$B$5:$W$1000,3,0),"")</f>
        <v/>
      </c>
      <c r="D119" s="35" t="str">
        <f>IFERROR(VLOOKUP(B119,'MASTER RECORD'!$B$5:$W$1000,2,0),"")</f>
        <v/>
      </c>
      <c r="E119" s="36" t="str">
        <f>IFERROR(VLOOKUP(B119,'MASTER RECORD'!$B$5:$W$1000,9,0),"")</f>
        <v/>
      </c>
      <c r="F119" s="18"/>
      <c r="G119" s="18" t="str">
        <f t="shared" si="5"/>
        <v/>
      </c>
      <c r="H119" s="18" t="str">
        <f t="shared" si="6"/>
        <v/>
      </c>
      <c r="I119" s="35" t="str">
        <f t="shared" si="7"/>
        <v/>
      </c>
      <c r="J119" s="50"/>
      <c r="K119" s="17"/>
    </row>
    <row r="120" spans="1:11">
      <c r="A120" s="6">
        <f t="shared" si="4"/>
        <v>115</v>
      </c>
      <c r="B120" s="49"/>
      <c r="C120" s="35" t="str">
        <f>IFERROR(VLOOKUP(B120,'MASTER RECORD'!$B$5:$W$1000,3,0),"")</f>
        <v/>
      </c>
      <c r="D120" s="35" t="str">
        <f>IFERROR(VLOOKUP(B120,'MASTER RECORD'!$B$5:$W$1000,2,0),"")</f>
        <v/>
      </c>
      <c r="E120" s="36" t="str">
        <f>IFERROR(VLOOKUP(B120,'MASTER RECORD'!$B$5:$W$1000,9,0),"")</f>
        <v/>
      </c>
      <c r="F120" s="18"/>
      <c r="G120" s="18" t="str">
        <f t="shared" si="5"/>
        <v/>
      </c>
      <c r="H120" s="18" t="str">
        <f t="shared" si="6"/>
        <v/>
      </c>
      <c r="I120" s="35" t="str">
        <f t="shared" si="7"/>
        <v/>
      </c>
      <c r="J120" s="50"/>
      <c r="K120" s="17"/>
    </row>
    <row r="121" spans="1:11">
      <c r="A121" s="6">
        <f t="shared" si="4"/>
        <v>116</v>
      </c>
      <c r="B121" s="49"/>
      <c r="C121" s="35" t="str">
        <f>IFERROR(VLOOKUP(B121,'MASTER RECORD'!$B$5:$W$1000,3,0),"")</f>
        <v/>
      </c>
      <c r="D121" s="35" t="str">
        <f>IFERROR(VLOOKUP(B121,'MASTER RECORD'!$B$5:$W$1000,2,0),"")</f>
        <v/>
      </c>
      <c r="E121" s="36" t="str">
        <f>IFERROR(VLOOKUP(B121,'MASTER RECORD'!$B$5:$W$1000,9,0),"")</f>
        <v/>
      </c>
      <c r="F121" s="18"/>
      <c r="G121" s="18" t="str">
        <f t="shared" si="5"/>
        <v/>
      </c>
      <c r="H121" s="18" t="str">
        <f t="shared" si="6"/>
        <v/>
      </c>
      <c r="I121" s="35" t="str">
        <f t="shared" si="7"/>
        <v/>
      </c>
      <c r="J121" s="50"/>
      <c r="K121" s="17"/>
    </row>
    <row r="122" spans="1:11">
      <c r="A122" s="6">
        <f t="shared" si="4"/>
        <v>117</v>
      </c>
      <c r="B122" s="49"/>
      <c r="C122" s="35" t="str">
        <f>IFERROR(VLOOKUP(B122,'MASTER RECORD'!$B$5:$W$1000,3,0),"")</f>
        <v/>
      </c>
      <c r="D122" s="35" t="str">
        <f>IFERROR(VLOOKUP(B122,'MASTER RECORD'!$B$5:$W$1000,2,0),"")</f>
        <v/>
      </c>
      <c r="E122" s="36" t="str">
        <f>IFERROR(VLOOKUP(B122,'MASTER RECORD'!$B$5:$W$1000,9,0),"")</f>
        <v/>
      </c>
      <c r="F122" s="18"/>
      <c r="G122" s="18" t="str">
        <f t="shared" si="5"/>
        <v/>
      </c>
      <c r="H122" s="18" t="str">
        <f t="shared" si="6"/>
        <v/>
      </c>
      <c r="I122" s="35" t="str">
        <f t="shared" si="7"/>
        <v/>
      </c>
      <c r="J122" s="50"/>
      <c r="K122" s="17"/>
    </row>
    <row r="123" spans="1:11">
      <c r="A123" s="6">
        <f t="shared" si="4"/>
        <v>118</v>
      </c>
      <c r="B123" s="49"/>
      <c r="C123" s="35" t="str">
        <f>IFERROR(VLOOKUP(B123,'MASTER RECORD'!$B$5:$W$1000,3,0),"")</f>
        <v/>
      </c>
      <c r="D123" s="35" t="str">
        <f>IFERROR(VLOOKUP(B123,'MASTER RECORD'!$B$5:$W$1000,2,0),"")</f>
        <v/>
      </c>
      <c r="E123" s="36" t="str">
        <f>IFERROR(VLOOKUP(B123,'MASTER RECORD'!$B$5:$W$1000,9,0),"")</f>
        <v/>
      </c>
      <c r="F123" s="18"/>
      <c r="G123" s="18" t="str">
        <f t="shared" si="5"/>
        <v/>
      </c>
      <c r="H123" s="18" t="str">
        <f t="shared" si="6"/>
        <v/>
      </c>
      <c r="I123" s="35" t="str">
        <f t="shared" si="7"/>
        <v/>
      </c>
      <c r="J123" s="50"/>
      <c r="K123" s="17"/>
    </row>
    <row r="124" spans="1:11">
      <c r="A124" s="6">
        <f t="shared" si="4"/>
        <v>119</v>
      </c>
      <c r="B124" s="49"/>
      <c r="C124" s="35" t="str">
        <f>IFERROR(VLOOKUP(B124,'MASTER RECORD'!$B$5:$W$1000,3,0),"")</f>
        <v/>
      </c>
      <c r="D124" s="35" t="str">
        <f>IFERROR(VLOOKUP(B124,'MASTER RECORD'!$B$5:$W$1000,2,0),"")</f>
        <v/>
      </c>
      <c r="E124" s="36" t="str">
        <f>IFERROR(VLOOKUP(B124,'MASTER RECORD'!$B$5:$W$1000,9,0),"")</f>
        <v/>
      </c>
      <c r="F124" s="18"/>
      <c r="G124" s="18" t="str">
        <f t="shared" si="5"/>
        <v/>
      </c>
      <c r="H124" s="18" t="str">
        <f t="shared" si="6"/>
        <v/>
      </c>
      <c r="I124" s="35" t="str">
        <f t="shared" si="7"/>
        <v/>
      </c>
      <c r="J124" s="50"/>
      <c r="K124" s="17"/>
    </row>
    <row r="125" spans="1:11">
      <c r="A125" s="6">
        <f t="shared" si="4"/>
        <v>120</v>
      </c>
      <c r="B125" s="49"/>
      <c r="C125" s="35" t="str">
        <f>IFERROR(VLOOKUP(B125,'MASTER RECORD'!$B$5:$W$1000,3,0),"")</f>
        <v/>
      </c>
      <c r="D125" s="35" t="str">
        <f>IFERROR(VLOOKUP(B125,'MASTER RECORD'!$B$5:$W$1000,2,0),"")</f>
        <v/>
      </c>
      <c r="E125" s="36" t="str">
        <f>IFERROR(VLOOKUP(B125,'MASTER RECORD'!$B$5:$W$1000,9,0),"")</f>
        <v/>
      </c>
      <c r="F125" s="18"/>
      <c r="G125" s="18" t="str">
        <f t="shared" si="5"/>
        <v/>
      </c>
      <c r="H125" s="18" t="str">
        <f t="shared" si="6"/>
        <v/>
      </c>
      <c r="I125" s="35" t="str">
        <f t="shared" si="7"/>
        <v/>
      </c>
      <c r="J125" s="50"/>
      <c r="K125" s="17"/>
    </row>
    <row r="126" spans="1:11">
      <c r="A126" s="6">
        <f t="shared" si="4"/>
        <v>121</v>
      </c>
      <c r="B126" s="49"/>
      <c r="C126" s="35" t="str">
        <f>IFERROR(VLOOKUP(B126,'MASTER RECORD'!$B$5:$W$1000,3,0),"")</f>
        <v/>
      </c>
      <c r="D126" s="35" t="str">
        <f>IFERROR(VLOOKUP(B126,'MASTER RECORD'!$B$5:$W$1000,2,0),"")</f>
        <v/>
      </c>
      <c r="E126" s="36" t="str">
        <f>IFERROR(VLOOKUP(B126,'MASTER RECORD'!$B$5:$W$1000,9,0),"")</f>
        <v/>
      </c>
      <c r="F126" s="18"/>
      <c r="G126" s="18" t="str">
        <f t="shared" si="5"/>
        <v/>
      </c>
      <c r="H126" s="18" t="str">
        <f t="shared" si="6"/>
        <v/>
      </c>
      <c r="I126" s="35" t="str">
        <f t="shared" si="7"/>
        <v/>
      </c>
      <c r="J126" s="50"/>
      <c r="K126" s="17"/>
    </row>
    <row r="127" spans="1:11">
      <c r="A127" s="6">
        <f t="shared" si="4"/>
        <v>122</v>
      </c>
      <c r="B127" s="49"/>
      <c r="C127" s="35" t="str">
        <f>IFERROR(VLOOKUP(B127,'MASTER RECORD'!$B$5:$W$1000,3,0),"")</f>
        <v/>
      </c>
      <c r="D127" s="35" t="str">
        <f>IFERROR(VLOOKUP(B127,'MASTER RECORD'!$B$5:$W$1000,2,0),"")</f>
        <v/>
      </c>
      <c r="E127" s="36" t="str">
        <f>IFERROR(VLOOKUP(B127,'MASTER RECORD'!$B$5:$W$1000,9,0),"")</f>
        <v/>
      </c>
      <c r="F127" s="18"/>
      <c r="G127" s="18" t="str">
        <f t="shared" si="5"/>
        <v/>
      </c>
      <c r="H127" s="18" t="str">
        <f t="shared" si="6"/>
        <v/>
      </c>
      <c r="I127" s="35" t="str">
        <f t="shared" si="7"/>
        <v/>
      </c>
      <c r="J127" s="50"/>
      <c r="K127" s="17"/>
    </row>
    <row r="128" spans="1:11">
      <c r="A128" s="6">
        <f t="shared" si="4"/>
        <v>123</v>
      </c>
      <c r="B128" s="49"/>
      <c r="C128" s="35" t="str">
        <f>IFERROR(VLOOKUP(B128,'MASTER RECORD'!$B$5:$W$1000,3,0),"")</f>
        <v/>
      </c>
      <c r="D128" s="35" t="str">
        <f>IFERROR(VLOOKUP(B128,'MASTER RECORD'!$B$5:$W$1000,2,0),"")</f>
        <v/>
      </c>
      <c r="E128" s="36" t="str">
        <f>IFERROR(VLOOKUP(B128,'MASTER RECORD'!$B$5:$W$1000,9,0),"")</f>
        <v/>
      </c>
      <c r="F128" s="18"/>
      <c r="G128" s="18" t="str">
        <f t="shared" si="5"/>
        <v/>
      </c>
      <c r="H128" s="18" t="str">
        <f t="shared" si="6"/>
        <v/>
      </c>
      <c r="I128" s="35" t="str">
        <f t="shared" si="7"/>
        <v/>
      </c>
      <c r="J128" s="50"/>
      <c r="K128" s="17"/>
    </row>
    <row r="129" spans="1:11">
      <c r="A129" s="6">
        <f t="shared" si="4"/>
        <v>124</v>
      </c>
      <c r="B129" s="49"/>
      <c r="C129" s="35" t="str">
        <f>IFERROR(VLOOKUP(B129,'MASTER RECORD'!$B$5:$W$1000,3,0),"")</f>
        <v/>
      </c>
      <c r="D129" s="35" t="str">
        <f>IFERROR(VLOOKUP(B129,'MASTER RECORD'!$B$5:$W$1000,2,0),"")</f>
        <v/>
      </c>
      <c r="E129" s="36" t="str">
        <f>IFERROR(VLOOKUP(B129,'MASTER RECORD'!$B$5:$W$1000,9,0),"")</f>
        <v/>
      </c>
      <c r="F129" s="18"/>
      <c r="G129" s="18" t="str">
        <f t="shared" si="5"/>
        <v/>
      </c>
      <c r="H129" s="18" t="str">
        <f t="shared" si="6"/>
        <v/>
      </c>
      <c r="I129" s="35" t="str">
        <f t="shared" si="7"/>
        <v/>
      </c>
      <c r="J129" s="50"/>
      <c r="K129" s="17"/>
    </row>
    <row r="130" spans="1:11">
      <c r="A130" s="6">
        <f t="shared" si="4"/>
        <v>125</v>
      </c>
      <c r="B130" s="49"/>
      <c r="C130" s="35" t="str">
        <f>IFERROR(VLOOKUP(B130,'MASTER RECORD'!$B$5:$W$1000,3,0),"")</f>
        <v/>
      </c>
      <c r="D130" s="35" t="str">
        <f>IFERROR(VLOOKUP(B130,'MASTER RECORD'!$B$5:$W$1000,2,0),"")</f>
        <v/>
      </c>
      <c r="E130" s="36" t="str">
        <f>IFERROR(VLOOKUP(B130,'MASTER RECORD'!$B$5:$W$1000,9,0),"")</f>
        <v/>
      </c>
      <c r="F130" s="18"/>
      <c r="G130" s="18" t="str">
        <f t="shared" si="5"/>
        <v/>
      </c>
      <c r="H130" s="18" t="str">
        <f t="shared" si="6"/>
        <v/>
      </c>
      <c r="I130" s="35" t="str">
        <f t="shared" si="7"/>
        <v/>
      </c>
      <c r="J130" s="50"/>
      <c r="K130" s="17"/>
    </row>
    <row r="131" spans="1:11">
      <c r="A131" s="6">
        <f t="shared" si="4"/>
        <v>126</v>
      </c>
      <c r="B131" s="49"/>
      <c r="C131" s="35" t="str">
        <f>IFERROR(VLOOKUP(B131,'MASTER RECORD'!$B$5:$W$1000,3,0),"")</f>
        <v/>
      </c>
      <c r="D131" s="35" t="str">
        <f>IFERROR(VLOOKUP(B131,'MASTER RECORD'!$B$5:$W$1000,2,0),"")</f>
        <v/>
      </c>
      <c r="E131" s="36" t="str">
        <f>IFERROR(VLOOKUP(B131,'MASTER RECORD'!$B$5:$W$1000,9,0),"")</f>
        <v/>
      </c>
      <c r="F131" s="18"/>
      <c r="G131" s="18" t="str">
        <f t="shared" si="5"/>
        <v/>
      </c>
      <c r="H131" s="18" t="str">
        <f t="shared" si="6"/>
        <v/>
      </c>
      <c r="I131" s="35" t="str">
        <f t="shared" si="7"/>
        <v/>
      </c>
      <c r="J131" s="50"/>
      <c r="K131" s="17"/>
    </row>
    <row r="132" spans="1:11">
      <c r="A132" s="6">
        <f t="shared" si="4"/>
        <v>127</v>
      </c>
      <c r="B132" s="49"/>
      <c r="C132" s="35" t="str">
        <f>IFERROR(VLOOKUP(B132,'MASTER RECORD'!$B$5:$W$1000,3,0),"")</f>
        <v/>
      </c>
      <c r="D132" s="35" t="str">
        <f>IFERROR(VLOOKUP(B132,'MASTER RECORD'!$B$5:$W$1000,2,0),"")</f>
        <v/>
      </c>
      <c r="E132" s="36" t="str">
        <f>IFERROR(VLOOKUP(B132,'MASTER RECORD'!$B$5:$W$1000,9,0),"")</f>
        <v/>
      </c>
      <c r="F132" s="18"/>
      <c r="G132" s="18" t="str">
        <f t="shared" si="5"/>
        <v/>
      </c>
      <c r="H132" s="18" t="str">
        <f t="shared" si="6"/>
        <v/>
      </c>
      <c r="I132" s="35" t="str">
        <f t="shared" si="7"/>
        <v/>
      </c>
      <c r="J132" s="50"/>
      <c r="K132" s="17"/>
    </row>
    <row r="133" spans="1:11">
      <c r="A133" s="6">
        <f t="shared" si="4"/>
        <v>128</v>
      </c>
      <c r="B133" s="49"/>
      <c r="C133" s="35" t="str">
        <f>IFERROR(VLOOKUP(B133,'MASTER RECORD'!$B$5:$W$1000,3,0),"")</f>
        <v/>
      </c>
      <c r="D133" s="35" t="str">
        <f>IFERROR(VLOOKUP(B133,'MASTER RECORD'!$B$5:$W$1000,2,0),"")</f>
        <v/>
      </c>
      <c r="E133" s="36" t="str">
        <f>IFERROR(VLOOKUP(B133,'MASTER RECORD'!$B$5:$W$1000,9,0),"")</f>
        <v/>
      </c>
      <c r="F133" s="18"/>
      <c r="G133" s="18" t="str">
        <f t="shared" si="5"/>
        <v/>
      </c>
      <c r="H133" s="18" t="str">
        <f t="shared" si="6"/>
        <v/>
      </c>
      <c r="I133" s="35" t="str">
        <f t="shared" si="7"/>
        <v/>
      </c>
      <c r="J133" s="50"/>
      <c r="K133" s="17"/>
    </row>
    <row r="134" spans="1:11">
      <c r="A134" s="6">
        <f t="shared" si="4"/>
        <v>129</v>
      </c>
      <c r="B134" s="49"/>
      <c r="C134" s="35" t="str">
        <f>IFERROR(VLOOKUP(B134,'MASTER RECORD'!$B$5:$W$1000,3,0),"")</f>
        <v/>
      </c>
      <c r="D134" s="35" t="str">
        <f>IFERROR(VLOOKUP(B134,'MASTER RECORD'!$B$5:$W$1000,2,0),"")</f>
        <v/>
      </c>
      <c r="E134" s="36" t="str">
        <f>IFERROR(VLOOKUP(B134,'MASTER RECORD'!$B$5:$W$1000,9,0),"")</f>
        <v/>
      </c>
      <c r="F134" s="18"/>
      <c r="G134" s="18" t="str">
        <f t="shared" si="5"/>
        <v/>
      </c>
      <c r="H134" s="18" t="str">
        <f t="shared" si="6"/>
        <v/>
      </c>
      <c r="I134" s="35" t="str">
        <f t="shared" si="7"/>
        <v/>
      </c>
      <c r="J134" s="50"/>
      <c r="K134" s="17"/>
    </row>
    <row r="135" spans="1:11">
      <c r="A135" s="6">
        <f t="shared" ref="A135:A198" si="8">ROW(A130)</f>
        <v>130</v>
      </c>
      <c r="B135" s="49"/>
      <c r="C135" s="35" t="str">
        <f>IFERROR(VLOOKUP(B135,'MASTER RECORD'!$B$5:$W$1000,3,0),"")</f>
        <v/>
      </c>
      <c r="D135" s="35" t="str">
        <f>IFERROR(VLOOKUP(B135,'MASTER RECORD'!$B$5:$W$1000,2,0),"")</f>
        <v/>
      </c>
      <c r="E135" s="36" t="str">
        <f>IFERROR(VLOOKUP(B135,'MASTER RECORD'!$B$5:$W$1000,9,0),"")</f>
        <v/>
      </c>
      <c r="F135" s="18"/>
      <c r="G135" s="18" t="str">
        <f t="shared" ref="G135:G198" si="9">IF($F135=0,"",TEXT($F135,"mmmm"))</f>
        <v/>
      </c>
      <c r="H135" s="18" t="str">
        <f t="shared" ref="H135:H198" si="10">IF($F135=0,"",TEXT($F135,"yyyy"))</f>
        <v/>
      </c>
      <c r="I135" s="35" t="str">
        <f t="shared" ref="I135:I198" si="11">IFERROR(DATEDIF(E135,F135,"Y")&amp;"."&amp;DATEDIF(E135,F135,"YM"),"")</f>
        <v/>
      </c>
      <c r="J135" s="50"/>
      <c r="K135" s="17"/>
    </row>
    <row r="136" spans="1:11">
      <c r="A136" s="6">
        <f t="shared" si="8"/>
        <v>131</v>
      </c>
      <c r="B136" s="49"/>
      <c r="C136" s="35" t="str">
        <f>IFERROR(VLOOKUP(B136,'MASTER RECORD'!$B$5:$W$1000,3,0),"")</f>
        <v/>
      </c>
      <c r="D136" s="35" t="str">
        <f>IFERROR(VLOOKUP(B136,'MASTER RECORD'!$B$5:$W$1000,2,0),"")</f>
        <v/>
      </c>
      <c r="E136" s="36" t="str">
        <f>IFERROR(VLOOKUP(B136,'MASTER RECORD'!$B$5:$W$1000,9,0),"")</f>
        <v/>
      </c>
      <c r="F136" s="18"/>
      <c r="G136" s="18" t="str">
        <f t="shared" si="9"/>
        <v/>
      </c>
      <c r="H136" s="18" t="str">
        <f t="shared" si="10"/>
        <v/>
      </c>
      <c r="I136" s="35" t="str">
        <f t="shared" si="11"/>
        <v/>
      </c>
      <c r="J136" s="50"/>
      <c r="K136" s="17"/>
    </row>
    <row r="137" spans="1:11">
      <c r="A137" s="6">
        <f t="shared" si="8"/>
        <v>132</v>
      </c>
      <c r="B137" s="49"/>
      <c r="C137" s="35" t="str">
        <f>IFERROR(VLOOKUP(B137,'MASTER RECORD'!$B$5:$W$1000,3,0),"")</f>
        <v/>
      </c>
      <c r="D137" s="35" t="str">
        <f>IFERROR(VLOOKUP(B137,'MASTER RECORD'!$B$5:$W$1000,2,0),"")</f>
        <v/>
      </c>
      <c r="E137" s="36" t="str">
        <f>IFERROR(VLOOKUP(B137,'MASTER RECORD'!$B$5:$W$1000,9,0),"")</f>
        <v/>
      </c>
      <c r="F137" s="18"/>
      <c r="G137" s="18" t="str">
        <f t="shared" si="9"/>
        <v/>
      </c>
      <c r="H137" s="18" t="str">
        <f t="shared" si="10"/>
        <v/>
      </c>
      <c r="I137" s="35" t="str">
        <f t="shared" si="11"/>
        <v/>
      </c>
      <c r="J137" s="50"/>
      <c r="K137" s="17"/>
    </row>
    <row r="138" spans="1:11">
      <c r="A138" s="6">
        <f t="shared" si="8"/>
        <v>133</v>
      </c>
      <c r="B138" s="49"/>
      <c r="C138" s="35" t="str">
        <f>IFERROR(VLOOKUP(B138,'MASTER RECORD'!$B$5:$W$1000,3,0),"")</f>
        <v/>
      </c>
      <c r="D138" s="35" t="str">
        <f>IFERROR(VLOOKUP(B138,'MASTER RECORD'!$B$5:$W$1000,2,0),"")</f>
        <v/>
      </c>
      <c r="E138" s="36" t="str">
        <f>IFERROR(VLOOKUP(B138,'MASTER RECORD'!$B$5:$W$1000,9,0),"")</f>
        <v/>
      </c>
      <c r="F138" s="18"/>
      <c r="G138" s="18" t="str">
        <f t="shared" si="9"/>
        <v/>
      </c>
      <c r="H138" s="18" t="str">
        <f t="shared" si="10"/>
        <v/>
      </c>
      <c r="I138" s="35" t="str">
        <f t="shared" si="11"/>
        <v/>
      </c>
      <c r="J138" s="50"/>
      <c r="K138" s="17"/>
    </row>
    <row r="139" spans="1:11">
      <c r="A139" s="6">
        <f t="shared" si="8"/>
        <v>134</v>
      </c>
      <c r="B139" s="49"/>
      <c r="C139" s="35" t="str">
        <f>IFERROR(VLOOKUP(B139,'MASTER RECORD'!$B$5:$W$1000,3,0),"")</f>
        <v/>
      </c>
      <c r="D139" s="35" t="str">
        <f>IFERROR(VLOOKUP(B139,'MASTER RECORD'!$B$5:$W$1000,2,0),"")</f>
        <v/>
      </c>
      <c r="E139" s="36" t="str">
        <f>IFERROR(VLOOKUP(B139,'MASTER RECORD'!$B$5:$W$1000,9,0),"")</f>
        <v/>
      </c>
      <c r="F139" s="18"/>
      <c r="G139" s="18" t="str">
        <f t="shared" si="9"/>
        <v/>
      </c>
      <c r="H139" s="18" t="str">
        <f t="shared" si="10"/>
        <v/>
      </c>
      <c r="I139" s="35" t="str">
        <f t="shared" si="11"/>
        <v/>
      </c>
      <c r="J139" s="50"/>
      <c r="K139" s="17"/>
    </row>
    <row r="140" spans="1:11">
      <c r="A140" s="6">
        <f t="shared" si="8"/>
        <v>135</v>
      </c>
      <c r="B140" s="49"/>
      <c r="C140" s="35" t="str">
        <f>IFERROR(VLOOKUP(B140,'MASTER RECORD'!$B$5:$W$1000,3,0),"")</f>
        <v/>
      </c>
      <c r="D140" s="35" t="str">
        <f>IFERROR(VLOOKUP(B140,'MASTER RECORD'!$B$5:$W$1000,2,0),"")</f>
        <v/>
      </c>
      <c r="E140" s="36" t="str">
        <f>IFERROR(VLOOKUP(B140,'MASTER RECORD'!$B$5:$W$1000,9,0),"")</f>
        <v/>
      </c>
      <c r="F140" s="18"/>
      <c r="G140" s="18" t="str">
        <f t="shared" si="9"/>
        <v/>
      </c>
      <c r="H140" s="18" t="str">
        <f t="shared" si="10"/>
        <v/>
      </c>
      <c r="I140" s="35" t="str">
        <f t="shared" si="11"/>
        <v/>
      </c>
      <c r="J140" s="50"/>
      <c r="K140" s="17"/>
    </row>
    <row r="141" spans="1:11">
      <c r="A141" s="6">
        <f t="shared" si="8"/>
        <v>136</v>
      </c>
      <c r="B141" s="49"/>
      <c r="C141" s="35" t="str">
        <f>IFERROR(VLOOKUP(B141,'MASTER RECORD'!$B$5:$W$1000,3,0),"")</f>
        <v/>
      </c>
      <c r="D141" s="35" t="str">
        <f>IFERROR(VLOOKUP(B141,'MASTER RECORD'!$B$5:$W$1000,2,0),"")</f>
        <v/>
      </c>
      <c r="E141" s="36" t="str">
        <f>IFERROR(VLOOKUP(B141,'MASTER RECORD'!$B$5:$W$1000,9,0),"")</f>
        <v/>
      </c>
      <c r="F141" s="18"/>
      <c r="G141" s="18" t="str">
        <f t="shared" si="9"/>
        <v/>
      </c>
      <c r="H141" s="18" t="str">
        <f t="shared" si="10"/>
        <v/>
      </c>
      <c r="I141" s="35" t="str">
        <f t="shared" si="11"/>
        <v/>
      </c>
      <c r="J141" s="50"/>
      <c r="K141" s="17"/>
    </row>
    <row r="142" spans="1:11">
      <c r="A142" s="6">
        <f t="shared" si="8"/>
        <v>137</v>
      </c>
      <c r="B142" s="49"/>
      <c r="C142" s="35" t="str">
        <f>IFERROR(VLOOKUP(B142,'MASTER RECORD'!$B$5:$W$1000,3,0),"")</f>
        <v/>
      </c>
      <c r="D142" s="35" t="str">
        <f>IFERROR(VLOOKUP(B142,'MASTER RECORD'!$B$5:$W$1000,2,0),"")</f>
        <v/>
      </c>
      <c r="E142" s="36" t="str">
        <f>IFERROR(VLOOKUP(B142,'MASTER RECORD'!$B$5:$W$1000,9,0),"")</f>
        <v/>
      </c>
      <c r="F142" s="18"/>
      <c r="G142" s="18" t="str">
        <f t="shared" si="9"/>
        <v/>
      </c>
      <c r="H142" s="18" t="str">
        <f t="shared" si="10"/>
        <v/>
      </c>
      <c r="I142" s="35" t="str">
        <f t="shared" si="11"/>
        <v/>
      </c>
      <c r="J142" s="50"/>
      <c r="K142" s="17"/>
    </row>
    <row r="143" spans="1:11">
      <c r="A143" s="6">
        <f t="shared" si="8"/>
        <v>138</v>
      </c>
      <c r="B143" s="49"/>
      <c r="C143" s="35" t="str">
        <f>IFERROR(VLOOKUP(B143,'MASTER RECORD'!$B$5:$W$1000,3,0),"")</f>
        <v/>
      </c>
      <c r="D143" s="35" t="str">
        <f>IFERROR(VLOOKUP(B143,'MASTER RECORD'!$B$5:$W$1000,2,0),"")</f>
        <v/>
      </c>
      <c r="E143" s="36" t="str">
        <f>IFERROR(VLOOKUP(B143,'MASTER RECORD'!$B$5:$W$1000,9,0),"")</f>
        <v/>
      </c>
      <c r="F143" s="18"/>
      <c r="G143" s="18" t="str">
        <f t="shared" si="9"/>
        <v/>
      </c>
      <c r="H143" s="18" t="str">
        <f t="shared" si="10"/>
        <v/>
      </c>
      <c r="I143" s="35" t="str">
        <f t="shared" si="11"/>
        <v/>
      </c>
      <c r="J143" s="50"/>
      <c r="K143" s="17"/>
    </row>
    <row r="144" spans="1:11">
      <c r="A144" s="6">
        <f t="shared" si="8"/>
        <v>139</v>
      </c>
      <c r="B144" s="49"/>
      <c r="C144" s="35" t="str">
        <f>IFERROR(VLOOKUP(B144,'MASTER RECORD'!$B$5:$W$1000,3,0),"")</f>
        <v/>
      </c>
      <c r="D144" s="35" t="str">
        <f>IFERROR(VLOOKUP(B144,'MASTER RECORD'!$B$5:$W$1000,2,0),"")</f>
        <v/>
      </c>
      <c r="E144" s="36" t="str">
        <f>IFERROR(VLOOKUP(B144,'MASTER RECORD'!$B$5:$W$1000,9,0),"")</f>
        <v/>
      </c>
      <c r="F144" s="18"/>
      <c r="G144" s="18" t="str">
        <f t="shared" si="9"/>
        <v/>
      </c>
      <c r="H144" s="18" t="str">
        <f t="shared" si="10"/>
        <v/>
      </c>
      <c r="I144" s="35" t="str">
        <f t="shared" si="11"/>
        <v/>
      </c>
      <c r="J144" s="50"/>
      <c r="K144" s="17"/>
    </row>
    <row r="145" spans="1:11">
      <c r="A145" s="6">
        <f t="shared" si="8"/>
        <v>140</v>
      </c>
      <c r="B145" s="49"/>
      <c r="C145" s="35" t="str">
        <f>IFERROR(VLOOKUP(B145,'MASTER RECORD'!$B$5:$W$1000,3,0),"")</f>
        <v/>
      </c>
      <c r="D145" s="35" t="str">
        <f>IFERROR(VLOOKUP(B145,'MASTER RECORD'!$B$5:$W$1000,2,0),"")</f>
        <v/>
      </c>
      <c r="E145" s="36" t="str">
        <f>IFERROR(VLOOKUP(B145,'MASTER RECORD'!$B$5:$W$1000,9,0),"")</f>
        <v/>
      </c>
      <c r="F145" s="18"/>
      <c r="G145" s="18" t="str">
        <f t="shared" si="9"/>
        <v/>
      </c>
      <c r="H145" s="18" t="str">
        <f t="shared" si="10"/>
        <v/>
      </c>
      <c r="I145" s="35" t="str">
        <f t="shared" si="11"/>
        <v/>
      </c>
      <c r="J145" s="50"/>
      <c r="K145" s="17"/>
    </row>
    <row r="146" spans="1:11">
      <c r="A146" s="6">
        <f t="shared" si="8"/>
        <v>141</v>
      </c>
      <c r="B146" s="49"/>
      <c r="C146" s="35" t="str">
        <f>IFERROR(VLOOKUP(B146,'MASTER RECORD'!$B$5:$W$1000,3,0),"")</f>
        <v/>
      </c>
      <c r="D146" s="35" t="str">
        <f>IFERROR(VLOOKUP(B146,'MASTER RECORD'!$B$5:$W$1000,2,0),"")</f>
        <v/>
      </c>
      <c r="E146" s="36" t="str">
        <f>IFERROR(VLOOKUP(B146,'MASTER RECORD'!$B$5:$W$1000,9,0),"")</f>
        <v/>
      </c>
      <c r="F146" s="18"/>
      <c r="G146" s="18" t="str">
        <f t="shared" si="9"/>
        <v/>
      </c>
      <c r="H146" s="18" t="str">
        <f t="shared" si="10"/>
        <v/>
      </c>
      <c r="I146" s="35" t="str">
        <f t="shared" si="11"/>
        <v/>
      </c>
      <c r="J146" s="50"/>
      <c r="K146" s="17"/>
    </row>
    <row r="147" spans="1:11">
      <c r="A147" s="6">
        <f t="shared" si="8"/>
        <v>142</v>
      </c>
      <c r="B147" s="49"/>
      <c r="C147" s="35" t="str">
        <f>IFERROR(VLOOKUP(B147,'MASTER RECORD'!$B$5:$W$1000,3,0),"")</f>
        <v/>
      </c>
      <c r="D147" s="35" t="str">
        <f>IFERROR(VLOOKUP(B147,'MASTER RECORD'!$B$5:$W$1000,2,0),"")</f>
        <v/>
      </c>
      <c r="E147" s="36" t="str">
        <f>IFERROR(VLOOKUP(B147,'MASTER RECORD'!$B$5:$W$1000,9,0),"")</f>
        <v/>
      </c>
      <c r="F147" s="18"/>
      <c r="G147" s="18" t="str">
        <f t="shared" si="9"/>
        <v/>
      </c>
      <c r="H147" s="18" t="str">
        <f t="shared" si="10"/>
        <v/>
      </c>
      <c r="I147" s="35" t="str">
        <f t="shared" si="11"/>
        <v/>
      </c>
      <c r="J147" s="50"/>
      <c r="K147" s="17"/>
    </row>
    <row r="148" spans="1:11">
      <c r="A148" s="6">
        <f t="shared" si="8"/>
        <v>143</v>
      </c>
      <c r="B148" s="49"/>
      <c r="C148" s="35" t="str">
        <f>IFERROR(VLOOKUP(B148,'MASTER RECORD'!$B$5:$W$1000,3,0),"")</f>
        <v/>
      </c>
      <c r="D148" s="35" t="str">
        <f>IFERROR(VLOOKUP(B148,'MASTER RECORD'!$B$5:$W$1000,2,0),"")</f>
        <v/>
      </c>
      <c r="E148" s="36" t="str">
        <f>IFERROR(VLOOKUP(B148,'MASTER RECORD'!$B$5:$W$1000,9,0),"")</f>
        <v/>
      </c>
      <c r="F148" s="18"/>
      <c r="G148" s="18" t="str">
        <f t="shared" si="9"/>
        <v/>
      </c>
      <c r="H148" s="18" t="str">
        <f t="shared" si="10"/>
        <v/>
      </c>
      <c r="I148" s="35" t="str">
        <f t="shared" si="11"/>
        <v/>
      </c>
      <c r="J148" s="50"/>
      <c r="K148" s="17"/>
    </row>
    <row r="149" spans="1:11">
      <c r="A149" s="6">
        <f t="shared" si="8"/>
        <v>144</v>
      </c>
      <c r="B149" s="49"/>
      <c r="C149" s="35" t="str">
        <f>IFERROR(VLOOKUP(B149,'MASTER RECORD'!$B$5:$W$1000,3,0),"")</f>
        <v/>
      </c>
      <c r="D149" s="35" t="str">
        <f>IFERROR(VLOOKUP(B149,'MASTER RECORD'!$B$5:$W$1000,2,0),"")</f>
        <v/>
      </c>
      <c r="E149" s="36" t="str">
        <f>IFERROR(VLOOKUP(B149,'MASTER RECORD'!$B$5:$W$1000,9,0),"")</f>
        <v/>
      </c>
      <c r="F149" s="18"/>
      <c r="G149" s="18" t="str">
        <f t="shared" si="9"/>
        <v/>
      </c>
      <c r="H149" s="18" t="str">
        <f t="shared" si="10"/>
        <v/>
      </c>
      <c r="I149" s="35" t="str">
        <f t="shared" si="11"/>
        <v/>
      </c>
      <c r="J149" s="50"/>
      <c r="K149" s="17"/>
    </row>
    <row r="150" spans="1:11">
      <c r="A150" s="6">
        <f t="shared" si="8"/>
        <v>145</v>
      </c>
      <c r="B150" s="49"/>
      <c r="C150" s="35" t="str">
        <f>IFERROR(VLOOKUP(B150,'MASTER RECORD'!$B$5:$W$1000,3,0),"")</f>
        <v/>
      </c>
      <c r="D150" s="35" t="str">
        <f>IFERROR(VLOOKUP(B150,'MASTER RECORD'!$B$5:$W$1000,2,0),"")</f>
        <v/>
      </c>
      <c r="E150" s="36" t="str">
        <f>IFERROR(VLOOKUP(B150,'MASTER RECORD'!$B$5:$W$1000,9,0),"")</f>
        <v/>
      </c>
      <c r="F150" s="18"/>
      <c r="G150" s="18" t="str">
        <f t="shared" si="9"/>
        <v/>
      </c>
      <c r="H150" s="18" t="str">
        <f t="shared" si="10"/>
        <v/>
      </c>
      <c r="I150" s="35" t="str">
        <f t="shared" si="11"/>
        <v/>
      </c>
      <c r="J150" s="50"/>
      <c r="K150" s="17"/>
    </row>
    <row r="151" spans="1:11">
      <c r="A151" s="6">
        <f t="shared" si="8"/>
        <v>146</v>
      </c>
      <c r="B151" s="49"/>
      <c r="C151" s="35" t="str">
        <f>IFERROR(VLOOKUP(B151,'MASTER RECORD'!$B$5:$W$1000,3,0),"")</f>
        <v/>
      </c>
      <c r="D151" s="35" t="str">
        <f>IFERROR(VLOOKUP(B151,'MASTER RECORD'!$B$5:$W$1000,2,0),"")</f>
        <v/>
      </c>
      <c r="E151" s="36" t="str">
        <f>IFERROR(VLOOKUP(B151,'MASTER RECORD'!$B$5:$W$1000,9,0),"")</f>
        <v/>
      </c>
      <c r="F151" s="18"/>
      <c r="G151" s="18" t="str">
        <f t="shared" si="9"/>
        <v/>
      </c>
      <c r="H151" s="18" t="str">
        <f t="shared" si="10"/>
        <v/>
      </c>
      <c r="I151" s="35" t="str">
        <f t="shared" si="11"/>
        <v/>
      </c>
      <c r="J151" s="50"/>
      <c r="K151" s="17"/>
    </row>
    <row r="152" spans="1:11">
      <c r="A152" s="6">
        <f t="shared" si="8"/>
        <v>147</v>
      </c>
      <c r="B152" s="49"/>
      <c r="C152" s="35" t="str">
        <f>IFERROR(VLOOKUP(B152,'MASTER RECORD'!$B$5:$W$1000,3,0),"")</f>
        <v/>
      </c>
      <c r="D152" s="35" t="str">
        <f>IFERROR(VLOOKUP(B152,'MASTER RECORD'!$B$5:$W$1000,2,0),"")</f>
        <v/>
      </c>
      <c r="E152" s="36" t="str">
        <f>IFERROR(VLOOKUP(B152,'MASTER RECORD'!$B$5:$W$1000,9,0),"")</f>
        <v/>
      </c>
      <c r="F152" s="18"/>
      <c r="G152" s="18" t="str">
        <f t="shared" si="9"/>
        <v/>
      </c>
      <c r="H152" s="18" t="str">
        <f t="shared" si="10"/>
        <v/>
      </c>
      <c r="I152" s="35" t="str">
        <f t="shared" si="11"/>
        <v/>
      </c>
      <c r="J152" s="50"/>
      <c r="K152" s="17"/>
    </row>
    <row r="153" spans="1:11">
      <c r="A153" s="6">
        <f t="shared" si="8"/>
        <v>148</v>
      </c>
      <c r="B153" s="49"/>
      <c r="C153" s="35" t="str">
        <f>IFERROR(VLOOKUP(B153,'MASTER RECORD'!$B$5:$W$1000,3,0),"")</f>
        <v/>
      </c>
      <c r="D153" s="35" t="str">
        <f>IFERROR(VLOOKUP(B153,'MASTER RECORD'!$B$5:$W$1000,2,0),"")</f>
        <v/>
      </c>
      <c r="E153" s="36" t="str">
        <f>IFERROR(VLOOKUP(B153,'MASTER RECORD'!$B$5:$W$1000,9,0),"")</f>
        <v/>
      </c>
      <c r="F153" s="18"/>
      <c r="G153" s="18" t="str">
        <f t="shared" si="9"/>
        <v/>
      </c>
      <c r="H153" s="18" t="str">
        <f t="shared" si="10"/>
        <v/>
      </c>
      <c r="I153" s="35" t="str">
        <f t="shared" si="11"/>
        <v/>
      </c>
      <c r="J153" s="50"/>
      <c r="K153" s="17"/>
    </row>
    <row r="154" spans="1:11">
      <c r="A154" s="6">
        <f t="shared" si="8"/>
        <v>149</v>
      </c>
      <c r="B154" s="49"/>
      <c r="C154" s="35" t="str">
        <f>IFERROR(VLOOKUP(B154,'MASTER RECORD'!$B$5:$W$1000,3,0),"")</f>
        <v/>
      </c>
      <c r="D154" s="35" t="str">
        <f>IFERROR(VLOOKUP(B154,'MASTER RECORD'!$B$5:$W$1000,2,0),"")</f>
        <v/>
      </c>
      <c r="E154" s="36" t="str">
        <f>IFERROR(VLOOKUP(B154,'MASTER RECORD'!$B$5:$W$1000,9,0),"")</f>
        <v/>
      </c>
      <c r="F154" s="18"/>
      <c r="G154" s="18" t="str">
        <f t="shared" si="9"/>
        <v/>
      </c>
      <c r="H154" s="18" t="str">
        <f t="shared" si="10"/>
        <v/>
      </c>
      <c r="I154" s="35" t="str">
        <f t="shared" si="11"/>
        <v/>
      </c>
      <c r="J154" s="50"/>
      <c r="K154" s="17"/>
    </row>
    <row r="155" spans="1:11">
      <c r="A155" s="6">
        <f t="shared" si="8"/>
        <v>150</v>
      </c>
      <c r="B155" s="49"/>
      <c r="C155" s="35" t="str">
        <f>IFERROR(VLOOKUP(B155,'MASTER RECORD'!$B$5:$W$1000,3,0),"")</f>
        <v/>
      </c>
      <c r="D155" s="35" t="str">
        <f>IFERROR(VLOOKUP(B155,'MASTER RECORD'!$B$5:$W$1000,2,0),"")</f>
        <v/>
      </c>
      <c r="E155" s="36" t="str">
        <f>IFERROR(VLOOKUP(B155,'MASTER RECORD'!$B$5:$W$1000,9,0),"")</f>
        <v/>
      </c>
      <c r="F155" s="18"/>
      <c r="G155" s="18" t="str">
        <f t="shared" si="9"/>
        <v/>
      </c>
      <c r="H155" s="18" t="str">
        <f t="shared" si="10"/>
        <v/>
      </c>
      <c r="I155" s="35" t="str">
        <f t="shared" si="11"/>
        <v/>
      </c>
      <c r="J155" s="50"/>
      <c r="K155" s="17"/>
    </row>
    <row r="156" spans="1:11">
      <c r="A156" s="6">
        <f t="shared" si="8"/>
        <v>151</v>
      </c>
      <c r="B156" s="49"/>
      <c r="C156" s="35" t="str">
        <f>IFERROR(VLOOKUP(B156,'MASTER RECORD'!$B$5:$W$1000,3,0),"")</f>
        <v/>
      </c>
      <c r="D156" s="35" t="str">
        <f>IFERROR(VLOOKUP(B156,'MASTER RECORD'!$B$5:$W$1000,2,0),"")</f>
        <v/>
      </c>
      <c r="E156" s="36" t="str">
        <f>IFERROR(VLOOKUP(B156,'MASTER RECORD'!$B$5:$W$1000,9,0),"")</f>
        <v/>
      </c>
      <c r="F156" s="18"/>
      <c r="G156" s="18" t="str">
        <f t="shared" si="9"/>
        <v/>
      </c>
      <c r="H156" s="18" t="str">
        <f t="shared" si="10"/>
        <v/>
      </c>
      <c r="I156" s="35" t="str">
        <f t="shared" si="11"/>
        <v/>
      </c>
      <c r="J156" s="50"/>
      <c r="K156" s="17"/>
    </row>
    <row r="157" spans="1:11">
      <c r="A157" s="6">
        <f t="shared" si="8"/>
        <v>152</v>
      </c>
      <c r="B157" s="49"/>
      <c r="C157" s="35" t="str">
        <f>IFERROR(VLOOKUP(B157,'MASTER RECORD'!$B$5:$W$1000,3,0),"")</f>
        <v/>
      </c>
      <c r="D157" s="35" t="str">
        <f>IFERROR(VLOOKUP(B157,'MASTER RECORD'!$B$5:$W$1000,2,0),"")</f>
        <v/>
      </c>
      <c r="E157" s="36" t="str">
        <f>IFERROR(VLOOKUP(B157,'MASTER RECORD'!$B$5:$W$1000,9,0),"")</f>
        <v/>
      </c>
      <c r="F157" s="18"/>
      <c r="G157" s="18" t="str">
        <f t="shared" si="9"/>
        <v/>
      </c>
      <c r="H157" s="18" t="str">
        <f t="shared" si="10"/>
        <v/>
      </c>
      <c r="I157" s="35" t="str">
        <f t="shared" si="11"/>
        <v/>
      </c>
      <c r="J157" s="50"/>
      <c r="K157" s="17"/>
    </row>
    <row r="158" spans="1:11">
      <c r="A158" s="6">
        <f t="shared" si="8"/>
        <v>153</v>
      </c>
      <c r="B158" s="49"/>
      <c r="C158" s="35" t="str">
        <f>IFERROR(VLOOKUP(B158,'MASTER RECORD'!$B$5:$W$1000,3,0),"")</f>
        <v/>
      </c>
      <c r="D158" s="35" t="str">
        <f>IFERROR(VLOOKUP(B158,'MASTER RECORD'!$B$5:$W$1000,2,0),"")</f>
        <v/>
      </c>
      <c r="E158" s="36" t="str">
        <f>IFERROR(VLOOKUP(B158,'MASTER RECORD'!$B$5:$W$1000,9,0),"")</f>
        <v/>
      </c>
      <c r="F158" s="18"/>
      <c r="G158" s="18" t="str">
        <f t="shared" si="9"/>
        <v/>
      </c>
      <c r="H158" s="18" t="str">
        <f t="shared" si="10"/>
        <v/>
      </c>
      <c r="I158" s="35" t="str">
        <f t="shared" si="11"/>
        <v/>
      </c>
      <c r="J158" s="50"/>
      <c r="K158" s="17"/>
    </row>
    <row r="159" spans="1:11">
      <c r="A159" s="6">
        <f t="shared" si="8"/>
        <v>154</v>
      </c>
      <c r="B159" s="49"/>
      <c r="C159" s="35" t="str">
        <f>IFERROR(VLOOKUP(B159,'MASTER RECORD'!$B$5:$W$1000,3,0),"")</f>
        <v/>
      </c>
      <c r="D159" s="35" t="str">
        <f>IFERROR(VLOOKUP(B159,'MASTER RECORD'!$B$5:$W$1000,2,0),"")</f>
        <v/>
      </c>
      <c r="E159" s="36" t="str">
        <f>IFERROR(VLOOKUP(B159,'MASTER RECORD'!$B$5:$W$1000,9,0),"")</f>
        <v/>
      </c>
      <c r="F159" s="18"/>
      <c r="G159" s="18" t="str">
        <f t="shared" si="9"/>
        <v/>
      </c>
      <c r="H159" s="18" t="str">
        <f t="shared" si="10"/>
        <v/>
      </c>
      <c r="I159" s="35" t="str">
        <f t="shared" si="11"/>
        <v/>
      </c>
      <c r="J159" s="50"/>
      <c r="K159" s="17"/>
    </row>
    <row r="160" spans="1:11">
      <c r="A160" s="6">
        <f t="shared" si="8"/>
        <v>155</v>
      </c>
      <c r="B160" s="49"/>
      <c r="C160" s="35" t="str">
        <f>IFERROR(VLOOKUP(B160,'MASTER RECORD'!$B$5:$W$1000,3,0),"")</f>
        <v/>
      </c>
      <c r="D160" s="35" t="str">
        <f>IFERROR(VLOOKUP(B160,'MASTER RECORD'!$B$5:$W$1000,2,0),"")</f>
        <v/>
      </c>
      <c r="E160" s="36" t="str">
        <f>IFERROR(VLOOKUP(B160,'MASTER RECORD'!$B$5:$W$1000,9,0),"")</f>
        <v/>
      </c>
      <c r="F160" s="18"/>
      <c r="G160" s="18" t="str">
        <f t="shared" si="9"/>
        <v/>
      </c>
      <c r="H160" s="18" t="str">
        <f t="shared" si="10"/>
        <v/>
      </c>
      <c r="I160" s="35" t="str">
        <f t="shared" si="11"/>
        <v/>
      </c>
      <c r="J160" s="50"/>
      <c r="K160" s="17"/>
    </row>
    <row r="161" spans="1:11">
      <c r="A161" s="6">
        <f t="shared" si="8"/>
        <v>156</v>
      </c>
      <c r="B161" s="49"/>
      <c r="C161" s="35" t="str">
        <f>IFERROR(VLOOKUP(B161,'MASTER RECORD'!$B$5:$W$1000,3,0),"")</f>
        <v/>
      </c>
      <c r="D161" s="35" t="str">
        <f>IFERROR(VLOOKUP(B161,'MASTER RECORD'!$B$5:$W$1000,2,0),"")</f>
        <v/>
      </c>
      <c r="E161" s="36" t="str">
        <f>IFERROR(VLOOKUP(B161,'MASTER RECORD'!$B$5:$W$1000,9,0),"")</f>
        <v/>
      </c>
      <c r="F161" s="18"/>
      <c r="G161" s="18" t="str">
        <f t="shared" si="9"/>
        <v/>
      </c>
      <c r="H161" s="18" t="str">
        <f t="shared" si="10"/>
        <v/>
      </c>
      <c r="I161" s="35" t="str">
        <f t="shared" si="11"/>
        <v/>
      </c>
      <c r="J161" s="50"/>
      <c r="K161" s="17"/>
    </row>
    <row r="162" spans="1:11">
      <c r="A162" s="6">
        <f t="shared" si="8"/>
        <v>157</v>
      </c>
      <c r="B162" s="49"/>
      <c r="C162" s="35" t="str">
        <f>IFERROR(VLOOKUP(B162,'MASTER RECORD'!$B$5:$W$1000,3,0),"")</f>
        <v/>
      </c>
      <c r="D162" s="35" t="str">
        <f>IFERROR(VLOOKUP(B162,'MASTER RECORD'!$B$5:$W$1000,2,0),"")</f>
        <v/>
      </c>
      <c r="E162" s="36" t="str">
        <f>IFERROR(VLOOKUP(B162,'MASTER RECORD'!$B$5:$W$1000,9,0),"")</f>
        <v/>
      </c>
      <c r="F162" s="52"/>
      <c r="G162" s="18" t="str">
        <f t="shared" si="9"/>
        <v/>
      </c>
      <c r="H162" s="18" t="str">
        <f t="shared" si="10"/>
        <v/>
      </c>
      <c r="I162" s="35" t="str">
        <f t="shared" si="11"/>
        <v/>
      </c>
      <c r="J162" s="50"/>
      <c r="K162" s="17"/>
    </row>
    <row r="163" spans="1:11">
      <c r="A163" s="6">
        <f t="shared" si="8"/>
        <v>158</v>
      </c>
      <c r="B163" s="49"/>
      <c r="C163" s="35" t="str">
        <f>IFERROR(VLOOKUP(B163,'MASTER RECORD'!$B$5:$W$1000,3,0),"")</f>
        <v/>
      </c>
      <c r="D163" s="35" t="str">
        <f>IFERROR(VLOOKUP(B163,'MASTER RECORD'!$B$5:$W$1000,2,0),"")</f>
        <v/>
      </c>
      <c r="E163" s="36" t="str">
        <f>IFERROR(VLOOKUP(B163,'MASTER RECORD'!$B$5:$W$1000,9,0),"")</f>
        <v/>
      </c>
      <c r="F163" s="18"/>
      <c r="G163" s="18" t="str">
        <f t="shared" si="9"/>
        <v/>
      </c>
      <c r="H163" s="18" t="str">
        <f t="shared" si="10"/>
        <v/>
      </c>
      <c r="I163" s="35" t="str">
        <f t="shared" si="11"/>
        <v/>
      </c>
      <c r="J163" s="50"/>
      <c r="K163" s="17"/>
    </row>
    <row r="164" spans="1:11">
      <c r="A164" s="6">
        <f t="shared" si="8"/>
        <v>159</v>
      </c>
      <c r="B164" s="49"/>
      <c r="C164" s="35" t="str">
        <f>IFERROR(VLOOKUP(B164,'MASTER RECORD'!$B$5:$W$1000,3,0),"")</f>
        <v/>
      </c>
      <c r="D164" s="35" t="str">
        <f>IFERROR(VLOOKUP(B164,'MASTER RECORD'!$B$5:$W$1000,2,0),"")</f>
        <v/>
      </c>
      <c r="E164" s="36" t="str">
        <f>IFERROR(VLOOKUP(B164,'MASTER RECORD'!$B$5:$W$1000,9,0),"")</f>
        <v/>
      </c>
      <c r="F164" s="18"/>
      <c r="G164" s="18" t="str">
        <f t="shared" si="9"/>
        <v/>
      </c>
      <c r="H164" s="18" t="str">
        <f t="shared" si="10"/>
        <v/>
      </c>
      <c r="I164" s="35" t="str">
        <f t="shared" si="11"/>
        <v/>
      </c>
      <c r="J164" s="50"/>
      <c r="K164" s="17"/>
    </row>
    <row r="165" spans="1:11">
      <c r="A165" s="6">
        <f t="shared" si="8"/>
        <v>160</v>
      </c>
      <c r="B165" s="49"/>
      <c r="C165" s="35" t="str">
        <f>IFERROR(VLOOKUP(B165,'MASTER RECORD'!$B$5:$W$1000,3,0),"")</f>
        <v/>
      </c>
      <c r="D165" s="35" t="str">
        <f>IFERROR(VLOOKUP(B165,'MASTER RECORD'!$B$5:$W$1000,2,0),"")</f>
        <v/>
      </c>
      <c r="E165" s="36" t="str">
        <f>IFERROR(VLOOKUP(B165,'MASTER RECORD'!$B$5:$W$1000,9,0),"")</f>
        <v/>
      </c>
      <c r="F165" s="18"/>
      <c r="G165" s="18" t="str">
        <f t="shared" si="9"/>
        <v/>
      </c>
      <c r="H165" s="18" t="str">
        <f t="shared" si="10"/>
        <v/>
      </c>
      <c r="I165" s="35" t="str">
        <f t="shared" si="11"/>
        <v/>
      </c>
      <c r="J165" s="50"/>
      <c r="K165" s="17"/>
    </row>
    <row r="166" spans="1:11">
      <c r="A166" s="6">
        <f t="shared" si="8"/>
        <v>161</v>
      </c>
      <c r="B166" s="49"/>
      <c r="C166" s="35" t="str">
        <f>IFERROR(VLOOKUP(B166,'MASTER RECORD'!$B$5:$W$1000,3,0),"")</f>
        <v/>
      </c>
      <c r="D166" s="35" t="str">
        <f>IFERROR(VLOOKUP(B166,'MASTER RECORD'!$B$5:$W$1000,2,0),"")</f>
        <v/>
      </c>
      <c r="E166" s="36" t="str">
        <f>IFERROR(VLOOKUP(B166,'MASTER RECORD'!$B$5:$W$1000,9,0),"")</f>
        <v/>
      </c>
      <c r="F166" s="18"/>
      <c r="G166" s="18" t="str">
        <f t="shared" si="9"/>
        <v/>
      </c>
      <c r="H166" s="18" t="str">
        <f t="shared" si="10"/>
        <v/>
      </c>
      <c r="I166" s="35" t="str">
        <f t="shared" si="11"/>
        <v/>
      </c>
      <c r="J166" s="50"/>
      <c r="K166" s="17"/>
    </row>
    <row r="167" spans="1:11">
      <c r="A167" s="6">
        <f t="shared" si="8"/>
        <v>162</v>
      </c>
      <c r="B167" s="49"/>
      <c r="C167" s="35" t="str">
        <f>IFERROR(VLOOKUP(B167,'MASTER RECORD'!$B$5:$W$1000,3,0),"")</f>
        <v/>
      </c>
      <c r="D167" s="35" t="str">
        <f>IFERROR(VLOOKUP(B167,'MASTER RECORD'!$B$5:$W$1000,2,0),"")</f>
        <v/>
      </c>
      <c r="E167" s="36" t="str">
        <f>IFERROR(VLOOKUP(B167,'MASTER RECORD'!$B$5:$W$1000,9,0),"")</f>
        <v/>
      </c>
      <c r="F167" s="18"/>
      <c r="G167" s="18" t="str">
        <f t="shared" si="9"/>
        <v/>
      </c>
      <c r="H167" s="18" t="str">
        <f t="shared" si="10"/>
        <v/>
      </c>
      <c r="I167" s="35" t="str">
        <f t="shared" si="11"/>
        <v/>
      </c>
      <c r="J167" s="50"/>
      <c r="K167" s="17"/>
    </row>
    <row r="168" spans="1:11">
      <c r="A168" s="6">
        <f t="shared" si="8"/>
        <v>163</v>
      </c>
      <c r="B168" s="49"/>
      <c r="C168" s="35" t="str">
        <f>IFERROR(VLOOKUP(B168,'MASTER RECORD'!$B$5:$W$1000,3,0),"")</f>
        <v/>
      </c>
      <c r="D168" s="35" t="str">
        <f>IFERROR(VLOOKUP(B168,'MASTER RECORD'!$B$5:$W$1000,2,0),"")</f>
        <v/>
      </c>
      <c r="E168" s="36" t="str">
        <f>IFERROR(VLOOKUP(B168,'MASTER RECORD'!$B$5:$W$1000,9,0),"")</f>
        <v/>
      </c>
      <c r="F168" s="18"/>
      <c r="G168" s="18" t="str">
        <f t="shared" si="9"/>
        <v/>
      </c>
      <c r="H168" s="18" t="str">
        <f t="shared" si="10"/>
        <v/>
      </c>
      <c r="I168" s="35" t="str">
        <f t="shared" si="11"/>
        <v/>
      </c>
      <c r="J168" s="50"/>
      <c r="K168" s="17"/>
    </row>
    <row r="169" spans="1:11">
      <c r="A169" s="6">
        <f t="shared" si="8"/>
        <v>164</v>
      </c>
      <c r="B169" s="49"/>
      <c r="C169" s="35" t="str">
        <f>IFERROR(VLOOKUP(B169,'MASTER RECORD'!$B$5:$W$1000,3,0),"")</f>
        <v/>
      </c>
      <c r="D169" s="35" t="str">
        <f>IFERROR(VLOOKUP(B169,'MASTER RECORD'!$B$5:$W$1000,2,0),"")</f>
        <v/>
      </c>
      <c r="E169" s="36" t="str">
        <f>IFERROR(VLOOKUP(B169,'MASTER RECORD'!$B$5:$W$1000,9,0),"")</f>
        <v/>
      </c>
      <c r="F169" s="18"/>
      <c r="G169" s="18" t="str">
        <f t="shared" si="9"/>
        <v/>
      </c>
      <c r="H169" s="18" t="str">
        <f t="shared" si="10"/>
        <v/>
      </c>
      <c r="I169" s="35" t="str">
        <f t="shared" si="11"/>
        <v/>
      </c>
      <c r="J169" s="50"/>
      <c r="K169" s="17"/>
    </row>
    <row r="170" spans="1:11">
      <c r="A170" s="6">
        <f t="shared" si="8"/>
        <v>165</v>
      </c>
      <c r="B170" s="49"/>
      <c r="C170" s="35" t="str">
        <f>IFERROR(VLOOKUP(B170,'MASTER RECORD'!$B$5:$W$1000,3,0),"")</f>
        <v/>
      </c>
      <c r="D170" s="35" t="str">
        <f>IFERROR(VLOOKUP(B170,'MASTER RECORD'!$B$5:$W$1000,2,0),"")</f>
        <v/>
      </c>
      <c r="E170" s="36" t="str">
        <f>IFERROR(VLOOKUP(B170,'MASTER RECORD'!$B$5:$W$1000,9,0),"")</f>
        <v/>
      </c>
      <c r="F170" s="18"/>
      <c r="G170" s="18" t="str">
        <f t="shared" si="9"/>
        <v/>
      </c>
      <c r="H170" s="18" t="str">
        <f t="shared" si="10"/>
        <v/>
      </c>
      <c r="I170" s="35" t="str">
        <f t="shared" si="11"/>
        <v/>
      </c>
      <c r="J170" s="50"/>
      <c r="K170" s="17"/>
    </row>
    <row r="171" spans="1:11">
      <c r="A171" s="6">
        <f t="shared" si="8"/>
        <v>166</v>
      </c>
      <c r="B171" s="49"/>
      <c r="C171" s="35" t="str">
        <f>IFERROR(VLOOKUP(B171,'MASTER RECORD'!$B$5:$W$1000,3,0),"")</f>
        <v/>
      </c>
      <c r="D171" s="35" t="str">
        <f>IFERROR(VLOOKUP(B171,'MASTER RECORD'!$B$5:$W$1000,2,0),"")</f>
        <v/>
      </c>
      <c r="E171" s="36" t="str">
        <f>IFERROR(VLOOKUP(B171,'MASTER RECORD'!$B$5:$W$1000,9,0),"")</f>
        <v/>
      </c>
      <c r="F171" s="18"/>
      <c r="G171" s="18" t="str">
        <f t="shared" si="9"/>
        <v/>
      </c>
      <c r="H171" s="18" t="str">
        <f t="shared" si="10"/>
        <v/>
      </c>
      <c r="I171" s="35" t="str">
        <f t="shared" si="11"/>
        <v/>
      </c>
      <c r="J171" s="50"/>
      <c r="K171" s="17"/>
    </row>
    <row r="172" spans="1:11">
      <c r="A172" s="6">
        <f t="shared" si="8"/>
        <v>167</v>
      </c>
      <c r="B172" s="49"/>
      <c r="C172" s="35" t="str">
        <f>IFERROR(VLOOKUP(B172,'MASTER RECORD'!$B$5:$W$1000,3,0),"")</f>
        <v/>
      </c>
      <c r="D172" s="35" t="str">
        <f>IFERROR(VLOOKUP(B172,'MASTER RECORD'!$B$5:$W$1000,2,0),"")</f>
        <v/>
      </c>
      <c r="E172" s="36" t="str">
        <f>IFERROR(VLOOKUP(B172,'MASTER RECORD'!$B$5:$W$1000,9,0),"")</f>
        <v/>
      </c>
      <c r="F172" s="18"/>
      <c r="G172" s="18" t="str">
        <f t="shared" si="9"/>
        <v/>
      </c>
      <c r="H172" s="18" t="str">
        <f t="shared" si="10"/>
        <v/>
      </c>
      <c r="I172" s="35" t="str">
        <f t="shared" si="11"/>
        <v/>
      </c>
      <c r="J172" s="50"/>
      <c r="K172" s="17"/>
    </row>
    <row r="173" spans="1:11">
      <c r="A173" s="6">
        <f t="shared" si="8"/>
        <v>168</v>
      </c>
      <c r="B173" s="49"/>
      <c r="C173" s="35" t="str">
        <f>IFERROR(VLOOKUP(B173,'MASTER RECORD'!$B$5:$W$1000,3,0),"")</f>
        <v/>
      </c>
      <c r="D173" s="35" t="str">
        <f>IFERROR(VLOOKUP(B173,'MASTER RECORD'!$B$5:$W$1000,2,0),"")</f>
        <v/>
      </c>
      <c r="E173" s="36" t="str">
        <f>IFERROR(VLOOKUP(B173,'MASTER RECORD'!$B$5:$W$1000,9,0),"")</f>
        <v/>
      </c>
      <c r="F173" s="18"/>
      <c r="G173" s="18" t="str">
        <f t="shared" si="9"/>
        <v/>
      </c>
      <c r="H173" s="18" t="str">
        <f t="shared" si="10"/>
        <v/>
      </c>
      <c r="I173" s="35" t="str">
        <f t="shared" si="11"/>
        <v/>
      </c>
      <c r="J173" s="50"/>
      <c r="K173" s="17"/>
    </row>
    <row r="174" spans="1:11">
      <c r="A174" s="6">
        <f t="shared" si="8"/>
        <v>169</v>
      </c>
      <c r="B174" s="49"/>
      <c r="C174" s="35" t="str">
        <f>IFERROR(VLOOKUP(B174,'MASTER RECORD'!$B$5:$W$1000,3,0),"")</f>
        <v/>
      </c>
      <c r="D174" s="35" t="str">
        <f>IFERROR(VLOOKUP(B174,'MASTER RECORD'!$B$5:$W$1000,2,0),"")</f>
        <v/>
      </c>
      <c r="E174" s="36" t="str">
        <f>IFERROR(VLOOKUP(B174,'MASTER RECORD'!$B$5:$W$1000,9,0),"")</f>
        <v/>
      </c>
      <c r="F174" s="18"/>
      <c r="G174" s="18" t="str">
        <f t="shared" si="9"/>
        <v/>
      </c>
      <c r="H174" s="18" t="str">
        <f t="shared" si="10"/>
        <v/>
      </c>
      <c r="I174" s="35" t="str">
        <f t="shared" si="11"/>
        <v/>
      </c>
      <c r="J174" s="50"/>
      <c r="K174" s="17"/>
    </row>
    <row r="175" spans="1:11">
      <c r="A175" s="6">
        <f t="shared" si="8"/>
        <v>170</v>
      </c>
      <c r="B175" s="49"/>
      <c r="C175" s="35" t="str">
        <f>IFERROR(VLOOKUP(B175,'MASTER RECORD'!$B$5:$W$1000,3,0),"")</f>
        <v/>
      </c>
      <c r="D175" s="35" t="str">
        <f>IFERROR(VLOOKUP(B175,'MASTER RECORD'!$B$5:$W$1000,2,0),"")</f>
        <v/>
      </c>
      <c r="E175" s="36" t="str">
        <f>IFERROR(VLOOKUP(B175,'MASTER RECORD'!$B$5:$W$1000,9,0),"")</f>
        <v/>
      </c>
      <c r="F175" s="18"/>
      <c r="G175" s="18" t="str">
        <f t="shared" si="9"/>
        <v/>
      </c>
      <c r="H175" s="18" t="str">
        <f t="shared" si="10"/>
        <v/>
      </c>
      <c r="I175" s="35" t="str">
        <f t="shared" si="11"/>
        <v/>
      </c>
      <c r="J175" s="50"/>
      <c r="K175" s="17"/>
    </row>
    <row r="176" spans="1:11">
      <c r="A176" s="6">
        <f t="shared" si="8"/>
        <v>171</v>
      </c>
      <c r="B176" s="49"/>
      <c r="C176" s="35" t="str">
        <f>IFERROR(VLOOKUP(B176,'MASTER RECORD'!$B$5:$W$1000,3,0),"")</f>
        <v/>
      </c>
      <c r="D176" s="35" t="str">
        <f>IFERROR(VLOOKUP(B176,'MASTER RECORD'!$B$5:$W$1000,2,0),"")</f>
        <v/>
      </c>
      <c r="E176" s="36" t="str">
        <f>IFERROR(VLOOKUP(B176,'MASTER RECORD'!$B$5:$W$1000,9,0),"")</f>
        <v/>
      </c>
      <c r="F176" s="18"/>
      <c r="G176" s="18" t="str">
        <f t="shared" si="9"/>
        <v/>
      </c>
      <c r="H176" s="18" t="str">
        <f t="shared" si="10"/>
        <v/>
      </c>
      <c r="I176" s="35" t="str">
        <f t="shared" si="11"/>
        <v/>
      </c>
      <c r="J176" s="50"/>
      <c r="K176" s="17"/>
    </row>
    <row r="177" spans="1:11">
      <c r="A177" s="6">
        <f t="shared" si="8"/>
        <v>172</v>
      </c>
      <c r="B177" s="49"/>
      <c r="C177" s="35" t="str">
        <f>IFERROR(VLOOKUP(B177,'MASTER RECORD'!$B$5:$W$1000,3,0),"")</f>
        <v/>
      </c>
      <c r="D177" s="35" t="str">
        <f>IFERROR(VLOOKUP(B177,'MASTER RECORD'!$B$5:$W$1000,2,0),"")</f>
        <v/>
      </c>
      <c r="E177" s="36" t="str">
        <f>IFERROR(VLOOKUP(B177,'MASTER RECORD'!$B$5:$W$1000,9,0),"")</f>
        <v/>
      </c>
      <c r="F177" s="18"/>
      <c r="G177" s="18" t="str">
        <f t="shared" si="9"/>
        <v/>
      </c>
      <c r="H177" s="18" t="str">
        <f t="shared" si="10"/>
        <v/>
      </c>
      <c r="I177" s="35" t="str">
        <f t="shared" si="11"/>
        <v/>
      </c>
      <c r="J177" s="50"/>
      <c r="K177" s="17"/>
    </row>
    <row r="178" spans="1:11">
      <c r="A178" s="6">
        <f t="shared" si="8"/>
        <v>173</v>
      </c>
      <c r="B178" s="49"/>
      <c r="C178" s="35" t="str">
        <f>IFERROR(VLOOKUP(B178,'MASTER RECORD'!$B$5:$W$1000,3,0),"")</f>
        <v/>
      </c>
      <c r="D178" s="35" t="str">
        <f>IFERROR(VLOOKUP(B178,'MASTER RECORD'!$B$5:$W$1000,2,0),"")</f>
        <v/>
      </c>
      <c r="E178" s="36" t="str">
        <f>IFERROR(VLOOKUP(B178,'MASTER RECORD'!$B$5:$W$1000,9,0),"")</f>
        <v/>
      </c>
      <c r="F178" s="18"/>
      <c r="G178" s="18" t="str">
        <f t="shared" si="9"/>
        <v/>
      </c>
      <c r="H178" s="18" t="str">
        <f t="shared" si="10"/>
        <v/>
      </c>
      <c r="I178" s="35" t="str">
        <f t="shared" si="11"/>
        <v/>
      </c>
      <c r="J178" s="50"/>
      <c r="K178" s="17"/>
    </row>
    <row r="179" spans="1:11">
      <c r="A179" s="6">
        <f t="shared" si="8"/>
        <v>174</v>
      </c>
      <c r="B179" s="49"/>
      <c r="C179" s="35" t="str">
        <f>IFERROR(VLOOKUP(B179,'MASTER RECORD'!$B$5:$W$1000,3,0),"")</f>
        <v/>
      </c>
      <c r="D179" s="35" t="str">
        <f>IFERROR(VLOOKUP(B179,'MASTER RECORD'!$B$5:$W$1000,2,0),"")</f>
        <v/>
      </c>
      <c r="E179" s="36" t="str">
        <f>IFERROR(VLOOKUP(B179,'MASTER RECORD'!$B$5:$W$1000,9,0),"")</f>
        <v/>
      </c>
      <c r="F179" s="18"/>
      <c r="G179" s="18" t="str">
        <f t="shared" si="9"/>
        <v/>
      </c>
      <c r="H179" s="18" t="str">
        <f t="shared" si="10"/>
        <v/>
      </c>
      <c r="I179" s="35" t="str">
        <f t="shared" si="11"/>
        <v/>
      </c>
      <c r="J179" s="50"/>
      <c r="K179" s="17"/>
    </row>
    <row r="180" spans="1:11">
      <c r="A180" s="6">
        <f t="shared" si="8"/>
        <v>175</v>
      </c>
      <c r="B180" s="49"/>
      <c r="C180" s="35" t="str">
        <f>IFERROR(VLOOKUP(B180,'MASTER RECORD'!$B$5:$W$1000,3,0),"")</f>
        <v/>
      </c>
      <c r="D180" s="35" t="str">
        <f>IFERROR(VLOOKUP(B180,'MASTER RECORD'!$B$5:$W$1000,2,0),"")</f>
        <v/>
      </c>
      <c r="E180" s="36" t="str">
        <f>IFERROR(VLOOKUP(B180,'MASTER RECORD'!$B$5:$W$1000,9,0),"")</f>
        <v/>
      </c>
      <c r="F180" s="18"/>
      <c r="G180" s="18" t="str">
        <f t="shared" si="9"/>
        <v/>
      </c>
      <c r="H180" s="18" t="str">
        <f t="shared" si="10"/>
        <v/>
      </c>
      <c r="I180" s="35" t="str">
        <f t="shared" si="11"/>
        <v/>
      </c>
      <c r="J180" s="50"/>
      <c r="K180" s="17"/>
    </row>
    <row r="181" spans="1:11">
      <c r="A181" s="6">
        <f t="shared" si="8"/>
        <v>176</v>
      </c>
      <c r="B181" s="49"/>
      <c r="C181" s="35" t="str">
        <f>IFERROR(VLOOKUP(B181,'MASTER RECORD'!$B$5:$W$1000,3,0),"")</f>
        <v/>
      </c>
      <c r="D181" s="35" t="str">
        <f>IFERROR(VLOOKUP(B181,'MASTER RECORD'!$B$5:$W$1000,2,0),"")</f>
        <v/>
      </c>
      <c r="E181" s="36" t="str">
        <f>IFERROR(VLOOKUP(B181,'MASTER RECORD'!$B$5:$W$1000,9,0),"")</f>
        <v/>
      </c>
      <c r="F181" s="18"/>
      <c r="G181" s="18" t="str">
        <f t="shared" si="9"/>
        <v/>
      </c>
      <c r="H181" s="18" t="str">
        <f t="shared" si="10"/>
        <v/>
      </c>
      <c r="I181" s="35" t="str">
        <f t="shared" si="11"/>
        <v/>
      </c>
      <c r="J181" s="50"/>
      <c r="K181" s="17"/>
    </row>
    <row r="182" spans="1:11">
      <c r="A182" s="6">
        <f t="shared" si="8"/>
        <v>177</v>
      </c>
      <c r="B182" s="49"/>
      <c r="C182" s="35" t="str">
        <f>IFERROR(VLOOKUP(B182,'MASTER RECORD'!$B$5:$W$1000,3,0),"")</f>
        <v/>
      </c>
      <c r="D182" s="35" t="str">
        <f>IFERROR(VLOOKUP(B182,'MASTER RECORD'!$B$5:$W$1000,2,0),"")</f>
        <v/>
      </c>
      <c r="E182" s="36" t="str">
        <f>IFERROR(VLOOKUP(B182,'MASTER RECORD'!$B$5:$W$1000,9,0),"")</f>
        <v/>
      </c>
      <c r="F182" s="18"/>
      <c r="G182" s="18" t="str">
        <f t="shared" si="9"/>
        <v/>
      </c>
      <c r="H182" s="18" t="str">
        <f t="shared" si="10"/>
        <v/>
      </c>
      <c r="I182" s="35" t="str">
        <f t="shared" si="11"/>
        <v/>
      </c>
      <c r="J182" s="50"/>
      <c r="K182" s="17"/>
    </row>
    <row r="183" spans="1:11">
      <c r="A183" s="6">
        <f t="shared" si="8"/>
        <v>178</v>
      </c>
      <c r="B183" s="49"/>
      <c r="C183" s="35" t="str">
        <f>IFERROR(VLOOKUP(B183,'MASTER RECORD'!$B$5:$W$1000,3,0),"")</f>
        <v/>
      </c>
      <c r="D183" s="35" t="str">
        <f>IFERROR(VLOOKUP(B183,'MASTER RECORD'!$B$5:$W$1000,2,0),"")</f>
        <v/>
      </c>
      <c r="E183" s="36" t="str">
        <f>IFERROR(VLOOKUP(B183,'MASTER RECORD'!$B$5:$W$1000,9,0),"")</f>
        <v/>
      </c>
      <c r="F183" s="18"/>
      <c r="G183" s="18" t="str">
        <f t="shared" si="9"/>
        <v/>
      </c>
      <c r="H183" s="18" t="str">
        <f t="shared" si="10"/>
        <v/>
      </c>
      <c r="I183" s="35" t="str">
        <f t="shared" si="11"/>
        <v/>
      </c>
      <c r="J183" s="50"/>
      <c r="K183" s="17"/>
    </row>
    <row r="184" spans="1:11">
      <c r="A184" s="6">
        <f t="shared" si="8"/>
        <v>179</v>
      </c>
      <c r="B184" s="49"/>
      <c r="C184" s="35" t="str">
        <f>IFERROR(VLOOKUP(B184,'MASTER RECORD'!$B$5:$W$1000,3,0),"")</f>
        <v/>
      </c>
      <c r="D184" s="35" t="str">
        <f>IFERROR(VLOOKUP(B184,'MASTER RECORD'!$B$5:$W$1000,2,0),"")</f>
        <v/>
      </c>
      <c r="E184" s="36" t="str">
        <f>IFERROR(VLOOKUP(B184,'MASTER RECORD'!$B$5:$W$1000,9,0),"")</f>
        <v/>
      </c>
      <c r="F184" s="18"/>
      <c r="G184" s="18" t="str">
        <f t="shared" si="9"/>
        <v/>
      </c>
      <c r="H184" s="18" t="str">
        <f t="shared" si="10"/>
        <v/>
      </c>
      <c r="I184" s="35" t="str">
        <f t="shared" si="11"/>
        <v/>
      </c>
      <c r="J184" s="50"/>
      <c r="K184" s="17"/>
    </row>
    <row r="185" spans="1:11">
      <c r="A185" s="6">
        <f t="shared" si="8"/>
        <v>180</v>
      </c>
      <c r="B185" s="49"/>
      <c r="C185" s="35" t="str">
        <f>IFERROR(VLOOKUP(B185,'MASTER RECORD'!$B$5:$W$1000,3,0),"")</f>
        <v/>
      </c>
      <c r="D185" s="35" t="str">
        <f>IFERROR(VLOOKUP(B185,'MASTER RECORD'!$B$5:$W$1000,2,0),"")</f>
        <v/>
      </c>
      <c r="E185" s="36" t="str">
        <f>IFERROR(VLOOKUP(B185,'MASTER RECORD'!$B$5:$W$1000,9,0),"")</f>
        <v/>
      </c>
      <c r="F185" s="18"/>
      <c r="G185" s="18" t="str">
        <f t="shared" si="9"/>
        <v/>
      </c>
      <c r="H185" s="18" t="str">
        <f t="shared" si="10"/>
        <v/>
      </c>
      <c r="I185" s="35" t="str">
        <f t="shared" si="11"/>
        <v/>
      </c>
      <c r="J185" s="50"/>
      <c r="K185" s="17"/>
    </row>
    <row r="186" spans="1:11">
      <c r="A186" s="6">
        <f t="shared" si="8"/>
        <v>181</v>
      </c>
      <c r="B186" s="49"/>
      <c r="C186" s="35" t="str">
        <f>IFERROR(VLOOKUP(B186,'MASTER RECORD'!$B$5:$W$1000,3,0),"")</f>
        <v/>
      </c>
      <c r="D186" s="35" t="str">
        <f>IFERROR(VLOOKUP(B186,'MASTER RECORD'!$B$5:$W$1000,2,0),"")</f>
        <v/>
      </c>
      <c r="E186" s="36" t="str">
        <f>IFERROR(VLOOKUP(B186,'MASTER RECORD'!$B$5:$W$1000,9,0),"")</f>
        <v/>
      </c>
      <c r="F186" s="18"/>
      <c r="G186" s="18" t="str">
        <f t="shared" si="9"/>
        <v/>
      </c>
      <c r="H186" s="18" t="str">
        <f t="shared" si="10"/>
        <v/>
      </c>
      <c r="I186" s="35" t="str">
        <f t="shared" si="11"/>
        <v/>
      </c>
      <c r="J186" s="50"/>
      <c r="K186" s="17"/>
    </row>
    <row r="187" spans="1:11">
      <c r="A187" s="6">
        <f t="shared" si="8"/>
        <v>182</v>
      </c>
      <c r="B187" s="49"/>
      <c r="C187" s="35" t="str">
        <f>IFERROR(VLOOKUP(B187,'MASTER RECORD'!$B$5:$W$1000,3,0),"")</f>
        <v/>
      </c>
      <c r="D187" s="35" t="str">
        <f>IFERROR(VLOOKUP(B187,'MASTER RECORD'!$B$5:$W$1000,2,0),"")</f>
        <v/>
      </c>
      <c r="E187" s="36" t="str">
        <f>IFERROR(VLOOKUP(B187,'MASTER RECORD'!$B$5:$W$1000,9,0),"")</f>
        <v/>
      </c>
      <c r="F187" s="18"/>
      <c r="G187" s="18" t="str">
        <f t="shared" si="9"/>
        <v/>
      </c>
      <c r="H187" s="18" t="str">
        <f t="shared" si="10"/>
        <v/>
      </c>
      <c r="I187" s="35" t="str">
        <f t="shared" si="11"/>
        <v/>
      </c>
      <c r="J187" s="50"/>
      <c r="K187" s="17"/>
    </row>
    <row r="188" spans="1:11">
      <c r="A188" s="6">
        <f t="shared" si="8"/>
        <v>183</v>
      </c>
      <c r="B188" s="49"/>
      <c r="C188" s="35" t="str">
        <f>IFERROR(VLOOKUP(B188,'MASTER RECORD'!$B$5:$W$1000,3,0),"")</f>
        <v/>
      </c>
      <c r="D188" s="35" t="str">
        <f>IFERROR(VLOOKUP(B188,'MASTER RECORD'!$B$5:$W$1000,2,0),"")</f>
        <v/>
      </c>
      <c r="E188" s="36" t="str">
        <f>IFERROR(VLOOKUP(B188,'MASTER RECORD'!$B$5:$W$1000,9,0),"")</f>
        <v/>
      </c>
      <c r="F188" s="18"/>
      <c r="G188" s="18" t="str">
        <f t="shared" si="9"/>
        <v/>
      </c>
      <c r="H188" s="18" t="str">
        <f t="shared" si="10"/>
        <v/>
      </c>
      <c r="I188" s="35" t="str">
        <f t="shared" si="11"/>
        <v/>
      </c>
      <c r="J188" s="50"/>
      <c r="K188" s="17"/>
    </row>
    <row r="189" spans="1:11">
      <c r="A189" s="6">
        <f t="shared" si="8"/>
        <v>184</v>
      </c>
      <c r="B189" s="49"/>
      <c r="C189" s="35" t="str">
        <f>IFERROR(VLOOKUP(B189,'MASTER RECORD'!$B$5:$W$1000,3,0),"")</f>
        <v/>
      </c>
      <c r="D189" s="35" t="str">
        <f>IFERROR(VLOOKUP(B189,'MASTER RECORD'!$B$5:$W$1000,2,0),"")</f>
        <v/>
      </c>
      <c r="E189" s="36" t="str">
        <f>IFERROR(VLOOKUP(B189,'MASTER RECORD'!$B$5:$W$1000,9,0),"")</f>
        <v/>
      </c>
      <c r="F189" s="18"/>
      <c r="G189" s="18" t="str">
        <f t="shared" si="9"/>
        <v/>
      </c>
      <c r="H189" s="18" t="str">
        <f t="shared" si="10"/>
        <v/>
      </c>
      <c r="I189" s="35" t="str">
        <f t="shared" si="11"/>
        <v/>
      </c>
      <c r="J189" s="50"/>
      <c r="K189" s="17"/>
    </row>
    <row r="190" spans="1:11">
      <c r="A190" s="6">
        <f t="shared" si="8"/>
        <v>185</v>
      </c>
      <c r="B190" s="49"/>
      <c r="C190" s="35" t="str">
        <f>IFERROR(VLOOKUP(B190,'MASTER RECORD'!$B$5:$W$1000,3,0),"")</f>
        <v/>
      </c>
      <c r="D190" s="35" t="str">
        <f>IFERROR(VLOOKUP(B190,'MASTER RECORD'!$B$5:$W$1000,2,0),"")</f>
        <v/>
      </c>
      <c r="E190" s="36" t="str">
        <f>IFERROR(VLOOKUP(B190,'MASTER RECORD'!$B$5:$W$1000,9,0),"")</f>
        <v/>
      </c>
      <c r="F190" s="18"/>
      <c r="G190" s="18" t="str">
        <f t="shared" si="9"/>
        <v/>
      </c>
      <c r="H190" s="18" t="str">
        <f t="shared" si="10"/>
        <v/>
      </c>
      <c r="I190" s="35" t="str">
        <f t="shared" si="11"/>
        <v/>
      </c>
      <c r="J190" s="50"/>
      <c r="K190" s="17"/>
    </row>
    <row r="191" spans="1:11">
      <c r="A191" s="6">
        <f t="shared" si="8"/>
        <v>186</v>
      </c>
      <c r="B191" s="49"/>
      <c r="C191" s="35" t="str">
        <f>IFERROR(VLOOKUP(B191,'MASTER RECORD'!$B$5:$W$1000,3,0),"")</f>
        <v/>
      </c>
      <c r="D191" s="35" t="str">
        <f>IFERROR(VLOOKUP(B191,'MASTER RECORD'!$B$5:$W$1000,2,0),"")</f>
        <v/>
      </c>
      <c r="E191" s="36" t="str">
        <f>IFERROR(VLOOKUP(B191,'MASTER RECORD'!$B$5:$W$1000,9,0),"")</f>
        <v/>
      </c>
      <c r="F191" s="18"/>
      <c r="G191" s="18" t="str">
        <f t="shared" si="9"/>
        <v/>
      </c>
      <c r="H191" s="18" t="str">
        <f t="shared" si="10"/>
        <v/>
      </c>
      <c r="I191" s="35" t="str">
        <f t="shared" si="11"/>
        <v/>
      </c>
      <c r="J191" s="50"/>
      <c r="K191" s="17"/>
    </row>
    <row r="192" spans="1:11">
      <c r="A192" s="6">
        <f t="shared" si="8"/>
        <v>187</v>
      </c>
      <c r="B192" s="49"/>
      <c r="C192" s="35" t="str">
        <f>IFERROR(VLOOKUP(B192,'MASTER RECORD'!$B$5:$W$1000,3,0),"")</f>
        <v/>
      </c>
      <c r="D192" s="35" t="str">
        <f>IFERROR(VLOOKUP(B192,'MASTER RECORD'!$B$5:$W$1000,2,0),"")</f>
        <v/>
      </c>
      <c r="E192" s="36" t="str">
        <f>IFERROR(VLOOKUP(B192,'MASTER RECORD'!$B$5:$W$1000,9,0),"")</f>
        <v/>
      </c>
      <c r="F192" s="18"/>
      <c r="G192" s="18" t="str">
        <f t="shared" si="9"/>
        <v/>
      </c>
      <c r="H192" s="18" t="str">
        <f t="shared" si="10"/>
        <v/>
      </c>
      <c r="I192" s="35" t="str">
        <f t="shared" si="11"/>
        <v/>
      </c>
      <c r="J192" s="50"/>
      <c r="K192" s="17"/>
    </row>
    <row r="193" spans="1:11">
      <c r="A193" s="6">
        <f t="shared" si="8"/>
        <v>188</v>
      </c>
      <c r="B193" s="49"/>
      <c r="C193" s="35" t="str">
        <f>IFERROR(VLOOKUP(B193,'MASTER RECORD'!$B$5:$W$1000,3,0),"")</f>
        <v/>
      </c>
      <c r="D193" s="35" t="str">
        <f>IFERROR(VLOOKUP(B193,'MASTER RECORD'!$B$5:$W$1000,2,0),"")</f>
        <v/>
      </c>
      <c r="E193" s="36" t="str">
        <f>IFERROR(VLOOKUP(B193,'MASTER RECORD'!$B$5:$W$1000,9,0),"")</f>
        <v/>
      </c>
      <c r="F193" s="18"/>
      <c r="G193" s="18" t="str">
        <f t="shared" si="9"/>
        <v/>
      </c>
      <c r="H193" s="18" t="str">
        <f t="shared" si="10"/>
        <v/>
      </c>
      <c r="I193" s="35" t="str">
        <f t="shared" si="11"/>
        <v/>
      </c>
      <c r="J193" s="50"/>
      <c r="K193" s="17"/>
    </row>
    <row r="194" spans="1:11">
      <c r="A194" s="6">
        <f t="shared" si="8"/>
        <v>189</v>
      </c>
      <c r="B194" s="49"/>
      <c r="C194" s="35" t="str">
        <f>IFERROR(VLOOKUP(B194,'MASTER RECORD'!$B$5:$W$1000,3,0),"")</f>
        <v/>
      </c>
      <c r="D194" s="35" t="str">
        <f>IFERROR(VLOOKUP(B194,'MASTER RECORD'!$B$5:$W$1000,2,0),"")</f>
        <v/>
      </c>
      <c r="E194" s="36" t="str">
        <f>IFERROR(VLOOKUP(B194,'MASTER RECORD'!$B$5:$W$1000,9,0),"")</f>
        <v/>
      </c>
      <c r="F194" s="18"/>
      <c r="G194" s="18" t="str">
        <f t="shared" si="9"/>
        <v/>
      </c>
      <c r="H194" s="18" t="str">
        <f t="shared" si="10"/>
        <v/>
      </c>
      <c r="I194" s="35" t="str">
        <f t="shared" si="11"/>
        <v/>
      </c>
      <c r="J194" s="50"/>
      <c r="K194" s="17"/>
    </row>
    <row r="195" spans="1:11">
      <c r="A195" s="6">
        <f t="shared" si="8"/>
        <v>190</v>
      </c>
      <c r="B195" s="49"/>
      <c r="C195" s="35" t="str">
        <f>IFERROR(VLOOKUP(B195,'MASTER RECORD'!$B$5:$W$1000,3,0),"")</f>
        <v/>
      </c>
      <c r="D195" s="35" t="str">
        <f>IFERROR(VLOOKUP(B195,'MASTER RECORD'!$B$5:$W$1000,2,0),"")</f>
        <v/>
      </c>
      <c r="E195" s="36" t="str">
        <f>IFERROR(VLOOKUP(B195,'MASTER RECORD'!$B$5:$W$1000,9,0),"")</f>
        <v/>
      </c>
      <c r="F195" s="18"/>
      <c r="G195" s="18" t="str">
        <f t="shared" si="9"/>
        <v/>
      </c>
      <c r="H195" s="18" t="str">
        <f t="shared" si="10"/>
        <v/>
      </c>
      <c r="I195" s="35" t="str">
        <f t="shared" si="11"/>
        <v/>
      </c>
      <c r="J195" s="50"/>
      <c r="K195" s="17"/>
    </row>
    <row r="196" spans="1:11">
      <c r="A196" s="6">
        <f t="shared" si="8"/>
        <v>191</v>
      </c>
      <c r="B196" s="49"/>
      <c r="C196" s="35" t="str">
        <f>IFERROR(VLOOKUP(B196,'MASTER RECORD'!$B$5:$W$1000,3,0),"")</f>
        <v/>
      </c>
      <c r="D196" s="35" t="str">
        <f>IFERROR(VLOOKUP(B196,'MASTER RECORD'!$B$5:$W$1000,2,0),"")</f>
        <v/>
      </c>
      <c r="E196" s="36" t="str">
        <f>IFERROR(VLOOKUP(B196,'MASTER RECORD'!$B$5:$W$1000,9,0),"")</f>
        <v/>
      </c>
      <c r="F196" s="18"/>
      <c r="G196" s="18" t="str">
        <f t="shared" si="9"/>
        <v/>
      </c>
      <c r="H196" s="18" t="str">
        <f t="shared" si="10"/>
        <v/>
      </c>
      <c r="I196" s="35" t="str">
        <f t="shared" si="11"/>
        <v/>
      </c>
      <c r="J196" s="50"/>
      <c r="K196" s="17"/>
    </row>
    <row r="197" spans="1:11">
      <c r="A197" s="6">
        <f t="shared" si="8"/>
        <v>192</v>
      </c>
      <c r="B197" s="49"/>
      <c r="C197" s="35" t="str">
        <f>IFERROR(VLOOKUP(B197,'MASTER RECORD'!$B$5:$W$1000,3,0),"")</f>
        <v/>
      </c>
      <c r="D197" s="35" t="str">
        <f>IFERROR(VLOOKUP(B197,'MASTER RECORD'!$B$5:$W$1000,2,0),"")</f>
        <v/>
      </c>
      <c r="E197" s="36" t="str">
        <f>IFERROR(VLOOKUP(B197,'MASTER RECORD'!$B$5:$W$1000,9,0),"")</f>
        <v/>
      </c>
      <c r="F197" s="18"/>
      <c r="G197" s="18" t="str">
        <f t="shared" si="9"/>
        <v/>
      </c>
      <c r="H197" s="18" t="str">
        <f t="shared" si="10"/>
        <v/>
      </c>
      <c r="I197" s="35" t="str">
        <f t="shared" si="11"/>
        <v/>
      </c>
      <c r="J197" s="50"/>
      <c r="K197" s="17"/>
    </row>
    <row r="198" spans="1:11">
      <c r="A198" s="6">
        <f t="shared" si="8"/>
        <v>193</v>
      </c>
      <c r="B198" s="49"/>
      <c r="C198" s="35" t="str">
        <f>IFERROR(VLOOKUP(B198,'MASTER RECORD'!$B$5:$W$1000,3,0),"")</f>
        <v/>
      </c>
      <c r="D198" s="35" t="str">
        <f>IFERROR(VLOOKUP(B198,'MASTER RECORD'!$B$5:$W$1000,2,0),"")</f>
        <v/>
      </c>
      <c r="E198" s="36" t="str">
        <f>IFERROR(VLOOKUP(B198,'MASTER RECORD'!$B$5:$W$1000,9,0),"")</f>
        <v/>
      </c>
      <c r="F198" s="18"/>
      <c r="G198" s="18" t="str">
        <f t="shared" si="9"/>
        <v/>
      </c>
      <c r="H198" s="18" t="str">
        <f t="shared" si="10"/>
        <v/>
      </c>
      <c r="I198" s="35" t="str">
        <f t="shared" si="11"/>
        <v/>
      </c>
      <c r="J198" s="50"/>
      <c r="K198" s="17"/>
    </row>
    <row r="199" spans="1:11">
      <c r="A199" s="6">
        <f t="shared" ref="A199:A262" si="12">ROW(A194)</f>
        <v>194</v>
      </c>
      <c r="B199" s="49"/>
      <c r="C199" s="35" t="str">
        <f>IFERROR(VLOOKUP(B199,'MASTER RECORD'!$B$5:$W$1000,3,0),"")</f>
        <v/>
      </c>
      <c r="D199" s="35" t="str">
        <f>IFERROR(VLOOKUP(B199,'MASTER RECORD'!$B$5:$W$1000,2,0),"")</f>
        <v/>
      </c>
      <c r="E199" s="36" t="str">
        <f>IFERROR(VLOOKUP(B199,'MASTER RECORD'!$B$5:$W$1000,9,0),"")</f>
        <v/>
      </c>
      <c r="F199" s="18"/>
      <c r="G199" s="18" t="str">
        <f t="shared" ref="G199:G262" si="13">IF($F199=0,"",TEXT($F199,"mmmm"))</f>
        <v/>
      </c>
      <c r="H199" s="18" t="str">
        <f t="shared" ref="H199:H262" si="14">IF($F199=0,"",TEXT($F199,"yyyy"))</f>
        <v/>
      </c>
      <c r="I199" s="35" t="str">
        <f t="shared" ref="I199:I262" si="15">IFERROR(DATEDIF(E199,F199,"Y")&amp;"."&amp;DATEDIF(E199,F199,"YM"),"")</f>
        <v/>
      </c>
      <c r="J199" s="50"/>
      <c r="K199" s="17"/>
    </row>
    <row r="200" spans="1:11">
      <c r="A200" s="6">
        <f t="shared" si="12"/>
        <v>195</v>
      </c>
      <c r="B200" s="49"/>
      <c r="C200" s="35" t="str">
        <f>IFERROR(VLOOKUP(B200,'MASTER RECORD'!$B$5:$W$1000,3,0),"")</f>
        <v/>
      </c>
      <c r="D200" s="35" t="str">
        <f>IFERROR(VLOOKUP(B200,'MASTER RECORD'!$B$5:$W$1000,2,0),"")</f>
        <v/>
      </c>
      <c r="E200" s="36" t="str">
        <f>IFERROR(VLOOKUP(B200,'MASTER RECORD'!$B$5:$W$1000,9,0),"")</f>
        <v/>
      </c>
      <c r="F200" s="18"/>
      <c r="G200" s="18" t="str">
        <f t="shared" si="13"/>
        <v/>
      </c>
      <c r="H200" s="18" t="str">
        <f t="shared" si="14"/>
        <v/>
      </c>
      <c r="I200" s="35" t="str">
        <f t="shared" si="15"/>
        <v/>
      </c>
      <c r="J200" s="50"/>
      <c r="K200" s="17"/>
    </row>
    <row r="201" spans="1:11">
      <c r="A201" s="6">
        <f t="shared" si="12"/>
        <v>196</v>
      </c>
      <c r="B201" s="49"/>
      <c r="C201" s="35" t="str">
        <f>IFERROR(VLOOKUP(B201,'MASTER RECORD'!$B$5:$W$1000,3,0),"")</f>
        <v/>
      </c>
      <c r="D201" s="35" t="str">
        <f>IFERROR(VLOOKUP(B201,'MASTER RECORD'!$B$5:$W$1000,2,0),"")</f>
        <v/>
      </c>
      <c r="E201" s="36" t="str">
        <f>IFERROR(VLOOKUP(B201,'MASTER RECORD'!$B$5:$W$1000,9,0),"")</f>
        <v/>
      </c>
      <c r="F201" s="18"/>
      <c r="G201" s="18" t="str">
        <f t="shared" si="13"/>
        <v/>
      </c>
      <c r="H201" s="18" t="str">
        <f t="shared" si="14"/>
        <v/>
      </c>
      <c r="I201" s="35" t="str">
        <f t="shared" si="15"/>
        <v/>
      </c>
      <c r="J201" s="50"/>
      <c r="K201" s="17"/>
    </row>
    <row r="202" spans="1:11">
      <c r="A202" s="6">
        <f t="shared" si="12"/>
        <v>197</v>
      </c>
      <c r="B202" s="49"/>
      <c r="C202" s="35" t="str">
        <f>IFERROR(VLOOKUP(B202,'MASTER RECORD'!$B$5:$W$1000,3,0),"")</f>
        <v/>
      </c>
      <c r="D202" s="35" t="str">
        <f>IFERROR(VLOOKUP(B202,'MASTER RECORD'!$B$5:$W$1000,2,0),"")</f>
        <v/>
      </c>
      <c r="E202" s="36" t="str">
        <f>IFERROR(VLOOKUP(B202,'MASTER RECORD'!$B$5:$W$1000,9,0),"")</f>
        <v/>
      </c>
      <c r="F202" s="18"/>
      <c r="G202" s="18" t="str">
        <f t="shared" si="13"/>
        <v/>
      </c>
      <c r="H202" s="18" t="str">
        <f t="shared" si="14"/>
        <v/>
      </c>
      <c r="I202" s="35" t="str">
        <f t="shared" si="15"/>
        <v/>
      </c>
      <c r="J202" s="50"/>
      <c r="K202" s="17"/>
    </row>
    <row r="203" spans="1:11">
      <c r="A203" s="6">
        <f t="shared" si="12"/>
        <v>198</v>
      </c>
      <c r="B203" s="49"/>
      <c r="C203" s="35" t="str">
        <f>IFERROR(VLOOKUP(B203,'MASTER RECORD'!$B$5:$W$1000,3,0),"")</f>
        <v/>
      </c>
      <c r="D203" s="35" t="str">
        <f>IFERROR(VLOOKUP(B203,'MASTER RECORD'!$B$5:$W$1000,2,0),"")</f>
        <v/>
      </c>
      <c r="E203" s="36" t="str">
        <f>IFERROR(VLOOKUP(B203,'MASTER RECORD'!$B$5:$W$1000,9,0),"")</f>
        <v/>
      </c>
      <c r="F203" s="18"/>
      <c r="G203" s="18" t="str">
        <f t="shared" si="13"/>
        <v/>
      </c>
      <c r="H203" s="18" t="str">
        <f t="shared" si="14"/>
        <v/>
      </c>
      <c r="I203" s="35" t="str">
        <f t="shared" si="15"/>
        <v/>
      </c>
      <c r="J203" s="50"/>
      <c r="K203" s="17"/>
    </row>
    <row r="204" spans="1:11">
      <c r="A204" s="6">
        <f t="shared" si="12"/>
        <v>199</v>
      </c>
      <c r="B204" s="49"/>
      <c r="C204" s="35" t="str">
        <f>IFERROR(VLOOKUP(B204,'MASTER RECORD'!$B$5:$W$1000,3,0),"")</f>
        <v/>
      </c>
      <c r="D204" s="35" t="str">
        <f>IFERROR(VLOOKUP(B204,'MASTER RECORD'!$B$5:$W$1000,2,0),"")</f>
        <v/>
      </c>
      <c r="E204" s="36" t="str">
        <f>IFERROR(VLOOKUP(B204,'MASTER RECORD'!$B$5:$W$1000,9,0),"")</f>
        <v/>
      </c>
      <c r="F204" s="18"/>
      <c r="G204" s="18" t="str">
        <f t="shared" si="13"/>
        <v/>
      </c>
      <c r="H204" s="18" t="str">
        <f t="shared" si="14"/>
        <v/>
      </c>
      <c r="I204" s="35" t="str">
        <f t="shared" si="15"/>
        <v/>
      </c>
      <c r="J204" s="50"/>
      <c r="K204" s="17"/>
    </row>
    <row r="205" spans="1:11">
      <c r="A205" s="6">
        <f t="shared" si="12"/>
        <v>200</v>
      </c>
      <c r="B205" s="49"/>
      <c r="C205" s="35" t="str">
        <f>IFERROR(VLOOKUP(B205,'MASTER RECORD'!$B$5:$W$1000,3,0),"")</f>
        <v/>
      </c>
      <c r="D205" s="35" t="str">
        <f>IFERROR(VLOOKUP(B205,'MASTER RECORD'!$B$5:$W$1000,2,0),"")</f>
        <v/>
      </c>
      <c r="E205" s="36" t="str">
        <f>IFERROR(VLOOKUP(B205,'MASTER RECORD'!$B$5:$W$1000,9,0),"")</f>
        <v/>
      </c>
      <c r="F205" s="18"/>
      <c r="G205" s="18" t="str">
        <f t="shared" si="13"/>
        <v/>
      </c>
      <c r="H205" s="18" t="str">
        <f t="shared" si="14"/>
        <v/>
      </c>
      <c r="I205" s="35" t="str">
        <f t="shared" si="15"/>
        <v/>
      </c>
      <c r="J205" s="50"/>
      <c r="K205" s="17"/>
    </row>
    <row r="206" spans="1:11">
      <c r="A206" s="6">
        <f t="shared" si="12"/>
        <v>201</v>
      </c>
      <c r="B206" s="49"/>
      <c r="C206" s="35" t="str">
        <f>IFERROR(VLOOKUP(B206,'MASTER RECORD'!$B$5:$W$1000,3,0),"")</f>
        <v/>
      </c>
      <c r="D206" s="35" t="str">
        <f>IFERROR(VLOOKUP(B206,'MASTER RECORD'!$B$5:$W$1000,2,0),"")</f>
        <v/>
      </c>
      <c r="E206" s="36" t="str">
        <f>IFERROR(VLOOKUP(B206,'MASTER RECORD'!$B$5:$W$1000,9,0),"")</f>
        <v/>
      </c>
      <c r="F206" s="18"/>
      <c r="G206" s="18" t="str">
        <f t="shared" si="13"/>
        <v/>
      </c>
      <c r="H206" s="18" t="str">
        <f t="shared" si="14"/>
        <v/>
      </c>
      <c r="I206" s="35" t="str">
        <f t="shared" si="15"/>
        <v/>
      </c>
      <c r="J206" s="50"/>
      <c r="K206" s="17"/>
    </row>
    <row r="207" spans="1:11">
      <c r="A207" s="6">
        <f t="shared" si="12"/>
        <v>202</v>
      </c>
      <c r="B207" s="49"/>
      <c r="C207" s="35" t="str">
        <f>IFERROR(VLOOKUP(B207,'MASTER RECORD'!$B$5:$W$1000,3,0),"")</f>
        <v/>
      </c>
      <c r="D207" s="35" t="str">
        <f>IFERROR(VLOOKUP(B207,'MASTER RECORD'!$B$5:$W$1000,2,0),"")</f>
        <v/>
      </c>
      <c r="E207" s="36" t="str">
        <f>IFERROR(VLOOKUP(B207,'MASTER RECORD'!$B$5:$W$1000,9,0),"")</f>
        <v/>
      </c>
      <c r="F207" s="18"/>
      <c r="G207" s="18" t="str">
        <f t="shared" si="13"/>
        <v/>
      </c>
      <c r="H207" s="18" t="str">
        <f t="shared" si="14"/>
        <v/>
      </c>
      <c r="I207" s="35" t="str">
        <f t="shared" si="15"/>
        <v/>
      </c>
      <c r="J207" s="50"/>
      <c r="K207" s="17"/>
    </row>
    <row r="208" spans="1:11">
      <c r="A208" s="6">
        <f t="shared" si="12"/>
        <v>203</v>
      </c>
      <c r="B208" s="49"/>
      <c r="C208" s="35" t="str">
        <f>IFERROR(VLOOKUP(B208,'MASTER RECORD'!$B$5:$W$1000,3,0),"")</f>
        <v/>
      </c>
      <c r="D208" s="35" t="str">
        <f>IFERROR(VLOOKUP(B208,'MASTER RECORD'!$B$5:$W$1000,2,0),"")</f>
        <v/>
      </c>
      <c r="E208" s="36" t="str">
        <f>IFERROR(VLOOKUP(B208,'MASTER RECORD'!$B$5:$W$1000,9,0),"")</f>
        <v/>
      </c>
      <c r="F208" s="18"/>
      <c r="G208" s="18" t="str">
        <f t="shared" si="13"/>
        <v/>
      </c>
      <c r="H208" s="18" t="str">
        <f t="shared" si="14"/>
        <v/>
      </c>
      <c r="I208" s="35" t="str">
        <f t="shared" si="15"/>
        <v/>
      </c>
      <c r="J208" s="50"/>
      <c r="K208" s="17"/>
    </row>
    <row r="209" spans="1:11">
      <c r="A209" s="6">
        <f t="shared" si="12"/>
        <v>204</v>
      </c>
      <c r="B209" s="49"/>
      <c r="C209" s="35" t="str">
        <f>IFERROR(VLOOKUP(B209,'MASTER RECORD'!$B$5:$W$1000,3,0),"")</f>
        <v/>
      </c>
      <c r="D209" s="35" t="str">
        <f>IFERROR(VLOOKUP(B209,'MASTER RECORD'!$B$5:$W$1000,2,0),"")</f>
        <v/>
      </c>
      <c r="E209" s="36" t="str">
        <f>IFERROR(VLOOKUP(B209,'MASTER RECORD'!$B$5:$W$1000,9,0),"")</f>
        <v/>
      </c>
      <c r="F209" s="18"/>
      <c r="G209" s="18" t="str">
        <f t="shared" si="13"/>
        <v/>
      </c>
      <c r="H209" s="18" t="str">
        <f t="shared" si="14"/>
        <v/>
      </c>
      <c r="I209" s="35" t="str">
        <f t="shared" si="15"/>
        <v/>
      </c>
      <c r="J209" s="50"/>
      <c r="K209" s="17"/>
    </row>
    <row r="210" spans="1:11">
      <c r="A210" s="6">
        <f t="shared" si="12"/>
        <v>205</v>
      </c>
      <c r="B210" s="49"/>
      <c r="C210" s="35" t="str">
        <f>IFERROR(VLOOKUP(B210,'MASTER RECORD'!$B$5:$W$1000,3,0),"")</f>
        <v/>
      </c>
      <c r="D210" s="35" t="str">
        <f>IFERROR(VLOOKUP(B210,'MASTER RECORD'!$B$5:$W$1000,2,0),"")</f>
        <v/>
      </c>
      <c r="E210" s="36" t="str">
        <f>IFERROR(VLOOKUP(B210,'MASTER RECORD'!$B$5:$W$1000,9,0),"")</f>
        <v/>
      </c>
      <c r="F210" s="18"/>
      <c r="G210" s="18" t="str">
        <f t="shared" si="13"/>
        <v/>
      </c>
      <c r="H210" s="18" t="str">
        <f t="shared" si="14"/>
        <v/>
      </c>
      <c r="I210" s="35" t="str">
        <f t="shared" si="15"/>
        <v/>
      </c>
      <c r="J210" s="50"/>
      <c r="K210" s="17"/>
    </row>
    <row r="211" spans="1:11">
      <c r="A211" s="6">
        <f t="shared" si="12"/>
        <v>206</v>
      </c>
      <c r="B211" s="49"/>
      <c r="C211" s="35" t="str">
        <f>IFERROR(VLOOKUP(B211,'MASTER RECORD'!$B$5:$W$1000,3,0),"")</f>
        <v/>
      </c>
      <c r="D211" s="35" t="str">
        <f>IFERROR(VLOOKUP(B211,'MASTER RECORD'!$B$5:$W$1000,2,0),"")</f>
        <v/>
      </c>
      <c r="E211" s="36" t="str">
        <f>IFERROR(VLOOKUP(B211,'MASTER RECORD'!$B$5:$W$1000,9,0),"")</f>
        <v/>
      </c>
      <c r="F211" s="18"/>
      <c r="G211" s="18" t="str">
        <f t="shared" si="13"/>
        <v/>
      </c>
      <c r="H211" s="18" t="str">
        <f t="shared" si="14"/>
        <v/>
      </c>
      <c r="I211" s="35" t="str">
        <f t="shared" si="15"/>
        <v/>
      </c>
      <c r="J211" s="50"/>
      <c r="K211" s="17"/>
    </row>
    <row r="212" spans="1:11">
      <c r="A212" s="6">
        <f t="shared" si="12"/>
        <v>207</v>
      </c>
      <c r="B212" s="49"/>
      <c r="C212" s="35" t="str">
        <f>IFERROR(VLOOKUP(B212,'MASTER RECORD'!$B$5:$W$1000,3,0),"")</f>
        <v/>
      </c>
      <c r="D212" s="35" t="str">
        <f>IFERROR(VLOOKUP(B212,'MASTER RECORD'!$B$5:$W$1000,2,0),"")</f>
        <v/>
      </c>
      <c r="E212" s="36" t="str">
        <f>IFERROR(VLOOKUP(B212,'MASTER RECORD'!$B$5:$W$1000,9,0),"")</f>
        <v/>
      </c>
      <c r="F212" s="18"/>
      <c r="G212" s="18" t="str">
        <f t="shared" si="13"/>
        <v/>
      </c>
      <c r="H212" s="18" t="str">
        <f t="shared" si="14"/>
        <v/>
      </c>
      <c r="I212" s="35" t="str">
        <f t="shared" si="15"/>
        <v/>
      </c>
      <c r="J212" s="50"/>
      <c r="K212" s="17"/>
    </row>
    <row r="213" spans="1:11">
      <c r="A213" s="6">
        <f t="shared" si="12"/>
        <v>208</v>
      </c>
      <c r="B213" s="49"/>
      <c r="C213" s="35" t="str">
        <f>IFERROR(VLOOKUP(B213,'MASTER RECORD'!$B$5:$W$1000,3,0),"")</f>
        <v/>
      </c>
      <c r="D213" s="35" t="str">
        <f>IFERROR(VLOOKUP(B213,'MASTER RECORD'!$B$5:$W$1000,2,0),"")</f>
        <v/>
      </c>
      <c r="E213" s="36" t="str">
        <f>IFERROR(VLOOKUP(B213,'MASTER RECORD'!$B$5:$W$1000,9,0),"")</f>
        <v/>
      </c>
      <c r="F213" s="18"/>
      <c r="G213" s="18" t="str">
        <f t="shared" si="13"/>
        <v/>
      </c>
      <c r="H213" s="18" t="str">
        <f t="shared" si="14"/>
        <v/>
      </c>
      <c r="I213" s="35" t="str">
        <f t="shared" si="15"/>
        <v/>
      </c>
      <c r="J213" s="50"/>
      <c r="K213" s="17"/>
    </row>
    <row r="214" spans="1:11">
      <c r="A214" s="6">
        <f t="shared" si="12"/>
        <v>209</v>
      </c>
      <c r="B214" s="49"/>
      <c r="C214" s="35" t="str">
        <f>IFERROR(VLOOKUP(B214,'MASTER RECORD'!$B$5:$W$1000,3,0),"")</f>
        <v/>
      </c>
      <c r="D214" s="35" t="str">
        <f>IFERROR(VLOOKUP(B214,'MASTER RECORD'!$B$5:$W$1000,2,0),"")</f>
        <v/>
      </c>
      <c r="E214" s="36" t="str">
        <f>IFERROR(VLOOKUP(B214,'MASTER RECORD'!$B$5:$W$1000,9,0),"")</f>
        <v/>
      </c>
      <c r="F214" s="18"/>
      <c r="G214" s="18" t="str">
        <f t="shared" si="13"/>
        <v/>
      </c>
      <c r="H214" s="18" t="str">
        <f t="shared" si="14"/>
        <v/>
      </c>
      <c r="I214" s="35" t="str">
        <f t="shared" si="15"/>
        <v/>
      </c>
      <c r="J214" s="50"/>
      <c r="K214" s="17"/>
    </row>
    <row r="215" spans="1:11">
      <c r="A215" s="6">
        <f t="shared" si="12"/>
        <v>210</v>
      </c>
      <c r="B215" s="49"/>
      <c r="C215" s="35" t="str">
        <f>IFERROR(VLOOKUP(B215,'MASTER RECORD'!$B$5:$W$1000,3,0),"")</f>
        <v/>
      </c>
      <c r="D215" s="35" t="str">
        <f>IFERROR(VLOOKUP(B215,'MASTER RECORD'!$B$5:$W$1000,2,0),"")</f>
        <v/>
      </c>
      <c r="E215" s="36" t="str">
        <f>IFERROR(VLOOKUP(B215,'MASTER RECORD'!$B$5:$W$1000,9,0),"")</f>
        <v/>
      </c>
      <c r="F215" s="18"/>
      <c r="G215" s="18" t="str">
        <f t="shared" si="13"/>
        <v/>
      </c>
      <c r="H215" s="18" t="str">
        <f t="shared" si="14"/>
        <v/>
      </c>
      <c r="I215" s="35" t="str">
        <f t="shared" si="15"/>
        <v/>
      </c>
      <c r="J215" s="50"/>
      <c r="K215" s="17"/>
    </row>
    <row r="216" spans="1:11">
      <c r="A216" s="6">
        <f t="shared" si="12"/>
        <v>211</v>
      </c>
      <c r="B216" s="49"/>
      <c r="C216" s="35" t="str">
        <f>IFERROR(VLOOKUP(B216,'MASTER RECORD'!$B$5:$W$1000,3,0),"")</f>
        <v/>
      </c>
      <c r="D216" s="35" t="str">
        <f>IFERROR(VLOOKUP(B216,'MASTER RECORD'!$B$5:$W$1000,2,0),"")</f>
        <v/>
      </c>
      <c r="E216" s="36" t="str">
        <f>IFERROR(VLOOKUP(B216,'MASTER RECORD'!$B$5:$W$1000,9,0),"")</f>
        <v/>
      </c>
      <c r="F216" s="18"/>
      <c r="G216" s="18" t="str">
        <f t="shared" si="13"/>
        <v/>
      </c>
      <c r="H216" s="18" t="str">
        <f t="shared" si="14"/>
        <v/>
      </c>
      <c r="I216" s="35" t="str">
        <f t="shared" si="15"/>
        <v/>
      </c>
      <c r="J216" s="50"/>
      <c r="K216" s="17"/>
    </row>
    <row r="217" spans="1:11">
      <c r="A217" s="6">
        <f t="shared" si="12"/>
        <v>212</v>
      </c>
      <c r="B217" s="49"/>
      <c r="C217" s="35" t="str">
        <f>IFERROR(VLOOKUP(B217,'MASTER RECORD'!$B$5:$W$1000,3,0),"")</f>
        <v/>
      </c>
      <c r="D217" s="35" t="str">
        <f>IFERROR(VLOOKUP(B217,'MASTER RECORD'!$B$5:$W$1000,2,0),"")</f>
        <v/>
      </c>
      <c r="E217" s="36" t="str">
        <f>IFERROR(VLOOKUP(B217,'MASTER RECORD'!$B$5:$W$1000,9,0),"")</f>
        <v/>
      </c>
      <c r="F217" s="18"/>
      <c r="G217" s="18" t="str">
        <f t="shared" si="13"/>
        <v/>
      </c>
      <c r="H217" s="18" t="str">
        <f t="shared" si="14"/>
        <v/>
      </c>
      <c r="I217" s="35" t="str">
        <f t="shared" si="15"/>
        <v/>
      </c>
      <c r="J217" s="50"/>
      <c r="K217" s="17"/>
    </row>
    <row r="218" spans="1:11">
      <c r="A218" s="6">
        <f t="shared" si="12"/>
        <v>213</v>
      </c>
      <c r="B218" s="49"/>
      <c r="C218" s="35" t="str">
        <f>IFERROR(VLOOKUP(B218,'MASTER RECORD'!$B$5:$W$1000,3,0),"")</f>
        <v/>
      </c>
      <c r="D218" s="35" t="str">
        <f>IFERROR(VLOOKUP(B218,'MASTER RECORD'!$B$5:$W$1000,2,0),"")</f>
        <v/>
      </c>
      <c r="E218" s="36" t="str">
        <f>IFERROR(VLOOKUP(B218,'MASTER RECORD'!$B$5:$W$1000,9,0),"")</f>
        <v/>
      </c>
      <c r="F218" s="18"/>
      <c r="G218" s="18" t="str">
        <f t="shared" si="13"/>
        <v/>
      </c>
      <c r="H218" s="18" t="str">
        <f t="shared" si="14"/>
        <v/>
      </c>
      <c r="I218" s="35" t="str">
        <f t="shared" si="15"/>
        <v/>
      </c>
      <c r="J218" s="50"/>
      <c r="K218" s="17"/>
    </row>
    <row r="219" spans="1:11">
      <c r="A219" s="6">
        <f t="shared" si="12"/>
        <v>214</v>
      </c>
      <c r="B219" s="49"/>
      <c r="C219" s="35" t="str">
        <f>IFERROR(VLOOKUP(B219,'MASTER RECORD'!$B$5:$W$1000,3,0),"")</f>
        <v/>
      </c>
      <c r="D219" s="35" t="str">
        <f>IFERROR(VLOOKUP(B219,'MASTER RECORD'!$B$5:$W$1000,2,0),"")</f>
        <v/>
      </c>
      <c r="E219" s="36" t="str">
        <f>IFERROR(VLOOKUP(B219,'MASTER RECORD'!$B$5:$W$1000,9,0),"")</f>
        <v/>
      </c>
      <c r="F219" s="18"/>
      <c r="G219" s="18" t="str">
        <f t="shared" si="13"/>
        <v/>
      </c>
      <c r="H219" s="18" t="str">
        <f t="shared" si="14"/>
        <v/>
      </c>
      <c r="I219" s="35" t="str">
        <f t="shared" si="15"/>
        <v/>
      </c>
      <c r="J219" s="50"/>
      <c r="K219" s="17"/>
    </row>
    <row r="220" spans="1:11">
      <c r="A220" s="6">
        <f t="shared" si="12"/>
        <v>215</v>
      </c>
      <c r="B220" s="49"/>
      <c r="C220" s="35" t="str">
        <f>IFERROR(VLOOKUP(B220,'MASTER RECORD'!$B$5:$W$1000,3,0),"")</f>
        <v/>
      </c>
      <c r="D220" s="35" t="str">
        <f>IFERROR(VLOOKUP(B220,'MASTER RECORD'!$B$5:$W$1000,2,0),"")</f>
        <v/>
      </c>
      <c r="E220" s="36" t="str">
        <f>IFERROR(VLOOKUP(B220,'MASTER RECORD'!$B$5:$W$1000,9,0),"")</f>
        <v/>
      </c>
      <c r="F220" s="18"/>
      <c r="G220" s="18" t="str">
        <f t="shared" si="13"/>
        <v/>
      </c>
      <c r="H220" s="18" t="str">
        <f t="shared" si="14"/>
        <v/>
      </c>
      <c r="I220" s="35" t="str">
        <f t="shared" si="15"/>
        <v/>
      </c>
      <c r="J220" s="50"/>
      <c r="K220" s="17"/>
    </row>
    <row r="221" spans="1:11">
      <c r="A221" s="6">
        <f t="shared" si="12"/>
        <v>216</v>
      </c>
      <c r="B221" s="49"/>
      <c r="C221" s="35" t="str">
        <f>IFERROR(VLOOKUP(B221,'MASTER RECORD'!$B$5:$W$1000,3,0),"")</f>
        <v/>
      </c>
      <c r="D221" s="35" t="str">
        <f>IFERROR(VLOOKUP(B221,'MASTER RECORD'!$B$5:$W$1000,2,0),"")</f>
        <v/>
      </c>
      <c r="E221" s="36" t="str">
        <f>IFERROR(VLOOKUP(B221,'MASTER RECORD'!$B$5:$W$1000,9,0),"")</f>
        <v/>
      </c>
      <c r="F221" s="18"/>
      <c r="G221" s="18" t="str">
        <f t="shared" si="13"/>
        <v/>
      </c>
      <c r="H221" s="18" t="str">
        <f t="shared" si="14"/>
        <v/>
      </c>
      <c r="I221" s="35" t="str">
        <f t="shared" si="15"/>
        <v/>
      </c>
      <c r="J221" s="50"/>
      <c r="K221" s="17"/>
    </row>
    <row r="222" spans="1:11">
      <c r="A222" s="6">
        <f t="shared" si="12"/>
        <v>217</v>
      </c>
      <c r="B222" s="49"/>
      <c r="C222" s="35" t="str">
        <f>IFERROR(VLOOKUP(B222,'MASTER RECORD'!$B$5:$W$1000,3,0),"")</f>
        <v/>
      </c>
      <c r="D222" s="35" t="str">
        <f>IFERROR(VLOOKUP(B222,'MASTER RECORD'!$B$5:$W$1000,2,0),"")</f>
        <v/>
      </c>
      <c r="E222" s="36" t="str">
        <f>IFERROR(VLOOKUP(B222,'MASTER RECORD'!$B$5:$W$1000,9,0),"")</f>
        <v/>
      </c>
      <c r="F222" s="18"/>
      <c r="G222" s="18" t="str">
        <f t="shared" si="13"/>
        <v/>
      </c>
      <c r="H222" s="18" t="str">
        <f t="shared" si="14"/>
        <v/>
      </c>
      <c r="I222" s="35" t="str">
        <f t="shared" si="15"/>
        <v/>
      </c>
      <c r="J222" s="50"/>
      <c r="K222" s="17"/>
    </row>
    <row r="223" spans="1:11">
      <c r="A223" s="6">
        <f t="shared" si="12"/>
        <v>218</v>
      </c>
      <c r="B223" s="49"/>
      <c r="C223" s="35" t="str">
        <f>IFERROR(VLOOKUP(B223,'MASTER RECORD'!$B$5:$W$1000,3,0),"")</f>
        <v/>
      </c>
      <c r="D223" s="35" t="str">
        <f>IFERROR(VLOOKUP(B223,'MASTER RECORD'!$B$5:$W$1000,2,0),"")</f>
        <v/>
      </c>
      <c r="E223" s="36" t="str">
        <f>IFERROR(VLOOKUP(B223,'MASTER RECORD'!$B$5:$W$1000,9,0),"")</f>
        <v/>
      </c>
      <c r="F223" s="18"/>
      <c r="G223" s="18" t="str">
        <f t="shared" si="13"/>
        <v/>
      </c>
      <c r="H223" s="18" t="str">
        <f t="shared" si="14"/>
        <v/>
      </c>
      <c r="I223" s="35" t="str">
        <f t="shared" si="15"/>
        <v/>
      </c>
      <c r="J223" s="50"/>
      <c r="K223" s="17"/>
    </row>
    <row r="224" spans="1:11">
      <c r="A224" s="6">
        <f t="shared" si="12"/>
        <v>219</v>
      </c>
      <c r="B224" s="49"/>
      <c r="C224" s="35" t="str">
        <f>IFERROR(VLOOKUP(B224,'MASTER RECORD'!$B$5:$W$1000,3,0),"")</f>
        <v/>
      </c>
      <c r="D224" s="35" t="str">
        <f>IFERROR(VLOOKUP(B224,'MASTER RECORD'!$B$5:$W$1000,2,0),"")</f>
        <v/>
      </c>
      <c r="E224" s="36" t="str">
        <f>IFERROR(VLOOKUP(B224,'MASTER RECORD'!$B$5:$W$1000,9,0),"")</f>
        <v/>
      </c>
      <c r="F224" s="18"/>
      <c r="G224" s="18" t="str">
        <f t="shared" si="13"/>
        <v/>
      </c>
      <c r="H224" s="18" t="str">
        <f t="shared" si="14"/>
        <v/>
      </c>
      <c r="I224" s="35" t="str">
        <f t="shared" si="15"/>
        <v/>
      </c>
      <c r="J224" s="50"/>
      <c r="K224" s="17"/>
    </row>
    <row r="225" spans="1:11">
      <c r="A225" s="6">
        <f t="shared" si="12"/>
        <v>220</v>
      </c>
      <c r="B225" s="49"/>
      <c r="C225" s="35" t="str">
        <f>IFERROR(VLOOKUP(B225,'MASTER RECORD'!$B$5:$W$1000,3,0),"")</f>
        <v/>
      </c>
      <c r="D225" s="35" t="str">
        <f>IFERROR(VLOOKUP(B225,'MASTER RECORD'!$B$5:$W$1000,2,0),"")</f>
        <v/>
      </c>
      <c r="E225" s="36" t="str">
        <f>IFERROR(VLOOKUP(B225,'MASTER RECORD'!$B$5:$W$1000,9,0),"")</f>
        <v/>
      </c>
      <c r="F225" s="18"/>
      <c r="G225" s="18" t="str">
        <f t="shared" si="13"/>
        <v/>
      </c>
      <c r="H225" s="18" t="str">
        <f t="shared" si="14"/>
        <v/>
      </c>
      <c r="I225" s="35" t="str">
        <f t="shared" si="15"/>
        <v/>
      </c>
      <c r="J225" s="50"/>
      <c r="K225" s="17"/>
    </row>
    <row r="226" spans="1:11">
      <c r="A226" s="6">
        <f t="shared" si="12"/>
        <v>221</v>
      </c>
      <c r="B226" s="49"/>
      <c r="C226" s="35" t="str">
        <f>IFERROR(VLOOKUP(B226,'MASTER RECORD'!$B$5:$W$1000,3,0),"")</f>
        <v/>
      </c>
      <c r="D226" s="35" t="str">
        <f>IFERROR(VLOOKUP(B226,'MASTER RECORD'!$B$5:$W$1000,2,0),"")</f>
        <v/>
      </c>
      <c r="E226" s="36" t="str">
        <f>IFERROR(VLOOKUP(B226,'MASTER RECORD'!$B$5:$W$1000,9,0),"")</f>
        <v/>
      </c>
      <c r="F226" s="18"/>
      <c r="G226" s="18" t="str">
        <f t="shared" si="13"/>
        <v/>
      </c>
      <c r="H226" s="18" t="str">
        <f t="shared" si="14"/>
        <v/>
      </c>
      <c r="I226" s="35" t="str">
        <f t="shared" si="15"/>
        <v/>
      </c>
      <c r="J226" s="50"/>
      <c r="K226" s="17"/>
    </row>
    <row r="227" spans="1:11">
      <c r="A227" s="6">
        <f t="shared" si="12"/>
        <v>222</v>
      </c>
      <c r="B227" s="49"/>
      <c r="C227" s="35" t="str">
        <f>IFERROR(VLOOKUP(B227,'MASTER RECORD'!$B$5:$W$1000,3,0),"")</f>
        <v/>
      </c>
      <c r="D227" s="35" t="str">
        <f>IFERROR(VLOOKUP(B227,'MASTER RECORD'!$B$5:$W$1000,2,0),"")</f>
        <v/>
      </c>
      <c r="E227" s="36" t="str">
        <f>IFERROR(VLOOKUP(B227,'MASTER RECORD'!$B$5:$W$1000,9,0),"")</f>
        <v/>
      </c>
      <c r="F227" s="18"/>
      <c r="G227" s="18" t="str">
        <f t="shared" si="13"/>
        <v/>
      </c>
      <c r="H227" s="18" t="str">
        <f t="shared" si="14"/>
        <v/>
      </c>
      <c r="I227" s="35" t="str">
        <f t="shared" si="15"/>
        <v/>
      </c>
      <c r="J227" s="50"/>
      <c r="K227" s="17"/>
    </row>
    <row r="228" spans="1:11">
      <c r="A228" s="6">
        <f t="shared" si="12"/>
        <v>223</v>
      </c>
      <c r="B228" s="49"/>
      <c r="C228" s="35" t="str">
        <f>IFERROR(VLOOKUP(B228,'MASTER RECORD'!$B$5:$W$1000,3,0),"")</f>
        <v/>
      </c>
      <c r="D228" s="35" t="str">
        <f>IFERROR(VLOOKUP(B228,'MASTER RECORD'!$B$5:$W$1000,2,0),"")</f>
        <v/>
      </c>
      <c r="E228" s="36" t="str">
        <f>IFERROR(VLOOKUP(B228,'MASTER RECORD'!$B$5:$W$1000,9,0),"")</f>
        <v/>
      </c>
      <c r="F228" s="18"/>
      <c r="G228" s="18" t="str">
        <f t="shared" si="13"/>
        <v/>
      </c>
      <c r="H228" s="18" t="str">
        <f t="shared" si="14"/>
        <v/>
      </c>
      <c r="I228" s="35" t="str">
        <f t="shared" si="15"/>
        <v/>
      </c>
      <c r="J228" s="50"/>
      <c r="K228" s="17"/>
    </row>
    <row r="229" spans="1:11">
      <c r="A229" s="6">
        <f t="shared" si="12"/>
        <v>224</v>
      </c>
      <c r="B229" s="49"/>
      <c r="C229" s="35" t="str">
        <f>IFERROR(VLOOKUP(B229,'MASTER RECORD'!$B$5:$W$1000,3,0),"")</f>
        <v/>
      </c>
      <c r="D229" s="35" t="str">
        <f>IFERROR(VLOOKUP(B229,'MASTER RECORD'!$B$5:$W$1000,2,0),"")</f>
        <v/>
      </c>
      <c r="E229" s="36" t="str">
        <f>IFERROR(VLOOKUP(B229,'MASTER RECORD'!$B$5:$W$1000,9,0),"")</f>
        <v/>
      </c>
      <c r="F229" s="18"/>
      <c r="G229" s="18" t="str">
        <f t="shared" si="13"/>
        <v/>
      </c>
      <c r="H229" s="18" t="str">
        <f t="shared" si="14"/>
        <v/>
      </c>
      <c r="I229" s="35" t="str">
        <f t="shared" si="15"/>
        <v/>
      </c>
      <c r="J229" s="50"/>
      <c r="K229" s="17"/>
    </row>
    <row r="230" spans="1:11">
      <c r="A230" s="6">
        <f t="shared" si="12"/>
        <v>225</v>
      </c>
      <c r="B230" s="49"/>
      <c r="C230" s="35" t="str">
        <f>IFERROR(VLOOKUP(B230,'MASTER RECORD'!$B$5:$W$1000,3,0),"")</f>
        <v/>
      </c>
      <c r="D230" s="35" t="str">
        <f>IFERROR(VLOOKUP(B230,'MASTER RECORD'!$B$5:$W$1000,2,0),"")</f>
        <v/>
      </c>
      <c r="E230" s="36" t="str">
        <f>IFERROR(VLOOKUP(B230,'MASTER RECORD'!$B$5:$W$1000,9,0),"")</f>
        <v/>
      </c>
      <c r="F230" s="18"/>
      <c r="G230" s="18" t="str">
        <f t="shared" si="13"/>
        <v/>
      </c>
      <c r="H230" s="18" t="str">
        <f t="shared" si="14"/>
        <v/>
      </c>
      <c r="I230" s="35" t="str">
        <f t="shared" si="15"/>
        <v/>
      </c>
      <c r="J230" s="50"/>
      <c r="K230" s="17"/>
    </row>
    <row r="231" spans="1:11">
      <c r="A231" s="6">
        <f t="shared" si="12"/>
        <v>226</v>
      </c>
      <c r="B231" s="49"/>
      <c r="C231" s="35" t="str">
        <f>IFERROR(VLOOKUP(B231,'MASTER RECORD'!$B$5:$W$1000,3,0),"")</f>
        <v/>
      </c>
      <c r="D231" s="35" t="str">
        <f>IFERROR(VLOOKUP(B231,'MASTER RECORD'!$B$5:$W$1000,2,0),"")</f>
        <v/>
      </c>
      <c r="E231" s="36" t="str">
        <f>IFERROR(VLOOKUP(B231,'MASTER RECORD'!$B$5:$W$1000,9,0),"")</f>
        <v/>
      </c>
      <c r="F231" s="18"/>
      <c r="G231" s="18" t="str">
        <f t="shared" si="13"/>
        <v/>
      </c>
      <c r="H231" s="18" t="str">
        <f t="shared" si="14"/>
        <v/>
      </c>
      <c r="I231" s="35" t="str">
        <f t="shared" si="15"/>
        <v/>
      </c>
      <c r="J231" s="50"/>
      <c r="K231" s="17"/>
    </row>
    <row r="232" spans="1:11">
      <c r="A232" s="6">
        <f t="shared" si="12"/>
        <v>227</v>
      </c>
      <c r="B232" s="49"/>
      <c r="C232" s="35" t="str">
        <f>IFERROR(VLOOKUP(B232,'MASTER RECORD'!$B$5:$W$1000,3,0),"")</f>
        <v/>
      </c>
      <c r="D232" s="35" t="str">
        <f>IFERROR(VLOOKUP(B232,'MASTER RECORD'!$B$5:$W$1000,2,0),"")</f>
        <v/>
      </c>
      <c r="E232" s="36" t="str">
        <f>IFERROR(VLOOKUP(B232,'MASTER RECORD'!$B$5:$W$1000,9,0),"")</f>
        <v/>
      </c>
      <c r="F232" s="18"/>
      <c r="G232" s="18" t="str">
        <f t="shared" si="13"/>
        <v/>
      </c>
      <c r="H232" s="18" t="str">
        <f t="shared" si="14"/>
        <v/>
      </c>
      <c r="I232" s="35" t="str">
        <f t="shared" si="15"/>
        <v/>
      </c>
      <c r="J232" s="50"/>
      <c r="K232" s="17"/>
    </row>
    <row r="233" spans="1:11">
      <c r="A233" s="6">
        <f t="shared" si="12"/>
        <v>228</v>
      </c>
      <c r="B233" s="49"/>
      <c r="C233" s="35" t="str">
        <f>IFERROR(VLOOKUP(B233,'MASTER RECORD'!$B$5:$W$1000,3,0),"")</f>
        <v/>
      </c>
      <c r="D233" s="35" t="str">
        <f>IFERROR(VLOOKUP(B233,'MASTER RECORD'!$B$5:$W$1000,2,0),"")</f>
        <v/>
      </c>
      <c r="E233" s="36" t="str">
        <f>IFERROR(VLOOKUP(B233,'MASTER RECORD'!$B$5:$W$1000,9,0),"")</f>
        <v/>
      </c>
      <c r="F233" s="18"/>
      <c r="G233" s="18" t="str">
        <f t="shared" si="13"/>
        <v/>
      </c>
      <c r="H233" s="18" t="str">
        <f t="shared" si="14"/>
        <v/>
      </c>
      <c r="I233" s="35" t="str">
        <f t="shared" si="15"/>
        <v/>
      </c>
      <c r="J233" s="50"/>
      <c r="K233" s="17"/>
    </row>
    <row r="234" spans="1:11">
      <c r="A234" s="6">
        <f t="shared" si="12"/>
        <v>229</v>
      </c>
      <c r="B234" s="49"/>
      <c r="C234" s="35" t="str">
        <f>IFERROR(VLOOKUP(B234,'MASTER RECORD'!$B$5:$W$1000,3,0),"")</f>
        <v/>
      </c>
      <c r="D234" s="35" t="str">
        <f>IFERROR(VLOOKUP(B234,'MASTER RECORD'!$B$5:$W$1000,2,0),"")</f>
        <v/>
      </c>
      <c r="E234" s="36" t="str">
        <f>IFERROR(VLOOKUP(B234,'MASTER RECORD'!$B$5:$W$1000,9,0),"")</f>
        <v/>
      </c>
      <c r="F234" s="18"/>
      <c r="G234" s="18" t="str">
        <f t="shared" si="13"/>
        <v/>
      </c>
      <c r="H234" s="18" t="str">
        <f t="shared" si="14"/>
        <v/>
      </c>
      <c r="I234" s="35" t="str">
        <f t="shared" si="15"/>
        <v/>
      </c>
      <c r="J234" s="50"/>
      <c r="K234" s="17"/>
    </row>
    <row r="235" spans="1:11">
      <c r="A235" s="6">
        <f t="shared" si="12"/>
        <v>230</v>
      </c>
      <c r="B235" s="49"/>
      <c r="C235" s="35" t="str">
        <f>IFERROR(VLOOKUP(B235,'MASTER RECORD'!$B$5:$W$1000,3,0),"")</f>
        <v/>
      </c>
      <c r="D235" s="35" t="str">
        <f>IFERROR(VLOOKUP(B235,'MASTER RECORD'!$B$5:$W$1000,2,0),"")</f>
        <v/>
      </c>
      <c r="E235" s="36" t="str">
        <f>IFERROR(VLOOKUP(B235,'MASTER RECORD'!$B$5:$W$1000,9,0),"")</f>
        <v/>
      </c>
      <c r="F235" s="18"/>
      <c r="G235" s="18" t="str">
        <f t="shared" si="13"/>
        <v/>
      </c>
      <c r="H235" s="18" t="str">
        <f t="shared" si="14"/>
        <v/>
      </c>
      <c r="I235" s="35" t="str">
        <f t="shared" si="15"/>
        <v/>
      </c>
      <c r="J235" s="50"/>
      <c r="K235" s="17"/>
    </row>
    <row r="236" spans="1:11">
      <c r="A236" s="6">
        <f t="shared" si="12"/>
        <v>231</v>
      </c>
      <c r="B236" s="49"/>
      <c r="C236" s="35" t="str">
        <f>IFERROR(VLOOKUP(B236,'MASTER RECORD'!$B$5:$W$1000,3,0),"")</f>
        <v/>
      </c>
      <c r="D236" s="35" t="str">
        <f>IFERROR(VLOOKUP(B236,'MASTER RECORD'!$B$5:$W$1000,2,0),"")</f>
        <v/>
      </c>
      <c r="E236" s="36" t="str">
        <f>IFERROR(VLOOKUP(B236,'MASTER RECORD'!$B$5:$W$1000,9,0),"")</f>
        <v/>
      </c>
      <c r="F236" s="18"/>
      <c r="G236" s="18" t="str">
        <f t="shared" si="13"/>
        <v/>
      </c>
      <c r="H236" s="18" t="str">
        <f t="shared" si="14"/>
        <v/>
      </c>
      <c r="I236" s="35" t="str">
        <f t="shared" si="15"/>
        <v/>
      </c>
      <c r="J236" s="50"/>
      <c r="K236" s="17"/>
    </row>
    <row r="237" spans="1:11">
      <c r="A237" s="6">
        <f t="shared" si="12"/>
        <v>232</v>
      </c>
      <c r="B237" s="49"/>
      <c r="C237" s="35" t="str">
        <f>IFERROR(VLOOKUP(B237,'MASTER RECORD'!$B$5:$W$1000,3,0),"")</f>
        <v/>
      </c>
      <c r="D237" s="35" t="str">
        <f>IFERROR(VLOOKUP(B237,'MASTER RECORD'!$B$5:$W$1000,2,0),"")</f>
        <v/>
      </c>
      <c r="E237" s="36" t="str">
        <f>IFERROR(VLOOKUP(B237,'MASTER RECORD'!$B$5:$W$1000,9,0),"")</f>
        <v/>
      </c>
      <c r="F237" s="18"/>
      <c r="G237" s="18" t="str">
        <f t="shared" si="13"/>
        <v/>
      </c>
      <c r="H237" s="18" t="str">
        <f t="shared" si="14"/>
        <v/>
      </c>
      <c r="I237" s="35" t="str">
        <f t="shared" si="15"/>
        <v/>
      </c>
      <c r="J237" s="50"/>
      <c r="K237" s="17"/>
    </row>
    <row r="238" spans="1:11">
      <c r="A238" s="6">
        <f t="shared" si="12"/>
        <v>233</v>
      </c>
      <c r="B238" s="49"/>
      <c r="C238" s="35" t="str">
        <f>IFERROR(VLOOKUP(B238,'MASTER RECORD'!$B$5:$W$1000,3,0),"")</f>
        <v/>
      </c>
      <c r="D238" s="35" t="str">
        <f>IFERROR(VLOOKUP(B238,'MASTER RECORD'!$B$5:$W$1000,2,0),"")</f>
        <v/>
      </c>
      <c r="E238" s="36" t="str">
        <f>IFERROR(VLOOKUP(B238,'MASTER RECORD'!$B$5:$W$1000,9,0),"")</f>
        <v/>
      </c>
      <c r="F238" s="18"/>
      <c r="G238" s="18" t="str">
        <f t="shared" si="13"/>
        <v/>
      </c>
      <c r="H238" s="18" t="str">
        <f t="shared" si="14"/>
        <v/>
      </c>
      <c r="I238" s="35" t="str">
        <f t="shared" si="15"/>
        <v/>
      </c>
      <c r="J238" s="50"/>
      <c r="K238" s="17"/>
    </row>
    <row r="239" spans="1:11">
      <c r="A239" s="6">
        <f t="shared" si="12"/>
        <v>234</v>
      </c>
      <c r="B239" s="49"/>
      <c r="C239" s="35" t="str">
        <f>IFERROR(VLOOKUP(B239,'MASTER RECORD'!$B$5:$W$1000,3,0),"")</f>
        <v/>
      </c>
      <c r="D239" s="35" t="str">
        <f>IFERROR(VLOOKUP(B239,'MASTER RECORD'!$B$5:$W$1000,2,0),"")</f>
        <v/>
      </c>
      <c r="E239" s="36" t="str">
        <f>IFERROR(VLOOKUP(B239,'MASTER RECORD'!$B$5:$W$1000,9,0),"")</f>
        <v/>
      </c>
      <c r="F239" s="18"/>
      <c r="G239" s="18" t="str">
        <f t="shared" si="13"/>
        <v/>
      </c>
      <c r="H239" s="18" t="str">
        <f t="shared" si="14"/>
        <v/>
      </c>
      <c r="I239" s="35" t="str">
        <f t="shared" si="15"/>
        <v/>
      </c>
      <c r="J239" s="50"/>
      <c r="K239" s="17"/>
    </row>
    <row r="240" spans="1:11">
      <c r="A240" s="6">
        <f t="shared" si="12"/>
        <v>235</v>
      </c>
      <c r="B240" s="49"/>
      <c r="C240" s="35" t="str">
        <f>IFERROR(VLOOKUP(B240,'MASTER RECORD'!$B$5:$W$1000,3,0),"")</f>
        <v/>
      </c>
      <c r="D240" s="35" t="str">
        <f>IFERROR(VLOOKUP(B240,'MASTER RECORD'!$B$5:$W$1000,2,0),"")</f>
        <v/>
      </c>
      <c r="E240" s="36" t="str">
        <f>IFERROR(VLOOKUP(B240,'MASTER RECORD'!$B$5:$W$1000,9,0),"")</f>
        <v/>
      </c>
      <c r="F240" s="18"/>
      <c r="G240" s="18" t="str">
        <f t="shared" si="13"/>
        <v/>
      </c>
      <c r="H240" s="18" t="str">
        <f t="shared" si="14"/>
        <v/>
      </c>
      <c r="I240" s="35" t="str">
        <f t="shared" si="15"/>
        <v/>
      </c>
      <c r="J240" s="50"/>
      <c r="K240" s="17"/>
    </row>
    <row r="241" spans="1:11">
      <c r="A241" s="6">
        <f t="shared" si="12"/>
        <v>236</v>
      </c>
      <c r="B241" s="49"/>
      <c r="C241" s="35" t="str">
        <f>IFERROR(VLOOKUP(B241,'MASTER RECORD'!$B$5:$W$1000,3,0),"")</f>
        <v/>
      </c>
      <c r="D241" s="35" t="str">
        <f>IFERROR(VLOOKUP(B241,'MASTER RECORD'!$B$5:$W$1000,2,0),"")</f>
        <v/>
      </c>
      <c r="E241" s="36" t="str">
        <f>IFERROR(VLOOKUP(B241,'MASTER RECORD'!$B$5:$W$1000,9,0),"")</f>
        <v/>
      </c>
      <c r="F241" s="18"/>
      <c r="G241" s="18" t="str">
        <f t="shared" si="13"/>
        <v/>
      </c>
      <c r="H241" s="18" t="str">
        <f t="shared" si="14"/>
        <v/>
      </c>
      <c r="I241" s="35" t="str">
        <f t="shared" si="15"/>
        <v/>
      </c>
      <c r="J241" s="50"/>
      <c r="K241" s="17"/>
    </row>
    <row r="242" spans="1:11">
      <c r="A242" s="6">
        <f t="shared" si="12"/>
        <v>237</v>
      </c>
      <c r="B242" s="49"/>
      <c r="C242" s="35" t="str">
        <f>IFERROR(VLOOKUP(B242,'MASTER RECORD'!$B$5:$W$1000,3,0),"")</f>
        <v/>
      </c>
      <c r="D242" s="35" t="str">
        <f>IFERROR(VLOOKUP(B242,'MASTER RECORD'!$B$5:$W$1000,2,0),"")</f>
        <v/>
      </c>
      <c r="E242" s="36" t="str">
        <f>IFERROR(VLOOKUP(B242,'MASTER RECORD'!$B$5:$W$1000,9,0),"")</f>
        <v/>
      </c>
      <c r="F242" s="18"/>
      <c r="G242" s="18" t="str">
        <f t="shared" si="13"/>
        <v/>
      </c>
      <c r="H242" s="18" t="str">
        <f t="shared" si="14"/>
        <v/>
      </c>
      <c r="I242" s="35" t="str">
        <f t="shared" si="15"/>
        <v/>
      </c>
      <c r="J242" s="50"/>
      <c r="K242" s="17"/>
    </row>
    <row r="243" spans="1:11">
      <c r="A243" s="6">
        <f t="shared" si="12"/>
        <v>238</v>
      </c>
      <c r="B243" s="49"/>
      <c r="C243" s="35" t="str">
        <f>IFERROR(VLOOKUP(B243,'MASTER RECORD'!$B$5:$W$1000,3,0),"")</f>
        <v/>
      </c>
      <c r="D243" s="35" t="str">
        <f>IFERROR(VLOOKUP(B243,'MASTER RECORD'!$B$5:$W$1000,2,0),"")</f>
        <v/>
      </c>
      <c r="E243" s="36" t="str">
        <f>IFERROR(VLOOKUP(B243,'MASTER RECORD'!$B$5:$W$1000,9,0),"")</f>
        <v/>
      </c>
      <c r="F243" s="18"/>
      <c r="G243" s="18" t="str">
        <f t="shared" si="13"/>
        <v/>
      </c>
      <c r="H243" s="18" t="str">
        <f t="shared" si="14"/>
        <v/>
      </c>
      <c r="I243" s="35" t="str">
        <f t="shared" si="15"/>
        <v/>
      </c>
      <c r="J243" s="50"/>
      <c r="K243" s="17"/>
    </row>
    <row r="244" spans="1:11">
      <c r="A244" s="6">
        <f t="shared" si="12"/>
        <v>239</v>
      </c>
      <c r="B244" s="49"/>
      <c r="C244" s="35" t="str">
        <f>IFERROR(VLOOKUP(B244,'MASTER RECORD'!$B$5:$W$1000,3,0),"")</f>
        <v/>
      </c>
      <c r="D244" s="35" t="str">
        <f>IFERROR(VLOOKUP(B244,'MASTER RECORD'!$B$5:$W$1000,2,0),"")</f>
        <v/>
      </c>
      <c r="E244" s="36" t="str">
        <f>IFERROR(VLOOKUP(B244,'MASTER RECORD'!$B$5:$W$1000,9,0),"")</f>
        <v/>
      </c>
      <c r="F244" s="18"/>
      <c r="G244" s="18" t="str">
        <f t="shared" si="13"/>
        <v/>
      </c>
      <c r="H244" s="18" t="str">
        <f t="shared" si="14"/>
        <v/>
      </c>
      <c r="I244" s="35" t="str">
        <f t="shared" si="15"/>
        <v/>
      </c>
      <c r="J244" s="50"/>
      <c r="K244" s="17"/>
    </row>
    <row r="245" spans="1:11">
      <c r="A245" s="6">
        <f t="shared" si="12"/>
        <v>240</v>
      </c>
      <c r="B245" s="49"/>
      <c r="C245" s="35" t="str">
        <f>IFERROR(VLOOKUP(B245,'MASTER RECORD'!$B$5:$W$1000,3,0),"")</f>
        <v/>
      </c>
      <c r="D245" s="35" t="str">
        <f>IFERROR(VLOOKUP(B245,'MASTER RECORD'!$B$5:$W$1000,2,0),"")</f>
        <v/>
      </c>
      <c r="E245" s="36" t="str">
        <f>IFERROR(VLOOKUP(B245,'MASTER RECORD'!$B$5:$W$1000,9,0),"")</f>
        <v/>
      </c>
      <c r="F245" s="18"/>
      <c r="G245" s="18" t="str">
        <f t="shared" si="13"/>
        <v/>
      </c>
      <c r="H245" s="18" t="str">
        <f t="shared" si="14"/>
        <v/>
      </c>
      <c r="I245" s="35" t="str">
        <f t="shared" si="15"/>
        <v/>
      </c>
      <c r="J245" s="50"/>
      <c r="K245" s="17"/>
    </row>
    <row r="246" spans="1:11">
      <c r="A246" s="6">
        <f t="shared" si="12"/>
        <v>241</v>
      </c>
      <c r="B246" s="49"/>
      <c r="C246" s="35" t="str">
        <f>IFERROR(VLOOKUP(B246,'MASTER RECORD'!$B$5:$W$1000,3,0),"")</f>
        <v/>
      </c>
      <c r="D246" s="35" t="str">
        <f>IFERROR(VLOOKUP(B246,'MASTER RECORD'!$B$5:$W$1000,2,0),"")</f>
        <v/>
      </c>
      <c r="E246" s="36" t="str">
        <f>IFERROR(VLOOKUP(B246,'MASTER RECORD'!$B$5:$W$1000,9,0),"")</f>
        <v/>
      </c>
      <c r="F246" s="18"/>
      <c r="G246" s="18" t="str">
        <f t="shared" si="13"/>
        <v/>
      </c>
      <c r="H246" s="18" t="str">
        <f t="shared" si="14"/>
        <v/>
      </c>
      <c r="I246" s="35" t="str">
        <f t="shared" si="15"/>
        <v/>
      </c>
      <c r="J246" s="50"/>
      <c r="K246" s="17"/>
    </row>
    <row r="247" spans="1:11">
      <c r="A247" s="6">
        <f t="shared" si="12"/>
        <v>242</v>
      </c>
      <c r="B247" s="49"/>
      <c r="C247" s="35" t="str">
        <f>IFERROR(VLOOKUP(B247,'MASTER RECORD'!$B$5:$W$1000,3,0),"")</f>
        <v/>
      </c>
      <c r="D247" s="35" t="str">
        <f>IFERROR(VLOOKUP(B247,'MASTER RECORD'!$B$5:$W$1000,2,0),"")</f>
        <v/>
      </c>
      <c r="E247" s="36" t="str">
        <f>IFERROR(VLOOKUP(B247,'MASTER RECORD'!$B$5:$W$1000,9,0),"")</f>
        <v/>
      </c>
      <c r="F247" s="18"/>
      <c r="G247" s="18" t="str">
        <f t="shared" si="13"/>
        <v/>
      </c>
      <c r="H247" s="18" t="str">
        <f t="shared" si="14"/>
        <v/>
      </c>
      <c r="I247" s="35" t="str">
        <f t="shared" si="15"/>
        <v/>
      </c>
      <c r="J247" s="50"/>
      <c r="K247" s="17"/>
    </row>
    <row r="248" spans="1:11">
      <c r="A248" s="6">
        <f t="shared" si="12"/>
        <v>243</v>
      </c>
      <c r="B248" s="49"/>
      <c r="C248" s="35" t="str">
        <f>IFERROR(VLOOKUP(B248,'MASTER RECORD'!$B$5:$W$1000,3,0),"")</f>
        <v/>
      </c>
      <c r="D248" s="35" t="str">
        <f>IFERROR(VLOOKUP(B248,'MASTER RECORD'!$B$5:$W$1000,2,0),"")</f>
        <v/>
      </c>
      <c r="E248" s="36" t="str">
        <f>IFERROR(VLOOKUP(B248,'MASTER RECORD'!$B$5:$W$1000,9,0),"")</f>
        <v/>
      </c>
      <c r="F248" s="18"/>
      <c r="G248" s="18" t="str">
        <f t="shared" si="13"/>
        <v/>
      </c>
      <c r="H248" s="18" t="str">
        <f t="shared" si="14"/>
        <v/>
      </c>
      <c r="I248" s="35" t="str">
        <f t="shared" si="15"/>
        <v/>
      </c>
      <c r="J248" s="50"/>
      <c r="K248" s="17"/>
    </row>
    <row r="249" spans="1:11">
      <c r="A249" s="6">
        <f t="shared" si="12"/>
        <v>244</v>
      </c>
      <c r="B249" s="49"/>
      <c r="C249" s="35" t="str">
        <f>IFERROR(VLOOKUP(B249,'MASTER RECORD'!$B$5:$W$1000,3,0),"")</f>
        <v/>
      </c>
      <c r="D249" s="35" t="str">
        <f>IFERROR(VLOOKUP(B249,'MASTER RECORD'!$B$5:$W$1000,2,0),"")</f>
        <v/>
      </c>
      <c r="E249" s="36" t="str">
        <f>IFERROR(VLOOKUP(B249,'MASTER RECORD'!$B$5:$W$1000,9,0),"")</f>
        <v/>
      </c>
      <c r="F249" s="18"/>
      <c r="G249" s="18" t="str">
        <f t="shared" si="13"/>
        <v/>
      </c>
      <c r="H249" s="18" t="str">
        <f t="shared" si="14"/>
        <v/>
      </c>
      <c r="I249" s="35" t="str">
        <f t="shared" si="15"/>
        <v/>
      </c>
      <c r="J249" s="50"/>
      <c r="K249" s="17"/>
    </row>
    <row r="250" spans="1:11">
      <c r="A250" s="6">
        <f t="shared" si="12"/>
        <v>245</v>
      </c>
      <c r="B250" s="49"/>
      <c r="C250" s="35" t="str">
        <f>IFERROR(VLOOKUP(B250,'MASTER RECORD'!$B$5:$W$1000,3,0),"")</f>
        <v/>
      </c>
      <c r="D250" s="35" t="str">
        <f>IFERROR(VLOOKUP(B250,'MASTER RECORD'!$B$5:$W$1000,2,0),"")</f>
        <v/>
      </c>
      <c r="E250" s="36" t="str">
        <f>IFERROR(VLOOKUP(B250,'MASTER RECORD'!$B$5:$W$1000,9,0),"")</f>
        <v/>
      </c>
      <c r="F250" s="18"/>
      <c r="G250" s="18" t="str">
        <f t="shared" si="13"/>
        <v/>
      </c>
      <c r="H250" s="18" t="str">
        <f t="shared" si="14"/>
        <v/>
      </c>
      <c r="I250" s="35" t="str">
        <f t="shared" si="15"/>
        <v/>
      </c>
      <c r="J250" s="50"/>
      <c r="K250" s="17"/>
    </row>
    <row r="251" spans="1:11">
      <c r="A251" s="6">
        <f t="shared" si="12"/>
        <v>246</v>
      </c>
      <c r="B251" s="49"/>
      <c r="C251" s="35" t="str">
        <f>IFERROR(VLOOKUP(B251,'MASTER RECORD'!$B$5:$W$1000,3,0),"")</f>
        <v/>
      </c>
      <c r="D251" s="35" t="str">
        <f>IFERROR(VLOOKUP(B251,'MASTER RECORD'!$B$5:$W$1000,2,0),"")</f>
        <v/>
      </c>
      <c r="E251" s="36" t="str">
        <f>IFERROR(VLOOKUP(B251,'MASTER RECORD'!$B$5:$W$1000,9,0),"")</f>
        <v/>
      </c>
      <c r="F251" s="18"/>
      <c r="G251" s="18" t="str">
        <f t="shared" si="13"/>
        <v/>
      </c>
      <c r="H251" s="18" t="str">
        <f t="shared" si="14"/>
        <v/>
      </c>
      <c r="I251" s="35" t="str">
        <f t="shared" si="15"/>
        <v/>
      </c>
      <c r="J251" s="50"/>
      <c r="K251" s="17"/>
    </row>
    <row r="252" spans="1:11">
      <c r="A252" s="6">
        <f t="shared" si="12"/>
        <v>247</v>
      </c>
      <c r="B252" s="49"/>
      <c r="C252" s="35" t="str">
        <f>IFERROR(VLOOKUP(B252,'MASTER RECORD'!$B$5:$W$1000,3,0),"")</f>
        <v/>
      </c>
      <c r="D252" s="35" t="str">
        <f>IFERROR(VLOOKUP(B252,'MASTER RECORD'!$B$5:$W$1000,2,0),"")</f>
        <v/>
      </c>
      <c r="E252" s="36" t="str">
        <f>IFERROR(VLOOKUP(B252,'MASTER RECORD'!$B$5:$W$1000,9,0),"")</f>
        <v/>
      </c>
      <c r="F252" s="18"/>
      <c r="G252" s="18" t="str">
        <f t="shared" si="13"/>
        <v/>
      </c>
      <c r="H252" s="18" t="str">
        <f t="shared" si="14"/>
        <v/>
      </c>
      <c r="I252" s="35" t="str">
        <f t="shared" si="15"/>
        <v/>
      </c>
      <c r="J252" s="50"/>
      <c r="K252" s="17"/>
    </row>
    <row r="253" spans="1:11">
      <c r="A253" s="6">
        <f t="shared" si="12"/>
        <v>248</v>
      </c>
      <c r="B253" s="49"/>
      <c r="C253" s="35" t="str">
        <f>IFERROR(VLOOKUP(B253,'MASTER RECORD'!$B$5:$W$1000,3,0),"")</f>
        <v/>
      </c>
      <c r="D253" s="35" t="str">
        <f>IFERROR(VLOOKUP(B253,'MASTER RECORD'!$B$5:$W$1000,2,0),"")</f>
        <v/>
      </c>
      <c r="E253" s="36" t="str">
        <f>IFERROR(VLOOKUP(B253,'MASTER RECORD'!$B$5:$W$1000,9,0),"")</f>
        <v/>
      </c>
      <c r="F253" s="18"/>
      <c r="G253" s="18" t="str">
        <f t="shared" si="13"/>
        <v/>
      </c>
      <c r="H253" s="18" t="str">
        <f t="shared" si="14"/>
        <v/>
      </c>
      <c r="I253" s="35" t="str">
        <f t="shared" si="15"/>
        <v/>
      </c>
      <c r="J253" s="50"/>
      <c r="K253" s="17"/>
    </row>
    <row r="254" spans="1:11">
      <c r="A254" s="6">
        <f t="shared" si="12"/>
        <v>249</v>
      </c>
      <c r="B254" s="49"/>
      <c r="C254" s="35" t="str">
        <f>IFERROR(VLOOKUP(B254,'MASTER RECORD'!$B$5:$W$1000,3,0),"")</f>
        <v/>
      </c>
      <c r="D254" s="35" t="str">
        <f>IFERROR(VLOOKUP(B254,'MASTER RECORD'!$B$5:$W$1000,2,0),"")</f>
        <v/>
      </c>
      <c r="E254" s="36" t="str">
        <f>IFERROR(VLOOKUP(B254,'MASTER RECORD'!$B$5:$W$1000,9,0),"")</f>
        <v/>
      </c>
      <c r="F254" s="18"/>
      <c r="G254" s="18" t="str">
        <f t="shared" si="13"/>
        <v/>
      </c>
      <c r="H254" s="18" t="str">
        <f t="shared" si="14"/>
        <v/>
      </c>
      <c r="I254" s="35" t="str">
        <f t="shared" si="15"/>
        <v/>
      </c>
      <c r="J254" s="50"/>
      <c r="K254" s="17"/>
    </row>
    <row r="255" spans="1:11">
      <c r="A255" s="6">
        <f t="shared" si="12"/>
        <v>250</v>
      </c>
      <c r="B255" s="49"/>
      <c r="C255" s="35" t="str">
        <f>IFERROR(VLOOKUP(B255,'MASTER RECORD'!$B$5:$W$1000,3,0),"")</f>
        <v/>
      </c>
      <c r="D255" s="35" t="str">
        <f>IFERROR(VLOOKUP(B255,'MASTER RECORD'!$B$5:$W$1000,2,0),"")</f>
        <v/>
      </c>
      <c r="E255" s="36" t="str">
        <f>IFERROR(VLOOKUP(B255,'MASTER RECORD'!$B$5:$W$1000,9,0),"")</f>
        <v/>
      </c>
      <c r="F255" s="18"/>
      <c r="G255" s="18" t="str">
        <f t="shared" si="13"/>
        <v/>
      </c>
      <c r="H255" s="18" t="str">
        <f t="shared" si="14"/>
        <v/>
      </c>
      <c r="I255" s="35" t="str">
        <f t="shared" si="15"/>
        <v/>
      </c>
      <c r="J255" s="50"/>
      <c r="K255" s="17"/>
    </row>
    <row r="256" spans="1:11">
      <c r="A256" s="6">
        <f t="shared" si="12"/>
        <v>251</v>
      </c>
      <c r="B256" s="49"/>
      <c r="C256" s="35" t="str">
        <f>IFERROR(VLOOKUP(B256,'MASTER RECORD'!$B$5:$W$1000,3,0),"")</f>
        <v/>
      </c>
      <c r="D256" s="35" t="str">
        <f>IFERROR(VLOOKUP(B256,'MASTER RECORD'!$B$5:$W$1000,2,0),"")</f>
        <v/>
      </c>
      <c r="E256" s="36" t="str">
        <f>IFERROR(VLOOKUP(B256,'MASTER RECORD'!$B$5:$W$1000,9,0),"")</f>
        <v/>
      </c>
      <c r="F256" s="18"/>
      <c r="G256" s="18" t="str">
        <f t="shared" si="13"/>
        <v/>
      </c>
      <c r="H256" s="18" t="str">
        <f t="shared" si="14"/>
        <v/>
      </c>
      <c r="I256" s="35" t="str">
        <f t="shared" si="15"/>
        <v/>
      </c>
      <c r="J256" s="50"/>
      <c r="K256" s="17"/>
    </row>
    <row r="257" spans="1:11">
      <c r="A257" s="6">
        <f t="shared" si="12"/>
        <v>252</v>
      </c>
      <c r="B257" s="49"/>
      <c r="C257" s="35" t="str">
        <f>IFERROR(VLOOKUP(B257,'MASTER RECORD'!$B$5:$W$1000,3,0),"")</f>
        <v/>
      </c>
      <c r="D257" s="35" t="str">
        <f>IFERROR(VLOOKUP(B257,'MASTER RECORD'!$B$5:$W$1000,2,0),"")</f>
        <v/>
      </c>
      <c r="E257" s="36" t="str">
        <f>IFERROR(VLOOKUP(B257,'MASTER RECORD'!$B$5:$W$1000,9,0),"")</f>
        <v/>
      </c>
      <c r="F257" s="18"/>
      <c r="G257" s="18" t="str">
        <f t="shared" si="13"/>
        <v/>
      </c>
      <c r="H257" s="18" t="str">
        <f t="shared" si="14"/>
        <v/>
      </c>
      <c r="I257" s="35" t="str">
        <f t="shared" si="15"/>
        <v/>
      </c>
      <c r="J257" s="50"/>
      <c r="K257" s="17"/>
    </row>
    <row r="258" spans="1:11">
      <c r="A258" s="6">
        <f t="shared" si="12"/>
        <v>253</v>
      </c>
      <c r="B258" s="49"/>
      <c r="C258" s="35" t="str">
        <f>IFERROR(VLOOKUP(B258,'MASTER RECORD'!$B$5:$W$1000,3,0),"")</f>
        <v/>
      </c>
      <c r="D258" s="35" t="str">
        <f>IFERROR(VLOOKUP(B258,'MASTER RECORD'!$B$5:$W$1000,2,0),"")</f>
        <v/>
      </c>
      <c r="E258" s="36" t="str">
        <f>IFERROR(VLOOKUP(B258,'MASTER RECORD'!$B$5:$W$1000,9,0),"")</f>
        <v/>
      </c>
      <c r="F258" s="18"/>
      <c r="G258" s="18" t="str">
        <f t="shared" si="13"/>
        <v/>
      </c>
      <c r="H258" s="18" t="str">
        <f t="shared" si="14"/>
        <v/>
      </c>
      <c r="I258" s="35" t="str">
        <f t="shared" si="15"/>
        <v/>
      </c>
      <c r="J258" s="50"/>
      <c r="K258" s="17"/>
    </row>
    <row r="259" spans="1:11">
      <c r="A259" s="6">
        <f t="shared" si="12"/>
        <v>254</v>
      </c>
      <c r="B259" s="49"/>
      <c r="C259" s="35" t="str">
        <f>IFERROR(VLOOKUP(B259,'MASTER RECORD'!$B$5:$W$1000,3,0),"")</f>
        <v/>
      </c>
      <c r="D259" s="35" t="str">
        <f>IFERROR(VLOOKUP(B259,'MASTER RECORD'!$B$5:$W$1000,2,0),"")</f>
        <v/>
      </c>
      <c r="E259" s="36" t="str">
        <f>IFERROR(VLOOKUP(B259,'MASTER RECORD'!$B$5:$W$1000,9,0),"")</f>
        <v/>
      </c>
      <c r="F259" s="18"/>
      <c r="G259" s="18" t="str">
        <f t="shared" si="13"/>
        <v/>
      </c>
      <c r="H259" s="18" t="str">
        <f t="shared" si="14"/>
        <v/>
      </c>
      <c r="I259" s="35" t="str">
        <f t="shared" si="15"/>
        <v/>
      </c>
      <c r="J259" s="50"/>
      <c r="K259" s="17"/>
    </row>
    <row r="260" spans="1:11">
      <c r="A260" s="6">
        <f t="shared" si="12"/>
        <v>255</v>
      </c>
      <c r="B260" s="49"/>
      <c r="C260" s="35" t="str">
        <f>IFERROR(VLOOKUP(B260,'MASTER RECORD'!$B$5:$W$1000,3,0),"")</f>
        <v/>
      </c>
      <c r="D260" s="35" t="str">
        <f>IFERROR(VLOOKUP(B260,'MASTER RECORD'!$B$5:$W$1000,2,0),"")</f>
        <v/>
      </c>
      <c r="E260" s="36" t="str">
        <f>IFERROR(VLOOKUP(B260,'MASTER RECORD'!$B$5:$W$1000,9,0),"")</f>
        <v/>
      </c>
      <c r="F260" s="18"/>
      <c r="G260" s="18" t="str">
        <f t="shared" si="13"/>
        <v/>
      </c>
      <c r="H260" s="18" t="str">
        <f t="shared" si="14"/>
        <v/>
      </c>
      <c r="I260" s="35" t="str">
        <f t="shared" si="15"/>
        <v/>
      </c>
      <c r="J260" s="50"/>
      <c r="K260" s="17"/>
    </row>
    <row r="261" spans="1:11">
      <c r="A261" s="6">
        <f t="shared" si="12"/>
        <v>256</v>
      </c>
      <c r="B261" s="49"/>
      <c r="C261" s="35" t="str">
        <f>IFERROR(VLOOKUP(B261,'MASTER RECORD'!$B$5:$W$1000,3,0),"")</f>
        <v/>
      </c>
      <c r="D261" s="35" t="str">
        <f>IFERROR(VLOOKUP(B261,'MASTER RECORD'!$B$5:$W$1000,2,0),"")</f>
        <v/>
      </c>
      <c r="E261" s="36" t="str">
        <f>IFERROR(VLOOKUP(B261,'MASTER RECORD'!$B$5:$W$1000,9,0),"")</f>
        <v/>
      </c>
      <c r="F261" s="18"/>
      <c r="G261" s="18" t="str">
        <f t="shared" si="13"/>
        <v/>
      </c>
      <c r="H261" s="18" t="str">
        <f t="shared" si="14"/>
        <v/>
      </c>
      <c r="I261" s="35" t="str">
        <f t="shared" si="15"/>
        <v/>
      </c>
      <c r="J261" s="50"/>
      <c r="K261" s="17"/>
    </row>
    <row r="262" spans="1:11">
      <c r="A262" s="6">
        <f t="shared" si="12"/>
        <v>257</v>
      </c>
      <c r="B262" s="49"/>
      <c r="C262" s="35" t="str">
        <f>IFERROR(VLOOKUP(B262,'MASTER RECORD'!$B$5:$W$1000,3,0),"")</f>
        <v/>
      </c>
      <c r="D262" s="35" t="str">
        <f>IFERROR(VLOOKUP(B262,'MASTER RECORD'!$B$5:$W$1000,2,0),"")</f>
        <v/>
      </c>
      <c r="E262" s="36" t="str">
        <f>IFERROR(VLOOKUP(B262,'MASTER RECORD'!$B$5:$W$1000,9,0),"")</f>
        <v/>
      </c>
      <c r="F262" s="18"/>
      <c r="G262" s="18" t="str">
        <f t="shared" si="13"/>
        <v/>
      </c>
      <c r="H262" s="18" t="str">
        <f t="shared" si="14"/>
        <v/>
      </c>
      <c r="I262" s="35" t="str">
        <f t="shared" si="15"/>
        <v/>
      </c>
      <c r="J262" s="50"/>
      <c r="K262" s="17"/>
    </row>
    <row r="263" spans="1:11">
      <c r="A263" s="6">
        <f t="shared" ref="A263:A326" si="16">ROW(A258)</f>
        <v>258</v>
      </c>
      <c r="B263" s="49"/>
      <c r="C263" s="35" t="str">
        <f>IFERROR(VLOOKUP(B263,'MASTER RECORD'!$B$5:$W$1000,3,0),"")</f>
        <v/>
      </c>
      <c r="D263" s="35" t="str">
        <f>IFERROR(VLOOKUP(B263,'MASTER RECORD'!$B$5:$W$1000,2,0),"")</f>
        <v/>
      </c>
      <c r="E263" s="36" t="str">
        <f>IFERROR(VLOOKUP(B263,'MASTER RECORD'!$B$5:$W$1000,9,0),"")</f>
        <v/>
      </c>
      <c r="F263" s="18"/>
      <c r="G263" s="18" t="str">
        <f t="shared" ref="G263:G326" si="17">IF($F263=0,"",TEXT($F263,"mmmm"))</f>
        <v/>
      </c>
      <c r="H263" s="18" t="str">
        <f t="shared" ref="H263:H326" si="18">IF($F263=0,"",TEXT($F263,"yyyy"))</f>
        <v/>
      </c>
      <c r="I263" s="35" t="str">
        <f t="shared" ref="I263:I326" si="19">IFERROR(DATEDIF(E263,F263,"Y")&amp;"."&amp;DATEDIF(E263,F263,"YM"),"")</f>
        <v/>
      </c>
      <c r="J263" s="50"/>
      <c r="K263" s="17"/>
    </row>
    <row r="264" spans="1:11">
      <c r="A264" s="6">
        <f t="shared" si="16"/>
        <v>259</v>
      </c>
      <c r="B264" s="49"/>
      <c r="C264" s="35" t="str">
        <f>IFERROR(VLOOKUP(B264,'MASTER RECORD'!$B$5:$W$1000,3,0),"")</f>
        <v/>
      </c>
      <c r="D264" s="35" t="str">
        <f>IFERROR(VLOOKUP(B264,'MASTER RECORD'!$B$5:$W$1000,2,0),"")</f>
        <v/>
      </c>
      <c r="E264" s="36" t="str">
        <f>IFERROR(VLOOKUP(B264,'MASTER RECORD'!$B$5:$W$1000,9,0),"")</f>
        <v/>
      </c>
      <c r="F264" s="18"/>
      <c r="G264" s="18" t="str">
        <f t="shared" si="17"/>
        <v/>
      </c>
      <c r="H264" s="18" t="str">
        <f t="shared" si="18"/>
        <v/>
      </c>
      <c r="I264" s="35" t="str">
        <f t="shared" si="19"/>
        <v/>
      </c>
      <c r="J264" s="50"/>
      <c r="K264" s="17"/>
    </row>
    <row r="265" spans="1:11">
      <c r="A265" s="6">
        <f t="shared" si="16"/>
        <v>260</v>
      </c>
      <c r="B265" s="49"/>
      <c r="C265" s="35" t="str">
        <f>IFERROR(VLOOKUP(B265,'MASTER RECORD'!$B$5:$W$1000,3,0),"")</f>
        <v/>
      </c>
      <c r="D265" s="35" t="str">
        <f>IFERROR(VLOOKUP(B265,'MASTER RECORD'!$B$5:$W$1000,2,0),"")</f>
        <v/>
      </c>
      <c r="E265" s="36" t="str">
        <f>IFERROR(VLOOKUP(B265,'MASTER RECORD'!$B$5:$W$1000,9,0),"")</f>
        <v/>
      </c>
      <c r="F265" s="18"/>
      <c r="G265" s="18" t="str">
        <f t="shared" si="17"/>
        <v/>
      </c>
      <c r="H265" s="18" t="str">
        <f t="shared" si="18"/>
        <v/>
      </c>
      <c r="I265" s="35" t="str">
        <f t="shared" si="19"/>
        <v/>
      </c>
      <c r="J265" s="50"/>
      <c r="K265" s="17"/>
    </row>
    <row r="266" spans="1:11">
      <c r="A266" s="6">
        <f t="shared" si="16"/>
        <v>261</v>
      </c>
      <c r="B266" s="49"/>
      <c r="C266" s="35" t="str">
        <f>IFERROR(VLOOKUP(B266,'MASTER RECORD'!$B$5:$W$1000,3,0),"")</f>
        <v/>
      </c>
      <c r="D266" s="35" t="str">
        <f>IFERROR(VLOOKUP(B266,'MASTER RECORD'!$B$5:$W$1000,2,0),"")</f>
        <v/>
      </c>
      <c r="E266" s="36" t="str">
        <f>IFERROR(VLOOKUP(B266,'MASTER RECORD'!$B$5:$W$1000,9,0),"")</f>
        <v/>
      </c>
      <c r="F266" s="18"/>
      <c r="G266" s="18" t="str">
        <f t="shared" si="17"/>
        <v/>
      </c>
      <c r="H266" s="18" t="str">
        <f t="shared" si="18"/>
        <v/>
      </c>
      <c r="I266" s="35" t="str">
        <f t="shared" si="19"/>
        <v/>
      </c>
      <c r="J266" s="50"/>
      <c r="K266" s="17"/>
    </row>
    <row r="267" spans="1:11">
      <c r="A267" s="6">
        <f t="shared" si="16"/>
        <v>262</v>
      </c>
      <c r="B267" s="49"/>
      <c r="C267" s="35" t="str">
        <f>IFERROR(VLOOKUP(B267,'MASTER RECORD'!$B$5:$W$1000,3,0),"")</f>
        <v/>
      </c>
      <c r="D267" s="35" t="str">
        <f>IFERROR(VLOOKUP(B267,'MASTER RECORD'!$B$5:$W$1000,2,0),"")</f>
        <v/>
      </c>
      <c r="E267" s="36" t="str">
        <f>IFERROR(VLOOKUP(B267,'MASTER RECORD'!$B$5:$W$1000,9,0),"")</f>
        <v/>
      </c>
      <c r="F267" s="18"/>
      <c r="G267" s="18" t="str">
        <f t="shared" si="17"/>
        <v/>
      </c>
      <c r="H267" s="18" t="str">
        <f t="shared" si="18"/>
        <v/>
      </c>
      <c r="I267" s="35" t="str">
        <f t="shared" si="19"/>
        <v/>
      </c>
      <c r="J267" s="50"/>
      <c r="K267" s="17"/>
    </row>
    <row r="268" spans="1:11">
      <c r="A268" s="6">
        <f t="shared" si="16"/>
        <v>263</v>
      </c>
      <c r="B268" s="49"/>
      <c r="C268" s="35" t="str">
        <f>IFERROR(VLOOKUP(B268,'MASTER RECORD'!$B$5:$W$1000,3,0),"")</f>
        <v/>
      </c>
      <c r="D268" s="35" t="str">
        <f>IFERROR(VLOOKUP(B268,'MASTER RECORD'!$B$5:$W$1000,2,0),"")</f>
        <v/>
      </c>
      <c r="E268" s="36" t="str">
        <f>IFERROR(VLOOKUP(B268,'MASTER RECORD'!$B$5:$W$1000,9,0),"")</f>
        <v/>
      </c>
      <c r="F268" s="18"/>
      <c r="G268" s="18" t="str">
        <f t="shared" si="17"/>
        <v/>
      </c>
      <c r="H268" s="18" t="str">
        <f t="shared" si="18"/>
        <v/>
      </c>
      <c r="I268" s="35" t="str">
        <f t="shared" si="19"/>
        <v/>
      </c>
      <c r="J268" s="50"/>
      <c r="K268" s="17"/>
    </row>
    <row r="269" spans="1:11">
      <c r="A269" s="6">
        <f t="shared" si="16"/>
        <v>264</v>
      </c>
      <c r="B269" s="49"/>
      <c r="C269" s="35" t="str">
        <f>IFERROR(VLOOKUP(B269,'MASTER RECORD'!$B$5:$W$1000,3,0),"")</f>
        <v/>
      </c>
      <c r="D269" s="35" t="str">
        <f>IFERROR(VLOOKUP(B269,'MASTER RECORD'!$B$5:$W$1000,2,0),"")</f>
        <v/>
      </c>
      <c r="E269" s="36" t="str">
        <f>IFERROR(VLOOKUP(B269,'MASTER RECORD'!$B$5:$W$1000,9,0),"")</f>
        <v/>
      </c>
      <c r="F269" s="18"/>
      <c r="G269" s="18" t="str">
        <f t="shared" si="17"/>
        <v/>
      </c>
      <c r="H269" s="18" t="str">
        <f t="shared" si="18"/>
        <v/>
      </c>
      <c r="I269" s="35" t="str">
        <f t="shared" si="19"/>
        <v/>
      </c>
      <c r="J269" s="50"/>
      <c r="K269" s="17"/>
    </row>
    <row r="270" spans="1:11">
      <c r="A270" s="6">
        <f t="shared" si="16"/>
        <v>265</v>
      </c>
      <c r="B270" s="49"/>
      <c r="C270" s="35" t="str">
        <f>IFERROR(VLOOKUP(B270,'MASTER RECORD'!$B$5:$W$1000,3,0),"")</f>
        <v/>
      </c>
      <c r="D270" s="35" t="str">
        <f>IFERROR(VLOOKUP(B270,'MASTER RECORD'!$B$5:$W$1000,2,0),"")</f>
        <v/>
      </c>
      <c r="E270" s="36" t="str">
        <f>IFERROR(VLOOKUP(B270,'MASTER RECORD'!$B$5:$W$1000,9,0),"")</f>
        <v/>
      </c>
      <c r="F270" s="18"/>
      <c r="G270" s="18" t="str">
        <f t="shared" si="17"/>
        <v/>
      </c>
      <c r="H270" s="18" t="str">
        <f t="shared" si="18"/>
        <v/>
      </c>
      <c r="I270" s="35" t="str">
        <f t="shared" si="19"/>
        <v/>
      </c>
      <c r="J270" s="50"/>
      <c r="K270" s="17"/>
    </row>
    <row r="271" spans="1:11">
      <c r="A271" s="6">
        <f t="shared" si="16"/>
        <v>266</v>
      </c>
      <c r="B271" s="49"/>
      <c r="C271" s="35" t="str">
        <f>IFERROR(VLOOKUP(B271,'MASTER RECORD'!$B$5:$W$1000,3,0),"")</f>
        <v/>
      </c>
      <c r="D271" s="35" t="str">
        <f>IFERROR(VLOOKUP(B271,'MASTER RECORD'!$B$5:$W$1000,2,0),"")</f>
        <v/>
      </c>
      <c r="E271" s="36" t="str">
        <f>IFERROR(VLOOKUP(B271,'MASTER RECORD'!$B$5:$W$1000,9,0),"")</f>
        <v/>
      </c>
      <c r="F271" s="18"/>
      <c r="G271" s="18" t="str">
        <f t="shared" si="17"/>
        <v/>
      </c>
      <c r="H271" s="18" t="str">
        <f t="shared" si="18"/>
        <v/>
      </c>
      <c r="I271" s="35" t="str">
        <f t="shared" si="19"/>
        <v/>
      </c>
      <c r="J271" s="50"/>
      <c r="K271" s="17"/>
    </row>
    <row r="272" spans="1:11">
      <c r="A272" s="6">
        <f t="shared" si="16"/>
        <v>267</v>
      </c>
      <c r="B272" s="49"/>
      <c r="C272" s="35" t="str">
        <f>IFERROR(VLOOKUP(B272,'MASTER RECORD'!$B$5:$W$1000,3,0),"")</f>
        <v/>
      </c>
      <c r="D272" s="35" t="str">
        <f>IFERROR(VLOOKUP(B272,'MASTER RECORD'!$B$5:$W$1000,2,0),"")</f>
        <v/>
      </c>
      <c r="E272" s="36" t="str">
        <f>IFERROR(VLOOKUP(B272,'MASTER RECORD'!$B$5:$W$1000,9,0),"")</f>
        <v/>
      </c>
      <c r="F272" s="18"/>
      <c r="G272" s="18" t="str">
        <f t="shared" si="17"/>
        <v/>
      </c>
      <c r="H272" s="18" t="str">
        <f t="shared" si="18"/>
        <v/>
      </c>
      <c r="I272" s="35" t="str">
        <f t="shared" si="19"/>
        <v/>
      </c>
      <c r="J272" s="50"/>
      <c r="K272" s="17"/>
    </row>
    <row r="273" spans="1:11">
      <c r="A273" s="6">
        <f t="shared" si="16"/>
        <v>268</v>
      </c>
      <c r="B273" s="49"/>
      <c r="C273" s="35" t="str">
        <f>IFERROR(VLOOKUP(B273,'MASTER RECORD'!$B$5:$W$1000,3,0),"")</f>
        <v/>
      </c>
      <c r="D273" s="35" t="str">
        <f>IFERROR(VLOOKUP(B273,'MASTER RECORD'!$B$5:$W$1000,2,0),"")</f>
        <v/>
      </c>
      <c r="E273" s="36" t="str">
        <f>IFERROR(VLOOKUP(B273,'MASTER RECORD'!$B$5:$W$1000,9,0),"")</f>
        <v/>
      </c>
      <c r="F273" s="18"/>
      <c r="G273" s="18" t="str">
        <f t="shared" si="17"/>
        <v/>
      </c>
      <c r="H273" s="18" t="str">
        <f t="shared" si="18"/>
        <v/>
      </c>
      <c r="I273" s="35" t="str">
        <f t="shared" si="19"/>
        <v/>
      </c>
      <c r="J273" s="50"/>
      <c r="K273" s="17"/>
    </row>
    <row r="274" spans="1:11">
      <c r="A274" s="6">
        <f t="shared" si="16"/>
        <v>269</v>
      </c>
      <c r="B274" s="49"/>
      <c r="C274" s="35" t="str">
        <f>IFERROR(VLOOKUP(B274,'MASTER RECORD'!$B$5:$W$1000,3,0),"")</f>
        <v/>
      </c>
      <c r="D274" s="35" t="str">
        <f>IFERROR(VLOOKUP(B274,'MASTER RECORD'!$B$5:$W$1000,2,0),"")</f>
        <v/>
      </c>
      <c r="E274" s="36" t="str">
        <f>IFERROR(VLOOKUP(B274,'MASTER RECORD'!$B$5:$W$1000,9,0),"")</f>
        <v/>
      </c>
      <c r="F274" s="18"/>
      <c r="G274" s="18" t="str">
        <f t="shared" si="17"/>
        <v/>
      </c>
      <c r="H274" s="18" t="str">
        <f t="shared" si="18"/>
        <v/>
      </c>
      <c r="I274" s="35" t="str">
        <f t="shared" si="19"/>
        <v/>
      </c>
      <c r="J274" s="50"/>
      <c r="K274" s="17"/>
    </row>
    <row r="275" spans="1:11">
      <c r="A275" s="6">
        <f t="shared" si="16"/>
        <v>270</v>
      </c>
      <c r="B275" s="49"/>
      <c r="C275" s="35" t="str">
        <f>IFERROR(VLOOKUP(B275,'MASTER RECORD'!$B$5:$W$1000,3,0),"")</f>
        <v/>
      </c>
      <c r="D275" s="35" t="str">
        <f>IFERROR(VLOOKUP(B275,'MASTER RECORD'!$B$5:$W$1000,2,0),"")</f>
        <v/>
      </c>
      <c r="E275" s="36" t="str">
        <f>IFERROR(VLOOKUP(B275,'MASTER RECORD'!$B$5:$W$1000,9,0),"")</f>
        <v/>
      </c>
      <c r="F275" s="18"/>
      <c r="G275" s="18" t="str">
        <f t="shared" si="17"/>
        <v/>
      </c>
      <c r="H275" s="18" t="str">
        <f t="shared" si="18"/>
        <v/>
      </c>
      <c r="I275" s="35" t="str">
        <f t="shared" si="19"/>
        <v/>
      </c>
      <c r="J275" s="50"/>
      <c r="K275" s="17"/>
    </row>
    <row r="276" spans="1:11">
      <c r="A276" s="6">
        <f t="shared" si="16"/>
        <v>271</v>
      </c>
      <c r="B276" s="49"/>
      <c r="C276" s="35" t="str">
        <f>IFERROR(VLOOKUP(B276,'MASTER RECORD'!$B$5:$W$1000,3,0),"")</f>
        <v/>
      </c>
      <c r="D276" s="35" t="str">
        <f>IFERROR(VLOOKUP(B276,'MASTER RECORD'!$B$5:$W$1000,2,0),"")</f>
        <v/>
      </c>
      <c r="E276" s="36" t="str">
        <f>IFERROR(VLOOKUP(B276,'MASTER RECORD'!$B$5:$W$1000,9,0),"")</f>
        <v/>
      </c>
      <c r="F276" s="18"/>
      <c r="G276" s="18" t="str">
        <f t="shared" si="17"/>
        <v/>
      </c>
      <c r="H276" s="18" t="str">
        <f t="shared" si="18"/>
        <v/>
      </c>
      <c r="I276" s="35" t="str">
        <f t="shared" si="19"/>
        <v/>
      </c>
      <c r="J276" s="50"/>
      <c r="K276" s="17"/>
    </row>
    <row r="277" spans="1:11">
      <c r="A277" s="6">
        <f t="shared" si="16"/>
        <v>272</v>
      </c>
      <c r="B277" s="49"/>
      <c r="C277" s="35" t="str">
        <f>IFERROR(VLOOKUP(B277,'MASTER RECORD'!$B$5:$W$1000,3,0),"")</f>
        <v/>
      </c>
      <c r="D277" s="35" t="str">
        <f>IFERROR(VLOOKUP(B277,'MASTER RECORD'!$B$5:$W$1000,2,0),"")</f>
        <v/>
      </c>
      <c r="E277" s="36" t="str">
        <f>IFERROR(VLOOKUP(B277,'MASTER RECORD'!$B$5:$W$1000,9,0),"")</f>
        <v/>
      </c>
      <c r="F277" s="18"/>
      <c r="G277" s="18" t="str">
        <f t="shared" si="17"/>
        <v/>
      </c>
      <c r="H277" s="18" t="str">
        <f t="shared" si="18"/>
        <v/>
      </c>
      <c r="I277" s="35" t="str">
        <f t="shared" si="19"/>
        <v/>
      </c>
      <c r="J277" s="50"/>
      <c r="K277" s="17"/>
    </row>
    <row r="278" spans="1:11">
      <c r="A278" s="6">
        <f t="shared" si="16"/>
        <v>273</v>
      </c>
      <c r="B278" s="49"/>
      <c r="C278" s="35" t="str">
        <f>IFERROR(VLOOKUP(B278,'MASTER RECORD'!$B$5:$W$1000,3,0),"")</f>
        <v/>
      </c>
      <c r="D278" s="35" t="str">
        <f>IFERROR(VLOOKUP(B278,'MASTER RECORD'!$B$5:$W$1000,2,0),"")</f>
        <v/>
      </c>
      <c r="E278" s="36" t="str">
        <f>IFERROR(VLOOKUP(B278,'MASTER RECORD'!$B$5:$W$1000,9,0),"")</f>
        <v/>
      </c>
      <c r="F278" s="18"/>
      <c r="G278" s="18" t="str">
        <f t="shared" si="17"/>
        <v/>
      </c>
      <c r="H278" s="18" t="str">
        <f t="shared" si="18"/>
        <v/>
      </c>
      <c r="I278" s="35" t="str">
        <f t="shared" si="19"/>
        <v/>
      </c>
      <c r="J278" s="50"/>
      <c r="K278" s="17"/>
    </row>
    <row r="279" spans="1:11">
      <c r="A279" s="6">
        <f t="shared" si="16"/>
        <v>274</v>
      </c>
      <c r="B279" s="49"/>
      <c r="C279" s="35" t="str">
        <f>IFERROR(VLOOKUP(B279,'MASTER RECORD'!$B$5:$W$1000,3,0),"")</f>
        <v/>
      </c>
      <c r="D279" s="35" t="str">
        <f>IFERROR(VLOOKUP(B279,'MASTER RECORD'!$B$5:$W$1000,2,0),"")</f>
        <v/>
      </c>
      <c r="E279" s="36" t="str">
        <f>IFERROR(VLOOKUP(B279,'MASTER RECORD'!$B$5:$W$1000,9,0),"")</f>
        <v/>
      </c>
      <c r="F279" s="18"/>
      <c r="G279" s="18" t="str">
        <f t="shared" si="17"/>
        <v/>
      </c>
      <c r="H279" s="18" t="str">
        <f t="shared" si="18"/>
        <v/>
      </c>
      <c r="I279" s="35" t="str">
        <f t="shared" si="19"/>
        <v/>
      </c>
      <c r="J279" s="50"/>
      <c r="K279" s="17"/>
    </row>
    <row r="280" spans="1:11">
      <c r="A280" s="6">
        <f t="shared" si="16"/>
        <v>275</v>
      </c>
      <c r="B280" s="49"/>
      <c r="C280" s="35" t="str">
        <f>IFERROR(VLOOKUP(B280,'MASTER RECORD'!$B$5:$W$1000,3,0),"")</f>
        <v/>
      </c>
      <c r="D280" s="35" t="str">
        <f>IFERROR(VLOOKUP(B280,'MASTER RECORD'!$B$5:$W$1000,2,0),"")</f>
        <v/>
      </c>
      <c r="E280" s="36" t="str">
        <f>IFERROR(VLOOKUP(B280,'MASTER RECORD'!$B$5:$W$1000,9,0),"")</f>
        <v/>
      </c>
      <c r="F280" s="18"/>
      <c r="G280" s="18" t="str">
        <f t="shared" si="17"/>
        <v/>
      </c>
      <c r="H280" s="18" t="str">
        <f t="shared" si="18"/>
        <v/>
      </c>
      <c r="I280" s="35" t="str">
        <f t="shared" si="19"/>
        <v/>
      </c>
      <c r="J280" s="50"/>
      <c r="K280" s="17"/>
    </row>
    <row r="281" spans="1:11">
      <c r="A281" s="6">
        <f t="shared" si="16"/>
        <v>276</v>
      </c>
      <c r="B281" s="49"/>
      <c r="C281" s="35" t="str">
        <f>IFERROR(VLOOKUP(B281,'MASTER RECORD'!$B$5:$W$1000,3,0),"")</f>
        <v/>
      </c>
      <c r="D281" s="35" t="str">
        <f>IFERROR(VLOOKUP(B281,'MASTER RECORD'!$B$5:$W$1000,2,0),"")</f>
        <v/>
      </c>
      <c r="E281" s="36" t="str">
        <f>IFERROR(VLOOKUP(B281,'MASTER RECORD'!$B$5:$W$1000,9,0),"")</f>
        <v/>
      </c>
      <c r="F281" s="18"/>
      <c r="G281" s="18" t="str">
        <f t="shared" si="17"/>
        <v/>
      </c>
      <c r="H281" s="18" t="str">
        <f t="shared" si="18"/>
        <v/>
      </c>
      <c r="I281" s="35" t="str">
        <f t="shared" si="19"/>
        <v/>
      </c>
      <c r="J281" s="50"/>
      <c r="K281" s="17"/>
    </row>
    <row r="282" spans="1:11">
      <c r="A282" s="6">
        <f t="shared" si="16"/>
        <v>277</v>
      </c>
      <c r="B282" s="49"/>
      <c r="C282" s="35" t="str">
        <f>IFERROR(VLOOKUP(B282,'MASTER RECORD'!$B$5:$W$1000,3,0),"")</f>
        <v/>
      </c>
      <c r="D282" s="35" t="str">
        <f>IFERROR(VLOOKUP(B282,'MASTER RECORD'!$B$5:$W$1000,2,0),"")</f>
        <v/>
      </c>
      <c r="E282" s="36" t="str">
        <f>IFERROR(VLOOKUP(B282,'MASTER RECORD'!$B$5:$W$1000,9,0),"")</f>
        <v/>
      </c>
      <c r="F282" s="18"/>
      <c r="G282" s="18" t="str">
        <f t="shared" si="17"/>
        <v/>
      </c>
      <c r="H282" s="18" t="str">
        <f t="shared" si="18"/>
        <v/>
      </c>
      <c r="I282" s="35" t="str">
        <f t="shared" si="19"/>
        <v/>
      </c>
      <c r="J282" s="50"/>
      <c r="K282" s="17"/>
    </row>
    <row r="283" spans="1:11">
      <c r="A283" s="6">
        <f t="shared" si="16"/>
        <v>278</v>
      </c>
      <c r="B283" s="49"/>
      <c r="C283" s="35" t="str">
        <f>IFERROR(VLOOKUP(B283,'MASTER RECORD'!$B$5:$W$1000,3,0),"")</f>
        <v/>
      </c>
      <c r="D283" s="35" t="str">
        <f>IFERROR(VLOOKUP(B283,'MASTER RECORD'!$B$5:$W$1000,2,0),"")</f>
        <v/>
      </c>
      <c r="E283" s="36" t="str">
        <f>IFERROR(VLOOKUP(B283,'MASTER RECORD'!$B$5:$W$1000,9,0),"")</f>
        <v/>
      </c>
      <c r="F283" s="18"/>
      <c r="G283" s="18" t="str">
        <f t="shared" si="17"/>
        <v/>
      </c>
      <c r="H283" s="18" t="str">
        <f t="shared" si="18"/>
        <v/>
      </c>
      <c r="I283" s="35" t="str">
        <f t="shared" si="19"/>
        <v/>
      </c>
      <c r="J283" s="50"/>
      <c r="K283" s="17"/>
    </row>
    <row r="284" spans="1:11">
      <c r="A284" s="6">
        <f t="shared" si="16"/>
        <v>279</v>
      </c>
      <c r="B284" s="49"/>
      <c r="C284" s="35" t="str">
        <f>IFERROR(VLOOKUP(B284,'MASTER RECORD'!$B$5:$W$1000,3,0),"")</f>
        <v/>
      </c>
      <c r="D284" s="35" t="str">
        <f>IFERROR(VLOOKUP(B284,'MASTER RECORD'!$B$5:$W$1000,2,0),"")</f>
        <v/>
      </c>
      <c r="E284" s="36" t="str">
        <f>IFERROR(VLOOKUP(B284,'MASTER RECORD'!$B$5:$W$1000,9,0),"")</f>
        <v/>
      </c>
      <c r="F284" s="18"/>
      <c r="G284" s="18" t="str">
        <f t="shared" si="17"/>
        <v/>
      </c>
      <c r="H284" s="18" t="str">
        <f t="shared" si="18"/>
        <v/>
      </c>
      <c r="I284" s="35" t="str">
        <f t="shared" si="19"/>
        <v/>
      </c>
      <c r="J284" s="50"/>
      <c r="K284" s="17"/>
    </row>
    <row r="285" spans="1:11">
      <c r="A285" s="6">
        <f t="shared" si="16"/>
        <v>280</v>
      </c>
      <c r="B285" s="49"/>
      <c r="C285" s="35" t="str">
        <f>IFERROR(VLOOKUP(B285,'MASTER RECORD'!$B$5:$W$1000,3,0),"")</f>
        <v/>
      </c>
      <c r="D285" s="35" t="str">
        <f>IFERROR(VLOOKUP(B285,'MASTER RECORD'!$B$5:$W$1000,2,0),"")</f>
        <v/>
      </c>
      <c r="E285" s="36" t="str">
        <f>IFERROR(VLOOKUP(B285,'MASTER RECORD'!$B$5:$W$1000,9,0),"")</f>
        <v/>
      </c>
      <c r="F285" s="18"/>
      <c r="G285" s="18" t="str">
        <f t="shared" si="17"/>
        <v/>
      </c>
      <c r="H285" s="18" t="str">
        <f t="shared" si="18"/>
        <v/>
      </c>
      <c r="I285" s="35" t="str">
        <f t="shared" si="19"/>
        <v/>
      </c>
      <c r="J285" s="50"/>
      <c r="K285" s="17"/>
    </row>
    <row r="286" spans="1:11">
      <c r="A286" s="6">
        <f t="shared" si="16"/>
        <v>281</v>
      </c>
      <c r="B286" s="49"/>
      <c r="C286" s="35" t="str">
        <f>IFERROR(VLOOKUP(B286,'MASTER RECORD'!$B$5:$W$1000,3,0),"")</f>
        <v/>
      </c>
      <c r="D286" s="35" t="str">
        <f>IFERROR(VLOOKUP(B286,'MASTER RECORD'!$B$5:$W$1000,2,0),"")</f>
        <v/>
      </c>
      <c r="E286" s="36" t="str">
        <f>IFERROR(VLOOKUP(B286,'MASTER RECORD'!$B$5:$W$1000,9,0),"")</f>
        <v/>
      </c>
      <c r="F286" s="18"/>
      <c r="G286" s="18" t="str">
        <f t="shared" si="17"/>
        <v/>
      </c>
      <c r="H286" s="18" t="str">
        <f t="shared" si="18"/>
        <v/>
      </c>
      <c r="I286" s="35" t="str">
        <f t="shared" si="19"/>
        <v/>
      </c>
      <c r="J286" s="50"/>
      <c r="K286" s="17"/>
    </row>
    <row r="287" spans="1:11">
      <c r="A287" s="6">
        <f t="shared" si="16"/>
        <v>282</v>
      </c>
      <c r="B287" s="49"/>
      <c r="C287" s="35" t="str">
        <f>IFERROR(VLOOKUP(B287,'MASTER RECORD'!$B$5:$W$1000,3,0),"")</f>
        <v/>
      </c>
      <c r="D287" s="35" t="str">
        <f>IFERROR(VLOOKUP(B287,'MASTER RECORD'!$B$5:$W$1000,2,0),"")</f>
        <v/>
      </c>
      <c r="E287" s="36" t="str">
        <f>IFERROR(VLOOKUP(B287,'MASTER RECORD'!$B$5:$W$1000,9,0),"")</f>
        <v/>
      </c>
      <c r="F287" s="18"/>
      <c r="G287" s="18" t="str">
        <f t="shared" si="17"/>
        <v/>
      </c>
      <c r="H287" s="18" t="str">
        <f t="shared" si="18"/>
        <v/>
      </c>
      <c r="I287" s="35" t="str">
        <f t="shared" si="19"/>
        <v/>
      </c>
      <c r="J287" s="50"/>
      <c r="K287" s="17"/>
    </row>
    <row r="288" spans="1:11">
      <c r="A288" s="6">
        <f t="shared" si="16"/>
        <v>283</v>
      </c>
      <c r="B288" s="49"/>
      <c r="C288" s="35" t="str">
        <f>IFERROR(VLOOKUP(B288,'MASTER RECORD'!$B$5:$W$1000,3,0),"")</f>
        <v/>
      </c>
      <c r="D288" s="35" t="str">
        <f>IFERROR(VLOOKUP(B288,'MASTER RECORD'!$B$5:$W$1000,2,0),"")</f>
        <v/>
      </c>
      <c r="E288" s="36" t="str">
        <f>IFERROR(VLOOKUP(B288,'MASTER RECORD'!$B$5:$W$1000,9,0),"")</f>
        <v/>
      </c>
      <c r="F288" s="18"/>
      <c r="G288" s="18" t="str">
        <f t="shared" si="17"/>
        <v/>
      </c>
      <c r="H288" s="18" t="str">
        <f t="shared" si="18"/>
        <v/>
      </c>
      <c r="I288" s="35" t="str">
        <f t="shared" si="19"/>
        <v/>
      </c>
      <c r="J288" s="50"/>
      <c r="K288" s="17"/>
    </row>
    <row r="289" spans="1:11">
      <c r="A289" s="6">
        <f t="shared" si="16"/>
        <v>284</v>
      </c>
      <c r="B289" s="49"/>
      <c r="C289" s="35" t="str">
        <f>IFERROR(VLOOKUP(B289,'MASTER RECORD'!$B$5:$W$1000,3,0),"")</f>
        <v/>
      </c>
      <c r="D289" s="35" t="str">
        <f>IFERROR(VLOOKUP(B289,'MASTER RECORD'!$B$5:$W$1000,2,0),"")</f>
        <v/>
      </c>
      <c r="E289" s="36" t="str">
        <f>IFERROR(VLOOKUP(B289,'MASTER RECORD'!$B$5:$W$1000,9,0),"")</f>
        <v/>
      </c>
      <c r="F289" s="18"/>
      <c r="G289" s="18" t="str">
        <f t="shared" si="17"/>
        <v/>
      </c>
      <c r="H289" s="18" t="str">
        <f t="shared" si="18"/>
        <v/>
      </c>
      <c r="I289" s="35" t="str">
        <f t="shared" si="19"/>
        <v/>
      </c>
      <c r="J289" s="50"/>
      <c r="K289" s="17"/>
    </row>
    <row r="290" spans="1:11">
      <c r="A290" s="6">
        <f t="shared" si="16"/>
        <v>285</v>
      </c>
      <c r="B290" s="49"/>
      <c r="C290" s="35" t="str">
        <f>IFERROR(VLOOKUP(B290,'MASTER RECORD'!$B$5:$W$1000,3,0),"")</f>
        <v/>
      </c>
      <c r="D290" s="35" t="str">
        <f>IFERROR(VLOOKUP(B290,'MASTER RECORD'!$B$5:$W$1000,2,0),"")</f>
        <v/>
      </c>
      <c r="E290" s="36" t="str">
        <f>IFERROR(VLOOKUP(B290,'MASTER RECORD'!$B$5:$W$1000,9,0),"")</f>
        <v/>
      </c>
      <c r="F290" s="18"/>
      <c r="G290" s="18" t="str">
        <f t="shared" si="17"/>
        <v/>
      </c>
      <c r="H290" s="18" t="str">
        <f t="shared" si="18"/>
        <v/>
      </c>
      <c r="I290" s="35" t="str">
        <f t="shared" si="19"/>
        <v/>
      </c>
      <c r="J290" s="50"/>
      <c r="K290" s="17"/>
    </row>
    <row r="291" spans="1:11">
      <c r="A291" s="6">
        <f t="shared" si="16"/>
        <v>286</v>
      </c>
      <c r="B291" s="49"/>
      <c r="C291" s="35" t="str">
        <f>IFERROR(VLOOKUP(B291,'MASTER RECORD'!$B$5:$W$1000,3,0),"")</f>
        <v/>
      </c>
      <c r="D291" s="35" t="str">
        <f>IFERROR(VLOOKUP(B291,'MASTER RECORD'!$B$5:$W$1000,2,0),"")</f>
        <v/>
      </c>
      <c r="E291" s="36" t="str">
        <f>IFERROR(VLOOKUP(B291,'MASTER RECORD'!$B$5:$W$1000,9,0),"")</f>
        <v/>
      </c>
      <c r="F291" s="18"/>
      <c r="G291" s="18" t="str">
        <f t="shared" si="17"/>
        <v/>
      </c>
      <c r="H291" s="18" t="str">
        <f t="shared" si="18"/>
        <v/>
      </c>
      <c r="I291" s="35" t="str">
        <f t="shared" si="19"/>
        <v/>
      </c>
      <c r="J291" s="50"/>
      <c r="K291" s="17"/>
    </row>
    <row r="292" spans="1:11">
      <c r="A292" s="6">
        <f t="shared" si="16"/>
        <v>287</v>
      </c>
      <c r="B292" s="49"/>
      <c r="C292" s="35" t="str">
        <f>IFERROR(VLOOKUP(B292,'MASTER RECORD'!$B$5:$W$1000,3,0),"")</f>
        <v/>
      </c>
      <c r="D292" s="35" t="str">
        <f>IFERROR(VLOOKUP(B292,'MASTER RECORD'!$B$5:$W$1000,2,0),"")</f>
        <v/>
      </c>
      <c r="E292" s="36" t="str">
        <f>IFERROR(VLOOKUP(B292,'MASTER RECORD'!$B$5:$W$1000,9,0),"")</f>
        <v/>
      </c>
      <c r="F292" s="18"/>
      <c r="G292" s="18" t="str">
        <f t="shared" si="17"/>
        <v/>
      </c>
      <c r="H292" s="18" t="str">
        <f t="shared" si="18"/>
        <v/>
      </c>
      <c r="I292" s="35" t="str">
        <f t="shared" si="19"/>
        <v/>
      </c>
      <c r="J292" s="50"/>
      <c r="K292" s="17"/>
    </row>
    <row r="293" spans="1:11">
      <c r="A293" s="6">
        <f t="shared" si="16"/>
        <v>288</v>
      </c>
      <c r="B293" s="49"/>
      <c r="C293" s="35" t="str">
        <f>IFERROR(VLOOKUP(B293,'MASTER RECORD'!$B$5:$W$1000,3,0),"")</f>
        <v/>
      </c>
      <c r="D293" s="35" t="str">
        <f>IFERROR(VLOOKUP(B293,'MASTER RECORD'!$B$5:$W$1000,2,0),"")</f>
        <v/>
      </c>
      <c r="E293" s="36" t="str">
        <f>IFERROR(VLOOKUP(B293,'MASTER RECORD'!$B$5:$W$1000,9,0),"")</f>
        <v/>
      </c>
      <c r="F293" s="18"/>
      <c r="G293" s="18" t="str">
        <f t="shared" si="17"/>
        <v/>
      </c>
      <c r="H293" s="18" t="str">
        <f t="shared" si="18"/>
        <v/>
      </c>
      <c r="I293" s="35" t="str">
        <f t="shared" si="19"/>
        <v/>
      </c>
      <c r="J293" s="50"/>
      <c r="K293" s="17"/>
    </row>
    <row r="294" spans="1:11">
      <c r="A294" s="6">
        <f t="shared" si="16"/>
        <v>289</v>
      </c>
      <c r="B294" s="49"/>
      <c r="C294" s="35" t="str">
        <f>IFERROR(VLOOKUP(B294,'MASTER RECORD'!$B$5:$W$1000,3,0),"")</f>
        <v/>
      </c>
      <c r="D294" s="35" t="str">
        <f>IFERROR(VLOOKUP(B294,'MASTER RECORD'!$B$5:$W$1000,2,0),"")</f>
        <v/>
      </c>
      <c r="E294" s="36" t="str">
        <f>IFERROR(VLOOKUP(B294,'MASTER RECORD'!$B$5:$W$1000,9,0),"")</f>
        <v/>
      </c>
      <c r="F294" s="18"/>
      <c r="G294" s="18" t="str">
        <f t="shared" si="17"/>
        <v/>
      </c>
      <c r="H294" s="18" t="str">
        <f t="shared" si="18"/>
        <v/>
      </c>
      <c r="I294" s="35" t="str">
        <f t="shared" si="19"/>
        <v/>
      </c>
      <c r="J294" s="50"/>
      <c r="K294" s="17"/>
    </row>
    <row r="295" spans="1:11">
      <c r="A295" s="6">
        <f t="shared" si="16"/>
        <v>290</v>
      </c>
      <c r="B295" s="49"/>
      <c r="C295" s="35" t="str">
        <f>IFERROR(VLOOKUP(B295,'MASTER RECORD'!$B$5:$W$1000,3,0),"")</f>
        <v/>
      </c>
      <c r="D295" s="35" t="str">
        <f>IFERROR(VLOOKUP(B295,'MASTER RECORD'!$B$5:$W$1000,2,0),"")</f>
        <v/>
      </c>
      <c r="E295" s="36" t="str">
        <f>IFERROR(VLOOKUP(B295,'MASTER RECORD'!$B$5:$W$1000,9,0),"")</f>
        <v/>
      </c>
      <c r="F295" s="18"/>
      <c r="G295" s="18" t="str">
        <f t="shared" si="17"/>
        <v/>
      </c>
      <c r="H295" s="18" t="str">
        <f t="shared" si="18"/>
        <v/>
      </c>
      <c r="I295" s="35" t="str">
        <f t="shared" si="19"/>
        <v/>
      </c>
      <c r="J295" s="50"/>
      <c r="K295" s="17"/>
    </row>
    <row r="296" spans="1:11">
      <c r="A296" s="6">
        <f t="shared" si="16"/>
        <v>291</v>
      </c>
      <c r="B296" s="49"/>
      <c r="C296" s="35" t="str">
        <f>IFERROR(VLOOKUP(B296,'MASTER RECORD'!$B$5:$W$1000,3,0),"")</f>
        <v/>
      </c>
      <c r="D296" s="35" t="str">
        <f>IFERROR(VLOOKUP(B296,'MASTER RECORD'!$B$5:$W$1000,2,0),"")</f>
        <v/>
      </c>
      <c r="E296" s="36" t="str">
        <f>IFERROR(VLOOKUP(B296,'MASTER RECORD'!$B$5:$W$1000,9,0),"")</f>
        <v/>
      </c>
      <c r="F296" s="18"/>
      <c r="G296" s="18" t="str">
        <f t="shared" si="17"/>
        <v/>
      </c>
      <c r="H296" s="18" t="str">
        <f t="shared" si="18"/>
        <v/>
      </c>
      <c r="I296" s="35" t="str">
        <f t="shared" si="19"/>
        <v/>
      </c>
      <c r="J296" s="50"/>
      <c r="K296" s="17"/>
    </row>
    <row r="297" spans="1:11">
      <c r="A297" s="6">
        <f t="shared" si="16"/>
        <v>292</v>
      </c>
      <c r="B297" s="49"/>
      <c r="C297" s="35" t="str">
        <f>IFERROR(VLOOKUP(B297,'MASTER RECORD'!$B$5:$W$1000,3,0),"")</f>
        <v/>
      </c>
      <c r="D297" s="35" t="str">
        <f>IFERROR(VLOOKUP(B297,'MASTER RECORD'!$B$5:$W$1000,2,0),"")</f>
        <v/>
      </c>
      <c r="E297" s="36" t="str">
        <f>IFERROR(VLOOKUP(B297,'MASTER RECORD'!$B$5:$W$1000,9,0),"")</f>
        <v/>
      </c>
      <c r="F297" s="18"/>
      <c r="G297" s="18" t="str">
        <f t="shared" si="17"/>
        <v/>
      </c>
      <c r="H297" s="18" t="str">
        <f t="shared" si="18"/>
        <v/>
      </c>
      <c r="I297" s="35" t="str">
        <f t="shared" si="19"/>
        <v/>
      </c>
      <c r="J297" s="50"/>
      <c r="K297" s="17"/>
    </row>
    <row r="298" spans="1:11">
      <c r="A298" s="6">
        <f t="shared" si="16"/>
        <v>293</v>
      </c>
      <c r="B298" s="49"/>
      <c r="C298" s="35" t="str">
        <f>IFERROR(VLOOKUP(B298,'MASTER RECORD'!$B$5:$W$1000,3,0),"")</f>
        <v/>
      </c>
      <c r="D298" s="35" t="str">
        <f>IFERROR(VLOOKUP(B298,'MASTER RECORD'!$B$5:$W$1000,2,0),"")</f>
        <v/>
      </c>
      <c r="E298" s="36" t="str">
        <f>IFERROR(VLOOKUP(B298,'MASTER RECORD'!$B$5:$W$1000,9,0),"")</f>
        <v/>
      </c>
      <c r="F298" s="18"/>
      <c r="G298" s="18" t="str">
        <f t="shared" si="17"/>
        <v/>
      </c>
      <c r="H298" s="18" t="str">
        <f t="shared" si="18"/>
        <v/>
      </c>
      <c r="I298" s="35" t="str">
        <f t="shared" si="19"/>
        <v/>
      </c>
      <c r="J298" s="50"/>
      <c r="K298" s="17"/>
    </row>
    <row r="299" spans="1:11">
      <c r="A299" s="6">
        <f t="shared" si="16"/>
        <v>294</v>
      </c>
      <c r="B299" s="49"/>
      <c r="C299" s="35" t="str">
        <f>IFERROR(VLOOKUP(B299,'MASTER RECORD'!$B$5:$W$1000,3,0),"")</f>
        <v/>
      </c>
      <c r="D299" s="35" t="str">
        <f>IFERROR(VLOOKUP(B299,'MASTER RECORD'!$B$5:$W$1000,2,0),"")</f>
        <v/>
      </c>
      <c r="E299" s="36" t="str">
        <f>IFERROR(VLOOKUP(B299,'MASTER RECORD'!$B$5:$W$1000,9,0),"")</f>
        <v/>
      </c>
      <c r="F299" s="18"/>
      <c r="G299" s="18" t="str">
        <f t="shared" si="17"/>
        <v/>
      </c>
      <c r="H299" s="18" t="str">
        <f t="shared" si="18"/>
        <v/>
      </c>
      <c r="I299" s="35" t="str">
        <f t="shared" si="19"/>
        <v/>
      </c>
      <c r="J299" s="50"/>
      <c r="K299" s="17"/>
    </row>
    <row r="300" spans="1:11">
      <c r="A300" s="6">
        <f t="shared" si="16"/>
        <v>295</v>
      </c>
      <c r="B300" s="49"/>
      <c r="C300" s="35" t="str">
        <f>IFERROR(VLOOKUP(B300,'MASTER RECORD'!$B$5:$W$1000,3,0),"")</f>
        <v/>
      </c>
      <c r="D300" s="35" t="str">
        <f>IFERROR(VLOOKUP(B300,'MASTER RECORD'!$B$5:$W$1000,2,0),"")</f>
        <v/>
      </c>
      <c r="E300" s="36" t="str">
        <f>IFERROR(VLOOKUP(B300,'MASTER RECORD'!$B$5:$W$1000,9,0),"")</f>
        <v/>
      </c>
      <c r="F300" s="18"/>
      <c r="G300" s="18" t="str">
        <f t="shared" si="17"/>
        <v/>
      </c>
      <c r="H300" s="18" t="str">
        <f t="shared" si="18"/>
        <v/>
      </c>
      <c r="I300" s="35" t="str">
        <f t="shared" si="19"/>
        <v/>
      </c>
      <c r="J300" s="50"/>
      <c r="K300" s="17"/>
    </row>
    <row r="301" spans="1:11">
      <c r="A301" s="6">
        <f t="shared" si="16"/>
        <v>296</v>
      </c>
      <c r="B301" s="49"/>
      <c r="C301" s="35" t="str">
        <f>IFERROR(VLOOKUP(B301,'MASTER RECORD'!$B$5:$W$1000,3,0),"")</f>
        <v/>
      </c>
      <c r="D301" s="35" t="str">
        <f>IFERROR(VLOOKUP(B301,'MASTER RECORD'!$B$5:$W$1000,2,0),"")</f>
        <v/>
      </c>
      <c r="E301" s="36" t="str">
        <f>IFERROR(VLOOKUP(B301,'MASTER RECORD'!$B$5:$W$1000,9,0),"")</f>
        <v/>
      </c>
      <c r="F301" s="18"/>
      <c r="G301" s="18" t="str">
        <f t="shared" si="17"/>
        <v/>
      </c>
      <c r="H301" s="18" t="str">
        <f t="shared" si="18"/>
        <v/>
      </c>
      <c r="I301" s="35" t="str">
        <f t="shared" si="19"/>
        <v/>
      </c>
      <c r="J301" s="50"/>
      <c r="K301" s="17"/>
    </row>
    <row r="302" spans="1:11">
      <c r="A302" s="6">
        <f t="shared" si="16"/>
        <v>297</v>
      </c>
      <c r="B302" s="49"/>
      <c r="C302" s="35" t="str">
        <f>IFERROR(VLOOKUP(B302,'MASTER RECORD'!$B$5:$W$1000,3,0),"")</f>
        <v/>
      </c>
      <c r="D302" s="35" t="str">
        <f>IFERROR(VLOOKUP(B302,'MASTER RECORD'!$B$5:$W$1000,2,0),"")</f>
        <v/>
      </c>
      <c r="E302" s="36" t="str">
        <f>IFERROR(VLOOKUP(B302,'MASTER RECORD'!$B$5:$W$1000,9,0),"")</f>
        <v/>
      </c>
      <c r="F302" s="18"/>
      <c r="G302" s="18" t="str">
        <f t="shared" si="17"/>
        <v/>
      </c>
      <c r="H302" s="18" t="str">
        <f t="shared" si="18"/>
        <v/>
      </c>
      <c r="I302" s="35" t="str">
        <f t="shared" si="19"/>
        <v/>
      </c>
      <c r="J302" s="50"/>
      <c r="K302" s="17"/>
    </row>
    <row r="303" spans="1:11">
      <c r="A303" s="6">
        <f t="shared" si="16"/>
        <v>298</v>
      </c>
      <c r="B303" s="49"/>
      <c r="C303" s="35" t="str">
        <f>IFERROR(VLOOKUP(B303,'MASTER RECORD'!$B$5:$W$1000,3,0),"")</f>
        <v/>
      </c>
      <c r="D303" s="35" t="str">
        <f>IFERROR(VLOOKUP(B303,'MASTER RECORD'!$B$5:$W$1000,2,0),"")</f>
        <v/>
      </c>
      <c r="E303" s="36" t="str">
        <f>IFERROR(VLOOKUP(B303,'MASTER RECORD'!$B$5:$W$1000,9,0),"")</f>
        <v/>
      </c>
      <c r="F303" s="18"/>
      <c r="G303" s="18" t="str">
        <f t="shared" si="17"/>
        <v/>
      </c>
      <c r="H303" s="18" t="str">
        <f t="shared" si="18"/>
        <v/>
      </c>
      <c r="I303" s="35" t="str">
        <f t="shared" si="19"/>
        <v/>
      </c>
      <c r="J303" s="50"/>
      <c r="K303" s="17"/>
    </row>
    <row r="304" spans="1:11">
      <c r="A304" s="6">
        <f t="shared" si="16"/>
        <v>299</v>
      </c>
      <c r="B304" s="49"/>
      <c r="C304" s="35" t="str">
        <f>IFERROR(VLOOKUP(B304,'MASTER RECORD'!$B$5:$W$1000,3,0),"")</f>
        <v/>
      </c>
      <c r="D304" s="35" t="str">
        <f>IFERROR(VLOOKUP(B304,'MASTER RECORD'!$B$5:$W$1000,2,0),"")</f>
        <v/>
      </c>
      <c r="E304" s="36" t="str">
        <f>IFERROR(VLOOKUP(B304,'MASTER RECORD'!$B$5:$W$1000,9,0),"")</f>
        <v/>
      </c>
      <c r="F304" s="18"/>
      <c r="G304" s="18" t="str">
        <f t="shared" si="17"/>
        <v/>
      </c>
      <c r="H304" s="18" t="str">
        <f t="shared" si="18"/>
        <v/>
      </c>
      <c r="I304" s="35" t="str">
        <f t="shared" si="19"/>
        <v/>
      </c>
      <c r="J304" s="50"/>
      <c r="K304" s="17"/>
    </row>
    <row r="305" spans="1:11">
      <c r="A305" s="6">
        <f t="shared" si="16"/>
        <v>300</v>
      </c>
      <c r="B305" s="49"/>
      <c r="C305" s="35" t="str">
        <f>IFERROR(VLOOKUP(B305,'MASTER RECORD'!$B$5:$W$1000,3,0),"")</f>
        <v/>
      </c>
      <c r="D305" s="35" t="str">
        <f>IFERROR(VLOOKUP(B305,'MASTER RECORD'!$B$5:$W$1000,2,0),"")</f>
        <v/>
      </c>
      <c r="E305" s="36" t="str">
        <f>IFERROR(VLOOKUP(B305,'MASTER RECORD'!$B$5:$W$1000,9,0),"")</f>
        <v/>
      </c>
      <c r="F305" s="18"/>
      <c r="G305" s="18" t="str">
        <f t="shared" si="17"/>
        <v/>
      </c>
      <c r="H305" s="18" t="str">
        <f t="shared" si="18"/>
        <v/>
      </c>
      <c r="I305" s="35" t="str">
        <f t="shared" si="19"/>
        <v/>
      </c>
      <c r="J305" s="50"/>
      <c r="K305" s="17"/>
    </row>
    <row r="306" spans="1:11">
      <c r="A306" s="6">
        <f t="shared" si="16"/>
        <v>301</v>
      </c>
      <c r="B306" s="49"/>
      <c r="C306" s="35" t="str">
        <f>IFERROR(VLOOKUP(B306,'MASTER RECORD'!$B$5:$W$1000,3,0),"")</f>
        <v/>
      </c>
      <c r="D306" s="35" t="str">
        <f>IFERROR(VLOOKUP(B306,'MASTER RECORD'!$B$5:$W$1000,2,0),"")</f>
        <v/>
      </c>
      <c r="E306" s="36" t="str">
        <f>IFERROR(VLOOKUP(B306,'MASTER RECORD'!$B$5:$W$1000,9,0),"")</f>
        <v/>
      </c>
      <c r="F306" s="18"/>
      <c r="G306" s="18" t="str">
        <f t="shared" si="17"/>
        <v/>
      </c>
      <c r="H306" s="18" t="str">
        <f t="shared" si="18"/>
        <v/>
      </c>
      <c r="I306" s="35" t="str">
        <f t="shared" si="19"/>
        <v/>
      </c>
      <c r="J306" s="50"/>
      <c r="K306" s="17"/>
    </row>
    <row r="307" spans="1:11">
      <c r="A307" s="6">
        <f t="shared" si="16"/>
        <v>302</v>
      </c>
      <c r="B307" s="49"/>
      <c r="C307" s="35" t="str">
        <f>IFERROR(VLOOKUP(B307,'MASTER RECORD'!$B$5:$W$1000,3,0),"")</f>
        <v/>
      </c>
      <c r="D307" s="35" t="str">
        <f>IFERROR(VLOOKUP(B307,'MASTER RECORD'!$B$5:$W$1000,2,0),"")</f>
        <v/>
      </c>
      <c r="E307" s="36" t="str">
        <f>IFERROR(VLOOKUP(B307,'MASTER RECORD'!$B$5:$W$1000,9,0),"")</f>
        <v/>
      </c>
      <c r="F307" s="18"/>
      <c r="G307" s="18" t="str">
        <f t="shared" si="17"/>
        <v/>
      </c>
      <c r="H307" s="18" t="str">
        <f t="shared" si="18"/>
        <v/>
      </c>
      <c r="I307" s="35" t="str">
        <f t="shared" si="19"/>
        <v/>
      </c>
      <c r="J307" s="50"/>
      <c r="K307" s="17"/>
    </row>
    <row r="308" spans="1:11">
      <c r="A308" s="6">
        <f t="shared" si="16"/>
        <v>303</v>
      </c>
      <c r="B308" s="49"/>
      <c r="C308" s="35" t="str">
        <f>IFERROR(VLOOKUP(B308,'MASTER RECORD'!$B$5:$W$1000,3,0),"")</f>
        <v/>
      </c>
      <c r="D308" s="35" t="str">
        <f>IFERROR(VLOOKUP(B308,'MASTER RECORD'!$B$5:$W$1000,2,0),"")</f>
        <v/>
      </c>
      <c r="E308" s="36" t="str">
        <f>IFERROR(VLOOKUP(B308,'MASTER RECORD'!$B$5:$W$1000,9,0),"")</f>
        <v/>
      </c>
      <c r="F308" s="18"/>
      <c r="G308" s="18" t="str">
        <f t="shared" si="17"/>
        <v/>
      </c>
      <c r="H308" s="18" t="str">
        <f t="shared" si="18"/>
        <v/>
      </c>
      <c r="I308" s="35" t="str">
        <f t="shared" si="19"/>
        <v/>
      </c>
      <c r="J308" s="50"/>
      <c r="K308" s="17"/>
    </row>
    <row r="309" spans="1:11">
      <c r="A309" s="6">
        <f t="shared" si="16"/>
        <v>304</v>
      </c>
      <c r="B309" s="49"/>
      <c r="C309" s="35" t="str">
        <f>IFERROR(VLOOKUP(B309,'MASTER RECORD'!$B$5:$W$1000,3,0),"")</f>
        <v/>
      </c>
      <c r="D309" s="35" t="str">
        <f>IFERROR(VLOOKUP(B309,'MASTER RECORD'!$B$5:$W$1000,2,0),"")</f>
        <v/>
      </c>
      <c r="E309" s="36" t="str">
        <f>IFERROR(VLOOKUP(B309,'MASTER RECORD'!$B$5:$W$1000,9,0),"")</f>
        <v/>
      </c>
      <c r="F309" s="18"/>
      <c r="G309" s="18" t="str">
        <f t="shared" si="17"/>
        <v/>
      </c>
      <c r="H309" s="18" t="str">
        <f t="shared" si="18"/>
        <v/>
      </c>
      <c r="I309" s="35" t="str">
        <f t="shared" si="19"/>
        <v/>
      </c>
      <c r="J309" s="50"/>
      <c r="K309" s="17"/>
    </row>
    <row r="310" spans="1:11">
      <c r="A310" s="6">
        <f t="shared" si="16"/>
        <v>305</v>
      </c>
      <c r="B310" s="49"/>
      <c r="C310" s="35" t="str">
        <f>IFERROR(VLOOKUP(B310,'MASTER RECORD'!$B$5:$W$1000,3,0),"")</f>
        <v/>
      </c>
      <c r="D310" s="35" t="str">
        <f>IFERROR(VLOOKUP(B310,'MASTER RECORD'!$B$5:$W$1000,2,0),"")</f>
        <v/>
      </c>
      <c r="E310" s="36" t="str">
        <f>IFERROR(VLOOKUP(B310,'MASTER RECORD'!$B$5:$W$1000,9,0),"")</f>
        <v/>
      </c>
      <c r="F310" s="18"/>
      <c r="G310" s="18" t="str">
        <f t="shared" si="17"/>
        <v/>
      </c>
      <c r="H310" s="18" t="str">
        <f t="shared" si="18"/>
        <v/>
      </c>
      <c r="I310" s="35" t="str">
        <f t="shared" si="19"/>
        <v/>
      </c>
      <c r="J310" s="50"/>
      <c r="K310" s="17"/>
    </row>
    <row r="311" spans="1:11">
      <c r="A311" s="6">
        <f t="shared" si="16"/>
        <v>306</v>
      </c>
      <c r="B311" s="49"/>
      <c r="C311" s="35" t="str">
        <f>IFERROR(VLOOKUP(B311,'MASTER RECORD'!$B$5:$W$1000,3,0),"")</f>
        <v/>
      </c>
      <c r="D311" s="35" t="str">
        <f>IFERROR(VLOOKUP(B311,'MASTER RECORD'!$B$5:$W$1000,2,0),"")</f>
        <v/>
      </c>
      <c r="E311" s="36" t="str">
        <f>IFERROR(VLOOKUP(B311,'MASTER RECORD'!$B$5:$W$1000,9,0),"")</f>
        <v/>
      </c>
      <c r="F311" s="18"/>
      <c r="G311" s="18" t="str">
        <f t="shared" si="17"/>
        <v/>
      </c>
      <c r="H311" s="18" t="str">
        <f t="shared" si="18"/>
        <v/>
      </c>
      <c r="I311" s="35" t="str">
        <f t="shared" si="19"/>
        <v/>
      </c>
      <c r="J311" s="50"/>
      <c r="K311" s="17"/>
    </row>
    <row r="312" spans="1:11">
      <c r="A312" s="6">
        <f t="shared" si="16"/>
        <v>307</v>
      </c>
      <c r="B312" s="49"/>
      <c r="C312" s="35" t="str">
        <f>IFERROR(VLOOKUP(B312,'MASTER RECORD'!$B$5:$W$1000,3,0),"")</f>
        <v/>
      </c>
      <c r="D312" s="35" t="str">
        <f>IFERROR(VLOOKUP(B312,'MASTER RECORD'!$B$5:$W$1000,2,0),"")</f>
        <v/>
      </c>
      <c r="E312" s="36" t="str">
        <f>IFERROR(VLOOKUP(B312,'MASTER RECORD'!$B$5:$W$1000,9,0),"")</f>
        <v/>
      </c>
      <c r="F312" s="18"/>
      <c r="G312" s="18" t="str">
        <f t="shared" si="17"/>
        <v/>
      </c>
      <c r="H312" s="18" t="str">
        <f t="shared" si="18"/>
        <v/>
      </c>
      <c r="I312" s="35" t="str">
        <f t="shared" si="19"/>
        <v/>
      </c>
      <c r="J312" s="50"/>
      <c r="K312" s="17"/>
    </row>
    <row r="313" spans="1:11">
      <c r="A313" s="6">
        <f t="shared" si="16"/>
        <v>308</v>
      </c>
      <c r="B313" s="49"/>
      <c r="C313" s="35" t="str">
        <f>IFERROR(VLOOKUP(B313,'MASTER RECORD'!$B$5:$W$1000,3,0),"")</f>
        <v/>
      </c>
      <c r="D313" s="35" t="str">
        <f>IFERROR(VLOOKUP(B313,'MASTER RECORD'!$B$5:$W$1000,2,0),"")</f>
        <v/>
      </c>
      <c r="E313" s="36" t="str">
        <f>IFERROR(VLOOKUP(B313,'MASTER RECORD'!$B$5:$W$1000,9,0),"")</f>
        <v/>
      </c>
      <c r="F313" s="18"/>
      <c r="G313" s="18" t="str">
        <f t="shared" si="17"/>
        <v/>
      </c>
      <c r="H313" s="18" t="str">
        <f t="shared" si="18"/>
        <v/>
      </c>
      <c r="I313" s="35" t="str">
        <f t="shared" si="19"/>
        <v/>
      </c>
      <c r="J313" s="50"/>
      <c r="K313" s="17"/>
    </row>
    <row r="314" spans="1:11">
      <c r="A314" s="6">
        <f t="shared" si="16"/>
        <v>309</v>
      </c>
      <c r="B314" s="49"/>
      <c r="C314" s="35" t="str">
        <f>IFERROR(VLOOKUP(B314,'MASTER RECORD'!$B$5:$W$1000,3,0),"")</f>
        <v/>
      </c>
      <c r="D314" s="35" t="str">
        <f>IFERROR(VLOOKUP(B314,'MASTER RECORD'!$B$5:$W$1000,2,0),"")</f>
        <v/>
      </c>
      <c r="E314" s="36" t="str">
        <f>IFERROR(VLOOKUP(B314,'MASTER RECORD'!$B$5:$W$1000,9,0),"")</f>
        <v/>
      </c>
      <c r="F314" s="18"/>
      <c r="G314" s="18" t="str">
        <f t="shared" si="17"/>
        <v/>
      </c>
      <c r="H314" s="18" t="str">
        <f t="shared" si="18"/>
        <v/>
      </c>
      <c r="I314" s="35" t="str">
        <f t="shared" si="19"/>
        <v/>
      </c>
      <c r="J314" s="50"/>
      <c r="K314" s="17"/>
    </row>
    <row r="315" spans="1:11">
      <c r="A315" s="6">
        <f t="shared" si="16"/>
        <v>310</v>
      </c>
      <c r="B315" s="49"/>
      <c r="C315" s="35" t="str">
        <f>IFERROR(VLOOKUP(B315,'MASTER RECORD'!$B$5:$W$1000,3,0),"")</f>
        <v/>
      </c>
      <c r="D315" s="35" t="str">
        <f>IFERROR(VLOOKUP(B315,'MASTER RECORD'!$B$5:$W$1000,2,0),"")</f>
        <v/>
      </c>
      <c r="E315" s="36" t="str">
        <f>IFERROR(VLOOKUP(B315,'MASTER RECORD'!$B$5:$W$1000,9,0),"")</f>
        <v/>
      </c>
      <c r="F315" s="18"/>
      <c r="G315" s="18" t="str">
        <f t="shared" si="17"/>
        <v/>
      </c>
      <c r="H315" s="18" t="str">
        <f t="shared" si="18"/>
        <v/>
      </c>
      <c r="I315" s="35" t="str">
        <f t="shared" si="19"/>
        <v/>
      </c>
      <c r="J315" s="50"/>
      <c r="K315" s="17"/>
    </row>
    <row r="316" spans="1:11">
      <c r="A316" s="6">
        <f t="shared" si="16"/>
        <v>311</v>
      </c>
      <c r="B316" s="49"/>
      <c r="C316" s="35" t="str">
        <f>IFERROR(VLOOKUP(B316,'MASTER RECORD'!$B$5:$W$1000,3,0),"")</f>
        <v/>
      </c>
      <c r="D316" s="35" t="str">
        <f>IFERROR(VLOOKUP(B316,'MASTER RECORD'!$B$5:$W$1000,2,0),"")</f>
        <v/>
      </c>
      <c r="E316" s="36" t="str">
        <f>IFERROR(VLOOKUP(B316,'MASTER RECORD'!$B$5:$W$1000,9,0),"")</f>
        <v/>
      </c>
      <c r="F316" s="18"/>
      <c r="G316" s="18" t="str">
        <f t="shared" si="17"/>
        <v/>
      </c>
      <c r="H316" s="18" t="str">
        <f t="shared" si="18"/>
        <v/>
      </c>
      <c r="I316" s="35" t="str">
        <f t="shared" si="19"/>
        <v/>
      </c>
      <c r="J316" s="50"/>
      <c r="K316" s="17"/>
    </row>
    <row r="317" spans="1:11">
      <c r="A317" s="6">
        <f t="shared" si="16"/>
        <v>312</v>
      </c>
      <c r="B317" s="49"/>
      <c r="C317" s="35" t="str">
        <f>IFERROR(VLOOKUP(B317,'MASTER RECORD'!$B$5:$W$1000,3,0),"")</f>
        <v/>
      </c>
      <c r="D317" s="35" t="str">
        <f>IFERROR(VLOOKUP(B317,'MASTER RECORD'!$B$5:$W$1000,2,0),"")</f>
        <v/>
      </c>
      <c r="E317" s="36" t="str">
        <f>IFERROR(VLOOKUP(B317,'MASTER RECORD'!$B$5:$W$1000,9,0),"")</f>
        <v/>
      </c>
      <c r="F317" s="18"/>
      <c r="G317" s="18" t="str">
        <f t="shared" si="17"/>
        <v/>
      </c>
      <c r="H317" s="18" t="str">
        <f t="shared" si="18"/>
        <v/>
      </c>
      <c r="I317" s="35" t="str">
        <f t="shared" si="19"/>
        <v/>
      </c>
      <c r="J317" s="50"/>
      <c r="K317" s="17"/>
    </row>
    <row r="318" spans="1:11">
      <c r="A318" s="6">
        <f t="shared" si="16"/>
        <v>313</v>
      </c>
      <c r="B318" s="49"/>
      <c r="C318" s="35" t="str">
        <f>IFERROR(VLOOKUP(B318,'MASTER RECORD'!$B$5:$W$1000,3,0),"")</f>
        <v/>
      </c>
      <c r="D318" s="35" t="str">
        <f>IFERROR(VLOOKUP(B318,'MASTER RECORD'!$B$5:$W$1000,2,0),"")</f>
        <v/>
      </c>
      <c r="E318" s="36" t="str">
        <f>IFERROR(VLOOKUP(B318,'MASTER RECORD'!$B$5:$W$1000,9,0),"")</f>
        <v/>
      </c>
      <c r="F318" s="18"/>
      <c r="G318" s="18" t="str">
        <f t="shared" si="17"/>
        <v/>
      </c>
      <c r="H318" s="18" t="str">
        <f t="shared" si="18"/>
        <v/>
      </c>
      <c r="I318" s="35" t="str">
        <f t="shared" si="19"/>
        <v/>
      </c>
      <c r="J318" s="50"/>
      <c r="K318" s="17"/>
    </row>
    <row r="319" spans="1:11">
      <c r="A319" s="6">
        <f t="shared" si="16"/>
        <v>314</v>
      </c>
      <c r="B319" s="49"/>
      <c r="C319" s="35" t="str">
        <f>IFERROR(VLOOKUP(B319,'MASTER RECORD'!$B$5:$W$1000,3,0),"")</f>
        <v/>
      </c>
      <c r="D319" s="35" t="str">
        <f>IFERROR(VLOOKUP(B319,'MASTER RECORD'!$B$5:$W$1000,2,0),"")</f>
        <v/>
      </c>
      <c r="E319" s="36" t="str">
        <f>IFERROR(VLOOKUP(B319,'MASTER RECORD'!$B$5:$W$1000,9,0),"")</f>
        <v/>
      </c>
      <c r="F319" s="18"/>
      <c r="G319" s="18" t="str">
        <f t="shared" si="17"/>
        <v/>
      </c>
      <c r="H319" s="18" t="str">
        <f t="shared" si="18"/>
        <v/>
      </c>
      <c r="I319" s="35" t="str">
        <f t="shared" si="19"/>
        <v/>
      </c>
      <c r="J319" s="50"/>
      <c r="K319" s="17"/>
    </row>
    <row r="320" spans="1:11">
      <c r="A320" s="6">
        <f t="shared" si="16"/>
        <v>315</v>
      </c>
      <c r="B320" s="49"/>
      <c r="C320" s="35" t="str">
        <f>IFERROR(VLOOKUP(B320,'MASTER RECORD'!$B$5:$W$1000,3,0),"")</f>
        <v/>
      </c>
      <c r="D320" s="35" t="str">
        <f>IFERROR(VLOOKUP(B320,'MASTER RECORD'!$B$5:$W$1000,2,0),"")</f>
        <v/>
      </c>
      <c r="E320" s="36" t="str">
        <f>IFERROR(VLOOKUP(B320,'MASTER RECORD'!$B$5:$W$1000,9,0),"")</f>
        <v/>
      </c>
      <c r="F320" s="18"/>
      <c r="G320" s="18" t="str">
        <f t="shared" si="17"/>
        <v/>
      </c>
      <c r="H320" s="18" t="str">
        <f t="shared" si="18"/>
        <v/>
      </c>
      <c r="I320" s="35" t="str">
        <f t="shared" si="19"/>
        <v/>
      </c>
      <c r="J320" s="50"/>
      <c r="K320" s="17"/>
    </row>
    <row r="321" spans="1:11">
      <c r="A321" s="6">
        <f t="shared" si="16"/>
        <v>316</v>
      </c>
      <c r="B321" s="49"/>
      <c r="C321" s="35" t="str">
        <f>IFERROR(VLOOKUP(B321,'MASTER RECORD'!$B$5:$W$1000,3,0),"")</f>
        <v/>
      </c>
      <c r="D321" s="35" t="str">
        <f>IFERROR(VLOOKUP(B321,'MASTER RECORD'!$B$5:$W$1000,2,0),"")</f>
        <v/>
      </c>
      <c r="E321" s="36" t="str">
        <f>IFERROR(VLOOKUP(B321,'MASTER RECORD'!$B$5:$W$1000,9,0),"")</f>
        <v/>
      </c>
      <c r="F321" s="18"/>
      <c r="G321" s="18" t="str">
        <f t="shared" si="17"/>
        <v/>
      </c>
      <c r="H321" s="18" t="str">
        <f t="shared" si="18"/>
        <v/>
      </c>
      <c r="I321" s="35" t="str">
        <f t="shared" si="19"/>
        <v/>
      </c>
      <c r="J321" s="50"/>
      <c r="K321" s="17"/>
    </row>
    <row r="322" spans="1:11">
      <c r="A322" s="6">
        <f t="shared" si="16"/>
        <v>317</v>
      </c>
      <c r="B322" s="49"/>
      <c r="C322" s="35" t="str">
        <f>IFERROR(VLOOKUP(B322,'MASTER RECORD'!$B$5:$W$1000,3,0),"")</f>
        <v/>
      </c>
      <c r="D322" s="35" t="str">
        <f>IFERROR(VLOOKUP(B322,'MASTER RECORD'!$B$5:$W$1000,2,0),"")</f>
        <v/>
      </c>
      <c r="E322" s="36" t="str">
        <f>IFERROR(VLOOKUP(B322,'MASTER RECORD'!$B$5:$W$1000,9,0),"")</f>
        <v/>
      </c>
      <c r="F322" s="18"/>
      <c r="G322" s="18" t="str">
        <f t="shared" si="17"/>
        <v/>
      </c>
      <c r="H322" s="18" t="str">
        <f t="shared" si="18"/>
        <v/>
      </c>
      <c r="I322" s="35" t="str">
        <f t="shared" si="19"/>
        <v/>
      </c>
      <c r="J322" s="50"/>
      <c r="K322" s="17"/>
    </row>
    <row r="323" spans="1:11">
      <c r="A323" s="6">
        <f t="shared" si="16"/>
        <v>318</v>
      </c>
      <c r="B323" s="49"/>
      <c r="C323" s="35" t="str">
        <f>IFERROR(VLOOKUP(B323,'MASTER RECORD'!$B$5:$W$1000,3,0),"")</f>
        <v/>
      </c>
      <c r="D323" s="35" t="str">
        <f>IFERROR(VLOOKUP(B323,'MASTER RECORD'!$B$5:$W$1000,2,0),"")</f>
        <v/>
      </c>
      <c r="E323" s="36" t="str">
        <f>IFERROR(VLOOKUP(B323,'MASTER RECORD'!$B$5:$W$1000,9,0),"")</f>
        <v/>
      </c>
      <c r="F323" s="18"/>
      <c r="G323" s="18" t="str">
        <f t="shared" si="17"/>
        <v/>
      </c>
      <c r="H323" s="18" t="str">
        <f t="shared" si="18"/>
        <v/>
      </c>
      <c r="I323" s="35" t="str">
        <f t="shared" si="19"/>
        <v/>
      </c>
      <c r="J323" s="50"/>
      <c r="K323" s="17"/>
    </row>
    <row r="324" spans="1:11">
      <c r="A324" s="6">
        <f t="shared" si="16"/>
        <v>319</v>
      </c>
      <c r="B324" s="49"/>
      <c r="C324" s="35" t="str">
        <f>IFERROR(VLOOKUP(B324,'MASTER RECORD'!$B$5:$W$1000,3,0),"")</f>
        <v/>
      </c>
      <c r="D324" s="35" t="str">
        <f>IFERROR(VLOOKUP(B324,'MASTER RECORD'!$B$5:$W$1000,2,0),"")</f>
        <v/>
      </c>
      <c r="E324" s="36" t="str">
        <f>IFERROR(VLOOKUP(B324,'MASTER RECORD'!$B$5:$W$1000,9,0),"")</f>
        <v/>
      </c>
      <c r="F324" s="18"/>
      <c r="G324" s="18" t="str">
        <f t="shared" si="17"/>
        <v/>
      </c>
      <c r="H324" s="18" t="str">
        <f t="shared" si="18"/>
        <v/>
      </c>
      <c r="I324" s="35" t="str">
        <f t="shared" si="19"/>
        <v/>
      </c>
      <c r="J324" s="50"/>
      <c r="K324" s="17"/>
    </row>
    <row r="325" spans="1:11">
      <c r="A325" s="6">
        <f t="shared" si="16"/>
        <v>320</v>
      </c>
      <c r="B325" s="49"/>
      <c r="C325" s="35" t="str">
        <f>IFERROR(VLOOKUP(B325,'MASTER RECORD'!$B$5:$W$1000,3,0),"")</f>
        <v/>
      </c>
      <c r="D325" s="35" t="str">
        <f>IFERROR(VLOOKUP(B325,'MASTER RECORD'!$B$5:$W$1000,2,0),"")</f>
        <v/>
      </c>
      <c r="E325" s="36" t="str">
        <f>IFERROR(VLOOKUP(B325,'MASTER RECORD'!$B$5:$W$1000,9,0),"")</f>
        <v/>
      </c>
      <c r="F325" s="18"/>
      <c r="G325" s="18" t="str">
        <f t="shared" si="17"/>
        <v/>
      </c>
      <c r="H325" s="18" t="str">
        <f t="shared" si="18"/>
        <v/>
      </c>
      <c r="I325" s="35" t="str">
        <f t="shared" si="19"/>
        <v/>
      </c>
      <c r="J325" s="50"/>
      <c r="K325" s="17"/>
    </row>
    <row r="326" spans="1:11">
      <c r="A326" s="6">
        <f t="shared" si="16"/>
        <v>321</v>
      </c>
      <c r="B326" s="49"/>
      <c r="C326" s="35" t="str">
        <f>IFERROR(VLOOKUP(B326,'MASTER RECORD'!$B$5:$W$1000,3,0),"")</f>
        <v/>
      </c>
      <c r="D326" s="35" t="str">
        <f>IFERROR(VLOOKUP(B326,'MASTER RECORD'!$B$5:$W$1000,2,0),"")</f>
        <v/>
      </c>
      <c r="E326" s="36" t="str">
        <f>IFERROR(VLOOKUP(B326,'MASTER RECORD'!$B$5:$W$1000,9,0),"")</f>
        <v/>
      </c>
      <c r="F326" s="18"/>
      <c r="G326" s="18" t="str">
        <f t="shared" si="17"/>
        <v/>
      </c>
      <c r="H326" s="18" t="str">
        <f t="shared" si="18"/>
        <v/>
      </c>
      <c r="I326" s="35" t="str">
        <f t="shared" si="19"/>
        <v/>
      </c>
      <c r="J326" s="50"/>
      <c r="K326" s="17"/>
    </row>
    <row r="327" spans="1:11">
      <c r="A327" s="6">
        <f t="shared" ref="A327:A390" si="20">ROW(A322)</f>
        <v>322</v>
      </c>
      <c r="B327" s="49"/>
      <c r="C327" s="35" t="str">
        <f>IFERROR(VLOOKUP(B327,'MASTER RECORD'!$B$5:$W$1000,3,0),"")</f>
        <v/>
      </c>
      <c r="D327" s="35" t="str">
        <f>IFERROR(VLOOKUP(B327,'MASTER RECORD'!$B$5:$W$1000,2,0),"")</f>
        <v/>
      </c>
      <c r="E327" s="36" t="str">
        <f>IFERROR(VLOOKUP(B327,'MASTER RECORD'!$B$5:$W$1000,9,0),"")</f>
        <v/>
      </c>
      <c r="F327" s="18"/>
      <c r="G327" s="18" t="str">
        <f t="shared" ref="G327:G390" si="21">IF($F327=0,"",TEXT($F327,"mmmm"))</f>
        <v/>
      </c>
      <c r="H327" s="18" t="str">
        <f t="shared" ref="H327:H390" si="22">IF($F327=0,"",TEXT($F327,"yyyy"))</f>
        <v/>
      </c>
      <c r="I327" s="35" t="str">
        <f t="shared" ref="I327:I390" si="23">IFERROR(DATEDIF(E327,F327,"Y")&amp;"."&amp;DATEDIF(E327,F327,"YM"),"")</f>
        <v/>
      </c>
      <c r="J327" s="50"/>
      <c r="K327" s="17"/>
    </row>
    <row r="328" spans="1:11">
      <c r="A328" s="6">
        <f t="shared" si="20"/>
        <v>323</v>
      </c>
      <c r="B328" s="49"/>
      <c r="C328" s="35" t="str">
        <f>IFERROR(VLOOKUP(B328,'MASTER RECORD'!$B$5:$W$1000,3,0),"")</f>
        <v/>
      </c>
      <c r="D328" s="35" t="str">
        <f>IFERROR(VLOOKUP(B328,'MASTER RECORD'!$B$5:$W$1000,2,0),"")</f>
        <v/>
      </c>
      <c r="E328" s="36" t="str">
        <f>IFERROR(VLOOKUP(B328,'MASTER RECORD'!$B$5:$W$1000,9,0),"")</f>
        <v/>
      </c>
      <c r="F328" s="18"/>
      <c r="G328" s="18" t="str">
        <f t="shared" si="21"/>
        <v/>
      </c>
      <c r="H328" s="18" t="str">
        <f t="shared" si="22"/>
        <v/>
      </c>
      <c r="I328" s="35" t="str">
        <f t="shared" si="23"/>
        <v/>
      </c>
      <c r="J328" s="50"/>
      <c r="K328" s="17"/>
    </row>
    <row r="329" spans="1:11">
      <c r="A329" s="6">
        <f t="shared" si="20"/>
        <v>324</v>
      </c>
      <c r="B329" s="49"/>
      <c r="C329" s="35" t="str">
        <f>IFERROR(VLOOKUP(B329,'MASTER RECORD'!$B$5:$W$1000,3,0),"")</f>
        <v/>
      </c>
      <c r="D329" s="35" t="str">
        <f>IFERROR(VLOOKUP(B329,'MASTER RECORD'!$B$5:$W$1000,2,0),"")</f>
        <v/>
      </c>
      <c r="E329" s="36" t="str">
        <f>IFERROR(VLOOKUP(B329,'MASTER RECORD'!$B$5:$W$1000,9,0),"")</f>
        <v/>
      </c>
      <c r="F329" s="18"/>
      <c r="G329" s="18" t="str">
        <f t="shared" si="21"/>
        <v/>
      </c>
      <c r="H329" s="18" t="str">
        <f t="shared" si="22"/>
        <v/>
      </c>
      <c r="I329" s="35" t="str">
        <f t="shared" si="23"/>
        <v/>
      </c>
      <c r="J329" s="50"/>
      <c r="K329" s="17"/>
    </row>
    <row r="330" spans="1:11">
      <c r="A330" s="6">
        <f t="shared" si="20"/>
        <v>325</v>
      </c>
      <c r="B330" s="49"/>
      <c r="C330" s="35" t="str">
        <f>IFERROR(VLOOKUP(B330,'MASTER RECORD'!$B$5:$W$1000,3,0),"")</f>
        <v/>
      </c>
      <c r="D330" s="35" t="str">
        <f>IFERROR(VLOOKUP(B330,'MASTER RECORD'!$B$5:$W$1000,2,0),"")</f>
        <v/>
      </c>
      <c r="E330" s="36" t="str">
        <f>IFERROR(VLOOKUP(B330,'MASTER RECORD'!$B$5:$W$1000,9,0),"")</f>
        <v/>
      </c>
      <c r="F330" s="18"/>
      <c r="G330" s="18" t="str">
        <f t="shared" si="21"/>
        <v/>
      </c>
      <c r="H330" s="18" t="str">
        <f t="shared" si="22"/>
        <v/>
      </c>
      <c r="I330" s="35" t="str">
        <f t="shared" si="23"/>
        <v/>
      </c>
      <c r="J330" s="50"/>
      <c r="K330" s="17"/>
    </row>
    <row r="331" spans="1:11">
      <c r="A331" s="6">
        <f t="shared" si="20"/>
        <v>326</v>
      </c>
      <c r="B331" s="49"/>
      <c r="C331" s="35" t="str">
        <f>IFERROR(VLOOKUP(B331,'MASTER RECORD'!$B$5:$W$1000,3,0),"")</f>
        <v/>
      </c>
      <c r="D331" s="35" t="str">
        <f>IFERROR(VLOOKUP(B331,'MASTER RECORD'!$B$5:$W$1000,2,0),"")</f>
        <v/>
      </c>
      <c r="E331" s="36" t="str">
        <f>IFERROR(VLOOKUP(B331,'MASTER RECORD'!$B$5:$W$1000,9,0),"")</f>
        <v/>
      </c>
      <c r="F331" s="18"/>
      <c r="G331" s="18" t="str">
        <f t="shared" si="21"/>
        <v/>
      </c>
      <c r="H331" s="18" t="str">
        <f t="shared" si="22"/>
        <v/>
      </c>
      <c r="I331" s="35" t="str">
        <f t="shared" si="23"/>
        <v/>
      </c>
      <c r="J331" s="50"/>
      <c r="K331" s="17"/>
    </row>
    <row r="332" spans="1:11">
      <c r="A332" s="6">
        <f t="shared" si="20"/>
        <v>327</v>
      </c>
      <c r="B332" s="49"/>
      <c r="C332" s="35" t="str">
        <f>IFERROR(VLOOKUP(B332,'MASTER RECORD'!$B$5:$W$1000,3,0),"")</f>
        <v/>
      </c>
      <c r="D332" s="35" t="str">
        <f>IFERROR(VLOOKUP(B332,'MASTER RECORD'!$B$5:$W$1000,2,0),"")</f>
        <v/>
      </c>
      <c r="E332" s="36" t="str">
        <f>IFERROR(VLOOKUP(B332,'MASTER RECORD'!$B$5:$W$1000,9,0),"")</f>
        <v/>
      </c>
      <c r="F332" s="18"/>
      <c r="G332" s="18" t="str">
        <f t="shared" si="21"/>
        <v/>
      </c>
      <c r="H332" s="18" t="str">
        <f t="shared" si="22"/>
        <v/>
      </c>
      <c r="I332" s="35" t="str">
        <f t="shared" si="23"/>
        <v/>
      </c>
      <c r="J332" s="50"/>
      <c r="K332" s="17"/>
    </row>
    <row r="333" spans="1:11">
      <c r="A333" s="6">
        <f t="shared" si="20"/>
        <v>328</v>
      </c>
      <c r="B333" s="49"/>
      <c r="C333" s="35" t="str">
        <f>IFERROR(VLOOKUP(B333,'MASTER RECORD'!$B$5:$W$1000,3,0),"")</f>
        <v/>
      </c>
      <c r="D333" s="35" t="str">
        <f>IFERROR(VLOOKUP(B333,'MASTER RECORD'!$B$5:$W$1000,2,0),"")</f>
        <v/>
      </c>
      <c r="E333" s="36" t="str">
        <f>IFERROR(VLOOKUP(B333,'MASTER RECORD'!$B$5:$W$1000,9,0),"")</f>
        <v/>
      </c>
      <c r="F333" s="18"/>
      <c r="G333" s="18" t="str">
        <f t="shared" si="21"/>
        <v/>
      </c>
      <c r="H333" s="18" t="str">
        <f t="shared" si="22"/>
        <v/>
      </c>
      <c r="I333" s="35" t="str">
        <f t="shared" si="23"/>
        <v/>
      </c>
      <c r="J333" s="50"/>
      <c r="K333" s="17"/>
    </row>
    <row r="334" spans="1:11">
      <c r="A334" s="6">
        <f t="shared" si="20"/>
        <v>329</v>
      </c>
      <c r="B334" s="49"/>
      <c r="C334" s="35" t="str">
        <f>IFERROR(VLOOKUP(B334,'MASTER RECORD'!$B$5:$W$1000,3,0),"")</f>
        <v/>
      </c>
      <c r="D334" s="35" t="str">
        <f>IFERROR(VLOOKUP(B334,'MASTER RECORD'!$B$5:$W$1000,2,0),"")</f>
        <v/>
      </c>
      <c r="E334" s="36" t="str">
        <f>IFERROR(VLOOKUP(B334,'MASTER RECORD'!$B$5:$W$1000,9,0),"")</f>
        <v/>
      </c>
      <c r="F334" s="18"/>
      <c r="G334" s="18" t="str">
        <f t="shared" si="21"/>
        <v/>
      </c>
      <c r="H334" s="18" t="str">
        <f t="shared" si="22"/>
        <v/>
      </c>
      <c r="I334" s="35" t="str">
        <f t="shared" si="23"/>
        <v/>
      </c>
      <c r="J334" s="50"/>
      <c r="K334" s="17"/>
    </row>
    <row r="335" spans="1:11">
      <c r="A335" s="6">
        <f t="shared" si="20"/>
        <v>330</v>
      </c>
      <c r="B335" s="49"/>
      <c r="C335" s="35" t="str">
        <f>IFERROR(VLOOKUP(B335,'MASTER RECORD'!$B$5:$W$1000,3,0),"")</f>
        <v/>
      </c>
      <c r="D335" s="35" t="str">
        <f>IFERROR(VLOOKUP(B335,'MASTER RECORD'!$B$5:$W$1000,2,0),"")</f>
        <v/>
      </c>
      <c r="E335" s="36" t="str">
        <f>IFERROR(VLOOKUP(B335,'MASTER RECORD'!$B$5:$W$1000,9,0),"")</f>
        <v/>
      </c>
      <c r="F335" s="18"/>
      <c r="G335" s="18" t="str">
        <f t="shared" si="21"/>
        <v/>
      </c>
      <c r="H335" s="18" t="str">
        <f t="shared" si="22"/>
        <v/>
      </c>
      <c r="I335" s="35" t="str">
        <f t="shared" si="23"/>
        <v/>
      </c>
      <c r="J335" s="50"/>
      <c r="K335" s="17"/>
    </row>
    <row r="336" spans="1:11">
      <c r="A336" s="6">
        <f t="shared" si="20"/>
        <v>331</v>
      </c>
      <c r="B336" s="49"/>
      <c r="C336" s="35" t="str">
        <f>IFERROR(VLOOKUP(B336,'MASTER RECORD'!$B$5:$W$1000,3,0),"")</f>
        <v/>
      </c>
      <c r="D336" s="35" t="str">
        <f>IFERROR(VLOOKUP(B336,'MASTER RECORD'!$B$5:$W$1000,2,0),"")</f>
        <v/>
      </c>
      <c r="E336" s="36" t="str">
        <f>IFERROR(VLOOKUP(B336,'MASTER RECORD'!$B$5:$W$1000,9,0),"")</f>
        <v/>
      </c>
      <c r="F336" s="18"/>
      <c r="G336" s="18" t="str">
        <f t="shared" si="21"/>
        <v/>
      </c>
      <c r="H336" s="18" t="str">
        <f t="shared" si="22"/>
        <v/>
      </c>
      <c r="I336" s="35" t="str">
        <f t="shared" si="23"/>
        <v/>
      </c>
      <c r="J336" s="50"/>
      <c r="K336" s="17"/>
    </row>
    <row r="337" spans="1:11">
      <c r="A337" s="6">
        <f t="shared" si="20"/>
        <v>332</v>
      </c>
      <c r="B337" s="49"/>
      <c r="C337" s="35" t="str">
        <f>IFERROR(VLOOKUP(B337,'MASTER RECORD'!$B$5:$W$1000,3,0),"")</f>
        <v/>
      </c>
      <c r="D337" s="35" t="str">
        <f>IFERROR(VLOOKUP(B337,'MASTER RECORD'!$B$5:$W$1000,2,0),"")</f>
        <v/>
      </c>
      <c r="E337" s="36" t="str">
        <f>IFERROR(VLOOKUP(B337,'MASTER RECORD'!$B$5:$W$1000,9,0),"")</f>
        <v/>
      </c>
      <c r="F337" s="18"/>
      <c r="G337" s="18" t="str">
        <f t="shared" si="21"/>
        <v/>
      </c>
      <c r="H337" s="18" t="str">
        <f t="shared" si="22"/>
        <v/>
      </c>
      <c r="I337" s="35" t="str">
        <f t="shared" si="23"/>
        <v/>
      </c>
      <c r="J337" s="50"/>
      <c r="K337" s="17"/>
    </row>
    <row r="338" spans="1:11">
      <c r="A338" s="6">
        <f t="shared" si="20"/>
        <v>333</v>
      </c>
      <c r="B338" s="49"/>
      <c r="C338" s="35" t="str">
        <f>IFERROR(VLOOKUP(B338,'MASTER RECORD'!$B$5:$W$1000,3,0),"")</f>
        <v/>
      </c>
      <c r="D338" s="35" t="str">
        <f>IFERROR(VLOOKUP(B338,'MASTER RECORD'!$B$5:$W$1000,2,0),"")</f>
        <v/>
      </c>
      <c r="E338" s="36" t="str">
        <f>IFERROR(VLOOKUP(B338,'MASTER RECORD'!$B$5:$W$1000,9,0),"")</f>
        <v/>
      </c>
      <c r="F338" s="18"/>
      <c r="G338" s="18" t="str">
        <f t="shared" si="21"/>
        <v/>
      </c>
      <c r="H338" s="18" t="str">
        <f t="shared" si="22"/>
        <v/>
      </c>
      <c r="I338" s="35" t="str">
        <f t="shared" si="23"/>
        <v/>
      </c>
      <c r="J338" s="50"/>
      <c r="K338" s="17"/>
    </row>
    <row r="339" spans="1:11">
      <c r="A339" s="6">
        <f t="shared" si="20"/>
        <v>334</v>
      </c>
      <c r="B339" s="49"/>
      <c r="C339" s="35" t="str">
        <f>IFERROR(VLOOKUP(B339,'MASTER RECORD'!$B$5:$W$1000,3,0),"")</f>
        <v/>
      </c>
      <c r="D339" s="35" t="str">
        <f>IFERROR(VLOOKUP(B339,'MASTER RECORD'!$B$5:$W$1000,2,0),"")</f>
        <v/>
      </c>
      <c r="E339" s="36" t="str">
        <f>IFERROR(VLOOKUP(B339,'MASTER RECORD'!$B$5:$W$1000,9,0),"")</f>
        <v/>
      </c>
      <c r="F339" s="18"/>
      <c r="G339" s="18" t="str">
        <f t="shared" si="21"/>
        <v/>
      </c>
      <c r="H339" s="18" t="str">
        <f t="shared" si="22"/>
        <v/>
      </c>
      <c r="I339" s="35" t="str">
        <f t="shared" si="23"/>
        <v/>
      </c>
      <c r="J339" s="50"/>
      <c r="K339" s="17"/>
    </row>
    <row r="340" spans="1:11">
      <c r="A340" s="6">
        <f t="shared" si="20"/>
        <v>335</v>
      </c>
      <c r="B340" s="49"/>
      <c r="C340" s="35" t="str">
        <f>IFERROR(VLOOKUP(B340,'MASTER RECORD'!$B$5:$W$1000,3,0),"")</f>
        <v/>
      </c>
      <c r="D340" s="35" t="str">
        <f>IFERROR(VLOOKUP(B340,'MASTER RECORD'!$B$5:$W$1000,2,0),"")</f>
        <v/>
      </c>
      <c r="E340" s="36" t="str">
        <f>IFERROR(VLOOKUP(B340,'MASTER RECORD'!$B$5:$W$1000,9,0),"")</f>
        <v/>
      </c>
      <c r="F340" s="18"/>
      <c r="G340" s="18" t="str">
        <f t="shared" si="21"/>
        <v/>
      </c>
      <c r="H340" s="18" t="str">
        <f t="shared" si="22"/>
        <v/>
      </c>
      <c r="I340" s="35" t="str">
        <f t="shared" si="23"/>
        <v/>
      </c>
      <c r="J340" s="50"/>
      <c r="K340" s="17"/>
    </row>
    <row r="341" spans="1:11">
      <c r="A341" s="6">
        <f t="shared" si="20"/>
        <v>336</v>
      </c>
      <c r="B341" s="49"/>
      <c r="C341" s="35" t="str">
        <f>IFERROR(VLOOKUP(B341,'MASTER RECORD'!$B$5:$W$1000,3,0),"")</f>
        <v/>
      </c>
      <c r="D341" s="35" t="str">
        <f>IFERROR(VLOOKUP(B341,'MASTER RECORD'!$B$5:$W$1000,2,0),"")</f>
        <v/>
      </c>
      <c r="E341" s="36" t="str">
        <f>IFERROR(VLOOKUP(B341,'MASTER RECORD'!$B$5:$W$1000,9,0),"")</f>
        <v/>
      </c>
      <c r="F341" s="18"/>
      <c r="G341" s="18" t="str">
        <f t="shared" si="21"/>
        <v/>
      </c>
      <c r="H341" s="18" t="str">
        <f t="shared" si="22"/>
        <v/>
      </c>
      <c r="I341" s="35" t="str">
        <f t="shared" si="23"/>
        <v/>
      </c>
      <c r="J341" s="50"/>
      <c r="K341" s="17"/>
    </row>
    <row r="342" spans="1:11">
      <c r="A342" s="6">
        <f t="shared" si="20"/>
        <v>337</v>
      </c>
      <c r="B342" s="49"/>
      <c r="C342" s="35" t="str">
        <f>IFERROR(VLOOKUP(B342,'MASTER RECORD'!$B$5:$W$1000,3,0),"")</f>
        <v/>
      </c>
      <c r="D342" s="35" t="str">
        <f>IFERROR(VLOOKUP(B342,'MASTER RECORD'!$B$5:$W$1000,2,0),"")</f>
        <v/>
      </c>
      <c r="E342" s="36" t="str">
        <f>IFERROR(VLOOKUP(B342,'MASTER RECORD'!$B$5:$W$1000,9,0),"")</f>
        <v/>
      </c>
      <c r="F342" s="18"/>
      <c r="G342" s="18" t="str">
        <f t="shared" si="21"/>
        <v/>
      </c>
      <c r="H342" s="18" t="str">
        <f t="shared" si="22"/>
        <v/>
      </c>
      <c r="I342" s="35" t="str">
        <f t="shared" si="23"/>
        <v/>
      </c>
      <c r="J342" s="50"/>
      <c r="K342" s="17"/>
    </row>
    <row r="343" spans="1:11">
      <c r="A343" s="6">
        <f t="shared" si="20"/>
        <v>338</v>
      </c>
      <c r="B343" s="49"/>
      <c r="C343" s="35" t="str">
        <f>IFERROR(VLOOKUP(B343,'MASTER RECORD'!$B$5:$W$1000,3,0),"")</f>
        <v/>
      </c>
      <c r="D343" s="35" t="str">
        <f>IFERROR(VLOOKUP(B343,'MASTER RECORD'!$B$5:$W$1000,2,0),"")</f>
        <v/>
      </c>
      <c r="E343" s="36" t="str">
        <f>IFERROR(VLOOKUP(B343,'MASTER RECORD'!$B$5:$W$1000,9,0),"")</f>
        <v/>
      </c>
      <c r="F343" s="18"/>
      <c r="G343" s="18" t="str">
        <f t="shared" si="21"/>
        <v/>
      </c>
      <c r="H343" s="18" t="str">
        <f t="shared" si="22"/>
        <v/>
      </c>
      <c r="I343" s="35" t="str">
        <f t="shared" si="23"/>
        <v/>
      </c>
      <c r="J343" s="50"/>
      <c r="K343" s="17"/>
    </row>
    <row r="344" spans="1:11">
      <c r="A344" s="6">
        <f t="shared" si="20"/>
        <v>339</v>
      </c>
      <c r="B344" s="49"/>
      <c r="C344" s="35" t="str">
        <f>IFERROR(VLOOKUP(B344,'MASTER RECORD'!$B$5:$W$1000,3,0),"")</f>
        <v/>
      </c>
      <c r="D344" s="35" t="str">
        <f>IFERROR(VLOOKUP(B344,'MASTER RECORD'!$B$5:$W$1000,2,0),"")</f>
        <v/>
      </c>
      <c r="E344" s="36" t="str">
        <f>IFERROR(VLOOKUP(B344,'MASTER RECORD'!$B$5:$W$1000,9,0),"")</f>
        <v/>
      </c>
      <c r="F344" s="18"/>
      <c r="G344" s="18" t="str">
        <f t="shared" si="21"/>
        <v/>
      </c>
      <c r="H344" s="18" t="str">
        <f t="shared" si="22"/>
        <v/>
      </c>
      <c r="I344" s="35" t="str">
        <f t="shared" si="23"/>
        <v/>
      </c>
      <c r="J344" s="50"/>
      <c r="K344" s="17"/>
    </row>
    <row r="345" spans="1:11">
      <c r="A345" s="6">
        <f t="shared" si="20"/>
        <v>340</v>
      </c>
      <c r="B345" s="49"/>
      <c r="C345" s="35" t="str">
        <f>IFERROR(VLOOKUP(B345,'MASTER RECORD'!$B$5:$W$1000,3,0),"")</f>
        <v/>
      </c>
      <c r="D345" s="35" t="str">
        <f>IFERROR(VLOOKUP(B345,'MASTER RECORD'!$B$5:$W$1000,2,0),"")</f>
        <v/>
      </c>
      <c r="E345" s="36" t="str">
        <f>IFERROR(VLOOKUP(B345,'MASTER RECORD'!$B$5:$W$1000,9,0),"")</f>
        <v/>
      </c>
      <c r="F345" s="18"/>
      <c r="G345" s="18" t="str">
        <f t="shared" si="21"/>
        <v/>
      </c>
      <c r="H345" s="18" t="str">
        <f t="shared" si="22"/>
        <v/>
      </c>
      <c r="I345" s="35" t="str">
        <f t="shared" si="23"/>
        <v/>
      </c>
      <c r="J345" s="50"/>
      <c r="K345" s="17"/>
    </row>
    <row r="346" spans="1:11">
      <c r="A346" s="6">
        <f t="shared" si="20"/>
        <v>341</v>
      </c>
      <c r="B346" s="49"/>
      <c r="C346" s="35" t="str">
        <f>IFERROR(VLOOKUP(B346,'MASTER RECORD'!$B$5:$W$1000,3,0),"")</f>
        <v/>
      </c>
      <c r="D346" s="35" t="str">
        <f>IFERROR(VLOOKUP(B346,'MASTER RECORD'!$B$5:$W$1000,2,0),"")</f>
        <v/>
      </c>
      <c r="E346" s="36" t="str">
        <f>IFERROR(VLOOKUP(B346,'MASTER RECORD'!$B$5:$W$1000,9,0),"")</f>
        <v/>
      </c>
      <c r="F346" s="18"/>
      <c r="G346" s="18" t="str">
        <f t="shared" si="21"/>
        <v/>
      </c>
      <c r="H346" s="18" t="str">
        <f t="shared" si="22"/>
        <v/>
      </c>
      <c r="I346" s="35" t="str">
        <f t="shared" si="23"/>
        <v/>
      </c>
      <c r="J346" s="50"/>
      <c r="K346" s="17"/>
    </row>
    <row r="347" spans="1:11">
      <c r="A347" s="6">
        <f t="shared" si="20"/>
        <v>342</v>
      </c>
      <c r="B347" s="49"/>
      <c r="C347" s="35" t="str">
        <f>IFERROR(VLOOKUP(B347,'MASTER RECORD'!$B$5:$W$1000,3,0),"")</f>
        <v/>
      </c>
      <c r="D347" s="35" t="str">
        <f>IFERROR(VLOOKUP(B347,'MASTER RECORD'!$B$5:$W$1000,2,0),"")</f>
        <v/>
      </c>
      <c r="E347" s="36" t="str">
        <f>IFERROR(VLOOKUP(B347,'MASTER RECORD'!$B$5:$W$1000,9,0),"")</f>
        <v/>
      </c>
      <c r="F347" s="18"/>
      <c r="G347" s="18" t="str">
        <f t="shared" si="21"/>
        <v/>
      </c>
      <c r="H347" s="18" t="str">
        <f t="shared" si="22"/>
        <v/>
      </c>
      <c r="I347" s="35" t="str">
        <f t="shared" si="23"/>
        <v/>
      </c>
      <c r="J347" s="50"/>
      <c r="K347" s="17"/>
    </row>
    <row r="348" spans="1:11">
      <c r="A348" s="6">
        <f t="shared" si="20"/>
        <v>343</v>
      </c>
      <c r="B348" s="49"/>
      <c r="C348" s="35" t="str">
        <f>IFERROR(VLOOKUP(B348,'MASTER RECORD'!$B$5:$W$1000,3,0),"")</f>
        <v/>
      </c>
      <c r="D348" s="35" t="str">
        <f>IFERROR(VLOOKUP(B348,'MASTER RECORD'!$B$5:$W$1000,2,0),"")</f>
        <v/>
      </c>
      <c r="E348" s="36" t="str">
        <f>IFERROR(VLOOKUP(B348,'MASTER RECORD'!$B$5:$W$1000,9,0),"")</f>
        <v/>
      </c>
      <c r="F348" s="18"/>
      <c r="G348" s="18" t="str">
        <f t="shared" si="21"/>
        <v/>
      </c>
      <c r="H348" s="18" t="str">
        <f t="shared" si="22"/>
        <v/>
      </c>
      <c r="I348" s="35" t="str">
        <f t="shared" si="23"/>
        <v/>
      </c>
      <c r="J348" s="50"/>
      <c r="K348" s="17"/>
    </row>
    <row r="349" spans="1:11">
      <c r="A349" s="6">
        <f t="shared" si="20"/>
        <v>344</v>
      </c>
      <c r="B349" s="49"/>
      <c r="C349" s="35" t="str">
        <f>IFERROR(VLOOKUP(B349,'MASTER RECORD'!$B$5:$W$1000,3,0),"")</f>
        <v/>
      </c>
      <c r="D349" s="35" t="str">
        <f>IFERROR(VLOOKUP(B349,'MASTER RECORD'!$B$5:$W$1000,2,0),"")</f>
        <v/>
      </c>
      <c r="E349" s="36" t="str">
        <f>IFERROR(VLOOKUP(B349,'MASTER RECORD'!$B$5:$W$1000,9,0),"")</f>
        <v/>
      </c>
      <c r="F349" s="18"/>
      <c r="G349" s="18" t="str">
        <f t="shared" si="21"/>
        <v/>
      </c>
      <c r="H349" s="18" t="str">
        <f t="shared" si="22"/>
        <v/>
      </c>
      <c r="I349" s="35" t="str">
        <f t="shared" si="23"/>
        <v/>
      </c>
      <c r="J349" s="50"/>
      <c r="K349" s="17"/>
    </row>
    <row r="350" spans="1:11">
      <c r="A350" s="6">
        <f t="shared" si="20"/>
        <v>345</v>
      </c>
      <c r="B350" s="49"/>
      <c r="C350" s="35" t="str">
        <f>IFERROR(VLOOKUP(B350,'MASTER RECORD'!$B$5:$W$1000,3,0),"")</f>
        <v/>
      </c>
      <c r="D350" s="35" t="str">
        <f>IFERROR(VLOOKUP(B350,'MASTER RECORD'!$B$5:$W$1000,2,0),"")</f>
        <v/>
      </c>
      <c r="E350" s="36" t="str">
        <f>IFERROR(VLOOKUP(B350,'MASTER RECORD'!$B$5:$W$1000,9,0),"")</f>
        <v/>
      </c>
      <c r="F350" s="18"/>
      <c r="G350" s="18" t="str">
        <f t="shared" si="21"/>
        <v/>
      </c>
      <c r="H350" s="18" t="str">
        <f t="shared" si="22"/>
        <v/>
      </c>
      <c r="I350" s="35" t="str">
        <f t="shared" si="23"/>
        <v/>
      </c>
      <c r="J350" s="50"/>
      <c r="K350" s="17"/>
    </row>
    <row r="351" spans="1:11">
      <c r="A351" s="6">
        <f t="shared" si="20"/>
        <v>346</v>
      </c>
      <c r="B351" s="49"/>
      <c r="C351" s="35" t="str">
        <f>IFERROR(VLOOKUP(B351,'MASTER RECORD'!$B$5:$W$1000,3,0),"")</f>
        <v/>
      </c>
      <c r="D351" s="35" t="str">
        <f>IFERROR(VLOOKUP(B351,'MASTER RECORD'!$B$5:$W$1000,2,0),"")</f>
        <v/>
      </c>
      <c r="E351" s="36" t="str">
        <f>IFERROR(VLOOKUP(B351,'MASTER RECORD'!$B$5:$W$1000,9,0),"")</f>
        <v/>
      </c>
      <c r="F351" s="18"/>
      <c r="G351" s="18" t="str">
        <f t="shared" si="21"/>
        <v/>
      </c>
      <c r="H351" s="18" t="str">
        <f t="shared" si="22"/>
        <v/>
      </c>
      <c r="I351" s="35" t="str">
        <f t="shared" si="23"/>
        <v/>
      </c>
      <c r="J351" s="50"/>
      <c r="K351" s="17"/>
    </row>
    <row r="352" spans="1:11">
      <c r="A352" s="6">
        <f t="shared" si="20"/>
        <v>347</v>
      </c>
      <c r="B352" s="49"/>
      <c r="C352" s="35" t="str">
        <f>IFERROR(VLOOKUP(B352,'MASTER RECORD'!$B$5:$W$1000,3,0),"")</f>
        <v/>
      </c>
      <c r="D352" s="35" t="str">
        <f>IFERROR(VLOOKUP(B352,'MASTER RECORD'!$B$5:$W$1000,2,0),"")</f>
        <v/>
      </c>
      <c r="E352" s="36" t="str">
        <f>IFERROR(VLOOKUP(B352,'MASTER RECORD'!$B$5:$W$1000,9,0),"")</f>
        <v/>
      </c>
      <c r="F352" s="18"/>
      <c r="G352" s="18" t="str">
        <f t="shared" si="21"/>
        <v/>
      </c>
      <c r="H352" s="18" t="str">
        <f t="shared" si="22"/>
        <v/>
      </c>
      <c r="I352" s="35" t="str">
        <f t="shared" si="23"/>
        <v/>
      </c>
      <c r="J352" s="50"/>
      <c r="K352" s="17"/>
    </row>
    <row r="353" spans="1:11">
      <c r="A353" s="6">
        <f t="shared" si="20"/>
        <v>348</v>
      </c>
      <c r="B353" s="49"/>
      <c r="C353" s="35" t="str">
        <f>IFERROR(VLOOKUP(B353,'MASTER RECORD'!$B$5:$W$1000,3,0),"")</f>
        <v/>
      </c>
      <c r="D353" s="35" t="str">
        <f>IFERROR(VLOOKUP(B353,'MASTER RECORD'!$B$5:$W$1000,2,0),"")</f>
        <v/>
      </c>
      <c r="E353" s="36" t="str">
        <f>IFERROR(VLOOKUP(B353,'MASTER RECORD'!$B$5:$W$1000,9,0),"")</f>
        <v/>
      </c>
      <c r="F353" s="18"/>
      <c r="G353" s="18" t="str">
        <f t="shared" si="21"/>
        <v/>
      </c>
      <c r="H353" s="18" t="str">
        <f t="shared" si="22"/>
        <v/>
      </c>
      <c r="I353" s="35" t="str">
        <f t="shared" si="23"/>
        <v/>
      </c>
      <c r="J353" s="50"/>
      <c r="K353" s="17"/>
    </row>
    <row r="354" spans="1:11">
      <c r="A354" s="6">
        <f t="shared" si="20"/>
        <v>349</v>
      </c>
      <c r="B354" s="49"/>
      <c r="C354" s="35" t="str">
        <f>IFERROR(VLOOKUP(B354,'MASTER RECORD'!$B$5:$W$1000,3,0),"")</f>
        <v/>
      </c>
      <c r="D354" s="35" t="str">
        <f>IFERROR(VLOOKUP(B354,'MASTER RECORD'!$B$5:$W$1000,2,0),"")</f>
        <v/>
      </c>
      <c r="E354" s="36" t="str">
        <f>IFERROR(VLOOKUP(B354,'MASTER RECORD'!$B$5:$W$1000,9,0),"")</f>
        <v/>
      </c>
      <c r="F354" s="18"/>
      <c r="G354" s="18" t="str">
        <f t="shared" si="21"/>
        <v/>
      </c>
      <c r="H354" s="18" t="str">
        <f t="shared" si="22"/>
        <v/>
      </c>
      <c r="I354" s="35" t="str">
        <f t="shared" si="23"/>
        <v/>
      </c>
      <c r="J354" s="50"/>
      <c r="K354" s="17"/>
    </row>
    <row r="355" spans="1:11">
      <c r="A355" s="6">
        <f t="shared" si="20"/>
        <v>350</v>
      </c>
      <c r="B355" s="49"/>
      <c r="C355" s="35" t="str">
        <f>IFERROR(VLOOKUP(B355,'MASTER RECORD'!$B$5:$W$1000,3,0),"")</f>
        <v/>
      </c>
      <c r="D355" s="35" t="str">
        <f>IFERROR(VLOOKUP(B355,'MASTER RECORD'!$B$5:$W$1000,2,0),"")</f>
        <v/>
      </c>
      <c r="E355" s="36" t="str">
        <f>IFERROR(VLOOKUP(B355,'MASTER RECORD'!$B$5:$W$1000,9,0),"")</f>
        <v/>
      </c>
      <c r="F355" s="18"/>
      <c r="G355" s="18" t="str">
        <f t="shared" si="21"/>
        <v/>
      </c>
      <c r="H355" s="18" t="str">
        <f t="shared" si="22"/>
        <v/>
      </c>
      <c r="I355" s="35" t="str">
        <f t="shared" si="23"/>
        <v/>
      </c>
      <c r="J355" s="50"/>
      <c r="K355" s="17"/>
    </row>
    <row r="356" spans="1:11">
      <c r="A356" s="6">
        <f t="shared" si="20"/>
        <v>351</v>
      </c>
      <c r="B356" s="49"/>
      <c r="C356" s="35" t="str">
        <f>IFERROR(VLOOKUP(B356,'MASTER RECORD'!$B$5:$W$1000,3,0),"")</f>
        <v/>
      </c>
      <c r="D356" s="35" t="str">
        <f>IFERROR(VLOOKUP(B356,'MASTER RECORD'!$B$5:$W$1000,2,0),"")</f>
        <v/>
      </c>
      <c r="E356" s="36" t="str">
        <f>IFERROR(VLOOKUP(B356,'MASTER RECORD'!$B$5:$W$1000,9,0),"")</f>
        <v/>
      </c>
      <c r="F356" s="18"/>
      <c r="G356" s="18" t="str">
        <f t="shared" si="21"/>
        <v/>
      </c>
      <c r="H356" s="18" t="str">
        <f t="shared" si="22"/>
        <v/>
      </c>
      <c r="I356" s="35" t="str">
        <f t="shared" si="23"/>
        <v/>
      </c>
      <c r="J356" s="50"/>
      <c r="K356" s="17"/>
    </row>
    <row r="357" spans="1:11">
      <c r="A357" s="6">
        <f t="shared" si="20"/>
        <v>352</v>
      </c>
      <c r="B357" s="49"/>
      <c r="C357" s="35" t="str">
        <f>IFERROR(VLOOKUP(B357,'MASTER RECORD'!$B$5:$W$1000,3,0),"")</f>
        <v/>
      </c>
      <c r="D357" s="35" t="str">
        <f>IFERROR(VLOOKUP(B357,'MASTER RECORD'!$B$5:$W$1000,2,0),"")</f>
        <v/>
      </c>
      <c r="E357" s="36" t="str">
        <f>IFERROR(VLOOKUP(B357,'MASTER RECORD'!$B$5:$W$1000,9,0),"")</f>
        <v/>
      </c>
      <c r="F357" s="18"/>
      <c r="G357" s="18" t="str">
        <f t="shared" si="21"/>
        <v/>
      </c>
      <c r="H357" s="18" t="str">
        <f t="shared" si="22"/>
        <v/>
      </c>
      <c r="I357" s="35" t="str">
        <f t="shared" si="23"/>
        <v/>
      </c>
      <c r="J357" s="50"/>
      <c r="K357" s="17"/>
    </row>
    <row r="358" spans="1:11">
      <c r="A358" s="6">
        <f t="shared" si="20"/>
        <v>353</v>
      </c>
      <c r="B358" s="49"/>
      <c r="C358" s="35" t="str">
        <f>IFERROR(VLOOKUP(B358,'MASTER RECORD'!$B$5:$W$1000,3,0),"")</f>
        <v/>
      </c>
      <c r="D358" s="35" t="str">
        <f>IFERROR(VLOOKUP(B358,'MASTER RECORD'!$B$5:$W$1000,2,0),"")</f>
        <v/>
      </c>
      <c r="E358" s="36" t="str">
        <f>IFERROR(VLOOKUP(B358,'MASTER RECORD'!$B$5:$W$1000,9,0),"")</f>
        <v/>
      </c>
      <c r="F358" s="18"/>
      <c r="G358" s="18" t="str">
        <f t="shared" si="21"/>
        <v/>
      </c>
      <c r="H358" s="18" t="str">
        <f t="shared" si="22"/>
        <v/>
      </c>
      <c r="I358" s="35" t="str">
        <f t="shared" si="23"/>
        <v/>
      </c>
      <c r="J358" s="50"/>
      <c r="K358" s="17"/>
    </row>
    <row r="359" spans="1:11">
      <c r="A359" s="6">
        <f t="shared" si="20"/>
        <v>354</v>
      </c>
      <c r="B359" s="49"/>
      <c r="C359" s="35" t="str">
        <f>IFERROR(VLOOKUP(B359,'MASTER RECORD'!$B$5:$W$1000,3,0),"")</f>
        <v/>
      </c>
      <c r="D359" s="35" t="str">
        <f>IFERROR(VLOOKUP(B359,'MASTER RECORD'!$B$5:$W$1000,2,0),"")</f>
        <v/>
      </c>
      <c r="E359" s="36" t="str">
        <f>IFERROR(VLOOKUP(B359,'MASTER RECORD'!$B$5:$W$1000,9,0),"")</f>
        <v/>
      </c>
      <c r="F359" s="18"/>
      <c r="G359" s="18" t="str">
        <f t="shared" si="21"/>
        <v/>
      </c>
      <c r="H359" s="18" t="str">
        <f t="shared" si="22"/>
        <v/>
      </c>
      <c r="I359" s="35" t="str">
        <f t="shared" si="23"/>
        <v/>
      </c>
      <c r="J359" s="50"/>
      <c r="K359" s="17"/>
    </row>
    <row r="360" spans="1:11">
      <c r="A360" s="6">
        <f t="shared" si="20"/>
        <v>355</v>
      </c>
      <c r="B360" s="49"/>
      <c r="C360" s="35" t="str">
        <f>IFERROR(VLOOKUP(B360,'MASTER RECORD'!$B$5:$W$1000,3,0),"")</f>
        <v/>
      </c>
      <c r="D360" s="35" t="str">
        <f>IFERROR(VLOOKUP(B360,'MASTER RECORD'!$B$5:$W$1000,2,0),"")</f>
        <v/>
      </c>
      <c r="E360" s="36" t="str">
        <f>IFERROR(VLOOKUP(B360,'MASTER RECORD'!$B$5:$W$1000,9,0),"")</f>
        <v/>
      </c>
      <c r="F360" s="18"/>
      <c r="G360" s="18" t="str">
        <f t="shared" si="21"/>
        <v/>
      </c>
      <c r="H360" s="18" t="str">
        <f t="shared" si="22"/>
        <v/>
      </c>
      <c r="I360" s="35" t="str">
        <f t="shared" si="23"/>
        <v/>
      </c>
      <c r="J360" s="50"/>
      <c r="K360" s="17"/>
    </row>
    <row r="361" spans="1:11">
      <c r="A361" s="6">
        <f t="shared" si="20"/>
        <v>356</v>
      </c>
      <c r="B361" s="49"/>
      <c r="C361" s="35" t="str">
        <f>IFERROR(VLOOKUP(B361,'MASTER RECORD'!$B$5:$W$1000,3,0),"")</f>
        <v/>
      </c>
      <c r="D361" s="35" t="str">
        <f>IFERROR(VLOOKUP(B361,'MASTER RECORD'!$B$5:$W$1000,2,0),"")</f>
        <v/>
      </c>
      <c r="E361" s="36" t="str">
        <f>IFERROR(VLOOKUP(B361,'MASTER RECORD'!$B$5:$W$1000,9,0),"")</f>
        <v/>
      </c>
      <c r="F361" s="18"/>
      <c r="G361" s="18" t="str">
        <f t="shared" si="21"/>
        <v/>
      </c>
      <c r="H361" s="18" t="str">
        <f t="shared" si="22"/>
        <v/>
      </c>
      <c r="I361" s="35" t="str">
        <f t="shared" si="23"/>
        <v/>
      </c>
      <c r="J361" s="50"/>
      <c r="K361" s="17"/>
    </row>
    <row r="362" spans="1:11">
      <c r="A362" s="6">
        <f t="shared" si="20"/>
        <v>357</v>
      </c>
      <c r="B362" s="49"/>
      <c r="C362" s="35" t="str">
        <f>IFERROR(VLOOKUP(B362,'MASTER RECORD'!$B$5:$W$1000,3,0),"")</f>
        <v/>
      </c>
      <c r="D362" s="35" t="str">
        <f>IFERROR(VLOOKUP(B362,'MASTER RECORD'!$B$5:$W$1000,2,0),"")</f>
        <v/>
      </c>
      <c r="E362" s="36" t="str">
        <f>IFERROR(VLOOKUP(B362,'MASTER RECORD'!$B$5:$W$1000,9,0),"")</f>
        <v/>
      </c>
      <c r="F362" s="18"/>
      <c r="G362" s="18" t="str">
        <f t="shared" si="21"/>
        <v/>
      </c>
      <c r="H362" s="18" t="str">
        <f t="shared" si="22"/>
        <v/>
      </c>
      <c r="I362" s="35" t="str">
        <f t="shared" si="23"/>
        <v/>
      </c>
      <c r="J362" s="50"/>
      <c r="K362" s="17"/>
    </row>
    <row r="363" spans="1:11">
      <c r="A363" s="6">
        <f t="shared" si="20"/>
        <v>358</v>
      </c>
      <c r="B363" s="49"/>
      <c r="C363" s="35" t="str">
        <f>IFERROR(VLOOKUP(B363,'MASTER RECORD'!$B$5:$W$1000,3,0),"")</f>
        <v/>
      </c>
      <c r="D363" s="35" t="str">
        <f>IFERROR(VLOOKUP(B363,'MASTER RECORD'!$B$5:$W$1000,2,0),"")</f>
        <v/>
      </c>
      <c r="E363" s="36" t="str">
        <f>IFERROR(VLOOKUP(B363,'MASTER RECORD'!$B$5:$W$1000,9,0),"")</f>
        <v/>
      </c>
      <c r="F363" s="18"/>
      <c r="G363" s="18" t="str">
        <f t="shared" si="21"/>
        <v/>
      </c>
      <c r="H363" s="18" t="str">
        <f t="shared" si="22"/>
        <v/>
      </c>
      <c r="I363" s="35" t="str">
        <f t="shared" si="23"/>
        <v/>
      </c>
      <c r="J363" s="50"/>
      <c r="K363" s="17"/>
    </row>
    <row r="364" spans="1:11">
      <c r="A364" s="6">
        <f t="shared" si="20"/>
        <v>359</v>
      </c>
      <c r="B364" s="49"/>
      <c r="C364" s="35" t="str">
        <f>IFERROR(VLOOKUP(B364,'MASTER RECORD'!$B$5:$W$1000,3,0),"")</f>
        <v/>
      </c>
      <c r="D364" s="35" t="str">
        <f>IFERROR(VLOOKUP(B364,'MASTER RECORD'!$B$5:$W$1000,2,0),"")</f>
        <v/>
      </c>
      <c r="E364" s="36" t="str">
        <f>IFERROR(VLOOKUP(B364,'MASTER RECORD'!$B$5:$W$1000,9,0),"")</f>
        <v/>
      </c>
      <c r="F364" s="18"/>
      <c r="G364" s="18" t="str">
        <f t="shared" si="21"/>
        <v/>
      </c>
      <c r="H364" s="18" t="str">
        <f t="shared" si="22"/>
        <v/>
      </c>
      <c r="I364" s="35" t="str">
        <f t="shared" si="23"/>
        <v/>
      </c>
      <c r="J364" s="50"/>
      <c r="K364" s="17"/>
    </row>
    <row r="365" spans="1:11">
      <c r="A365" s="6">
        <f t="shared" si="20"/>
        <v>360</v>
      </c>
      <c r="B365" s="49"/>
      <c r="C365" s="35" t="str">
        <f>IFERROR(VLOOKUP(B365,'MASTER RECORD'!$B$5:$W$1000,3,0),"")</f>
        <v/>
      </c>
      <c r="D365" s="35" t="str">
        <f>IFERROR(VLOOKUP(B365,'MASTER RECORD'!$B$5:$W$1000,2,0),"")</f>
        <v/>
      </c>
      <c r="E365" s="36" t="str">
        <f>IFERROR(VLOOKUP(B365,'MASTER RECORD'!$B$5:$W$1000,9,0),"")</f>
        <v/>
      </c>
      <c r="F365" s="18"/>
      <c r="G365" s="18" t="str">
        <f t="shared" si="21"/>
        <v/>
      </c>
      <c r="H365" s="18" t="str">
        <f t="shared" si="22"/>
        <v/>
      </c>
      <c r="I365" s="35" t="str">
        <f t="shared" si="23"/>
        <v/>
      </c>
      <c r="J365" s="50"/>
      <c r="K365" s="17"/>
    </row>
    <row r="366" spans="1:11">
      <c r="A366" s="6">
        <f t="shared" si="20"/>
        <v>361</v>
      </c>
      <c r="B366" s="49"/>
      <c r="C366" s="35" t="str">
        <f>IFERROR(VLOOKUP(B366,'MASTER RECORD'!$B$5:$W$1000,3,0),"")</f>
        <v/>
      </c>
      <c r="D366" s="35" t="str">
        <f>IFERROR(VLOOKUP(B366,'MASTER RECORD'!$B$5:$W$1000,2,0),"")</f>
        <v/>
      </c>
      <c r="E366" s="36" t="str">
        <f>IFERROR(VLOOKUP(B366,'MASTER RECORD'!$B$5:$W$1000,9,0),"")</f>
        <v/>
      </c>
      <c r="F366" s="18"/>
      <c r="G366" s="18" t="str">
        <f t="shared" si="21"/>
        <v/>
      </c>
      <c r="H366" s="18" t="str">
        <f t="shared" si="22"/>
        <v/>
      </c>
      <c r="I366" s="35" t="str">
        <f t="shared" si="23"/>
        <v/>
      </c>
      <c r="J366" s="50"/>
      <c r="K366" s="17"/>
    </row>
    <row r="367" spans="1:11">
      <c r="A367" s="6">
        <f t="shared" si="20"/>
        <v>362</v>
      </c>
      <c r="B367" s="49"/>
      <c r="C367" s="35" t="str">
        <f>IFERROR(VLOOKUP(B367,'MASTER RECORD'!$B$5:$W$1000,3,0),"")</f>
        <v/>
      </c>
      <c r="D367" s="35" t="str">
        <f>IFERROR(VLOOKUP(B367,'MASTER RECORD'!$B$5:$W$1000,2,0),"")</f>
        <v/>
      </c>
      <c r="E367" s="36" t="str">
        <f>IFERROR(VLOOKUP(B367,'MASTER RECORD'!$B$5:$W$1000,9,0),"")</f>
        <v/>
      </c>
      <c r="F367" s="18"/>
      <c r="G367" s="18" t="str">
        <f t="shared" si="21"/>
        <v/>
      </c>
      <c r="H367" s="18" t="str">
        <f t="shared" si="22"/>
        <v/>
      </c>
      <c r="I367" s="35" t="str">
        <f t="shared" si="23"/>
        <v/>
      </c>
      <c r="J367" s="50"/>
      <c r="K367" s="17"/>
    </row>
    <row r="368" spans="1:11">
      <c r="A368" s="6">
        <f t="shared" si="20"/>
        <v>363</v>
      </c>
      <c r="B368" s="49"/>
      <c r="C368" s="35" t="str">
        <f>IFERROR(VLOOKUP(B368,'MASTER RECORD'!$B$5:$W$1000,3,0),"")</f>
        <v/>
      </c>
      <c r="D368" s="35" t="str">
        <f>IFERROR(VLOOKUP(B368,'MASTER RECORD'!$B$5:$W$1000,2,0),"")</f>
        <v/>
      </c>
      <c r="E368" s="36" t="str">
        <f>IFERROR(VLOOKUP(B368,'MASTER RECORD'!$B$5:$W$1000,9,0),"")</f>
        <v/>
      </c>
      <c r="F368" s="18"/>
      <c r="G368" s="18" t="str">
        <f t="shared" si="21"/>
        <v/>
      </c>
      <c r="H368" s="18" t="str">
        <f t="shared" si="22"/>
        <v/>
      </c>
      <c r="I368" s="35" t="str">
        <f t="shared" si="23"/>
        <v/>
      </c>
      <c r="J368" s="50"/>
      <c r="K368" s="17"/>
    </row>
    <row r="369" spans="1:11">
      <c r="A369" s="6">
        <f t="shared" si="20"/>
        <v>364</v>
      </c>
      <c r="B369" s="49"/>
      <c r="C369" s="35" t="str">
        <f>IFERROR(VLOOKUP(B369,'MASTER RECORD'!$B$5:$W$1000,3,0),"")</f>
        <v/>
      </c>
      <c r="D369" s="35" t="str">
        <f>IFERROR(VLOOKUP(B369,'MASTER RECORD'!$B$5:$W$1000,2,0),"")</f>
        <v/>
      </c>
      <c r="E369" s="36" t="str">
        <f>IFERROR(VLOOKUP(B369,'MASTER RECORD'!$B$5:$W$1000,9,0),"")</f>
        <v/>
      </c>
      <c r="F369" s="18"/>
      <c r="G369" s="18" t="str">
        <f t="shared" si="21"/>
        <v/>
      </c>
      <c r="H369" s="18" t="str">
        <f t="shared" si="22"/>
        <v/>
      </c>
      <c r="I369" s="35" t="str">
        <f t="shared" si="23"/>
        <v/>
      </c>
      <c r="J369" s="50"/>
      <c r="K369" s="17"/>
    </row>
    <row r="370" spans="1:11">
      <c r="A370" s="6">
        <f t="shared" si="20"/>
        <v>365</v>
      </c>
      <c r="B370" s="49"/>
      <c r="C370" s="35" t="str">
        <f>IFERROR(VLOOKUP(B370,'MASTER RECORD'!$B$5:$W$1000,3,0),"")</f>
        <v/>
      </c>
      <c r="D370" s="35" t="str">
        <f>IFERROR(VLOOKUP(B370,'MASTER RECORD'!$B$5:$W$1000,2,0),"")</f>
        <v/>
      </c>
      <c r="E370" s="36" t="str">
        <f>IFERROR(VLOOKUP(B370,'MASTER RECORD'!$B$5:$W$1000,9,0),"")</f>
        <v/>
      </c>
      <c r="F370" s="18"/>
      <c r="G370" s="18" t="str">
        <f t="shared" si="21"/>
        <v/>
      </c>
      <c r="H370" s="18" t="str">
        <f t="shared" si="22"/>
        <v/>
      </c>
      <c r="I370" s="35" t="str">
        <f t="shared" si="23"/>
        <v/>
      </c>
      <c r="J370" s="50"/>
      <c r="K370" s="17"/>
    </row>
    <row r="371" spans="1:11">
      <c r="A371" s="6">
        <f t="shared" si="20"/>
        <v>366</v>
      </c>
      <c r="B371" s="49"/>
      <c r="C371" s="35" t="str">
        <f>IFERROR(VLOOKUP(B371,'MASTER RECORD'!$B$5:$W$1000,3,0),"")</f>
        <v/>
      </c>
      <c r="D371" s="35" t="str">
        <f>IFERROR(VLOOKUP(B371,'MASTER RECORD'!$B$5:$W$1000,2,0),"")</f>
        <v/>
      </c>
      <c r="E371" s="36" t="str">
        <f>IFERROR(VLOOKUP(B371,'MASTER RECORD'!$B$5:$W$1000,9,0),"")</f>
        <v/>
      </c>
      <c r="F371" s="18"/>
      <c r="G371" s="18" t="str">
        <f t="shared" si="21"/>
        <v/>
      </c>
      <c r="H371" s="18" t="str">
        <f t="shared" si="22"/>
        <v/>
      </c>
      <c r="I371" s="35" t="str">
        <f t="shared" si="23"/>
        <v/>
      </c>
      <c r="J371" s="50"/>
      <c r="K371" s="17"/>
    </row>
    <row r="372" spans="1:11">
      <c r="A372" s="6">
        <f t="shared" si="20"/>
        <v>367</v>
      </c>
      <c r="B372" s="49"/>
      <c r="C372" s="35" t="str">
        <f>IFERROR(VLOOKUP(B372,'MASTER RECORD'!$B$5:$W$1000,3,0),"")</f>
        <v/>
      </c>
      <c r="D372" s="35" t="str">
        <f>IFERROR(VLOOKUP(B372,'MASTER RECORD'!$B$5:$W$1000,2,0),"")</f>
        <v/>
      </c>
      <c r="E372" s="36" t="str">
        <f>IFERROR(VLOOKUP(B372,'MASTER RECORD'!$B$5:$W$1000,9,0),"")</f>
        <v/>
      </c>
      <c r="F372" s="18"/>
      <c r="G372" s="18" t="str">
        <f t="shared" si="21"/>
        <v/>
      </c>
      <c r="H372" s="18" t="str">
        <f t="shared" si="22"/>
        <v/>
      </c>
      <c r="I372" s="35" t="str">
        <f t="shared" si="23"/>
        <v/>
      </c>
      <c r="J372" s="50"/>
      <c r="K372" s="17"/>
    </row>
    <row r="373" spans="1:11">
      <c r="A373" s="6">
        <f t="shared" si="20"/>
        <v>368</v>
      </c>
      <c r="B373" s="49"/>
      <c r="C373" s="35" t="str">
        <f>IFERROR(VLOOKUP(B373,'MASTER RECORD'!$B$5:$W$1000,3,0),"")</f>
        <v/>
      </c>
      <c r="D373" s="35" t="str">
        <f>IFERROR(VLOOKUP(B373,'MASTER RECORD'!$B$5:$W$1000,2,0),"")</f>
        <v/>
      </c>
      <c r="E373" s="36" t="str">
        <f>IFERROR(VLOOKUP(B373,'MASTER RECORD'!$B$5:$W$1000,9,0),"")</f>
        <v/>
      </c>
      <c r="F373" s="18"/>
      <c r="G373" s="18" t="str">
        <f t="shared" si="21"/>
        <v/>
      </c>
      <c r="H373" s="18" t="str">
        <f t="shared" si="22"/>
        <v/>
      </c>
      <c r="I373" s="35" t="str">
        <f t="shared" si="23"/>
        <v/>
      </c>
      <c r="J373" s="50"/>
      <c r="K373" s="17"/>
    </row>
    <row r="374" spans="1:11">
      <c r="A374" s="6">
        <f t="shared" si="20"/>
        <v>369</v>
      </c>
      <c r="B374" s="49"/>
      <c r="C374" s="35" t="str">
        <f>IFERROR(VLOOKUP(B374,'MASTER RECORD'!$B$5:$W$1000,3,0),"")</f>
        <v/>
      </c>
      <c r="D374" s="35" t="str">
        <f>IFERROR(VLOOKUP(B374,'MASTER RECORD'!$B$5:$W$1000,2,0),"")</f>
        <v/>
      </c>
      <c r="E374" s="36" t="str">
        <f>IFERROR(VLOOKUP(B374,'MASTER RECORD'!$B$5:$W$1000,9,0),"")</f>
        <v/>
      </c>
      <c r="F374" s="18"/>
      <c r="G374" s="18" t="str">
        <f t="shared" si="21"/>
        <v/>
      </c>
      <c r="H374" s="18" t="str">
        <f t="shared" si="22"/>
        <v/>
      </c>
      <c r="I374" s="35" t="str">
        <f t="shared" si="23"/>
        <v/>
      </c>
      <c r="J374" s="50"/>
      <c r="K374" s="17"/>
    </row>
    <row r="375" spans="1:11">
      <c r="A375" s="6">
        <f t="shared" si="20"/>
        <v>370</v>
      </c>
      <c r="B375" s="49"/>
      <c r="C375" s="35" t="str">
        <f>IFERROR(VLOOKUP(B375,'MASTER RECORD'!$B$5:$W$1000,3,0),"")</f>
        <v/>
      </c>
      <c r="D375" s="35" t="str">
        <f>IFERROR(VLOOKUP(B375,'MASTER RECORD'!$B$5:$W$1000,2,0),"")</f>
        <v/>
      </c>
      <c r="E375" s="36" t="str">
        <f>IFERROR(VLOOKUP(B375,'MASTER RECORD'!$B$5:$W$1000,9,0),"")</f>
        <v/>
      </c>
      <c r="F375" s="18"/>
      <c r="G375" s="18" t="str">
        <f t="shared" si="21"/>
        <v/>
      </c>
      <c r="H375" s="18" t="str">
        <f t="shared" si="22"/>
        <v/>
      </c>
      <c r="I375" s="35" t="str">
        <f t="shared" si="23"/>
        <v/>
      </c>
      <c r="J375" s="50"/>
      <c r="K375" s="17"/>
    </row>
    <row r="376" spans="1:11">
      <c r="A376" s="6">
        <f t="shared" si="20"/>
        <v>371</v>
      </c>
      <c r="B376" s="49"/>
      <c r="C376" s="35" t="str">
        <f>IFERROR(VLOOKUP(B376,'MASTER RECORD'!$B$5:$W$1000,3,0),"")</f>
        <v/>
      </c>
      <c r="D376" s="35" t="str">
        <f>IFERROR(VLOOKUP(B376,'MASTER RECORD'!$B$5:$W$1000,2,0),"")</f>
        <v/>
      </c>
      <c r="E376" s="36" t="str">
        <f>IFERROR(VLOOKUP(B376,'MASTER RECORD'!$B$5:$W$1000,9,0),"")</f>
        <v/>
      </c>
      <c r="F376" s="18"/>
      <c r="G376" s="18" t="str">
        <f t="shared" si="21"/>
        <v/>
      </c>
      <c r="H376" s="18" t="str">
        <f t="shared" si="22"/>
        <v/>
      </c>
      <c r="I376" s="35" t="str">
        <f t="shared" si="23"/>
        <v/>
      </c>
      <c r="J376" s="50"/>
      <c r="K376" s="17"/>
    </row>
    <row r="377" spans="1:11">
      <c r="A377" s="6">
        <f t="shared" si="20"/>
        <v>372</v>
      </c>
      <c r="B377" s="49"/>
      <c r="C377" s="35" t="str">
        <f>IFERROR(VLOOKUP(B377,'MASTER RECORD'!$B$5:$W$1000,3,0),"")</f>
        <v/>
      </c>
      <c r="D377" s="35" t="str">
        <f>IFERROR(VLOOKUP(B377,'MASTER RECORD'!$B$5:$W$1000,2,0),"")</f>
        <v/>
      </c>
      <c r="E377" s="36" t="str">
        <f>IFERROR(VLOOKUP(B377,'MASTER RECORD'!$B$5:$W$1000,9,0),"")</f>
        <v/>
      </c>
      <c r="F377" s="18"/>
      <c r="G377" s="18" t="str">
        <f t="shared" si="21"/>
        <v/>
      </c>
      <c r="H377" s="18" t="str">
        <f t="shared" si="22"/>
        <v/>
      </c>
      <c r="I377" s="35" t="str">
        <f t="shared" si="23"/>
        <v/>
      </c>
      <c r="J377" s="50"/>
      <c r="K377" s="17"/>
    </row>
    <row r="378" spans="1:11">
      <c r="A378" s="6">
        <f t="shared" si="20"/>
        <v>373</v>
      </c>
      <c r="B378" s="49"/>
      <c r="C378" s="35" t="str">
        <f>IFERROR(VLOOKUP(B378,'MASTER RECORD'!$B$5:$W$1000,3,0),"")</f>
        <v/>
      </c>
      <c r="D378" s="35" t="str">
        <f>IFERROR(VLOOKUP(B378,'MASTER RECORD'!$B$5:$W$1000,2,0),"")</f>
        <v/>
      </c>
      <c r="E378" s="36" t="str">
        <f>IFERROR(VLOOKUP(B378,'MASTER RECORD'!$B$5:$W$1000,9,0),"")</f>
        <v/>
      </c>
      <c r="F378" s="18"/>
      <c r="G378" s="18" t="str">
        <f t="shared" si="21"/>
        <v/>
      </c>
      <c r="H378" s="18" t="str">
        <f t="shared" si="22"/>
        <v/>
      </c>
      <c r="I378" s="35" t="str">
        <f t="shared" si="23"/>
        <v/>
      </c>
      <c r="J378" s="50"/>
      <c r="K378" s="17"/>
    </row>
    <row r="379" spans="1:11">
      <c r="A379" s="6">
        <f t="shared" si="20"/>
        <v>374</v>
      </c>
      <c r="B379" s="49"/>
      <c r="C379" s="35" t="str">
        <f>IFERROR(VLOOKUP(B379,'MASTER RECORD'!$B$5:$W$1000,3,0),"")</f>
        <v/>
      </c>
      <c r="D379" s="35" t="str">
        <f>IFERROR(VLOOKUP(B379,'MASTER RECORD'!$B$5:$W$1000,2,0),"")</f>
        <v/>
      </c>
      <c r="E379" s="36" t="str">
        <f>IFERROR(VLOOKUP(B379,'MASTER RECORD'!$B$5:$W$1000,9,0),"")</f>
        <v/>
      </c>
      <c r="F379" s="18"/>
      <c r="G379" s="18" t="str">
        <f t="shared" si="21"/>
        <v/>
      </c>
      <c r="H379" s="18" t="str">
        <f t="shared" si="22"/>
        <v/>
      </c>
      <c r="I379" s="35" t="str">
        <f t="shared" si="23"/>
        <v/>
      </c>
      <c r="J379" s="50"/>
      <c r="K379" s="17"/>
    </row>
    <row r="380" spans="1:11">
      <c r="A380" s="6">
        <f t="shared" si="20"/>
        <v>375</v>
      </c>
      <c r="B380" s="49"/>
      <c r="C380" s="35" t="str">
        <f>IFERROR(VLOOKUP(B380,'MASTER RECORD'!$B$5:$W$1000,3,0),"")</f>
        <v/>
      </c>
      <c r="D380" s="35" t="str">
        <f>IFERROR(VLOOKUP(B380,'MASTER RECORD'!$B$5:$W$1000,2,0),"")</f>
        <v/>
      </c>
      <c r="E380" s="36" t="str">
        <f>IFERROR(VLOOKUP(B380,'MASTER RECORD'!$B$5:$W$1000,9,0),"")</f>
        <v/>
      </c>
      <c r="F380" s="18"/>
      <c r="G380" s="18" t="str">
        <f t="shared" si="21"/>
        <v/>
      </c>
      <c r="H380" s="18" t="str">
        <f t="shared" si="22"/>
        <v/>
      </c>
      <c r="I380" s="35" t="str">
        <f t="shared" si="23"/>
        <v/>
      </c>
      <c r="J380" s="50"/>
      <c r="K380" s="17"/>
    </row>
    <row r="381" spans="1:11">
      <c r="A381" s="6">
        <f t="shared" si="20"/>
        <v>376</v>
      </c>
      <c r="B381" s="49"/>
      <c r="C381" s="35" t="str">
        <f>IFERROR(VLOOKUP(B381,'MASTER RECORD'!$B$5:$W$1000,3,0),"")</f>
        <v/>
      </c>
      <c r="D381" s="35" t="str">
        <f>IFERROR(VLOOKUP(B381,'MASTER RECORD'!$B$5:$W$1000,2,0),"")</f>
        <v/>
      </c>
      <c r="E381" s="36" t="str">
        <f>IFERROR(VLOOKUP(B381,'MASTER RECORD'!$B$5:$W$1000,9,0),"")</f>
        <v/>
      </c>
      <c r="F381" s="18"/>
      <c r="G381" s="18" t="str">
        <f t="shared" si="21"/>
        <v/>
      </c>
      <c r="H381" s="18" t="str">
        <f t="shared" si="22"/>
        <v/>
      </c>
      <c r="I381" s="35" t="str">
        <f t="shared" si="23"/>
        <v/>
      </c>
      <c r="J381" s="50"/>
      <c r="K381" s="17"/>
    </row>
    <row r="382" spans="1:11">
      <c r="A382" s="6">
        <f t="shared" si="20"/>
        <v>377</v>
      </c>
      <c r="B382" s="49"/>
      <c r="C382" s="35" t="str">
        <f>IFERROR(VLOOKUP(B382,'MASTER RECORD'!$B$5:$W$1000,3,0),"")</f>
        <v/>
      </c>
      <c r="D382" s="35" t="str">
        <f>IFERROR(VLOOKUP(B382,'MASTER RECORD'!$B$5:$W$1000,2,0),"")</f>
        <v/>
      </c>
      <c r="E382" s="36" t="str">
        <f>IFERROR(VLOOKUP(B382,'MASTER RECORD'!$B$5:$W$1000,9,0),"")</f>
        <v/>
      </c>
      <c r="F382" s="18"/>
      <c r="G382" s="18" t="str">
        <f t="shared" si="21"/>
        <v/>
      </c>
      <c r="H382" s="18" t="str">
        <f t="shared" si="22"/>
        <v/>
      </c>
      <c r="I382" s="35" t="str">
        <f t="shared" si="23"/>
        <v/>
      </c>
      <c r="J382" s="50"/>
      <c r="K382" s="17"/>
    </row>
    <row r="383" spans="1:11">
      <c r="A383" s="6">
        <f t="shared" si="20"/>
        <v>378</v>
      </c>
      <c r="B383" s="49"/>
      <c r="C383" s="35" t="str">
        <f>IFERROR(VLOOKUP(B383,'MASTER RECORD'!$B$5:$W$1000,3,0),"")</f>
        <v/>
      </c>
      <c r="D383" s="35" t="str">
        <f>IFERROR(VLOOKUP(B383,'MASTER RECORD'!$B$5:$W$1000,2,0),"")</f>
        <v/>
      </c>
      <c r="E383" s="36" t="str">
        <f>IFERROR(VLOOKUP(B383,'MASTER RECORD'!$B$5:$W$1000,9,0),"")</f>
        <v/>
      </c>
      <c r="F383" s="18"/>
      <c r="G383" s="18" t="str">
        <f t="shared" si="21"/>
        <v/>
      </c>
      <c r="H383" s="18" t="str">
        <f t="shared" si="22"/>
        <v/>
      </c>
      <c r="I383" s="35" t="str">
        <f t="shared" si="23"/>
        <v/>
      </c>
      <c r="J383" s="50"/>
      <c r="K383" s="17"/>
    </row>
    <row r="384" spans="1:11">
      <c r="A384" s="6">
        <f t="shared" si="20"/>
        <v>379</v>
      </c>
      <c r="B384" s="49"/>
      <c r="C384" s="35" t="str">
        <f>IFERROR(VLOOKUP(B384,'MASTER RECORD'!$B$5:$W$1000,3,0),"")</f>
        <v/>
      </c>
      <c r="D384" s="35" t="str">
        <f>IFERROR(VLOOKUP(B384,'MASTER RECORD'!$B$5:$W$1000,2,0),"")</f>
        <v/>
      </c>
      <c r="E384" s="36" t="str">
        <f>IFERROR(VLOOKUP(B384,'MASTER RECORD'!$B$5:$W$1000,9,0),"")</f>
        <v/>
      </c>
      <c r="F384" s="18"/>
      <c r="G384" s="18" t="str">
        <f t="shared" si="21"/>
        <v/>
      </c>
      <c r="H384" s="18" t="str">
        <f t="shared" si="22"/>
        <v/>
      </c>
      <c r="I384" s="35" t="str">
        <f t="shared" si="23"/>
        <v/>
      </c>
      <c r="J384" s="50"/>
      <c r="K384" s="17"/>
    </row>
    <row r="385" spans="1:11">
      <c r="A385" s="6">
        <f t="shared" si="20"/>
        <v>380</v>
      </c>
      <c r="B385" s="49"/>
      <c r="C385" s="35" t="str">
        <f>IFERROR(VLOOKUP(B385,'MASTER RECORD'!$B$5:$W$1000,3,0),"")</f>
        <v/>
      </c>
      <c r="D385" s="35" t="str">
        <f>IFERROR(VLOOKUP(B385,'MASTER RECORD'!$B$5:$W$1000,2,0),"")</f>
        <v/>
      </c>
      <c r="E385" s="36" t="str">
        <f>IFERROR(VLOOKUP(B385,'MASTER RECORD'!$B$5:$W$1000,9,0),"")</f>
        <v/>
      </c>
      <c r="F385" s="18"/>
      <c r="G385" s="18" t="str">
        <f t="shared" si="21"/>
        <v/>
      </c>
      <c r="H385" s="18" t="str">
        <f t="shared" si="22"/>
        <v/>
      </c>
      <c r="I385" s="35" t="str">
        <f t="shared" si="23"/>
        <v/>
      </c>
      <c r="J385" s="50"/>
      <c r="K385" s="17"/>
    </row>
    <row r="386" spans="1:11">
      <c r="A386" s="6">
        <f t="shared" si="20"/>
        <v>381</v>
      </c>
      <c r="B386" s="49"/>
      <c r="C386" s="35" t="str">
        <f>IFERROR(VLOOKUP(B386,'MASTER RECORD'!$B$5:$W$1000,3,0),"")</f>
        <v/>
      </c>
      <c r="D386" s="35" t="str">
        <f>IFERROR(VLOOKUP(B386,'MASTER RECORD'!$B$5:$W$1000,2,0),"")</f>
        <v/>
      </c>
      <c r="E386" s="36" t="str">
        <f>IFERROR(VLOOKUP(B386,'MASTER RECORD'!$B$5:$W$1000,9,0),"")</f>
        <v/>
      </c>
      <c r="F386" s="18"/>
      <c r="G386" s="18" t="str">
        <f t="shared" si="21"/>
        <v/>
      </c>
      <c r="H386" s="18" t="str">
        <f t="shared" si="22"/>
        <v/>
      </c>
      <c r="I386" s="35" t="str">
        <f t="shared" si="23"/>
        <v/>
      </c>
      <c r="J386" s="50"/>
      <c r="K386" s="17"/>
    </row>
    <row r="387" spans="1:11">
      <c r="A387" s="6">
        <f t="shared" si="20"/>
        <v>382</v>
      </c>
      <c r="B387" s="49"/>
      <c r="C387" s="35" t="str">
        <f>IFERROR(VLOOKUP(B387,'MASTER RECORD'!$B$5:$W$1000,3,0),"")</f>
        <v/>
      </c>
      <c r="D387" s="35" t="str">
        <f>IFERROR(VLOOKUP(B387,'MASTER RECORD'!$B$5:$W$1000,2,0),"")</f>
        <v/>
      </c>
      <c r="E387" s="36" t="str">
        <f>IFERROR(VLOOKUP(B387,'MASTER RECORD'!$B$5:$W$1000,9,0),"")</f>
        <v/>
      </c>
      <c r="F387" s="18"/>
      <c r="G387" s="18" t="str">
        <f t="shared" si="21"/>
        <v/>
      </c>
      <c r="H387" s="18" t="str">
        <f t="shared" si="22"/>
        <v/>
      </c>
      <c r="I387" s="35" t="str">
        <f t="shared" si="23"/>
        <v/>
      </c>
      <c r="J387" s="50"/>
      <c r="K387" s="17"/>
    </row>
    <row r="388" spans="1:11">
      <c r="A388" s="6">
        <f t="shared" si="20"/>
        <v>383</v>
      </c>
      <c r="B388" s="49"/>
      <c r="C388" s="35" t="str">
        <f>IFERROR(VLOOKUP(B388,'MASTER RECORD'!$B$5:$W$1000,3,0),"")</f>
        <v/>
      </c>
      <c r="D388" s="35" t="str">
        <f>IFERROR(VLOOKUP(B388,'MASTER RECORD'!$B$5:$W$1000,2,0),"")</f>
        <v/>
      </c>
      <c r="E388" s="36" t="str">
        <f>IFERROR(VLOOKUP(B388,'MASTER RECORD'!$B$5:$W$1000,9,0),"")</f>
        <v/>
      </c>
      <c r="F388" s="18"/>
      <c r="G388" s="18" t="str">
        <f t="shared" si="21"/>
        <v/>
      </c>
      <c r="H388" s="18" t="str">
        <f t="shared" si="22"/>
        <v/>
      </c>
      <c r="I388" s="35" t="str">
        <f t="shared" si="23"/>
        <v/>
      </c>
      <c r="J388" s="50"/>
      <c r="K388" s="17"/>
    </row>
    <row r="389" spans="1:11">
      <c r="A389" s="6">
        <f t="shared" si="20"/>
        <v>384</v>
      </c>
      <c r="B389" s="49"/>
      <c r="C389" s="35" t="str">
        <f>IFERROR(VLOOKUP(B389,'MASTER RECORD'!$B$5:$W$1000,3,0),"")</f>
        <v/>
      </c>
      <c r="D389" s="35" t="str">
        <f>IFERROR(VLOOKUP(B389,'MASTER RECORD'!$B$5:$W$1000,2,0),"")</f>
        <v/>
      </c>
      <c r="E389" s="36" t="str">
        <f>IFERROR(VLOOKUP(B389,'MASTER RECORD'!$B$5:$W$1000,9,0),"")</f>
        <v/>
      </c>
      <c r="F389" s="18"/>
      <c r="G389" s="18" t="str">
        <f t="shared" si="21"/>
        <v/>
      </c>
      <c r="H389" s="18" t="str">
        <f t="shared" si="22"/>
        <v/>
      </c>
      <c r="I389" s="35" t="str">
        <f t="shared" si="23"/>
        <v/>
      </c>
      <c r="J389" s="50"/>
      <c r="K389" s="17"/>
    </row>
    <row r="390" spans="1:11">
      <c r="A390" s="6">
        <f t="shared" si="20"/>
        <v>385</v>
      </c>
      <c r="B390" s="49"/>
      <c r="C390" s="35" t="str">
        <f>IFERROR(VLOOKUP(B390,'MASTER RECORD'!$B$5:$W$1000,3,0),"")</f>
        <v/>
      </c>
      <c r="D390" s="35" t="str">
        <f>IFERROR(VLOOKUP(B390,'MASTER RECORD'!$B$5:$W$1000,2,0),"")</f>
        <v/>
      </c>
      <c r="E390" s="36" t="str">
        <f>IFERROR(VLOOKUP(B390,'MASTER RECORD'!$B$5:$W$1000,9,0),"")</f>
        <v/>
      </c>
      <c r="F390" s="18"/>
      <c r="G390" s="18" t="str">
        <f t="shared" si="21"/>
        <v/>
      </c>
      <c r="H390" s="18" t="str">
        <f t="shared" si="22"/>
        <v/>
      </c>
      <c r="I390" s="35" t="str">
        <f t="shared" si="23"/>
        <v/>
      </c>
      <c r="J390" s="50"/>
      <c r="K390" s="17"/>
    </row>
    <row r="391" spans="1:11">
      <c r="A391" s="6">
        <f t="shared" ref="A391:A454" si="24">ROW(A386)</f>
        <v>386</v>
      </c>
      <c r="B391" s="49"/>
      <c r="C391" s="35" t="str">
        <f>IFERROR(VLOOKUP(B391,'MASTER RECORD'!$B$5:$W$1000,3,0),"")</f>
        <v/>
      </c>
      <c r="D391" s="35" t="str">
        <f>IFERROR(VLOOKUP(B391,'MASTER RECORD'!$B$5:$W$1000,2,0),"")</f>
        <v/>
      </c>
      <c r="E391" s="36" t="str">
        <f>IFERROR(VLOOKUP(B391,'MASTER RECORD'!$B$5:$W$1000,9,0),"")</f>
        <v/>
      </c>
      <c r="F391" s="18"/>
      <c r="G391" s="18" t="str">
        <f t="shared" ref="G391:G454" si="25">IF($F391=0,"",TEXT($F391,"mmmm"))</f>
        <v/>
      </c>
      <c r="H391" s="18" t="str">
        <f t="shared" ref="H391:H454" si="26">IF($F391=0,"",TEXT($F391,"yyyy"))</f>
        <v/>
      </c>
      <c r="I391" s="35" t="str">
        <f t="shared" ref="I391:I454" si="27">IFERROR(DATEDIF(E391,F391,"Y")&amp;"."&amp;DATEDIF(E391,F391,"YM"),"")</f>
        <v/>
      </c>
      <c r="J391" s="50"/>
      <c r="K391" s="17"/>
    </row>
    <row r="392" spans="1:11">
      <c r="A392" s="6">
        <f t="shared" si="24"/>
        <v>387</v>
      </c>
      <c r="B392" s="49"/>
      <c r="C392" s="35" t="str">
        <f>IFERROR(VLOOKUP(B392,'MASTER RECORD'!$B$5:$W$1000,3,0),"")</f>
        <v/>
      </c>
      <c r="D392" s="35" t="str">
        <f>IFERROR(VLOOKUP(B392,'MASTER RECORD'!$B$5:$W$1000,2,0),"")</f>
        <v/>
      </c>
      <c r="E392" s="36" t="str">
        <f>IFERROR(VLOOKUP(B392,'MASTER RECORD'!$B$5:$W$1000,9,0),"")</f>
        <v/>
      </c>
      <c r="F392" s="18"/>
      <c r="G392" s="18" t="str">
        <f t="shared" si="25"/>
        <v/>
      </c>
      <c r="H392" s="18" t="str">
        <f t="shared" si="26"/>
        <v/>
      </c>
      <c r="I392" s="35" t="str">
        <f t="shared" si="27"/>
        <v/>
      </c>
      <c r="J392" s="50"/>
      <c r="K392" s="17"/>
    </row>
    <row r="393" spans="1:11">
      <c r="A393" s="6">
        <f t="shared" si="24"/>
        <v>388</v>
      </c>
      <c r="B393" s="49"/>
      <c r="C393" s="35" t="str">
        <f>IFERROR(VLOOKUP(B393,'MASTER RECORD'!$B$5:$W$1000,3,0),"")</f>
        <v/>
      </c>
      <c r="D393" s="35" t="str">
        <f>IFERROR(VLOOKUP(B393,'MASTER RECORD'!$B$5:$W$1000,2,0),"")</f>
        <v/>
      </c>
      <c r="E393" s="36" t="str">
        <f>IFERROR(VLOOKUP(B393,'MASTER RECORD'!$B$5:$W$1000,9,0),"")</f>
        <v/>
      </c>
      <c r="F393" s="18"/>
      <c r="G393" s="18" t="str">
        <f t="shared" si="25"/>
        <v/>
      </c>
      <c r="H393" s="18" t="str">
        <f t="shared" si="26"/>
        <v/>
      </c>
      <c r="I393" s="35" t="str">
        <f t="shared" si="27"/>
        <v/>
      </c>
      <c r="J393" s="50"/>
      <c r="K393" s="17"/>
    </row>
    <row r="394" spans="1:11">
      <c r="A394" s="6">
        <f t="shared" si="24"/>
        <v>389</v>
      </c>
      <c r="B394" s="49"/>
      <c r="C394" s="35" t="str">
        <f>IFERROR(VLOOKUP(B394,'MASTER RECORD'!$B$5:$W$1000,3,0),"")</f>
        <v/>
      </c>
      <c r="D394" s="35" t="str">
        <f>IFERROR(VLOOKUP(B394,'MASTER RECORD'!$B$5:$W$1000,2,0),"")</f>
        <v/>
      </c>
      <c r="E394" s="36" t="str">
        <f>IFERROR(VLOOKUP(B394,'MASTER RECORD'!$B$5:$W$1000,9,0),"")</f>
        <v/>
      </c>
      <c r="F394" s="18"/>
      <c r="G394" s="18" t="str">
        <f t="shared" si="25"/>
        <v/>
      </c>
      <c r="H394" s="18" t="str">
        <f t="shared" si="26"/>
        <v/>
      </c>
      <c r="I394" s="35" t="str">
        <f t="shared" si="27"/>
        <v/>
      </c>
      <c r="J394" s="50"/>
      <c r="K394" s="17"/>
    </row>
    <row r="395" spans="1:11">
      <c r="A395" s="6">
        <f t="shared" si="24"/>
        <v>390</v>
      </c>
      <c r="B395" s="49"/>
      <c r="C395" s="35" t="str">
        <f>IFERROR(VLOOKUP(B395,'MASTER RECORD'!$B$5:$W$1000,3,0),"")</f>
        <v/>
      </c>
      <c r="D395" s="35" t="str">
        <f>IFERROR(VLOOKUP(B395,'MASTER RECORD'!$B$5:$W$1000,2,0),"")</f>
        <v/>
      </c>
      <c r="E395" s="36" t="str">
        <f>IFERROR(VLOOKUP(B395,'MASTER RECORD'!$B$5:$W$1000,9,0),"")</f>
        <v/>
      </c>
      <c r="F395" s="18"/>
      <c r="G395" s="18" t="str">
        <f t="shared" si="25"/>
        <v/>
      </c>
      <c r="H395" s="18" t="str">
        <f t="shared" si="26"/>
        <v/>
      </c>
      <c r="I395" s="35" t="str">
        <f t="shared" si="27"/>
        <v/>
      </c>
      <c r="J395" s="50"/>
      <c r="K395" s="17"/>
    </row>
    <row r="396" spans="1:11">
      <c r="A396" s="6">
        <f t="shared" si="24"/>
        <v>391</v>
      </c>
      <c r="B396" s="49"/>
      <c r="C396" s="35" t="str">
        <f>IFERROR(VLOOKUP(B396,'MASTER RECORD'!$B$5:$W$1000,3,0),"")</f>
        <v/>
      </c>
      <c r="D396" s="35" t="str">
        <f>IFERROR(VLOOKUP(B396,'MASTER RECORD'!$B$5:$W$1000,2,0),"")</f>
        <v/>
      </c>
      <c r="E396" s="36" t="str">
        <f>IFERROR(VLOOKUP(B396,'MASTER RECORD'!$B$5:$W$1000,9,0),"")</f>
        <v/>
      </c>
      <c r="F396" s="18"/>
      <c r="G396" s="18" t="str">
        <f t="shared" si="25"/>
        <v/>
      </c>
      <c r="H396" s="18" t="str">
        <f t="shared" si="26"/>
        <v/>
      </c>
      <c r="I396" s="35" t="str">
        <f t="shared" si="27"/>
        <v/>
      </c>
      <c r="J396" s="50"/>
      <c r="K396" s="17"/>
    </row>
    <row r="397" spans="1:11">
      <c r="A397" s="6">
        <f t="shared" si="24"/>
        <v>392</v>
      </c>
      <c r="B397" s="49"/>
      <c r="C397" s="35" t="str">
        <f>IFERROR(VLOOKUP(B397,'MASTER RECORD'!$B$5:$W$1000,3,0),"")</f>
        <v/>
      </c>
      <c r="D397" s="35" t="str">
        <f>IFERROR(VLOOKUP(B397,'MASTER RECORD'!$B$5:$W$1000,2,0),"")</f>
        <v/>
      </c>
      <c r="E397" s="36" t="str">
        <f>IFERROR(VLOOKUP(B397,'MASTER RECORD'!$B$5:$W$1000,9,0),"")</f>
        <v/>
      </c>
      <c r="F397" s="18"/>
      <c r="G397" s="18" t="str">
        <f t="shared" si="25"/>
        <v/>
      </c>
      <c r="H397" s="18" t="str">
        <f t="shared" si="26"/>
        <v/>
      </c>
      <c r="I397" s="35" t="str">
        <f t="shared" si="27"/>
        <v/>
      </c>
      <c r="J397" s="50"/>
      <c r="K397" s="17"/>
    </row>
    <row r="398" spans="1:11">
      <c r="A398" s="6">
        <f t="shared" si="24"/>
        <v>393</v>
      </c>
      <c r="B398" s="49"/>
      <c r="C398" s="35" t="str">
        <f>IFERROR(VLOOKUP(B398,'MASTER RECORD'!$B$5:$W$1000,3,0),"")</f>
        <v/>
      </c>
      <c r="D398" s="35" t="str">
        <f>IFERROR(VLOOKUP(B398,'MASTER RECORD'!$B$5:$W$1000,2,0),"")</f>
        <v/>
      </c>
      <c r="E398" s="36" t="str">
        <f>IFERROR(VLOOKUP(B398,'MASTER RECORD'!$B$5:$W$1000,9,0),"")</f>
        <v/>
      </c>
      <c r="F398" s="18"/>
      <c r="G398" s="18" t="str">
        <f t="shared" si="25"/>
        <v/>
      </c>
      <c r="H398" s="18" t="str">
        <f t="shared" si="26"/>
        <v/>
      </c>
      <c r="I398" s="35" t="str">
        <f t="shared" si="27"/>
        <v/>
      </c>
      <c r="J398" s="50"/>
      <c r="K398" s="17"/>
    </row>
    <row r="399" spans="1:11">
      <c r="A399" s="6">
        <f t="shared" si="24"/>
        <v>394</v>
      </c>
      <c r="B399" s="49"/>
      <c r="C399" s="35" t="str">
        <f>IFERROR(VLOOKUP(B399,'MASTER RECORD'!$B$5:$W$1000,3,0),"")</f>
        <v/>
      </c>
      <c r="D399" s="35" t="str">
        <f>IFERROR(VLOOKUP(B399,'MASTER RECORD'!$B$5:$W$1000,2,0),"")</f>
        <v/>
      </c>
      <c r="E399" s="36" t="str">
        <f>IFERROR(VLOOKUP(B399,'MASTER RECORD'!$B$5:$W$1000,9,0),"")</f>
        <v/>
      </c>
      <c r="F399" s="18"/>
      <c r="G399" s="18" t="str">
        <f t="shared" si="25"/>
        <v/>
      </c>
      <c r="H399" s="18" t="str">
        <f t="shared" si="26"/>
        <v/>
      </c>
      <c r="I399" s="35" t="str">
        <f t="shared" si="27"/>
        <v/>
      </c>
      <c r="J399" s="50"/>
      <c r="K399" s="17"/>
    </row>
    <row r="400" spans="1:11">
      <c r="A400" s="6">
        <f t="shared" si="24"/>
        <v>395</v>
      </c>
      <c r="B400" s="49"/>
      <c r="C400" s="35" t="str">
        <f>IFERROR(VLOOKUP(B400,'MASTER RECORD'!$B$5:$W$1000,3,0),"")</f>
        <v/>
      </c>
      <c r="D400" s="35" t="str">
        <f>IFERROR(VLOOKUP(B400,'MASTER RECORD'!$B$5:$W$1000,2,0),"")</f>
        <v/>
      </c>
      <c r="E400" s="36" t="str">
        <f>IFERROR(VLOOKUP(B400,'MASTER RECORD'!$B$5:$W$1000,9,0),"")</f>
        <v/>
      </c>
      <c r="F400" s="18"/>
      <c r="G400" s="18" t="str">
        <f t="shared" si="25"/>
        <v/>
      </c>
      <c r="H400" s="18" t="str">
        <f t="shared" si="26"/>
        <v/>
      </c>
      <c r="I400" s="35" t="str">
        <f t="shared" si="27"/>
        <v/>
      </c>
      <c r="J400" s="50"/>
      <c r="K400" s="17"/>
    </row>
    <row r="401" spans="1:11">
      <c r="A401" s="6">
        <f t="shared" si="24"/>
        <v>396</v>
      </c>
      <c r="B401" s="49"/>
      <c r="C401" s="35" t="str">
        <f>IFERROR(VLOOKUP(B401,'MASTER RECORD'!$B$5:$W$1000,3,0),"")</f>
        <v/>
      </c>
      <c r="D401" s="35" t="str">
        <f>IFERROR(VLOOKUP(B401,'MASTER RECORD'!$B$5:$W$1000,2,0),"")</f>
        <v/>
      </c>
      <c r="E401" s="36" t="str">
        <f>IFERROR(VLOOKUP(B401,'MASTER RECORD'!$B$5:$W$1000,9,0),"")</f>
        <v/>
      </c>
      <c r="F401" s="18"/>
      <c r="G401" s="18" t="str">
        <f t="shared" si="25"/>
        <v/>
      </c>
      <c r="H401" s="18" t="str">
        <f t="shared" si="26"/>
        <v/>
      </c>
      <c r="I401" s="35" t="str">
        <f t="shared" si="27"/>
        <v/>
      </c>
      <c r="J401" s="50"/>
      <c r="K401" s="17"/>
    </row>
    <row r="402" spans="1:11">
      <c r="A402" s="6">
        <f t="shared" si="24"/>
        <v>397</v>
      </c>
      <c r="B402" s="49"/>
      <c r="C402" s="35" t="str">
        <f>IFERROR(VLOOKUP(B402,'MASTER RECORD'!$B$5:$W$1000,3,0),"")</f>
        <v/>
      </c>
      <c r="D402" s="35" t="str">
        <f>IFERROR(VLOOKUP(B402,'MASTER RECORD'!$B$5:$W$1000,2,0),"")</f>
        <v/>
      </c>
      <c r="E402" s="36" t="str">
        <f>IFERROR(VLOOKUP(B402,'MASTER RECORD'!$B$5:$W$1000,9,0),"")</f>
        <v/>
      </c>
      <c r="F402" s="18"/>
      <c r="G402" s="18" t="str">
        <f t="shared" si="25"/>
        <v/>
      </c>
      <c r="H402" s="18" t="str">
        <f t="shared" si="26"/>
        <v/>
      </c>
      <c r="I402" s="35" t="str">
        <f t="shared" si="27"/>
        <v/>
      </c>
      <c r="J402" s="50"/>
      <c r="K402" s="17"/>
    </row>
    <row r="403" spans="1:11">
      <c r="A403" s="6">
        <f t="shared" si="24"/>
        <v>398</v>
      </c>
      <c r="B403" s="49"/>
      <c r="C403" s="35" t="str">
        <f>IFERROR(VLOOKUP(B403,'MASTER RECORD'!$B$5:$W$1000,3,0),"")</f>
        <v/>
      </c>
      <c r="D403" s="35" t="str">
        <f>IFERROR(VLOOKUP(B403,'MASTER RECORD'!$B$5:$W$1000,2,0),"")</f>
        <v/>
      </c>
      <c r="E403" s="36" t="str">
        <f>IFERROR(VLOOKUP(B403,'MASTER RECORD'!$B$5:$W$1000,9,0),"")</f>
        <v/>
      </c>
      <c r="F403" s="18"/>
      <c r="G403" s="18" t="str">
        <f t="shared" si="25"/>
        <v/>
      </c>
      <c r="H403" s="18" t="str">
        <f t="shared" si="26"/>
        <v/>
      </c>
      <c r="I403" s="35" t="str">
        <f t="shared" si="27"/>
        <v/>
      </c>
      <c r="J403" s="50"/>
      <c r="K403" s="17"/>
    </row>
    <row r="404" spans="1:11">
      <c r="A404" s="6">
        <f t="shared" si="24"/>
        <v>399</v>
      </c>
      <c r="B404" s="49"/>
      <c r="C404" s="35" t="str">
        <f>IFERROR(VLOOKUP(B404,'MASTER RECORD'!$B$5:$W$1000,3,0),"")</f>
        <v/>
      </c>
      <c r="D404" s="35" t="str">
        <f>IFERROR(VLOOKUP(B404,'MASTER RECORD'!$B$5:$W$1000,2,0),"")</f>
        <v/>
      </c>
      <c r="E404" s="36" t="str">
        <f>IFERROR(VLOOKUP(B404,'MASTER RECORD'!$B$5:$W$1000,9,0),"")</f>
        <v/>
      </c>
      <c r="F404" s="18"/>
      <c r="G404" s="18" t="str">
        <f t="shared" si="25"/>
        <v/>
      </c>
      <c r="H404" s="18" t="str">
        <f t="shared" si="26"/>
        <v/>
      </c>
      <c r="I404" s="35" t="str">
        <f t="shared" si="27"/>
        <v/>
      </c>
      <c r="J404" s="50"/>
      <c r="K404" s="17"/>
    </row>
    <row r="405" spans="1:11">
      <c r="A405" s="6">
        <f t="shared" si="24"/>
        <v>400</v>
      </c>
      <c r="B405" s="49"/>
      <c r="C405" s="35" t="str">
        <f>IFERROR(VLOOKUP(B405,'MASTER RECORD'!$B$5:$W$1000,3,0),"")</f>
        <v/>
      </c>
      <c r="D405" s="35" t="str">
        <f>IFERROR(VLOOKUP(B405,'MASTER RECORD'!$B$5:$W$1000,2,0),"")</f>
        <v/>
      </c>
      <c r="E405" s="36" t="str">
        <f>IFERROR(VLOOKUP(B405,'MASTER RECORD'!$B$5:$W$1000,9,0),"")</f>
        <v/>
      </c>
      <c r="F405" s="18"/>
      <c r="G405" s="18" t="str">
        <f t="shared" si="25"/>
        <v/>
      </c>
      <c r="H405" s="18" t="str">
        <f t="shared" si="26"/>
        <v/>
      </c>
      <c r="I405" s="35" t="str">
        <f t="shared" si="27"/>
        <v/>
      </c>
      <c r="J405" s="50"/>
      <c r="K405" s="17"/>
    </row>
    <row r="406" spans="1:11">
      <c r="A406" s="6">
        <f t="shared" si="24"/>
        <v>401</v>
      </c>
      <c r="B406" s="49"/>
      <c r="C406" s="35" t="str">
        <f>IFERROR(VLOOKUP(B406,'MASTER RECORD'!$B$5:$W$1000,3,0),"")</f>
        <v/>
      </c>
      <c r="D406" s="35" t="str">
        <f>IFERROR(VLOOKUP(B406,'MASTER RECORD'!$B$5:$W$1000,2,0),"")</f>
        <v/>
      </c>
      <c r="E406" s="36" t="str">
        <f>IFERROR(VLOOKUP(B406,'MASTER RECORD'!$B$5:$W$1000,9,0),"")</f>
        <v/>
      </c>
      <c r="F406" s="18"/>
      <c r="G406" s="18" t="str">
        <f t="shared" si="25"/>
        <v/>
      </c>
      <c r="H406" s="18" t="str">
        <f t="shared" si="26"/>
        <v/>
      </c>
      <c r="I406" s="35" t="str">
        <f t="shared" si="27"/>
        <v/>
      </c>
      <c r="J406" s="50"/>
      <c r="K406" s="17"/>
    </row>
    <row r="407" spans="1:11">
      <c r="A407" s="6">
        <f t="shared" si="24"/>
        <v>402</v>
      </c>
      <c r="B407" s="49"/>
      <c r="C407" s="35" t="str">
        <f>IFERROR(VLOOKUP(B407,'MASTER RECORD'!$B$5:$W$1000,3,0),"")</f>
        <v/>
      </c>
      <c r="D407" s="35" t="str">
        <f>IFERROR(VLOOKUP(B407,'MASTER RECORD'!$B$5:$W$1000,2,0),"")</f>
        <v/>
      </c>
      <c r="E407" s="36" t="str">
        <f>IFERROR(VLOOKUP(B407,'MASTER RECORD'!$B$5:$W$1000,9,0),"")</f>
        <v/>
      </c>
      <c r="F407" s="18"/>
      <c r="G407" s="18" t="str">
        <f t="shared" si="25"/>
        <v/>
      </c>
      <c r="H407" s="18" t="str">
        <f t="shared" si="26"/>
        <v/>
      </c>
      <c r="I407" s="35" t="str">
        <f t="shared" si="27"/>
        <v/>
      </c>
      <c r="J407" s="50"/>
      <c r="K407" s="17"/>
    </row>
    <row r="408" spans="1:11">
      <c r="A408" s="6">
        <f t="shared" si="24"/>
        <v>403</v>
      </c>
      <c r="B408" s="49"/>
      <c r="C408" s="35" t="str">
        <f>IFERROR(VLOOKUP(B408,'MASTER RECORD'!$B$5:$W$1000,3,0),"")</f>
        <v/>
      </c>
      <c r="D408" s="35" t="str">
        <f>IFERROR(VLOOKUP(B408,'MASTER RECORD'!$B$5:$W$1000,2,0),"")</f>
        <v/>
      </c>
      <c r="E408" s="36" t="str">
        <f>IFERROR(VLOOKUP(B408,'MASTER RECORD'!$B$5:$W$1000,9,0),"")</f>
        <v/>
      </c>
      <c r="F408" s="18"/>
      <c r="G408" s="18" t="str">
        <f t="shared" si="25"/>
        <v/>
      </c>
      <c r="H408" s="18" t="str">
        <f t="shared" si="26"/>
        <v/>
      </c>
      <c r="I408" s="35" t="str">
        <f t="shared" si="27"/>
        <v/>
      </c>
      <c r="J408" s="50"/>
      <c r="K408" s="17"/>
    </row>
    <row r="409" spans="1:11">
      <c r="A409" s="6">
        <f t="shared" si="24"/>
        <v>404</v>
      </c>
      <c r="B409" s="49"/>
      <c r="C409" s="35" t="str">
        <f>IFERROR(VLOOKUP(B409,'MASTER RECORD'!$B$5:$W$1000,3,0),"")</f>
        <v/>
      </c>
      <c r="D409" s="35" t="str">
        <f>IFERROR(VLOOKUP(B409,'MASTER RECORD'!$B$5:$W$1000,2,0),"")</f>
        <v/>
      </c>
      <c r="E409" s="36" t="str">
        <f>IFERROR(VLOOKUP(B409,'MASTER RECORD'!$B$5:$W$1000,9,0),"")</f>
        <v/>
      </c>
      <c r="F409" s="18"/>
      <c r="G409" s="18" t="str">
        <f t="shared" si="25"/>
        <v/>
      </c>
      <c r="H409" s="18" t="str">
        <f t="shared" si="26"/>
        <v/>
      </c>
      <c r="I409" s="35" t="str">
        <f t="shared" si="27"/>
        <v/>
      </c>
      <c r="J409" s="50"/>
      <c r="K409" s="17"/>
    </row>
    <row r="410" spans="1:11">
      <c r="A410" s="6">
        <f t="shared" si="24"/>
        <v>405</v>
      </c>
      <c r="B410" s="49"/>
      <c r="C410" s="35" t="str">
        <f>IFERROR(VLOOKUP(B410,'MASTER RECORD'!$B$5:$W$1000,3,0),"")</f>
        <v/>
      </c>
      <c r="D410" s="35" t="str">
        <f>IFERROR(VLOOKUP(B410,'MASTER RECORD'!$B$5:$W$1000,2,0),"")</f>
        <v/>
      </c>
      <c r="E410" s="36" t="str">
        <f>IFERROR(VLOOKUP(B410,'MASTER RECORD'!$B$5:$W$1000,9,0),"")</f>
        <v/>
      </c>
      <c r="F410" s="18"/>
      <c r="G410" s="18" t="str">
        <f t="shared" si="25"/>
        <v/>
      </c>
      <c r="H410" s="18" t="str">
        <f t="shared" si="26"/>
        <v/>
      </c>
      <c r="I410" s="35" t="str">
        <f t="shared" si="27"/>
        <v/>
      </c>
      <c r="J410" s="50"/>
      <c r="K410" s="17"/>
    </row>
    <row r="411" spans="1:11">
      <c r="A411" s="6">
        <f t="shared" si="24"/>
        <v>406</v>
      </c>
      <c r="B411" s="49"/>
      <c r="C411" s="35" t="str">
        <f>IFERROR(VLOOKUP(B411,'MASTER RECORD'!$B$5:$W$1000,3,0),"")</f>
        <v/>
      </c>
      <c r="D411" s="35" t="str">
        <f>IFERROR(VLOOKUP(B411,'MASTER RECORD'!$B$5:$W$1000,2,0),"")</f>
        <v/>
      </c>
      <c r="E411" s="36" t="str">
        <f>IFERROR(VLOOKUP(B411,'MASTER RECORD'!$B$5:$W$1000,9,0),"")</f>
        <v/>
      </c>
      <c r="F411" s="18"/>
      <c r="G411" s="18" t="str">
        <f t="shared" si="25"/>
        <v/>
      </c>
      <c r="H411" s="18" t="str">
        <f t="shared" si="26"/>
        <v/>
      </c>
      <c r="I411" s="35" t="str">
        <f t="shared" si="27"/>
        <v/>
      </c>
      <c r="J411" s="50"/>
      <c r="K411" s="17"/>
    </row>
    <row r="412" spans="1:11">
      <c r="A412" s="6">
        <f t="shared" si="24"/>
        <v>407</v>
      </c>
      <c r="B412" s="49"/>
      <c r="C412" s="35" t="str">
        <f>IFERROR(VLOOKUP(B412,'MASTER RECORD'!$B$5:$W$1000,3,0),"")</f>
        <v/>
      </c>
      <c r="D412" s="35" t="str">
        <f>IFERROR(VLOOKUP(B412,'MASTER RECORD'!$B$5:$W$1000,2,0),"")</f>
        <v/>
      </c>
      <c r="E412" s="36" t="str">
        <f>IFERROR(VLOOKUP(B412,'MASTER RECORD'!$B$5:$W$1000,9,0),"")</f>
        <v/>
      </c>
      <c r="F412" s="18"/>
      <c r="G412" s="18" t="str">
        <f t="shared" si="25"/>
        <v/>
      </c>
      <c r="H412" s="18" t="str">
        <f t="shared" si="26"/>
        <v/>
      </c>
      <c r="I412" s="35" t="str">
        <f t="shared" si="27"/>
        <v/>
      </c>
      <c r="J412" s="50"/>
      <c r="K412" s="17"/>
    </row>
    <row r="413" spans="1:11">
      <c r="A413" s="6">
        <f t="shared" si="24"/>
        <v>408</v>
      </c>
      <c r="B413" s="49"/>
      <c r="C413" s="35" t="str">
        <f>IFERROR(VLOOKUP(B413,'MASTER RECORD'!$B$5:$W$1000,3,0),"")</f>
        <v/>
      </c>
      <c r="D413" s="35" t="str">
        <f>IFERROR(VLOOKUP(B413,'MASTER RECORD'!$B$5:$W$1000,2,0),"")</f>
        <v/>
      </c>
      <c r="E413" s="36" t="str">
        <f>IFERROR(VLOOKUP(B413,'MASTER RECORD'!$B$5:$W$1000,9,0),"")</f>
        <v/>
      </c>
      <c r="F413" s="18"/>
      <c r="G413" s="18" t="str">
        <f t="shared" si="25"/>
        <v/>
      </c>
      <c r="H413" s="18" t="str">
        <f t="shared" si="26"/>
        <v/>
      </c>
      <c r="I413" s="35" t="str">
        <f t="shared" si="27"/>
        <v/>
      </c>
      <c r="J413" s="50"/>
      <c r="K413" s="17"/>
    </row>
    <row r="414" spans="1:11">
      <c r="A414" s="6">
        <f t="shared" si="24"/>
        <v>409</v>
      </c>
      <c r="B414" s="49"/>
      <c r="C414" s="35" t="str">
        <f>IFERROR(VLOOKUP(B414,'MASTER RECORD'!$B$5:$W$1000,3,0),"")</f>
        <v/>
      </c>
      <c r="D414" s="35" t="str">
        <f>IFERROR(VLOOKUP(B414,'MASTER RECORD'!$B$5:$W$1000,2,0),"")</f>
        <v/>
      </c>
      <c r="E414" s="36" t="str">
        <f>IFERROR(VLOOKUP(B414,'MASTER RECORD'!$B$5:$W$1000,9,0),"")</f>
        <v/>
      </c>
      <c r="F414" s="18"/>
      <c r="G414" s="18" t="str">
        <f t="shared" si="25"/>
        <v/>
      </c>
      <c r="H414" s="18" t="str">
        <f t="shared" si="26"/>
        <v/>
      </c>
      <c r="I414" s="35" t="str">
        <f t="shared" si="27"/>
        <v/>
      </c>
      <c r="J414" s="50"/>
      <c r="K414" s="17"/>
    </row>
    <row r="415" spans="1:11">
      <c r="A415" s="6">
        <f t="shared" si="24"/>
        <v>410</v>
      </c>
      <c r="B415" s="49"/>
      <c r="C415" s="35" t="str">
        <f>IFERROR(VLOOKUP(B415,'MASTER RECORD'!$B$5:$W$1000,3,0),"")</f>
        <v/>
      </c>
      <c r="D415" s="35" t="str">
        <f>IFERROR(VLOOKUP(B415,'MASTER RECORD'!$B$5:$W$1000,2,0),"")</f>
        <v/>
      </c>
      <c r="E415" s="36" t="str">
        <f>IFERROR(VLOOKUP(B415,'MASTER RECORD'!$B$5:$W$1000,9,0),"")</f>
        <v/>
      </c>
      <c r="F415" s="18"/>
      <c r="G415" s="18" t="str">
        <f t="shared" si="25"/>
        <v/>
      </c>
      <c r="H415" s="18" t="str">
        <f t="shared" si="26"/>
        <v/>
      </c>
      <c r="I415" s="35" t="str">
        <f t="shared" si="27"/>
        <v/>
      </c>
      <c r="J415" s="50"/>
      <c r="K415" s="17"/>
    </row>
    <row r="416" spans="1:11">
      <c r="A416" s="6">
        <f t="shared" si="24"/>
        <v>411</v>
      </c>
      <c r="B416" s="49"/>
      <c r="C416" s="35" t="str">
        <f>IFERROR(VLOOKUP(B416,'MASTER RECORD'!$B$5:$W$1000,3,0),"")</f>
        <v/>
      </c>
      <c r="D416" s="35" t="str">
        <f>IFERROR(VLOOKUP(B416,'MASTER RECORD'!$B$5:$W$1000,2,0),"")</f>
        <v/>
      </c>
      <c r="E416" s="36" t="str">
        <f>IFERROR(VLOOKUP(B416,'MASTER RECORD'!$B$5:$W$1000,9,0),"")</f>
        <v/>
      </c>
      <c r="F416" s="18"/>
      <c r="G416" s="18" t="str">
        <f t="shared" si="25"/>
        <v/>
      </c>
      <c r="H416" s="18" t="str">
        <f t="shared" si="26"/>
        <v/>
      </c>
      <c r="I416" s="35" t="str">
        <f t="shared" si="27"/>
        <v/>
      </c>
      <c r="J416" s="50"/>
      <c r="K416" s="17"/>
    </row>
    <row r="417" spans="1:11">
      <c r="A417" s="6">
        <f t="shared" si="24"/>
        <v>412</v>
      </c>
      <c r="B417" s="49"/>
      <c r="C417" s="35" t="str">
        <f>IFERROR(VLOOKUP(B417,'MASTER RECORD'!$B$5:$W$1000,3,0),"")</f>
        <v/>
      </c>
      <c r="D417" s="35" t="str">
        <f>IFERROR(VLOOKUP(B417,'MASTER RECORD'!$B$5:$W$1000,2,0),"")</f>
        <v/>
      </c>
      <c r="E417" s="36" t="str">
        <f>IFERROR(VLOOKUP(B417,'MASTER RECORD'!$B$5:$W$1000,9,0),"")</f>
        <v/>
      </c>
      <c r="F417" s="18"/>
      <c r="G417" s="18" t="str">
        <f t="shared" si="25"/>
        <v/>
      </c>
      <c r="H417" s="18" t="str">
        <f t="shared" si="26"/>
        <v/>
      </c>
      <c r="I417" s="35" t="str">
        <f t="shared" si="27"/>
        <v/>
      </c>
      <c r="J417" s="50"/>
      <c r="K417" s="17"/>
    </row>
    <row r="418" spans="1:11">
      <c r="A418" s="6">
        <f t="shared" si="24"/>
        <v>413</v>
      </c>
      <c r="B418" s="49"/>
      <c r="C418" s="35" t="str">
        <f>IFERROR(VLOOKUP(B418,'MASTER RECORD'!$B$5:$W$1000,3,0),"")</f>
        <v/>
      </c>
      <c r="D418" s="35" t="str">
        <f>IFERROR(VLOOKUP(B418,'MASTER RECORD'!$B$5:$W$1000,2,0),"")</f>
        <v/>
      </c>
      <c r="E418" s="36" t="str">
        <f>IFERROR(VLOOKUP(B418,'MASTER RECORD'!$B$5:$W$1000,9,0),"")</f>
        <v/>
      </c>
      <c r="F418" s="18"/>
      <c r="G418" s="18" t="str">
        <f t="shared" si="25"/>
        <v/>
      </c>
      <c r="H418" s="18" t="str">
        <f t="shared" si="26"/>
        <v/>
      </c>
      <c r="I418" s="35" t="str">
        <f t="shared" si="27"/>
        <v/>
      </c>
      <c r="J418" s="50"/>
      <c r="K418" s="17"/>
    </row>
    <row r="419" spans="1:11">
      <c r="A419" s="6">
        <f t="shared" si="24"/>
        <v>414</v>
      </c>
      <c r="B419" s="49"/>
      <c r="C419" s="35" t="str">
        <f>IFERROR(VLOOKUP(B419,'MASTER RECORD'!$B$5:$W$1000,3,0),"")</f>
        <v/>
      </c>
      <c r="D419" s="35" t="str">
        <f>IFERROR(VLOOKUP(B419,'MASTER RECORD'!$B$5:$W$1000,2,0),"")</f>
        <v/>
      </c>
      <c r="E419" s="36" t="str">
        <f>IFERROR(VLOOKUP(B419,'MASTER RECORD'!$B$5:$W$1000,9,0),"")</f>
        <v/>
      </c>
      <c r="F419" s="18"/>
      <c r="G419" s="18" t="str">
        <f t="shared" si="25"/>
        <v/>
      </c>
      <c r="H419" s="18" t="str">
        <f t="shared" si="26"/>
        <v/>
      </c>
      <c r="I419" s="35" t="str">
        <f t="shared" si="27"/>
        <v/>
      </c>
      <c r="J419" s="50"/>
      <c r="K419" s="17"/>
    </row>
    <row r="420" spans="1:11">
      <c r="A420" s="6">
        <f t="shared" si="24"/>
        <v>415</v>
      </c>
      <c r="B420" s="49"/>
      <c r="C420" s="35" t="str">
        <f>IFERROR(VLOOKUP(B420,'MASTER RECORD'!$B$5:$W$1000,3,0),"")</f>
        <v/>
      </c>
      <c r="D420" s="35" t="str">
        <f>IFERROR(VLOOKUP(B420,'MASTER RECORD'!$B$5:$W$1000,2,0),"")</f>
        <v/>
      </c>
      <c r="E420" s="36" t="str">
        <f>IFERROR(VLOOKUP(B420,'MASTER RECORD'!$B$5:$W$1000,9,0),"")</f>
        <v/>
      </c>
      <c r="F420" s="18"/>
      <c r="G420" s="18" t="str">
        <f t="shared" si="25"/>
        <v/>
      </c>
      <c r="H420" s="18" t="str">
        <f t="shared" si="26"/>
        <v/>
      </c>
      <c r="I420" s="35" t="str">
        <f t="shared" si="27"/>
        <v/>
      </c>
      <c r="J420" s="50"/>
      <c r="K420" s="17"/>
    </row>
    <row r="421" spans="1:11">
      <c r="A421" s="6">
        <f t="shared" si="24"/>
        <v>416</v>
      </c>
      <c r="B421" s="49"/>
      <c r="C421" s="35" t="str">
        <f>IFERROR(VLOOKUP(B421,'MASTER RECORD'!$B$5:$W$1000,3,0),"")</f>
        <v/>
      </c>
      <c r="D421" s="35" t="str">
        <f>IFERROR(VLOOKUP(B421,'MASTER RECORD'!$B$5:$W$1000,2,0),"")</f>
        <v/>
      </c>
      <c r="E421" s="36" t="str">
        <f>IFERROR(VLOOKUP(B421,'MASTER RECORD'!$B$5:$W$1000,9,0),"")</f>
        <v/>
      </c>
      <c r="F421" s="18"/>
      <c r="G421" s="18" t="str">
        <f t="shared" si="25"/>
        <v/>
      </c>
      <c r="H421" s="18" t="str">
        <f t="shared" si="26"/>
        <v/>
      </c>
      <c r="I421" s="35" t="str">
        <f t="shared" si="27"/>
        <v/>
      </c>
      <c r="J421" s="50"/>
      <c r="K421" s="17"/>
    </row>
    <row r="422" spans="1:11">
      <c r="A422" s="6">
        <f t="shared" si="24"/>
        <v>417</v>
      </c>
      <c r="B422" s="49"/>
      <c r="C422" s="35" t="str">
        <f>IFERROR(VLOOKUP(B422,'MASTER RECORD'!$B$5:$W$1000,3,0),"")</f>
        <v/>
      </c>
      <c r="D422" s="35" t="str">
        <f>IFERROR(VLOOKUP(B422,'MASTER RECORD'!$B$5:$W$1000,2,0),"")</f>
        <v/>
      </c>
      <c r="E422" s="36" t="str">
        <f>IFERROR(VLOOKUP(B422,'MASTER RECORD'!$B$5:$W$1000,9,0),"")</f>
        <v/>
      </c>
      <c r="F422" s="18"/>
      <c r="G422" s="18" t="str">
        <f t="shared" si="25"/>
        <v/>
      </c>
      <c r="H422" s="18" t="str">
        <f t="shared" si="26"/>
        <v/>
      </c>
      <c r="I422" s="35" t="str">
        <f t="shared" si="27"/>
        <v/>
      </c>
      <c r="J422" s="50"/>
      <c r="K422" s="17"/>
    </row>
    <row r="423" spans="1:11">
      <c r="A423" s="6">
        <f t="shared" si="24"/>
        <v>418</v>
      </c>
      <c r="B423" s="49"/>
      <c r="C423" s="35" t="str">
        <f>IFERROR(VLOOKUP(B423,'MASTER RECORD'!$B$5:$W$1000,3,0),"")</f>
        <v/>
      </c>
      <c r="D423" s="35" t="str">
        <f>IFERROR(VLOOKUP(B423,'MASTER RECORD'!$B$5:$W$1000,2,0),"")</f>
        <v/>
      </c>
      <c r="E423" s="36" t="str">
        <f>IFERROR(VLOOKUP(B423,'MASTER RECORD'!$B$5:$W$1000,9,0),"")</f>
        <v/>
      </c>
      <c r="F423" s="18"/>
      <c r="G423" s="18" t="str">
        <f t="shared" si="25"/>
        <v/>
      </c>
      <c r="H423" s="18" t="str">
        <f t="shared" si="26"/>
        <v/>
      </c>
      <c r="I423" s="35" t="str">
        <f t="shared" si="27"/>
        <v/>
      </c>
      <c r="J423" s="50"/>
      <c r="K423" s="17"/>
    </row>
    <row r="424" spans="1:11">
      <c r="A424" s="6">
        <f t="shared" si="24"/>
        <v>419</v>
      </c>
      <c r="B424" s="49"/>
      <c r="C424" s="35" t="str">
        <f>IFERROR(VLOOKUP(B424,'MASTER RECORD'!$B$5:$W$1000,3,0),"")</f>
        <v/>
      </c>
      <c r="D424" s="35" t="str">
        <f>IFERROR(VLOOKUP(B424,'MASTER RECORD'!$B$5:$W$1000,2,0),"")</f>
        <v/>
      </c>
      <c r="E424" s="36" t="str">
        <f>IFERROR(VLOOKUP(B424,'MASTER RECORD'!$B$5:$W$1000,9,0),"")</f>
        <v/>
      </c>
      <c r="F424" s="18"/>
      <c r="G424" s="18" t="str">
        <f t="shared" si="25"/>
        <v/>
      </c>
      <c r="H424" s="18" t="str">
        <f t="shared" si="26"/>
        <v/>
      </c>
      <c r="I424" s="35" t="str">
        <f t="shared" si="27"/>
        <v/>
      </c>
      <c r="J424" s="50"/>
      <c r="K424" s="17"/>
    </row>
    <row r="425" spans="1:11">
      <c r="A425" s="6">
        <f t="shared" si="24"/>
        <v>420</v>
      </c>
      <c r="B425" s="49"/>
      <c r="C425" s="35" t="str">
        <f>IFERROR(VLOOKUP(B425,'MASTER RECORD'!$B$5:$W$1000,3,0),"")</f>
        <v/>
      </c>
      <c r="D425" s="35" t="str">
        <f>IFERROR(VLOOKUP(B425,'MASTER RECORD'!$B$5:$W$1000,2,0),"")</f>
        <v/>
      </c>
      <c r="E425" s="36" t="str">
        <f>IFERROR(VLOOKUP(B425,'MASTER RECORD'!$B$5:$W$1000,9,0),"")</f>
        <v/>
      </c>
      <c r="F425" s="18"/>
      <c r="G425" s="18" t="str">
        <f t="shared" si="25"/>
        <v/>
      </c>
      <c r="H425" s="18" t="str">
        <f t="shared" si="26"/>
        <v/>
      </c>
      <c r="I425" s="35" t="str">
        <f t="shared" si="27"/>
        <v/>
      </c>
      <c r="J425" s="50"/>
      <c r="K425" s="17"/>
    </row>
    <row r="426" spans="1:11">
      <c r="A426" s="6">
        <f t="shared" si="24"/>
        <v>421</v>
      </c>
      <c r="B426" s="49"/>
      <c r="C426" s="35" t="str">
        <f>IFERROR(VLOOKUP(B426,'MASTER RECORD'!$B$5:$W$1000,3,0),"")</f>
        <v/>
      </c>
      <c r="D426" s="35" t="str">
        <f>IFERROR(VLOOKUP(B426,'MASTER RECORD'!$B$5:$W$1000,2,0),"")</f>
        <v/>
      </c>
      <c r="E426" s="36" t="str">
        <f>IFERROR(VLOOKUP(B426,'MASTER RECORD'!$B$5:$W$1000,9,0),"")</f>
        <v/>
      </c>
      <c r="F426" s="18"/>
      <c r="G426" s="18" t="str">
        <f t="shared" si="25"/>
        <v/>
      </c>
      <c r="H426" s="18" t="str">
        <f t="shared" si="26"/>
        <v/>
      </c>
      <c r="I426" s="35" t="str">
        <f t="shared" si="27"/>
        <v/>
      </c>
      <c r="J426" s="50"/>
      <c r="K426" s="17"/>
    </row>
    <row r="427" spans="1:11">
      <c r="A427" s="6">
        <f t="shared" si="24"/>
        <v>422</v>
      </c>
      <c r="B427" s="49"/>
      <c r="C427" s="35" t="str">
        <f>IFERROR(VLOOKUP(B427,'MASTER RECORD'!$B$5:$W$1000,3,0),"")</f>
        <v/>
      </c>
      <c r="D427" s="35" t="str">
        <f>IFERROR(VLOOKUP(B427,'MASTER RECORD'!$B$5:$W$1000,2,0),"")</f>
        <v/>
      </c>
      <c r="E427" s="36" t="str">
        <f>IFERROR(VLOOKUP(B427,'MASTER RECORD'!$B$5:$W$1000,9,0),"")</f>
        <v/>
      </c>
      <c r="F427" s="18"/>
      <c r="G427" s="18" t="str">
        <f t="shared" si="25"/>
        <v/>
      </c>
      <c r="H427" s="18" t="str">
        <f t="shared" si="26"/>
        <v/>
      </c>
      <c r="I427" s="35" t="str">
        <f t="shared" si="27"/>
        <v/>
      </c>
      <c r="J427" s="50"/>
      <c r="K427" s="17"/>
    </row>
    <row r="428" spans="1:11">
      <c r="A428" s="6">
        <f t="shared" si="24"/>
        <v>423</v>
      </c>
      <c r="B428" s="49"/>
      <c r="C428" s="35" t="str">
        <f>IFERROR(VLOOKUP(B428,'MASTER RECORD'!$B$5:$W$1000,3,0),"")</f>
        <v/>
      </c>
      <c r="D428" s="35" t="str">
        <f>IFERROR(VLOOKUP(B428,'MASTER RECORD'!$B$5:$W$1000,2,0),"")</f>
        <v/>
      </c>
      <c r="E428" s="36" t="str">
        <f>IFERROR(VLOOKUP(B428,'MASTER RECORD'!$B$5:$W$1000,9,0),"")</f>
        <v/>
      </c>
      <c r="F428" s="18"/>
      <c r="G428" s="18" t="str">
        <f t="shared" si="25"/>
        <v/>
      </c>
      <c r="H428" s="18" t="str">
        <f t="shared" si="26"/>
        <v/>
      </c>
      <c r="I428" s="35" t="str">
        <f t="shared" si="27"/>
        <v/>
      </c>
      <c r="J428" s="50"/>
      <c r="K428" s="17"/>
    </row>
    <row r="429" spans="1:11">
      <c r="A429" s="6">
        <f t="shared" si="24"/>
        <v>424</v>
      </c>
      <c r="B429" s="49"/>
      <c r="C429" s="35" t="str">
        <f>IFERROR(VLOOKUP(B429,'MASTER RECORD'!$B$5:$W$1000,3,0),"")</f>
        <v/>
      </c>
      <c r="D429" s="35" t="str">
        <f>IFERROR(VLOOKUP(B429,'MASTER RECORD'!$B$5:$W$1000,2,0),"")</f>
        <v/>
      </c>
      <c r="E429" s="36" t="str">
        <f>IFERROR(VLOOKUP(B429,'MASTER RECORD'!$B$5:$W$1000,9,0),"")</f>
        <v/>
      </c>
      <c r="F429" s="18"/>
      <c r="G429" s="18" t="str">
        <f t="shared" si="25"/>
        <v/>
      </c>
      <c r="H429" s="18" t="str">
        <f t="shared" si="26"/>
        <v/>
      </c>
      <c r="I429" s="35" t="str">
        <f t="shared" si="27"/>
        <v/>
      </c>
      <c r="J429" s="50"/>
      <c r="K429" s="17"/>
    </row>
    <row r="430" spans="1:11">
      <c r="A430" s="6">
        <f t="shared" si="24"/>
        <v>425</v>
      </c>
      <c r="B430" s="49"/>
      <c r="C430" s="35" t="str">
        <f>IFERROR(VLOOKUP(B430,'MASTER RECORD'!$B$5:$W$1000,3,0),"")</f>
        <v/>
      </c>
      <c r="D430" s="35" t="str">
        <f>IFERROR(VLOOKUP(B430,'MASTER RECORD'!$B$5:$W$1000,2,0),"")</f>
        <v/>
      </c>
      <c r="E430" s="36" t="str">
        <f>IFERROR(VLOOKUP(B430,'MASTER RECORD'!$B$5:$W$1000,9,0),"")</f>
        <v/>
      </c>
      <c r="F430" s="18"/>
      <c r="G430" s="18" t="str">
        <f t="shared" si="25"/>
        <v/>
      </c>
      <c r="H430" s="18" t="str">
        <f t="shared" si="26"/>
        <v/>
      </c>
      <c r="I430" s="35" t="str">
        <f t="shared" si="27"/>
        <v/>
      </c>
      <c r="J430" s="50"/>
      <c r="K430" s="17"/>
    </row>
    <row r="431" spans="1:11">
      <c r="A431" s="6">
        <f t="shared" si="24"/>
        <v>426</v>
      </c>
      <c r="B431" s="49"/>
      <c r="C431" s="35" t="str">
        <f>IFERROR(VLOOKUP(B431,'MASTER RECORD'!$B$5:$W$1000,3,0),"")</f>
        <v/>
      </c>
      <c r="D431" s="35" t="str">
        <f>IFERROR(VLOOKUP(B431,'MASTER RECORD'!$B$5:$W$1000,2,0),"")</f>
        <v/>
      </c>
      <c r="E431" s="36" t="str">
        <f>IFERROR(VLOOKUP(B431,'MASTER RECORD'!$B$5:$W$1000,9,0),"")</f>
        <v/>
      </c>
      <c r="F431" s="18"/>
      <c r="G431" s="18" t="str">
        <f t="shared" si="25"/>
        <v/>
      </c>
      <c r="H431" s="18" t="str">
        <f t="shared" si="26"/>
        <v/>
      </c>
      <c r="I431" s="35" t="str">
        <f t="shared" si="27"/>
        <v/>
      </c>
      <c r="J431" s="50"/>
      <c r="K431" s="17"/>
    </row>
    <row r="432" spans="1:11">
      <c r="A432" s="6">
        <f t="shared" si="24"/>
        <v>427</v>
      </c>
      <c r="B432" s="49"/>
      <c r="C432" s="35" t="str">
        <f>IFERROR(VLOOKUP(B432,'MASTER RECORD'!$B$5:$W$1000,3,0),"")</f>
        <v/>
      </c>
      <c r="D432" s="35" t="str">
        <f>IFERROR(VLOOKUP(B432,'MASTER RECORD'!$B$5:$W$1000,2,0),"")</f>
        <v/>
      </c>
      <c r="E432" s="36" t="str">
        <f>IFERROR(VLOOKUP(B432,'MASTER RECORD'!$B$5:$W$1000,9,0),"")</f>
        <v/>
      </c>
      <c r="F432" s="18"/>
      <c r="G432" s="18" t="str">
        <f t="shared" si="25"/>
        <v/>
      </c>
      <c r="H432" s="18" t="str">
        <f t="shared" si="26"/>
        <v/>
      </c>
      <c r="I432" s="35" t="str">
        <f t="shared" si="27"/>
        <v/>
      </c>
      <c r="J432" s="50"/>
      <c r="K432" s="17"/>
    </row>
    <row r="433" spans="1:11">
      <c r="A433" s="6">
        <f t="shared" si="24"/>
        <v>428</v>
      </c>
      <c r="B433" s="49"/>
      <c r="C433" s="35" t="str">
        <f>IFERROR(VLOOKUP(B433,'MASTER RECORD'!$B$5:$W$1000,3,0),"")</f>
        <v/>
      </c>
      <c r="D433" s="35" t="str">
        <f>IFERROR(VLOOKUP(B433,'MASTER RECORD'!$B$5:$W$1000,2,0),"")</f>
        <v/>
      </c>
      <c r="E433" s="36" t="str">
        <f>IFERROR(VLOOKUP(B433,'MASTER RECORD'!$B$5:$W$1000,9,0),"")</f>
        <v/>
      </c>
      <c r="F433" s="18"/>
      <c r="G433" s="18" t="str">
        <f t="shared" si="25"/>
        <v/>
      </c>
      <c r="H433" s="18" t="str">
        <f t="shared" si="26"/>
        <v/>
      </c>
      <c r="I433" s="35" t="str">
        <f t="shared" si="27"/>
        <v/>
      </c>
      <c r="J433" s="50"/>
      <c r="K433" s="17"/>
    </row>
    <row r="434" spans="1:11">
      <c r="A434" s="6">
        <f t="shared" si="24"/>
        <v>429</v>
      </c>
      <c r="B434" s="49"/>
      <c r="C434" s="35" t="str">
        <f>IFERROR(VLOOKUP(B434,'MASTER RECORD'!$B$5:$W$1000,3,0),"")</f>
        <v/>
      </c>
      <c r="D434" s="35" t="str">
        <f>IFERROR(VLOOKUP(B434,'MASTER RECORD'!$B$5:$W$1000,2,0),"")</f>
        <v/>
      </c>
      <c r="E434" s="36" t="str">
        <f>IFERROR(VLOOKUP(B434,'MASTER RECORD'!$B$5:$W$1000,9,0),"")</f>
        <v/>
      </c>
      <c r="F434" s="18"/>
      <c r="G434" s="18" t="str">
        <f t="shared" si="25"/>
        <v/>
      </c>
      <c r="H434" s="18" t="str">
        <f t="shared" si="26"/>
        <v/>
      </c>
      <c r="I434" s="35" t="str">
        <f t="shared" si="27"/>
        <v/>
      </c>
      <c r="J434" s="50"/>
      <c r="K434" s="17"/>
    </row>
    <row r="435" spans="1:11">
      <c r="A435" s="6">
        <f t="shared" si="24"/>
        <v>430</v>
      </c>
      <c r="B435" s="49"/>
      <c r="C435" s="35" t="str">
        <f>IFERROR(VLOOKUP(B435,'MASTER RECORD'!$B$5:$W$1000,3,0),"")</f>
        <v/>
      </c>
      <c r="D435" s="35" t="str">
        <f>IFERROR(VLOOKUP(B435,'MASTER RECORD'!$B$5:$W$1000,2,0),"")</f>
        <v/>
      </c>
      <c r="E435" s="36" t="str">
        <f>IFERROR(VLOOKUP(B435,'MASTER RECORD'!$B$5:$W$1000,9,0),"")</f>
        <v/>
      </c>
      <c r="F435" s="18"/>
      <c r="G435" s="18" t="str">
        <f t="shared" si="25"/>
        <v/>
      </c>
      <c r="H435" s="18" t="str">
        <f t="shared" si="26"/>
        <v/>
      </c>
      <c r="I435" s="35" t="str">
        <f t="shared" si="27"/>
        <v/>
      </c>
      <c r="J435" s="50"/>
      <c r="K435" s="17"/>
    </row>
    <row r="436" spans="1:11">
      <c r="A436" s="6">
        <f t="shared" si="24"/>
        <v>431</v>
      </c>
      <c r="B436" s="49"/>
      <c r="C436" s="35" t="str">
        <f>IFERROR(VLOOKUP(B436,'MASTER RECORD'!$B$5:$W$1000,3,0),"")</f>
        <v/>
      </c>
      <c r="D436" s="35" t="str">
        <f>IFERROR(VLOOKUP(B436,'MASTER RECORD'!$B$5:$W$1000,2,0),"")</f>
        <v/>
      </c>
      <c r="E436" s="36" t="str">
        <f>IFERROR(VLOOKUP(B436,'MASTER RECORD'!$B$5:$W$1000,9,0),"")</f>
        <v/>
      </c>
      <c r="F436" s="18"/>
      <c r="G436" s="18" t="str">
        <f t="shared" si="25"/>
        <v/>
      </c>
      <c r="H436" s="18" t="str">
        <f t="shared" si="26"/>
        <v/>
      </c>
      <c r="I436" s="35" t="str">
        <f t="shared" si="27"/>
        <v/>
      </c>
      <c r="J436" s="50"/>
      <c r="K436" s="17"/>
    </row>
    <row r="437" spans="1:11">
      <c r="A437" s="6">
        <f t="shared" si="24"/>
        <v>432</v>
      </c>
      <c r="B437" s="49"/>
      <c r="C437" s="35" t="str">
        <f>IFERROR(VLOOKUP(B437,'MASTER RECORD'!$B$5:$W$1000,3,0),"")</f>
        <v/>
      </c>
      <c r="D437" s="35" t="str">
        <f>IFERROR(VLOOKUP(B437,'MASTER RECORD'!$B$5:$W$1000,2,0),"")</f>
        <v/>
      </c>
      <c r="E437" s="36" t="str">
        <f>IFERROR(VLOOKUP(B437,'MASTER RECORD'!$B$5:$W$1000,9,0),"")</f>
        <v/>
      </c>
      <c r="F437" s="18"/>
      <c r="G437" s="18" t="str">
        <f t="shared" si="25"/>
        <v/>
      </c>
      <c r="H437" s="18" t="str">
        <f t="shared" si="26"/>
        <v/>
      </c>
      <c r="I437" s="35" t="str">
        <f t="shared" si="27"/>
        <v/>
      </c>
      <c r="J437" s="50"/>
      <c r="K437" s="17"/>
    </row>
    <row r="438" spans="1:11">
      <c r="A438" s="6">
        <f t="shared" si="24"/>
        <v>433</v>
      </c>
      <c r="B438" s="49"/>
      <c r="C438" s="35" t="str">
        <f>IFERROR(VLOOKUP(B438,'MASTER RECORD'!$B$5:$W$1000,3,0),"")</f>
        <v/>
      </c>
      <c r="D438" s="35" t="str">
        <f>IFERROR(VLOOKUP(B438,'MASTER RECORD'!$B$5:$W$1000,2,0),"")</f>
        <v/>
      </c>
      <c r="E438" s="36" t="str">
        <f>IFERROR(VLOOKUP(B438,'MASTER RECORD'!$B$5:$W$1000,9,0),"")</f>
        <v/>
      </c>
      <c r="F438" s="18"/>
      <c r="G438" s="18" t="str">
        <f t="shared" si="25"/>
        <v/>
      </c>
      <c r="H438" s="18" t="str">
        <f t="shared" si="26"/>
        <v/>
      </c>
      <c r="I438" s="35" t="str">
        <f t="shared" si="27"/>
        <v/>
      </c>
      <c r="J438" s="50"/>
      <c r="K438" s="17"/>
    </row>
    <row r="439" spans="1:11">
      <c r="A439" s="6">
        <f t="shared" si="24"/>
        <v>434</v>
      </c>
      <c r="B439" s="49"/>
      <c r="C439" s="35" t="str">
        <f>IFERROR(VLOOKUP(B439,'MASTER RECORD'!$B$5:$W$1000,3,0),"")</f>
        <v/>
      </c>
      <c r="D439" s="35" t="str">
        <f>IFERROR(VLOOKUP(B439,'MASTER RECORD'!$B$5:$W$1000,2,0),"")</f>
        <v/>
      </c>
      <c r="E439" s="36" t="str">
        <f>IFERROR(VLOOKUP(B439,'MASTER RECORD'!$B$5:$W$1000,9,0),"")</f>
        <v/>
      </c>
      <c r="F439" s="18"/>
      <c r="G439" s="18" t="str">
        <f t="shared" si="25"/>
        <v/>
      </c>
      <c r="H439" s="18" t="str">
        <f t="shared" si="26"/>
        <v/>
      </c>
      <c r="I439" s="35" t="str">
        <f t="shared" si="27"/>
        <v/>
      </c>
      <c r="J439" s="50"/>
      <c r="K439" s="17"/>
    </row>
    <row r="440" spans="1:11">
      <c r="A440" s="6">
        <f t="shared" si="24"/>
        <v>435</v>
      </c>
      <c r="B440" s="49"/>
      <c r="C440" s="35" t="str">
        <f>IFERROR(VLOOKUP(B440,'MASTER RECORD'!$B$5:$W$1000,3,0),"")</f>
        <v/>
      </c>
      <c r="D440" s="35" t="str">
        <f>IFERROR(VLOOKUP(B440,'MASTER RECORD'!$B$5:$W$1000,2,0),"")</f>
        <v/>
      </c>
      <c r="E440" s="36" t="str">
        <f>IFERROR(VLOOKUP(B440,'MASTER RECORD'!$B$5:$W$1000,9,0),"")</f>
        <v/>
      </c>
      <c r="F440" s="18"/>
      <c r="G440" s="18" t="str">
        <f t="shared" si="25"/>
        <v/>
      </c>
      <c r="H440" s="18" t="str">
        <f t="shared" si="26"/>
        <v/>
      </c>
      <c r="I440" s="35" t="str">
        <f t="shared" si="27"/>
        <v/>
      </c>
      <c r="J440" s="50"/>
      <c r="K440" s="17"/>
    </row>
    <row r="441" spans="1:11">
      <c r="A441" s="6">
        <f t="shared" si="24"/>
        <v>436</v>
      </c>
      <c r="B441" s="49"/>
      <c r="C441" s="35" t="str">
        <f>IFERROR(VLOOKUP(B441,'MASTER RECORD'!$B$5:$W$1000,3,0),"")</f>
        <v/>
      </c>
      <c r="D441" s="35" t="str">
        <f>IFERROR(VLOOKUP(B441,'MASTER RECORD'!$B$5:$W$1000,2,0),"")</f>
        <v/>
      </c>
      <c r="E441" s="36" t="str">
        <f>IFERROR(VLOOKUP(B441,'MASTER RECORD'!$B$5:$W$1000,9,0),"")</f>
        <v/>
      </c>
      <c r="F441" s="18"/>
      <c r="G441" s="18" t="str">
        <f t="shared" si="25"/>
        <v/>
      </c>
      <c r="H441" s="18" t="str">
        <f t="shared" si="26"/>
        <v/>
      </c>
      <c r="I441" s="35" t="str">
        <f t="shared" si="27"/>
        <v/>
      </c>
      <c r="J441" s="50"/>
      <c r="K441" s="17"/>
    </row>
    <row r="442" spans="1:11">
      <c r="A442" s="6">
        <f t="shared" si="24"/>
        <v>437</v>
      </c>
      <c r="B442" s="49"/>
      <c r="C442" s="35" t="str">
        <f>IFERROR(VLOOKUP(B442,'MASTER RECORD'!$B$5:$W$1000,3,0),"")</f>
        <v/>
      </c>
      <c r="D442" s="35" t="str">
        <f>IFERROR(VLOOKUP(B442,'MASTER RECORD'!$B$5:$W$1000,2,0),"")</f>
        <v/>
      </c>
      <c r="E442" s="36" t="str">
        <f>IFERROR(VLOOKUP(B442,'MASTER RECORD'!$B$5:$W$1000,9,0),"")</f>
        <v/>
      </c>
      <c r="F442" s="18"/>
      <c r="G442" s="18" t="str">
        <f t="shared" si="25"/>
        <v/>
      </c>
      <c r="H442" s="18" t="str">
        <f t="shared" si="26"/>
        <v/>
      </c>
      <c r="I442" s="35" t="str">
        <f t="shared" si="27"/>
        <v/>
      </c>
      <c r="J442" s="50"/>
      <c r="K442" s="17"/>
    </row>
    <row r="443" spans="1:11">
      <c r="A443" s="6">
        <f t="shared" si="24"/>
        <v>438</v>
      </c>
      <c r="B443" s="49"/>
      <c r="C443" s="35" t="str">
        <f>IFERROR(VLOOKUP(B443,'MASTER RECORD'!$B$5:$W$1000,3,0),"")</f>
        <v/>
      </c>
      <c r="D443" s="35" t="str">
        <f>IFERROR(VLOOKUP(B443,'MASTER RECORD'!$B$5:$W$1000,2,0),"")</f>
        <v/>
      </c>
      <c r="E443" s="36" t="str">
        <f>IFERROR(VLOOKUP(B443,'MASTER RECORD'!$B$5:$W$1000,9,0),"")</f>
        <v/>
      </c>
      <c r="F443" s="18"/>
      <c r="G443" s="18" t="str">
        <f t="shared" si="25"/>
        <v/>
      </c>
      <c r="H443" s="18" t="str">
        <f t="shared" si="26"/>
        <v/>
      </c>
      <c r="I443" s="35" t="str">
        <f t="shared" si="27"/>
        <v/>
      </c>
      <c r="J443" s="50"/>
      <c r="K443" s="17"/>
    </row>
    <row r="444" spans="1:11">
      <c r="A444" s="6">
        <f t="shared" si="24"/>
        <v>439</v>
      </c>
      <c r="B444" s="49"/>
      <c r="C444" s="35" t="str">
        <f>IFERROR(VLOOKUP(B444,'MASTER RECORD'!$B$5:$W$1000,3,0),"")</f>
        <v/>
      </c>
      <c r="D444" s="35" t="str">
        <f>IFERROR(VLOOKUP(B444,'MASTER RECORD'!$B$5:$W$1000,2,0),"")</f>
        <v/>
      </c>
      <c r="E444" s="36" t="str">
        <f>IFERROR(VLOOKUP(B444,'MASTER RECORD'!$B$5:$W$1000,9,0),"")</f>
        <v/>
      </c>
      <c r="F444" s="18"/>
      <c r="G444" s="18" t="str">
        <f t="shared" si="25"/>
        <v/>
      </c>
      <c r="H444" s="18" t="str">
        <f t="shared" si="26"/>
        <v/>
      </c>
      <c r="I444" s="35" t="str">
        <f t="shared" si="27"/>
        <v/>
      </c>
      <c r="J444" s="50"/>
      <c r="K444" s="17"/>
    </row>
    <row r="445" spans="1:11">
      <c r="A445" s="6">
        <f t="shared" si="24"/>
        <v>440</v>
      </c>
      <c r="B445" s="49"/>
      <c r="C445" s="35" t="str">
        <f>IFERROR(VLOOKUP(B445,'MASTER RECORD'!$B$5:$W$1000,3,0),"")</f>
        <v/>
      </c>
      <c r="D445" s="35" t="str">
        <f>IFERROR(VLOOKUP(B445,'MASTER RECORD'!$B$5:$W$1000,2,0),"")</f>
        <v/>
      </c>
      <c r="E445" s="36" t="str">
        <f>IFERROR(VLOOKUP(B445,'MASTER RECORD'!$B$5:$W$1000,9,0),"")</f>
        <v/>
      </c>
      <c r="F445" s="18"/>
      <c r="G445" s="18" t="str">
        <f t="shared" si="25"/>
        <v/>
      </c>
      <c r="H445" s="18" t="str">
        <f t="shared" si="26"/>
        <v/>
      </c>
      <c r="I445" s="35" t="str">
        <f t="shared" si="27"/>
        <v/>
      </c>
      <c r="J445" s="50"/>
      <c r="K445" s="17"/>
    </row>
    <row r="446" spans="1:11">
      <c r="A446" s="6">
        <f t="shared" si="24"/>
        <v>441</v>
      </c>
      <c r="B446" s="49"/>
      <c r="C446" s="35" t="str">
        <f>IFERROR(VLOOKUP(B446,'MASTER RECORD'!$B$5:$W$1000,3,0),"")</f>
        <v/>
      </c>
      <c r="D446" s="35" t="str">
        <f>IFERROR(VLOOKUP(B446,'MASTER RECORD'!$B$5:$W$1000,2,0),"")</f>
        <v/>
      </c>
      <c r="E446" s="36" t="str">
        <f>IFERROR(VLOOKUP(B446,'MASTER RECORD'!$B$5:$W$1000,9,0),"")</f>
        <v/>
      </c>
      <c r="F446" s="18"/>
      <c r="G446" s="18" t="str">
        <f t="shared" si="25"/>
        <v/>
      </c>
      <c r="H446" s="18" t="str">
        <f t="shared" si="26"/>
        <v/>
      </c>
      <c r="I446" s="35" t="str">
        <f t="shared" si="27"/>
        <v/>
      </c>
      <c r="J446" s="50"/>
      <c r="K446" s="17"/>
    </row>
    <row r="447" spans="1:11">
      <c r="A447" s="6">
        <f t="shared" si="24"/>
        <v>442</v>
      </c>
      <c r="B447" s="49"/>
      <c r="C447" s="35" t="str">
        <f>IFERROR(VLOOKUP(B447,'MASTER RECORD'!$B$5:$W$1000,3,0),"")</f>
        <v/>
      </c>
      <c r="D447" s="35" t="str">
        <f>IFERROR(VLOOKUP(B447,'MASTER RECORD'!$B$5:$W$1000,2,0),"")</f>
        <v/>
      </c>
      <c r="E447" s="36" t="str">
        <f>IFERROR(VLOOKUP(B447,'MASTER RECORD'!$B$5:$W$1000,9,0),"")</f>
        <v/>
      </c>
      <c r="F447" s="18"/>
      <c r="G447" s="18" t="str">
        <f t="shared" si="25"/>
        <v/>
      </c>
      <c r="H447" s="18" t="str">
        <f t="shared" si="26"/>
        <v/>
      </c>
      <c r="I447" s="35" t="str">
        <f t="shared" si="27"/>
        <v/>
      </c>
      <c r="J447" s="50"/>
      <c r="K447" s="17"/>
    </row>
    <row r="448" spans="1:11">
      <c r="A448" s="6">
        <f t="shared" si="24"/>
        <v>443</v>
      </c>
      <c r="B448" s="49"/>
      <c r="C448" s="35" t="str">
        <f>IFERROR(VLOOKUP(B448,'MASTER RECORD'!$B$5:$W$1000,3,0),"")</f>
        <v/>
      </c>
      <c r="D448" s="35" t="str">
        <f>IFERROR(VLOOKUP(B448,'MASTER RECORD'!$B$5:$W$1000,2,0),"")</f>
        <v/>
      </c>
      <c r="E448" s="36" t="str">
        <f>IFERROR(VLOOKUP(B448,'MASTER RECORD'!$B$5:$W$1000,9,0),"")</f>
        <v/>
      </c>
      <c r="F448" s="18"/>
      <c r="G448" s="18" t="str">
        <f t="shared" si="25"/>
        <v/>
      </c>
      <c r="H448" s="18" t="str">
        <f t="shared" si="26"/>
        <v/>
      </c>
      <c r="I448" s="35" t="str">
        <f t="shared" si="27"/>
        <v/>
      </c>
      <c r="J448" s="50"/>
      <c r="K448" s="17"/>
    </row>
    <row r="449" spans="1:11">
      <c r="A449" s="6">
        <f t="shared" si="24"/>
        <v>444</v>
      </c>
      <c r="B449" s="49"/>
      <c r="C449" s="35" t="str">
        <f>IFERROR(VLOOKUP(B449,'MASTER RECORD'!$B$5:$W$1000,3,0),"")</f>
        <v/>
      </c>
      <c r="D449" s="35" t="str">
        <f>IFERROR(VLOOKUP(B449,'MASTER RECORD'!$B$5:$W$1000,2,0),"")</f>
        <v/>
      </c>
      <c r="E449" s="36" t="str">
        <f>IFERROR(VLOOKUP(B449,'MASTER RECORD'!$B$5:$W$1000,9,0),"")</f>
        <v/>
      </c>
      <c r="F449" s="18"/>
      <c r="G449" s="18" t="str">
        <f t="shared" si="25"/>
        <v/>
      </c>
      <c r="H449" s="18" t="str">
        <f t="shared" si="26"/>
        <v/>
      </c>
      <c r="I449" s="35" t="str">
        <f t="shared" si="27"/>
        <v/>
      </c>
      <c r="J449" s="50"/>
      <c r="K449" s="17"/>
    </row>
    <row r="450" spans="1:11">
      <c r="A450" s="6">
        <f t="shared" si="24"/>
        <v>445</v>
      </c>
      <c r="B450" s="49"/>
      <c r="C450" s="35" t="str">
        <f>IFERROR(VLOOKUP(B450,'MASTER RECORD'!$B$5:$W$1000,3,0),"")</f>
        <v/>
      </c>
      <c r="D450" s="35" t="str">
        <f>IFERROR(VLOOKUP(B450,'MASTER RECORD'!$B$5:$W$1000,2,0),"")</f>
        <v/>
      </c>
      <c r="E450" s="36" t="str">
        <f>IFERROR(VLOOKUP(B450,'MASTER RECORD'!$B$5:$W$1000,9,0),"")</f>
        <v/>
      </c>
      <c r="F450" s="18"/>
      <c r="G450" s="18" t="str">
        <f t="shared" si="25"/>
        <v/>
      </c>
      <c r="H450" s="18" t="str">
        <f t="shared" si="26"/>
        <v/>
      </c>
      <c r="I450" s="35" t="str">
        <f t="shared" si="27"/>
        <v/>
      </c>
      <c r="J450" s="50"/>
      <c r="K450" s="17"/>
    </row>
    <row r="451" spans="1:11">
      <c r="A451" s="6">
        <f t="shared" si="24"/>
        <v>446</v>
      </c>
      <c r="B451" s="49"/>
      <c r="C451" s="35" t="str">
        <f>IFERROR(VLOOKUP(B451,'MASTER RECORD'!$B$5:$W$1000,3,0),"")</f>
        <v/>
      </c>
      <c r="D451" s="35" t="str">
        <f>IFERROR(VLOOKUP(B451,'MASTER RECORD'!$B$5:$W$1000,2,0),"")</f>
        <v/>
      </c>
      <c r="E451" s="36" t="str">
        <f>IFERROR(VLOOKUP(B451,'MASTER RECORD'!$B$5:$W$1000,9,0),"")</f>
        <v/>
      </c>
      <c r="F451" s="18"/>
      <c r="G451" s="18" t="str">
        <f t="shared" si="25"/>
        <v/>
      </c>
      <c r="H451" s="18" t="str">
        <f t="shared" si="26"/>
        <v/>
      </c>
      <c r="I451" s="35" t="str">
        <f t="shared" si="27"/>
        <v/>
      </c>
      <c r="J451" s="50"/>
      <c r="K451" s="17"/>
    </row>
    <row r="452" spans="1:11">
      <c r="A452" s="6">
        <f t="shared" si="24"/>
        <v>447</v>
      </c>
      <c r="B452" s="49"/>
      <c r="C452" s="35" t="str">
        <f>IFERROR(VLOOKUP(B452,'MASTER RECORD'!$B$5:$W$1000,3,0),"")</f>
        <v/>
      </c>
      <c r="D452" s="35" t="str">
        <f>IFERROR(VLOOKUP(B452,'MASTER RECORD'!$B$5:$W$1000,2,0),"")</f>
        <v/>
      </c>
      <c r="E452" s="36" t="str">
        <f>IFERROR(VLOOKUP(B452,'MASTER RECORD'!$B$5:$W$1000,9,0),"")</f>
        <v/>
      </c>
      <c r="F452" s="18"/>
      <c r="G452" s="18" t="str">
        <f t="shared" si="25"/>
        <v/>
      </c>
      <c r="H452" s="18" t="str">
        <f t="shared" si="26"/>
        <v/>
      </c>
      <c r="I452" s="35" t="str">
        <f t="shared" si="27"/>
        <v/>
      </c>
      <c r="J452" s="50"/>
      <c r="K452" s="17"/>
    </row>
    <row r="453" spans="1:11">
      <c r="A453" s="6">
        <f t="shared" si="24"/>
        <v>448</v>
      </c>
      <c r="B453" s="49"/>
      <c r="C453" s="35" t="str">
        <f>IFERROR(VLOOKUP(B453,'MASTER RECORD'!$B$5:$W$1000,3,0),"")</f>
        <v/>
      </c>
      <c r="D453" s="35" t="str">
        <f>IFERROR(VLOOKUP(B453,'MASTER RECORD'!$B$5:$W$1000,2,0),"")</f>
        <v/>
      </c>
      <c r="E453" s="36" t="str">
        <f>IFERROR(VLOOKUP(B453,'MASTER RECORD'!$B$5:$W$1000,9,0),"")</f>
        <v/>
      </c>
      <c r="F453" s="18"/>
      <c r="G453" s="18" t="str">
        <f t="shared" si="25"/>
        <v/>
      </c>
      <c r="H453" s="18" t="str">
        <f t="shared" si="26"/>
        <v/>
      </c>
      <c r="I453" s="35" t="str">
        <f t="shared" si="27"/>
        <v/>
      </c>
      <c r="J453" s="50"/>
      <c r="K453" s="17"/>
    </row>
    <row r="454" spans="1:11">
      <c r="A454" s="6">
        <f t="shared" si="24"/>
        <v>449</v>
      </c>
      <c r="B454" s="49"/>
      <c r="C454" s="35" t="str">
        <f>IFERROR(VLOOKUP(B454,'MASTER RECORD'!$B$5:$W$1000,3,0),"")</f>
        <v/>
      </c>
      <c r="D454" s="35" t="str">
        <f>IFERROR(VLOOKUP(B454,'MASTER RECORD'!$B$5:$W$1000,2,0),"")</f>
        <v/>
      </c>
      <c r="E454" s="36" t="str">
        <f>IFERROR(VLOOKUP(B454,'MASTER RECORD'!$B$5:$W$1000,9,0),"")</f>
        <v/>
      </c>
      <c r="F454" s="18"/>
      <c r="G454" s="18" t="str">
        <f t="shared" si="25"/>
        <v/>
      </c>
      <c r="H454" s="18" t="str">
        <f t="shared" si="26"/>
        <v/>
      </c>
      <c r="I454" s="35" t="str">
        <f t="shared" si="27"/>
        <v/>
      </c>
      <c r="J454" s="50"/>
      <c r="K454" s="17"/>
    </row>
    <row r="455" spans="1:11">
      <c r="A455" s="6">
        <f t="shared" ref="A455:A518" si="28">ROW(A450)</f>
        <v>450</v>
      </c>
      <c r="B455" s="49"/>
      <c r="C455" s="35" t="str">
        <f>IFERROR(VLOOKUP(B455,'MASTER RECORD'!$B$5:$W$1000,3,0),"")</f>
        <v/>
      </c>
      <c r="D455" s="35" t="str">
        <f>IFERROR(VLOOKUP(B455,'MASTER RECORD'!$B$5:$W$1000,2,0),"")</f>
        <v/>
      </c>
      <c r="E455" s="36" t="str">
        <f>IFERROR(VLOOKUP(B455,'MASTER RECORD'!$B$5:$W$1000,9,0),"")</f>
        <v/>
      </c>
      <c r="F455" s="18"/>
      <c r="G455" s="18" t="str">
        <f t="shared" ref="G455:G518" si="29">IF($F455=0,"",TEXT($F455,"mmmm"))</f>
        <v/>
      </c>
      <c r="H455" s="18" t="str">
        <f t="shared" ref="H455:H518" si="30">IF($F455=0,"",TEXT($F455,"yyyy"))</f>
        <v/>
      </c>
      <c r="I455" s="35" t="str">
        <f t="shared" ref="I455:I518" si="31">IFERROR(DATEDIF(E455,F455,"Y")&amp;"."&amp;DATEDIF(E455,F455,"YM"),"")</f>
        <v/>
      </c>
      <c r="J455" s="50"/>
      <c r="K455" s="17"/>
    </row>
    <row r="456" spans="1:11">
      <c r="A456" s="6">
        <f t="shared" si="28"/>
        <v>451</v>
      </c>
      <c r="B456" s="49"/>
      <c r="C456" s="35" t="str">
        <f>IFERROR(VLOOKUP(B456,'MASTER RECORD'!$B$5:$W$1000,3,0),"")</f>
        <v/>
      </c>
      <c r="D456" s="35" t="str">
        <f>IFERROR(VLOOKUP(B456,'MASTER RECORD'!$B$5:$W$1000,2,0),"")</f>
        <v/>
      </c>
      <c r="E456" s="36" t="str">
        <f>IFERROR(VLOOKUP(B456,'MASTER RECORD'!$B$5:$W$1000,9,0),"")</f>
        <v/>
      </c>
      <c r="F456" s="18"/>
      <c r="G456" s="18" t="str">
        <f t="shared" si="29"/>
        <v/>
      </c>
      <c r="H456" s="18" t="str">
        <f t="shared" si="30"/>
        <v/>
      </c>
      <c r="I456" s="35" t="str">
        <f t="shared" si="31"/>
        <v/>
      </c>
      <c r="J456" s="50"/>
      <c r="K456" s="17"/>
    </row>
    <row r="457" spans="1:11">
      <c r="A457" s="6">
        <f t="shared" si="28"/>
        <v>452</v>
      </c>
      <c r="B457" s="49"/>
      <c r="C457" s="35" t="str">
        <f>IFERROR(VLOOKUP(B457,'MASTER RECORD'!$B$5:$W$1000,3,0),"")</f>
        <v/>
      </c>
      <c r="D457" s="35" t="str">
        <f>IFERROR(VLOOKUP(B457,'MASTER RECORD'!$B$5:$W$1000,2,0),"")</f>
        <v/>
      </c>
      <c r="E457" s="36" t="str">
        <f>IFERROR(VLOOKUP(B457,'MASTER RECORD'!$B$5:$W$1000,9,0),"")</f>
        <v/>
      </c>
      <c r="F457" s="18"/>
      <c r="G457" s="18" t="str">
        <f t="shared" si="29"/>
        <v/>
      </c>
      <c r="H457" s="18" t="str">
        <f t="shared" si="30"/>
        <v/>
      </c>
      <c r="I457" s="35" t="str">
        <f t="shared" si="31"/>
        <v/>
      </c>
      <c r="J457" s="50"/>
      <c r="K457" s="17"/>
    </row>
    <row r="458" spans="1:11">
      <c r="A458" s="6">
        <f t="shared" si="28"/>
        <v>453</v>
      </c>
      <c r="B458" s="49"/>
      <c r="C458" s="35" t="str">
        <f>IFERROR(VLOOKUP(B458,'MASTER RECORD'!$B$5:$W$1000,3,0),"")</f>
        <v/>
      </c>
      <c r="D458" s="35" t="str">
        <f>IFERROR(VLOOKUP(B458,'MASTER RECORD'!$B$5:$W$1000,2,0),"")</f>
        <v/>
      </c>
      <c r="E458" s="36" t="str">
        <f>IFERROR(VLOOKUP(B458,'MASTER RECORD'!$B$5:$W$1000,9,0),"")</f>
        <v/>
      </c>
      <c r="F458" s="18"/>
      <c r="G458" s="18" t="str">
        <f t="shared" si="29"/>
        <v/>
      </c>
      <c r="H458" s="18" t="str">
        <f t="shared" si="30"/>
        <v/>
      </c>
      <c r="I458" s="35" t="str">
        <f t="shared" si="31"/>
        <v/>
      </c>
      <c r="J458" s="50"/>
      <c r="K458" s="17"/>
    </row>
    <row r="459" spans="1:11">
      <c r="A459" s="6">
        <f t="shared" si="28"/>
        <v>454</v>
      </c>
      <c r="B459" s="49"/>
      <c r="C459" s="35" t="str">
        <f>IFERROR(VLOOKUP(B459,'MASTER RECORD'!$B$5:$W$1000,3,0),"")</f>
        <v/>
      </c>
      <c r="D459" s="35" t="str">
        <f>IFERROR(VLOOKUP(B459,'MASTER RECORD'!$B$5:$W$1000,2,0),"")</f>
        <v/>
      </c>
      <c r="E459" s="36" t="str">
        <f>IFERROR(VLOOKUP(B459,'MASTER RECORD'!$B$5:$W$1000,9,0),"")</f>
        <v/>
      </c>
      <c r="F459" s="18"/>
      <c r="G459" s="18" t="str">
        <f t="shared" si="29"/>
        <v/>
      </c>
      <c r="H459" s="18" t="str">
        <f t="shared" si="30"/>
        <v/>
      </c>
      <c r="I459" s="35" t="str">
        <f t="shared" si="31"/>
        <v/>
      </c>
      <c r="J459" s="50"/>
      <c r="K459" s="17"/>
    </row>
    <row r="460" spans="1:11">
      <c r="A460" s="6">
        <f t="shared" si="28"/>
        <v>455</v>
      </c>
      <c r="B460" s="49"/>
      <c r="C460" s="35" t="str">
        <f>IFERROR(VLOOKUP(B460,'MASTER RECORD'!$B$5:$W$1000,3,0),"")</f>
        <v/>
      </c>
      <c r="D460" s="35" t="str">
        <f>IFERROR(VLOOKUP(B460,'MASTER RECORD'!$B$5:$W$1000,2,0),"")</f>
        <v/>
      </c>
      <c r="E460" s="36" t="str">
        <f>IFERROR(VLOOKUP(B460,'MASTER RECORD'!$B$5:$W$1000,9,0),"")</f>
        <v/>
      </c>
      <c r="F460" s="18"/>
      <c r="G460" s="18" t="str">
        <f t="shared" si="29"/>
        <v/>
      </c>
      <c r="H460" s="18" t="str">
        <f t="shared" si="30"/>
        <v/>
      </c>
      <c r="I460" s="35" t="str">
        <f t="shared" si="31"/>
        <v/>
      </c>
      <c r="J460" s="50"/>
      <c r="K460" s="17"/>
    </row>
    <row r="461" spans="1:11">
      <c r="A461" s="6">
        <f t="shared" si="28"/>
        <v>456</v>
      </c>
      <c r="B461" s="49"/>
      <c r="C461" s="35" t="str">
        <f>IFERROR(VLOOKUP(B461,'MASTER RECORD'!$B$5:$W$1000,3,0),"")</f>
        <v/>
      </c>
      <c r="D461" s="35" t="str">
        <f>IFERROR(VLOOKUP(B461,'MASTER RECORD'!$B$5:$W$1000,2,0),"")</f>
        <v/>
      </c>
      <c r="E461" s="36" t="str">
        <f>IFERROR(VLOOKUP(B461,'MASTER RECORD'!$B$5:$W$1000,9,0),"")</f>
        <v/>
      </c>
      <c r="F461" s="18"/>
      <c r="G461" s="18" t="str">
        <f t="shared" si="29"/>
        <v/>
      </c>
      <c r="H461" s="18" t="str">
        <f t="shared" si="30"/>
        <v/>
      </c>
      <c r="I461" s="35" t="str">
        <f t="shared" si="31"/>
        <v/>
      </c>
      <c r="J461" s="50"/>
      <c r="K461" s="17"/>
    </row>
    <row r="462" spans="1:11">
      <c r="A462" s="6">
        <f t="shared" si="28"/>
        <v>457</v>
      </c>
      <c r="B462" s="49"/>
      <c r="C462" s="35" t="str">
        <f>IFERROR(VLOOKUP(B462,'MASTER RECORD'!$B$5:$W$1000,3,0),"")</f>
        <v/>
      </c>
      <c r="D462" s="35" t="str">
        <f>IFERROR(VLOOKUP(B462,'MASTER RECORD'!$B$5:$W$1000,2,0),"")</f>
        <v/>
      </c>
      <c r="E462" s="36" t="str">
        <f>IFERROR(VLOOKUP(B462,'MASTER RECORD'!$B$5:$W$1000,9,0),"")</f>
        <v/>
      </c>
      <c r="F462" s="18"/>
      <c r="G462" s="18" t="str">
        <f t="shared" si="29"/>
        <v/>
      </c>
      <c r="H462" s="18" t="str">
        <f t="shared" si="30"/>
        <v/>
      </c>
      <c r="I462" s="35" t="str">
        <f t="shared" si="31"/>
        <v/>
      </c>
      <c r="J462" s="50"/>
      <c r="K462" s="17"/>
    </row>
    <row r="463" spans="1:11">
      <c r="A463" s="6">
        <f t="shared" si="28"/>
        <v>458</v>
      </c>
      <c r="B463" s="49"/>
      <c r="C463" s="35" t="str">
        <f>IFERROR(VLOOKUP(B463,'MASTER RECORD'!$B$5:$W$1000,3,0),"")</f>
        <v/>
      </c>
      <c r="D463" s="35" t="str">
        <f>IFERROR(VLOOKUP(B463,'MASTER RECORD'!$B$5:$W$1000,2,0),"")</f>
        <v/>
      </c>
      <c r="E463" s="36" t="str">
        <f>IFERROR(VLOOKUP(B463,'MASTER RECORD'!$B$5:$W$1000,9,0),"")</f>
        <v/>
      </c>
      <c r="F463" s="18"/>
      <c r="G463" s="18" t="str">
        <f t="shared" si="29"/>
        <v/>
      </c>
      <c r="H463" s="18" t="str">
        <f t="shared" si="30"/>
        <v/>
      </c>
      <c r="I463" s="35" t="str">
        <f t="shared" si="31"/>
        <v/>
      </c>
      <c r="J463" s="50"/>
      <c r="K463" s="17"/>
    </row>
    <row r="464" spans="1:11">
      <c r="A464" s="6">
        <f t="shared" si="28"/>
        <v>459</v>
      </c>
      <c r="B464" s="49"/>
      <c r="C464" s="35" t="str">
        <f>IFERROR(VLOOKUP(B464,'MASTER RECORD'!$B$5:$W$1000,3,0),"")</f>
        <v/>
      </c>
      <c r="D464" s="35" t="str">
        <f>IFERROR(VLOOKUP(B464,'MASTER RECORD'!$B$5:$W$1000,2,0),"")</f>
        <v/>
      </c>
      <c r="E464" s="36" t="str">
        <f>IFERROR(VLOOKUP(B464,'MASTER RECORD'!$B$5:$W$1000,9,0),"")</f>
        <v/>
      </c>
      <c r="F464" s="18"/>
      <c r="G464" s="18" t="str">
        <f t="shared" si="29"/>
        <v/>
      </c>
      <c r="H464" s="18" t="str">
        <f t="shared" si="30"/>
        <v/>
      </c>
      <c r="I464" s="35" t="str">
        <f t="shared" si="31"/>
        <v/>
      </c>
      <c r="J464" s="50"/>
      <c r="K464" s="17"/>
    </row>
    <row r="465" spans="1:11">
      <c r="A465" s="6">
        <f t="shared" si="28"/>
        <v>460</v>
      </c>
      <c r="B465" s="49"/>
      <c r="C465" s="35" t="str">
        <f>IFERROR(VLOOKUP(B465,'MASTER RECORD'!$B$5:$W$1000,3,0),"")</f>
        <v/>
      </c>
      <c r="D465" s="35" t="str">
        <f>IFERROR(VLOOKUP(B465,'MASTER RECORD'!$B$5:$W$1000,2,0),"")</f>
        <v/>
      </c>
      <c r="E465" s="36" t="str">
        <f>IFERROR(VLOOKUP(B465,'MASTER RECORD'!$B$5:$W$1000,9,0),"")</f>
        <v/>
      </c>
      <c r="F465" s="18"/>
      <c r="G465" s="18" t="str">
        <f t="shared" si="29"/>
        <v/>
      </c>
      <c r="H465" s="18" t="str">
        <f t="shared" si="30"/>
        <v/>
      </c>
      <c r="I465" s="35" t="str">
        <f t="shared" si="31"/>
        <v/>
      </c>
      <c r="J465" s="50"/>
      <c r="K465" s="17"/>
    </row>
    <row r="466" spans="1:11">
      <c r="A466" s="6">
        <f t="shared" si="28"/>
        <v>461</v>
      </c>
      <c r="B466" s="49"/>
      <c r="C466" s="35" t="str">
        <f>IFERROR(VLOOKUP(B466,'MASTER RECORD'!$B$5:$W$1000,3,0),"")</f>
        <v/>
      </c>
      <c r="D466" s="35" t="str">
        <f>IFERROR(VLOOKUP(B466,'MASTER RECORD'!$B$5:$W$1000,2,0),"")</f>
        <v/>
      </c>
      <c r="E466" s="36" t="str">
        <f>IFERROR(VLOOKUP(B466,'MASTER RECORD'!$B$5:$W$1000,9,0),"")</f>
        <v/>
      </c>
      <c r="F466" s="18"/>
      <c r="G466" s="18" t="str">
        <f t="shared" si="29"/>
        <v/>
      </c>
      <c r="H466" s="18" t="str">
        <f t="shared" si="30"/>
        <v/>
      </c>
      <c r="I466" s="35" t="str">
        <f t="shared" si="31"/>
        <v/>
      </c>
      <c r="J466" s="50"/>
      <c r="K466" s="17"/>
    </row>
    <row r="467" spans="1:11">
      <c r="A467" s="6">
        <f t="shared" si="28"/>
        <v>462</v>
      </c>
      <c r="B467" s="49"/>
      <c r="C467" s="35" t="str">
        <f>IFERROR(VLOOKUP(B467,'MASTER RECORD'!$B$5:$W$1000,3,0),"")</f>
        <v/>
      </c>
      <c r="D467" s="35" t="str">
        <f>IFERROR(VLOOKUP(B467,'MASTER RECORD'!$B$5:$W$1000,2,0),"")</f>
        <v/>
      </c>
      <c r="E467" s="36" t="str">
        <f>IFERROR(VLOOKUP(B467,'MASTER RECORD'!$B$5:$W$1000,9,0),"")</f>
        <v/>
      </c>
      <c r="F467" s="18"/>
      <c r="G467" s="18" t="str">
        <f t="shared" si="29"/>
        <v/>
      </c>
      <c r="H467" s="18" t="str">
        <f t="shared" si="30"/>
        <v/>
      </c>
      <c r="I467" s="35" t="str">
        <f t="shared" si="31"/>
        <v/>
      </c>
      <c r="J467" s="50"/>
      <c r="K467" s="17"/>
    </row>
    <row r="468" spans="1:11">
      <c r="A468" s="6">
        <f t="shared" si="28"/>
        <v>463</v>
      </c>
      <c r="B468" s="49"/>
      <c r="C468" s="35" t="str">
        <f>IFERROR(VLOOKUP(B468,'MASTER RECORD'!$B$5:$W$1000,3,0),"")</f>
        <v/>
      </c>
      <c r="D468" s="35" t="str">
        <f>IFERROR(VLOOKUP(B468,'MASTER RECORD'!$B$5:$W$1000,2,0),"")</f>
        <v/>
      </c>
      <c r="E468" s="36" t="str">
        <f>IFERROR(VLOOKUP(B468,'MASTER RECORD'!$B$5:$W$1000,9,0),"")</f>
        <v/>
      </c>
      <c r="F468" s="18"/>
      <c r="G468" s="18" t="str">
        <f t="shared" si="29"/>
        <v/>
      </c>
      <c r="H468" s="18" t="str">
        <f t="shared" si="30"/>
        <v/>
      </c>
      <c r="I468" s="35" t="str">
        <f t="shared" si="31"/>
        <v/>
      </c>
      <c r="J468" s="50"/>
      <c r="K468" s="17"/>
    </row>
    <row r="469" spans="1:11">
      <c r="A469" s="6">
        <f t="shared" si="28"/>
        <v>464</v>
      </c>
      <c r="B469" s="49"/>
      <c r="C469" s="35" t="str">
        <f>IFERROR(VLOOKUP(B469,'MASTER RECORD'!$B$5:$W$1000,3,0),"")</f>
        <v/>
      </c>
      <c r="D469" s="35" t="str">
        <f>IFERROR(VLOOKUP(B469,'MASTER RECORD'!$B$5:$W$1000,2,0),"")</f>
        <v/>
      </c>
      <c r="E469" s="36" t="str">
        <f>IFERROR(VLOOKUP(B469,'MASTER RECORD'!$B$5:$W$1000,9,0),"")</f>
        <v/>
      </c>
      <c r="F469" s="18"/>
      <c r="G469" s="18" t="str">
        <f t="shared" si="29"/>
        <v/>
      </c>
      <c r="H469" s="18" t="str">
        <f t="shared" si="30"/>
        <v/>
      </c>
      <c r="I469" s="35" t="str">
        <f t="shared" si="31"/>
        <v/>
      </c>
      <c r="J469" s="50"/>
      <c r="K469" s="17"/>
    </row>
    <row r="470" spans="1:11">
      <c r="A470" s="6">
        <f t="shared" si="28"/>
        <v>465</v>
      </c>
      <c r="B470" s="49"/>
      <c r="C470" s="35" t="str">
        <f>IFERROR(VLOOKUP(B470,'MASTER RECORD'!$B$5:$W$1000,3,0),"")</f>
        <v/>
      </c>
      <c r="D470" s="35" t="str">
        <f>IFERROR(VLOOKUP(B470,'MASTER RECORD'!$B$5:$W$1000,2,0),"")</f>
        <v/>
      </c>
      <c r="E470" s="36" t="str">
        <f>IFERROR(VLOOKUP(B470,'MASTER RECORD'!$B$5:$W$1000,9,0),"")</f>
        <v/>
      </c>
      <c r="F470" s="18"/>
      <c r="G470" s="18" t="str">
        <f t="shared" si="29"/>
        <v/>
      </c>
      <c r="H470" s="18" t="str">
        <f t="shared" si="30"/>
        <v/>
      </c>
      <c r="I470" s="35" t="str">
        <f t="shared" si="31"/>
        <v/>
      </c>
      <c r="J470" s="50"/>
      <c r="K470" s="17"/>
    </row>
    <row r="471" spans="1:11">
      <c r="A471" s="6">
        <f t="shared" si="28"/>
        <v>466</v>
      </c>
      <c r="B471" s="49"/>
      <c r="C471" s="35" t="str">
        <f>IFERROR(VLOOKUP(B471,'MASTER RECORD'!$B$5:$W$1000,3,0),"")</f>
        <v/>
      </c>
      <c r="D471" s="35" t="str">
        <f>IFERROR(VLOOKUP(B471,'MASTER RECORD'!$B$5:$W$1000,2,0),"")</f>
        <v/>
      </c>
      <c r="E471" s="36" t="str">
        <f>IFERROR(VLOOKUP(B471,'MASTER RECORD'!$B$5:$W$1000,9,0),"")</f>
        <v/>
      </c>
      <c r="F471" s="18"/>
      <c r="G471" s="18" t="str">
        <f t="shared" si="29"/>
        <v/>
      </c>
      <c r="H471" s="18" t="str">
        <f t="shared" si="30"/>
        <v/>
      </c>
      <c r="I471" s="35" t="str">
        <f t="shared" si="31"/>
        <v/>
      </c>
      <c r="J471" s="50"/>
      <c r="K471" s="17"/>
    </row>
    <row r="472" spans="1:11">
      <c r="A472" s="6">
        <f t="shared" si="28"/>
        <v>467</v>
      </c>
      <c r="B472" s="49"/>
      <c r="C472" s="35" t="str">
        <f>IFERROR(VLOOKUP(B472,'MASTER RECORD'!$B$5:$W$1000,3,0),"")</f>
        <v/>
      </c>
      <c r="D472" s="35" t="str">
        <f>IFERROR(VLOOKUP(B472,'MASTER RECORD'!$B$5:$W$1000,2,0),"")</f>
        <v/>
      </c>
      <c r="E472" s="36" t="str">
        <f>IFERROR(VLOOKUP(B472,'MASTER RECORD'!$B$5:$W$1000,9,0),"")</f>
        <v/>
      </c>
      <c r="F472" s="18"/>
      <c r="G472" s="18" t="str">
        <f t="shared" si="29"/>
        <v/>
      </c>
      <c r="H472" s="18" t="str">
        <f t="shared" si="30"/>
        <v/>
      </c>
      <c r="I472" s="35" t="str">
        <f t="shared" si="31"/>
        <v/>
      </c>
      <c r="J472" s="50"/>
      <c r="K472" s="17"/>
    </row>
    <row r="473" spans="1:11">
      <c r="A473" s="6">
        <f t="shared" si="28"/>
        <v>468</v>
      </c>
      <c r="B473" s="49"/>
      <c r="C473" s="35" t="str">
        <f>IFERROR(VLOOKUP(B473,'MASTER RECORD'!$B$5:$W$1000,3,0),"")</f>
        <v/>
      </c>
      <c r="D473" s="35" t="str">
        <f>IFERROR(VLOOKUP(B473,'MASTER RECORD'!$B$5:$W$1000,2,0),"")</f>
        <v/>
      </c>
      <c r="E473" s="36" t="str">
        <f>IFERROR(VLOOKUP(B473,'MASTER RECORD'!$B$5:$W$1000,9,0),"")</f>
        <v/>
      </c>
      <c r="F473" s="18"/>
      <c r="G473" s="18" t="str">
        <f t="shared" si="29"/>
        <v/>
      </c>
      <c r="H473" s="18" t="str">
        <f t="shared" si="30"/>
        <v/>
      </c>
      <c r="I473" s="35" t="str">
        <f t="shared" si="31"/>
        <v/>
      </c>
      <c r="J473" s="50"/>
      <c r="K473" s="17"/>
    </row>
    <row r="474" spans="1:11">
      <c r="A474" s="6">
        <f t="shared" si="28"/>
        <v>469</v>
      </c>
      <c r="B474" s="49"/>
      <c r="C474" s="35" t="str">
        <f>IFERROR(VLOOKUP(B474,'MASTER RECORD'!$B$5:$W$1000,3,0),"")</f>
        <v/>
      </c>
      <c r="D474" s="35" t="str">
        <f>IFERROR(VLOOKUP(B474,'MASTER RECORD'!$B$5:$W$1000,2,0),"")</f>
        <v/>
      </c>
      <c r="E474" s="36" t="str">
        <f>IFERROR(VLOOKUP(B474,'MASTER RECORD'!$B$5:$W$1000,9,0),"")</f>
        <v/>
      </c>
      <c r="F474" s="18"/>
      <c r="G474" s="18" t="str">
        <f t="shared" si="29"/>
        <v/>
      </c>
      <c r="H474" s="18" t="str">
        <f t="shared" si="30"/>
        <v/>
      </c>
      <c r="I474" s="35" t="str">
        <f t="shared" si="31"/>
        <v/>
      </c>
      <c r="J474" s="50"/>
      <c r="K474" s="17"/>
    </row>
    <row r="475" spans="1:11">
      <c r="A475" s="6">
        <f t="shared" si="28"/>
        <v>470</v>
      </c>
      <c r="B475" s="49"/>
      <c r="C475" s="35" t="str">
        <f>IFERROR(VLOOKUP(B475,'MASTER RECORD'!$B$5:$W$1000,3,0),"")</f>
        <v/>
      </c>
      <c r="D475" s="35" t="str">
        <f>IFERROR(VLOOKUP(B475,'MASTER RECORD'!$B$5:$W$1000,2,0),"")</f>
        <v/>
      </c>
      <c r="E475" s="36" t="str">
        <f>IFERROR(VLOOKUP(B475,'MASTER RECORD'!$B$5:$W$1000,9,0),"")</f>
        <v/>
      </c>
      <c r="F475" s="18"/>
      <c r="G475" s="18" t="str">
        <f t="shared" si="29"/>
        <v/>
      </c>
      <c r="H475" s="18" t="str">
        <f t="shared" si="30"/>
        <v/>
      </c>
      <c r="I475" s="35" t="str">
        <f t="shared" si="31"/>
        <v/>
      </c>
      <c r="J475" s="50"/>
      <c r="K475" s="17"/>
    </row>
    <row r="476" spans="1:11">
      <c r="A476" s="6">
        <f t="shared" si="28"/>
        <v>471</v>
      </c>
      <c r="B476" s="49"/>
      <c r="C476" s="35" t="str">
        <f>IFERROR(VLOOKUP(B476,'MASTER RECORD'!$B$5:$W$1000,3,0),"")</f>
        <v/>
      </c>
      <c r="D476" s="35" t="str">
        <f>IFERROR(VLOOKUP(B476,'MASTER RECORD'!$B$5:$W$1000,2,0),"")</f>
        <v/>
      </c>
      <c r="E476" s="36" t="str">
        <f>IFERROR(VLOOKUP(B476,'MASTER RECORD'!$B$5:$W$1000,9,0),"")</f>
        <v/>
      </c>
      <c r="F476" s="18"/>
      <c r="G476" s="18" t="str">
        <f t="shared" si="29"/>
        <v/>
      </c>
      <c r="H476" s="18" t="str">
        <f t="shared" si="30"/>
        <v/>
      </c>
      <c r="I476" s="35" t="str">
        <f t="shared" si="31"/>
        <v/>
      </c>
      <c r="J476" s="50"/>
      <c r="K476" s="17"/>
    </row>
    <row r="477" spans="1:11">
      <c r="A477" s="6">
        <f t="shared" si="28"/>
        <v>472</v>
      </c>
      <c r="B477" s="49"/>
      <c r="C477" s="35" t="str">
        <f>IFERROR(VLOOKUP(B477,'MASTER RECORD'!$B$5:$W$1000,3,0),"")</f>
        <v/>
      </c>
      <c r="D477" s="35" t="str">
        <f>IFERROR(VLOOKUP(B477,'MASTER RECORD'!$B$5:$W$1000,2,0),"")</f>
        <v/>
      </c>
      <c r="E477" s="36" t="str">
        <f>IFERROR(VLOOKUP(B477,'MASTER RECORD'!$B$5:$W$1000,9,0),"")</f>
        <v/>
      </c>
      <c r="F477" s="18"/>
      <c r="G477" s="18" t="str">
        <f t="shared" si="29"/>
        <v/>
      </c>
      <c r="H477" s="18" t="str">
        <f t="shared" si="30"/>
        <v/>
      </c>
      <c r="I477" s="35" t="str">
        <f t="shared" si="31"/>
        <v/>
      </c>
      <c r="J477" s="50"/>
      <c r="K477" s="17"/>
    </row>
    <row r="478" spans="1:11">
      <c r="A478" s="6">
        <f t="shared" si="28"/>
        <v>473</v>
      </c>
      <c r="B478" s="49"/>
      <c r="C478" s="35" t="str">
        <f>IFERROR(VLOOKUP(B478,'MASTER RECORD'!$B$5:$W$1000,3,0),"")</f>
        <v/>
      </c>
      <c r="D478" s="35" t="str">
        <f>IFERROR(VLOOKUP(B478,'MASTER RECORD'!$B$5:$W$1000,2,0),"")</f>
        <v/>
      </c>
      <c r="E478" s="36" t="str">
        <f>IFERROR(VLOOKUP(B478,'MASTER RECORD'!$B$5:$W$1000,9,0),"")</f>
        <v/>
      </c>
      <c r="F478" s="18"/>
      <c r="G478" s="18" t="str">
        <f t="shared" si="29"/>
        <v/>
      </c>
      <c r="H478" s="18" t="str">
        <f t="shared" si="30"/>
        <v/>
      </c>
      <c r="I478" s="35" t="str">
        <f t="shared" si="31"/>
        <v/>
      </c>
      <c r="J478" s="50"/>
      <c r="K478" s="17"/>
    </row>
    <row r="479" spans="1:11">
      <c r="A479" s="6">
        <f t="shared" si="28"/>
        <v>474</v>
      </c>
      <c r="B479" s="49"/>
      <c r="C479" s="35" t="str">
        <f>IFERROR(VLOOKUP(B479,'MASTER RECORD'!$B$5:$W$1000,3,0),"")</f>
        <v/>
      </c>
      <c r="D479" s="35" t="str">
        <f>IFERROR(VLOOKUP(B479,'MASTER RECORD'!$B$5:$W$1000,2,0),"")</f>
        <v/>
      </c>
      <c r="E479" s="36" t="str">
        <f>IFERROR(VLOOKUP(B479,'MASTER RECORD'!$B$5:$W$1000,9,0),"")</f>
        <v/>
      </c>
      <c r="F479" s="18"/>
      <c r="G479" s="18" t="str">
        <f t="shared" si="29"/>
        <v/>
      </c>
      <c r="H479" s="18" t="str">
        <f t="shared" si="30"/>
        <v/>
      </c>
      <c r="I479" s="35" t="str">
        <f t="shared" si="31"/>
        <v/>
      </c>
      <c r="J479" s="50"/>
      <c r="K479" s="17"/>
    </row>
    <row r="480" spans="1:11">
      <c r="A480" s="6">
        <f t="shared" si="28"/>
        <v>475</v>
      </c>
      <c r="B480" s="49"/>
      <c r="C480" s="35" t="str">
        <f>IFERROR(VLOOKUP(B480,'MASTER RECORD'!$B$5:$W$1000,3,0),"")</f>
        <v/>
      </c>
      <c r="D480" s="35" t="str">
        <f>IFERROR(VLOOKUP(B480,'MASTER RECORD'!$B$5:$W$1000,2,0),"")</f>
        <v/>
      </c>
      <c r="E480" s="36" t="str">
        <f>IFERROR(VLOOKUP(B480,'MASTER RECORD'!$B$5:$W$1000,9,0),"")</f>
        <v/>
      </c>
      <c r="F480" s="18"/>
      <c r="G480" s="18" t="str">
        <f t="shared" si="29"/>
        <v/>
      </c>
      <c r="H480" s="18" t="str">
        <f t="shared" si="30"/>
        <v/>
      </c>
      <c r="I480" s="35" t="str">
        <f t="shared" si="31"/>
        <v/>
      </c>
      <c r="J480" s="50"/>
      <c r="K480" s="17"/>
    </row>
    <row r="481" spans="1:11">
      <c r="A481" s="6">
        <f t="shared" si="28"/>
        <v>476</v>
      </c>
      <c r="B481" s="49"/>
      <c r="C481" s="35" t="str">
        <f>IFERROR(VLOOKUP(B481,'MASTER RECORD'!$B$5:$W$1000,3,0),"")</f>
        <v/>
      </c>
      <c r="D481" s="35" t="str">
        <f>IFERROR(VLOOKUP(B481,'MASTER RECORD'!$B$5:$W$1000,2,0),"")</f>
        <v/>
      </c>
      <c r="E481" s="36" t="str">
        <f>IFERROR(VLOOKUP(B481,'MASTER RECORD'!$B$5:$W$1000,9,0),"")</f>
        <v/>
      </c>
      <c r="F481" s="18"/>
      <c r="G481" s="18" t="str">
        <f t="shared" si="29"/>
        <v/>
      </c>
      <c r="H481" s="18" t="str">
        <f t="shared" si="30"/>
        <v/>
      </c>
      <c r="I481" s="35" t="str">
        <f t="shared" si="31"/>
        <v/>
      </c>
      <c r="J481" s="50"/>
      <c r="K481" s="17"/>
    </row>
    <row r="482" spans="1:11">
      <c r="A482" s="6">
        <f t="shared" si="28"/>
        <v>477</v>
      </c>
      <c r="B482" s="49"/>
      <c r="C482" s="35" t="str">
        <f>IFERROR(VLOOKUP(B482,'MASTER RECORD'!$B$5:$W$1000,3,0),"")</f>
        <v/>
      </c>
      <c r="D482" s="35" t="str">
        <f>IFERROR(VLOOKUP(B482,'MASTER RECORD'!$B$5:$W$1000,2,0),"")</f>
        <v/>
      </c>
      <c r="E482" s="36" t="str">
        <f>IFERROR(VLOOKUP(B482,'MASTER RECORD'!$B$5:$W$1000,9,0),"")</f>
        <v/>
      </c>
      <c r="F482" s="18"/>
      <c r="G482" s="18" t="str">
        <f t="shared" si="29"/>
        <v/>
      </c>
      <c r="H482" s="18" t="str">
        <f t="shared" si="30"/>
        <v/>
      </c>
      <c r="I482" s="35" t="str">
        <f t="shared" si="31"/>
        <v/>
      </c>
      <c r="J482" s="50"/>
      <c r="K482" s="17"/>
    </row>
    <row r="483" spans="1:11">
      <c r="A483" s="6">
        <f t="shared" si="28"/>
        <v>478</v>
      </c>
      <c r="B483" s="49"/>
      <c r="C483" s="35" t="str">
        <f>IFERROR(VLOOKUP(B483,'MASTER RECORD'!$B$5:$W$1000,3,0),"")</f>
        <v/>
      </c>
      <c r="D483" s="35" t="str">
        <f>IFERROR(VLOOKUP(B483,'MASTER RECORD'!$B$5:$W$1000,2,0),"")</f>
        <v/>
      </c>
      <c r="E483" s="36" t="str">
        <f>IFERROR(VLOOKUP(B483,'MASTER RECORD'!$B$5:$W$1000,9,0),"")</f>
        <v/>
      </c>
      <c r="F483" s="18"/>
      <c r="G483" s="18" t="str">
        <f t="shared" si="29"/>
        <v/>
      </c>
      <c r="H483" s="18" t="str">
        <f t="shared" si="30"/>
        <v/>
      </c>
      <c r="I483" s="35" t="str">
        <f t="shared" si="31"/>
        <v/>
      </c>
      <c r="J483" s="50"/>
      <c r="K483" s="17"/>
    </row>
    <row r="484" spans="1:11">
      <c r="A484" s="6">
        <f t="shared" si="28"/>
        <v>479</v>
      </c>
      <c r="B484" s="49"/>
      <c r="C484" s="35" t="str">
        <f>IFERROR(VLOOKUP(B484,'MASTER RECORD'!$B$5:$W$1000,3,0),"")</f>
        <v/>
      </c>
      <c r="D484" s="35" t="str">
        <f>IFERROR(VLOOKUP(B484,'MASTER RECORD'!$B$5:$W$1000,2,0),"")</f>
        <v/>
      </c>
      <c r="E484" s="36" t="str">
        <f>IFERROR(VLOOKUP(B484,'MASTER RECORD'!$B$5:$W$1000,9,0),"")</f>
        <v/>
      </c>
      <c r="F484" s="18"/>
      <c r="G484" s="18" t="str">
        <f t="shared" si="29"/>
        <v/>
      </c>
      <c r="H484" s="18" t="str">
        <f t="shared" si="30"/>
        <v/>
      </c>
      <c r="I484" s="35" t="str">
        <f t="shared" si="31"/>
        <v/>
      </c>
      <c r="J484" s="50"/>
      <c r="K484" s="17"/>
    </row>
    <row r="485" spans="1:11">
      <c r="A485" s="6">
        <f t="shared" si="28"/>
        <v>480</v>
      </c>
      <c r="B485" s="49"/>
      <c r="C485" s="35" t="str">
        <f>IFERROR(VLOOKUP(B485,'MASTER RECORD'!$B$5:$W$1000,3,0),"")</f>
        <v/>
      </c>
      <c r="D485" s="35" t="str">
        <f>IFERROR(VLOOKUP(B485,'MASTER RECORD'!$B$5:$W$1000,2,0),"")</f>
        <v/>
      </c>
      <c r="E485" s="36" t="str">
        <f>IFERROR(VLOOKUP(B485,'MASTER RECORD'!$B$5:$W$1000,9,0),"")</f>
        <v/>
      </c>
      <c r="F485" s="18"/>
      <c r="G485" s="18" t="str">
        <f t="shared" si="29"/>
        <v/>
      </c>
      <c r="H485" s="18" t="str">
        <f t="shared" si="30"/>
        <v/>
      </c>
      <c r="I485" s="35" t="str">
        <f t="shared" si="31"/>
        <v/>
      </c>
      <c r="J485" s="50"/>
      <c r="K485" s="17"/>
    </row>
    <row r="486" spans="1:11">
      <c r="A486" s="6">
        <f t="shared" si="28"/>
        <v>481</v>
      </c>
      <c r="B486" s="49"/>
      <c r="C486" s="35" t="str">
        <f>IFERROR(VLOOKUP(B486,'MASTER RECORD'!$B$5:$W$1000,3,0),"")</f>
        <v/>
      </c>
      <c r="D486" s="35" t="str">
        <f>IFERROR(VLOOKUP(B486,'MASTER RECORD'!$B$5:$W$1000,2,0),"")</f>
        <v/>
      </c>
      <c r="E486" s="36" t="str">
        <f>IFERROR(VLOOKUP(B486,'MASTER RECORD'!$B$5:$W$1000,9,0),"")</f>
        <v/>
      </c>
      <c r="F486" s="18"/>
      <c r="G486" s="18" t="str">
        <f t="shared" si="29"/>
        <v/>
      </c>
      <c r="H486" s="18" t="str">
        <f t="shared" si="30"/>
        <v/>
      </c>
      <c r="I486" s="35" t="str">
        <f t="shared" si="31"/>
        <v/>
      </c>
      <c r="J486" s="50"/>
      <c r="K486" s="17"/>
    </row>
    <row r="487" spans="1:11">
      <c r="A487" s="6">
        <f t="shared" si="28"/>
        <v>482</v>
      </c>
      <c r="B487" s="49"/>
      <c r="C487" s="35" t="str">
        <f>IFERROR(VLOOKUP(B487,'MASTER RECORD'!$B$5:$W$1000,3,0),"")</f>
        <v/>
      </c>
      <c r="D487" s="35" t="str">
        <f>IFERROR(VLOOKUP(B487,'MASTER RECORD'!$B$5:$W$1000,2,0),"")</f>
        <v/>
      </c>
      <c r="E487" s="36" t="str">
        <f>IFERROR(VLOOKUP(B487,'MASTER RECORD'!$B$5:$W$1000,9,0),"")</f>
        <v/>
      </c>
      <c r="F487" s="18"/>
      <c r="G487" s="18" t="str">
        <f t="shared" si="29"/>
        <v/>
      </c>
      <c r="H487" s="18" t="str">
        <f t="shared" si="30"/>
        <v/>
      </c>
      <c r="I487" s="35" t="str">
        <f t="shared" si="31"/>
        <v/>
      </c>
      <c r="J487" s="50"/>
      <c r="K487" s="17"/>
    </row>
    <row r="488" spans="1:11">
      <c r="A488" s="6">
        <f t="shared" si="28"/>
        <v>483</v>
      </c>
      <c r="B488" s="49"/>
      <c r="C488" s="35" t="str">
        <f>IFERROR(VLOOKUP(B488,'MASTER RECORD'!$B$5:$W$1000,3,0),"")</f>
        <v/>
      </c>
      <c r="D488" s="35" t="str">
        <f>IFERROR(VLOOKUP(B488,'MASTER RECORD'!$B$5:$W$1000,2,0),"")</f>
        <v/>
      </c>
      <c r="E488" s="36" t="str">
        <f>IFERROR(VLOOKUP(B488,'MASTER RECORD'!$B$5:$W$1000,9,0),"")</f>
        <v/>
      </c>
      <c r="F488" s="18"/>
      <c r="G488" s="18" t="str">
        <f t="shared" si="29"/>
        <v/>
      </c>
      <c r="H488" s="18" t="str">
        <f t="shared" si="30"/>
        <v/>
      </c>
      <c r="I488" s="35" t="str">
        <f t="shared" si="31"/>
        <v/>
      </c>
      <c r="J488" s="50"/>
      <c r="K488" s="17"/>
    </row>
    <row r="489" spans="1:11">
      <c r="A489" s="6">
        <f t="shared" si="28"/>
        <v>484</v>
      </c>
      <c r="B489" s="49"/>
      <c r="C489" s="35" t="str">
        <f>IFERROR(VLOOKUP(B489,'MASTER RECORD'!$B$5:$W$1000,3,0),"")</f>
        <v/>
      </c>
      <c r="D489" s="35" t="str">
        <f>IFERROR(VLOOKUP(B489,'MASTER RECORD'!$B$5:$W$1000,2,0),"")</f>
        <v/>
      </c>
      <c r="E489" s="36" t="str">
        <f>IFERROR(VLOOKUP(B489,'MASTER RECORD'!$B$5:$W$1000,9,0),"")</f>
        <v/>
      </c>
      <c r="F489" s="18"/>
      <c r="G489" s="18" t="str">
        <f t="shared" si="29"/>
        <v/>
      </c>
      <c r="H489" s="18" t="str">
        <f t="shared" si="30"/>
        <v/>
      </c>
      <c r="I489" s="35" t="str">
        <f t="shared" si="31"/>
        <v/>
      </c>
      <c r="J489" s="50"/>
      <c r="K489" s="17"/>
    </row>
    <row r="490" spans="1:11">
      <c r="A490" s="6">
        <f t="shared" si="28"/>
        <v>485</v>
      </c>
      <c r="B490" s="49"/>
      <c r="C490" s="35" t="str">
        <f>IFERROR(VLOOKUP(B490,'MASTER RECORD'!$B$5:$W$1000,3,0),"")</f>
        <v/>
      </c>
      <c r="D490" s="35" t="str">
        <f>IFERROR(VLOOKUP(B490,'MASTER RECORD'!$B$5:$W$1000,2,0),"")</f>
        <v/>
      </c>
      <c r="E490" s="36" t="str">
        <f>IFERROR(VLOOKUP(B490,'MASTER RECORD'!$B$5:$W$1000,9,0),"")</f>
        <v/>
      </c>
      <c r="F490" s="18"/>
      <c r="G490" s="18" t="str">
        <f t="shared" si="29"/>
        <v/>
      </c>
      <c r="H490" s="18" t="str">
        <f t="shared" si="30"/>
        <v/>
      </c>
      <c r="I490" s="35" t="str">
        <f t="shared" si="31"/>
        <v/>
      </c>
      <c r="J490" s="50"/>
      <c r="K490" s="17"/>
    </row>
    <row r="491" spans="1:11">
      <c r="A491" s="6">
        <f t="shared" si="28"/>
        <v>486</v>
      </c>
      <c r="B491" s="49"/>
      <c r="C491" s="35" t="str">
        <f>IFERROR(VLOOKUP(B491,'MASTER RECORD'!$B$5:$W$1000,3,0),"")</f>
        <v/>
      </c>
      <c r="D491" s="35" t="str">
        <f>IFERROR(VLOOKUP(B491,'MASTER RECORD'!$B$5:$W$1000,2,0),"")</f>
        <v/>
      </c>
      <c r="E491" s="36" t="str">
        <f>IFERROR(VLOOKUP(B491,'MASTER RECORD'!$B$5:$W$1000,9,0),"")</f>
        <v/>
      </c>
      <c r="F491" s="18"/>
      <c r="G491" s="18" t="str">
        <f t="shared" si="29"/>
        <v/>
      </c>
      <c r="H491" s="18" t="str">
        <f t="shared" si="30"/>
        <v/>
      </c>
      <c r="I491" s="35" t="str">
        <f t="shared" si="31"/>
        <v/>
      </c>
      <c r="J491" s="50"/>
      <c r="K491" s="17"/>
    </row>
    <row r="492" spans="1:11">
      <c r="A492" s="6">
        <f t="shared" si="28"/>
        <v>487</v>
      </c>
      <c r="B492" s="49"/>
      <c r="C492" s="35" t="str">
        <f>IFERROR(VLOOKUP(B492,'MASTER RECORD'!$B$5:$W$1000,3,0),"")</f>
        <v/>
      </c>
      <c r="D492" s="35" t="str">
        <f>IFERROR(VLOOKUP(B492,'MASTER RECORD'!$B$5:$W$1000,2,0),"")</f>
        <v/>
      </c>
      <c r="E492" s="36" t="str">
        <f>IFERROR(VLOOKUP(B492,'MASTER RECORD'!$B$5:$W$1000,9,0),"")</f>
        <v/>
      </c>
      <c r="F492" s="18"/>
      <c r="G492" s="18" t="str">
        <f t="shared" si="29"/>
        <v/>
      </c>
      <c r="H492" s="18" t="str">
        <f t="shared" si="30"/>
        <v/>
      </c>
      <c r="I492" s="35" t="str">
        <f t="shared" si="31"/>
        <v/>
      </c>
      <c r="J492" s="50"/>
      <c r="K492" s="17"/>
    </row>
    <row r="493" spans="1:11">
      <c r="A493" s="6">
        <f t="shared" si="28"/>
        <v>488</v>
      </c>
      <c r="B493" s="49"/>
      <c r="C493" s="35" t="str">
        <f>IFERROR(VLOOKUP(B493,'MASTER RECORD'!$B$5:$W$1000,3,0),"")</f>
        <v/>
      </c>
      <c r="D493" s="35" t="str">
        <f>IFERROR(VLOOKUP(B493,'MASTER RECORD'!$B$5:$W$1000,2,0),"")</f>
        <v/>
      </c>
      <c r="E493" s="36" t="str">
        <f>IFERROR(VLOOKUP(B493,'MASTER RECORD'!$B$5:$W$1000,9,0),"")</f>
        <v/>
      </c>
      <c r="F493" s="18"/>
      <c r="G493" s="18" t="str">
        <f t="shared" si="29"/>
        <v/>
      </c>
      <c r="H493" s="18" t="str">
        <f t="shared" si="30"/>
        <v/>
      </c>
      <c r="I493" s="35" t="str">
        <f t="shared" si="31"/>
        <v/>
      </c>
      <c r="J493" s="50"/>
      <c r="K493" s="17"/>
    </row>
    <row r="494" spans="1:11">
      <c r="A494" s="6">
        <f t="shared" si="28"/>
        <v>489</v>
      </c>
      <c r="B494" s="49"/>
      <c r="C494" s="35" t="str">
        <f>IFERROR(VLOOKUP(B494,'MASTER RECORD'!$B$5:$W$1000,3,0),"")</f>
        <v/>
      </c>
      <c r="D494" s="35" t="str">
        <f>IFERROR(VLOOKUP(B494,'MASTER RECORD'!$B$5:$W$1000,2,0),"")</f>
        <v/>
      </c>
      <c r="E494" s="36" t="str">
        <f>IFERROR(VLOOKUP(B494,'MASTER RECORD'!$B$5:$W$1000,9,0),"")</f>
        <v/>
      </c>
      <c r="F494" s="18"/>
      <c r="G494" s="18" t="str">
        <f t="shared" si="29"/>
        <v/>
      </c>
      <c r="H494" s="18" t="str">
        <f t="shared" si="30"/>
        <v/>
      </c>
      <c r="I494" s="35" t="str">
        <f t="shared" si="31"/>
        <v/>
      </c>
      <c r="J494" s="50"/>
      <c r="K494" s="17"/>
    </row>
    <row r="495" spans="1:11">
      <c r="A495" s="6">
        <f t="shared" si="28"/>
        <v>490</v>
      </c>
      <c r="B495" s="49"/>
      <c r="C495" s="35" t="str">
        <f>IFERROR(VLOOKUP(B495,'MASTER RECORD'!$B$5:$W$1000,3,0),"")</f>
        <v/>
      </c>
      <c r="D495" s="35" t="str">
        <f>IFERROR(VLOOKUP(B495,'MASTER RECORD'!$B$5:$W$1000,2,0),"")</f>
        <v/>
      </c>
      <c r="E495" s="36" t="str">
        <f>IFERROR(VLOOKUP(B495,'MASTER RECORD'!$B$5:$W$1000,9,0),"")</f>
        <v/>
      </c>
      <c r="F495" s="18"/>
      <c r="G495" s="18" t="str">
        <f t="shared" si="29"/>
        <v/>
      </c>
      <c r="H495" s="18" t="str">
        <f t="shared" si="30"/>
        <v/>
      </c>
      <c r="I495" s="35" t="str">
        <f t="shared" si="31"/>
        <v/>
      </c>
      <c r="J495" s="50"/>
      <c r="K495" s="17"/>
    </row>
    <row r="496" spans="1:11">
      <c r="A496" s="6">
        <f t="shared" si="28"/>
        <v>491</v>
      </c>
      <c r="B496" s="49"/>
      <c r="C496" s="35" t="str">
        <f>IFERROR(VLOOKUP(B496,'MASTER RECORD'!$B$5:$W$1000,3,0),"")</f>
        <v/>
      </c>
      <c r="D496" s="35" t="str">
        <f>IFERROR(VLOOKUP(B496,'MASTER RECORD'!$B$5:$W$1000,2,0),"")</f>
        <v/>
      </c>
      <c r="E496" s="36" t="str">
        <f>IFERROR(VLOOKUP(B496,'MASTER RECORD'!$B$5:$W$1000,9,0),"")</f>
        <v/>
      </c>
      <c r="F496" s="18"/>
      <c r="G496" s="18" t="str">
        <f t="shared" si="29"/>
        <v/>
      </c>
      <c r="H496" s="18" t="str">
        <f t="shared" si="30"/>
        <v/>
      </c>
      <c r="I496" s="35" t="str">
        <f t="shared" si="31"/>
        <v/>
      </c>
      <c r="J496" s="50"/>
      <c r="K496" s="17"/>
    </row>
    <row r="497" spans="1:11">
      <c r="A497" s="6">
        <f t="shared" si="28"/>
        <v>492</v>
      </c>
      <c r="B497" s="49"/>
      <c r="C497" s="35" t="str">
        <f>IFERROR(VLOOKUP(B497,'MASTER RECORD'!$B$5:$W$1000,3,0),"")</f>
        <v/>
      </c>
      <c r="D497" s="35" t="str">
        <f>IFERROR(VLOOKUP(B497,'MASTER RECORD'!$B$5:$W$1000,2,0),"")</f>
        <v/>
      </c>
      <c r="E497" s="36" t="str">
        <f>IFERROR(VLOOKUP(B497,'MASTER RECORD'!$B$5:$W$1000,9,0),"")</f>
        <v/>
      </c>
      <c r="F497" s="18"/>
      <c r="G497" s="18" t="str">
        <f t="shared" si="29"/>
        <v/>
      </c>
      <c r="H497" s="18" t="str">
        <f t="shared" si="30"/>
        <v/>
      </c>
      <c r="I497" s="35" t="str">
        <f t="shared" si="31"/>
        <v/>
      </c>
      <c r="J497" s="50"/>
      <c r="K497" s="17"/>
    </row>
    <row r="498" spans="1:11">
      <c r="A498" s="6">
        <f t="shared" si="28"/>
        <v>493</v>
      </c>
      <c r="B498" s="49"/>
      <c r="C498" s="35" t="str">
        <f>IFERROR(VLOOKUP(B498,'MASTER RECORD'!$B$5:$W$1000,3,0),"")</f>
        <v/>
      </c>
      <c r="D498" s="35" t="str">
        <f>IFERROR(VLOOKUP(B498,'MASTER RECORD'!$B$5:$W$1000,2,0),"")</f>
        <v/>
      </c>
      <c r="E498" s="36" t="str">
        <f>IFERROR(VLOOKUP(B498,'MASTER RECORD'!$B$5:$W$1000,9,0),"")</f>
        <v/>
      </c>
      <c r="F498" s="18"/>
      <c r="G498" s="18" t="str">
        <f t="shared" si="29"/>
        <v/>
      </c>
      <c r="H498" s="18" t="str">
        <f t="shared" si="30"/>
        <v/>
      </c>
      <c r="I498" s="35" t="str">
        <f t="shared" si="31"/>
        <v/>
      </c>
      <c r="J498" s="50"/>
      <c r="K498" s="17"/>
    </row>
    <row r="499" spans="1:11">
      <c r="A499" s="6">
        <f t="shared" si="28"/>
        <v>494</v>
      </c>
      <c r="B499" s="49"/>
      <c r="C499" s="35" t="str">
        <f>IFERROR(VLOOKUP(B499,'MASTER RECORD'!$B$5:$W$1000,3,0),"")</f>
        <v/>
      </c>
      <c r="D499" s="35" t="str">
        <f>IFERROR(VLOOKUP(B499,'MASTER RECORD'!$B$5:$W$1000,2,0),"")</f>
        <v/>
      </c>
      <c r="E499" s="36" t="str">
        <f>IFERROR(VLOOKUP(B499,'MASTER RECORD'!$B$5:$W$1000,9,0),"")</f>
        <v/>
      </c>
      <c r="F499" s="18"/>
      <c r="G499" s="18" t="str">
        <f t="shared" si="29"/>
        <v/>
      </c>
      <c r="H499" s="18" t="str">
        <f t="shared" si="30"/>
        <v/>
      </c>
      <c r="I499" s="35" t="str">
        <f t="shared" si="31"/>
        <v/>
      </c>
      <c r="J499" s="50"/>
      <c r="K499" s="17"/>
    </row>
    <row r="500" spans="1:11">
      <c r="A500" s="6">
        <f t="shared" si="28"/>
        <v>495</v>
      </c>
      <c r="B500" s="49"/>
      <c r="C500" s="35" t="str">
        <f>IFERROR(VLOOKUP(B500,'MASTER RECORD'!$B$5:$W$1000,3,0),"")</f>
        <v/>
      </c>
      <c r="D500" s="35" t="str">
        <f>IFERROR(VLOOKUP(B500,'MASTER RECORD'!$B$5:$W$1000,2,0),"")</f>
        <v/>
      </c>
      <c r="E500" s="36" t="str">
        <f>IFERROR(VLOOKUP(B500,'MASTER RECORD'!$B$5:$W$1000,9,0),"")</f>
        <v/>
      </c>
      <c r="F500" s="18"/>
      <c r="G500" s="18" t="str">
        <f t="shared" si="29"/>
        <v/>
      </c>
      <c r="H500" s="18" t="str">
        <f t="shared" si="30"/>
        <v/>
      </c>
      <c r="I500" s="35" t="str">
        <f t="shared" si="31"/>
        <v/>
      </c>
      <c r="J500" s="50"/>
      <c r="K500" s="17"/>
    </row>
    <row r="501" spans="1:11">
      <c r="A501" s="6">
        <f t="shared" si="28"/>
        <v>496</v>
      </c>
      <c r="B501" s="49"/>
      <c r="C501" s="35" t="str">
        <f>IFERROR(VLOOKUP(B501,'MASTER RECORD'!$B$5:$W$1000,3,0),"")</f>
        <v/>
      </c>
      <c r="D501" s="35" t="str">
        <f>IFERROR(VLOOKUP(B501,'MASTER RECORD'!$B$5:$W$1000,2,0),"")</f>
        <v/>
      </c>
      <c r="E501" s="36" t="str">
        <f>IFERROR(VLOOKUP(B501,'MASTER RECORD'!$B$5:$W$1000,9,0),"")</f>
        <v/>
      </c>
      <c r="F501" s="18"/>
      <c r="G501" s="18" t="str">
        <f t="shared" si="29"/>
        <v/>
      </c>
      <c r="H501" s="18" t="str">
        <f t="shared" si="30"/>
        <v/>
      </c>
      <c r="I501" s="35" t="str">
        <f t="shared" si="31"/>
        <v/>
      </c>
      <c r="J501" s="50"/>
      <c r="K501" s="17"/>
    </row>
    <row r="502" spans="1:11">
      <c r="A502" s="6">
        <f t="shared" si="28"/>
        <v>497</v>
      </c>
      <c r="B502" s="49"/>
      <c r="C502" s="35" t="str">
        <f>IFERROR(VLOOKUP(B502,'MASTER RECORD'!$B$5:$W$1000,3,0),"")</f>
        <v/>
      </c>
      <c r="D502" s="35" t="str">
        <f>IFERROR(VLOOKUP(B502,'MASTER RECORD'!$B$5:$W$1000,2,0),"")</f>
        <v/>
      </c>
      <c r="E502" s="36" t="str">
        <f>IFERROR(VLOOKUP(B502,'MASTER RECORD'!$B$5:$W$1000,9,0),"")</f>
        <v/>
      </c>
      <c r="F502" s="18"/>
      <c r="G502" s="18" t="str">
        <f t="shared" si="29"/>
        <v/>
      </c>
      <c r="H502" s="18" t="str">
        <f t="shared" si="30"/>
        <v/>
      </c>
      <c r="I502" s="35" t="str">
        <f t="shared" si="31"/>
        <v/>
      </c>
      <c r="J502" s="50"/>
      <c r="K502" s="17"/>
    </row>
    <row r="503" spans="1:11">
      <c r="A503" s="6">
        <f t="shared" si="28"/>
        <v>498</v>
      </c>
      <c r="B503" s="49"/>
      <c r="C503" s="35" t="str">
        <f>IFERROR(VLOOKUP(B503,'MASTER RECORD'!$B$5:$W$1000,3,0),"")</f>
        <v/>
      </c>
      <c r="D503" s="35" t="str">
        <f>IFERROR(VLOOKUP(B503,'MASTER RECORD'!$B$5:$W$1000,2,0),"")</f>
        <v/>
      </c>
      <c r="E503" s="36" t="str">
        <f>IFERROR(VLOOKUP(B503,'MASTER RECORD'!$B$5:$W$1000,9,0),"")</f>
        <v/>
      </c>
      <c r="F503" s="18"/>
      <c r="G503" s="18" t="str">
        <f t="shared" si="29"/>
        <v/>
      </c>
      <c r="H503" s="18" t="str">
        <f t="shared" si="30"/>
        <v/>
      </c>
      <c r="I503" s="35" t="str">
        <f t="shared" si="31"/>
        <v/>
      </c>
      <c r="J503" s="50"/>
      <c r="K503" s="17"/>
    </row>
    <row r="504" spans="1:11">
      <c r="A504" s="6">
        <f t="shared" si="28"/>
        <v>499</v>
      </c>
      <c r="B504" s="49"/>
      <c r="C504" s="35" t="str">
        <f>IFERROR(VLOOKUP(B504,'MASTER RECORD'!$B$5:$W$1000,3,0),"")</f>
        <v/>
      </c>
      <c r="D504" s="35" t="str">
        <f>IFERROR(VLOOKUP(B504,'MASTER RECORD'!$B$5:$W$1000,2,0),"")</f>
        <v/>
      </c>
      <c r="E504" s="36" t="str">
        <f>IFERROR(VLOOKUP(B504,'MASTER RECORD'!$B$5:$W$1000,9,0),"")</f>
        <v/>
      </c>
      <c r="F504" s="18"/>
      <c r="G504" s="18" t="str">
        <f t="shared" si="29"/>
        <v/>
      </c>
      <c r="H504" s="18" t="str">
        <f t="shared" si="30"/>
        <v/>
      </c>
      <c r="I504" s="35" t="str">
        <f t="shared" si="31"/>
        <v/>
      </c>
      <c r="J504" s="50"/>
      <c r="K504" s="17"/>
    </row>
    <row r="505" spans="1:11">
      <c r="A505" s="6">
        <f t="shared" si="28"/>
        <v>500</v>
      </c>
      <c r="B505" s="49"/>
      <c r="C505" s="35" t="str">
        <f>IFERROR(VLOOKUP(B505,'MASTER RECORD'!$B$5:$W$1000,3,0),"")</f>
        <v/>
      </c>
      <c r="D505" s="35" t="str">
        <f>IFERROR(VLOOKUP(B505,'MASTER RECORD'!$B$5:$W$1000,2,0),"")</f>
        <v/>
      </c>
      <c r="E505" s="36" t="str">
        <f>IFERROR(VLOOKUP(B505,'MASTER RECORD'!$B$5:$W$1000,9,0),"")</f>
        <v/>
      </c>
      <c r="F505" s="18"/>
      <c r="G505" s="18" t="str">
        <f t="shared" si="29"/>
        <v/>
      </c>
      <c r="H505" s="18" t="str">
        <f t="shared" si="30"/>
        <v/>
      </c>
      <c r="I505" s="35" t="str">
        <f t="shared" si="31"/>
        <v/>
      </c>
      <c r="J505" s="50"/>
      <c r="K505" s="17"/>
    </row>
    <row r="506" spans="1:11">
      <c r="A506" s="6">
        <f t="shared" si="28"/>
        <v>501</v>
      </c>
      <c r="B506" s="49"/>
      <c r="C506" s="35" t="str">
        <f>IFERROR(VLOOKUP(B506,'MASTER RECORD'!$B$5:$W$1000,3,0),"")</f>
        <v/>
      </c>
      <c r="D506" s="35" t="str">
        <f>IFERROR(VLOOKUP(B506,'MASTER RECORD'!$B$5:$W$1000,2,0),"")</f>
        <v/>
      </c>
      <c r="E506" s="36" t="str">
        <f>IFERROR(VLOOKUP(B506,'MASTER RECORD'!$B$5:$W$1000,9,0),"")</f>
        <v/>
      </c>
      <c r="F506" s="18"/>
      <c r="G506" s="18" t="str">
        <f t="shared" si="29"/>
        <v/>
      </c>
      <c r="H506" s="18" t="str">
        <f t="shared" si="30"/>
        <v/>
      </c>
      <c r="I506" s="35" t="str">
        <f t="shared" si="31"/>
        <v/>
      </c>
      <c r="J506" s="50"/>
      <c r="K506" s="17"/>
    </row>
    <row r="507" spans="1:11">
      <c r="A507" s="6">
        <f t="shared" si="28"/>
        <v>502</v>
      </c>
      <c r="B507" s="49"/>
      <c r="C507" s="35" t="str">
        <f>IFERROR(VLOOKUP(B507,'MASTER RECORD'!$B$5:$W$1000,3,0),"")</f>
        <v/>
      </c>
      <c r="D507" s="35" t="str">
        <f>IFERROR(VLOOKUP(B507,'MASTER RECORD'!$B$5:$W$1000,2,0),"")</f>
        <v/>
      </c>
      <c r="E507" s="36" t="str">
        <f>IFERROR(VLOOKUP(B507,'MASTER RECORD'!$B$5:$W$1000,9,0),"")</f>
        <v/>
      </c>
      <c r="F507" s="18"/>
      <c r="G507" s="18" t="str">
        <f t="shared" si="29"/>
        <v/>
      </c>
      <c r="H507" s="18" t="str">
        <f t="shared" si="30"/>
        <v/>
      </c>
      <c r="I507" s="35" t="str">
        <f t="shared" si="31"/>
        <v/>
      </c>
      <c r="J507" s="50"/>
      <c r="K507" s="17"/>
    </row>
    <row r="508" spans="1:11">
      <c r="A508" s="6">
        <f t="shared" si="28"/>
        <v>503</v>
      </c>
      <c r="B508" s="49"/>
      <c r="C508" s="35" t="str">
        <f>IFERROR(VLOOKUP(B508,'MASTER RECORD'!$B$5:$W$1000,3,0),"")</f>
        <v/>
      </c>
      <c r="D508" s="35" t="str">
        <f>IFERROR(VLOOKUP(B508,'MASTER RECORD'!$B$5:$W$1000,2,0),"")</f>
        <v/>
      </c>
      <c r="E508" s="36" t="str">
        <f>IFERROR(VLOOKUP(B508,'MASTER RECORD'!$B$5:$W$1000,9,0),"")</f>
        <v/>
      </c>
      <c r="F508" s="18"/>
      <c r="G508" s="18" t="str">
        <f t="shared" si="29"/>
        <v/>
      </c>
      <c r="H508" s="18" t="str">
        <f t="shared" si="30"/>
        <v/>
      </c>
      <c r="I508" s="35" t="str">
        <f t="shared" si="31"/>
        <v/>
      </c>
      <c r="J508" s="50"/>
      <c r="K508" s="17"/>
    </row>
    <row r="509" spans="1:11">
      <c r="A509" s="6">
        <f t="shared" si="28"/>
        <v>504</v>
      </c>
      <c r="B509" s="49"/>
      <c r="C509" s="35" t="str">
        <f>IFERROR(VLOOKUP(B509,'MASTER RECORD'!$B$5:$W$1000,3,0),"")</f>
        <v/>
      </c>
      <c r="D509" s="35" t="str">
        <f>IFERROR(VLOOKUP(B509,'MASTER RECORD'!$B$5:$W$1000,2,0),"")</f>
        <v/>
      </c>
      <c r="E509" s="36" t="str">
        <f>IFERROR(VLOOKUP(B509,'MASTER RECORD'!$B$5:$W$1000,9,0),"")</f>
        <v/>
      </c>
      <c r="F509" s="18"/>
      <c r="G509" s="18" t="str">
        <f t="shared" si="29"/>
        <v/>
      </c>
      <c r="H509" s="18" t="str">
        <f t="shared" si="30"/>
        <v/>
      </c>
      <c r="I509" s="35" t="str">
        <f t="shared" si="31"/>
        <v/>
      </c>
      <c r="J509" s="50"/>
      <c r="K509" s="17"/>
    </row>
    <row r="510" spans="1:11">
      <c r="A510" s="6">
        <f t="shared" si="28"/>
        <v>505</v>
      </c>
      <c r="B510" s="49"/>
      <c r="C510" s="35" t="str">
        <f>IFERROR(VLOOKUP(B510,'MASTER RECORD'!$B$5:$W$1000,3,0),"")</f>
        <v/>
      </c>
      <c r="D510" s="35" t="str">
        <f>IFERROR(VLOOKUP(B510,'MASTER RECORD'!$B$5:$W$1000,2,0),"")</f>
        <v/>
      </c>
      <c r="E510" s="36" t="str">
        <f>IFERROR(VLOOKUP(B510,'MASTER RECORD'!$B$5:$W$1000,9,0),"")</f>
        <v/>
      </c>
      <c r="F510" s="18"/>
      <c r="G510" s="18" t="str">
        <f t="shared" si="29"/>
        <v/>
      </c>
      <c r="H510" s="18" t="str">
        <f t="shared" si="30"/>
        <v/>
      </c>
      <c r="I510" s="35" t="str">
        <f t="shared" si="31"/>
        <v/>
      </c>
      <c r="J510" s="50"/>
      <c r="K510" s="17"/>
    </row>
    <row r="511" spans="1:11">
      <c r="A511" s="6">
        <f t="shared" si="28"/>
        <v>506</v>
      </c>
      <c r="B511" s="49"/>
      <c r="C511" s="35" t="str">
        <f>IFERROR(VLOOKUP(B511,'MASTER RECORD'!$B$5:$W$1000,3,0),"")</f>
        <v/>
      </c>
      <c r="D511" s="35" t="str">
        <f>IFERROR(VLOOKUP(B511,'MASTER RECORD'!$B$5:$W$1000,2,0),"")</f>
        <v/>
      </c>
      <c r="E511" s="36" t="str">
        <f>IFERROR(VLOOKUP(B511,'MASTER RECORD'!$B$5:$W$1000,9,0),"")</f>
        <v/>
      </c>
      <c r="F511" s="18"/>
      <c r="G511" s="18" t="str">
        <f t="shared" si="29"/>
        <v/>
      </c>
      <c r="H511" s="18" t="str">
        <f t="shared" si="30"/>
        <v/>
      </c>
      <c r="I511" s="35" t="str">
        <f t="shared" si="31"/>
        <v/>
      </c>
      <c r="J511" s="50"/>
      <c r="K511" s="17"/>
    </row>
    <row r="512" spans="1:11">
      <c r="A512" s="6">
        <f t="shared" si="28"/>
        <v>507</v>
      </c>
      <c r="B512" s="49"/>
      <c r="C512" s="35" t="str">
        <f>IFERROR(VLOOKUP(B512,'MASTER RECORD'!$B$5:$W$1000,3,0),"")</f>
        <v/>
      </c>
      <c r="D512" s="35" t="str">
        <f>IFERROR(VLOOKUP(B512,'MASTER RECORD'!$B$5:$W$1000,2,0),"")</f>
        <v/>
      </c>
      <c r="E512" s="36" t="str">
        <f>IFERROR(VLOOKUP(B512,'MASTER RECORD'!$B$5:$W$1000,9,0),"")</f>
        <v/>
      </c>
      <c r="F512" s="18"/>
      <c r="G512" s="18" t="str">
        <f t="shared" si="29"/>
        <v/>
      </c>
      <c r="H512" s="18" t="str">
        <f t="shared" si="30"/>
        <v/>
      </c>
      <c r="I512" s="35" t="str">
        <f t="shared" si="31"/>
        <v/>
      </c>
      <c r="J512" s="50"/>
      <c r="K512" s="17"/>
    </row>
    <row r="513" spans="1:11">
      <c r="A513" s="6">
        <f t="shared" si="28"/>
        <v>508</v>
      </c>
      <c r="B513" s="49"/>
      <c r="C513" s="35" t="str">
        <f>IFERROR(VLOOKUP(B513,'MASTER RECORD'!$B$5:$W$1000,3,0),"")</f>
        <v/>
      </c>
      <c r="D513" s="35" t="str">
        <f>IFERROR(VLOOKUP(B513,'MASTER RECORD'!$B$5:$W$1000,2,0),"")</f>
        <v/>
      </c>
      <c r="E513" s="36" t="str">
        <f>IFERROR(VLOOKUP(B513,'MASTER RECORD'!$B$5:$W$1000,9,0),"")</f>
        <v/>
      </c>
      <c r="F513" s="18"/>
      <c r="G513" s="18" t="str">
        <f t="shared" si="29"/>
        <v/>
      </c>
      <c r="H513" s="18" t="str">
        <f t="shared" si="30"/>
        <v/>
      </c>
      <c r="I513" s="35" t="str">
        <f t="shared" si="31"/>
        <v/>
      </c>
      <c r="J513" s="50"/>
      <c r="K513" s="17"/>
    </row>
    <row r="514" spans="1:11">
      <c r="A514" s="6">
        <f t="shared" si="28"/>
        <v>509</v>
      </c>
      <c r="B514" s="49"/>
      <c r="C514" s="35" t="str">
        <f>IFERROR(VLOOKUP(B514,'MASTER RECORD'!$B$5:$W$1000,3,0),"")</f>
        <v/>
      </c>
      <c r="D514" s="35" t="str">
        <f>IFERROR(VLOOKUP(B514,'MASTER RECORD'!$B$5:$W$1000,2,0),"")</f>
        <v/>
      </c>
      <c r="E514" s="36" t="str">
        <f>IFERROR(VLOOKUP(B514,'MASTER RECORD'!$B$5:$W$1000,9,0),"")</f>
        <v/>
      </c>
      <c r="F514" s="18"/>
      <c r="G514" s="18" t="str">
        <f t="shared" si="29"/>
        <v/>
      </c>
      <c r="H514" s="18" t="str">
        <f t="shared" si="30"/>
        <v/>
      </c>
      <c r="I514" s="35" t="str">
        <f t="shared" si="31"/>
        <v/>
      </c>
      <c r="J514" s="50"/>
      <c r="K514" s="17"/>
    </row>
    <row r="515" spans="1:11">
      <c r="A515" s="6">
        <f t="shared" si="28"/>
        <v>510</v>
      </c>
      <c r="B515" s="49"/>
      <c r="C515" s="35" t="str">
        <f>IFERROR(VLOOKUP(B515,'MASTER RECORD'!$B$5:$W$1000,3,0),"")</f>
        <v/>
      </c>
      <c r="D515" s="35" t="str">
        <f>IFERROR(VLOOKUP(B515,'MASTER RECORD'!$B$5:$W$1000,2,0),"")</f>
        <v/>
      </c>
      <c r="E515" s="36" t="str">
        <f>IFERROR(VLOOKUP(B515,'MASTER RECORD'!$B$5:$W$1000,9,0),"")</f>
        <v/>
      </c>
      <c r="F515" s="18"/>
      <c r="G515" s="18" t="str">
        <f t="shared" si="29"/>
        <v/>
      </c>
      <c r="H515" s="18" t="str">
        <f t="shared" si="30"/>
        <v/>
      </c>
      <c r="I515" s="35" t="str">
        <f t="shared" si="31"/>
        <v/>
      </c>
      <c r="J515" s="50"/>
      <c r="K515" s="17"/>
    </row>
    <row r="516" spans="1:11">
      <c r="A516" s="6">
        <f t="shared" si="28"/>
        <v>511</v>
      </c>
      <c r="B516" s="49"/>
      <c r="C516" s="35" t="str">
        <f>IFERROR(VLOOKUP(B516,'MASTER RECORD'!$B$5:$W$1000,3,0),"")</f>
        <v/>
      </c>
      <c r="D516" s="35" t="str">
        <f>IFERROR(VLOOKUP(B516,'MASTER RECORD'!$B$5:$W$1000,2,0),"")</f>
        <v/>
      </c>
      <c r="E516" s="36" t="str">
        <f>IFERROR(VLOOKUP(B516,'MASTER RECORD'!$B$5:$W$1000,9,0),"")</f>
        <v/>
      </c>
      <c r="F516" s="18"/>
      <c r="G516" s="18" t="str">
        <f t="shared" si="29"/>
        <v/>
      </c>
      <c r="H516" s="18" t="str">
        <f t="shared" si="30"/>
        <v/>
      </c>
      <c r="I516" s="35" t="str">
        <f t="shared" si="31"/>
        <v/>
      </c>
      <c r="J516" s="50"/>
      <c r="K516" s="17"/>
    </row>
    <row r="517" spans="1:11">
      <c r="A517" s="6">
        <f t="shared" si="28"/>
        <v>512</v>
      </c>
      <c r="B517" s="49"/>
      <c r="C517" s="35" t="str">
        <f>IFERROR(VLOOKUP(B517,'MASTER RECORD'!$B$5:$W$1000,3,0),"")</f>
        <v/>
      </c>
      <c r="D517" s="35" t="str">
        <f>IFERROR(VLOOKUP(B517,'MASTER RECORD'!$B$5:$W$1000,2,0),"")</f>
        <v/>
      </c>
      <c r="E517" s="36" t="str">
        <f>IFERROR(VLOOKUP(B517,'MASTER RECORD'!$B$5:$W$1000,9,0),"")</f>
        <v/>
      </c>
      <c r="F517" s="18"/>
      <c r="G517" s="18" t="str">
        <f t="shared" si="29"/>
        <v/>
      </c>
      <c r="H517" s="18" t="str">
        <f t="shared" si="30"/>
        <v/>
      </c>
      <c r="I517" s="35" t="str">
        <f t="shared" si="31"/>
        <v/>
      </c>
      <c r="J517" s="50"/>
      <c r="K517" s="17"/>
    </row>
    <row r="518" spans="1:11">
      <c r="A518" s="6">
        <f t="shared" si="28"/>
        <v>513</v>
      </c>
      <c r="B518" s="49"/>
      <c r="C518" s="35" t="str">
        <f>IFERROR(VLOOKUP(B518,'MASTER RECORD'!$B$5:$W$1000,3,0),"")</f>
        <v/>
      </c>
      <c r="D518" s="35" t="str">
        <f>IFERROR(VLOOKUP(B518,'MASTER RECORD'!$B$5:$W$1000,2,0),"")</f>
        <v/>
      </c>
      <c r="E518" s="36" t="str">
        <f>IFERROR(VLOOKUP(B518,'MASTER RECORD'!$B$5:$W$1000,9,0),"")</f>
        <v/>
      </c>
      <c r="F518" s="18"/>
      <c r="G518" s="18" t="str">
        <f t="shared" si="29"/>
        <v/>
      </c>
      <c r="H518" s="18" t="str">
        <f t="shared" si="30"/>
        <v/>
      </c>
      <c r="I518" s="35" t="str">
        <f t="shared" si="31"/>
        <v/>
      </c>
      <c r="J518" s="50"/>
      <c r="K518" s="17"/>
    </row>
    <row r="519" spans="1:11">
      <c r="A519" s="6">
        <f t="shared" ref="A519:A582" si="32">ROW(A514)</f>
        <v>514</v>
      </c>
      <c r="B519" s="49"/>
      <c r="C519" s="35" t="str">
        <f>IFERROR(VLOOKUP(B519,'MASTER RECORD'!$B$5:$W$1000,3,0),"")</f>
        <v/>
      </c>
      <c r="D519" s="35" t="str">
        <f>IFERROR(VLOOKUP(B519,'MASTER RECORD'!$B$5:$W$1000,2,0),"")</f>
        <v/>
      </c>
      <c r="E519" s="36" t="str">
        <f>IFERROR(VLOOKUP(B519,'MASTER RECORD'!$B$5:$W$1000,9,0),"")</f>
        <v/>
      </c>
      <c r="F519" s="18"/>
      <c r="G519" s="18" t="str">
        <f t="shared" ref="G519:G582" si="33">IF($F519=0,"",TEXT($F519,"mmmm"))</f>
        <v/>
      </c>
      <c r="H519" s="18" t="str">
        <f t="shared" ref="H519:H582" si="34">IF($F519=0,"",TEXT($F519,"yyyy"))</f>
        <v/>
      </c>
      <c r="I519" s="35" t="str">
        <f t="shared" ref="I519:I582" si="35">IFERROR(DATEDIF(E519,F519,"Y")&amp;"."&amp;DATEDIF(E519,F519,"YM"),"")</f>
        <v/>
      </c>
      <c r="J519" s="50"/>
      <c r="K519" s="17"/>
    </row>
    <row r="520" spans="1:11">
      <c r="A520" s="6">
        <f t="shared" si="32"/>
        <v>515</v>
      </c>
      <c r="B520" s="49"/>
      <c r="C520" s="35" t="str">
        <f>IFERROR(VLOOKUP(B520,'MASTER RECORD'!$B$5:$W$1000,3,0),"")</f>
        <v/>
      </c>
      <c r="D520" s="35" t="str">
        <f>IFERROR(VLOOKUP(B520,'MASTER RECORD'!$B$5:$W$1000,2,0),"")</f>
        <v/>
      </c>
      <c r="E520" s="36" t="str">
        <f>IFERROR(VLOOKUP(B520,'MASTER RECORD'!$B$5:$W$1000,9,0),"")</f>
        <v/>
      </c>
      <c r="F520" s="18"/>
      <c r="G520" s="18" t="str">
        <f t="shared" si="33"/>
        <v/>
      </c>
      <c r="H520" s="18" t="str">
        <f t="shared" si="34"/>
        <v/>
      </c>
      <c r="I520" s="35" t="str">
        <f t="shared" si="35"/>
        <v/>
      </c>
      <c r="J520" s="50"/>
      <c r="K520" s="17"/>
    </row>
    <row r="521" spans="1:11">
      <c r="A521" s="6">
        <f t="shared" si="32"/>
        <v>516</v>
      </c>
      <c r="B521" s="49"/>
      <c r="C521" s="35" t="str">
        <f>IFERROR(VLOOKUP(B521,'MASTER RECORD'!$B$5:$W$1000,3,0),"")</f>
        <v/>
      </c>
      <c r="D521" s="35" t="str">
        <f>IFERROR(VLOOKUP(B521,'MASTER RECORD'!$B$5:$W$1000,2,0),"")</f>
        <v/>
      </c>
      <c r="E521" s="36" t="str">
        <f>IFERROR(VLOOKUP(B521,'MASTER RECORD'!$B$5:$W$1000,9,0),"")</f>
        <v/>
      </c>
      <c r="F521" s="18"/>
      <c r="G521" s="18" t="str">
        <f t="shared" si="33"/>
        <v/>
      </c>
      <c r="H521" s="18" t="str">
        <f t="shared" si="34"/>
        <v/>
      </c>
      <c r="I521" s="35" t="str">
        <f t="shared" si="35"/>
        <v/>
      </c>
      <c r="J521" s="50"/>
      <c r="K521" s="17"/>
    </row>
    <row r="522" spans="1:11">
      <c r="A522" s="6">
        <f t="shared" si="32"/>
        <v>517</v>
      </c>
      <c r="B522" s="49"/>
      <c r="C522" s="35" t="str">
        <f>IFERROR(VLOOKUP(B522,'MASTER RECORD'!$B$5:$W$1000,3,0),"")</f>
        <v/>
      </c>
      <c r="D522" s="35" t="str">
        <f>IFERROR(VLOOKUP(B522,'MASTER RECORD'!$B$5:$W$1000,2,0),"")</f>
        <v/>
      </c>
      <c r="E522" s="36" t="str">
        <f>IFERROR(VLOOKUP(B522,'MASTER RECORD'!$B$5:$W$1000,9,0),"")</f>
        <v/>
      </c>
      <c r="F522" s="18"/>
      <c r="G522" s="18" t="str">
        <f t="shared" si="33"/>
        <v/>
      </c>
      <c r="H522" s="18" t="str">
        <f t="shared" si="34"/>
        <v/>
      </c>
      <c r="I522" s="35" t="str">
        <f t="shared" si="35"/>
        <v/>
      </c>
      <c r="J522" s="50"/>
      <c r="K522" s="17"/>
    </row>
    <row r="523" spans="1:11">
      <c r="A523" s="6">
        <f t="shared" si="32"/>
        <v>518</v>
      </c>
      <c r="B523" s="49"/>
      <c r="C523" s="35" t="str">
        <f>IFERROR(VLOOKUP(B523,'MASTER RECORD'!$B$5:$W$1000,3,0),"")</f>
        <v/>
      </c>
      <c r="D523" s="35" t="str">
        <f>IFERROR(VLOOKUP(B523,'MASTER RECORD'!$B$5:$W$1000,2,0),"")</f>
        <v/>
      </c>
      <c r="E523" s="36" t="str">
        <f>IFERROR(VLOOKUP(B523,'MASTER RECORD'!$B$5:$W$1000,9,0),"")</f>
        <v/>
      </c>
      <c r="F523" s="18"/>
      <c r="G523" s="18" t="str">
        <f t="shared" si="33"/>
        <v/>
      </c>
      <c r="H523" s="18" t="str">
        <f t="shared" si="34"/>
        <v/>
      </c>
      <c r="I523" s="35" t="str">
        <f t="shared" si="35"/>
        <v/>
      </c>
      <c r="J523" s="50"/>
      <c r="K523" s="17"/>
    </row>
    <row r="524" spans="1:11">
      <c r="A524" s="6">
        <f t="shared" si="32"/>
        <v>519</v>
      </c>
      <c r="B524" s="49"/>
      <c r="C524" s="35" t="str">
        <f>IFERROR(VLOOKUP(B524,'MASTER RECORD'!$B$5:$W$1000,3,0),"")</f>
        <v/>
      </c>
      <c r="D524" s="35" t="str">
        <f>IFERROR(VLOOKUP(B524,'MASTER RECORD'!$B$5:$W$1000,2,0),"")</f>
        <v/>
      </c>
      <c r="E524" s="36" t="str">
        <f>IFERROR(VLOOKUP(B524,'MASTER RECORD'!$B$5:$W$1000,9,0),"")</f>
        <v/>
      </c>
      <c r="F524" s="18"/>
      <c r="G524" s="18" t="str">
        <f t="shared" si="33"/>
        <v/>
      </c>
      <c r="H524" s="18" t="str">
        <f t="shared" si="34"/>
        <v/>
      </c>
      <c r="I524" s="35" t="str">
        <f t="shared" si="35"/>
        <v/>
      </c>
      <c r="J524" s="50"/>
      <c r="K524" s="17"/>
    </row>
    <row r="525" spans="1:11">
      <c r="A525" s="6">
        <f t="shared" si="32"/>
        <v>520</v>
      </c>
      <c r="B525" s="49"/>
      <c r="C525" s="35" t="str">
        <f>IFERROR(VLOOKUP(B525,'MASTER RECORD'!$B$5:$W$1000,3,0),"")</f>
        <v/>
      </c>
      <c r="D525" s="35" t="str">
        <f>IFERROR(VLOOKUP(B525,'MASTER RECORD'!$B$5:$W$1000,2,0),"")</f>
        <v/>
      </c>
      <c r="E525" s="36" t="str">
        <f>IFERROR(VLOOKUP(B525,'MASTER RECORD'!$B$5:$W$1000,9,0),"")</f>
        <v/>
      </c>
      <c r="F525" s="18"/>
      <c r="G525" s="18" t="str">
        <f t="shared" si="33"/>
        <v/>
      </c>
      <c r="H525" s="18" t="str">
        <f t="shared" si="34"/>
        <v/>
      </c>
      <c r="I525" s="35" t="str">
        <f t="shared" si="35"/>
        <v/>
      </c>
      <c r="J525" s="50"/>
      <c r="K525" s="17"/>
    </row>
    <row r="526" spans="1:11">
      <c r="A526" s="6">
        <f t="shared" si="32"/>
        <v>521</v>
      </c>
      <c r="B526" s="49"/>
      <c r="C526" s="35" t="str">
        <f>IFERROR(VLOOKUP(B526,'MASTER RECORD'!$B$5:$W$1000,3,0),"")</f>
        <v/>
      </c>
      <c r="D526" s="35" t="str">
        <f>IFERROR(VLOOKUP(B526,'MASTER RECORD'!$B$5:$W$1000,2,0),"")</f>
        <v/>
      </c>
      <c r="E526" s="36" t="str">
        <f>IFERROR(VLOOKUP(B526,'MASTER RECORD'!$B$5:$W$1000,9,0),"")</f>
        <v/>
      </c>
      <c r="F526" s="18"/>
      <c r="G526" s="18" t="str">
        <f t="shared" si="33"/>
        <v/>
      </c>
      <c r="H526" s="18" t="str">
        <f t="shared" si="34"/>
        <v/>
      </c>
      <c r="I526" s="35" t="str">
        <f t="shared" si="35"/>
        <v/>
      </c>
      <c r="J526" s="50"/>
      <c r="K526" s="17"/>
    </row>
    <row r="527" spans="1:11">
      <c r="A527" s="6">
        <f t="shared" si="32"/>
        <v>522</v>
      </c>
      <c r="B527" s="49"/>
      <c r="C527" s="35" t="str">
        <f>IFERROR(VLOOKUP(B527,'MASTER RECORD'!$B$5:$W$1000,3,0),"")</f>
        <v/>
      </c>
      <c r="D527" s="35" t="str">
        <f>IFERROR(VLOOKUP(B527,'MASTER RECORD'!$B$5:$W$1000,2,0),"")</f>
        <v/>
      </c>
      <c r="E527" s="36" t="str">
        <f>IFERROR(VLOOKUP(B527,'MASTER RECORD'!$B$5:$W$1000,9,0),"")</f>
        <v/>
      </c>
      <c r="F527" s="18"/>
      <c r="G527" s="18" t="str">
        <f t="shared" si="33"/>
        <v/>
      </c>
      <c r="H527" s="18" t="str">
        <f t="shared" si="34"/>
        <v/>
      </c>
      <c r="I527" s="35" t="str">
        <f t="shared" si="35"/>
        <v/>
      </c>
      <c r="J527" s="50"/>
      <c r="K527" s="17"/>
    </row>
    <row r="528" spans="1:11">
      <c r="A528" s="6">
        <f t="shared" si="32"/>
        <v>523</v>
      </c>
      <c r="B528" s="49"/>
      <c r="C528" s="35" t="str">
        <f>IFERROR(VLOOKUP(B528,'MASTER RECORD'!$B$5:$W$1000,3,0),"")</f>
        <v/>
      </c>
      <c r="D528" s="35" t="str">
        <f>IFERROR(VLOOKUP(B528,'MASTER RECORD'!$B$5:$W$1000,2,0),"")</f>
        <v/>
      </c>
      <c r="E528" s="36" t="str">
        <f>IFERROR(VLOOKUP(B528,'MASTER RECORD'!$B$5:$W$1000,9,0),"")</f>
        <v/>
      </c>
      <c r="F528" s="18"/>
      <c r="G528" s="18" t="str">
        <f t="shared" si="33"/>
        <v/>
      </c>
      <c r="H528" s="18" t="str">
        <f t="shared" si="34"/>
        <v/>
      </c>
      <c r="I528" s="35" t="str">
        <f t="shared" si="35"/>
        <v/>
      </c>
      <c r="J528" s="50"/>
      <c r="K528" s="17"/>
    </row>
    <row r="529" spans="1:11">
      <c r="A529" s="6">
        <f t="shared" si="32"/>
        <v>524</v>
      </c>
      <c r="B529" s="49"/>
      <c r="C529" s="35" t="str">
        <f>IFERROR(VLOOKUP(B529,'MASTER RECORD'!$B$5:$W$1000,3,0),"")</f>
        <v/>
      </c>
      <c r="D529" s="35" t="str">
        <f>IFERROR(VLOOKUP(B529,'MASTER RECORD'!$B$5:$W$1000,2,0),"")</f>
        <v/>
      </c>
      <c r="E529" s="36" t="str">
        <f>IFERROR(VLOOKUP(B529,'MASTER RECORD'!$B$5:$W$1000,9,0),"")</f>
        <v/>
      </c>
      <c r="F529" s="18"/>
      <c r="G529" s="18" t="str">
        <f t="shared" si="33"/>
        <v/>
      </c>
      <c r="H529" s="18" t="str">
        <f t="shared" si="34"/>
        <v/>
      </c>
      <c r="I529" s="35" t="str">
        <f t="shared" si="35"/>
        <v/>
      </c>
      <c r="J529" s="50"/>
      <c r="K529" s="17"/>
    </row>
    <row r="530" spans="1:11">
      <c r="A530" s="6">
        <f t="shared" si="32"/>
        <v>525</v>
      </c>
      <c r="B530" s="49"/>
      <c r="C530" s="35" t="str">
        <f>IFERROR(VLOOKUP(B530,'MASTER RECORD'!$B$5:$W$1000,3,0),"")</f>
        <v/>
      </c>
      <c r="D530" s="35" t="str">
        <f>IFERROR(VLOOKUP(B530,'MASTER RECORD'!$B$5:$W$1000,2,0),"")</f>
        <v/>
      </c>
      <c r="E530" s="36" t="str">
        <f>IFERROR(VLOOKUP(B530,'MASTER RECORD'!$B$5:$W$1000,9,0),"")</f>
        <v/>
      </c>
      <c r="F530" s="18"/>
      <c r="G530" s="18" t="str">
        <f t="shared" si="33"/>
        <v/>
      </c>
      <c r="H530" s="18" t="str">
        <f t="shared" si="34"/>
        <v/>
      </c>
      <c r="I530" s="35" t="str">
        <f t="shared" si="35"/>
        <v/>
      </c>
      <c r="J530" s="50"/>
      <c r="K530" s="17"/>
    </row>
    <row r="531" spans="1:11">
      <c r="A531" s="6">
        <f t="shared" si="32"/>
        <v>526</v>
      </c>
      <c r="B531" s="49"/>
      <c r="C531" s="35" t="str">
        <f>IFERROR(VLOOKUP(B531,'MASTER RECORD'!$B$5:$W$1000,3,0),"")</f>
        <v/>
      </c>
      <c r="D531" s="35" t="str">
        <f>IFERROR(VLOOKUP(B531,'MASTER RECORD'!$B$5:$W$1000,2,0),"")</f>
        <v/>
      </c>
      <c r="E531" s="36" t="str">
        <f>IFERROR(VLOOKUP(B531,'MASTER RECORD'!$B$5:$W$1000,9,0),"")</f>
        <v/>
      </c>
      <c r="F531" s="18"/>
      <c r="G531" s="18" t="str">
        <f t="shared" si="33"/>
        <v/>
      </c>
      <c r="H531" s="18" t="str">
        <f t="shared" si="34"/>
        <v/>
      </c>
      <c r="I531" s="35" t="str">
        <f t="shared" si="35"/>
        <v/>
      </c>
      <c r="J531" s="50"/>
      <c r="K531" s="17"/>
    </row>
    <row r="532" spans="1:11">
      <c r="A532" s="6">
        <f t="shared" si="32"/>
        <v>527</v>
      </c>
      <c r="B532" s="49"/>
      <c r="C532" s="35" t="str">
        <f>IFERROR(VLOOKUP(B532,'MASTER RECORD'!$B$5:$W$1000,3,0),"")</f>
        <v/>
      </c>
      <c r="D532" s="35" t="str">
        <f>IFERROR(VLOOKUP(B532,'MASTER RECORD'!$B$5:$W$1000,2,0),"")</f>
        <v/>
      </c>
      <c r="E532" s="36" t="str">
        <f>IFERROR(VLOOKUP(B532,'MASTER RECORD'!$B$5:$W$1000,9,0),"")</f>
        <v/>
      </c>
      <c r="F532" s="18"/>
      <c r="G532" s="18" t="str">
        <f t="shared" si="33"/>
        <v/>
      </c>
      <c r="H532" s="18" t="str">
        <f t="shared" si="34"/>
        <v/>
      </c>
      <c r="I532" s="35" t="str">
        <f t="shared" si="35"/>
        <v/>
      </c>
      <c r="J532" s="50"/>
      <c r="K532" s="17"/>
    </row>
    <row r="533" spans="1:11">
      <c r="A533" s="6">
        <f t="shared" si="32"/>
        <v>528</v>
      </c>
      <c r="B533" s="49"/>
      <c r="C533" s="35" t="str">
        <f>IFERROR(VLOOKUP(B533,'MASTER RECORD'!$B$5:$W$1000,3,0),"")</f>
        <v/>
      </c>
      <c r="D533" s="35" t="str">
        <f>IFERROR(VLOOKUP(B533,'MASTER RECORD'!$B$5:$W$1000,2,0),"")</f>
        <v/>
      </c>
      <c r="E533" s="36" t="str">
        <f>IFERROR(VLOOKUP(B533,'MASTER RECORD'!$B$5:$W$1000,9,0),"")</f>
        <v/>
      </c>
      <c r="F533" s="18"/>
      <c r="G533" s="18" t="str">
        <f t="shared" si="33"/>
        <v/>
      </c>
      <c r="H533" s="18" t="str">
        <f t="shared" si="34"/>
        <v/>
      </c>
      <c r="I533" s="35" t="str">
        <f t="shared" si="35"/>
        <v/>
      </c>
      <c r="J533" s="50"/>
      <c r="K533" s="17"/>
    </row>
    <row r="534" spans="1:11">
      <c r="A534" s="6">
        <f t="shared" si="32"/>
        <v>529</v>
      </c>
      <c r="B534" s="49"/>
      <c r="C534" s="35" t="str">
        <f>IFERROR(VLOOKUP(B534,'MASTER RECORD'!$B$5:$W$1000,3,0),"")</f>
        <v/>
      </c>
      <c r="D534" s="35" t="str">
        <f>IFERROR(VLOOKUP(B534,'MASTER RECORD'!$B$5:$W$1000,2,0),"")</f>
        <v/>
      </c>
      <c r="E534" s="36" t="str">
        <f>IFERROR(VLOOKUP(B534,'MASTER RECORD'!$B$5:$W$1000,9,0),"")</f>
        <v/>
      </c>
      <c r="F534" s="18"/>
      <c r="G534" s="18" t="str">
        <f t="shared" si="33"/>
        <v/>
      </c>
      <c r="H534" s="18" t="str">
        <f t="shared" si="34"/>
        <v/>
      </c>
      <c r="I534" s="35" t="str">
        <f t="shared" si="35"/>
        <v/>
      </c>
      <c r="J534" s="50"/>
      <c r="K534" s="17"/>
    </row>
    <row r="535" spans="1:11">
      <c r="A535" s="6">
        <f t="shared" si="32"/>
        <v>530</v>
      </c>
      <c r="B535" s="49"/>
      <c r="C535" s="35" t="str">
        <f>IFERROR(VLOOKUP(B535,'MASTER RECORD'!$B$5:$W$1000,3,0),"")</f>
        <v/>
      </c>
      <c r="D535" s="35" t="str">
        <f>IFERROR(VLOOKUP(B535,'MASTER RECORD'!$B$5:$W$1000,2,0),"")</f>
        <v/>
      </c>
      <c r="E535" s="36" t="str">
        <f>IFERROR(VLOOKUP(B535,'MASTER RECORD'!$B$5:$W$1000,9,0),"")</f>
        <v/>
      </c>
      <c r="F535" s="18"/>
      <c r="G535" s="18" t="str">
        <f t="shared" si="33"/>
        <v/>
      </c>
      <c r="H535" s="18" t="str">
        <f t="shared" si="34"/>
        <v/>
      </c>
      <c r="I535" s="35" t="str">
        <f t="shared" si="35"/>
        <v/>
      </c>
      <c r="J535" s="50"/>
      <c r="K535" s="17"/>
    </row>
    <row r="536" spans="1:11">
      <c r="A536" s="6">
        <f t="shared" si="32"/>
        <v>531</v>
      </c>
      <c r="B536" s="49"/>
      <c r="C536" s="35" t="str">
        <f>IFERROR(VLOOKUP(B536,'MASTER RECORD'!$B$5:$W$1000,3,0),"")</f>
        <v/>
      </c>
      <c r="D536" s="35" t="str">
        <f>IFERROR(VLOOKUP(B536,'MASTER RECORD'!$B$5:$W$1000,2,0),"")</f>
        <v/>
      </c>
      <c r="E536" s="36" t="str">
        <f>IFERROR(VLOOKUP(B536,'MASTER RECORD'!$B$5:$W$1000,9,0),"")</f>
        <v/>
      </c>
      <c r="F536" s="18"/>
      <c r="G536" s="18" t="str">
        <f t="shared" si="33"/>
        <v/>
      </c>
      <c r="H536" s="18" t="str">
        <f t="shared" si="34"/>
        <v/>
      </c>
      <c r="I536" s="35" t="str">
        <f t="shared" si="35"/>
        <v/>
      </c>
      <c r="J536" s="50"/>
      <c r="K536" s="17"/>
    </row>
    <row r="537" spans="1:11">
      <c r="A537" s="6">
        <f t="shared" si="32"/>
        <v>532</v>
      </c>
      <c r="B537" s="49"/>
      <c r="C537" s="35" t="str">
        <f>IFERROR(VLOOKUP(B537,'MASTER RECORD'!$B$5:$W$1000,3,0),"")</f>
        <v/>
      </c>
      <c r="D537" s="35" t="str">
        <f>IFERROR(VLOOKUP(B537,'MASTER RECORD'!$B$5:$W$1000,2,0),"")</f>
        <v/>
      </c>
      <c r="E537" s="36" t="str">
        <f>IFERROR(VLOOKUP(B537,'MASTER RECORD'!$B$5:$W$1000,9,0),"")</f>
        <v/>
      </c>
      <c r="F537" s="18"/>
      <c r="G537" s="18" t="str">
        <f t="shared" si="33"/>
        <v/>
      </c>
      <c r="H537" s="18" t="str">
        <f t="shared" si="34"/>
        <v/>
      </c>
      <c r="I537" s="35" t="str">
        <f t="shared" si="35"/>
        <v/>
      </c>
      <c r="J537" s="50"/>
      <c r="K537" s="17"/>
    </row>
    <row r="538" spans="1:11">
      <c r="A538" s="6">
        <f t="shared" si="32"/>
        <v>533</v>
      </c>
      <c r="B538" s="49"/>
      <c r="C538" s="35" t="str">
        <f>IFERROR(VLOOKUP(B538,'MASTER RECORD'!$B$5:$W$1000,3,0),"")</f>
        <v/>
      </c>
      <c r="D538" s="35" t="str">
        <f>IFERROR(VLOOKUP(B538,'MASTER RECORD'!$B$5:$W$1000,2,0),"")</f>
        <v/>
      </c>
      <c r="E538" s="36" t="str">
        <f>IFERROR(VLOOKUP(B538,'MASTER RECORD'!$B$5:$W$1000,9,0),"")</f>
        <v/>
      </c>
      <c r="F538" s="18"/>
      <c r="G538" s="18" t="str">
        <f t="shared" si="33"/>
        <v/>
      </c>
      <c r="H538" s="18" t="str">
        <f t="shared" si="34"/>
        <v/>
      </c>
      <c r="I538" s="35" t="str">
        <f t="shared" si="35"/>
        <v/>
      </c>
      <c r="J538" s="50"/>
      <c r="K538" s="17"/>
    </row>
    <row r="539" spans="1:11">
      <c r="A539" s="6">
        <f t="shared" si="32"/>
        <v>534</v>
      </c>
      <c r="B539" s="49"/>
      <c r="C539" s="35" t="str">
        <f>IFERROR(VLOOKUP(B539,'MASTER RECORD'!$B$5:$W$1000,3,0),"")</f>
        <v/>
      </c>
      <c r="D539" s="35" t="str">
        <f>IFERROR(VLOOKUP(B539,'MASTER RECORD'!$B$5:$W$1000,2,0),"")</f>
        <v/>
      </c>
      <c r="E539" s="36" t="str">
        <f>IFERROR(VLOOKUP(B539,'MASTER RECORD'!$B$5:$W$1000,9,0),"")</f>
        <v/>
      </c>
      <c r="F539" s="18"/>
      <c r="G539" s="18" t="str">
        <f t="shared" si="33"/>
        <v/>
      </c>
      <c r="H539" s="18" t="str">
        <f t="shared" si="34"/>
        <v/>
      </c>
      <c r="I539" s="35" t="str">
        <f t="shared" si="35"/>
        <v/>
      </c>
      <c r="J539" s="50"/>
      <c r="K539" s="17"/>
    </row>
    <row r="540" spans="1:11">
      <c r="A540" s="6">
        <f t="shared" si="32"/>
        <v>535</v>
      </c>
      <c r="B540" s="49"/>
      <c r="C540" s="35" t="str">
        <f>IFERROR(VLOOKUP(B540,'MASTER RECORD'!$B$5:$W$1000,3,0),"")</f>
        <v/>
      </c>
      <c r="D540" s="35" t="str">
        <f>IFERROR(VLOOKUP(B540,'MASTER RECORD'!$B$5:$W$1000,2,0),"")</f>
        <v/>
      </c>
      <c r="E540" s="36" t="str">
        <f>IFERROR(VLOOKUP(B540,'MASTER RECORD'!$B$5:$W$1000,9,0),"")</f>
        <v/>
      </c>
      <c r="F540" s="18"/>
      <c r="G540" s="18" t="str">
        <f t="shared" si="33"/>
        <v/>
      </c>
      <c r="H540" s="18" t="str">
        <f t="shared" si="34"/>
        <v/>
      </c>
      <c r="I540" s="35" t="str">
        <f t="shared" si="35"/>
        <v/>
      </c>
      <c r="J540" s="50"/>
      <c r="K540" s="17"/>
    </row>
    <row r="541" spans="1:11">
      <c r="A541" s="6">
        <f t="shared" si="32"/>
        <v>536</v>
      </c>
      <c r="B541" s="49"/>
      <c r="C541" s="35" t="str">
        <f>IFERROR(VLOOKUP(B541,'MASTER RECORD'!$B$5:$W$1000,3,0),"")</f>
        <v/>
      </c>
      <c r="D541" s="35" t="str">
        <f>IFERROR(VLOOKUP(B541,'MASTER RECORD'!$B$5:$W$1000,2,0),"")</f>
        <v/>
      </c>
      <c r="E541" s="36" t="str">
        <f>IFERROR(VLOOKUP(B541,'MASTER RECORD'!$B$5:$W$1000,9,0),"")</f>
        <v/>
      </c>
      <c r="F541" s="18"/>
      <c r="G541" s="18" t="str">
        <f t="shared" si="33"/>
        <v/>
      </c>
      <c r="H541" s="18" t="str">
        <f t="shared" si="34"/>
        <v/>
      </c>
      <c r="I541" s="35" t="str">
        <f t="shared" si="35"/>
        <v/>
      </c>
      <c r="J541" s="50"/>
      <c r="K541" s="17"/>
    </row>
    <row r="542" spans="1:11">
      <c r="A542" s="6">
        <f t="shared" si="32"/>
        <v>537</v>
      </c>
      <c r="B542" s="49"/>
      <c r="C542" s="35" t="str">
        <f>IFERROR(VLOOKUP(B542,'MASTER RECORD'!$B$5:$W$1000,3,0),"")</f>
        <v/>
      </c>
      <c r="D542" s="35" t="str">
        <f>IFERROR(VLOOKUP(B542,'MASTER RECORD'!$B$5:$W$1000,2,0),"")</f>
        <v/>
      </c>
      <c r="E542" s="36" t="str">
        <f>IFERROR(VLOOKUP(B542,'MASTER RECORD'!$B$5:$W$1000,9,0),"")</f>
        <v/>
      </c>
      <c r="F542" s="18"/>
      <c r="G542" s="18" t="str">
        <f t="shared" si="33"/>
        <v/>
      </c>
      <c r="H542" s="18" t="str">
        <f t="shared" si="34"/>
        <v/>
      </c>
      <c r="I542" s="35" t="str">
        <f t="shared" si="35"/>
        <v/>
      </c>
      <c r="J542" s="50"/>
      <c r="K542" s="17"/>
    </row>
    <row r="543" spans="1:11">
      <c r="A543" s="6">
        <f t="shared" si="32"/>
        <v>538</v>
      </c>
      <c r="B543" s="49"/>
      <c r="C543" s="35" t="str">
        <f>IFERROR(VLOOKUP(B543,'MASTER RECORD'!$B$5:$W$1000,3,0),"")</f>
        <v/>
      </c>
      <c r="D543" s="35" t="str">
        <f>IFERROR(VLOOKUP(B543,'MASTER RECORD'!$B$5:$W$1000,2,0),"")</f>
        <v/>
      </c>
      <c r="E543" s="36" t="str">
        <f>IFERROR(VLOOKUP(B543,'MASTER RECORD'!$B$5:$W$1000,9,0),"")</f>
        <v/>
      </c>
      <c r="F543" s="18"/>
      <c r="G543" s="18" t="str">
        <f t="shared" si="33"/>
        <v/>
      </c>
      <c r="H543" s="18" t="str">
        <f t="shared" si="34"/>
        <v/>
      </c>
      <c r="I543" s="35" t="str">
        <f t="shared" si="35"/>
        <v/>
      </c>
      <c r="J543" s="50"/>
      <c r="K543" s="17"/>
    </row>
    <row r="544" spans="1:11">
      <c r="A544" s="6">
        <f t="shared" si="32"/>
        <v>539</v>
      </c>
      <c r="B544" s="49"/>
      <c r="C544" s="35" t="str">
        <f>IFERROR(VLOOKUP(B544,'MASTER RECORD'!$B$5:$W$1000,3,0),"")</f>
        <v/>
      </c>
      <c r="D544" s="35" t="str">
        <f>IFERROR(VLOOKUP(B544,'MASTER RECORD'!$B$5:$W$1000,2,0),"")</f>
        <v/>
      </c>
      <c r="E544" s="36" t="str">
        <f>IFERROR(VLOOKUP(B544,'MASTER RECORD'!$B$5:$W$1000,9,0),"")</f>
        <v/>
      </c>
      <c r="F544" s="18"/>
      <c r="G544" s="18" t="str">
        <f t="shared" si="33"/>
        <v/>
      </c>
      <c r="H544" s="18" t="str">
        <f t="shared" si="34"/>
        <v/>
      </c>
      <c r="I544" s="35" t="str">
        <f t="shared" si="35"/>
        <v/>
      </c>
      <c r="J544" s="50"/>
      <c r="K544" s="17"/>
    </row>
    <row r="545" spans="1:11">
      <c r="A545" s="6">
        <f t="shared" si="32"/>
        <v>540</v>
      </c>
      <c r="B545" s="49"/>
      <c r="C545" s="35" t="str">
        <f>IFERROR(VLOOKUP(B545,'MASTER RECORD'!$B$5:$W$1000,3,0),"")</f>
        <v/>
      </c>
      <c r="D545" s="35" t="str">
        <f>IFERROR(VLOOKUP(B545,'MASTER RECORD'!$B$5:$W$1000,2,0),"")</f>
        <v/>
      </c>
      <c r="E545" s="36" t="str">
        <f>IFERROR(VLOOKUP(B545,'MASTER RECORD'!$B$5:$W$1000,9,0),"")</f>
        <v/>
      </c>
      <c r="F545" s="18"/>
      <c r="G545" s="18" t="str">
        <f t="shared" si="33"/>
        <v/>
      </c>
      <c r="H545" s="18" t="str">
        <f t="shared" si="34"/>
        <v/>
      </c>
      <c r="I545" s="35" t="str">
        <f t="shared" si="35"/>
        <v/>
      </c>
      <c r="J545" s="50"/>
      <c r="K545" s="17"/>
    </row>
    <row r="546" spans="1:11">
      <c r="A546" s="6">
        <f t="shared" si="32"/>
        <v>541</v>
      </c>
      <c r="B546" s="49"/>
      <c r="C546" s="35" t="str">
        <f>IFERROR(VLOOKUP(B546,'MASTER RECORD'!$B$5:$W$1000,3,0),"")</f>
        <v/>
      </c>
      <c r="D546" s="35" t="str">
        <f>IFERROR(VLOOKUP(B546,'MASTER RECORD'!$B$5:$W$1000,2,0),"")</f>
        <v/>
      </c>
      <c r="E546" s="36" t="str">
        <f>IFERROR(VLOOKUP(B546,'MASTER RECORD'!$B$5:$W$1000,9,0),"")</f>
        <v/>
      </c>
      <c r="F546" s="18"/>
      <c r="G546" s="18" t="str">
        <f t="shared" si="33"/>
        <v/>
      </c>
      <c r="H546" s="18" t="str">
        <f t="shared" si="34"/>
        <v/>
      </c>
      <c r="I546" s="35" t="str">
        <f t="shared" si="35"/>
        <v/>
      </c>
      <c r="J546" s="50"/>
      <c r="K546" s="17"/>
    </row>
    <row r="547" spans="1:11">
      <c r="A547" s="6">
        <f t="shared" si="32"/>
        <v>542</v>
      </c>
      <c r="B547" s="49"/>
      <c r="C547" s="35" t="str">
        <f>IFERROR(VLOOKUP(B547,'MASTER RECORD'!$B$5:$W$1000,3,0),"")</f>
        <v/>
      </c>
      <c r="D547" s="35" t="str">
        <f>IFERROR(VLOOKUP(B547,'MASTER RECORD'!$B$5:$W$1000,2,0),"")</f>
        <v/>
      </c>
      <c r="E547" s="36" t="str">
        <f>IFERROR(VLOOKUP(B547,'MASTER RECORD'!$B$5:$W$1000,9,0),"")</f>
        <v/>
      </c>
      <c r="F547" s="18"/>
      <c r="G547" s="18" t="str">
        <f t="shared" si="33"/>
        <v/>
      </c>
      <c r="H547" s="18" t="str">
        <f t="shared" si="34"/>
        <v/>
      </c>
      <c r="I547" s="35" t="str">
        <f t="shared" si="35"/>
        <v/>
      </c>
      <c r="J547" s="50"/>
      <c r="K547" s="17"/>
    </row>
    <row r="548" spans="1:11">
      <c r="A548" s="6">
        <f t="shared" si="32"/>
        <v>543</v>
      </c>
      <c r="B548" s="49"/>
      <c r="C548" s="35" t="str">
        <f>IFERROR(VLOOKUP(B548,'MASTER RECORD'!$B$5:$W$1000,3,0),"")</f>
        <v/>
      </c>
      <c r="D548" s="35" t="str">
        <f>IFERROR(VLOOKUP(B548,'MASTER RECORD'!$B$5:$W$1000,2,0),"")</f>
        <v/>
      </c>
      <c r="E548" s="36" t="str">
        <f>IFERROR(VLOOKUP(B548,'MASTER RECORD'!$B$5:$W$1000,9,0),"")</f>
        <v/>
      </c>
      <c r="F548" s="18"/>
      <c r="G548" s="18" t="str">
        <f t="shared" si="33"/>
        <v/>
      </c>
      <c r="H548" s="18" t="str">
        <f t="shared" si="34"/>
        <v/>
      </c>
      <c r="I548" s="35" t="str">
        <f t="shared" si="35"/>
        <v/>
      </c>
      <c r="J548" s="50"/>
      <c r="K548" s="17"/>
    </row>
    <row r="549" spans="1:11">
      <c r="A549" s="6">
        <f t="shared" si="32"/>
        <v>544</v>
      </c>
      <c r="B549" s="49"/>
      <c r="C549" s="35" t="str">
        <f>IFERROR(VLOOKUP(B549,'MASTER RECORD'!$B$5:$W$1000,3,0),"")</f>
        <v/>
      </c>
      <c r="D549" s="35" t="str">
        <f>IFERROR(VLOOKUP(B549,'MASTER RECORD'!$B$5:$W$1000,2,0),"")</f>
        <v/>
      </c>
      <c r="E549" s="36" t="str">
        <f>IFERROR(VLOOKUP(B549,'MASTER RECORD'!$B$5:$W$1000,9,0),"")</f>
        <v/>
      </c>
      <c r="F549" s="18"/>
      <c r="G549" s="18" t="str">
        <f t="shared" si="33"/>
        <v/>
      </c>
      <c r="H549" s="18" t="str">
        <f t="shared" si="34"/>
        <v/>
      </c>
      <c r="I549" s="35" t="str">
        <f t="shared" si="35"/>
        <v/>
      </c>
      <c r="J549" s="50"/>
      <c r="K549" s="17"/>
    </row>
    <row r="550" spans="1:11">
      <c r="A550" s="6">
        <f t="shared" si="32"/>
        <v>545</v>
      </c>
      <c r="B550" s="49"/>
      <c r="C550" s="35" t="str">
        <f>IFERROR(VLOOKUP(B550,'MASTER RECORD'!$B$5:$W$1000,3,0),"")</f>
        <v/>
      </c>
      <c r="D550" s="35" t="str">
        <f>IFERROR(VLOOKUP(B550,'MASTER RECORD'!$B$5:$W$1000,2,0),"")</f>
        <v/>
      </c>
      <c r="E550" s="36" t="str">
        <f>IFERROR(VLOOKUP(B550,'MASTER RECORD'!$B$5:$W$1000,9,0),"")</f>
        <v/>
      </c>
      <c r="F550" s="18"/>
      <c r="G550" s="18" t="str">
        <f t="shared" si="33"/>
        <v/>
      </c>
      <c r="H550" s="18" t="str">
        <f t="shared" si="34"/>
        <v/>
      </c>
      <c r="I550" s="35" t="str">
        <f t="shared" si="35"/>
        <v/>
      </c>
      <c r="J550" s="50"/>
      <c r="K550" s="17"/>
    </row>
    <row r="551" spans="1:11">
      <c r="A551" s="6">
        <f t="shared" si="32"/>
        <v>546</v>
      </c>
      <c r="B551" s="49"/>
      <c r="C551" s="35" t="str">
        <f>IFERROR(VLOOKUP(B551,'MASTER RECORD'!$B$5:$W$1000,3,0),"")</f>
        <v/>
      </c>
      <c r="D551" s="35" t="str">
        <f>IFERROR(VLOOKUP(B551,'MASTER RECORD'!$B$5:$W$1000,2,0),"")</f>
        <v/>
      </c>
      <c r="E551" s="36" t="str">
        <f>IFERROR(VLOOKUP(B551,'MASTER RECORD'!$B$5:$W$1000,9,0),"")</f>
        <v/>
      </c>
      <c r="F551" s="18"/>
      <c r="G551" s="18" t="str">
        <f t="shared" si="33"/>
        <v/>
      </c>
      <c r="H551" s="18" t="str">
        <f t="shared" si="34"/>
        <v/>
      </c>
      <c r="I551" s="35" t="str">
        <f t="shared" si="35"/>
        <v/>
      </c>
      <c r="J551" s="50"/>
      <c r="K551" s="17"/>
    </row>
    <row r="552" spans="1:11">
      <c r="A552" s="6">
        <f t="shared" si="32"/>
        <v>547</v>
      </c>
      <c r="B552" s="49"/>
      <c r="C552" s="35" t="str">
        <f>IFERROR(VLOOKUP(B552,'MASTER RECORD'!$B$5:$W$1000,3,0),"")</f>
        <v/>
      </c>
      <c r="D552" s="35" t="str">
        <f>IFERROR(VLOOKUP(B552,'MASTER RECORD'!$B$5:$W$1000,2,0),"")</f>
        <v/>
      </c>
      <c r="E552" s="36" t="str">
        <f>IFERROR(VLOOKUP(B552,'MASTER RECORD'!$B$5:$W$1000,9,0),"")</f>
        <v/>
      </c>
      <c r="F552" s="18"/>
      <c r="G552" s="18" t="str">
        <f t="shared" si="33"/>
        <v/>
      </c>
      <c r="H552" s="18" t="str">
        <f t="shared" si="34"/>
        <v/>
      </c>
      <c r="I552" s="35" t="str">
        <f t="shared" si="35"/>
        <v/>
      </c>
      <c r="J552" s="50"/>
      <c r="K552" s="17"/>
    </row>
    <row r="553" spans="1:11">
      <c r="A553" s="6">
        <f t="shared" si="32"/>
        <v>548</v>
      </c>
      <c r="B553" s="49"/>
      <c r="C553" s="35" t="str">
        <f>IFERROR(VLOOKUP(B553,'MASTER RECORD'!$B$5:$W$1000,3,0),"")</f>
        <v/>
      </c>
      <c r="D553" s="35" t="str">
        <f>IFERROR(VLOOKUP(B553,'MASTER RECORD'!$B$5:$W$1000,2,0),"")</f>
        <v/>
      </c>
      <c r="E553" s="36" t="str">
        <f>IFERROR(VLOOKUP(B553,'MASTER RECORD'!$B$5:$W$1000,9,0),"")</f>
        <v/>
      </c>
      <c r="F553" s="18"/>
      <c r="G553" s="18" t="str">
        <f t="shared" si="33"/>
        <v/>
      </c>
      <c r="H553" s="18" t="str">
        <f t="shared" si="34"/>
        <v/>
      </c>
      <c r="I553" s="35" t="str">
        <f t="shared" si="35"/>
        <v/>
      </c>
      <c r="J553" s="50"/>
      <c r="K553" s="17"/>
    </row>
    <row r="554" spans="1:11">
      <c r="A554" s="6">
        <f t="shared" si="32"/>
        <v>549</v>
      </c>
      <c r="B554" s="49"/>
      <c r="C554" s="35" t="str">
        <f>IFERROR(VLOOKUP(B554,'MASTER RECORD'!$B$5:$W$1000,3,0),"")</f>
        <v/>
      </c>
      <c r="D554" s="35" t="str">
        <f>IFERROR(VLOOKUP(B554,'MASTER RECORD'!$B$5:$W$1000,2,0),"")</f>
        <v/>
      </c>
      <c r="E554" s="36" t="str">
        <f>IFERROR(VLOOKUP(B554,'MASTER RECORD'!$B$5:$W$1000,9,0),"")</f>
        <v/>
      </c>
      <c r="F554" s="18"/>
      <c r="G554" s="18" t="str">
        <f t="shared" si="33"/>
        <v/>
      </c>
      <c r="H554" s="18" t="str">
        <f t="shared" si="34"/>
        <v/>
      </c>
      <c r="I554" s="35" t="str">
        <f t="shared" si="35"/>
        <v/>
      </c>
      <c r="J554" s="50"/>
      <c r="K554" s="17"/>
    </row>
    <row r="555" spans="1:11">
      <c r="A555" s="6">
        <f t="shared" si="32"/>
        <v>550</v>
      </c>
      <c r="B555" s="49"/>
      <c r="C555" s="35" t="str">
        <f>IFERROR(VLOOKUP(B555,'MASTER RECORD'!$B$5:$W$1000,3,0),"")</f>
        <v/>
      </c>
      <c r="D555" s="35" t="str">
        <f>IFERROR(VLOOKUP(B555,'MASTER RECORD'!$B$5:$W$1000,2,0),"")</f>
        <v/>
      </c>
      <c r="E555" s="36" t="str">
        <f>IFERROR(VLOOKUP(B555,'MASTER RECORD'!$B$5:$W$1000,9,0),"")</f>
        <v/>
      </c>
      <c r="F555" s="18"/>
      <c r="G555" s="18" t="str">
        <f t="shared" si="33"/>
        <v/>
      </c>
      <c r="H555" s="18" t="str">
        <f t="shared" si="34"/>
        <v/>
      </c>
      <c r="I555" s="35" t="str">
        <f t="shared" si="35"/>
        <v/>
      </c>
      <c r="J555" s="50"/>
      <c r="K555" s="17"/>
    </row>
    <row r="556" spans="1:11">
      <c r="A556" s="6">
        <f t="shared" si="32"/>
        <v>551</v>
      </c>
      <c r="B556" s="49"/>
      <c r="C556" s="35" t="str">
        <f>IFERROR(VLOOKUP(B556,'MASTER RECORD'!$B$5:$W$1000,3,0),"")</f>
        <v/>
      </c>
      <c r="D556" s="35" t="str">
        <f>IFERROR(VLOOKUP(B556,'MASTER RECORD'!$B$5:$W$1000,2,0),"")</f>
        <v/>
      </c>
      <c r="E556" s="36" t="str">
        <f>IFERROR(VLOOKUP(B556,'MASTER RECORD'!$B$5:$W$1000,9,0),"")</f>
        <v/>
      </c>
      <c r="F556" s="18"/>
      <c r="G556" s="18" t="str">
        <f t="shared" si="33"/>
        <v/>
      </c>
      <c r="H556" s="18" t="str">
        <f t="shared" si="34"/>
        <v/>
      </c>
      <c r="I556" s="35" t="str">
        <f t="shared" si="35"/>
        <v/>
      </c>
      <c r="J556" s="50"/>
      <c r="K556" s="17"/>
    </row>
    <row r="557" spans="1:11">
      <c r="A557" s="6">
        <f t="shared" si="32"/>
        <v>552</v>
      </c>
      <c r="B557" s="49"/>
      <c r="C557" s="35" t="str">
        <f>IFERROR(VLOOKUP(B557,'MASTER RECORD'!$B$5:$W$1000,3,0),"")</f>
        <v/>
      </c>
      <c r="D557" s="35" t="str">
        <f>IFERROR(VLOOKUP(B557,'MASTER RECORD'!$B$5:$W$1000,2,0),"")</f>
        <v/>
      </c>
      <c r="E557" s="36" t="str">
        <f>IFERROR(VLOOKUP(B557,'MASTER RECORD'!$B$5:$W$1000,9,0),"")</f>
        <v/>
      </c>
      <c r="F557" s="18"/>
      <c r="G557" s="18" t="str">
        <f t="shared" si="33"/>
        <v/>
      </c>
      <c r="H557" s="18" t="str">
        <f t="shared" si="34"/>
        <v/>
      </c>
      <c r="I557" s="35" t="str">
        <f t="shared" si="35"/>
        <v/>
      </c>
      <c r="J557" s="50"/>
      <c r="K557" s="17"/>
    </row>
    <row r="558" spans="1:11">
      <c r="A558" s="6">
        <f t="shared" si="32"/>
        <v>553</v>
      </c>
      <c r="B558" s="49"/>
      <c r="C558" s="35" t="str">
        <f>IFERROR(VLOOKUP(B558,'MASTER RECORD'!$B$5:$W$1000,3,0),"")</f>
        <v/>
      </c>
      <c r="D558" s="35" t="str">
        <f>IFERROR(VLOOKUP(B558,'MASTER RECORD'!$B$5:$W$1000,2,0),"")</f>
        <v/>
      </c>
      <c r="E558" s="36" t="str">
        <f>IFERROR(VLOOKUP(B558,'MASTER RECORD'!$B$5:$W$1000,9,0),"")</f>
        <v/>
      </c>
      <c r="F558" s="18"/>
      <c r="G558" s="18" t="str">
        <f t="shared" si="33"/>
        <v/>
      </c>
      <c r="H558" s="18" t="str">
        <f t="shared" si="34"/>
        <v/>
      </c>
      <c r="I558" s="35" t="str">
        <f t="shared" si="35"/>
        <v/>
      </c>
      <c r="J558" s="50"/>
      <c r="K558" s="17"/>
    </row>
    <row r="559" spans="1:11">
      <c r="A559" s="6">
        <f t="shared" si="32"/>
        <v>554</v>
      </c>
      <c r="B559" s="49"/>
      <c r="C559" s="35" t="str">
        <f>IFERROR(VLOOKUP(B559,'MASTER RECORD'!$B$5:$W$1000,3,0),"")</f>
        <v/>
      </c>
      <c r="D559" s="35" t="str">
        <f>IFERROR(VLOOKUP(B559,'MASTER RECORD'!$B$5:$W$1000,2,0),"")</f>
        <v/>
      </c>
      <c r="E559" s="36" t="str">
        <f>IFERROR(VLOOKUP(B559,'MASTER RECORD'!$B$5:$W$1000,9,0),"")</f>
        <v/>
      </c>
      <c r="F559" s="18"/>
      <c r="G559" s="18" t="str">
        <f t="shared" si="33"/>
        <v/>
      </c>
      <c r="H559" s="18" t="str">
        <f t="shared" si="34"/>
        <v/>
      </c>
      <c r="I559" s="35" t="str">
        <f t="shared" si="35"/>
        <v/>
      </c>
      <c r="J559" s="50"/>
      <c r="K559" s="17"/>
    </row>
    <row r="560" spans="1:11">
      <c r="A560" s="6">
        <f t="shared" si="32"/>
        <v>555</v>
      </c>
      <c r="B560" s="49"/>
      <c r="C560" s="35" t="str">
        <f>IFERROR(VLOOKUP(B560,'MASTER RECORD'!$B$5:$W$1000,3,0),"")</f>
        <v/>
      </c>
      <c r="D560" s="35" t="str">
        <f>IFERROR(VLOOKUP(B560,'MASTER RECORD'!$B$5:$W$1000,2,0),"")</f>
        <v/>
      </c>
      <c r="E560" s="36" t="str">
        <f>IFERROR(VLOOKUP(B560,'MASTER RECORD'!$B$5:$W$1000,9,0),"")</f>
        <v/>
      </c>
      <c r="F560" s="18"/>
      <c r="G560" s="18" t="str">
        <f t="shared" si="33"/>
        <v/>
      </c>
      <c r="H560" s="18" t="str">
        <f t="shared" si="34"/>
        <v/>
      </c>
      <c r="I560" s="35" t="str">
        <f t="shared" si="35"/>
        <v/>
      </c>
      <c r="J560" s="50"/>
      <c r="K560" s="17"/>
    </row>
    <row r="561" spans="1:11">
      <c r="A561" s="6">
        <f t="shared" si="32"/>
        <v>556</v>
      </c>
      <c r="B561" s="49"/>
      <c r="C561" s="35" t="str">
        <f>IFERROR(VLOOKUP(B561,'MASTER RECORD'!$B$5:$W$1000,3,0),"")</f>
        <v/>
      </c>
      <c r="D561" s="35" t="str">
        <f>IFERROR(VLOOKUP(B561,'MASTER RECORD'!$B$5:$W$1000,2,0),"")</f>
        <v/>
      </c>
      <c r="E561" s="36" t="str">
        <f>IFERROR(VLOOKUP(B561,'MASTER RECORD'!$B$5:$W$1000,9,0),"")</f>
        <v/>
      </c>
      <c r="F561" s="18"/>
      <c r="G561" s="18" t="str">
        <f t="shared" si="33"/>
        <v/>
      </c>
      <c r="H561" s="18" t="str">
        <f t="shared" si="34"/>
        <v/>
      </c>
      <c r="I561" s="35" t="str">
        <f t="shared" si="35"/>
        <v/>
      </c>
      <c r="J561" s="50"/>
      <c r="K561" s="17"/>
    </row>
    <row r="562" spans="1:11">
      <c r="A562" s="6">
        <f t="shared" si="32"/>
        <v>557</v>
      </c>
      <c r="B562" s="49"/>
      <c r="C562" s="35" t="str">
        <f>IFERROR(VLOOKUP(B562,'MASTER RECORD'!$B$5:$W$1000,3,0),"")</f>
        <v/>
      </c>
      <c r="D562" s="35" t="str">
        <f>IFERROR(VLOOKUP(B562,'MASTER RECORD'!$B$5:$W$1000,2,0),"")</f>
        <v/>
      </c>
      <c r="E562" s="36" t="str">
        <f>IFERROR(VLOOKUP(B562,'MASTER RECORD'!$B$5:$W$1000,9,0),"")</f>
        <v/>
      </c>
      <c r="F562" s="18"/>
      <c r="G562" s="18" t="str">
        <f t="shared" si="33"/>
        <v/>
      </c>
      <c r="H562" s="18" t="str">
        <f t="shared" si="34"/>
        <v/>
      </c>
      <c r="I562" s="35" t="str">
        <f t="shared" si="35"/>
        <v/>
      </c>
      <c r="J562" s="50"/>
      <c r="K562" s="17"/>
    </row>
    <row r="563" spans="1:11">
      <c r="A563" s="6">
        <f t="shared" si="32"/>
        <v>558</v>
      </c>
      <c r="B563" s="49"/>
      <c r="C563" s="35" t="str">
        <f>IFERROR(VLOOKUP(B563,'MASTER RECORD'!$B$5:$W$1000,3,0),"")</f>
        <v/>
      </c>
      <c r="D563" s="35" t="str">
        <f>IFERROR(VLOOKUP(B563,'MASTER RECORD'!$B$5:$W$1000,2,0),"")</f>
        <v/>
      </c>
      <c r="E563" s="36" t="str">
        <f>IFERROR(VLOOKUP(B563,'MASTER RECORD'!$B$5:$W$1000,9,0),"")</f>
        <v/>
      </c>
      <c r="F563" s="18"/>
      <c r="G563" s="18" t="str">
        <f t="shared" si="33"/>
        <v/>
      </c>
      <c r="H563" s="18" t="str">
        <f t="shared" si="34"/>
        <v/>
      </c>
      <c r="I563" s="35" t="str">
        <f t="shared" si="35"/>
        <v/>
      </c>
      <c r="J563" s="50"/>
      <c r="K563" s="17"/>
    </row>
    <row r="564" spans="1:11">
      <c r="A564" s="6">
        <f t="shared" si="32"/>
        <v>559</v>
      </c>
      <c r="B564" s="49"/>
      <c r="C564" s="35" t="str">
        <f>IFERROR(VLOOKUP(B564,'MASTER RECORD'!$B$5:$W$1000,3,0),"")</f>
        <v/>
      </c>
      <c r="D564" s="35" t="str">
        <f>IFERROR(VLOOKUP(B564,'MASTER RECORD'!$B$5:$W$1000,2,0),"")</f>
        <v/>
      </c>
      <c r="E564" s="36" t="str">
        <f>IFERROR(VLOOKUP(B564,'MASTER RECORD'!$B$5:$W$1000,9,0),"")</f>
        <v/>
      </c>
      <c r="F564" s="18"/>
      <c r="G564" s="18" t="str">
        <f t="shared" si="33"/>
        <v/>
      </c>
      <c r="H564" s="18" t="str">
        <f t="shared" si="34"/>
        <v/>
      </c>
      <c r="I564" s="35" t="str">
        <f t="shared" si="35"/>
        <v/>
      </c>
      <c r="J564" s="50"/>
      <c r="K564" s="17"/>
    </row>
    <row r="565" spans="1:11">
      <c r="A565" s="6">
        <f t="shared" si="32"/>
        <v>560</v>
      </c>
      <c r="B565" s="49"/>
      <c r="C565" s="35" t="str">
        <f>IFERROR(VLOOKUP(B565,'MASTER RECORD'!$B$5:$W$1000,3,0),"")</f>
        <v/>
      </c>
      <c r="D565" s="35" t="str">
        <f>IFERROR(VLOOKUP(B565,'MASTER RECORD'!$B$5:$W$1000,2,0),"")</f>
        <v/>
      </c>
      <c r="E565" s="36" t="str">
        <f>IFERROR(VLOOKUP(B565,'MASTER RECORD'!$B$5:$W$1000,9,0),"")</f>
        <v/>
      </c>
      <c r="F565" s="18"/>
      <c r="G565" s="18" t="str">
        <f t="shared" si="33"/>
        <v/>
      </c>
      <c r="H565" s="18" t="str">
        <f t="shared" si="34"/>
        <v/>
      </c>
      <c r="I565" s="35" t="str">
        <f t="shared" si="35"/>
        <v/>
      </c>
      <c r="J565" s="50"/>
      <c r="K565" s="17"/>
    </row>
    <row r="566" spans="1:11">
      <c r="A566" s="6">
        <f t="shared" si="32"/>
        <v>561</v>
      </c>
      <c r="B566" s="49"/>
      <c r="C566" s="35" t="str">
        <f>IFERROR(VLOOKUP(B566,'MASTER RECORD'!$B$5:$W$1000,3,0),"")</f>
        <v/>
      </c>
      <c r="D566" s="35" t="str">
        <f>IFERROR(VLOOKUP(B566,'MASTER RECORD'!$B$5:$W$1000,2,0),"")</f>
        <v/>
      </c>
      <c r="E566" s="36" t="str">
        <f>IFERROR(VLOOKUP(B566,'MASTER RECORD'!$B$5:$W$1000,9,0),"")</f>
        <v/>
      </c>
      <c r="F566" s="18"/>
      <c r="G566" s="18" t="str">
        <f t="shared" si="33"/>
        <v/>
      </c>
      <c r="H566" s="18" t="str">
        <f t="shared" si="34"/>
        <v/>
      </c>
      <c r="I566" s="35" t="str">
        <f t="shared" si="35"/>
        <v/>
      </c>
      <c r="J566" s="50"/>
      <c r="K566" s="17"/>
    </row>
    <row r="567" spans="1:11">
      <c r="A567" s="6">
        <f t="shared" si="32"/>
        <v>562</v>
      </c>
      <c r="B567" s="49"/>
      <c r="C567" s="35" t="str">
        <f>IFERROR(VLOOKUP(B567,'MASTER RECORD'!$B$5:$W$1000,3,0),"")</f>
        <v/>
      </c>
      <c r="D567" s="35" t="str">
        <f>IFERROR(VLOOKUP(B567,'MASTER RECORD'!$B$5:$W$1000,2,0),"")</f>
        <v/>
      </c>
      <c r="E567" s="36" t="str">
        <f>IFERROR(VLOOKUP(B567,'MASTER RECORD'!$B$5:$W$1000,9,0),"")</f>
        <v/>
      </c>
      <c r="F567" s="18"/>
      <c r="G567" s="18" t="str">
        <f t="shared" si="33"/>
        <v/>
      </c>
      <c r="H567" s="18" t="str">
        <f t="shared" si="34"/>
        <v/>
      </c>
      <c r="I567" s="35" t="str">
        <f t="shared" si="35"/>
        <v/>
      </c>
      <c r="J567" s="50"/>
      <c r="K567" s="17"/>
    </row>
    <row r="568" spans="1:11">
      <c r="A568" s="6">
        <f t="shared" si="32"/>
        <v>563</v>
      </c>
      <c r="B568" s="49"/>
      <c r="C568" s="35" t="str">
        <f>IFERROR(VLOOKUP(B568,'MASTER RECORD'!$B$5:$W$1000,3,0),"")</f>
        <v/>
      </c>
      <c r="D568" s="35" t="str">
        <f>IFERROR(VLOOKUP(B568,'MASTER RECORD'!$B$5:$W$1000,2,0),"")</f>
        <v/>
      </c>
      <c r="E568" s="36" t="str">
        <f>IFERROR(VLOOKUP(B568,'MASTER RECORD'!$B$5:$W$1000,9,0),"")</f>
        <v/>
      </c>
      <c r="F568" s="18"/>
      <c r="G568" s="18" t="str">
        <f t="shared" si="33"/>
        <v/>
      </c>
      <c r="H568" s="18" t="str">
        <f t="shared" si="34"/>
        <v/>
      </c>
      <c r="I568" s="35" t="str">
        <f t="shared" si="35"/>
        <v/>
      </c>
      <c r="J568" s="50"/>
      <c r="K568" s="17"/>
    </row>
    <row r="569" spans="1:11">
      <c r="A569" s="6">
        <f t="shared" si="32"/>
        <v>564</v>
      </c>
      <c r="B569" s="49"/>
      <c r="C569" s="35" t="str">
        <f>IFERROR(VLOOKUP(B569,'MASTER RECORD'!$B$5:$W$1000,3,0),"")</f>
        <v/>
      </c>
      <c r="D569" s="35" t="str">
        <f>IFERROR(VLOOKUP(B569,'MASTER RECORD'!$B$5:$W$1000,2,0),"")</f>
        <v/>
      </c>
      <c r="E569" s="36" t="str">
        <f>IFERROR(VLOOKUP(B569,'MASTER RECORD'!$B$5:$W$1000,9,0),"")</f>
        <v/>
      </c>
      <c r="F569" s="18"/>
      <c r="G569" s="18" t="str">
        <f t="shared" si="33"/>
        <v/>
      </c>
      <c r="H569" s="18" t="str">
        <f t="shared" si="34"/>
        <v/>
      </c>
      <c r="I569" s="35" t="str">
        <f t="shared" si="35"/>
        <v/>
      </c>
      <c r="J569" s="50"/>
      <c r="K569" s="17"/>
    </row>
    <row r="570" spans="1:11">
      <c r="A570" s="6">
        <f t="shared" si="32"/>
        <v>565</v>
      </c>
      <c r="B570" s="49"/>
      <c r="C570" s="35" t="str">
        <f>IFERROR(VLOOKUP(B570,'MASTER RECORD'!$B$5:$W$1000,3,0),"")</f>
        <v/>
      </c>
      <c r="D570" s="35" t="str">
        <f>IFERROR(VLOOKUP(B570,'MASTER RECORD'!$B$5:$W$1000,2,0),"")</f>
        <v/>
      </c>
      <c r="E570" s="36" t="str">
        <f>IFERROR(VLOOKUP(B570,'MASTER RECORD'!$B$5:$W$1000,9,0),"")</f>
        <v/>
      </c>
      <c r="F570" s="18"/>
      <c r="G570" s="18" t="str">
        <f t="shared" si="33"/>
        <v/>
      </c>
      <c r="H570" s="18" t="str">
        <f t="shared" si="34"/>
        <v/>
      </c>
      <c r="I570" s="35" t="str">
        <f t="shared" si="35"/>
        <v/>
      </c>
      <c r="J570" s="50"/>
      <c r="K570" s="17"/>
    </row>
    <row r="571" spans="1:11">
      <c r="A571" s="6">
        <f t="shared" si="32"/>
        <v>566</v>
      </c>
      <c r="B571" s="49"/>
      <c r="C571" s="35" t="str">
        <f>IFERROR(VLOOKUP(B571,'MASTER RECORD'!$B$5:$W$1000,3,0),"")</f>
        <v/>
      </c>
      <c r="D571" s="35" t="str">
        <f>IFERROR(VLOOKUP(B571,'MASTER RECORD'!$B$5:$W$1000,2,0),"")</f>
        <v/>
      </c>
      <c r="E571" s="36" t="str">
        <f>IFERROR(VLOOKUP(B571,'MASTER RECORD'!$B$5:$W$1000,9,0),"")</f>
        <v/>
      </c>
      <c r="F571" s="18"/>
      <c r="G571" s="18" t="str">
        <f t="shared" si="33"/>
        <v/>
      </c>
      <c r="H571" s="18" t="str">
        <f t="shared" si="34"/>
        <v/>
      </c>
      <c r="I571" s="35" t="str">
        <f t="shared" si="35"/>
        <v/>
      </c>
      <c r="J571" s="50"/>
      <c r="K571" s="17"/>
    </row>
    <row r="572" spans="1:11">
      <c r="A572" s="6">
        <f t="shared" si="32"/>
        <v>567</v>
      </c>
      <c r="B572" s="49"/>
      <c r="C572" s="35" t="str">
        <f>IFERROR(VLOOKUP(B572,'MASTER RECORD'!$B$5:$W$1000,3,0),"")</f>
        <v/>
      </c>
      <c r="D572" s="35" t="str">
        <f>IFERROR(VLOOKUP(B572,'MASTER RECORD'!$B$5:$W$1000,2,0),"")</f>
        <v/>
      </c>
      <c r="E572" s="36" t="str">
        <f>IFERROR(VLOOKUP(B572,'MASTER RECORD'!$B$5:$W$1000,9,0),"")</f>
        <v/>
      </c>
      <c r="F572" s="18"/>
      <c r="G572" s="18" t="str">
        <f t="shared" si="33"/>
        <v/>
      </c>
      <c r="H572" s="18" t="str">
        <f t="shared" si="34"/>
        <v/>
      </c>
      <c r="I572" s="35" t="str">
        <f t="shared" si="35"/>
        <v/>
      </c>
      <c r="J572" s="50"/>
      <c r="K572" s="17"/>
    </row>
    <row r="573" spans="1:11">
      <c r="A573" s="6">
        <f t="shared" si="32"/>
        <v>568</v>
      </c>
      <c r="B573" s="49"/>
      <c r="C573" s="35" t="str">
        <f>IFERROR(VLOOKUP(B573,'MASTER RECORD'!$B$5:$W$1000,3,0),"")</f>
        <v/>
      </c>
      <c r="D573" s="35" t="str">
        <f>IFERROR(VLOOKUP(B573,'MASTER RECORD'!$B$5:$W$1000,2,0),"")</f>
        <v/>
      </c>
      <c r="E573" s="36" t="str">
        <f>IFERROR(VLOOKUP(B573,'MASTER RECORD'!$B$5:$W$1000,9,0),"")</f>
        <v/>
      </c>
      <c r="F573" s="18"/>
      <c r="G573" s="18" t="str">
        <f t="shared" si="33"/>
        <v/>
      </c>
      <c r="H573" s="18" t="str">
        <f t="shared" si="34"/>
        <v/>
      </c>
      <c r="I573" s="35" t="str">
        <f t="shared" si="35"/>
        <v/>
      </c>
      <c r="J573" s="50"/>
      <c r="K573" s="17"/>
    </row>
    <row r="574" spans="1:11">
      <c r="A574" s="6">
        <f t="shared" si="32"/>
        <v>569</v>
      </c>
      <c r="B574" s="49"/>
      <c r="C574" s="35" t="str">
        <f>IFERROR(VLOOKUP(B574,'MASTER RECORD'!$B$5:$W$1000,3,0),"")</f>
        <v/>
      </c>
      <c r="D574" s="35" t="str">
        <f>IFERROR(VLOOKUP(B574,'MASTER RECORD'!$B$5:$W$1000,2,0),"")</f>
        <v/>
      </c>
      <c r="E574" s="36" t="str">
        <f>IFERROR(VLOOKUP(B574,'MASTER RECORD'!$B$5:$W$1000,9,0),"")</f>
        <v/>
      </c>
      <c r="F574" s="18"/>
      <c r="G574" s="18" t="str">
        <f t="shared" si="33"/>
        <v/>
      </c>
      <c r="H574" s="18" t="str">
        <f t="shared" si="34"/>
        <v/>
      </c>
      <c r="I574" s="35" t="str">
        <f t="shared" si="35"/>
        <v/>
      </c>
      <c r="J574" s="50"/>
      <c r="K574" s="17"/>
    </row>
    <row r="575" spans="1:11">
      <c r="A575" s="6">
        <f t="shared" si="32"/>
        <v>570</v>
      </c>
      <c r="B575" s="49"/>
      <c r="C575" s="35" t="str">
        <f>IFERROR(VLOOKUP(B575,'MASTER RECORD'!$B$5:$W$1000,3,0),"")</f>
        <v/>
      </c>
      <c r="D575" s="35" t="str">
        <f>IFERROR(VLOOKUP(B575,'MASTER RECORD'!$B$5:$W$1000,2,0),"")</f>
        <v/>
      </c>
      <c r="E575" s="36" t="str">
        <f>IFERROR(VLOOKUP(B575,'MASTER RECORD'!$B$5:$W$1000,9,0),"")</f>
        <v/>
      </c>
      <c r="F575" s="18"/>
      <c r="G575" s="18" t="str">
        <f t="shared" si="33"/>
        <v/>
      </c>
      <c r="H575" s="18" t="str">
        <f t="shared" si="34"/>
        <v/>
      </c>
      <c r="I575" s="35" t="str">
        <f t="shared" si="35"/>
        <v/>
      </c>
      <c r="J575" s="50"/>
      <c r="K575" s="17"/>
    </row>
    <row r="576" spans="1:11">
      <c r="A576" s="6">
        <f t="shared" si="32"/>
        <v>571</v>
      </c>
      <c r="B576" s="49"/>
      <c r="C576" s="35" t="str">
        <f>IFERROR(VLOOKUP(B576,'MASTER RECORD'!$B$5:$W$1000,3,0),"")</f>
        <v/>
      </c>
      <c r="D576" s="35" t="str">
        <f>IFERROR(VLOOKUP(B576,'MASTER RECORD'!$B$5:$W$1000,2,0),"")</f>
        <v/>
      </c>
      <c r="E576" s="36" t="str">
        <f>IFERROR(VLOOKUP(B576,'MASTER RECORD'!$B$5:$W$1000,9,0),"")</f>
        <v/>
      </c>
      <c r="F576" s="18"/>
      <c r="G576" s="18" t="str">
        <f t="shared" si="33"/>
        <v/>
      </c>
      <c r="H576" s="18" t="str">
        <f t="shared" si="34"/>
        <v/>
      </c>
      <c r="I576" s="35" t="str">
        <f t="shared" si="35"/>
        <v/>
      </c>
      <c r="J576" s="50"/>
      <c r="K576" s="17"/>
    </row>
    <row r="577" spans="1:11">
      <c r="A577" s="6">
        <f t="shared" si="32"/>
        <v>572</v>
      </c>
      <c r="B577" s="49"/>
      <c r="C577" s="35" t="str">
        <f>IFERROR(VLOOKUP(B577,'MASTER RECORD'!$B$5:$W$1000,3,0),"")</f>
        <v/>
      </c>
      <c r="D577" s="35" t="str">
        <f>IFERROR(VLOOKUP(B577,'MASTER RECORD'!$B$5:$W$1000,2,0),"")</f>
        <v/>
      </c>
      <c r="E577" s="36" t="str">
        <f>IFERROR(VLOOKUP(B577,'MASTER RECORD'!$B$5:$W$1000,9,0),"")</f>
        <v/>
      </c>
      <c r="F577" s="18"/>
      <c r="G577" s="18" t="str">
        <f t="shared" si="33"/>
        <v/>
      </c>
      <c r="H577" s="18" t="str">
        <f t="shared" si="34"/>
        <v/>
      </c>
      <c r="I577" s="35" t="str">
        <f t="shared" si="35"/>
        <v/>
      </c>
      <c r="J577" s="50"/>
      <c r="K577" s="17"/>
    </row>
    <row r="578" spans="1:11">
      <c r="A578" s="6">
        <f t="shared" si="32"/>
        <v>573</v>
      </c>
      <c r="B578" s="49"/>
      <c r="C578" s="35" t="str">
        <f>IFERROR(VLOOKUP(B578,'MASTER RECORD'!$B$5:$W$1000,3,0),"")</f>
        <v/>
      </c>
      <c r="D578" s="35" t="str">
        <f>IFERROR(VLOOKUP(B578,'MASTER RECORD'!$B$5:$W$1000,2,0),"")</f>
        <v/>
      </c>
      <c r="E578" s="36" t="str">
        <f>IFERROR(VLOOKUP(B578,'MASTER RECORD'!$B$5:$W$1000,9,0),"")</f>
        <v/>
      </c>
      <c r="F578" s="18"/>
      <c r="G578" s="18" t="str">
        <f t="shared" si="33"/>
        <v/>
      </c>
      <c r="H578" s="18" t="str">
        <f t="shared" si="34"/>
        <v/>
      </c>
      <c r="I578" s="35" t="str">
        <f t="shared" si="35"/>
        <v/>
      </c>
      <c r="J578" s="50"/>
      <c r="K578" s="17"/>
    </row>
    <row r="579" spans="1:11">
      <c r="A579" s="6">
        <f t="shared" si="32"/>
        <v>574</v>
      </c>
      <c r="B579" s="49"/>
      <c r="C579" s="35" t="str">
        <f>IFERROR(VLOOKUP(B579,'MASTER RECORD'!$B$5:$W$1000,3,0),"")</f>
        <v/>
      </c>
      <c r="D579" s="35" t="str">
        <f>IFERROR(VLOOKUP(B579,'MASTER RECORD'!$B$5:$W$1000,2,0),"")</f>
        <v/>
      </c>
      <c r="E579" s="36" t="str">
        <f>IFERROR(VLOOKUP(B579,'MASTER RECORD'!$B$5:$W$1000,9,0),"")</f>
        <v/>
      </c>
      <c r="F579" s="18"/>
      <c r="G579" s="18" t="str">
        <f t="shared" si="33"/>
        <v/>
      </c>
      <c r="H579" s="18" t="str">
        <f t="shared" si="34"/>
        <v/>
      </c>
      <c r="I579" s="35" t="str">
        <f t="shared" si="35"/>
        <v/>
      </c>
      <c r="J579" s="50"/>
      <c r="K579" s="17"/>
    </row>
    <row r="580" spans="1:11">
      <c r="A580" s="6">
        <f t="shared" si="32"/>
        <v>575</v>
      </c>
      <c r="B580" s="49"/>
      <c r="C580" s="35" t="str">
        <f>IFERROR(VLOOKUP(B580,'MASTER RECORD'!$B$5:$W$1000,3,0),"")</f>
        <v/>
      </c>
      <c r="D580" s="35" t="str">
        <f>IFERROR(VLOOKUP(B580,'MASTER RECORD'!$B$5:$W$1000,2,0),"")</f>
        <v/>
      </c>
      <c r="E580" s="36" t="str">
        <f>IFERROR(VLOOKUP(B580,'MASTER RECORD'!$B$5:$W$1000,9,0),"")</f>
        <v/>
      </c>
      <c r="F580" s="18"/>
      <c r="G580" s="18" t="str">
        <f t="shared" si="33"/>
        <v/>
      </c>
      <c r="H580" s="18" t="str">
        <f t="shared" si="34"/>
        <v/>
      </c>
      <c r="I580" s="35" t="str">
        <f t="shared" si="35"/>
        <v/>
      </c>
      <c r="J580" s="50"/>
      <c r="K580" s="17"/>
    </row>
    <row r="581" spans="1:11">
      <c r="A581" s="6">
        <f t="shared" si="32"/>
        <v>576</v>
      </c>
      <c r="B581" s="49"/>
      <c r="C581" s="35" t="str">
        <f>IFERROR(VLOOKUP(B581,'MASTER RECORD'!$B$5:$W$1000,3,0),"")</f>
        <v/>
      </c>
      <c r="D581" s="35" t="str">
        <f>IFERROR(VLOOKUP(B581,'MASTER RECORD'!$B$5:$W$1000,2,0),"")</f>
        <v/>
      </c>
      <c r="E581" s="36" t="str">
        <f>IFERROR(VLOOKUP(B581,'MASTER RECORD'!$B$5:$W$1000,9,0),"")</f>
        <v/>
      </c>
      <c r="F581" s="18"/>
      <c r="G581" s="18" t="str">
        <f t="shared" si="33"/>
        <v/>
      </c>
      <c r="H581" s="18" t="str">
        <f t="shared" si="34"/>
        <v/>
      </c>
      <c r="I581" s="35" t="str">
        <f t="shared" si="35"/>
        <v/>
      </c>
      <c r="J581" s="50"/>
      <c r="K581" s="17"/>
    </row>
    <row r="582" spans="1:11">
      <c r="A582" s="6">
        <f t="shared" si="32"/>
        <v>577</v>
      </c>
      <c r="B582" s="49"/>
      <c r="C582" s="35" t="str">
        <f>IFERROR(VLOOKUP(B582,'MASTER RECORD'!$B$5:$W$1000,3,0),"")</f>
        <v/>
      </c>
      <c r="D582" s="35" t="str">
        <f>IFERROR(VLOOKUP(B582,'MASTER RECORD'!$B$5:$W$1000,2,0),"")</f>
        <v/>
      </c>
      <c r="E582" s="36" t="str">
        <f>IFERROR(VLOOKUP(B582,'MASTER RECORD'!$B$5:$W$1000,9,0),"")</f>
        <v/>
      </c>
      <c r="F582" s="18"/>
      <c r="G582" s="18" t="str">
        <f t="shared" si="33"/>
        <v/>
      </c>
      <c r="H582" s="18" t="str">
        <f t="shared" si="34"/>
        <v/>
      </c>
      <c r="I582" s="35" t="str">
        <f t="shared" si="35"/>
        <v/>
      </c>
      <c r="J582" s="50"/>
      <c r="K582" s="17"/>
    </row>
    <row r="583" spans="1:11">
      <c r="A583" s="6">
        <f t="shared" ref="A583:A646" si="36">ROW(A578)</f>
        <v>578</v>
      </c>
      <c r="B583" s="49"/>
      <c r="C583" s="35" t="str">
        <f>IFERROR(VLOOKUP(B583,'MASTER RECORD'!$B$5:$W$1000,3,0),"")</f>
        <v/>
      </c>
      <c r="D583" s="35" t="str">
        <f>IFERROR(VLOOKUP(B583,'MASTER RECORD'!$B$5:$W$1000,2,0),"")</f>
        <v/>
      </c>
      <c r="E583" s="36" t="str">
        <f>IFERROR(VLOOKUP(B583,'MASTER RECORD'!$B$5:$W$1000,9,0),"")</f>
        <v/>
      </c>
      <c r="F583" s="18"/>
      <c r="G583" s="18" t="str">
        <f t="shared" ref="G583:G646" si="37">IF($F583=0,"",TEXT($F583,"mmmm"))</f>
        <v/>
      </c>
      <c r="H583" s="18" t="str">
        <f t="shared" ref="H583:H646" si="38">IF($F583=0,"",TEXT($F583,"yyyy"))</f>
        <v/>
      </c>
      <c r="I583" s="35" t="str">
        <f t="shared" ref="I583:I646" si="39">IFERROR(DATEDIF(E583,F583,"Y")&amp;"."&amp;DATEDIF(E583,F583,"YM"),"")</f>
        <v/>
      </c>
      <c r="J583" s="50"/>
      <c r="K583" s="17"/>
    </row>
    <row r="584" spans="1:11">
      <c r="A584" s="6">
        <f t="shared" si="36"/>
        <v>579</v>
      </c>
      <c r="B584" s="49"/>
      <c r="C584" s="35" t="str">
        <f>IFERROR(VLOOKUP(B584,'MASTER RECORD'!$B$5:$W$1000,3,0),"")</f>
        <v/>
      </c>
      <c r="D584" s="35" t="str">
        <f>IFERROR(VLOOKUP(B584,'MASTER RECORD'!$B$5:$W$1000,2,0),"")</f>
        <v/>
      </c>
      <c r="E584" s="36" t="str">
        <f>IFERROR(VLOOKUP(B584,'MASTER RECORD'!$B$5:$W$1000,9,0),"")</f>
        <v/>
      </c>
      <c r="F584" s="18"/>
      <c r="G584" s="18" t="str">
        <f t="shared" si="37"/>
        <v/>
      </c>
      <c r="H584" s="18" t="str">
        <f t="shared" si="38"/>
        <v/>
      </c>
      <c r="I584" s="35" t="str">
        <f t="shared" si="39"/>
        <v/>
      </c>
      <c r="J584" s="50"/>
      <c r="K584" s="17"/>
    </row>
    <row r="585" spans="1:11">
      <c r="A585" s="6">
        <f t="shared" si="36"/>
        <v>580</v>
      </c>
      <c r="B585" s="49"/>
      <c r="C585" s="35" t="str">
        <f>IFERROR(VLOOKUP(B585,'MASTER RECORD'!$B$5:$W$1000,3,0),"")</f>
        <v/>
      </c>
      <c r="D585" s="35" t="str">
        <f>IFERROR(VLOOKUP(B585,'MASTER RECORD'!$B$5:$W$1000,2,0),"")</f>
        <v/>
      </c>
      <c r="E585" s="36" t="str">
        <f>IFERROR(VLOOKUP(B585,'MASTER RECORD'!$B$5:$W$1000,9,0),"")</f>
        <v/>
      </c>
      <c r="F585" s="18"/>
      <c r="G585" s="18" t="str">
        <f t="shared" si="37"/>
        <v/>
      </c>
      <c r="H585" s="18" t="str">
        <f t="shared" si="38"/>
        <v/>
      </c>
      <c r="I585" s="35" t="str">
        <f t="shared" si="39"/>
        <v/>
      </c>
      <c r="J585" s="50"/>
      <c r="K585" s="17"/>
    </row>
    <row r="586" spans="1:11">
      <c r="A586" s="6">
        <f t="shared" si="36"/>
        <v>581</v>
      </c>
      <c r="B586" s="49"/>
      <c r="C586" s="35" t="str">
        <f>IFERROR(VLOOKUP(B586,'MASTER RECORD'!$B$5:$W$1000,3,0),"")</f>
        <v/>
      </c>
      <c r="D586" s="35" t="str">
        <f>IFERROR(VLOOKUP(B586,'MASTER RECORD'!$B$5:$W$1000,2,0),"")</f>
        <v/>
      </c>
      <c r="E586" s="36" t="str">
        <f>IFERROR(VLOOKUP(B586,'MASTER RECORD'!$B$5:$W$1000,9,0),"")</f>
        <v/>
      </c>
      <c r="F586" s="18"/>
      <c r="G586" s="18" t="str">
        <f t="shared" si="37"/>
        <v/>
      </c>
      <c r="H586" s="18" t="str">
        <f t="shared" si="38"/>
        <v/>
      </c>
      <c r="I586" s="35" t="str">
        <f t="shared" si="39"/>
        <v/>
      </c>
      <c r="J586" s="50"/>
      <c r="K586" s="17"/>
    </row>
    <row r="587" spans="1:11">
      <c r="A587" s="6">
        <f t="shared" si="36"/>
        <v>582</v>
      </c>
      <c r="B587" s="49"/>
      <c r="C587" s="35" t="str">
        <f>IFERROR(VLOOKUP(B587,'MASTER RECORD'!$B$5:$W$1000,3,0),"")</f>
        <v/>
      </c>
      <c r="D587" s="35" t="str">
        <f>IFERROR(VLOOKUP(B587,'MASTER RECORD'!$B$5:$W$1000,2,0),"")</f>
        <v/>
      </c>
      <c r="E587" s="36" t="str">
        <f>IFERROR(VLOOKUP(B587,'MASTER RECORD'!$B$5:$W$1000,9,0),"")</f>
        <v/>
      </c>
      <c r="F587" s="18"/>
      <c r="G587" s="18" t="str">
        <f t="shared" si="37"/>
        <v/>
      </c>
      <c r="H587" s="18" t="str">
        <f t="shared" si="38"/>
        <v/>
      </c>
      <c r="I587" s="35" t="str">
        <f t="shared" si="39"/>
        <v/>
      </c>
      <c r="J587" s="50"/>
      <c r="K587" s="17"/>
    </row>
    <row r="588" spans="1:11">
      <c r="A588" s="6">
        <f t="shared" si="36"/>
        <v>583</v>
      </c>
      <c r="B588" s="49"/>
      <c r="C588" s="35" t="str">
        <f>IFERROR(VLOOKUP(B588,'MASTER RECORD'!$B$5:$W$1000,3,0),"")</f>
        <v/>
      </c>
      <c r="D588" s="35" t="str">
        <f>IFERROR(VLOOKUP(B588,'MASTER RECORD'!$B$5:$W$1000,2,0),"")</f>
        <v/>
      </c>
      <c r="E588" s="36" t="str">
        <f>IFERROR(VLOOKUP(B588,'MASTER RECORD'!$B$5:$W$1000,9,0),"")</f>
        <v/>
      </c>
      <c r="F588" s="18"/>
      <c r="G588" s="18" t="str">
        <f t="shared" si="37"/>
        <v/>
      </c>
      <c r="H588" s="18" t="str">
        <f t="shared" si="38"/>
        <v/>
      </c>
      <c r="I588" s="35" t="str">
        <f t="shared" si="39"/>
        <v/>
      </c>
      <c r="J588" s="50"/>
      <c r="K588" s="17"/>
    </row>
    <row r="589" spans="1:11">
      <c r="A589" s="6">
        <f t="shared" si="36"/>
        <v>584</v>
      </c>
      <c r="B589" s="49"/>
      <c r="C589" s="35" t="str">
        <f>IFERROR(VLOOKUP(B589,'MASTER RECORD'!$B$5:$W$1000,3,0),"")</f>
        <v/>
      </c>
      <c r="D589" s="35" t="str">
        <f>IFERROR(VLOOKUP(B589,'MASTER RECORD'!$B$5:$W$1000,2,0),"")</f>
        <v/>
      </c>
      <c r="E589" s="36" t="str">
        <f>IFERROR(VLOOKUP(B589,'MASTER RECORD'!$B$5:$W$1000,9,0),"")</f>
        <v/>
      </c>
      <c r="F589" s="18"/>
      <c r="G589" s="18" t="str">
        <f t="shared" si="37"/>
        <v/>
      </c>
      <c r="H589" s="18" t="str">
        <f t="shared" si="38"/>
        <v/>
      </c>
      <c r="I589" s="35" t="str">
        <f t="shared" si="39"/>
        <v/>
      </c>
      <c r="J589" s="50"/>
      <c r="K589" s="17"/>
    </row>
    <row r="590" spans="1:11">
      <c r="A590" s="6">
        <f t="shared" si="36"/>
        <v>585</v>
      </c>
      <c r="B590" s="49"/>
      <c r="C590" s="35" t="str">
        <f>IFERROR(VLOOKUP(B590,'MASTER RECORD'!$B$5:$W$1000,3,0),"")</f>
        <v/>
      </c>
      <c r="D590" s="35" t="str">
        <f>IFERROR(VLOOKUP(B590,'MASTER RECORD'!$B$5:$W$1000,2,0),"")</f>
        <v/>
      </c>
      <c r="E590" s="36" t="str">
        <f>IFERROR(VLOOKUP(B590,'MASTER RECORD'!$B$5:$W$1000,9,0),"")</f>
        <v/>
      </c>
      <c r="F590" s="18"/>
      <c r="G590" s="18" t="str">
        <f t="shared" si="37"/>
        <v/>
      </c>
      <c r="H590" s="18" t="str">
        <f t="shared" si="38"/>
        <v/>
      </c>
      <c r="I590" s="35" t="str">
        <f t="shared" si="39"/>
        <v/>
      </c>
      <c r="J590" s="50"/>
      <c r="K590" s="17"/>
    </row>
    <row r="591" spans="1:11">
      <c r="A591" s="6">
        <f t="shared" si="36"/>
        <v>586</v>
      </c>
      <c r="B591" s="49"/>
      <c r="C591" s="35" t="str">
        <f>IFERROR(VLOOKUP(B591,'MASTER RECORD'!$B$5:$W$1000,3,0),"")</f>
        <v/>
      </c>
      <c r="D591" s="35" t="str">
        <f>IFERROR(VLOOKUP(B591,'MASTER RECORD'!$B$5:$W$1000,2,0),"")</f>
        <v/>
      </c>
      <c r="E591" s="36" t="str">
        <f>IFERROR(VLOOKUP(B591,'MASTER RECORD'!$B$5:$W$1000,9,0),"")</f>
        <v/>
      </c>
      <c r="F591" s="18"/>
      <c r="G591" s="18" t="str">
        <f t="shared" si="37"/>
        <v/>
      </c>
      <c r="H591" s="18" t="str">
        <f t="shared" si="38"/>
        <v/>
      </c>
      <c r="I591" s="35" t="str">
        <f t="shared" si="39"/>
        <v/>
      </c>
      <c r="J591" s="50"/>
      <c r="K591" s="17"/>
    </row>
    <row r="592" spans="1:11">
      <c r="A592" s="6">
        <f t="shared" si="36"/>
        <v>587</v>
      </c>
      <c r="B592" s="49"/>
      <c r="C592" s="35" t="str">
        <f>IFERROR(VLOOKUP(B592,'MASTER RECORD'!$B$5:$W$1000,3,0),"")</f>
        <v/>
      </c>
      <c r="D592" s="35" t="str">
        <f>IFERROR(VLOOKUP(B592,'MASTER RECORD'!$B$5:$W$1000,2,0),"")</f>
        <v/>
      </c>
      <c r="E592" s="36" t="str">
        <f>IFERROR(VLOOKUP(B592,'MASTER RECORD'!$B$5:$W$1000,9,0),"")</f>
        <v/>
      </c>
      <c r="F592" s="18"/>
      <c r="G592" s="18" t="str">
        <f t="shared" si="37"/>
        <v/>
      </c>
      <c r="H592" s="18" t="str">
        <f t="shared" si="38"/>
        <v/>
      </c>
      <c r="I592" s="35" t="str">
        <f t="shared" si="39"/>
        <v/>
      </c>
      <c r="J592" s="50"/>
      <c r="K592" s="17"/>
    </row>
    <row r="593" spans="1:11">
      <c r="A593" s="6">
        <f t="shared" si="36"/>
        <v>588</v>
      </c>
      <c r="B593" s="49"/>
      <c r="C593" s="35" t="str">
        <f>IFERROR(VLOOKUP(B593,'MASTER RECORD'!$B$5:$W$1000,3,0),"")</f>
        <v/>
      </c>
      <c r="D593" s="35" t="str">
        <f>IFERROR(VLOOKUP(B593,'MASTER RECORD'!$B$5:$W$1000,2,0),"")</f>
        <v/>
      </c>
      <c r="E593" s="36" t="str">
        <f>IFERROR(VLOOKUP(B593,'MASTER RECORD'!$B$5:$W$1000,9,0),"")</f>
        <v/>
      </c>
      <c r="F593" s="18"/>
      <c r="G593" s="18" t="str">
        <f t="shared" si="37"/>
        <v/>
      </c>
      <c r="H593" s="18" t="str">
        <f t="shared" si="38"/>
        <v/>
      </c>
      <c r="I593" s="35" t="str">
        <f t="shared" si="39"/>
        <v/>
      </c>
      <c r="J593" s="50"/>
      <c r="K593" s="17"/>
    </row>
    <row r="594" spans="1:11">
      <c r="A594" s="6">
        <f t="shared" si="36"/>
        <v>589</v>
      </c>
      <c r="B594" s="49"/>
      <c r="C594" s="35" t="str">
        <f>IFERROR(VLOOKUP(B594,'MASTER RECORD'!$B$5:$W$1000,3,0),"")</f>
        <v/>
      </c>
      <c r="D594" s="35" t="str">
        <f>IFERROR(VLOOKUP(B594,'MASTER RECORD'!$B$5:$W$1000,2,0),"")</f>
        <v/>
      </c>
      <c r="E594" s="36" t="str">
        <f>IFERROR(VLOOKUP(B594,'MASTER RECORD'!$B$5:$W$1000,9,0),"")</f>
        <v/>
      </c>
      <c r="F594" s="18"/>
      <c r="G594" s="18" t="str">
        <f t="shared" si="37"/>
        <v/>
      </c>
      <c r="H594" s="18" t="str">
        <f t="shared" si="38"/>
        <v/>
      </c>
      <c r="I594" s="35" t="str">
        <f t="shared" si="39"/>
        <v/>
      </c>
      <c r="J594" s="50"/>
      <c r="K594" s="17"/>
    </row>
    <row r="595" spans="1:11">
      <c r="A595" s="6">
        <f t="shared" si="36"/>
        <v>590</v>
      </c>
      <c r="B595" s="49"/>
      <c r="C595" s="35" t="str">
        <f>IFERROR(VLOOKUP(B595,'MASTER RECORD'!$B$5:$W$1000,3,0),"")</f>
        <v/>
      </c>
      <c r="D595" s="35" t="str">
        <f>IFERROR(VLOOKUP(B595,'MASTER RECORD'!$B$5:$W$1000,2,0),"")</f>
        <v/>
      </c>
      <c r="E595" s="36" t="str">
        <f>IFERROR(VLOOKUP(B595,'MASTER RECORD'!$B$5:$W$1000,9,0),"")</f>
        <v/>
      </c>
      <c r="F595" s="18"/>
      <c r="G595" s="18" t="str">
        <f t="shared" si="37"/>
        <v/>
      </c>
      <c r="H595" s="18" t="str">
        <f t="shared" si="38"/>
        <v/>
      </c>
      <c r="I595" s="35" t="str">
        <f t="shared" si="39"/>
        <v/>
      </c>
      <c r="J595" s="50"/>
      <c r="K595" s="17"/>
    </row>
    <row r="596" spans="1:11">
      <c r="A596" s="6">
        <f t="shared" si="36"/>
        <v>591</v>
      </c>
      <c r="B596" s="49"/>
      <c r="C596" s="35" t="str">
        <f>IFERROR(VLOOKUP(B596,'MASTER RECORD'!$B$5:$W$1000,3,0),"")</f>
        <v/>
      </c>
      <c r="D596" s="35" t="str">
        <f>IFERROR(VLOOKUP(B596,'MASTER RECORD'!$B$5:$W$1000,2,0),"")</f>
        <v/>
      </c>
      <c r="E596" s="36" t="str">
        <f>IFERROR(VLOOKUP(B596,'MASTER RECORD'!$B$5:$W$1000,9,0),"")</f>
        <v/>
      </c>
      <c r="F596" s="18"/>
      <c r="G596" s="18" t="str">
        <f t="shared" si="37"/>
        <v/>
      </c>
      <c r="H596" s="18" t="str">
        <f t="shared" si="38"/>
        <v/>
      </c>
      <c r="I596" s="35" t="str">
        <f t="shared" si="39"/>
        <v/>
      </c>
      <c r="J596" s="50"/>
      <c r="K596" s="17"/>
    </row>
    <row r="597" spans="1:11">
      <c r="A597" s="6">
        <f t="shared" si="36"/>
        <v>592</v>
      </c>
      <c r="B597" s="49"/>
      <c r="C597" s="35" t="str">
        <f>IFERROR(VLOOKUP(B597,'MASTER RECORD'!$B$5:$W$1000,3,0),"")</f>
        <v/>
      </c>
      <c r="D597" s="35" t="str">
        <f>IFERROR(VLOOKUP(B597,'MASTER RECORD'!$B$5:$W$1000,2,0),"")</f>
        <v/>
      </c>
      <c r="E597" s="36" t="str">
        <f>IFERROR(VLOOKUP(B597,'MASTER RECORD'!$B$5:$W$1000,9,0),"")</f>
        <v/>
      </c>
      <c r="F597" s="18"/>
      <c r="G597" s="18" t="str">
        <f t="shared" si="37"/>
        <v/>
      </c>
      <c r="H597" s="18" t="str">
        <f t="shared" si="38"/>
        <v/>
      </c>
      <c r="I597" s="35" t="str">
        <f t="shared" si="39"/>
        <v/>
      </c>
      <c r="J597" s="50"/>
      <c r="K597" s="17"/>
    </row>
    <row r="598" spans="1:11">
      <c r="A598" s="6">
        <f t="shared" si="36"/>
        <v>593</v>
      </c>
      <c r="B598" s="49"/>
      <c r="C598" s="35" t="str">
        <f>IFERROR(VLOOKUP(B598,'MASTER RECORD'!$B$5:$W$1000,3,0),"")</f>
        <v/>
      </c>
      <c r="D598" s="35" t="str">
        <f>IFERROR(VLOOKUP(B598,'MASTER RECORD'!$B$5:$W$1000,2,0),"")</f>
        <v/>
      </c>
      <c r="E598" s="36" t="str">
        <f>IFERROR(VLOOKUP(B598,'MASTER RECORD'!$B$5:$W$1000,9,0),"")</f>
        <v/>
      </c>
      <c r="F598" s="18"/>
      <c r="G598" s="18" t="str">
        <f t="shared" si="37"/>
        <v/>
      </c>
      <c r="H598" s="18" t="str">
        <f t="shared" si="38"/>
        <v/>
      </c>
      <c r="I598" s="35" t="str">
        <f t="shared" si="39"/>
        <v/>
      </c>
      <c r="J598" s="50"/>
      <c r="K598" s="17"/>
    </row>
    <row r="599" spans="1:11">
      <c r="A599" s="6">
        <f t="shared" si="36"/>
        <v>594</v>
      </c>
      <c r="B599" s="49"/>
      <c r="C599" s="35" t="str">
        <f>IFERROR(VLOOKUP(B599,'MASTER RECORD'!$B$5:$W$1000,3,0),"")</f>
        <v/>
      </c>
      <c r="D599" s="35" t="str">
        <f>IFERROR(VLOOKUP(B599,'MASTER RECORD'!$B$5:$W$1000,2,0),"")</f>
        <v/>
      </c>
      <c r="E599" s="36" t="str">
        <f>IFERROR(VLOOKUP(B599,'MASTER RECORD'!$B$5:$W$1000,9,0),"")</f>
        <v/>
      </c>
      <c r="F599" s="18"/>
      <c r="G599" s="18" t="str">
        <f t="shared" si="37"/>
        <v/>
      </c>
      <c r="H599" s="18" t="str">
        <f t="shared" si="38"/>
        <v/>
      </c>
      <c r="I599" s="35" t="str">
        <f t="shared" si="39"/>
        <v/>
      </c>
      <c r="J599" s="50"/>
      <c r="K599" s="17"/>
    </row>
    <row r="600" spans="1:11">
      <c r="A600" s="6">
        <f t="shared" si="36"/>
        <v>595</v>
      </c>
      <c r="B600" s="49"/>
      <c r="C600" s="35" t="str">
        <f>IFERROR(VLOOKUP(B600,'MASTER RECORD'!$B$5:$W$1000,3,0),"")</f>
        <v/>
      </c>
      <c r="D600" s="35" t="str">
        <f>IFERROR(VLOOKUP(B600,'MASTER RECORD'!$B$5:$W$1000,2,0),"")</f>
        <v/>
      </c>
      <c r="E600" s="36" t="str">
        <f>IFERROR(VLOOKUP(B600,'MASTER RECORD'!$B$5:$W$1000,9,0),"")</f>
        <v/>
      </c>
      <c r="F600" s="18"/>
      <c r="G600" s="18" t="str">
        <f t="shared" si="37"/>
        <v/>
      </c>
      <c r="H600" s="18" t="str">
        <f t="shared" si="38"/>
        <v/>
      </c>
      <c r="I600" s="35" t="str">
        <f t="shared" si="39"/>
        <v/>
      </c>
      <c r="J600" s="50"/>
      <c r="K600" s="17"/>
    </row>
    <row r="601" spans="1:11">
      <c r="A601" s="6">
        <f t="shared" si="36"/>
        <v>596</v>
      </c>
      <c r="B601" s="49"/>
      <c r="C601" s="35" t="str">
        <f>IFERROR(VLOOKUP(B601,'MASTER RECORD'!$B$5:$W$1000,3,0),"")</f>
        <v/>
      </c>
      <c r="D601" s="35" t="str">
        <f>IFERROR(VLOOKUP(B601,'MASTER RECORD'!$B$5:$W$1000,2,0),"")</f>
        <v/>
      </c>
      <c r="E601" s="36" t="str">
        <f>IFERROR(VLOOKUP(B601,'MASTER RECORD'!$B$5:$W$1000,9,0),"")</f>
        <v/>
      </c>
      <c r="F601" s="18"/>
      <c r="G601" s="18" t="str">
        <f t="shared" si="37"/>
        <v/>
      </c>
      <c r="H601" s="18" t="str">
        <f t="shared" si="38"/>
        <v/>
      </c>
      <c r="I601" s="35" t="str">
        <f t="shared" si="39"/>
        <v/>
      </c>
      <c r="J601" s="50"/>
      <c r="K601" s="17"/>
    </row>
    <row r="602" spans="1:11">
      <c r="A602" s="6">
        <f t="shared" si="36"/>
        <v>597</v>
      </c>
      <c r="B602" s="49"/>
      <c r="C602" s="35" t="str">
        <f>IFERROR(VLOOKUP(B602,'MASTER RECORD'!$B$5:$W$1000,3,0),"")</f>
        <v/>
      </c>
      <c r="D602" s="35" t="str">
        <f>IFERROR(VLOOKUP(B602,'MASTER RECORD'!$B$5:$W$1000,2,0),"")</f>
        <v/>
      </c>
      <c r="E602" s="36" t="str">
        <f>IFERROR(VLOOKUP(B602,'MASTER RECORD'!$B$5:$W$1000,9,0),"")</f>
        <v/>
      </c>
      <c r="F602" s="18"/>
      <c r="G602" s="18" t="str">
        <f t="shared" si="37"/>
        <v/>
      </c>
      <c r="H602" s="18" t="str">
        <f t="shared" si="38"/>
        <v/>
      </c>
      <c r="I602" s="35" t="str">
        <f t="shared" si="39"/>
        <v/>
      </c>
      <c r="J602" s="50"/>
      <c r="K602" s="17"/>
    </row>
    <row r="603" spans="1:11">
      <c r="A603" s="6">
        <f t="shared" si="36"/>
        <v>598</v>
      </c>
      <c r="B603" s="49"/>
      <c r="C603" s="35" t="str">
        <f>IFERROR(VLOOKUP(B603,'MASTER RECORD'!$B$5:$W$1000,3,0),"")</f>
        <v/>
      </c>
      <c r="D603" s="35" t="str">
        <f>IFERROR(VLOOKUP(B603,'MASTER RECORD'!$B$5:$W$1000,2,0),"")</f>
        <v/>
      </c>
      <c r="E603" s="36" t="str">
        <f>IFERROR(VLOOKUP(B603,'MASTER RECORD'!$B$5:$W$1000,9,0),"")</f>
        <v/>
      </c>
      <c r="F603" s="18"/>
      <c r="G603" s="18" t="str">
        <f t="shared" si="37"/>
        <v/>
      </c>
      <c r="H603" s="18" t="str">
        <f t="shared" si="38"/>
        <v/>
      </c>
      <c r="I603" s="35" t="str">
        <f t="shared" si="39"/>
        <v/>
      </c>
      <c r="J603" s="50"/>
      <c r="K603" s="17"/>
    </row>
    <row r="604" spans="1:11">
      <c r="A604" s="6">
        <f t="shared" si="36"/>
        <v>599</v>
      </c>
      <c r="B604" s="49"/>
      <c r="C604" s="35" t="str">
        <f>IFERROR(VLOOKUP(B604,'MASTER RECORD'!$B$5:$W$1000,3,0),"")</f>
        <v/>
      </c>
      <c r="D604" s="35" t="str">
        <f>IFERROR(VLOOKUP(B604,'MASTER RECORD'!$B$5:$W$1000,2,0),"")</f>
        <v/>
      </c>
      <c r="E604" s="36" t="str">
        <f>IFERROR(VLOOKUP(B604,'MASTER RECORD'!$B$5:$W$1000,9,0),"")</f>
        <v/>
      </c>
      <c r="F604" s="18"/>
      <c r="G604" s="18" t="str">
        <f t="shared" si="37"/>
        <v/>
      </c>
      <c r="H604" s="18" t="str">
        <f t="shared" si="38"/>
        <v/>
      </c>
      <c r="I604" s="35" t="str">
        <f t="shared" si="39"/>
        <v/>
      </c>
      <c r="J604" s="50"/>
      <c r="K604" s="17"/>
    </row>
    <row r="605" spans="1:11">
      <c r="A605" s="6">
        <f t="shared" si="36"/>
        <v>600</v>
      </c>
      <c r="B605" s="49"/>
      <c r="C605" s="35" t="str">
        <f>IFERROR(VLOOKUP(B605,'MASTER RECORD'!$B$5:$W$1000,3,0),"")</f>
        <v/>
      </c>
      <c r="D605" s="35" t="str">
        <f>IFERROR(VLOOKUP(B605,'MASTER RECORD'!$B$5:$W$1000,2,0),"")</f>
        <v/>
      </c>
      <c r="E605" s="36" t="str">
        <f>IFERROR(VLOOKUP(B605,'MASTER RECORD'!$B$5:$W$1000,9,0),"")</f>
        <v/>
      </c>
      <c r="F605" s="18"/>
      <c r="G605" s="18" t="str">
        <f t="shared" si="37"/>
        <v/>
      </c>
      <c r="H605" s="18" t="str">
        <f t="shared" si="38"/>
        <v/>
      </c>
      <c r="I605" s="35" t="str">
        <f t="shared" si="39"/>
        <v/>
      </c>
      <c r="J605" s="50"/>
      <c r="K605" s="17"/>
    </row>
    <row r="606" spans="1:11">
      <c r="A606" s="6">
        <f t="shared" si="36"/>
        <v>601</v>
      </c>
      <c r="B606" s="49"/>
      <c r="C606" s="35" t="str">
        <f>IFERROR(VLOOKUP(B606,'MASTER RECORD'!$B$5:$W$1000,3,0),"")</f>
        <v/>
      </c>
      <c r="D606" s="35" t="str">
        <f>IFERROR(VLOOKUP(B606,'MASTER RECORD'!$B$5:$W$1000,2,0),"")</f>
        <v/>
      </c>
      <c r="E606" s="36" t="str">
        <f>IFERROR(VLOOKUP(B606,'MASTER RECORD'!$B$5:$W$1000,9,0),"")</f>
        <v/>
      </c>
      <c r="F606" s="18"/>
      <c r="G606" s="18" t="str">
        <f t="shared" si="37"/>
        <v/>
      </c>
      <c r="H606" s="18" t="str">
        <f t="shared" si="38"/>
        <v/>
      </c>
      <c r="I606" s="35" t="str">
        <f t="shared" si="39"/>
        <v/>
      </c>
      <c r="J606" s="50"/>
      <c r="K606" s="17"/>
    </row>
    <row r="607" spans="1:11">
      <c r="A607" s="6">
        <f t="shared" si="36"/>
        <v>602</v>
      </c>
      <c r="B607" s="49"/>
      <c r="C607" s="35" t="str">
        <f>IFERROR(VLOOKUP(B607,'MASTER RECORD'!$B$5:$W$1000,3,0),"")</f>
        <v/>
      </c>
      <c r="D607" s="35" t="str">
        <f>IFERROR(VLOOKUP(B607,'MASTER RECORD'!$B$5:$W$1000,2,0),"")</f>
        <v/>
      </c>
      <c r="E607" s="36" t="str">
        <f>IFERROR(VLOOKUP(B607,'MASTER RECORD'!$B$5:$W$1000,9,0),"")</f>
        <v/>
      </c>
      <c r="F607" s="18"/>
      <c r="G607" s="18" t="str">
        <f t="shared" si="37"/>
        <v/>
      </c>
      <c r="H607" s="18" t="str">
        <f t="shared" si="38"/>
        <v/>
      </c>
      <c r="I607" s="35" t="str">
        <f t="shared" si="39"/>
        <v/>
      </c>
      <c r="J607" s="50"/>
      <c r="K607" s="17"/>
    </row>
    <row r="608" spans="1:11">
      <c r="A608" s="6">
        <f t="shared" si="36"/>
        <v>603</v>
      </c>
      <c r="B608" s="49"/>
      <c r="C608" s="35" t="str">
        <f>IFERROR(VLOOKUP(B608,'MASTER RECORD'!$B$5:$W$1000,3,0),"")</f>
        <v/>
      </c>
      <c r="D608" s="35" t="str">
        <f>IFERROR(VLOOKUP(B608,'MASTER RECORD'!$B$5:$W$1000,2,0),"")</f>
        <v/>
      </c>
      <c r="E608" s="36" t="str">
        <f>IFERROR(VLOOKUP(B608,'MASTER RECORD'!$B$5:$W$1000,9,0),"")</f>
        <v/>
      </c>
      <c r="F608" s="18"/>
      <c r="G608" s="18" t="str">
        <f t="shared" si="37"/>
        <v/>
      </c>
      <c r="H608" s="18" t="str">
        <f t="shared" si="38"/>
        <v/>
      </c>
      <c r="I608" s="35" t="str">
        <f t="shared" si="39"/>
        <v/>
      </c>
      <c r="J608" s="50"/>
      <c r="K608" s="17"/>
    </row>
    <row r="609" spans="1:11">
      <c r="A609" s="6">
        <f t="shared" si="36"/>
        <v>604</v>
      </c>
      <c r="B609" s="49"/>
      <c r="C609" s="35" t="str">
        <f>IFERROR(VLOOKUP(B609,'MASTER RECORD'!$B$5:$W$1000,3,0),"")</f>
        <v/>
      </c>
      <c r="D609" s="35" t="str">
        <f>IFERROR(VLOOKUP(B609,'MASTER RECORD'!$B$5:$W$1000,2,0),"")</f>
        <v/>
      </c>
      <c r="E609" s="36" t="str">
        <f>IFERROR(VLOOKUP(B609,'MASTER RECORD'!$B$5:$W$1000,9,0),"")</f>
        <v/>
      </c>
      <c r="F609" s="18"/>
      <c r="G609" s="18" t="str">
        <f t="shared" si="37"/>
        <v/>
      </c>
      <c r="H609" s="18" t="str">
        <f t="shared" si="38"/>
        <v/>
      </c>
      <c r="I609" s="35" t="str">
        <f t="shared" si="39"/>
        <v/>
      </c>
      <c r="J609" s="50"/>
      <c r="K609" s="17"/>
    </row>
    <row r="610" spans="1:11">
      <c r="A610" s="6">
        <f t="shared" si="36"/>
        <v>605</v>
      </c>
      <c r="B610" s="49"/>
      <c r="C610" s="35" t="str">
        <f>IFERROR(VLOOKUP(B610,'MASTER RECORD'!$B$5:$W$1000,3,0),"")</f>
        <v/>
      </c>
      <c r="D610" s="35" t="str">
        <f>IFERROR(VLOOKUP(B610,'MASTER RECORD'!$B$5:$W$1000,2,0),"")</f>
        <v/>
      </c>
      <c r="E610" s="36" t="str">
        <f>IFERROR(VLOOKUP(B610,'MASTER RECORD'!$B$5:$W$1000,9,0),"")</f>
        <v/>
      </c>
      <c r="F610" s="18"/>
      <c r="G610" s="18" t="str">
        <f t="shared" si="37"/>
        <v/>
      </c>
      <c r="H610" s="18" t="str">
        <f t="shared" si="38"/>
        <v/>
      </c>
      <c r="I610" s="35" t="str">
        <f t="shared" si="39"/>
        <v/>
      </c>
      <c r="J610" s="50"/>
      <c r="K610" s="17"/>
    </row>
    <row r="611" spans="1:11">
      <c r="A611" s="6">
        <f t="shared" si="36"/>
        <v>606</v>
      </c>
      <c r="B611" s="49"/>
      <c r="C611" s="35" t="str">
        <f>IFERROR(VLOOKUP(B611,'MASTER RECORD'!$B$5:$W$1000,3,0),"")</f>
        <v/>
      </c>
      <c r="D611" s="35" t="str">
        <f>IFERROR(VLOOKUP(B611,'MASTER RECORD'!$B$5:$W$1000,2,0),"")</f>
        <v/>
      </c>
      <c r="E611" s="36" t="str">
        <f>IFERROR(VLOOKUP(B611,'MASTER RECORD'!$B$5:$W$1000,9,0),"")</f>
        <v/>
      </c>
      <c r="F611" s="18"/>
      <c r="G611" s="18" t="str">
        <f t="shared" si="37"/>
        <v/>
      </c>
      <c r="H611" s="18" t="str">
        <f t="shared" si="38"/>
        <v/>
      </c>
      <c r="I611" s="35" t="str">
        <f t="shared" si="39"/>
        <v/>
      </c>
      <c r="J611" s="50"/>
      <c r="K611" s="17"/>
    </row>
    <row r="612" spans="1:11">
      <c r="A612" s="6">
        <f t="shared" si="36"/>
        <v>607</v>
      </c>
      <c r="B612" s="49"/>
      <c r="C612" s="35" t="str">
        <f>IFERROR(VLOOKUP(B612,'MASTER RECORD'!$B$5:$W$1000,3,0),"")</f>
        <v/>
      </c>
      <c r="D612" s="35" t="str">
        <f>IFERROR(VLOOKUP(B612,'MASTER RECORD'!$B$5:$W$1000,2,0),"")</f>
        <v/>
      </c>
      <c r="E612" s="36" t="str">
        <f>IFERROR(VLOOKUP(B612,'MASTER RECORD'!$B$5:$W$1000,9,0),"")</f>
        <v/>
      </c>
      <c r="F612" s="18"/>
      <c r="G612" s="18" t="str">
        <f t="shared" si="37"/>
        <v/>
      </c>
      <c r="H612" s="18" t="str">
        <f t="shared" si="38"/>
        <v/>
      </c>
      <c r="I612" s="35" t="str">
        <f t="shared" si="39"/>
        <v/>
      </c>
      <c r="J612" s="50"/>
      <c r="K612" s="17"/>
    </row>
    <row r="613" spans="1:11">
      <c r="A613" s="6">
        <f t="shared" si="36"/>
        <v>608</v>
      </c>
      <c r="B613" s="49"/>
      <c r="C613" s="35" t="str">
        <f>IFERROR(VLOOKUP(B613,'MASTER RECORD'!$B$5:$W$1000,3,0),"")</f>
        <v/>
      </c>
      <c r="D613" s="35" t="str">
        <f>IFERROR(VLOOKUP(B613,'MASTER RECORD'!$B$5:$W$1000,2,0),"")</f>
        <v/>
      </c>
      <c r="E613" s="36" t="str">
        <f>IFERROR(VLOOKUP(B613,'MASTER RECORD'!$B$5:$W$1000,9,0),"")</f>
        <v/>
      </c>
      <c r="F613" s="18"/>
      <c r="G613" s="18" t="str">
        <f t="shared" si="37"/>
        <v/>
      </c>
      <c r="H613" s="18" t="str">
        <f t="shared" si="38"/>
        <v/>
      </c>
      <c r="I613" s="35" t="str">
        <f t="shared" si="39"/>
        <v/>
      </c>
      <c r="J613" s="50"/>
      <c r="K613" s="17"/>
    </row>
    <row r="614" spans="1:11">
      <c r="A614" s="6">
        <f t="shared" si="36"/>
        <v>609</v>
      </c>
      <c r="B614" s="49"/>
      <c r="C614" s="35" t="str">
        <f>IFERROR(VLOOKUP(B614,'MASTER RECORD'!$B$5:$W$1000,3,0),"")</f>
        <v/>
      </c>
      <c r="D614" s="35" t="str">
        <f>IFERROR(VLOOKUP(B614,'MASTER RECORD'!$B$5:$W$1000,2,0),"")</f>
        <v/>
      </c>
      <c r="E614" s="36" t="str">
        <f>IFERROR(VLOOKUP(B614,'MASTER RECORD'!$B$5:$W$1000,9,0),"")</f>
        <v/>
      </c>
      <c r="F614" s="18"/>
      <c r="G614" s="18" t="str">
        <f t="shared" si="37"/>
        <v/>
      </c>
      <c r="H614" s="18" t="str">
        <f t="shared" si="38"/>
        <v/>
      </c>
      <c r="I614" s="35" t="str">
        <f t="shared" si="39"/>
        <v/>
      </c>
      <c r="J614" s="50"/>
      <c r="K614" s="17"/>
    </row>
    <row r="615" spans="1:11">
      <c r="A615" s="6">
        <f t="shared" si="36"/>
        <v>610</v>
      </c>
      <c r="B615" s="49"/>
      <c r="C615" s="35" t="str">
        <f>IFERROR(VLOOKUP(B615,'MASTER RECORD'!$B$5:$W$1000,3,0),"")</f>
        <v/>
      </c>
      <c r="D615" s="35" t="str">
        <f>IFERROR(VLOOKUP(B615,'MASTER RECORD'!$B$5:$W$1000,2,0),"")</f>
        <v/>
      </c>
      <c r="E615" s="36" t="str">
        <f>IFERROR(VLOOKUP(B615,'MASTER RECORD'!$B$5:$W$1000,9,0),"")</f>
        <v/>
      </c>
      <c r="F615" s="18"/>
      <c r="G615" s="18" t="str">
        <f t="shared" si="37"/>
        <v/>
      </c>
      <c r="H615" s="18" t="str">
        <f t="shared" si="38"/>
        <v/>
      </c>
      <c r="I615" s="35" t="str">
        <f t="shared" si="39"/>
        <v/>
      </c>
      <c r="J615" s="50"/>
      <c r="K615" s="17"/>
    </row>
    <row r="616" spans="1:11">
      <c r="A616" s="6">
        <f t="shared" si="36"/>
        <v>611</v>
      </c>
      <c r="B616" s="49"/>
      <c r="C616" s="35" t="str">
        <f>IFERROR(VLOOKUP(B616,'MASTER RECORD'!$B$5:$W$1000,3,0),"")</f>
        <v/>
      </c>
      <c r="D616" s="35" t="str">
        <f>IFERROR(VLOOKUP(B616,'MASTER RECORD'!$B$5:$W$1000,2,0),"")</f>
        <v/>
      </c>
      <c r="E616" s="36" t="str">
        <f>IFERROR(VLOOKUP(B616,'MASTER RECORD'!$B$5:$W$1000,9,0),"")</f>
        <v/>
      </c>
      <c r="F616" s="18"/>
      <c r="G616" s="18" t="str">
        <f t="shared" si="37"/>
        <v/>
      </c>
      <c r="H616" s="18" t="str">
        <f t="shared" si="38"/>
        <v/>
      </c>
      <c r="I616" s="35" t="str">
        <f t="shared" si="39"/>
        <v/>
      </c>
      <c r="J616" s="50"/>
      <c r="K616" s="17"/>
    </row>
    <row r="617" spans="1:11">
      <c r="A617" s="6">
        <f t="shared" si="36"/>
        <v>612</v>
      </c>
      <c r="B617" s="49"/>
      <c r="C617" s="35" t="str">
        <f>IFERROR(VLOOKUP(B617,'MASTER RECORD'!$B$5:$W$1000,3,0),"")</f>
        <v/>
      </c>
      <c r="D617" s="35" t="str">
        <f>IFERROR(VLOOKUP(B617,'MASTER RECORD'!$B$5:$W$1000,2,0),"")</f>
        <v/>
      </c>
      <c r="E617" s="36" t="str">
        <f>IFERROR(VLOOKUP(B617,'MASTER RECORD'!$B$5:$W$1000,9,0),"")</f>
        <v/>
      </c>
      <c r="F617" s="18"/>
      <c r="G617" s="18" t="str">
        <f t="shared" si="37"/>
        <v/>
      </c>
      <c r="H617" s="18" t="str">
        <f t="shared" si="38"/>
        <v/>
      </c>
      <c r="I617" s="35" t="str">
        <f t="shared" si="39"/>
        <v/>
      </c>
      <c r="J617" s="50"/>
      <c r="K617" s="17"/>
    </row>
    <row r="618" spans="1:11">
      <c r="A618" s="6">
        <f t="shared" si="36"/>
        <v>613</v>
      </c>
      <c r="B618" s="49"/>
      <c r="C618" s="35" t="str">
        <f>IFERROR(VLOOKUP(B618,'MASTER RECORD'!$B$5:$W$1000,3,0),"")</f>
        <v/>
      </c>
      <c r="D618" s="35" t="str">
        <f>IFERROR(VLOOKUP(B618,'MASTER RECORD'!$B$5:$W$1000,2,0),"")</f>
        <v/>
      </c>
      <c r="E618" s="36" t="str">
        <f>IFERROR(VLOOKUP(B618,'MASTER RECORD'!$B$5:$W$1000,9,0),"")</f>
        <v/>
      </c>
      <c r="F618" s="18"/>
      <c r="G618" s="18" t="str">
        <f t="shared" si="37"/>
        <v/>
      </c>
      <c r="H618" s="18" t="str">
        <f t="shared" si="38"/>
        <v/>
      </c>
      <c r="I618" s="35" t="str">
        <f t="shared" si="39"/>
        <v/>
      </c>
      <c r="J618" s="50"/>
      <c r="K618" s="17"/>
    </row>
    <row r="619" spans="1:11">
      <c r="A619" s="6">
        <f t="shared" si="36"/>
        <v>614</v>
      </c>
      <c r="B619" s="49"/>
      <c r="C619" s="35" t="str">
        <f>IFERROR(VLOOKUP(B619,'MASTER RECORD'!$B$5:$W$1000,3,0),"")</f>
        <v/>
      </c>
      <c r="D619" s="35" t="str">
        <f>IFERROR(VLOOKUP(B619,'MASTER RECORD'!$B$5:$W$1000,2,0),"")</f>
        <v/>
      </c>
      <c r="E619" s="36" t="str">
        <f>IFERROR(VLOOKUP(B619,'MASTER RECORD'!$B$5:$W$1000,9,0),"")</f>
        <v/>
      </c>
      <c r="F619" s="18"/>
      <c r="G619" s="18" t="str">
        <f t="shared" si="37"/>
        <v/>
      </c>
      <c r="H619" s="18" t="str">
        <f t="shared" si="38"/>
        <v/>
      </c>
      <c r="I619" s="35" t="str">
        <f t="shared" si="39"/>
        <v/>
      </c>
      <c r="J619" s="50"/>
      <c r="K619" s="17"/>
    </row>
    <row r="620" spans="1:11">
      <c r="A620" s="6">
        <f t="shared" si="36"/>
        <v>615</v>
      </c>
      <c r="B620" s="49"/>
      <c r="C620" s="35" t="str">
        <f>IFERROR(VLOOKUP(B620,'MASTER RECORD'!$B$5:$W$1000,3,0),"")</f>
        <v/>
      </c>
      <c r="D620" s="35" t="str">
        <f>IFERROR(VLOOKUP(B620,'MASTER RECORD'!$B$5:$W$1000,2,0),"")</f>
        <v/>
      </c>
      <c r="E620" s="36" t="str">
        <f>IFERROR(VLOOKUP(B620,'MASTER RECORD'!$B$5:$W$1000,9,0),"")</f>
        <v/>
      </c>
      <c r="F620" s="18"/>
      <c r="G620" s="18" t="str">
        <f t="shared" si="37"/>
        <v/>
      </c>
      <c r="H620" s="18" t="str">
        <f t="shared" si="38"/>
        <v/>
      </c>
      <c r="I620" s="35" t="str">
        <f t="shared" si="39"/>
        <v/>
      </c>
      <c r="J620" s="50"/>
      <c r="K620" s="17"/>
    </row>
    <row r="621" spans="1:11">
      <c r="A621" s="6">
        <f t="shared" si="36"/>
        <v>616</v>
      </c>
      <c r="B621" s="49"/>
      <c r="C621" s="35" t="str">
        <f>IFERROR(VLOOKUP(B621,'MASTER RECORD'!$B$5:$W$1000,3,0),"")</f>
        <v/>
      </c>
      <c r="D621" s="35" t="str">
        <f>IFERROR(VLOOKUP(B621,'MASTER RECORD'!$B$5:$W$1000,2,0),"")</f>
        <v/>
      </c>
      <c r="E621" s="36" t="str">
        <f>IFERROR(VLOOKUP(B621,'MASTER RECORD'!$B$5:$W$1000,9,0),"")</f>
        <v/>
      </c>
      <c r="F621" s="18"/>
      <c r="G621" s="18" t="str">
        <f t="shared" si="37"/>
        <v/>
      </c>
      <c r="H621" s="18" t="str">
        <f t="shared" si="38"/>
        <v/>
      </c>
      <c r="I621" s="35" t="str">
        <f t="shared" si="39"/>
        <v/>
      </c>
      <c r="J621" s="50"/>
      <c r="K621" s="17"/>
    </row>
    <row r="622" spans="1:11">
      <c r="A622" s="6">
        <f t="shared" si="36"/>
        <v>617</v>
      </c>
      <c r="B622" s="49"/>
      <c r="C622" s="35" t="str">
        <f>IFERROR(VLOOKUP(B622,'MASTER RECORD'!$B$5:$W$1000,3,0),"")</f>
        <v/>
      </c>
      <c r="D622" s="35" t="str">
        <f>IFERROR(VLOOKUP(B622,'MASTER RECORD'!$B$5:$W$1000,2,0),"")</f>
        <v/>
      </c>
      <c r="E622" s="36" t="str">
        <f>IFERROR(VLOOKUP(B622,'MASTER RECORD'!$B$5:$W$1000,9,0),"")</f>
        <v/>
      </c>
      <c r="F622" s="18"/>
      <c r="G622" s="18" t="str">
        <f t="shared" si="37"/>
        <v/>
      </c>
      <c r="H622" s="18" t="str">
        <f t="shared" si="38"/>
        <v/>
      </c>
      <c r="I622" s="35" t="str">
        <f t="shared" si="39"/>
        <v/>
      </c>
      <c r="J622" s="50"/>
      <c r="K622" s="17"/>
    </row>
    <row r="623" spans="1:11">
      <c r="A623" s="6">
        <f t="shared" si="36"/>
        <v>618</v>
      </c>
      <c r="B623" s="49"/>
      <c r="C623" s="35" t="str">
        <f>IFERROR(VLOOKUP(B623,'MASTER RECORD'!$B$5:$W$1000,3,0),"")</f>
        <v/>
      </c>
      <c r="D623" s="35" t="str">
        <f>IFERROR(VLOOKUP(B623,'MASTER RECORD'!$B$5:$W$1000,2,0),"")</f>
        <v/>
      </c>
      <c r="E623" s="36" t="str">
        <f>IFERROR(VLOOKUP(B623,'MASTER RECORD'!$B$5:$W$1000,9,0),"")</f>
        <v/>
      </c>
      <c r="F623" s="18"/>
      <c r="G623" s="18" t="str">
        <f t="shared" si="37"/>
        <v/>
      </c>
      <c r="H623" s="18" t="str">
        <f t="shared" si="38"/>
        <v/>
      </c>
      <c r="I623" s="35" t="str">
        <f t="shared" si="39"/>
        <v/>
      </c>
      <c r="J623" s="50"/>
      <c r="K623" s="17"/>
    </row>
    <row r="624" spans="1:11">
      <c r="A624" s="6">
        <f t="shared" si="36"/>
        <v>619</v>
      </c>
      <c r="B624" s="49"/>
      <c r="C624" s="35" t="str">
        <f>IFERROR(VLOOKUP(B624,'MASTER RECORD'!$B$5:$W$1000,3,0),"")</f>
        <v/>
      </c>
      <c r="D624" s="35" t="str">
        <f>IFERROR(VLOOKUP(B624,'MASTER RECORD'!$B$5:$W$1000,2,0),"")</f>
        <v/>
      </c>
      <c r="E624" s="36" t="str">
        <f>IFERROR(VLOOKUP(B624,'MASTER RECORD'!$B$5:$W$1000,9,0),"")</f>
        <v/>
      </c>
      <c r="F624" s="18"/>
      <c r="G624" s="18" t="str">
        <f t="shared" si="37"/>
        <v/>
      </c>
      <c r="H624" s="18" t="str">
        <f t="shared" si="38"/>
        <v/>
      </c>
      <c r="I624" s="35" t="str">
        <f t="shared" si="39"/>
        <v/>
      </c>
      <c r="J624" s="50"/>
      <c r="K624" s="17"/>
    </row>
    <row r="625" spans="1:11">
      <c r="A625" s="6">
        <f t="shared" si="36"/>
        <v>620</v>
      </c>
      <c r="B625" s="49"/>
      <c r="C625" s="35" t="str">
        <f>IFERROR(VLOOKUP(B625,'MASTER RECORD'!$B$5:$W$1000,3,0),"")</f>
        <v/>
      </c>
      <c r="D625" s="35" t="str">
        <f>IFERROR(VLOOKUP(B625,'MASTER RECORD'!$B$5:$W$1000,2,0),"")</f>
        <v/>
      </c>
      <c r="E625" s="36" t="str">
        <f>IFERROR(VLOOKUP(B625,'MASTER RECORD'!$B$5:$W$1000,9,0),"")</f>
        <v/>
      </c>
      <c r="F625" s="18"/>
      <c r="G625" s="18" t="str">
        <f t="shared" si="37"/>
        <v/>
      </c>
      <c r="H625" s="18" t="str">
        <f t="shared" si="38"/>
        <v/>
      </c>
      <c r="I625" s="35" t="str">
        <f t="shared" si="39"/>
        <v/>
      </c>
      <c r="J625" s="50"/>
      <c r="K625" s="17"/>
    </row>
    <row r="626" spans="1:11">
      <c r="A626" s="6">
        <f t="shared" si="36"/>
        <v>621</v>
      </c>
      <c r="B626" s="49"/>
      <c r="C626" s="35" t="str">
        <f>IFERROR(VLOOKUP(B626,'MASTER RECORD'!$B$5:$W$1000,3,0),"")</f>
        <v/>
      </c>
      <c r="D626" s="35" t="str">
        <f>IFERROR(VLOOKUP(B626,'MASTER RECORD'!$B$5:$W$1000,2,0),"")</f>
        <v/>
      </c>
      <c r="E626" s="36" t="str">
        <f>IFERROR(VLOOKUP(B626,'MASTER RECORD'!$B$5:$W$1000,9,0),"")</f>
        <v/>
      </c>
      <c r="F626" s="18"/>
      <c r="G626" s="18" t="str">
        <f t="shared" si="37"/>
        <v/>
      </c>
      <c r="H626" s="18" t="str">
        <f t="shared" si="38"/>
        <v/>
      </c>
      <c r="I626" s="35" t="str">
        <f t="shared" si="39"/>
        <v/>
      </c>
      <c r="J626" s="50"/>
      <c r="K626" s="17"/>
    </row>
    <row r="627" spans="1:11">
      <c r="A627" s="6">
        <f t="shared" si="36"/>
        <v>622</v>
      </c>
      <c r="B627" s="49"/>
      <c r="C627" s="35" t="str">
        <f>IFERROR(VLOOKUP(B627,'MASTER RECORD'!$B$5:$W$1000,3,0),"")</f>
        <v/>
      </c>
      <c r="D627" s="35" t="str">
        <f>IFERROR(VLOOKUP(B627,'MASTER RECORD'!$B$5:$W$1000,2,0),"")</f>
        <v/>
      </c>
      <c r="E627" s="36" t="str">
        <f>IFERROR(VLOOKUP(B627,'MASTER RECORD'!$B$5:$W$1000,9,0),"")</f>
        <v/>
      </c>
      <c r="F627" s="18"/>
      <c r="G627" s="18" t="str">
        <f t="shared" si="37"/>
        <v/>
      </c>
      <c r="H627" s="18" t="str">
        <f t="shared" si="38"/>
        <v/>
      </c>
      <c r="I627" s="35" t="str">
        <f t="shared" si="39"/>
        <v/>
      </c>
      <c r="J627" s="50"/>
      <c r="K627" s="17"/>
    </row>
    <row r="628" spans="1:11">
      <c r="A628" s="6">
        <f t="shared" si="36"/>
        <v>623</v>
      </c>
      <c r="B628" s="49"/>
      <c r="C628" s="35" t="str">
        <f>IFERROR(VLOOKUP(B628,'MASTER RECORD'!$B$5:$W$1000,3,0),"")</f>
        <v/>
      </c>
      <c r="D628" s="35" t="str">
        <f>IFERROR(VLOOKUP(B628,'MASTER RECORD'!$B$5:$W$1000,2,0),"")</f>
        <v/>
      </c>
      <c r="E628" s="36" t="str">
        <f>IFERROR(VLOOKUP(B628,'MASTER RECORD'!$B$5:$W$1000,9,0),"")</f>
        <v/>
      </c>
      <c r="F628" s="18"/>
      <c r="G628" s="18" t="str">
        <f t="shared" si="37"/>
        <v/>
      </c>
      <c r="H628" s="18" t="str">
        <f t="shared" si="38"/>
        <v/>
      </c>
      <c r="I628" s="35" t="str">
        <f t="shared" si="39"/>
        <v/>
      </c>
      <c r="J628" s="50"/>
      <c r="K628" s="17"/>
    </row>
    <row r="629" spans="1:11">
      <c r="A629" s="6">
        <f t="shared" si="36"/>
        <v>624</v>
      </c>
      <c r="B629" s="49"/>
      <c r="C629" s="35" t="str">
        <f>IFERROR(VLOOKUP(B629,'MASTER RECORD'!$B$5:$W$1000,3,0),"")</f>
        <v/>
      </c>
      <c r="D629" s="35" t="str">
        <f>IFERROR(VLOOKUP(B629,'MASTER RECORD'!$B$5:$W$1000,2,0),"")</f>
        <v/>
      </c>
      <c r="E629" s="36" t="str">
        <f>IFERROR(VLOOKUP(B629,'MASTER RECORD'!$B$5:$W$1000,9,0),"")</f>
        <v/>
      </c>
      <c r="F629" s="18"/>
      <c r="G629" s="18" t="str">
        <f t="shared" si="37"/>
        <v/>
      </c>
      <c r="H629" s="18" t="str">
        <f t="shared" si="38"/>
        <v/>
      </c>
      <c r="I629" s="35" t="str">
        <f t="shared" si="39"/>
        <v/>
      </c>
      <c r="J629" s="50"/>
      <c r="K629" s="17"/>
    </row>
    <row r="630" spans="1:11">
      <c r="A630" s="6">
        <f t="shared" si="36"/>
        <v>625</v>
      </c>
      <c r="B630" s="49"/>
      <c r="C630" s="35" t="str">
        <f>IFERROR(VLOOKUP(B630,'MASTER RECORD'!$B$5:$W$1000,3,0),"")</f>
        <v/>
      </c>
      <c r="D630" s="35" t="str">
        <f>IFERROR(VLOOKUP(B630,'MASTER RECORD'!$B$5:$W$1000,2,0),"")</f>
        <v/>
      </c>
      <c r="E630" s="36" t="str">
        <f>IFERROR(VLOOKUP(B630,'MASTER RECORD'!$B$5:$W$1000,9,0),"")</f>
        <v/>
      </c>
      <c r="F630" s="18"/>
      <c r="G630" s="18" t="str">
        <f t="shared" si="37"/>
        <v/>
      </c>
      <c r="H630" s="18" t="str">
        <f t="shared" si="38"/>
        <v/>
      </c>
      <c r="I630" s="35" t="str">
        <f t="shared" si="39"/>
        <v/>
      </c>
      <c r="J630" s="50"/>
      <c r="K630" s="17"/>
    </row>
    <row r="631" spans="1:11">
      <c r="A631" s="6">
        <f t="shared" si="36"/>
        <v>626</v>
      </c>
      <c r="B631" s="49"/>
      <c r="C631" s="35" t="str">
        <f>IFERROR(VLOOKUP(B631,'MASTER RECORD'!$B$5:$W$1000,3,0),"")</f>
        <v/>
      </c>
      <c r="D631" s="35" t="str">
        <f>IFERROR(VLOOKUP(B631,'MASTER RECORD'!$B$5:$W$1000,2,0),"")</f>
        <v/>
      </c>
      <c r="E631" s="36" t="str">
        <f>IFERROR(VLOOKUP(B631,'MASTER RECORD'!$B$5:$W$1000,9,0),"")</f>
        <v/>
      </c>
      <c r="F631" s="18"/>
      <c r="G631" s="18" t="str">
        <f t="shared" si="37"/>
        <v/>
      </c>
      <c r="H631" s="18" t="str">
        <f t="shared" si="38"/>
        <v/>
      </c>
      <c r="I631" s="35" t="str">
        <f t="shared" si="39"/>
        <v/>
      </c>
      <c r="J631" s="50"/>
      <c r="K631" s="17"/>
    </row>
    <row r="632" spans="1:11">
      <c r="A632" s="6">
        <f t="shared" si="36"/>
        <v>627</v>
      </c>
      <c r="B632" s="49"/>
      <c r="C632" s="35" t="str">
        <f>IFERROR(VLOOKUP(B632,'MASTER RECORD'!$B$5:$W$1000,3,0),"")</f>
        <v/>
      </c>
      <c r="D632" s="35" t="str">
        <f>IFERROR(VLOOKUP(B632,'MASTER RECORD'!$B$5:$W$1000,2,0),"")</f>
        <v/>
      </c>
      <c r="E632" s="36" t="str">
        <f>IFERROR(VLOOKUP(B632,'MASTER RECORD'!$B$5:$W$1000,9,0),"")</f>
        <v/>
      </c>
      <c r="F632" s="18"/>
      <c r="G632" s="18" t="str">
        <f t="shared" si="37"/>
        <v/>
      </c>
      <c r="H632" s="18" t="str">
        <f t="shared" si="38"/>
        <v/>
      </c>
      <c r="I632" s="35" t="str">
        <f t="shared" si="39"/>
        <v/>
      </c>
      <c r="J632" s="50"/>
      <c r="K632" s="17"/>
    </row>
    <row r="633" spans="1:11">
      <c r="A633" s="6">
        <f t="shared" si="36"/>
        <v>628</v>
      </c>
      <c r="B633" s="49"/>
      <c r="C633" s="35" t="str">
        <f>IFERROR(VLOOKUP(B633,'MASTER RECORD'!$B$5:$W$1000,3,0),"")</f>
        <v/>
      </c>
      <c r="D633" s="35" t="str">
        <f>IFERROR(VLOOKUP(B633,'MASTER RECORD'!$B$5:$W$1000,2,0),"")</f>
        <v/>
      </c>
      <c r="E633" s="36" t="str">
        <f>IFERROR(VLOOKUP(B633,'MASTER RECORD'!$B$5:$W$1000,9,0),"")</f>
        <v/>
      </c>
      <c r="F633" s="18"/>
      <c r="G633" s="18" t="str">
        <f t="shared" si="37"/>
        <v/>
      </c>
      <c r="H633" s="18" t="str">
        <f t="shared" si="38"/>
        <v/>
      </c>
      <c r="I633" s="35" t="str">
        <f t="shared" si="39"/>
        <v/>
      </c>
      <c r="J633" s="50"/>
      <c r="K633" s="17"/>
    </row>
    <row r="634" spans="1:11">
      <c r="A634" s="6">
        <f t="shared" si="36"/>
        <v>629</v>
      </c>
      <c r="B634" s="49"/>
      <c r="C634" s="35" t="str">
        <f>IFERROR(VLOOKUP(B634,'MASTER RECORD'!$B$5:$W$1000,3,0),"")</f>
        <v/>
      </c>
      <c r="D634" s="35" t="str">
        <f>IFERROR(VLOOKUP(B634,'MASTER RECORD'!$B$5:$W$1000,2,0),"")</f>
        <v/>
      </c>
      <c r="E634" s="36" t="str">
        <f>IFERROR(VLOOKUP(B634,'MASTER RECORD'!$B$5:$W$1000,9,0),"")</f>
        <v/>
      </c>
      <c r="F634" s="18"/>
      <c r="G634" s="18" t="str">
        <f t="shared" si="37"/>
        <v/>
      </c>
      <c r="H634" s="18" t="str">
        <f t="shared" si="38"/>
        <v/>
      </c>
      <c r="I634" s="35" t="str">
        <f t="shared" si="39"/>
        <v/>
      </c>
      <c r="J634" s="50"/>
      <c r="K634" s="17"/>
    </row>
    <row r="635" spans="1:11">
      <c r="A635" s="6">
        <f t="shared" si="36"/>
        <v>630</v>
      </c>
      <c r="B635" s="49"/>
      <c r="C635" s="35" t="str">
        <f>IFERROR(VLOOKUP(B635,'MASTER RECORD'!$B$5:$W$1000,3,0),"")</f>
        <v/>
      </c>
      <c r="D635" s="35" t="str">
        <f>IFERROR(VLOOKUP(B635,'MASTER RECORD'!$B$5:$W$1000,2,0),"")</f>
        <v/>
      </c>
      <c r="E635" s="36" t="str">
        <f>IFERROR(VLOOKUP(B635,'MASTER RECORD'!$B$5:$W$1000,9,0),"")</f>
        <v/>
      </c>
      <c r="F635" s="18"/>
      <c r="G635" s="18" t="str">
        <f t="shared" si="37"/>
        <v/>
      </c>
      <c r="H635" s="18" t="str">
        <f t="shared" si="38"/>
        <v/>
      </c>
      <c r="I635" s="35" t="str">
        <f t="shared" si="39"/>
        <v/>
      </c>
      <c r="J635" s="50"/>
      <c r="K635" s="17"/>
    </row>
    <row r="636" spans="1:11">
      <c r="A636" s="6">
        <f t="shared" si="36"/>
        <v>631</v>
      </c>
      <c r="B636" s="49"/>
      <c r="C636" s="35" t="str">
        <f>IFERROR(VLOOKUP(B636,'MASTER RECORD'!$B$5:$W$1000,3,0),"")</f>
        <v/>
      </c>
      <c r="D636" s="35" t="str">
        <f>IFERROR(VLOOKUP(B636,'MASTER RECORD'!$B$5:$W$1000,2,0),"")</f>
        <v/>
      </c>
      <c r="E636" s="36" t="str">
        <f>IFERROR(VLOOKUP(B636,'MASTER RECORD'!$B$5:$W$1000,9,0),"")</f>
        <v/>
      </c>
      <c r="F636" s="18"/>
      <c r="G636" s="18" t="str">
        <f t="shared" si="37"/>
        <v/>
      </c>
      <c r="H636" s="18" t="str">
        <f t="shared" si="38"/>
        <v/>
      </c>
      <c r="I636" s="35" t="str">
        <f t="shared" si="39"/>
        <v/>
      </c>
      <c r="J636" s="50"/>
      <c r="K636" s="17"/>
    </row>
    <row r="637" spans="1:11">
      <c r="A637" s="6">
        <f t="shared" si="36"/>
        <v>632</v>
      </c>
      <c r="B637" s="49"/>
      <c r="C637" s="35" t="str">
        <f>IFERROR(VLOOKUP(B637,'MASTER RECORD'!$B$5:$W$1000,3,0),"")</f>
        <v/>
      </c>
      <c r="D637" s="35" t="str">
        <f>IFERROR(VLOOKUP(B637,'MASTER RECORD'!$B$5:$W$1000,2,0),"")</f>
        <v/>
      </c>
      <c r="E637" s="36" t="str">
        <f>IFERROR(VLOOKUP(B637,'MASTER RECORD'!$B$5:$W$1000,9,0),"")</f>
        <v/>
      </c>
      <c r="F637" s="18"/>
      <c r="G637" s="18" t="str">
        <f t="shared" si="37"/>
        <v/>
      </c>
      <c r="H637" s="18" t="str">
        <f t="shared" si="38"/>
        <v/>
      </c>
      <c r="I637" s="35" t="str">
        <f t="shared" si="39"/>
        <v/>
      </c>
      <c r="J637" s="50"/>
      <c r="K637" s="17"/>
    </row>
    <row r="638" spans="1:11">
      <c r="A638" s="6">
        <f t="shared" si="36"/>
        <v>633</v>
      </c>
      <c r="B638" s="49"/>
      <c r="C638" s="35" t="str">
        <f>IFERROR(VLOOKUP(B638,'MASTER RECORD'!$B$5:$W$1000,3,0),"")</f>
        <v/>
      </c>
      <c r="D638" s="35" t="str">
        <f>IFERROR(VLOOKUP(B638,'MASTER RECORD'!$B$5:$W$1000,2,0),"")</f>
        <v/>
      </c>
      <c r="E638" s="36" t="str">
        <f>IFERROR(VLOOKUP(B638,'MASTER RECORD'!$B$5:$W$1000,9,0),"")</f>
        <v/>
      </c>
      <c r="F638" s="18"/>
      <c r="G638" s="18" t="str">
        <f t="shared" si="37"/>
        <v/>
      </c>
      <c r="H638" s="18" t="str">
        <f t="shared" si="38"/>
        <v/>
      </c>
      <c r="I638" s="35" t="str">
        <f t="shared" si="39"/>
        <v/>
      </c>
      <c r="J638" s="50"/>
      <c r="K638" s="17"/>
    </row>
    <row r="639" spans="1:11">
      <c r="A639" s="6">
        <f t="shared" si="36"/>
        <v>634</v>
      </c>
      <c r="B639" s="49"/>
      <c r="C639" s="35" t="str">
        <f>IFERROR(VLOOKUP(B639,'MASTER RECORD'!$B$5:$W$1000,3,0),"")</f>
        <v/>
      </c>
      <c r="D639" s="35" t="str">
        <f>IFERROR(VLOOKUP(B639,'MASTER RECORD'!$B$5:$W$1000,2,0),"")</f>
        <v/>
      </c>
      <c r="E639" s="36" t="str">
        <f>IFERROR(VLOOKUP(B639,'MASTER RECORD'!$B$5:$W$1000,9,0),"")</f>
        <v/>
      </c>
      <c r="F639" s="18"/>
      <c r="G639" s="18" t="str">
        <f t="shared" si="37"/>
        <v/>
      </c>
      <c r="H639" s="18" t="str">
        <f t="shared" si="38"/>
        <v/>
      </c>
      <c r="I639" s="35" t="str">
        <f t="shared" si="39"/>
        <v/>
      </c>
      <c r="J639" s="50"/>
      <c r="K639" s="17"/>
    </row>
    <row r="640" spans="1:11">
      <c r="A640" s="6">
        <f t="shared" si="36"/>
        <v>635</v>
      </c>
      <c r="B640" s="49"/>
      <c r="C640" s="35" t="str">
        <f>IFERROR(VLOOKUP(B640,'MASTER RECORD'!$B$5:$W$1000,3,0),"")</f>
        <v/>
      </c>
      <c r="D640" s="35" t="str">
        <f>IFERROR(VLOOKUP(B640,'MASTER RECORD'!$B$5:$W$1000,2,0),"")</f>
        <v/>
      </c>
      <c r="E640" s="36" t="str">
        <f>IFERROR(VLOOKUP(B640,'MASTER RECORD'!$B$5:$W$1000,9,0),"")</f>
        <v/>
      </c>
      <c r="F640" s="18"/>
      <c r="G640" s="18" t="str">
        <f t="shared" si="37"/>
        <v/>
      </c>
      <c r="H640" s="18" t="str">
        <f t="shared" si="38"/>
        <v/>
      </c>
      <c r="I640" s="35" t="str">
        <f t="shared" si="39"/>
        <v/>
      </c>
      <c r="J640" s="50"/>
      <c r="K640" s="17"/>
    </row>
    <row r="641" spans="1:11">
      <c r="A641" s="6">
        <f t="shared" si="36"/>
        <v>636</v>
      </c>
      <c r="B641" s="49"/>
      <c r="C641" s="35" t="str">
        <f>IFERROR(VLOOKUP(B641,'MASTER RECORD'!$B$5:$W$1000,3,0),"")</f>
        <v/>
      </c>
      <c r="D641" s="35" t="str">
        <f>IFERROR(VLOOKUP(B641,'MASTER RECORD'!$B$5:$W$1000,2,0),"")</f>
        <v/>
      </c>
      <c r="E641" s="36" t="str">
        <f>IFERROR(VLOOKUP(B641,'MASTER RECORD'!$B$5:$W$1000,9,0),"")</f>
        <v/>
      </c>
      <c r="F641" s="18"/>
      <c r="G641" s="18" t="str">
        <f t="shared" si="37"/>
        <v/>
      </c>
      <c r="H641" s="18" t="str">
        <f t="shared" si="38"/>
        <v/>
      </c>
      <c r="I641" s="35" t="str">
        <f t="shared" si="39"/>
        <v/>
      </c>
      <c r="J641" s="50"/>
      <c r="K641" s="17"/>
    </row>
    <row r="642" spans="1:11">
      <c r="A642" s="6">
        <f t="shared" si="36"/>
        <v>637</v>
      </c>
      <c r="B642" s="49"/>
      <c r="C642" s="35" t="str">
        <f>IFERROR(VLOOKUP(B642,'MASTER RECORD'!$B$5:$W$1000,3,0),"")</f>
        <v/>
      </c>
      <c r="D642" s="35" t="str">
        <f>IFERROR(VLOOKUP(B642,'MASTER RECORD'!$B$5:$W$1000,2,0),"")</f>
        <v/>
      </c>
      <c r="E642" s="36" t="str">
        <f>IFERROR(VLOOKUP(B642,'MASTER RECORD'!$B$5:$W$1000,9,0),"")</f>
        <v/>
      </c>
      <c r="F642" s="18"/>
      <c r="G642" s="18" t="str">
        <f t="shared" si="37"/>
        <v/>
      </c>
      <c r="H642" s="18" t="str">
        <f t="shared" si="38"/>
        <v/>
      </c>
      <c r="I642" s="35" t="str">
        <f t="shared" si="39"/>
        <v/>
      </c>
      <c r="J642" s="50"/>
      <c r="K642" s="17"/>
    </row>
    <row r="643" spans="1:11">
      <c r="A643" s="6">
        <f t="shared" si="36"/>
        <v>638</v>
      </c>
      <c r="B643" s="49"/>
      <c r="C643" s="35" t="str">
        <f>IFERROR(VLOOKUP(B643,'MASTER RECORD'!$B$5:$W$1000,3,0),"")</f>
        <v/>
      </c>
      <c r="D643" s="35" t="str">
        <f>IFERROR(VLOOKUP(B643,'MASTER RECORD'!$B$5:$W$1000,2,0),"")</f>
        <v/>
      </c>
      <c r="E643" s="36" t="str">
        <f>IFERROR(VLOOKUP(B643,'MASTER RECORD'!$B$5:$W$1000,9,0),"")</f>
        <v/>
      </c>
      <c r="F643" s="18"/>
      <c r="G643" s="18" t="str">
        <f t="shared" si="37"/>
        <v/>
      </c>
      <c r="H643" s="18" t="str">
        <f t="shared" si="38"/>
        <v/>
      </c>
      <c r="I643" s="35" t="str">
        <f t="shared" si="39"/>
        <v/>
      </c>
      <c r="J643" s="50"/>
      <c r="K643" s="17"/>
    </row>
    <row r="644" spans="1:11">
      <c r="A644" s="6">
        <f t="shared" si="36"/>
        <v>639</v>
      </c>
      <c r="B644" s="49"/>
      <c r="C644" s="35" t="str">
        <f>IFERROR(VLOOKUP(B644,'MASTER RECORD'!$B$5:$W$1000,3,0),"")</f>
        <v/>
      </c>
      <c r="D644" s="35" t="str">
        <f>IFERROR(VLOOKUP(B644,'MASTER RECORD'!$B$5:$W$1000,2,0),"")</f>
        <v/>
      </c>
      <c r="E644" s="36" t="str">
        <f>IFERROR(VLOOKUP(B644,'MASTER RECORD'!$B$5:$W$1000,9,0),"")</f>
        <v/>
      </c>
      <c r="F644" s="18"/>
      <c r="G644" s="18" t="str">
        <f t="shared" si="37"/>
        <v/>
      </c>
      <c r="H644" s="18" t="str">
        <f t="shared" si="38"/>
        <v/>
      </c>
      <c r="I644" s="35" t="str">
        <f t="shared" si="39"/>
        <v/>
      </c>
      <c r="J644" s="50"/>
      <c r="K644" s="17"/>
    </row>
    <row r="645" spans="1:11">
      <c r="A645" s="6">
        <f t="shared" si="36"/>
        <v>640</v>
      </c>
      <c r="B645" s="49"/>
      <c r="C645" s="35" t="str">
        <f>IFERROR(VLOOKUP(B645,'MASTER RECORD'!$B$5:$W$1000,3,0),"")</f>
        <v/>
      </c>
      <c r="D645" s="35" t="str">
        <f>IFERROR(VLOOKUP(B645,'MASTER RECORD'!$B$5:$W$1000,2,0),"")</f>
        <v/>
      </c>
      <c r="E645" s="36" t="str">
        <f>IFERROR(VLOOKUP(B645,'MASTER RECORD'!$B$5:$W$1000,9,0),"")</f>
        <v/>
      </c>
      <c r="F645" s="18"/>
      <c r="G645" s="18" t="str">
        <f t="shared" si="37"/>
        <v/>
      </c>
      <c r="H645" s="18" t="str">
        <f t="shared" si="38"/>
        <v/>
      </c>
      <c r="I645" s="35" t="str">
        <f t="shared" si="39"/>
        <v/>
      </c>
      <c r="J645" s="50"/>
      <c r="K645" s="17"/>
    </row>
    <row r="646" spans="1:11">
      <c r="A646" s="6">
        <f t="shared" si="36"/>
        <v>641</v>
      </c>
      <c r="B646" s="49"/>
      <c r="C646" s="35" t="str">
        <f>IFERROR(VLOOKUP(B646,'MASTER RECORD'!$B$5:$W$1000,3,0),"")</f>
        <v/>
      </c>
      <c r="D646" s="35" t="str">
        <f>IFERROR(VLOOKUP(B646,'MASTER RECORD'!$B$5:$W$1000,2,0),"")</f>
        <v/>
      </c>
      <c r="E646" s="36" t="str">
        <f>IFERROR(VLOOKUP(B646,'MASTER RECORD'!$B$5:$W$1000,9,0),"")</f>
        <v/>
      </c>
      <c r="F646" s="18"/>
      <c r="G646" s="18" t="str">
        <f t="shared" si="37"/>
        <v/>
      </c>
      <c r="H646" s="18" t="str">
        <f t="shared" si="38"/>
        <v/>
      </c>
      <c r="I646" s="35" t="str">
        <f t="shared" si="39"/>
        <v/>
      </c>
      <c r="J646" s="50"/>
      <c r="K646" s="17"/>
    </row>
    <row r="647" spans="1:11">
      <c r="A647" s="6">
        <f t="shared" ref="A647:A710" si="40">ROW(A642)</f>
        <v>642</v>
      </c>
      <c r="B647" s="49"/>
      <c r="C647" s="35" t="str">
        <f>IFERROR(VLOOKUP(B647,'MASTER RECORD'!$B$5:$W$1000,3,0),"")</f>
        <v/>
      </c>
      <c r="D647" s="35" t="str">
        <f>IFERROR(VLOOKUP(B647,'MASTER RECORD'!$B$5:$W$1000,2,0),"")</f>
        <v/>
      </c>
      <c r="E647" s="36" t="str">
        <f>IFERROR(VLOOKUP(B647,'MASTER RECORD'!$B$5:$W$1000,9,0),"")</f>
        <v/>
      </c>
      <c r="F647" s="18"/>
      <c r="G647" s="18" t="str">
        <f t="shared" ref="G647:G710" si="41">IF($F647=0,"",TEXT($F647,"mmmm"))</f>
        <v/>
      </c>
      <c r="H647" s="18" t="str">
        <f t="shared" ref="H647:H710" si="42">IF($F647=0,"",TEXT($F647,"yyyy"))</f>
        <v/>
      </c>
      <c r="I647" s="35" t="str">
        <f t="shared" ref="I647:I710" si="43">IFERROR(DATEDIF(E647,F647,"Y")&amp;"."&amp;DATEDIF(E647,F647,"YM"),"")</f>
        <v/>
      </c>
      <c r="J647" s="50"/>
      <c r="K647" s="17"/>
    </row>
    <row r="648" spans="1:11">
      <c r="A648" s="6">
        <f t="shared" si="40"/>
        <v>643</v>
      </c>
      <c r="B648" s="49"/>
      <c r="C648" s="35" t="str">
        <f>IFERROR(VLOOKUP(B648,'MASTER RECORD'!$B$5:$W$1000,3,0),"")</f>
        <v/>
      </c>
      <c r="D648" s="35" t="str">
        <f>IFERROR(VLOOKUP(B648,'MASTER RECORD'!$B$5:$W$1000,2,0),"")</f>
        <v/>
      </c>
      <c r="E648" s="36" t="str">
        <f>IFERROR(VLOOKUP(B648,'MASTER RECORD'!$B$5:$W$1000,9,0),"")</f>
        <v/>
      </c>
      <c r="F648" s="18"/>
      <c r="G648" s="18" t="str">
        <f t="shared" si="41"/>
        <v/>
      </c>
      <c r="H648" s="18" t="str">
        <f t="shared" si="42"/>
        <v/>
      </c>
      <c r="I648" s="35" t="str">
        <f t="shared" si="43"/>
        <v/>
      </c>
      <c r="J648" s="50"/>
      <c r="K648" s="17"/>
    </row>
    <row r="649" spans="1:11">
      <c r="A649" s="6">
        <f t="shared" si="40"/>
        <v>644</v>
      </c>
      <c r="B649" s="49"/>
      <c r="C649" s="35" t="str">
        <f>IFERROR(VLOOKUP(B649,'MASTER RECORD'!$B$5:$W$1000,3,0),"")</f>
        <v/>
      </c>
      <c r="D649" s="35" t="str">
        <f>IFERROR(VLOOKUP(B649,'MASTER RECORD'!$B$5:$W$1000,2,0),"")</f>
        <v/>
      </c>
      <c r="E649" s="36" t="str">
        <f>IFERROR(VLOOKUP(B649,'MASTER RECORD'!$B$5:$W$1000,9,0),"")</f>
        <v/>
      </c>
      <c r="F649" s="18"/>
      <c r="G649" s="18" t="str">
        <f t="shared" si="41"/>
        <v/>
      </c>
      <c r="H649" s="18" t="str">
        <f t="shared" si="42"/>
        <v/>
      </c>
      <c r="I649" s="35" t="str">
        <f t="shared" si="43"/>
        <v/>
      </c>
      <c r="J649" s="50"/>
      <c r="K649" s="17"/>
    </row>
    <row r="650" spans="1:11">
      <c r="A650" s="6">
        <f t="shared" si="40"/>
        <v>645</v>
      </c>
      <c r="B650" s="49"/>
      <c r="C650" s="35" t="str">
        <f>IFERROR(VLOOKUP(B650,'MASTER RECORD'!$B$5:$W$1000,3,0),"")</f>
        <v/>
      </c>
      <c r="D650" s="35" t="str">
        <f>IFERROR(VLOOKUP(B650,'MASTER RECORD'!$B$5:$W$1000,2,0),"")</f>
        <v/>
      </c>
      <c r="E650" s="36" t="str">
        <f>IFERROR(VLOOKUP(B650,'MASTER RECORD'!$B$5:$W$1000,9,0),"")</f>
        <v/>
      </c>
      <c r="F650" s="18"/>
      <c r="G650" s="18" t="str">
        <f t="shared" si="41"/>
        <v/>
      </c>
      <c r="H650" s="18" t="str">
        <f t="shared" si="42"/>
        <v/>
      </c>
      <c r="I650" s="35" t="str">
        <f t="shared" si="43"/>
        <v/>
      </c>
      <c r="J650" s="50"/>
      <c r="K650" s="17"/>
    </row>
    <row r="651" spans="1:11">
      <c r="A651" s="6">
        <f t="shared" si="40"/>
        <v>646</v>
      </c>
      <c r="B651" s="49"/>
      <c r="C651" s="35" t="str">
        <f>IFERROR(VLOOKUP(B651,'MASTER RECORD'!$B$5:$W$1000,3,0),"")</f>
        <v/>
      </c>
      <c r="D651" s="35" t="str">
        <f>IFERROR(VLOOKUP(B651,'MASTER RECORD'!$B$5:$W$1000,2,0),"")</f>
        <v/>
      </c>
      <c r="E651" s="36" t="str">
        <f>IFERROR(VLOOKUP(B651,'MASTER RECORD'!$B$5:$W$1000,9,0),"")</f>
        <v/>
      </c>
      <c r="F651" s="18"/>
      <c r="G651" s="18" t="str">
        <f t="shared" si="41"/>
        <v/>
      </c>
      <c r="H651" s="18" t="str">
        <f t="shared" si="42"/>
        <v/>
      </c>
      <c r="I651" s="35" t="str">
        <f t="shared" si="43"/>
        <v/>
      </c>
      <c r="J651" s="50"/>
      <c r="K651" s="17"/>
    </row>
    <row r="652" spans="1:11">
      <c r="A652" s="6">
        <f t="shared" si="40"/>
        <v>647</v>
      </c>
      <c r="B652" s="49"/>
      <c r="C652" s="35" t="str">
        <f>IFERROR(VLOOKUP(B652,'MASTER RECORD'!$B$5:$W$1000,3,0),"")</f>
        <v/>
      </c>
      <c r="D652" s="35" t="str">
        <f>IFERROR(VLOOKUP(B652,'MASTER RECORD'!$B$5:$W$1000,2,0),"")</f>
        <v/>
      </c>
      <c r="E652" s="36" t="str">
        <f>IFERROR(VLOOKUP(B652,'MASTER RECORD'!$B$5:$W$1000,9,0),"")</f>
        <v/>
      </c>
      <c r="F652" s="18"/>
      <c r="G652" s="18" t="str">
        <f t="shared" si="41"/>
        <v/>
      </c>
      <c r="H652" s="18" t="str">
        <f t="shared" si="42"/>
        <v/>
      </c>
      <c r="I652" s="35" t="str">
        <f t="shared" si="43"/>
        <v/>
      </c>
      <c r="J652" s="50"/>
      <c r="K652" s="17"/>
    </row>
    <row r="653" spans="1:11">
      <c r="A653" s="6">
        <f t="shared" si="40"/>
        <v>648</v>
      </c>
      <c r="B653" s="49"/>
      <c r="C653" s="35" t="str">
        <f>IFERROR(VLOOKUP(B653,'MASTER RECORD'!$B$5:$W$1000,3,0),"")</f>
        <v/>
      </c>
      <c r="D653" s="35" t="str">
        <f>IFERROR(VLOOKUP(B653,'MASTER RECORD'!$B$5:$W$1000,2,0),"")</f>
        <v/>
      </c>
      <c r="E653" s="36" t="str">
        <f>IFERROR(VLOOKUP(B653,'MASTER RECORD'!$B$5:$W$1000,9,0),"")</f>
        <v/>
      </c>
      <c r="F653" s="18"/>
      <c r="G653" s="18" t="str">
        <f t="shared" si="41"/>
        <v/>
      </c>
      <c r="H653" s="18" t="str">
        <f t="shared" si="42"/>
        <v/>
      </c>
      <c r="I653" s="35" t="str">
        <f t="shared" si="43"/>
        <v/>
      </c>
      <c r="J653" s="50"/>
      <c r="K653" s="17"/>
    </row>
    <row r="654" spans="1:11">
      <c r="A654" s="6">
        <f t="shared" si="40"/>
        <v>649</v>
      </c>
      <c r="B654" s="49"/>
      <c r="C654" s="35" t="str">
        <f>IFERROR(VLOOKUP(B654,'MASTER RECORD'!$B$5:$W$1000,3,0),"")</f>
        <v/>
      </c>
      <c r="D654" s="35" t="str">
        <f>IFERROR(VLOOKUP(B654,'MASTER RECORD'!$B$5:$W$1000,2,0),"")</f>
        <v/>
      </c>
      <c r="E654" s="36" t="str">
        <f>IFERROR(VLOOKUP(B654,'MASTER RECORD'!$B$5:$W$1000,9,0),"")</f>
        <v/>
      </c>
      <c r="F654" s="18"/>
      <c r="G654" s="18" t="str">
        <f t="shared" si="41"/>
        <v/>
      </c>
      <c r="H654" s="18" t="str">
        <f t="shared" si="42"/>
        <v/>
      </c>
      <c r="I654" s="35" t="str">
        <f t="shared" si="43"/>
        <v/>
      </c>
      <c r="J654" s="50"/>
      <c r="K654" s="17"/>
    </row>
    <row r="655" spans="1:11">
      <c r="A655" s="6">
        <f t="shared" si="40"/>
        <v>650</v>
      </c>
      <c r="B655" s="49"/>
      <c r="C655" s="35" t="str">
        <f>IFERROR(VLOOKUP(B655,'MASTER RECORD'!$B$5:$W$1000,3,0),"")</f>
        <v/>
      </c>
      <c r="D655" s="35" t="str">
        <f>IFERROR(VLOOKUP(B655,'MASTER RECORD'!$B$5:$W$1000,2,0),"")</f>
        <v/>
      </c>
      <c r="E655" s="36" t="str">
        <f>IFERROR(VLOOKUP(B655,'MASTER RECORD'!$B$5:$W$1000,9,0),"")</f>
        <v/>
      </c>
      <c r="F655" s="18"/>
      <c r="G655" s="18" t="str">
        <f t="shared" si="41"/>
        <v/>
      </c>
      <c r="H655" s="18" t="str">
        <f t="shared" si="42"/>
        <v/>
      </c>
      <c r="I655" s="35" t="str">
        <f t="shared" si="43"/>
        <v/>
      </c>
      <c r="J655" s="50"/>
      <c r="K655" s="17"/>
    </row>
    <row r="656" spans="1:11">
      <c r="A656" s="6">
        <f t="shared" si="40"/>
        <v>651</v>
      </c>
      <c r="B656" s="49"/>
      <c r="C656" s="35" t="str">
        <f>IFERROR(VLOOKUP(B656,'MASTER RECORD'!$B$5:$W$1000,3,0),"")</f>
        <v/>
      </c>
      <c r="D656" s="35" t="str">
        <f>IFERROR(VLOOKUP(B656,'MASTER RECORD'!$B$5:$W$1000,2,0),"")</f>
        <v/>
      </c>
      <c r="E656" s="36" t="str">
        <f>IFERROR(VLOOKUP(B656,'MASTER RECORD'!$B$5:$W$1000,9,0),"")</f>
        <v/>
      </c>
      <c r="F656" s="18"/>
      <c r="G656" s="18" t="str">
        <f t="shared" si="41"/>
        <v/>
      </c>
      <c r="H656" s="18" t="str">
        <f t="shared" si="42"/>
        <v/>
      </c>
      <c r="I656" s="35" t="str">
        <f t="shared" si="43"/>
        <v/>
      </c>
      <c r="J656" s="50"/>
      <c r="K656" s="17"/>
    </row>
    <row r="657" spans="1:11">
      <c r="A657" s="6">
        <f t="shared" si="40"/>
        <v>652</v>
      </c>
      <c r="B657" s="49"/>
      <c r="C657" s="35" t="str">
        <f>IFERROR(VLOOKUP(B657,'MASTER RECORD'!$B$5:$W$1000,3,0),"")</f>
        <v/>
      </c>
      <c r="D657" s="35" t="str">
        <f>IFERROR(VLOOKUP(B657,'MASTER RECORD'!$B$5:$W$1000,2,0),"")</f>
        <v/>
      </c>
      <c r="E657" s="36" t="str">
        <f>IFERROR(VLOOKUP(B657,'MASTER RECORD'!$B$5:$W$1000,9,0),"")</f>
        <v/>
      </c>
      <c r="F657" s="18"/>
      <c r="G657" s="18" t="str">
        <f t="shared" si="41"/>
        <v/>
      </c>
      <c r="H657" s="18" t="str">
        <f t="shared" si="42"/>
        <v/>
      </c>
      <c r="I657" s="35" t="str">
        <f t="shared" si="43"/>
        <v/>
      </c>
      <c r="J657" s="50"/>
      <c r="K657" s="17"/>
    </row>
    <row r="658" spans="1:11">
      <c r="A658" s="6">
        <f t="shared" si="40"/>
        <v>653</v>
      </c>
      <c r="B658" s="49"/>
      <c r="C658" s="35" t="str">
        <f>IFERROR(VLOOKUP(B658,'MASTER RECORD'!$B$5:$W$1000,3,0),"")</f>
        <v/>
      </c>
      <c r="D658" s="35" t="str">
        <f>IFERROR(VLOOKUP(B658,'MASTER RECORD'!$B$5:$W$1000,2,0),"")</f>
        <v/>
      </c>
      <c r="E658" s="36" t="str">
        <f>IFERROR(VLOOKUP(B658,'MASTER RECORD'!$B$5:$W$1000,9,0),"")</f>
        <v/>
      </c>
      <c r="F658" s="18"/>
      <c r="G658" s="18" t="str">
        <f t="shared" si="41"/>
        <v/>
      </c>
      <c r="H658" s="18" t="str">
        <f t="shared" si="42"/>
        <v/>
      </c>
      <c r="I658" s="35" t="str">
        <f t="shared" si="43"/>
        <v/>
      </c>
      <c r="J658" s="50"/>
      <c r="K658" s="17"/>
    </row>
    <row r="659" spans="1:11">
      <c r="A659" s="6">
        <f t="shared" si="40"/>
        <v>654</v>
      </c>
      <c r="B659" s="49"/>
      <c r="C659" s="35" t="str">
        <f>IFERROR(VLOOKUP(B659,'MASTER RECORD'!$B$5:$W$1000,3,0),"")</f>
        <v/>
      </c>
      <c r="D659" s="35" t="str">
        <f>IFERROR(VLOOKUP(B659,'MASTER RECORD'!$B$5:$W$1000,2,0),"")</f>
        <v/>
      </c>
      <c r="E659" s="36" t="str">
        <f>IFERROR(VLOOKUP(B659,'MASTER RECORD'!$B$5:$W$1000,9,0),"")</f>
        <v/>
      </c>
      <c r="F659" s="18"/>
      <c r="G659" s="18" t="str">
        <f t="shared" si="41"/>
        <v/>
      </c>
      <c r="H659" s="18" t="str">
        <f t="shared" si="42"/>
        <v/>
      </c>
      <c r="I659" s="35" t="str">
        <f t="shared" si="43"/>
        <v/>
      </c>
      <c r="J659" s="50"/>
      <c r="K659" s="17"/>
    </row>
    <row r="660" spans="1:11">
      <c r="A660" s="6">
        <f t="shared" si="40"/>
        <v>655</v>
      </c>
      <c r="B660" s="49"/>
      <c r="C660" s="35" t="str">
        <f>IFERROR(VLOOKUP(B660,'MASTER RECORD'!$B$5:$W$1000,3,0),"")</f>
        <v/>
      </c>
      <c r="D660" s="35" t="str">
        <f>IFERROR(VLOOKUP(B660,'MASTER RECORD'!$B$5:$W$1000,2,0),"")</f>
        <v/>
      </c>
      <c r="E660" s="36" t="str">
        <f>IFERROR(VLOOKUP(B660,'MASTER RECORD'!$B$5:$W$1000,9,0),"")</f>
        <v/>
      </c>
      <c r="F660" s="18"/>
      <c r="G660" s="18" t="str">
        <f t="shared" si="41"/>
        <v/>
      </c>
      <c r="H660" s="18" t="str">
        <f t="shared" si="42"/>
        <v/>
      </c>
      <c r="I660" s="35" t="str">
        <f t="shared" si="43"/>
        <v/>
      </c>
      <c r="J660" s="50"/>
      <c r="K660" s="17"/>
    </row>
    <row r="661" spans="1:11">
      <c r="A661" s="6">
        <f t="shared" si="40"/>
        <v>656</v>
      </c>
      <c r="B661" s="49"/>
      <c r="C661" s="35" t="str">
        <f>IFERROR(VLOOKUP(B661,'MASTER RECORD'!$B$5:$W$1000,3,0),"")</f>
        <v/>
      </c>
      <c r="D661" s="35" t="str">
        <f>IFERROR(VLOOKUP(B661,'MASTER RECORD'!$B$5:$W$1000,2,0),"")</f>
        <v/>
      </c>
      <c r="E661" s="36" t="str">
        <f>IFERROR(VLOOKUP(B661,'MASTER RECORD'!$B$5:$W$1000,9,0),"")</f>
        <v/>
      </c>
      <c r="F661" s="18"/>
      <c r="G661" s="18" t="str">
        <f t="shared" si="41"/>
        <v/>
      </c>
      <c r="H661" s="18" t="str">
        <f t="shared" si="42"/>
        <v/>
      </c>
      <c r="I661" s="35" t="str">
        <f t="shared" si="43"/>
        <v/>
      </c>
      <c r="J661" s="50"/>
      <c r="K661" s="17"/>
    </row>
    <row r="662" spans="1:11">
      <c r="A662" s="6">
        <f t="shared" si="40"/>
        <v>657</v>
      </c>
      <c r="B662" s="49"/>
      <c r="C662" s="35" t="str">
        <f>IFERROR(VLOOKUP(B662,'MASTER RECORD'!$B$5:$W$1000,3,0),"")</f>
        <v/>
      </c>
      <c r="D662" s="35" t="str">
        <f>IFERROR(VLOOKUP(B662,'MASTER RECORD'!$B$5:$W$1000,2,0),"")</f>
        <v/>
      </c>
      <c r="E662" s="36" t="str">
        <f>IFERROR(VLOOKUP(B662,'MASTER RECORD'!$B$5:$W$1000,9,0),"")</f>
        <v/>
      </c>
      <c r="F662" s="18"/>
      <c r="G662" s="18" t="str">
        <f t="shared" si="41"/>
        <v/>
      </c>
      <c r="H662" s="18" t="str">
        <f t="shared" si="42"/>
        <v/>
      </c>
      <c r="I662" s="35" t="str">
        <f t="shared" si="43"/>
        <v/>
      </c>
      <c r="J662" s="50"/>
      <c r="K662" s="17"/>
    </row>
    <row r="663" spans="1:11">
      <c r="A663" s="6">
        <f t="shared" si="40"/>
        <v>658</v>
      </c>
      <c r="B663" s="49"/>
      <c r="C663" s="35" t="str">
        <f>IFERROR(VLOOKUP(B663,'MASTER RECORD'!$B$5:$W$1000,3,0),"")</f>
        <v/>
      </c>
      <c r="D663" s="35" t="str">
        <f>IFERROR(VLOOKUP(B663,'MASTER RECORD'!$B$5:$W$1000,2,0),"")</f>
        <v/>
      </c>
      <c r="E663" s="36" t="str">
        <f>IFERROR(VLOOKUP(B663,'MASTER RECORD'!$B$5:$W$1000,9,0),"")</f>
        <v/>
      </c>
      <c r="F663" s="18"/>
      <c r="G663" s="18" t="str">
        <f t="shared" si="41"/>
        <v/>
      </c>
      <c r="H663" s="18" t="str">
        <f t="shared" si="42"/>
        <v/>
      </c>
      <c r="I663" s="35" t="str">
        <f t="shared" si="43"/>
        <v/>
      </c>
      <c r="J663" s="50"/>
      <c r="K663" s="17"/>
    </row>
    <row r="664" spans="1:11">
      <c r="A664" s="6">
        <f t="shared" si="40"/>
        <v>659</v>
      </c>
      <c r="B664" s="49"/>
      <c r="C664" s="35" t="str">
        <f>IFERROR(VLOOKUP(B664,'MASTER RECORD'!$B$5:$W$1000,3,0),"")</f>
        <v/>
      </c>
      <c r="D664" s="35" t="str">
        <f>IFERROR(VLOOKUP(B664,'MASTER RECORD'!$B$5:$W$1000,2,0),"")</f>
        <v/>
      </c>
      <c r="E664" s="36" t="str">
        <f>IFERROR(VLOOKUP(B664,'MASTER RECORD'!$B$5:$W$1000,9,0),"")</f>
        <v/>
      </c>
      <c r="F664" s="18"/>
      <c r="G664" s="18" t="str">
        <f t="shared" si="41"/>
        <v/>
      </c>
      <c r="H664" s="18" t="str">
        <f t="shared" si="42"/>
        <v/>
      </c>
      <c r="I664" s="35" t="str">
        <f t="shared" si="43"/>
        <v/>
      </c>
      <c r="J664" s="50"/>
      <c r="K664" s="17"/>
    </row>
    <row r="665" spans="1:11">
      <c r="A665" s="6">
        <f t="shared" si="40"/>
        <v>660</v>
      </c>
      <c r="B665" s="49"/>
      <c r="C665" s="35" t="str">
        <f>IFERROR(VLOOKUP(B665,'MASTER RECORD'!$B$5:$W$1000,3,0),"")</f>
        <v/>
      </c>
      <c r="D665" s="35" t="str">
        <f>IFERROR(VLOOKUP(B665,'MASTER RECORD'!$B$5:$W$1000,2,0),"")</f>
        <v/>
      </c>
      <c r="E665" s="36" t="str">
        <f>IFERROR(VLOOKUP(B665,'MASTER RECORD'!$B$5:$W$1000,9,0),"")</f>
        <v/>
      </c>
      <c r="F665" s="18"/>
      <c r="G665" s="18" t="str">
        <f t="shared" si="41"/>
        <v/>
      </c>
      <c r="H665" s="18" t="str">
        <f t="shared" si="42"/>
        <v/>
      </c>
      <c r="I665" s="35" t="str">
        <f t="shared" si="43"/>
        <v/>
      </c>
      <c r="J665" s="50"/>
      <c r="K665" s="17"/>
    </row>
    <row r="666" spans="1:11">
      <c r="A666" s="6">
        <f t="shared" si="40"/>
        <v>661</v>
      </c>
      <c r="B666" s="49"/>
      <c r="C666" s="35" t="str">
        <f>IFERROR(VLOOKUP(B666,'MASTER RECORD'!$B$5:$W$1000,3,0),"")</f>
        <v/>
      </c>
      <c r="D666" s="35" t="str">
        <f>IFERROR(VLOOKUP(B666,'MASTER RECORD'!$B$5:$W$1000,2,0),"")</f>
        <v/>
      </c>
      <c r="E666" s="36" t="str">
        <f>IFERROR(VLOOKUP(B666,'MASTER RECORD'!$B$5:$W$1000,9,0),"")</f>
        <v/>
      </c>
      <c r="F666" s="18"/>
      <c r="G666" s="18" t="str">
        <f t="shared" si="41"/>
        <v/>
      </c>
      <c r="H666" s="18" t="str">
        <f t="shared" si="42"/>
        <v/>
      </c>
      <c r="I666" s="35" t="str">
        <f t="shared" si="43"/>
        <v/>
      </c>
      <c r="J666" s="50"/>
      <c r="K666" s="17"/>
    </row>
    <row r="667" spans="1:11">
      <c r="A667" s="6">
        <f t="shared" si="40"/>
        <v>662</v>
      </c>
      <c r="B667" s="49"/>
      <c r="C667" s="35" t="str">
        <f>IFERROR(VLOOKUP(B667,'MASTER RECORD'!$B$5:$W$1000,3,0),"")</f>
        <v/>
      </c>
      <c r="D667" s="35" t="str">
        <f>IFERROR(VLOOKUP(B667,'MASTER RECORD'!$B$5:$W$1000,2,0),"")</f>
        <v/>
      </c>
      <c r="E667" s="36" t="str">
        <f>IFERROR(VLOOKUP(B667,'MASTER RECORD'!$B$5:$W$1000,9,0),"")</f>
        <v/>
      </c>
      <c r="F667" s="18"/>
      <c r="G667" s="18" t="str">
        <f t="shared" si="41"/>
        <v/>
      </c>
      <c r="H667" s="18" t="str">
        <f t="shared" si="42"/>
        <v/>
      </c>
      <c r="I667" s="35" t="str">
        <f t="shared" si="43"/>
        <v/>
      </c>
      <c r="J667" s="50"/>
      <c r="K667" s="17"/>
    </row>
    <row r="668" spans="1:11">
      <c r="A668" s="6">
        <f t="shared" si="40"/>
        <v>663</v>
      </c>
      <c r="B668" s="49"/>
      <c r="C668" s="35" t="str">
        <f>IFERROR(VLOOKUP(B668,'MASTER RECORD'!$B$5:$W$1000,3,0),"")</f>
        <v/>
      </c>
      <c r="D668" s="35" t="str">
        <f>IFERROR(VLOOKUP(B668,'MASTER RECORD'!$B$5:$W$1000,2,0),"")</f>
        <v/>
      </c>
      <c r="E668" s="36" t="str">
        <f>IFERROR(VLOOKUP(B668,'MASTER RECORD'!$B$5:$W$1000,9,0),"")</f>
        <v/>
      </c>
      <c r="F668" s="18"/>
      <c r="G668" s="18" t="str">
        <f t="shared" si="41"/>
        <v/>
      </c>
      <c r="H668" s="18" t="str">
        <f t="shared" si="42"/>
        <v/>
      </c>
      <c r="I668" s="35" t="str">
        <f t="shared" si="43"/>
        <v/>
      </c>
      <c r="J668" s="50"/>
      <c r="K668" s="17"/>
    </row>
    <row r="669" spans="1:11">
      <c r="A669" s="6">
        <f t="shared" si="40"/>
        <v>664</v>
      </c>
      <c r="B669" s="49"/>
      <c r="C669" s="35" t="str">
        <f>IFERROR(VLOOKUP(B669,'MASTER RECORD'!$B$5:$W$1000,3,0),"")</f>
        <v/>
      </c>
      <c r="D669" s="35" t="str">
        <f>IFERROR(VLOOKUP(B669,'MASTER RECORD'!$B$5:$W$1000,2,0),"")</f>
        <v/>
      </c>
      <c r="E669" s="36" t="str">
        <f>IFERROR(VLOOKUP(B669,'MASTER RECORD'!$B$5:$W$1000,9,0),"")</f>
        <v/>
      </c>
      <c r="F669" s="18"/>
      <c r="G669" s="18" t="str">
        <f t="shared" si="41"/>
        <v/>
      </c>
      <c r="H669" s="18" t="str">
        <f t="shared" si="42"/>
        <v/>
      </c>
      <c r="I669" s="35" t="str">
        <f t="shared" si="43"/>
        <v/>
      </c>
      <c r="J669" s="50"/>
      <c r="K669" s="17"/>
    </row>
    <row r="670" spans="1:11">
      <c r="A670" s="6">
        <f t="shared" si="40"/>
        <v>665</v>
      </c>
      <c r="B670" s="49"/>
      <c r="C670" s="35" t="str">
        <f>IFERROR(VLOOKUP(B670,'MASTER RECORD'!$B$5:$W$1000,3,0),"")</f>
        <v/>
      </c>
      <c r="D670" s="35" t="str">
        <f>IFERROR(VLOOKUP(B670,'MASTER RECORD'!$B$5:$W$1000,2,0),"")</f>
        <v/>
      </c>
      <c r="E670" s="36" t="str">
        <f>IFERROR(VLOOKUP(B670,'MASTER RECORD'!$B$5:$W$1000,9,0),"")</f>
        <v/>
      </c>
      <c r="F670" s="18"/>
      <c r="G670" s="18" t="str">
        <f t="shared" si="41"/>
        <v/>
      </c>
      <c r="H670" s="18" t="str">
        <f t="shared" si="42"/>
        <v/>
      </c>
      <c r="I670" s="35" t="str">
        <f t="shared" si="43"/>
        <v/>
      </c>
      <c r="J670" s="50"/>
      <c r="K670" s="17"/>
    </row>
    <row r="671" spans="1:11">
      <c r="A671" s="6">
        <f t="shared" si="40"/>
        <v>666</v>
      </c>
      <c r="B671" s="49"/>
      <c r="C671" s="35" t="str">
        <f>IFERROR(VLOOKUP(B671,'MASTER RECORD'!$B$5:$W$1000,3,0),"")</f>
        <v/>
      </c>
      <c r="D671" s="35" t="str">
        <f>IFERROR(VLOOKUP(B671,'MASTER RECORD'!$B$5:$W$1000,2,0),"")</f>
        <v/>
      </c>
      <c r="E671" s="36" t="str">
        <f>IFERROR(VLOOKUP(B671,'MASTER RECORD'!$B$5:$W$1000,9,0),"")</f>
        <v/>
      </c>
      <c r="F671" s="18"/>
      <c r="G671" s="18" t="str">
        <f t="shared" si="41"/>
        <v/>
      </c>
      <c r="H671" s="18" t="str">
        <f t="shared" si="42"/>
        <v/>
      </c>
      <c r="I671" s="35" t="str">
        <f t="shared" si="43"/>
        <v/>
      </c>
      <c r="J671" s="50"/>
      <c r="K671" s="17"/>
    </row>
    <row r="672" spans="1:11">
      <c r="A672" s="6">
        <f t="shared" si="40"/>
        <v>667</v>
      </c>
      <c r="B672" s="49"/>
      <c r="C672" s="35" t="str">
        <f>IFERROR(VLOOKUP(B672,'MASTER RECORD'!$B$5:$W$1000,3,0),"")</f>
        <v/>
      </c>
      <c r="D672" s="35" t="str">
        <f>IFERROR(VLOOKUP(B672,'MASTER RECORD'!$B$5:$W$1000,2,0),"")</f>
        <v/>
      </c>
      <c r="E672" s="36" t="str">
        <f>IFERROR(VLOOKUP(B672,'MASTER RECORD'!$B$5:$W$1000,9,0),"")</f>
        <v/>
      </c>
      <c r="F672" s="18"/>
      <c r="G672" s="18" t="str">
        <f t="shared" si="41"/>
        <v/>
      </c>
      <c r="H672" s="18" t="str">
        <f t="shared" si="42"/>
        <v/>
      </c>
      <c r="I672" s="35" t="str">
        <f t="shared" si="43"/>
        <v/>
      </c>
      <c r="J672" s="50"/>
      <c r="K672" s="17"/>
    </row>
    <row r="673" spans="1:11">
      <c r="A673" s="6">
        <f t="shared" si="40"/>
        <v>668</v>
      </c>
      <c r="B673" s="49"/>
      <c r="C673" s="35" t="str">
        <f>IFERROR(VLOOKUP(B673,'MASTER RECORD'!$B$5:$W$1000,3,0),"")</f>
        <v/>
      </c>
      <c r="D673" s="35" t="str">
        <f>IFERROR(VLOOKUP(B673,'MASTER RECORD'!$B$5:$W$1000,2,0),"")</f>
        <v/>
      </c>
      <c r="E673" s="36" t="str">
        <f>IFERROR(VLOOKUP(B673,'MASTER RECORD'!$B$5:$W$1000,9,0),"")</f>
        <v/>
      </c>
      <c r="F673" s="18"/>
      <c r="G673" s="18" t="str">
        <f t="shared" si="41"/>
        <v/>
      </c>
      <c r="H673" s="18" t="str">
        <f t="shared" si="42"/>
        <v/>
      </c>
      <c r="I673" s="35" t="str">
        <f t="shared" si="43"/>
        <v/>
      </c>
      <c r="J673" s="50"/>
      <c r="K673" s="17"/>
    </row>
    <row r="674" spans="1:11">
      <c r="A674" s="6">
        <f t="shared" si="40"/>
        <v>669</v>
      </c>
      <c r="B674" s="49"/>
      <c r="C674" s="35" t="str">
        <f>IFERROR(VLOOKUP(B674,'MASTER RECORD'!$B$5:$W$1000,3,0),"")</f>
        <v/>
      </c>
      <c r="D674" s="35" t="str">
        <f>IFERROR(VLOOKUP(B674,'MASTER RECORD'!$B$5:$W$1000,2,0),"")</f>
        <v/>
      </c>
      <c r="E674" s="36" t="str">
        <f>IFERROR(VLOOKUP(B674,'MASTER RECORD'!$B$5:$W$1000,9,0),"")</f>
        <v/>
      </c>
      <c r="F674" s="18"/>
      <c r="G674" s="18" t="str">
        <f t="shared" si="41"/>
        <v/>
      </c>
      <c r="H674" s="18" t="str">
        <f t="shared" si="42"/>
        <v/>
      </c>
      <c r="I674" s="35" t="str">
        <f t="shared" si="43"/>
        <v/>
      </c>
      <c r="J674" s="50"/>
      <c r="K674" s="17"/>
    </row>
    <row r="675" spans="1:11">
      <c r="A675" s="6">
        <f t="shared" si="40"/>
        <v>670</v>
      </c>
      <c r="B675" s="49"/>
      <c r="C675" s="35" t="str">
        <f>IFERROR(VLOOKUP(B675,'MASTER RECORD'!$B$5:$W$1000,3,0),"")</f>
        <v/>
      </c>
      <c r="D675" s="35" t="str">
        <f>IFERROR(VLOOKUP(B675,'MASTER RECORD'!$B$5:$W$1000,2,0),"")</f>
        <v/>
      </c>
      <c r="E675" s="36" t="str">
        <f>IFERROR(VLOOKUP(B675,'MASTER RECORD'!$B$5:$W$1000,9,0),"")</f>
        <v/>
      </c>
      <c r="F675" s="18"/>
      <c r="G675" s="18" t="str">
        <f t="shared" si="41"/>
        <v/>
      </c>
      <c r="H675" s="18" t="str">
        <f t="shared" si="42"/>
        <v/>
      </c>
      <c r="I675" s="35" t="str">
        <f t="shared" si="43"/>
        <v/>
      </c>
      <c r="J675" s="50"/>
      <c r="K675" s="17"/>
    </row>
    <row r="676" spans="1:11">
      <c r="A676" s="6">
        <f t="shared" si="40"/>
        <v>671</v>
      </c>
      <c r="B676" s="49"/>
      <c r="C676" s="35" t="str">
        <f>IFERROR(VLOOKUP(B676,'MASTER RECORD'!$B$5:$W$1000,3,0),"")</f>
        <v/>
      </c>
      <c r="D676" s="35" t="str">
        <f>IFERROR(VLOOKUP(B676,'MASTER RECORD'!$B$5:$W$1000,2,0),"")</f>
        <v/>
      </c>
      <c r="E676" s="36" t="str">
        <f>IFERROR(VLOOKUP(B676,'MASTER RECORD'!$B$5:$W$1000,9,0),"")</f>
        <v/>
      </c>
      <c r="F676" s="18"/>
      <c r="G676" s="18" t="str">
        <f t="shared" si="41"/>
        <v/>
      </c>
      <c r="H676" s="18" t="str">
        <f t="shared" si="42"/>
        <v/>
      </c>
      <c r="I676" s="35" t="str">
        <f t="shared" si="43"/>
        <v/>
      </c>
      <c r="J676" s="50"/>
      <c r="K676" s="17"/>
    </row>
    <row r="677" spans="1:11">
      <c r="A677" s="6">
        <f t="shared" si="40"/>
        <v>672</v>
      </c>
      <c r="B677" s="49"/>
      <c r="C677" s="35" t="str">
        <f>IFERROR(VLOOKUP(B677,'MASTER RECORD'!$B$5:$W$1000,3,0),"")</f>
        <v/>
      </c>
      <c r="D677" s="35" t="str">
        <f>IFERROR(VLOOKUP(B677,'MASTER RECORD'!$B$5:$W$1000,2,0),"")</f>
        <v/>
      </c>
      <c r="E677" s="36" t="str">
        <f>IFERROR(VLOOKUP(B677,'MASTER RECORD'!$B$5:$W$1000,9,0),"")</f>
        <v/>
      </c>
      <c r="F677" s="18"/>
      <c r="G677" s="18" t="str">
        <f t="shared" si="41"/>
        <v/>
      </c>
      <c r="H677" s="18" t="str">
        <f t="shared" si="42"/>
        <v/>
      </c>
      <c r="I677" s="35" t="str">
        <f t="shared" si="43"/>
        <v/>
      </c>
      <c r="J677" s="50"/>
      <c r="K677" s="17"/>
    </row>
    <row r="678" spans="1:11">
      <c r="A678" s="6">
        <f t="shared" si="40"/>
        <v>673</v>
      </c>
      <c r="B678" s="49"/>
      <c r="C678" s="35" t="str">
        <f>IFERROR(VLOOKUP(B678,'MASTER RECORD'!$B$5:$W$1000,3,0),"")</f>
        <v/>
      </c>
      <c r="D678" s="35" t="str">
        <f>IFERROR(VLOOKUP(B678,'MASTER RECORD'!$B$5:$W$1000,2,0),"")</f>
        <v/>
      </c>
      <c r="E678" s="36" t="str">
        <f>IFERROR(VLOOKUP(B678,'MASTER RECORD'!$B$5:$W$1000,9,0),"")</f>
        <v/>
      </c>
      <c r="F678" s="18"/>
      <c r="G678" s="18" t="str">
        <f t="shared" si="41"/>
        <v/>
      </c>
      <c r="H678" s="18" t="str">
        <f t="shared" si="42"/>
        <v/>
      </c>
      <c r="I678" s="35" t="str">
        <f t="shared" si="43"/>
        <v/>
      </c>
      <c r="J678" s="50"/>
      <c r="K678" s="17"/>
    </row>
    <row r="679" spans="1:11">
      <c r="A679" s="6">
        <f t="shared" si="40"/>
        <v>674</v>
      </c>
      <c r="B679" s="49"/>
      <c r="C679" s="35" t="str">
        <f>IFERROR(VLOOKUP(B679,'MASTER RECORD'!$B$5:$W$1000,3,0),"")</f>
        <v/>
      </c>
      <c r="D679" s="35" t="str">
        <f>IFERROR(VLOOKUP(B679,'MASTER RECORD'!$B$5:$W$1000,2,0),"")</f>
        <v/>
      </c>
      <c r="E679" s="36" t="str">
        <f>IFERROR(VLOOKUP(B679,'MASTER RECORD'!$B$5:$W$1000,9,0),"")</f>
        <v/>
      </c>
      <c r="F679" s="18"/>
      <c r="G679" s="18" t="str">
        <f t="shared" si="41"/>
        <v/>
      </c>
      <c r="H679" s="18" t="str">
        <f t="shared" si="42"/>
        <v/>
      </c>
      <c r="I679" s="35" t="str">
        <f t="shared" si="43"/>
        <v/>
      </c>
      <c r="J679" s="50"/>
      <c r="K679" s="17"/>
    </row>
    <row r="680" spans="1:11">
      <c r="A680" s="6">
        <f t="shared" si="40"/>
        <v>675</v>
      </c>
      <c r="B680" s="49"/>
      <c r="C680" s="35" t="str">
        <f>IFERROR(VLOOKUP(B680,'MASTER RECORD'!$B$5:$W$1000,3,0),"")</f>
        <v/>
      </c>
      <c r="D680" s="35" t="str">
        <f>IFERROR(VLOOKUP(B680,'MASTER RECORD'!$B$5:$W$1000,2,0),"")</f>
        <v/>
      </c>
      <c r="E680" s="36" t="str">
        <f>IFERROR(VLOOKUP(B680,'MASTER RECORD'!$B$5:$W$1000,9,0),"")</f>
        <v/>
      </c>
      <c r="F680" s="18"/>
      <c r="G680" s="18" t="str">
        <f t="shared" si="41"/>
        <v/>
      </c>
      <c r="H680" s="18" t="str">
        <f t="shared" si="42"/>
        <v/>
      </c>
      <c r="I680" s="35" t="str">
        <f t="shared" si="43"/>
        <v/>
      </c>
      <c r="J680" s="50"/>
      <c r="K680" s="17"/>
    </row>
    <row r="681" spans="1:11">
      <c r="A681" s="6">
        <f t="shared" si="40"/>
        <v>676</v>
      </c>
      <c r="B681" s="49"/>
      <c r="C681" s="35" t="str">
        <f>IFERROR(VLOOKUP(B681,'MASTER RECORD'!$B$5:$W$1000,3,0),"")</f>
        <v/>
      </c>
      <c r="D681" s="35" t="str">
        <f>IFERROR(VLOOKUP(B681,'MASTER RECORD'!$B$5:$W$1000,2,0),"")</f>
        <v/>
      </c>
      <c r="E681" s="36" t="str">
        <f>IFERROR(VLOOKUP(B681,'MASTER RECORD'!$B$5:$W$1000,9,0),"")</f>
        <v/>
      </c>
      <c r="F681" s="18"/>
      <c r="G681" s="18" t="str">
        <f t="shared" si="41"/>
        <v/>
      </c>
      <c r="H681" s="18" t="str">
        <f t="shared" si="42"/>
        <v/>
      </c>
      <c r="I681" s="35" t="str">
        <f t="shared" si="43"/>
        <v/>
      </c>
      <c r="J681" s="50"/>
      <c r="K681" s="17"/>
    </row>
    <row r="682" spans="1:11">
      <c r="A682" s="6">
        <f t="shared" si="40"/>
        <v>677</v>
      </c>
      <c r="B682" s="49"/>
      <c r="C682" s="35" t="str">
        <f>IFERROR(VLOOKUP(B682,'MASTER RECORD'!$B$5:$W$1000,3,0),"")</f>
        <v/>
      </c>
      <c r="D682" s="35" t="str">
        <f>IFERROR(VLOOKUP(B682,'MASTER RECORD'!$B$5:$W$1000,2,0),"")</f>
        <v/>
      </c>
      <c r="E682" s="36" t="str">
        <f>IFERROR(VLOOKUP(B682,'MASTER RECORD'!$B$5:$W$1000,9,0),"")</f>
        <v/>
      </c>
      <c r="F682" s="18"/>
      <c r="G682" s="18" t="str">
        <f t="shared" si="41"/>
        <v/>
      </c>
      <c r="H682" s="18" t="str">
        <f t="shared" si="42"/>
        <v/>
      </c>
      <c r="I682" s="35" t="str">
        <f t="shared" si="43"/>
        <v/>
      </c>
      <c r="J682" s="50"/>
      <c r="K682" s="17"/>
    </row>
    <row r="683" spans="1:11">
      <c r="A683" s="6">
        <f t="shared" si="40"/>
        <v>678</v>
      </c>
      <c r="B683" s="49"/>
      <c r="C683" s="35" t="str">
        <f>IFERROR(VLOOKUP(B683,'MASTER RECORD'!$B$5:$W$1000,3,0),"")</f>
        <v/>
      </c>
      <c r="D683" s="35" t="str">
        <f>IFERROR(VLOOKUP(B683,'MASTER RECORD'!$B$5:$W$1000,2,0),"")</f>
        <v/>
      </c>
      <c r="E683" s="36" t="str">
        <f>IFERROR(VLOOKUP(B683,'MASTER RECORD'!$B$5:$W$1000,9,0),"")</f>
        <v/>
      </c>
      <c r="F683" s="18"/>
      <c r="G683" s="18" t="str">
        <f t="shared" si="41"/>
        <v/>
      </c>
      <c r="H683" s="18" t="str">
        <f t="shared" si="42"/>
        <v/>
      </c>
      <c r="I683" s="35" t="str">
        <f t="shared" si="43"/>
        <v/>
      </c>
      <c r="J683" s="50"/>
      <c r="K683" s="17"/>
    </row>
    <row r="684" spans="1:11">
      <c r="A684" s="6">
        <f t="shared" si="40"/>
        <v>679</v>
      </c>
      <c r="B684" s="49"/>
      <c r="C684" s="35" t="str">
        <f>IFERROR(VLOOKUP(B684,'MASTER RECORD'!$B$5:$W$1000,3,0),"")</f>
        <v/>
      </c>
      <c r="D684" s="35" t="str">
        <f>IFERROR(VLOOKUP(B684,'MASTER RECORD'!$B$5:$W$1000,2,0),"")</f>
        <v/>
      </c>
      <c r="E684" s="36" t="str">
        <f>IFERROR(VLOOKUP(B684,'MASTER RECORD'!$B$5:$W$1000,9,0),"")</f>
        <v/>
      </c>
      <c r="F684" s="18"/>
      <c r="G684" s="18" t="str">
        <f t="shared" si="41"/>
        <v/>
      </c>
      <c r="H684" s="18" t="str">
        <f t="shared" si="42"/>
        <v/>
      </c>
      <c r="I684" s="35" t="str">
        <f t="shared" si="43"/>
        <v/>
      </c>
      <c r="J684" s="50"/>
      <c r="K684" s="17"/>
    </row>
    <row r="685" spans="1:11">
      <c r="A685" s="6">
        <f t="shared" si="40"/>
        <v>680</v>
      </c>
      <c r="B685" s="49"/>
      <c r="C685" s="35" t="str">
        <f>IFERROR(VLOOKUP(B685,'MASTER RECORD'!$B$5:$W$1000,3,0),"")</f>
        <v/>
      </c>
      <c r="D685" s="35" t="str">
        <f>IFERROR(VLOOKUP(B685,'MASTER RECORD'!$B$5:$W$1000,2,0),"")</f>
        <v/>
      </c>
      <c r="E685" s="36" t="str">
        <f>IFERROR(VLOOKUP(B685,'MASTER RECORD'!$B$5:$W$1000,9,0),"")</f>
        <v/>
      </c>
      <c r="F685" s="18"/>
      <c r="G685" s="18" t="str">
        <f t="shared" si="41"/>
        <v/>
      </c>
      <c r="H685" s="18" t="str">
        <f t="shared" si="42"/>
        <v/>
      </c>
      <c r="I685" s="35" t="str">
        <f t="shared" si="43"/>
        <v/>
      </c>
      <c r="J685" s="50"/>
      <c r="K685" s="17"/>
    </row>
    <row r="686" spans="1:11">
      <c r="A686" s="6">
        <f t="shared" si="40"/>
        <v>681</v>
      </c>
      <c r="B686" s="49"/>
      <c r="C686" s="35" t="str">
        <f>IFERROR(VLOOKUP(B686,'MASTER RECORD'!$B$5:$W$1000,3,0),"")</f>
        <v/>
      </c>
      <c r="D686" s="35" t="str">
        <f>IFERROR(VLOOKUP(B686,'MASTER RECORD'!$B$5:$W$1000,2,0),"")</f>
        <v/>
      </c>
      <c r="E686" s="36" t="str">
        <f>IFERROR(VLOOKUP(B686,'MASTER RECORD'!$B$5:$W$1000,9,0),"")</f>
        <v/>
      </c>
      <c r="F686" s="18"/>
      <c r="G686" s="18" t="str">
        <f t="shared" si="41"/>
        <v/>
      </c>
      <c r="H686" s="18" t="str">
        <f t="shared" si="42"/>
        <v/>
      </c>
      <c r="I686" s="35" t="str">
        <f t="shared" si="43"/>
        <v/>
      </c>
      <c r="J686" s="50"/>
      <c r="K686" s="17"/>
    </row>
    <row r="687" spans="1:11">
      <c r="A687" s="6">
        <f t="shared" si="40"/>
        <v>682</v>
      </c>
      <c r="B687" s="49"/>
      <c r="C687" s="35" t="str">
        <f>IFERROR(VLOOKUP(B687,'MASTER RECORD'!$B$5:$W$1000,3,0),"")</f>
        <v/>
      </c>
      <c r="D687" s="35" t="str">
        <f>IFERROR(VLOOKUP(B687,'MASTER RECORD'!$B$5:$W$1000,2,0),"")</f>
        <v/>
      </c>
      <c r="E687" s="36" t="str">
        <f>IFERROR(VLOOKUP(B687,'MASTER RECORD'!$B$5:$W$1000,9,0),"")</f>
        <v/>
      </c>
      <c r="F687" s="18"/>
      <c r="G687" s="18" t="str">
        <f t="shared" si="41"/>
        <v/>
      </c>
      <c r="H687" s="18" t="str">
        <f t="shared" si="42"/>
        <v/>
      </c>
      <c r="I687" s="35" t="str">
        <f t="shared" si="43"/>
        <v/>
      </c>
      <c r="J687" s="50"/>
      <c r="K687" s="17"/>
    </row>
    <row r="688" spans="1:11">
      <c r="A688" s="6">
        <f t="shared" si="40"/>
        <v>683</v>
      </c>
      <c r="B688" s="49"/>
      <c r="C688" s="35" t="str">
        <f>IFERROR(VLOOKUP(B688,'MASTER RECORD'!$B$5:$W$1000,3,0),"")</f>
        <v/>
      </c>
      <c r="D688" s="35" t="str">
        <f>IFERROR(VLOOKUP(B688,'MASTER RECORD'!$B$5:$W$1000,2,0),"")</f>
        <v/>
      </c>
      <c r="E688" s="36" t="str">
        <f>IFERROR(VLOOKUP(B688,'MASTER RECORD'!$B$5:$W$1000,9,0),"")</f>
        <v/>
      </c>
      <c r="F688" s="18"/>
      <c r="G688" s="18" t="str">
        <f t="shared" si="41"/>
        <v/>
      </c>
      <c r="H688" s="18" t="str">
        <f t="shared" si="42"/>
        <v/>
      </c>
      <c r="I688" s="35" t="str">
        <f t="shared" si="43"/>
        <v/>
      </c>
      <c r="J688" s="50"/>
      <c r="K688" s="17"/>
    </row>
    <row r="689" spans="1:11">
      <c r="A689" s="6">
        <f t="shared" si="40"/>
        <v>684</v>
      </c>
      <c r="B689" s="49"/>
      <c r="C689" s="35" t="str">
        <f>IFERROR(VLOOKUP(B689,'MASTER RECORD'!$B$5:$W$1000,3,0),"")</f>
        <v/>
      </c>
      <c r="D689" s="35" t="str">
        <f>IFERROR(VLOOKUP(B689,'MASTER RECORD'!$B$5:$W$1000,2,0),"")</f>
        <v/>
      </c>
      <c r="E689" s="36" t="str">
        <f>IFERROR(VLOOKUP(B689,'MASTER RECORD'!$B$5:$W$1000,9,0),"")</f>
        <v/>
      </c>
      <c r="F689" s="18"/>
      <c r="G689" s="18" t="str">
        <f t="shared" si="41"/>
        <v/>
      </c>
      <c r="H689" s="18" t="str">
        <f t="shared" si="42"/>
        <v/>
      </c>
      <c r="I689" s="35" t="str">
        <f t="shared" si="43"/>
        <v/>
      </c>
      <c r="J689" s="50"/>
      <c r="K689" s="17"/>
    </row>
    <row r="690" spans="1:11">
      <c r="A690" s="6">
        <f t="shared" si="40"/>
        <v>685</v>
      </c>
      <c r="B690" s="49"/>
      <c r="C690" s="35" t="str">
        <f>IFERROR(VLOOKUP(B690,'MASTER RECORD'!$B$5:$W$1000,3,0),"")</f>
        <v/>
      </c>
      <c r="D690" s="35" t="str">
        <f>IFERROR(VLOOKUP(B690,'MASTER RECORD'!$B$5:$W$1000,2,0),"")</f>
        <v/>
      </c>
      <c r="E690" s="36" t="str">
        <f>IFERROR(VLOOKUP(B690,'MASTER RECORD'!$B$5:$W$1000,9,0),"")</f>
        <v/>
      </c>
      <c r="F690" s="18"/>
      <c r="G690" s="18" t="str">
        <f t="shared" si="41"/>
        <v/>
      </c>
      <c r="H690" s="18" t="str">
        <f t="shared" si="42"/>
        <v/>
      </c>
      <c r="I690" s="35" t="str">
        <f t="shared" si="43"/>
        <v/>
      </c>
      <c r="J690" s="50"/>
      <c r="K690" s="17"/>
    </row>
    <row r="691" spans="1:11">
      <c r="A691" s="6">
        <f t="shared" si="40"/>
        <v>686</v>
      </c>
      <c r="B691" s="49"/>
      <c r="C691" s="35" t="str">
        <f>IFERROR(VLOOKUP(B691,'MASTER RECORD'!$B$5:$W$1000,3,0),"")</f>
        <v/>
      </c>
      <c r="D691" s="35" t="str">
        <f>IFERROR(VLOOKUP(B691,'MASTER RECORD'!$B$5:$W$1000,2,0),"")</f>
        <v/>
      </c>
      <c r="E691" s="36" t="str">
        <f>IFERROR(VLOOKUP(B691,'MASTER RECORD'!$B$5:$W$1000,9,0),"")</f>
        <v/>
      </c>
      <c r="F691" s="18"/>
      <c r="G691" s="18" t="str">
        <f t="shared" si="41"/>
        <v/>
      </c>
      <c r="H691" s="18" t="str">
        <f t="shared" si="42"/>
        <v/>
      </c>
      <c r="I691" s="35" t="str">
        <f t="shared" si="43"/>
        <v/>
      </c>
      <c r="J691" s="50"/>
      <c r="K691" s="17"/>
    </row>
    <row r="692" spans="1:11">
      <c r="A692" s="6">
        <f t="shared" si="40"/>
        <v>687</v>
      </c>
      <c r="B692" s="49"/>
      <c r="C692" s="35" t="str">
        <f>IFERROR(VLOOKUP(B692,'MASTER RECORD'!$B$5:$W$1000,3,0),"")</f>
        <v/>
      </c>
      <c r="D692" s="35" t="str">
        <f>IFERROR(VLOOKUP(B692,'MASTER RECORD'!$B$5:$W$1000,2,0),"")</f>
        <v/>
      </c>
      <c r="E692" s="36" t="str">
        <f>IFERROR(VLOOKUP(B692,'MASTER RECORD'!$B$5:$W$1000,9,0),"")</f>
        <v/>
      </c>
      <c r="F692" s="18"/>
      <c r="G692" s="18" t="str">
        <f t="shared" si="41"/>
        <v/>
      </c>
      <c r="H692" s="18" t="str">
        <f t="shared" si="42"/>
        <v/>
      </c>
      <c r="I692" s="35" t="str">
        <f t="shared" si="43"/>
        <v/>
      </c>
      <c r="J692" s="50"/>
      <c r="K692" s="17"/>
    </row>
    <row r="693" spans="1:11">
      <c r="A693" s="6">
        <f t="shared" si="40"/>
        <v>688</v>
      </c>
      <c r="B693" s="49"/>
      <c r="C693" s="35" t="str">
        <f>IFERROR(VLOOKUP(B693,'MASTER RECORD'!$B$5:$W$1000,3,0),"")</f>
        <v/>
      </c>
      <c r="D693" s="35" t="str">
        <f>IFERROR(VLOOKUP(B693,'MASTER RECORD'!$B$5:$W$1000,2,0),"")</f>
        <v/>
      </c>
      <c r="E693" s="36" t="str">
        <f>IFERROR(VLOOKUP(B693,'MASTER RECORD'!$B$5:$W$1000,9,0),"")</f>
        <v/>
      </c>
      <c r="F693" s="18"/>
      <c r="G693" s="18" t="str">
        <f t="shared" si="41"/>
        <v/>
      </c>
      <c r="H693" s="18" t="str">
        <f t="shared" si="42"/>
        <v/>
      </c>
      <c r="I693" s="35" t="str">
        <f t="shared" si="43"/>
        <v/>
      </c>
      <c r="J693" s="50"/>
      <c r="K693" s="17"/>
    </row>
    <row r="694" spans="1:11">
      <c r="A694" s="6">
        <f t="shared" si="40"/>
        <v>689</v>
      </c>
      <c r="B694" s="49"/>
      <c r="C694" s="35" t="str">
        <f>IFERROR(VLOOKUP(B694,'MASTER RECORD'!$B$5:$W$1000,3,0),"")</f>
        <v/>
      </c>
      <c r="D694" s="35" t="str">
        <f>IFERROR(VLOOKUP(B694,'MASTER RECORD'!$B$5:$W$1000,2,0),"")</f>
        <v/>
      </c>
      <c r="E694" s="36" t="str">
        <f>IFERROR(VLOOKUP(B694,'MASTER RECORD'!$B$5:$W$1000,9,0),"")</f>
        <v/>
      </c>
      <c r="F694" s="18"/>
      <c r="G694" s="18" t="str">
        <f t="shared" si="41"/>
        <v/>
      </c>
      <c r="H694" s="18" t="str">
        <f t="shared" si="42"/>
        <v/>
      </c>
      <c r="I694" s="35" t="str">
        <f t="shared" si="43"/>
        <v/>
      </c>
      <c r="J694" s="50"/>
      <c r="K694" s="17"/>
    </row>
    <row r="695" spans="1:11">
      <c r="A695" s="6">
        <f t="shared" si="40"/>
        <v>690</v>
      </c>
      <c r="B695" s="49"/>
      <c r="C695" s="35" t="str">
        <f>IFERROR(VLOOKUP(B695,'MASTER RECORD'!$B$5:$W$1000,3,0),"")</f>
        <v/>
      </c>
      <c r="D695" s="35" t="str">
        <f>IFERROR(VLOOKUP(B695,'MASTER RECORD'!$B$5:$W$1000,2,0),"")</f>
        <v/>
      </c>
      <c r="E695" s="36" t="str">
        <f>IFERROR(VLOOKUP(B695,'MASTER RECORD'!$B$5:$W$1000,9,0),"")</f>
        <v/>
      </c>
      <c r="F695" s="18"/>
      <c r="G695" s="18" t="str">
        <f t="shared" si="41"/>
        <v/>
      </c>
      <c r="H695" s="18" t="str">
        <f t="shared" si="42"/>
        <v/>
      </c>
      <c r="I695" s="35" t="str">
        <f t="shared" si="43"/>
        <v/>
      </c>
      <c r="J695" s="50"/>
      <c r="K695" s="17"/>
    </row>
    <row r="696" spans="1:11">
      <c r="A696" s="6">
        <f t="shared" si="40"/>
        <v>691</v>
      </c>
      <c r="B696" s="49"/>
      <c r="C696" s="35" t="str">
        <f>IFERROR(VLOOKUP(B696,'MASTER RECORD'!$B$5:$W$1000,3,0),"")</f>
        <v/>
      </c>
      <c r="D696" s="35" t="str">
        <f>IFERROR(VLOOKUP(B696,'MASTER RECORD'!$B$5:$W$1000,2,0),"")</f>
        <v/>
      </c>
      <c r="E696" s="36" t="str">
        <f>IFERROR(VLOOKUP(B696,'MASTER RECORD'!$B$5:$W$1000,9,0),"")</f>
        <v/>
      </c>
      <c r="F696" s="18"/>
      <c r="G696" s="18" t="str">
        <f t="shared" si="41"/>
        <v/>
      </c>
      <c r="H696" s="18" t="str">
        <f t="shared" si="42"/>
        <v/>
      </c>
      <c r="I696" s="35" t="str">
        <f t="shared" si="43"/>
        <v/>
      </c>
      <c r="J696" s="50"/>
      <c r="K696" s="17"/>
    </row>
    <row r="697" spans="1:11">
      <c r="A697" s="6">
        <f t="shared" si="40"/>
        <v>692</v>
      </c>
      <c r="B697" s="49"/>
      <c r="C697" s="35" t="str">
        <f>IFERROR(VLOOKUP(B697,'MASTER RECORD'!$B$5:$W$1000,3,0),"")</f>
        <v/>
      </c>
      <c r="D697" s="35" t="str">
        <f>IFERROR(VLOOKUP(B697,'MASTER RECORD'!$B$5:$W$1000,2,0),"")</f>
        <v/>
      </c>
      <c r="E697" s="36" t="str">
        <f>IFERROR(VLOOKUP(B697,'MASTER RECORD'!$B$5:$W$1000,9,0),"")</f>
        <v/>
      </c>
      <c r="F697" s="18"/>
      <c r="G697" s="18" t="str">
        <f t="shared" si="41"/>
        <v/>
      </c>
      <c r="H697" s="18" t="str">
        <f t="shared" si="42"/>
        <v/>
      </c>
      <c r="I697" s="35" t="str">
        <f t="shared" si="43"/>
        <v/>
      </c>
      <c r="J697" s="50"/>
      <c r="K697" s="17"/>
    </row>
    <row r="698" spans="1:11">
      <c r="A698" s="6">
        <f t="shared" si="40"/>
        <v>693</v>
      </c>
      <c r="B698" s="49"/>
      <c r="C698" s="35" t="str">
        <f>IFERROR(VLOOKUP(B698,'MASTER RECORD'!$B$5:$W$1000,3,0),"")</f>
        <v/>
      </c>
      <c r="D698" s="35" t="str">
        <f>IFERROR(VLOOKUP(B698,'MASTER RECORD'!$B$5:$W$1000,2,0),"")</f>
        <v/>
      </c>
      <c r="E698" s="36" t="str">
        <f>IFERROR(VLOOKUP(B698,'MASTER RECORD'!$B$5:$W$1000,9,0),"")</f>
        <v/>
      </c>
      <c r="F698" s="18"/>
      <c r="G698" s="18" t="str">
        <f t="shared" si="41"/>
        <v/>
      </c>
      <c r="H698" s="18" t="str">
        <f t="shared" si="42"/>
        <v/>
      </c>
      <c r="I698" s="35" t="str">
        <f t="shared" si="43"/>
        <v/>
      </c>
      <c r="J698" s="50"/>
      <c r="K698" s="17"/>
    </row>
    <row r="699" spans="1:11">
      <c r="A699" s="6">
        <f t="shared" si="40"/>
        <v>694</v>
      </c>
      <c r="B699" s="49"/>
      <c r="C699" s="35" t="str">
        <f>IFERROR(VLOOKUP(B699,'MASTER RECORD'!$B$5:$W$1000,3,0),"")</f>
        <v/>
      </c>
      <c r="D699" s="35" t="str">
        <f>IFERROR(VLOOKUP(B699,'MASTER RECORD'!$B$5:$W$1000,2,0),"")</f>
        <v/>
      </c>
      <c r="E699" s="36" t="str">
        <f>IFERROR(VLOOKUP(B699,'MASTER RECORD'!$B$5:$W$1000,9,0),"")</f>
        <v/>
      </c>
      <c r="F699" s="18"/>
      <c r="G699" s="18" t="str">
        <f t="shared" si="41"/>
        <v/>
      </c>
      <c r="H699" s="18" t="str">
        <f t="shared" si="42"/>
        <v/>
      </c>
      <c r="I699" s="35" t="str">
        <f t="shared" si="43"/>
        <v/>
      </c>
      <c r="J699" s="50"/>
      <c r="K699" s="17"/>
    </row>
    <row r="700" spans="1:11">
      <c r="A700" s="6">
        <f t="shared" si="40"/>
        <v>695</v>
      </c>
      <c r="B700" s="49"/>
      <c r="C700" s="35" t="str">
        <f>IFERROR(VLOOKUP(B700,'MASTER RECORD'!$B$5:$W$1000,3,0),"")</f>
        <v/>
      </c>
      <c r="D700" s="35" t="str">
        <f>IFERROR(VLOOKUP(B700,'MASTER RECORD'!$B$5:$W$1000,2,0),"")</f>
        <v/>
      </c>
      <c r="E700" s="36" t="str">
        <f>IFERROR(VLOOKUP(B700,'MASTER RECORD'!$B$5:$W$1000,9,0),"")</f>
        <v/>
      </c>
      <c r="F700" s="18"/>
      <c r="G700" s="18" t="str">
        <f t="shared" si="41"/>
        <v/>
      </c>
      <c r="H700" s="18" t="str">
        <f t="shared" si="42"/>
        <v/>
      </c>
      <c r="I700" s="35" t="str">
        <f t="shared" si="43"/>
        <v/>
      </c>
      <c r="J700" s="50"/>
      <c r="K700" s="17"/>
    </row>
    <row r="701" spans="1:11">
      <c r="A701" s="6">
        <f t="shared" si="40"/>
        <v>696</v>
      </c>
      <c r="B701" s="49"/>
      <c r="C701" s="35" t="str">
        <f>IFERROR(VLOOKUP(B701,'MASTER RECORD'!$B$5:$W$1000,3,0),"")</f>
        <v/>
      </c>
      <c r="D701" s="35" t="str">
        <f>IFERROR(VLOOKUP(B701,'MASTER RECORD'!$B$5:$W$1000,2,0),"")</f>
        <v/>
      </c>
      <c r="E701" s="36" t="str">
        <f>IFERROR(VLOOKUP(B701,'MASTER RECORD'!$B$5:$W$1000,9,0),"")</f>
        <v/>
      </c>
      <c r="F701" s="18"/>
      <c r="G701" s="18" t="str">
        <f t="shared" si="41"/>
        <v/>
      </c>
      <c r="H701" s="18" t="str">
        <f t="shared" si="42"/>
        <v/>
      </c>
      <c r="I701" s="35" t="str">
        <f t="shared" si="43"/>
        <v/>
      </c>
      <c r="J701" s="50"/>
      <c r="K701" s="17"/>
    </row>
    <row r="702" spans="1:11">
      <c r="A702" s="6">
        <f t="shared" si="40"/>
        <v>697</v>
      </c>
      <c r="B702" s="49"/>
      <c r="C702" s="35" t="str">
        <f>IFERROR(VLOOKUP(B702,'MASTER RECORD'!$B$5:$W$1000,3,0),"")</f>
        <v/>
      </c>
      <c r="D702" s="35" t="str">
        <f>IFERROR(VLOOKUP(B702,'MASTER RECORD'!$B$5:$W$1000,2,0),"")</f>
        <v/>
      </c>
      <c r="E702" s="36" t="str">
        <f>IFERROR(VLOOKUP(B702,'MASTER RECORD'!$B$5:$W$1000,9,0),"")</f>
        <v/>
      </c>
      <c r="F702" s="18"/>
      <c r="G702" s="18" t="str">
        <f t="shared" si="41"/>
        <v/>
      </c>
      <c r="H702" s="18" t="str">
        <f t="shared" si="42"/>
        <v/>
      </c>
      <c r="I702" s="35" t="str">
        <f t="shared" si="43"/>
        <v/>
      </c>
      <c r="J702" s="50"/>
      <c r="K702" s="17"/>
    </row>
    <row r="703" spans="1:11">
      <c r="A703" s="6">
        <f t="shared" si="40"/>
        <v>698</v>
      </c>
      <c r="B703" s="49"/>
      <c r="C703" s="35" t="str">
        <f>IFERROR(VLOOKUP(B703,'MASTER RECORD'!$B$5:$W$1000,3,0),"")</f>
        <v/>
      </c>
      <c r="D703" s="35" t="str">
        <f>IFERROR(VLOOKUP(B703,'MASTER RECORD'!$B$5:$W$1000,2,0),"")</f>
        <v/>
      </c>
      <c r="E703" s="36" t="str">
        <f>IFERROR(VLOOKUP(B703,'MASTER RECORD'!$B$5:$W$1000,9,0),"")</f>
        <v/>
      </c>
      <c r="F703" s="18"/>
      <c r="G703" s="18" t="str">
        <f t="shared" si="41"/>
        <v/>
      </c>
      <c r="H703" s="18" t="str">
        <f t="shared" si="42"/>
        <v/>
      </c>
      <c r="I703" s="35" t="str">
        <f t="shared" si="43"/>
        <v/>
      </c>
      <c r="J703" s="50"/>
      <c r="K703" s="17"/>
    </row>
    <row r="704" spans="1:11">
      <c r="A704" s="6">
        <f t="shared" si="40"/>
        <v>699</v>
      </c>
      <c r="B704" s="49"/>
      <c r="C704" s="35" t="str">
        <f>IFERROR(VLOOKUP(B704,'MASTER RECORD'!$B$5:$W$1000,3,0),"")</f>
        <v/>
      </c>
      <c r="D704" s="35" t="str">
        <f>IFERROR(VLOOKUP(B704,'MASTER RECORD'!$B$5:$W$1000,2,0),"")</f>
        <v/>
      </c>
      <c r="E704" s="36" t="str">
        <f>IFERROR(VLOOKUP(B704,'MASTER RECORD'!$B$5:$W$1000,9,0),"")</f>
        <v/>
      </c>
      <c r="F704" s="18"/>
      <c r="G704" s="18" t="str">
        <f t="shared" si="41"/>
        <v/>
      </c>
      <c r="H704" s="18" t="str">
        <f t="shared" si="42"/>
        <v/>
      </c>
      <c r="I704" s="35" t="str">
        <f t="shared" si="43"/>
        <v/>
      </c>
      <c r="J704" s="50"/>
      <c r="K704" s="17"/>
    </row>
    <row r="705" spans="1:11">
      <c r="A705" s="6">
        <f t="shared" si="40"/>
        <v>700</v>
      </c>
      <c r="B705" s="49"/>
      <c r="C705" s="35" t="str">
        <f>IFERROR(VLOOKUP(B705,'MASTER RECORD'!$B$5:$W$1000,3,0),"")</f>
        <v/>
      </c>
      <c r="D705" s="35" t="str">
        <f>IFERROR(VLOOKUP(B705,'MASTER RECORD'!$B$5:$W$1000,2,0),"")</f>
        <v/>
      </c>
      <c r="E705" s="36" t="str">
        <f>IFERROR(VLOOKUP(B705,'MASTER RECORD'!$B$5:$W$1000,9,0),"")</f>
        <v/>
      </c>
      <c r="F705" s="18"/>
      <c r="G705" s="18" t="str">
        <f t="shared" si="41"/>
        <v/>
      </c>
      <c r="H705" s="18" t="str">
        <f t="shared" si="42"/>
        <v/>
      </c>
      <c r="I705" s="35" t="str">
        <f t="shared" si="43"/>
        <v/>
      </c>
      <c r="J705" s="50"/>
      <c r="K705" s="17"/>
    </row>
    <row r="706" spans="1:11">
      <c r="A706" s="6">
        <f t="shared" si="40"/>
        <v>701</v>
      </c>
      <c r="B706" s="49"/>
      <c r="C706" s="35" t="str">
        <f>IFERROR(VLOOKUP(B706,'MASTER RECORD'!$B$5:$W$1000,3,0),"")</f>
        <v/>
      </c>
      <c r="D706" s="35" t="str">
        <f>IFERROR(VLOOKUP(B706,'MASTER RECORD'!$B$5:$W$1000,2,0),"")</f>
        <v/>
      </c>
      <c r="E706" s="36" t="str">
        <f>IFERROR(VLOOKUP(B706,'MASTER RECORD'!$B$5:$W$1000,9,0),"")</f>
        <v/>
      </c>
      <c r="F706" s="18"/>
      <c r="G706" s="18" t="str">
        <f t="shared" si="41"/>
        <v/>
      </c>
      <c r="H706" s="18" t="str">
        <f t="shared" si="42"/>
        <v/>
      </c>
      <c r="I706" s="35" t="str">
        <f t="shared" si="43"/>
        <v/>
      </c>
      <c r="J706" s="50"/>
      <c r="K706" s="17"/>
    </row>
    <row r="707" spans="1:11">
      <c r="A707" s="6">
        <f t="shared" si="40"/>
        <v>702</v>
      </c>
      <c r="B707" s="49"/>
      <c r="C707" s="35" t="str">
        <f>IFERROR(VLOOKUP(B707,'MASTER RECORD'!$B$5:$W$1000,3,0),"")</f>
        <v/>
      </c>
      <c r="D707" s="35" t="str">
        <f>IFERROR(VLOOKUP(B707,'MASTER RECORD'!$B$5:$W$1000,2,0),"")</f>
        <v/>
      </c>
      <c r="E707" s="36" t="str">
        <f>IFERROR(VLOOKUP(B707,'MASTER RECORD'!$B$5:$W$1000,9,0),"")</f>
        <v/>
      </c>
      <c r="F707" s="18"/>
      <c r="G707" s="18" t="str">
        <f t="shared" si="41"/>
        <v/>
      </c>
      <c r="H707" s="18" t="str">
        <f t="shared" si="42"/>
        <v/>
      </c>
      <c r="I707" s="35" t="str">
        <f t="shared" si="43"/>
        <v/>
      </c>
      <c r="J707" s="50"/>
      <c r="K707" s="17"/>
    </row>
    <row r="708" spans="1:11">
      <c r="A708" s="6">
        <f t="shared" si="40"/>
        <v>703</v>
      </c>
      <c r="B708" s="49"/>
      <c r="C708" s="35" t="str">
        <f>IFERROR(VLOOKUP(B708,'MASTER RECORD'!$B$5:$W$1000,3,0),"")</f>
        <v/>
      </c>
      <c r="D708" s="35" t="str">
        <f>IFERROR(VLOOKUP(B708,'MASTER RECORD'!$B$5:$W$1000,2,0),"")</f>
        <v/>
      </c>
      <c r="E708" s="36" t="str">
        <f>IFERROR(VLOOKUP(B708,'MASTER RECORD'!$B$5:$W$1000,9,0),"")</f>
        <v/>
      </c>
      <c r="F708" s="18"/>
      <c r="G708" s="18" t="str">
        <f t="shared" si="41"/>
        <v/>
      </c>
      <c r="H708" s="18" t="str">
        <f t="shared" si="42"/>
        <v/>
      </c>
      <c r="I708" s="35" t="str">
        <f t="shared" si="43"/>
        <v/>
      </c>
      <c r="J708" s="50"/>
      <c r="K708" s="17"/>
    </row>
    <row r="709" spans="1:11">
      <c r="A709" s="6">
        <f t="shared" si="40"/>
        <v>704</v>
      </c>
      <c r="B709" s="49"/>
      <c r="C709" s="35" t="str">
        <f>IFERROR(VLOOKUP(B709,'MASTER RECORD'!$B$5:$W$1000,3,0),"")</f>
        <v/>
      </c>
      <c r="D709" s="35" t="str">
        <f>IFERROR(VLOOKUP(B709,'MASTER RECORD'!$B$5:$W$1000,2,0),"")</f>
        <v/>
      </c>
      <c r="E709" s="36" t="str">
        <f>IFERROR(VLOOKUP(B709,'MASTER RECORD'!$B$5:$W$1000,9,0),"")</f>
        <v/>
      </c>
      <c r="F709" s="18"/>
      <c r="G709" s="18" t="str">
        <f t="shared" si="41"/>
        <v/>
      </c>
      <c r="H709" s="18" t="str">
        <f t="shared" si="42"/>
        <v/>
      </c>
      <c r="I709" s="35" t="str">
        <f t="shared" si="43"/>
        <v/>
      </c>
      <c r="J709" s="50"/>
      <c r="K709" s="17"/>
    </row>
    <row r="710" spans="1:11">
      <c r="A710" s="6">
        <f t="shared" si="40"/>
        <v>705</v>
      </c>
      <c r="B710" s="49"/>
      <c r="C710" s="35" t="str">
        <f>IFERROR(VLOOKUP(B710,'MASTER RECORD'!$B$5:$W$1000,3,0),"")</f>
        <v/>
      </c>
      <c r="D710" s="35" t="str">
        <f>IFERROR(VLOOKUP(B710,'MASTER RECORD'!$B$5:$W$1000,2,0),"")</f>
        <v/>
      </c>
      <c r="E710" s="36" t="str">
        <f>IFERROR(VLOOKUP(B710,'MASTER RECORD'!$B$5:$W$1000,9,0),"")</f>
        <v/>
      </c>
      <c r="F710" s="18"/>
      <c r="G710" s="18" t="str">
        <f t="shared" si="41"/>
        <v/>
      </c>
      <c r="H710" s="18" t="str">
        <f t="shared" si="42"/>
        <v/>
      </c>
      <c r="I710" s="35" t="str">
        <f t="shared" si="43"/>
        <v/>
      </c>
      <c r="J710" s="50"/>
      <c r="K710" s="17"/>
    </row>
    <row r="711" spans="1:11">
      <c r="A711" s="6">
        <f t="shared" ref="A711:A774" si="44">ROW(A706)</f>
        <v>706</v>
      </c>
      <c r="B711" s="49"/>
      <c r="C711" s="35" t="str">
        <f>IFERROR(VLOOKUP(B711,'MASTER RECORD'!$B$5:$W$1000,3,0),"")</f>
        <v/>
      </c>
      <c r="D711" s="35" t="str">
        <f>IFERROR(VLOOKUP(B711,'MASTER RECORD'!$B$5:$W$1000,2,0),"")</f>
        <v/>
      </c>
      <c r="E711" s="36" t="str">
        <f>IFERROR(VLOOKUP(B711,'MASTER RECORD'!$B$5:$W$1000,9,0),"")</f>
        <v/>
      </c>
      <c r="F711" s="18"/>
      <c r="G711" s="18" t="str">
        <f t="shared" ref="G711:G774" si="45">IF($F711=0,"",TEXT($F711,"mmmm"))</f>
        <v/>
      </c>
      <c r="H711" s="18" t="str">
        <f t="shared" ref="H711:H774" si="46">IF($F711=0,"",TEXT($F711,"yyyy"))</f>
        <v/>
      </c>
      <c r="I711" s="35" t="str">
        <f t="shared" ref="I711:I774" si="47">IFERROR(DATEDIF(E711,F711,"Y")&amp;"."&amp;DATEDIF(E711,F711,"YM"),"")</f>
        <v/>
      </c>
      <c r="J711" s="50"/>
      <c r="K711" s="17"/>
    </row>
    <row r="712" spans="1:11">
      <c r="A712" s="6">
        <f t="shared" si="44"/>
        <v>707</v>
      </c>
      <c r="B712" s="49"/>
      <c r="C712" s="35" t="str">
        <f>IFERROR(VLOOKUP(B712,'MASTER RECORD'!$B$5:$W$1000,3,0),"")</f>
        <v/>
      </c>
      <c r="D712" s="35" t="str">
        <f>IFERROR(VLOOKUP(B712,'MASTER RECORD'!$B$5:$W$1000,2,0),"")</f>
        <v/>
      </c>
      <c r="E712" s="36" t="str">
        <f>IFERROR(VLOOKUP(B712,'MASTER RECORD'!$B$5:$W$1000,9,0),"")</f>
        <v/>
      </c>
      <c r="F712" s="18"/>
      <c r="G712" s="18" t="str">
        <f t="shared" si="45"/>
        <v/>
      </c>
      <c r="H712" s="18" t="str">
        <f t="shared" si="46"/>
        <v/>
      </c>
      <c r="I712" s="35" t="str">
        <f t="shared" si="47"/>
        <v/>
      </c>
      <c r="J712" s="50"/>
      <c r="K712" s="17"/>
    </row>
    <row r="713" spans="1:11">
      <c r="A713" s="6">
        <f t="shared" si="44"/>
        <v>708</v>
      </c>
      <c r="B713" s="49"/>
      <c r="C713" s="35" t="str">
        <f>IFERROR(VLOOKUP(B713,'MASTER RECORD'!$B$5:$W$1000,3,0),"")</f>
        <v/>
      </c>
      <c r="D713" s="35" t="str">
        <f>IFERROR(VLOOKUP(B713,'MASTER RECORD'!$B$5:$W$1000,2,0),"")</f>
        <v/>
      </c>
      <c r="E713" s="36" t="str">
        <f>IFERROR(VLOOKUP(B713,'MASTER RECORD'!$B$5:$W$1000,9,0),"")</f>
        <v/>
      </c>
      <c r="F713" s="18"/>
      <c r="G713" s="18" t="str">
        <f t="shared" si="45"/>
        <v/>
      </c>
      <c r="H713" s="18" t="str">
        <f t="shared" si="46"/>
        <v/>
      </c>
      <c r="I713" s="35" t="str">
        <f t="shared" si="47"/>
        <v/>
      </c>
      <c r="J713" s="50"/>
      <c r="K713" s="17"/>
    </row>
    <row r="714" spans="1:11">
      <c r="A714" s="6">
        <f t="shared" si="44"/>
        <v>709</v>
      </c>
      <c r="B714" s="49"/>
      <c r="C714" s="35" t="str">
        <f>IFERROR(VLOOKUP(B714,'MASTER RECORD'!$B$5:$W$1000,3,0),"")</f>
        <v/>
      </c>
      <c r="D714" s="35" t="str">
        <f>IFERROR(VLOOKUP(B714,'MASTER RECORD'!$B$5:$W$1000,2,0),"")</f>
        <v/>
      </c>
      <c r="E714" s="36" t="str">
        <f>IFERROR(VLOOKUP(B714,'MASTER RECORD'!$B$5:$W$1000,9,0),"")</f>
        <v/>
      </c>
      <c r="F714" s="18"/>
      <c r="G714" s="18" t="str">
        <f t="shared" si="45"/>
        <v/>
      </c>
      <c r="H714" s="18" t="str">
        <f t="shared" si="46"/>
        <v/>
      </c>
      <c r="I714" s="35" t="str">
        <f t="shared" si="47"/>
        <v/>
      </c>
      <c r="J714" s="50"/>
      <c r="K714" s="17"/>
    </row>
    <row r="715" spans="1:11">
      <c r="A715" s="6">
        <f t="shared" si="44"/>
        <v>710</v>
      </c>
      <c r="B715" s="49"/>
      <c r="C715" s="35" t="str">
        <f>IFERROR(VLOOKUP(B715,'MASTER RECORD'!$B$5:$W$1000,3,0),"")</f>
        <v/>
      </c>
      <c r="D715" s="35" t="str">
        <f>IFERROR(VLOOKUP(B715,'MASTER RECORD'!$B$5:$W$1000,2,0),"")</f>
        <v/>
      </c>
      <c r="E715" s="36" t="str">
        <f>IFERROR(VLOOKUP(B715,'MASTER RECORD'!$B$5:$W$1000,9,0),"")</f>
        <v/>
      </c>
      <c r="F715" s="18"/>
      <c r="G715" s="18" t="str">
        <f t="shared" si="45"/>
        <v/>
      </c>
      <c r="H715" s="18" t="str">
        <f t="shared" si="46"/>
        <v/>
      </c>
      <c r="I715" s="35" t="str">
        <f t="shared" si="47"/>
        <v/>
      </c>
      <c r="J715" s="50"/>
      <c r="K715" s="17"/>
    </row>
    <row r="716" spans="1:11">
      <c r="A716" s="6">
        <f t="shared" si="44"/>
        <v>711</v>
      </c>
      <c r="B716" s="49"/>
      <c r="C716" s="35" t="str">
        <f>IFERROR(VLOOKUP(B716,'MASTER RECORD'!$B$5:$W$1000,3,0),"")</f>
        <v/>
      </c>
      <c r="D716" s="35" t="str">
        <f>IFERROR(VLOOKUP(B716,'MASTER RECORD'!$B$5:$W$1000,2,0),"")</f>
        <v/>
      </c>
      <c r="E716" s="36" t="str">
        <f>IFERROR(VLOOKUP(B716,'MASTER RECORD'!$B$5:$W$1000,9,0),"")</f>
        <v/>
      </c>
      <c r="F716" s="18"/>
      <c r="G716" s="18" t="str">
        <f t="shared" si="45"/>
        <v/>
      </c>
      <c r="H716" s="18" t="str">
        <f t="shared" si="46"/>
        <v/>
      </c>
      <c r="I716" s="35" t="str">
        <f t="shared" si="47"/>
        <v/>
      </c>
      <c r="J716" s="50"/>
      <c r="K716" s="17"/>
    </row>
    <row r="717" spans="1:11">
      <c r="A717" s="6">
        <f t="shared" si="44"/>
        <v>712</v>
      </c>
      <c r="B717" s="49"/>
      <c r="C717" s="35" t="str">
        <f>IFERROR(VLOOKUP(B717,'MASTER RECORD'!$B$5:$W$1000,3,0),"")</f>
        <v/>
      </c>
      <c r="D717" s="35" t="str">
        <f>IFERROR(VLOOKUP(B717,'MASTER RECORD'!$B$5:$W$1000,2,0),"")</f>
        <v/>
      </c>
      <c r="E717" s="36" t="str">
        <f>IFERROR(VLOOKUP(B717,'MASTER RECORD'!$B$5:$W$1000,9,0),"")</f>
        <v/>
      </c>
      <c r="F717" s="18"/>
      <c r="G717" s="18" t="str">
        <f t="shared" si="45"/>
        <v/>
      </c>
      <c r="H717" s="18" t="str">
        <f t="shared" si="46"/>
        <v/>
      </c>
      <c r="I717" s="35" t="str">
        <f t="shared" si="47"/>
        <v/>
      </c>
      <c r="J717" s="50"/>
      <c r="K717" s="17"/>
    </row>
    <row r="718" spans="1:11">
      <c r="A718" s="6">
        <f t="shared" si="44"/>
        <v>713</v>
      </c>
      <c r="B718" s="49"/>
      <c r="C718" s="35" t="str">
        <f>IFERROR(VLOOKUP(B718,'MASTER RECORD'!$B$5:$W$1000,3,0),"")</f>
        <v/>
      </c>
      <c r="D718" s="35" t="str">
        <f>IFERROR(VLOOKUP(B718,'MASTER RECORD'!$B$5:$W$1000,2,0),"")</f>
        <v/>
      </c>
      <c r="E718" s="36" t="str">
        <f>IFERROR(VLOOKUP(B718,'MASTER RECORD'!$B$5:$W$1000,9,0),"")</f>
        <v/>
      </c>
      <c r="F718" s="18"/>
      <c r="G718" s="18" t="str">
        <f t="shared" si="45"/>
        <v/>
      </c>
      <c r="H718" s="18" t="str">
        <f t="shared" si="46"/>
        <v/>
      </c>
      <c r="I718" s="35" t="str">
        <f t="shared" si="47"/>
        <v/>
      </c>
      <c r="J718" s="50"/>
      <c r="K718" s="17"/>
    </row>
    <row r="719" spans="1:11">
      <c r="A719" s="6">
        <f t="shared" si="44"/>
        <v>714</v>
      </c>
      <c r="B719" s="49"/>
      <c r="C719" s="35" t="str">
        <f>IFERROR(VLOOKUP(B719,'MASTER RECORD'!$B$5:$W$1000,3,0),"")</f>
        <v/>
      </c>
      <c r="D719" s="35" t="str">
        <f>IFERROR(VLOOKUP(B719,'MASTER RECORD'!$B$5:$W$1000,2,0),"")</f>
        <v/>
      </c>
      <c r="E719" s="36" t="str">
        <f>IFERROR(VLOOKUP(B719,'MASTER RECORD'!$B$5:$W$1000,9,0),"")</f>
        <v/>
      </c>
      <c r="F719" s="18"/>
      <c r="G719" s="18" t="str">
        <f t="shared" si="45"/>
        <v/>
      </c>
      <c r="H719" s="18" t="str">
        <f t="shared" si="46"/>
        <v/>
      </c>
      <c r="I719" s="35" t="str">
        <f t="shared" si="47"/>
        <v/>
      </c>
      <c r="J719" s="50"/>
      <c r="K719" s="17"/>
    </row>
    <row r="720" spans="1:11">
      <c r="A720" s="6">
        <f t="shared" si="44"/>
        <v>715</v>
      </c>
      <c r="B720" s="49"/>
      <c r="C720" s="35" t="str">
        <f>IFERROR(VLOOKUP(B720,'MASTER RECORD'!$B$5:$W$1000,3,0),"")</f>
        <v/>
      </c>
      <c r="D720" s="35" t="str">
        <f>IFERROR(VLOOKUP(B720,'MASTER RECORD'!$B$5:$W$1000,2,0),"")</f>
        <v/>
      </c>
      <c r="E720" s="36" t="str">
        <f>IFERROR(VLOOKUP(B720,'MASTER RECORD'!$B$5:$W$1000,9,0),"")</f>
        <v/>
      </c>
      <c r="F720" s="18"/>
      <c r="G720" s="18" t="str">
        <f t="shared" si="45"/>
        <v/>
      </c>
      <c r="H720" s="18" t="str">
        <f t="shared" si="46"/>
        <v/>
      </c>
      <c r="I720" s="35" t="str">
        <f t="shared" si="47"/>
        <v/>
      </c>
      <c r="J720" s="50"/>
      <c r="K720" s="17"/>
    </row>
    <row r="721" spans="1:11">
      <c r="A721" s="6">
        <f t="shared" si="44"/>
        <v>716</v>
      </c>
      <c r="B721" s="49"/>
      <c r="C721" s="35" t="str">
        <f>IFERROR(VLOOKUP(B721,'MASTER RECORD'!$B$5:$W$1000,3,0),"")</f>
        <v/>
      </c>
      <c r="D721" s="35" t="str">
        <f>IFERROR(VLOOKUP(B721,'MASTER RECORD'!$B$5:$W$1000,2,0),"")</f>
        <v/>
      </c>
      <c r="E721" s="36" t="str">
        <f>IFERROR(VLOOKUP(B721,'MASTER RECORD'!$B$5:$W$1000,9,0),"")</f>
        <v/>
      </c>
      <c r="F721" s="18"/>
      <c r="G721" s="18" t="str">
        <f t="shared" si="45"/>
        <v/>
      </c>
      <c r="H721" s="18" t="str">
        <f t="shared" si="46"/>
        <v/>
      </c>
      <c r="I721" s="35" t="str">
        <f t="shared" si="47"/>
        <v/>
      </c>
      <c r="J721" s="50"/>
      <c r="K721" s="17"/>
    </row>
    <row r="722" spans="1:11">
      <c r="A722" s="6">
        <f t="shared" si="44"/>
        <v>717</v>
      </c>
      <c r="B722" s="49"/>
      <c r="C722" s="35" t="str">
        <f>IFERROR(VLOOKUP(B722,'MASTER RECORD'!$B$5:$W$1000,3,0),"")</f>
        <v/>
      </c>
      <c r="D722" s="35" t="str">
        <f>IFERROR(VLOOKUP(B722,'MASTER RECORD'!$B$5:$W$1000,2,0),"")</f>
        <v/>
      </c>
      <c r="E722" s="36" t="str">
        <f>IFERROR(VLOOKUP(B722,'MASTER RECORD'!$B$5:$W$1000,9,0),"")</f>
        <v/>
      </c>
      <c r="F722" s="18"/>
      <c r="G722" s="18" t="str">
        <f t="shared" si="45"/>
        <v/>
      </c>
      <c r="H722" s="18" t="str">
        <f t="shared" si="46"/>
        <v/>
      </c>
      <c r="I722" s="35" t="str">
        <f t="shared" si="47"/>
        <v/>
      </c>
      <c r="J722" s="50"/>
      <c r="K722" s="17"/>
    </row>
    <row r="723" spans="1:11">
      <c r="A723" s="6">
        <f t="shared" si="44"/>
        <v>718</v>
      </c>
      <c r="B723" s="49"/>
      <c r="C723" s="35" t="str">
        <f>IFERROR(VLOOKUP(B723,'MASTER RECORD'!$B$5:$W$1000,3,0),"")</f>
        <v/>
      </c>
      <c r="D723" s="35" t="str">
        <f>IFERROR(VLOOKUP(B723,'MASTER RECORD'!$B$5:$W$1000,2,0),"")</f>
        <v/>
      </c>
      <c r="E723" s="36" t="str">
        <f>IFERROR(VLOOKUP(B723,'MASTER RECORD'!$B$5:$W$1000,9,0),"")</f>
        <v/>
      </c>
      <c r="F723" s="18"/>
      <c r="G723" s="18" t="str">
        <f t="shared" si="45"/>
        <v/>
      </c>
      <c r="H723" s="18" t="str">
        <f t="shared" si="46"/>
        <v/>
      </c>
      <c r="I723" s="35" t="str">
        <f t="shared" si="47"/>
        <v/>
      </c>
      <c r="J723" s="50"/>
      <c r="K723" s="17"/>
    </row>
    <row r="724" spans="1:11">
      <c r="A724" s="6">
        <f t="shared" si="44"/>
        <v>719</v>
      </c>
      <c r="B724" s="49"/>
      <c r="C724" s="35" t="str">
        <f>IFERROR(VLOOKUP(B724,'MASTER RECORD'!$B$5:$W$1000,3,0),"")</f>
        <v/>
      </c>
      <c r="D724" s="35" t="str">
        <f>IFERROR(VLOOKUP(B724,'MASTER RECORD'!$B$5:$W$1000,2,0),"")</f>
        <v/>
      </c>
      <c r="E724" s="36" t="str">
        <f>IFERROR(VLOOKUP(B724,'MASTER RECORD'!$B$5:$W$1000,9,0),"")</f>
        <v/>
      </c>
      <c r="F724" s="18"/>
      <c r="G724" s="18" t="str">
        <f t="shared" si="45"/>
        <v/>
      </c>
      <c r="H724" s="18" t="str">
        <f t="shared" si="46"/>
        <v/>
      </c>
      <c r="I724" s="35" t="str">
        <f t="shared" si="47"/>
        <v/>
      </c>
      <c r="J724" s="50"/>
      <c r="K724" s="17"/>
    </row>
    <row r="725" spans="1:11">
      <c r="A725" s="6">
        <f t="shared" si="44"/>
        <v>720</v>
      </c>
      <c r="B725" s="49"/>
      <c r="C725" s="35" t="str">
        <f>IFERROR(VLOOKUP(B725,'MASTER RECORD'!$B$5:$W$1000,3,0),"")</f>
        <v/>
      </c>
      <c r="D725" s="35" t="str">
        <f>IFERROR(VLOOKUP(B725,'MASTER RECORD'!$B$5:$W$1000,2,0),"")</f>
        <v/>
      </c>
      <c r="E725" s="36" t="str">
        <f>IFERROR(VLOOKUP(B725,'MASTER RECORD'!$B$5:$W$1000,9,0),"")</f>
        <v/>
      </c>
      <c r="F725" s="18"/>
      <c r="G725" s="18" t="str">
        <f t="shared" si="45"/>
        <v/>
      </c>
      <c r="H725" s="18" t="str">
        <f t="shared" si="46"/>
        <v/>
      </c>
      <c r="I725" s="35" t="str">
        <f t="shared" si="47"/>
        <v/>
      </c>
      <c r="J725" s="50"/>
      <c r="K725" s="17"/>
    </row>
    <row r="726" spans="1:11">
      <c r="A726" s="6">
        <f t="shared" si="44"/>
        <v>721</v>
      </c>
      <c r="B726" s="49"/>
      <c r="C726" s="35" t="str">
        <f>IFERROR(VLOOKUP(B726,'MASTER RECORD'!$B$5:$W$1000,3,0),"")</f>
        <v/>
      </c>
      <c r="D726" s="35" t="str">
        <f>IFERROR(VLOOKUP(B726,'MASTER RECORD'!$B$5:$W$1000,2,0),"")</f>
        <v/>
      </c>
      <c r="E726" s="36" t="str">
        <f>IFERROR(VLOOKUP(B726,'MASTER RECORD'!$B$5:$W$1000,9,0),"")</f>
        <v/>
      </c>
      <c r="F726" s="18"/>
      <c r="G726" s="18" t="str">
        <f t="shared" si="45"/>
        <v/>
      </c>
      <c r="H726" s="18" t="str">
        <f t="shared" si="46"/>
        <v/>
      </c>
      <c r="I726" s="35" t="str">
        <f t="shared" si="47"/>
        <v/>
      </c>
      <c r="J726" s="50"/>
      <c r="K726" s="17"/>
    </row>
    <row r="727" spans="1:11">
      <c r="A727" s="6">
        <f t="shared" si="44"/>
        <v>722</v>
      </c>
      <c r="B727" s="49"/>
      <c r="C727" s="35" t="str">
        <f>IFERROR(VLOOKUP(B727,'MASTER RECORD'!$B$5:$W$1000,3,0),"")</f>
        <v/>
      </c>
      <c r="D727" s="35" t="str">
        <f>IFERROR(VLOOKUP(B727,'MASTER RECORD'!$B$5:$W$1000,2,0),"")</f>
        <v/>
      </c>
      <c r="E727" s="36" t="str">
        <f>IFERROR(VLOOKUP(B727,'MASTER RECORD'!$B$5:$W$1000,9,0),"")</f>
        <v/>
      </c>
      <c r="F727" s="18"/>
      <c r="G727" s="18" t="str">
        <f t="shared" si="45"/>
        <v/>
      </c>
      <c r="H727" s="18" t="str">
        <f t="shared" si="46"/>
        <v/>
      </c>
      <c r="I727" s="35" t="str">
        <f t="shared" si="47"/>
        <v/>
      </c>
      <c r="J727" s="50"/>
      <c r="K727" s="17"/>
    </row>
    <row r="728" spans="1:11">
      <c r="A728" s="6">
        <f t="shared" si="44"/>
        <v>723</v>
      </c>
      <c r="B728" s="49"/>
      <c r="C728" s="35" t="str">
        <f>IFERROR(VLOOKUP(B728,'MASTER RECORD'!$B$5:$W$1000,3,0),"")</f>
        <v/>
      </c>
      <c r="D728" s="35" t="str">
        <f>IFERROR(VLOOKUP(B728,'MASTER RECORD'!$B$5:$W$1000,2,0),"")</f>
        <v/>
      </c>
      <c r="E728" s="36" t="str">
        <f>IFERROR(VLOOKUP(B728,'MASTER RECORD'!$B$5:$W$1000,9,0),"")</f>
        <v/>
      </c>
      <c r="F728" s="18"/>
      <c r="G728" s="18" t="str">
        <f t="shared" si="45"/>
        <v/>
      </c>
      <c r="H728" s="18" t="str">
        <f t="shared" si="46"/>
        <v/>
      </c>
      <c r="I728" s="35" t="str">
        <f t="shared" si="47"/>
        <v/>
      </c>
      <c r="J728" s="50"/>
      <c r="K728" s="17"/>
    </row>
    <row r="729" spans="1:11">
      <c r="A729" s="6">
        <f t="shared" si="44"/>
        <v>724</v>
      </c>
      <c r="B729" s="49"/>
      <c r="C729" s="35" t="str">
        <f>IFERROR(VLOOKUP(B729,'MASTER RECORD'!$B$5:$W$1000,3,0),"")</f>
        <v/>
      </c>
      <c r="D729" s="35" t="str">
        <f>IFERROR(VLOOKUP(B729,'MASTER RECORD'!$B$5:$W$1000,2,0),"")</f>
        <v/>
      </c>
      <c r="E729" s="36" t="str">
        <f>IFERROR(VLOOKUP(B729,'MASTER RECORD'!$B$5:$W$1000,9,0),"")</f>
        <v/>
      </c>
      <c r="F729" s="18"/>
      <c r="G729" s="18" t="str">
        <f t="shared" si="45"/>
        <v/>
      </c>
      <c r="H729" s="18" t="str">
        <f t="shared" si="46"/>
        <v/>
      </c>
      <c r="I729" s="35" t="str">
        <f t="shared" si="47"/>
        <v/>
      </c>
      <c r="J729" s="50"/>
      <c r="K729" s="17"/>
    </row>
    <row r="730" spans="1:11">
      <c r="A730" s="6">
        <f t="shared" si="44"/>
        <v>725</v>
      </c>
      <c r="B730" s="49"/>
      <c r="C730" s="35" t="str">
        <f>IFERROR(VLOOKUP(B730,'MASTER RECORD'!$B$5:$W$1000,3,0),"")</f>
        <v/>
      </c>
      <c r="D730" s="35" t="str">
        <f>IFERROR(VLOOKUP(B730,'MASTER RECORD'!$B$5:$W$1000,2,0),"")</f>
        <v/>
      </c>
      <c r="E730" s="36" t="str">
        <f>IFERROR(VLOOKUP(B730,'MASTER RECORD'!$B$5:$W$1000,9,0),"")</f>
        <v/>
      </c>
      <c r="F730" s="18"/>
      <c r="G730" s="18" t="str">
        <f t="shared" si="45"/>
        <v/>
      </c>
      <c r="H730" s="18" t="str">
        <f t="shared" si="46"/>
        <v/>
      </c>
      <c r="I730" s="35" t="str">
        <f t="shared" si="47"/>
        <v/>
      </c>
      <c r="J730" s="50"/>
      <c r="K730" s="17"/>
    </row>
    <row r="731" spans="1:11">
      <c r="A731" s="6">
        <f t="shared" si="44"/>
        <v>726</v>
      </c>
      <c r="B731" s="49"/>
      <c r="C731" s="35" t="str">
        <f>IFERROR(VLOOKUP(B731,'MASTER RECORD'!$B$5:$W$1000,3,0),"")</f>
        <v/>
      </c>
      <c r="D731" s="35" t="str">
        <f>IFERROR(VLOOKUP(B731,'MASTER RECORD'!$B$5:$W$1000,2,0),"")</f>
        <v/>
      </c>
      <c r="E731" s="36" t="str">
        <f>IFERROR(VLOOKUP(B731,'MASTER RECORD'!$B$5:$W$1000,9,0),"")</f>
        <v/>
      </c>
      <c r="F731" s="18"/>
      <c r="G731" s="18" t="str">
        <f t="shared" si="45"/>
        <v/>
      </c>
      <c r="H731" s="18" t="str">
        <f t="shared" si="46"/>
        <v/>
      </c>
      <c r="I731" s="35" t="str">
        <f t="shared" si="47"/>
        <v/>
      </c>
      <c r="J731" s="50"/>
      <c r="K731" s="17"/>
    </row>
    <row r="732" spans="1:11">
      <c r="A732" s="6">
        <f t="shared" si="44"/>
        <v>727</v>
      </c>
      <c r="B732" s="49"/>
      <c r="C732" s="35" t="str">
        <f>IFERROR(VLOOKUP(B732,'MASTER RECORD'!$B$5:$W$1000,3,0),"")</f>
        <v/>
      </c>
      <c r="D732" s="35" t="str">
        <f>IFERROR(VLOOKUP(B732,'MASTER RECORD'!$B$5:$W$1000,2,0),"")</f>
        <v/>
      </c>
      <c r="E732" s="36" t="str">
        <f>IFERROR(VLOOKUP(B732,'MASTER RECORD'!$B$5:$W$1000,9,0),"")</f>
        <v/>
      </c>
      <c r="F732" s="18"/>
      <c r="G732" s="18" t="str">
        <f t="shared" si="45"/>
        <v/>
      </c>
      <c r="H732" s="18" t="str">
        <f t="shared" si="46"/>
        <v/>
      </c>
      <c r="I732" s="35" t="str">
        <f t="shared" si="47"/>
        <v/>
      </c>
      <c r="J732" s="50"/>
      <c r="K732" s="17"/>
    </row>
    <row r="733" spans="1:11">
      <c r="A733" s="6">
        <f t="shared" si="44"/>
        <v>728</v>
      </c>
      <c r="B733" s="49"/>
      <c r="C733" s="35" t="str">
        <f>IFERROR(VLOOKUP(B733,'MASTER RECORD'!$B$5:$W$1000,3,0),"")</f>
        <v/>
      </c>
      <c r="D733" s="35" t="str">
        <f>IFERROR(VLOOKUP(B733,'MASTER RECORD'!$B$5:$W$1000,2,0),"")</f>
        <v/>
      </c>
      <c r="E733" s="36" t="str">
        <f>IFERROR(VLOOKUP(B733,'MASTER RECORD'!$B$5:$W$1000,9,0),"")</f>
        <v/>
      </c>
      <c r="F733" s="18"/>
      <c r="G733" s="18" t="str">
        <f t="shared" si="45"/>
        <v/>
      </c>
      <c r="H733" s="18" t="str">
        <f t="shared" si="46"/>
        <v/>
      </c>
      <c r="I733" s="35" t="str">
        <f t="shared" si="47"/>
        <v/>
      </c>
      <c r="J733" s="50"/>
      <c r="K733" s="17"/>
    </row>
    <row r="734" spans="1:11">
      <c r="A734" s="6">
        <f t="shared" si="44"/>
        <v>729</v>
      </c>
      <c r="B734" s="49"/>
      <c r="C734" s="35" t="str">
        <f>IFERROR(VLOOKUP(B734,'MASTER RECORD'!$B$5:$W$1000,3,0),"")</f>
        <v/>
      </c>
      <c r="D734" s="35" t="str">
        <f>IFERROR(VLOOKUP(B734,'MASTER RECORD'!$B$5:$W$1000,2,0),"")</f>
        <v/>
      </c>
      <c r="E734" s="36" t="str">
        <f>IFERROR(VLOOKUP(B734,'MASTER RECORD'!$B$5:$W$1000,9,0),"")</f>
        <v/>
      </c>
      <c r="F734" s="18"/>
      <c r="G734" s="18" t="str">
        <f t="shared" si="45"/>
        <v/>
      </c>
      <c r="H734" s="18" t="str">
        <f t="shared" si="46"/>
        <v/>
      </c>
      <c r="I734" s="35" t="str">
        <f t="shared" si="47"/>
        <v/>
      </c>
      <c r="J734" s="50"/>
      <c r="K734" s="17"/>
    </row>
    <row r="735" spans="1:11">
      <c r="A735" s="6">
        <f t="shared" si="44"/>
        <v>730</v>
      </c>
      <c r="B735" s="49"/>
      <c r="C735" s="35" t="str">
        <f>IFERROR(VLOOKUP(B735,'MASTER RECORD'!$B$5:$W$1000,3,0),"")</f>
        <v/>
      </c>
      <c r="D735" s="35" t="str">
        <f>IFERROR(VLOOKUP(B735,'MASTER RECORD'!$B$5:$W$1000,2,0),"")</f>
        <v/>
      </c>
      <c r="E735" s="36" t="str">
        <f>IFERROR(VLOOKUP(B735,'MASTER RECORD'!$B$5:$W$1000,9,0),"")</f>
        <v/>
      </c>
      <c r="F735" s="18"/>
      <c r="G735" s="18" t="str">
        <f t="shared" si="45"/>
        <v/>
      </c>
      <c r="H735" s="18" t="str">
        <f t="shared" si="46"/>
        <v/>
      </c>
      <c r="I735" s="35" t="str">
        <f t="shared" si="47"/>
        <v/>
      </c>
      <c r="J735" s="50"/>
      <c r="K735" s="17"/>
    </row>
    <row r="736" spans="1:11">
      <c r="A736" s="6">
        <f t="shared" si="44"/>
        <v>731</v>
      </c>
      <c r="B736" s="49"/>
      <c r="C736" s="35" t="str">
        <f>IFERROR(VLOOKUP(B736,'MASTER RECORD'!$B$5:$W$1000,3,0),"")</f>
        <v/>
      </c>
      <c r="D736" s="35" t="str">
        <f>IFERROR(VLOOKUP(B736,'MASTER RECORD'!$B$5:$W$1000,2,0),"")</f>
        <v/>
      </c>
      <c r="E736" s="36" t="str">
        <f>IFERROR(VLOOKUP(B736,'MASTER RECORD'!$B$5:$W$1000,9,0),"")</f>
        <v/>
      </c>
      <c r="F736" s="18"/>
      <c r="G736" s="18" t="str">
        <f t="shared" si="45"/>
        <v/>
      </c>
      <c r="H736" s="18" t="str">
        <f t="shared" si="46"/>
        <v/>
      </c>
      <c r="I736" s="35" t="str">
        <f t="shared" si="47"/>
        <v/>
      </c>
      <c r="J736" s="50"/>
      <c r="K736" s="17"/>
    </row>
    <row r="737" spans="1:11">
      <c r="A737" s="6">
        <f t="shared" si="44"/>
        <v>732</v>
      </c>
      <c r="B737" s="49"/>
      <c r="C737" s="35" t="str">
        <f>IFERROR(VLOOKUP(B737,'MASTER RECORD'!$B$5:$W$1000,3,0),"")</f>
        <v/>
      </c>
      <c r="D737" s="35" t="str">
        <f>IFERROR(VLOOKUP(B737,'MASTER RECORD'!$B$5:$W$1000,2,0),"")</f>
        <v/>
      </c>
      <c r="E737" s="36" t="str">
        <f>IFERROR(VLOOKUP(B737,'MASTER RECORD'!$B$5:$W$1000,9,0),"")</f>
        <v/>
      </c>
      <c r="F737" s="18"/>
      <c r="G737" s="18" t="str">
        <f t="shared" si="45"/>
        <v/>
      </c>
      <c r="H737" s="18" t="str">
        <f t="shared" si="46"/>
        <v/>
      </c>
      <c r="I737" s="35" t="str">
        <f t="shared" si="47"/>
        <v/>
      </c>
      <c r="J737" s="50"/>
      <c r="K737" s="17"/>
    </row>
    <row r="738" spans="1:11">
      <c r="A738" s="6">
        <f t="shared" si="44"/>
        <v>733</v>
      </c>
      <c r="B738" s="49"/>
      <c r="C738" s="35" t="str">
        <f>IFERROR(VLOOKUP(B738,'MASTER RECORD'!$B$5:$W$1000,3,0),"")</f>
        <v/>
      </c>
      <c r="D738" s="35" t="str">
        <f>IFERROR(VLOOKUP(B738,'MASTER RECORD'!$B$5:$W$1000,2,0),"")</f>
        <v/>
      </c>
      <c r="E738" s="36" t="str">
        <f>IFERROR(VLOOKUP(B738,'MASTER RECORD'!$B$5:$W$1000,9,0),"")</f>
        <v/>
      </c>
      <c r="F738" s="18"/>
      <c r="G738" s="18" t="str">
        <f t="shared" si="45"/>
        <v/>
      </c>
      <c r="H738" s="18" t="str">
        <f t="shared" si="46"/>
        <v/>
      </c>
      <c r="I738" s="35" t="str">
        <f t="shared" si="47"/>
        <v/>
      </c>
      <c r="J738" s="50"/>
      <c r="K738" s="17"/>
    </row>
    <row r="739" spans="1:11">
      <c r="A739" s="6">
        <f t="shared" si="44"/>
        <v>734</v>
      </c>
      <c r="B739" s="49"/>
      <c r="C739" s="35" t="str">
        <f>IFERROR(VLOOKUP(B739,'MASTER RECORD'!$B$5:$W$1000,3,0),"")</f>
        <v/>
      </c>
      <c r="D739" s="35" t="str">
        <f>IFERROR(VLOOKUP(B739,'MASTER RECORD'!$B$5:$W$1000,2,0),"")</f>
        <v/>
      </c>
      <c r="E739" s="36" t="str">
        <f>IFERROR(VLOOKUP(B739,'MASTER RECORD'!$B$5:$W$1000,9,0),"")</f>
        <v/>
      </c>
      <c r="F739" s="18"/>
      <c r="G739" s="18" t="str">
        <f t="shared" si="45"/>
        <v/>
      </c>
      <c r="H739" s="18" t="str">
        <f t="shared" si="46"/>
        <v/>
      </c>
      <c r="I739" s="35" t="str">
        <f t="shared" si="47"/>
        <v/>
      </c>
      <c r="J739" s="50"/>
      <c r="K739" s="17"/>
    </row>
    <row r="740" spans="1:11">
      <c r="A740" s="6">
        <f t="shared" si="44"/>
        <v>735</v>
      </c>
      <c r="B740" s="49"/>
      <c r="C740" s="35" t="str">
        <f>IFERROR(VLOOKUP(B740,'MASTER RECORD'!$B$5:$W$1000,3,0),"")</f>
        <v/>
      </c>
      <c r="D740" s="35" t="str">
        <f>IFERROR(VLOOKUP(B740,'MASTER RECORD'!$B$5:$W$1000,2,0),"")</f>
        <v/>
      </c>
      <c r="E740" s="36" t="str">
        <f>IFERROR(VLOOKUP(B740,'MASTER RECORD'!$B$5:$W$1000,9,0),"")</f>
        <v/>
      </c>
      <c r="F740" s="18"/>
      <c r="G740" s="18" t="str">
        <f t="shared" si="45"/>
        <v/>
      </c>
      <c r="H740" s="18" t="str">
        <f t="shared" si="46"/>
        <v/>
      </c>
      <c r="I740" s="35" t="str">
        <f t="shared" si="47"/>
        <v/>
      </c>
      <c r="J740" s="50"/>
      <c r="K740" s="17"/>
    </row>
    <row r="741" spans="1:11">
      <c r="A741" s="6">
        <f t="shared" si="44"/>
        <v>736</v>
      </c>
      <c r="B741" s="49"/>
      <c r="C741" s="35" t="str">
        <f>IFERROR(VLOOKUP(B741,'MASTER RECORD'!$B$5:$W$1000,3,0),"")</f>
        <v/>
      </c>
      <c r="D741" s="35" t="str">
        <f>IFERROR(VLOOKUP(B741,'MASTER RECORD'!$B$5:$W$1000,2,0),"")</f>
        <v/>
      </c>
      <c r="E741" s="36" t="str">
        <f>IFERROR(VLOOKUP(B741,'MASTER RECORD'!$B$5:$W$1000,9,0),"")</f>
        <v/>
      </c>
      <c r="F741" s="18"/>
      <c r="G741" s="18" t="str">
        <f t="shared" si="45"/>
        <v/>
      </c>
      <c r="H741" s="18" t="str">
        <f t="shared" si="46"/>
        <v/>
      </c>
      <c r="I741" s="35" t="str">
        <f t="shared" si="47"/>
        <v/>
      </c>
      <c r="J741" s="50"/>
      <c r="K741" s="17"/>
    </row>
    <row r="742" spans="1:11">
      <c r="A742" s="6">
        <f t="shared" si="44"/>
        <v>737</v>
      </c>
      <c r="B742" s="49"/>
      <c r="C742" s="35" t="str">
        <f>IFERROR(VLOOKUP(B742,'MASTER RECORD'!$B$5:$W$1000,3,0),"")</f>
        <v/>
      </c>
      <c r="D742" s="35" t="str">
        <f>IFERROR(VLOOKUP(B742,'MASTER RECORD'!$B$5:$W$1000,2,0),"")</f>
        <v/>
      </c>
      <c r="E742" s="36" t="str">
        <f>IFERROR(VLOOKUP(B742,'MASTER RECORD'!$B$5:$W$1000,9,0),"")</f>
        <v/>
      </c>
      <c r="F742" s="18"/>
      <c r="G742" s="18" t="str">
        <f t="shared" si="45"/>
        <v/>
      </c>
      <c r="H742" s="18" t="str">
        <f t="shared" si="46"/>
        <v/>
      </c>
      <c r="I742" s="35" t="str">
        <f t="shared" si="47"/>
        <v/>
      </c>
      <c r="J742" s="50"/>
      <c r="K742" s="17"/>
    </row>
    <row r="743" spans="1:11">
      <c r="A743" s="6">
        <f t="shared" si="44"/>
        <v>738</v>
      </c>
      <c r="B743" s="49"/>
      <c r="C743" s="35" t="str">
        <f>IFERROR(VLOOKUP(B743,'MASTER RECORD'!$B$5:$W$1000,3,0),"")</f>
        <v/>
      </c>
      <c r="D743" s="35" t="str">
        <f>IFERROR(VLOOKUP(B743,'MASTER RECORD'!$B$5:$W$1000,2,0),"")</f>
        <v/>
      </c>
      <c r="E743" s="36" t="str">
        <f>IFERROR(VLOOKUP(B743,'MASTER RECORD'!$B$5:$W$1000,9,0),"")</f>
        <v/>
      </c>
      <c r="F743" s="18"/>
      <c r="G743" s="18" t="str">
        <f t="shared" si="45"/>
        <v/>
      </c>
      <c r="H743" s="18" t="str">
        <f t="shared" si="46"/>
        <v/>
      </c>
      <c r="I743" s="35" t="str">
        <f t="shared" si="47"/>
        <v/>
      </c>
      <c r="J743" s="50"/>
      <c r="K743" s="17"/>
    </row>
    <row r="744" spans="1:11">
      <c r="A744" s="6">
        <f t="shared" si="44"/>
        <v>739</v>
      </c>
      <c r="B744" s="49"/>
      <c r="C744" s="35" t="str">
        <f>IFERROR(VLOOKUP(B744,'MASTER RECORD'!$B$5:$W$1000,3,0),"")</f>
        <v/>
      </c>
      <c r="D744" s="35" t="str">
        <f>IFERROR(VLOOKUP(B744,'MASTER RECORD'!$B$5:$W$1000,2,0),"")</f>
        <v/>
      </c>
      <c r="E744" s="36" t="str">
        <f>IFERROR(VLOOKUP(B744,'MASTER RECORD'!$B$5:$W$1000,9,0),"")</f>
        <v/>
      </c>
      <c r="F744" s="18"/>
      <c r="G744" s="18" t="str">
        <f t="shared" si="45"/>
        <v/>
      </c>
      <c r="H744" s="18" t="str">
        <f t="shared" si="46"/>
        <v/>
      </c>
      <c r="I744" s="35" t="str">
        <f t="shared" si="47"/>
        <v/>
      </c>
      <c r="J744" s="50"/>
      <c r="K744" s="17"/>
    </row>
    <row r="745" spans="1:11">
      <c r="A745" s="6">
        <f t="shared" si="44"/>
        <v>740</v>
      </c>
      <c r="B745" s="49"/>
      <c r="C745" s="35" t="str">
        <f>IFERROR(VLOOKUP(B745,'MASTER RECORD'!$B$5:$W$1000,3,0),"")</f>
        <v/>
      </c>
      <c r="D745" s="35" t="str">
        <f>IFERROR(VLOOKUP(B745,'MASTER RECORD'!$B$5:$W$1000,2,0),"")</f>
        <v/>
      </c>
      <c r="E745" s="36" t="str">
        <f>IFERROR(VLOOKUP(B745,'MASTER RECORD'!$B$5:$W$1000,9,0),"")</f>
        <v/>
      </c>
      <c r="F745" s="18"/>
      <c r="G745" s="18" t="str">
        <f t="shared" si="45"/>
        <v/>
      </c>
      <c r="H745" s="18" t="str">
        <f t="shared" si="46"/>
        <v/>
      </c>
      <c r="I745" s="35" t="str">
        <f t="shared" si="47"/>
        <v/>
      </c>
      <c r="J745" s="50"/>
      <c r="K745" s="17"/>
    </row>
    <row r="746" spans="1:11">
      <c r="A746" s="6">
        <f t="shared" si="44"/>
        <v>741</v>
      </c>
      <c r="B746" s="49"/>
      <c r="C746" s="35" t="str">
        <f>IFERROR(VLOOKUP(B746,'MASTER RECORD'!$B$5:$W$1000,3,0),"")</f>
        <v/>
      </c>
      <c r="D746" s="35" t="str">
        <f>IFERROR(VLOOKUP(B746,'MASTER RECORD'!$B$5:$W$1000,2,0),"")</f>
        <v/>
      </c>
      <c r="E746" s="36" t="str">
        <f>IFERROR(VLOOKUP(B746,'MASTER RECORD'!$B$5:$W$1000,9,0),"")</f>
        <v/>
      </c>
      <c r="F746" s="18"/>
      <c r="G746" s="18" t="str">
        <f t="shared" si="45"/>
        <v/>
      </c>
      <c r="H746" s="18" t="str">
        <f t="shared" si="46"/>
        <v/>
      </c>
      <c r="I746" s="35" t="str">
        <f t="shared" si="47"/>
        <v/>
      </c>
      <c r="J746" s="50"/>
      <c r="K746" s="17"/>
    </row>
    <row r="747" spans="1:11">
      <c r="A747" s="6">
        <f t="shared" si="44"/>
        <v>742</v>
      </c>
      <c r="B747" s="49"/>
      <c r="C747" s="35" t="str">
        <f>IFERROR(VLOOKUP(B747,'MASTER RECORD'!$B$5:$W$1000,3,0),"")</f>
        <v/>
      </c>
      <c r="D747" s="35" t="str">
        <f>IFERROR(VLOOKUP(B747,'MASTER RECORD'!$B$5:$W$1000,2,0),"")</f>
        <v/>
      </c>
      <c r="E747" s="36" t="str">
        <f>IFERROR(VLOOKUP(B747,'MASTER RECORD'!$B$5:$W$1000,9,0),"")</f>
        <v/>
      </c>
      <c r="F747" s="18"/>
      <c r="G747" s="18" t="str">
        <f t="shared" si="45"/>
        <v/>
      </c>
      <c r="H747" s="18" t="str">
        <f t="shared" si="46"/>
        <v/>
      </c>
      <c r="I747" s="35" t="str">
        <f t="shared" si="47"/>
        <v/>
      </c>
      <c r="J747" s="50"/>
      <c r="K747" s="17"/>
    </row>
    <row r="748" spans="1:11">
      <c r="A748" s="6">
        <f t="shared" si="44"/>
        <v>743</v>
      </c>
      <c r="B748" s="49"/>
      <c r="C748" s="35" t="str">
        <f>IFERROR(VLOOKUP(B748,'MASTER RECORD'!$B$5:$W$1000,3,0),"")</f>
        <v/>
      </c>
      <c r="D748" s="35" t="str">
        <f>IFERROR(VLOOKUP(B748,'MASTER RECORD'!$B$5:$W$1000,2,0),"")</f>
        <v/>
      </c>
      <c r="E748" s="36" t="str">
        <f>IFERROR(VLOOKUP(B748,'MASTER RECORD'!$B$5:$W$1000,9,0),"")</f>
        <v/>
      </c>
      <c r="F748" s="18"/>
      <c r="G748" s="18" t="str">
        <f t="shared" si="45"/>
        <v/>
      </c>
      <c r="H748" s="18" t="str">
        <f t="shared" si="46"/>
        <v/>
      </c>
      <c r="I748" s="35" t="str">
        <f t="shared" si="47"/>
        <v/>
      </c>
      <c r="J748" s="50"/>
      <c r="K748" s="17"/>
    </row>
    <row r="749" spans="1:11">
      <c r="A749" s="6">
        <f t="shared" si="44"/>
        <v>744</v>
      </c>
      <c r="B749" s="49"/>
      <c r="C749" s="35" t="str">
        <f>IFERROR(VLOOKUP(B749,'MASTER RECORD'!$B$5:$W$1000,3,0),"")</f>
        <v/>
      </c>
      <c r="D749" s="35" t="str">
        <f>IFERROR(VLOOKUP(B749,'MASTER RECORD'!$B$5:$W$1000,2,0),"")</f>
        <v/>
      </c>
      <c r="E749" s="36" t="str">
        <f>IFERROR(VLOOKUP(B749,'MASTER RECORD'!$B$5:$W$1000,9,0),"")</f>
        <v/>
      </c>
      <c r="F749" s="18"/>
      <c r="G749" s="18" t="str">
        <f t="shared" si="45"/>
        <v/>
      </c>
      <c r="H749" s="18" t="str">
        <f t="shared" si="46"/>
        <v/>
      </c>
      <c r="I749" s="35" t="str">
        <f t="shared" si="47"/>
        <v/>
      </c>
      <c r="J749" s="50"/>
      <c r="K749" s="17"/>
    </row>
    <row r="750" spans="1:11">
      <c r="A750" s="6">
        <f t="shared" si="44"/>
        <v>745</v>
      </c>
      <c r="B750" s="49"/>
      <c r="C750" s="35" t="str">
        <f>IFERROR(VLOOKUP(B750,'MASTER RECORD'!$B$5:$W$1000,3,0),"")</f>
        <v/>
      </c>
      <c r="D750" s="35" t="str">
        <f>IFERROR(VLOOKUP(B750,'MASTER RECORD'!$B$5:$W$1000,2,0),"")</f>
        <v/>
      </c>
      <c r="E750" s="36" t="str">
        <f>IFERROR(VLOOKUP(B750,'MASTER RECORD'!$B$5:$W$1000,9,0),"")</f>
        <v/>
      </c>
      <c r="F750" s="18"/>
      <c r="G750" s="18" t="str">
        <f t="shared" si="45"/>
        <v/>
      </c>
      <c r="H750" s="18" t="str">
        <f t="shared" si="46"/>
        <v/>
      </c>
      <c r="I750" s="35" t="str">
        <f t="shared" si="47"/>
        <v/>
      </c>
      <c r="J750" s="50"/>
      <c r="K750" s="17"/>
    </row>
    <row r="751" spans="1:11">
      <c r="A751" s="6">
        <f t="shared" si="44"/>
        <v>746</v>
      </c>
      <c r="B751" s="49"/>
      <c r="C751" s="35" t="str">
        <f>IFERROR(VLOOKUP(B751,'MASTER RECORD'!$B$5:$W$1000,3,0),"")</f>
        <v/>
      </c>
      <c r="D751" s="35" t="str">
        <f>IFERROR(VLOOKUP(B751,'MASTER RECORD'!$B$5:$W$1000,2,0),"")</f>
        <v/>
      </c>
      <c r="E751" s="36" t="str">
        <f>IFERROR(VLOOKUP(B751,'MASTER RECORD'!$B$5:$W$1000,9,0),"")</f>
        <v/>
      </c>
      <c r="F751" s="18"/>
      <c r="G751" s="18" t="str">
        <f t="shared" si="45"/>
        <v/>
      </c>
      <c r="H751" s="18" t="str">
        <f t="shared" si="46"/>
        <v/>
      </c>
      <c r="I751" s="35" t="str">
        <f t="shared" si="47"/>
        <v/>
      </c>
      <c r="J751" s="50"/>
      <c r="K751" s="17"/>
    </row>
    <row r="752" spans="1:11">
      <c r="A752" s="6">
        <f t="shared" si="44"/>
        <v>747</v>
      </c>
      <c r="B752" s="49"/>
      <c r="C752" s="35" t="str">
        <f>IFERROR(VLOOKUP(B752,'MASTER RECORD'!$B$5:$W$1000,3,0),"")</f>
        <v/>
      </c>
      <c r="D752" s="35" t="str">
        <f>IFERROR(VLOOKUP(B752,'MASTER RECORD'!$B$5:$W$1000,2,0),"")</f>
        <v/>
      </c>
      <c r="E752" s="36" t="str">
        <f>IFERROR(VLOOKUP(B752,'MASTER RECORD'!$B$5:$W$1000,9,0),"")</f>
        <v/>
      </c>
      <c r="F752" s="18"/>
      <c r="G752" s="18" t="str">
        <f t="shared" si="45"/>
        <v/>
      </c>
      <c r="H752" s="18" t="str">
        <f t="shared" si="46"/>
        <v/>
      </c>
      <c r="I752" s="35" t="str">
        <f t="shared" si="47"/>
        <v/>
      </c>
      <c r="J752" s="50"/>
      <c r="K752" s="17"/>
    </row>
    <row r="753" spans="1:11">
      <c r="A753" s="6">
        <f t="shared" si="44"/>
        <v>748</v>
      </c>
      <c r="B753" s="49"/>
      <c r="C753" s="35" t="str">
        <f>IFERROR(VLOOKUP(B753,'MASTER RECORD'!$B$5:$W$1000,3,0),"")</f>
        <v/>
      </c>
      <c r="D753" s="35" t="str">
        <f>IFERROR(VLOOKUP(B753,'MASTER RECORD'!$B$5:$W$1000,2,0),"")</f>
        <v/>
      </c>
      <c r="E753" s="36" t="str">
        <f>IFERROR(VLOOKUP(B753,'MASTER RECORD'!$B$5:$W$1000,9,0),"")</f>
        <v/>
      </c>
      <c r="F753" s="18"/>
      <c r="G753" s="18" t="str">
        <f t="shared" si="45"/>
        <v/>
      </c>
      <c r="H753" s="18" t="str">
        <f t="shared" si="46"/>
        <v/>
      </c>
      <c r="I753" s="35" t="str">
        <f t="shared" si="47"/>
        <v/>
      </c>
      <c r="J753" s="50"/>
      <c r="K753" s="17"/>
    </row>
    <row r="754" spans="1:11">
      <c r="A754" s="6">
        <f t="shared" si="44"/>
        <v>749</v>
      </c>
      <c r="B754" s="49"/>
      <c r="C754" s="35" t="str">
        <f>IFERROR(VLOOKUP(B754,'MASTER RECORD'!$B$5:$W$1000,3,0),"")</f>
        <v/>
      </c>
      <c r="D754" s="35" t="str">
        <f>IFERROR(VLOOKUP(B754,'MASTER RECORD'!$B$5:$W$1000,2,0),"")</f>
        <v/>
      </c>
      <c r="E754" s="36" t="str">
        <f>IFERROR(VLOOKUP(B754,'MASTER RECORD'!$B$5:$W$1000,9,0),"")</f>
        <v/>
      </c>
      <c r="F754" s="18"/>
      <c r="G754" s="18" t="str">
        <f t="shared" si="45"/>
        <v/>
      </c>
      <c r="H754" s="18" t="str">
        <f t="shared" si="46"/>
        <v/>
      </c>
      <c r="I754" s="35" t="str">
        <f t="shared" si="47"/>
        <v/>
      </c>
      <c r="J754" s="50"/>
      <c r="K754" s="17"/>
    </row>
    <row r="755" spans="1:11">
      <c r="A755" s="6">
        <f t="shared" si="44"/>
        <v>750</v>
      </c>
      <c r="B755" s="49"/>
      <c r="C755" s="35" t="str">
        <f>IFERROR(VLOOKUP(B755,'MASTER RECORD'!$B$5:$W$1000,3,0),"")</f>
        <v/>
      </c>
      <c r="D755" s="35" t="str">
        <f>IFERROR(VLOOKUP(B755,'MASTER RECORD'!$B$5:$W$1000,2,0),"")</f>
        <v/>
      </c>
      <c r="E755" s="36" t="str">
        <f>IFERROR(VLOOKUP(B755,'MASTER RECORD'!$B$5:$W$1000,9,0),"")</f>
        <v/>
      </c>
      <c r="F755" s="18"/>
      <c r="G755" s="18" t="str">
        <f t="shared" si="45"/>
        <v/>
      </c>
      <c r="H755" s="18" t="str">
        <f t="shared" si="46"/>
        <v/>
      </c>
      <c r="I755" s="35" t="str">
        <f t="shared" si="47"/>
        <v/>
      </c>
      <c r="J755" s="50"/>
      <c r="K755" s="17"/>
    </row>
    <row r="756" spans="1:11">
      <c r="A756" s="6">
        <f t="shared" si="44"/>
        <v>751</v>
      </c>
      <c r="B756" s="49"/>
      <c r="C756" s="35" t="str">
        <f>IFERROR(VLOOKUP(B756,'MASTER RECORD'!$B$5:$W$1000,3,0),"")</f>
        <v/>
      </c>
      <c r="D756" s="35" t="str">
        <f>IFERROR(VLOOKUP(B756,'MASTER RECORD'!$B$5:$W$1000,2,0),"")</f>
        <v/>
      </c>
      <c r="E756" s="36" t="str">
        <f>IFERROR(VLOOKUP(B756,'MASTER RECORD'!$B$5:$W$1000,9,0),"")</f>
        <v/>
      </c>
      <c r="F756" s="18"/>
      <c r="G756" s="18" t="str">
        <f t="shared" si="45"/>
        <v/>
      </c>
      <c r="H756" s="18" t="str">
        <f t="shared" si="46"/>
        <v/>
      </c>
      <c r="I756" s="35" t="str">
        <f t="shared" si="47"/>
        <v/>
      </c>
      <c r="J756" s="50"/>
      <c r="K756" s="17"/>
    </row>
    <row r="757" spans="1:11">
      <c r="A757" s="6">
        <f t="shared" si="44"/>
        <v>752</v>
      </c>
      <c r="B757" s="49"/>
      <c r="C757" s="35" t="str">
        <f>IFERROR(VLOOKUP(B757,'MASTER RECORD'!$B$5:$W$1000,3,0),"")</f>
        <v/>
      </c>
      <c r="D757" s="35" t="str">
        <f>IFERROR(VLOOKUP(B757,'MASTER RECORD'!$B$5:$W$1000,2,0),"")</f>
        <v/>
      </c>
      <c r="E757" s="36" t="str">
        <f>IFERROR(VLOOKUP(B757,'MASTER RECORD'!$B$5:$W$1000,9,0),"")</f>
        <v/>
      </c>
      <c r="F757" s="18"/>
      <c r="G757" s="18" t="str">
        <f t="shared" si="45"/>
        <v/>
      </c>
      <c r="H757" s="18" t="str">
        <f t="shared" si="46"/>
        <v/>
      </c>
      <c r="I757" s="35" t="str">
        <f t="shared" si="47"/>
        <v/>
      </c>
      <c r="J757" s="50"/>
      <c r="K757" s="17"/>
    </row>
    <row r="758" spans="1:11">
      <c r="A758" s="6">
        <f t="shared" si="44"/>
        <v>753</v>
      </c>
      <c r="B758" s="49"/>
      <c r="C758" s="35" t="str">
        <f>IFERROR(VLOOKUP(B758,'MASTER RECORD'!$B$5:$W$1000,3,0),"")</f>
        <v/>
      </c>
      <c r="D758" s="35" t="str">
        <f>IFERROR(VLOOKUP(B758,'MASTER RECORD'!$B$5:$W$1000,2,0),"")</f>
        <v/>
      </c>
      <c r="E758" s="36" t="str">
        <f>IFERROR(VLOOKUP(B758,'MASTER RECORD'!$B$5:$W$1000,9,0),"")</f>
        <v/>
      </c>
      <c r="F758" s="18"/>
      <c r="G758" s="18" t="str">
        <f t="shared" si="45"/>
        <v/>
      </c>
      <c r="H758" s="18" t="str">
        <f t="shared" si="46"/>
        <v/>
      </c>
      <c r="I758" s="35" t="str">
        <f t="shared" si="47"/>
        <v/>
      </c>
      <c r="J758" s="50"/>
      <c r="K758" s="17"/>
    </row>
    <row r="759" spans="1:11">
      <c r="A759" s="6">
        <f t="shared" si="44"/>
        <v>754</v>
      </c>
      <c r="B759" s="49"/>
      <c r="C759" s="35" t="str">
        <f>IFERROR(VLOOKUP(B759,'MASTER RECORD'!$B$5:$W$1000,3,0),"")</f>
        <v/>
      </c>
      <c r="D759" s="35" t="str">
        <f>IFERROR(VLOOKUP(B759,'MASTER RECORD'!$B$5:$W$1000,2,0),"")</f>
        <v/>
      </c>
      <c r="E759" s="36" t="str">
        <f>IFERROR(VLOOKUP(B759,'MASTER RECORD'!$B$5:$W$1000,9,0),"")</f>
        <v/>
      </c>
      <c r="F759" s="18"/>
      <c r="G759" s="18" t="str">
        <f t="shared" si="45"/>
        <v/>
      </c>
      <c r="H759" s="18" t="str">
        <f t="shared" si="46"/>
        <v/>
      </c>
      <c r="I759" s="35" t="str">
        <f t="shared" si="47"/>
        <v/>
      </c>
      <c r="J759" s="50"/>
      <c r="K759" s="17"/>
    </row>
    <row r="760" spans="1:11">
      <c r="A760" s="6">
        <f t="shared" si="44"/>
        <v>755</v>
      </c>
      <c r="B760" s="49"/>
      <c r="C760" s="35" t="str">
        <f>IFERROR(VLOOKUP(B760,'MASTER RECORD'!$B$5:$W$1000,3,0),"")</f>
        <v/>
      </c>
      <c r="D760" s="35" t="str">
        <f>IFERROR(VLOOKUP(B760,'MASTER RECORD'!$B$5:$W$1000,2,0),"")</f>
        <v/>
      </c>
      <c r="E760" s="36" t="str">
        <f>IFERROR(VLOOKUP(B760,'MASTER RECORD'!$B$5:$W$1000,9,0),"")</f>
        <v/>
      </c>
      <c r="F760" s="18"/>
      <c r="G760" s="18" t="str">
        <f t="shared" si="45"/>
        <v/>
      </c>
      <c r="H760" s="18" t="str">
        <f t="shared" si="46"/>
        <v/>
      </c>
      <c r="I760" s="35" t="str">
        <f t="shared" si="47"/>
        <v/>
      </c>
      <c r="J760" s="50"/>
      <c r="K760" s="17"/>
    </row>
    <row r="761" spans="1:11">
      <c r="A761" s="6">
        <f t="shared" si="44"/>
        <v>756</v>
      </c>
      <c r="B761" s="49"/>
      <c r="C761" s="35" t="str">
        <f>IFERROR(VLOOKUP(B761,'MASTER RECORD'!$B$5:$W$1000,3,0),"")</f>
        <v/>
      </c>
      <c r="D761" s="35" t="str">
        <f>IFERROR(VLOOKUP(B761,'MASTER RECORD'!$B$5:$W$1000,2,0),"")</f>
        <v/>
      </c>
      <c r="E761" s="36" t="str">
        <f>IFERROR(VLOOKUP(B761,'MASTER RECORD'!$B$5:$W$1000,9,0),"")</f>
        <v/>
      </c>
      <c r="F761" s="18"/>
      <c r="G761" s="18" t="str">
        <f t="shared" si="45"/>
        <v/>
      </c>
      <c r="H761" s="18" t="str">
        <f t="shared" si="46"/>
        <v/>
      </c>
      <c r="I761" s="35" t="str">
        <f t="shared" si="47"/>
        <v/>
      </c>
      <c r="J761" s="50"/>
      <c r="K761" s="17"/>
    </row>
    <row r="762" spans="1:11">
      <c r="A762" s="6">
        <f t="shared" si="44"/>
        <v>757</v>
      </c>
      <c r="B762" s="49"/>
      <c r="C762" s="35" t="str">
        <f>IFERROR(VLOOKUP(B762,'MASTER RECORD'!$B$5:$W$1000,3,0),"")</f>
        <v/>
      </c>
      <c r="D762" s="35" t="str">
        <f>IFERROR(VLOOKUP(B762,'MASTER RECORD'!$B$5:$W$1000,2,0),"")</f>
        <v/>
      </c>
      <c r="E762" s="36" t="str">
        <f>IFERROR(VLOOKUP(B762,'MASTER RECORD'!$B$5:$W$1000,9,0),"")</f>
        <v/>
      </c>
      <c r="F762" s="18"/>
      <c r="G762" s="18" t="str">
        <f t="shared" si="45"/>
        <v/>
      </c>
      <c r="H762" s="18" t="str">
        <f t="shared" si="46"/>
        <v/>
      </c>
      <c r="I762" s="35" t="str">
        <f t="shared" si="47"/>
        <v/>
      </c>
      <c r="J762" s="50"/>
      <c r="K762" s="17"/>
    </row>
    <row r="763" spans="1:11">
      <c r="A763" s="6">
        <f t="shared" si="44"/>
        <v>758</v>
      </c>
      <c r="B763" s="49"/>
      <c r="C763" s="35" t="str">
        <f>IFERROR(VLOOKUP(B763,'MASTER RECORD'!$B$5:$W$1000,3,0),"")</f>
        <v/>
      </c>
      <c r="D763" s="35" t="str">
        <f>IFERROR(VLOOKUP(B763,'MASTER RECORD'!$B$5:$W$1000,2,0),"")</f>
        <v/>
      </c>
      <c r="E763" s="36" t="str">
        <f>IFERROR(VLOOKUP(B763,'MASTER RECORD'!$B$5:$W$1000,9,0),"")</f>
        <v/>
      </c>
      <c r="F763" s="18"/>
      <c r="G763" s="18" t="str">
        <f t="shared" si="45"/>
        <v/>
      </c>
      <c r="H763" s="18" t="str">
        <f t="shared" si="46"/>
        <v/>
      </c>
      <c r="I763" s="35" t="str">
        <f t="shared" si="47"/>
        <v/>
      </c>
      <c r="J763" s="50"/>
      <c r="K763" s="17"/>
    </row>
    <row r="764" spans="1:11">
      <c r="A764" s="6">
        <f t="shared" si="44"/>
        <v>759</v>
      </c>
      <c r="B764" s="49"/>
      <c r="C764" s="35" t="str">
        <f>IFERROR(VLOOKUP(B764,'MASTER RECORD'!$B$5:$W$1000,3,0),"")</f>
        <v/>
      </c>
      <c r="D764" s="35" t="str">
        <f>IFERROR(VLOOKUP(B764,'MASTER RECORD'!$B$5:$W$1000,2,0),"")</f>
        <v/>
      </c>
      <c r="E764" s="36" t="str">
        <f>IFERROR(VLOOKUP(B764,'MASTER RECORD'!$B$5:$W$1000,9,0),"")</f>
        <v/>
      </c>
      <c r="F764" s="18"/>
      <c r="G764" s="18" t="str">
        <f t="shared" si="45"/>
        <v/>
      </c>
      <c r="H764" s="18" t="str">
        <f t="shared" si="46"/>
        <v/>
      </c>
      <c r="I764" s="35" t="str">
        <f t="shared" si="47"/>
        <v/>
      </c>
      <c r="J764" s="50"/>
      <c r="K764" s="17"/>
    </row>
    <row r="765" spans="1:11">
      <c r="A765" s="6">
        <f t="shared" si="44"/>
        <v>760</v>
      </c>
      <c r="B765" s="49"/>
      <c r="C765" s="35" t="str">
        <f>IFERROR(VLOOKUP(B765,'MASTER RECORD'!$B$5:$W$1000,3,0),"")</f>
        <v/>
      </c>
      <c r="D765" s="35" t="str">
        <f>IFERROR(VLOOKUP(B765,'MASTER RECORD'!$B$5:$W$1000,2,0),"")</f>
        <v/>
      </c>
      <c r="E765" s="36" t="str">
        <f>IFERROR(VLOOKUP(B765,'MASTER RECORD'!$B$5:$W$1000,9,0),"")</f>
        <v/>
      </c>
      <c r="F765" s="18"/>
      <c r="G765" s="18" t="str">
        <f t="shared" si="45"/>
        <v/>
      </c>
      <c r="H765" s="18" t="str">
        <f t="shared" si="46"/>
        <v/>
      </c>
      <c r="I765" s="35" t="str">
        <f t="shared" si="47"/>
        <v/>
      </c>
      <c r="J765" s="50"/>
      <c r="K765" s="17"/>
    </row>
    <row r="766" spans="1:11">
      <c r="A766" s="6">
        <f t="shared" si="44"/>
        <v>761</v>
      </c>
      <c r="B766" s="49"/>
      <c r="C766" s="35" t="str">
        <f>IFERROR(VLOOKUP(B766,'MASTER RECORD'!$B$5:$W$1000,3,0),"")</f>
        <v/>
      </c>
      <c r="D766" s="35" t="str">
        <f>IFERROR(VLOOKUP(B766,'MASTER RECORD'!$B$5:$W$1000,2,0),"")</f>
        <v/>
      </c>
      <c r="E766" s="36" t="str">
        <f>IFERROR(VLOOKUP(B766,'MASTER RECORD'!$B$5:$W$1000,9,0),"")</f>
        <v/>
      </c>
      <c r="F766" s="18"/>
      <c r="G766" s="18" t="str">
        <f t="shared" si="45"/>
        <v/>
      </c>
      <c r="H766" s="18" t="str">
        <f t="shared" si="46"/>
        <v/>
      </c>
      <c r="I766" s="35" t="str">
        <f t="shared" si="47"/>
        <v/>
      </c>
      <c r="J766" s="50"/>
      <c r="K766" s="17"/>
    </row>
    <row r="767" spans="1:11">
      <c r="A767" s="6">
        <f t="shared" si="44"/>
        <v>762</v>
      </c>
      <c r="B767" s="49"/>
      <c r="C767" s="35" t="str">
        <f>IFERROR(VLOOKUP(B767,'MASTER RECORD'!$B$5:$W$1000,3,0),"")</f>
        <v/>
      </c>
      <c r="D767" s="35" t="str">
        <f>IFERROR(VLOOKUP(B767,'MASTER RECORD'!$B$5:$W$1000,2,0),"")</f>
        <v/>
      </c>
      <c r="E767" s="36" t="str">
        <f>IFERROR(VLOOKUP(B767,'MASTER RECORD'!$B$5:$W$1000,9,0),"")</f>
        <v/>
      </c>
      <c r="F767" s="18"/>
      <c r="G767" s="18" t="str">
        <f t="shared" si="45"/>
        <v/>
      </c>
      <c r="H767" s="18" t="str">
        <f t="shared" si="46"/>
        <v/>
      </c>
      <c r="I767" s="35" t="str">
        <f t="shared" si="47"/>
        <v/>
      </c>
      <c r="J767" s="50"/>
      <c r="K767" s="17"/>
    </row>
    <row r="768" spans="1:11">
      <c r="A768" s="6">
        <f t="shared" si="44"/>
        <v>763</v>
      </c>
      <c r="B768" s="49"/>
      <c r="C768" s="35" t="str">
        <f>IFERROR(VLOOKUP(B768,'MASTER RECORD'!$B$5:$W$1000,3,0),"")</f>
        <v/>
      </c>
      <c r="D768" s="35" t="str">
        <f>IFERROR(VLOOKUP(B768,'MASTER RECORD'!$B$5:$W$1000,2,0),"")</f>
        <v/>
      </c>
      <c r="E768" s="36" t="str">
        <f>IFERROR(VLOOKUP(B768,'MASTER RECORD'!$B$5:$W$1000,9,0),"")</f>
        <v/>
      </c>
      <c r="F768" s="18"/>
      <c r="G768" s="18" t="str">
        <f t="shared" si="45"/>
        <v/>
      </c>
      <c r="H768" s="18" t="str">
        <f t="shared" si="46"/>
        <v/>
      </c>
      <c r="I768" s="35" t="str">
        <f t="shared" si="47"/>
        <v/>
      </c>
      <c r="J768" s="50"/>
      <c r="K768" s="17"/>
    </row>
    <row r="769" spans="1:11">
      <c r="A769" s="6">
        <f t="shared" si="44"/>
        <v>764</v>
      </c>
      <c r="B769" s="49"/>
      <c r="C769" s="35" t="str">
        <f>IFERROR(VLOOKUP(B769,'MASTER RECORD'!$B$5:$W$1000,3,0),"")</f>
        <v/>
      </c>
      <c r="D769" s="35" t="str">
        <f>IFERROR(VLOOKUP(B769,'MASTER RECORD'!$B$5:$W$1000,2,0),"")</f>
        <v/>
      </c>
      <c r="E769" s="36" t="str">
        <f>IFERROR(VLOOKUP(B769,'MASTER RECORD'!$B$5:$W$1000,9,0),"")</f>
        <v/>
      </c>
      <c r="F769" s="18"/>
      <c r="G769" s="18" t="str">
        <f t="shared" si="45"/>
        <v/>
      </c>
      <c r="H769" s="18" t="str">
        <f t="shared" si="46"/>
        <v/>
      </c>
      <c r="I769" s="35" t="str">
        <f t="shared" si="47"/>
        <v/>
      </c>
      <c r="J769" s="50"/>
      <c r="K769" s="17"/>
    </row>
    <row r="770" spans="1:11">
      <c r="A770" s="6">
        <f t="shared" si="44"/>
        <v>765</v>
      </c>
      <c r="B770" s="49"/>
      <c r="C770" s="35" t="str">
        <f>IFERROR(VLOOKUP(B770,'MASTER RECORD'!$B$5:$W$1000,3,0),"")</f>
        <v/>
      </c>
      <c r="D770" s="35" t="str">
        <f>IFERROR(VLOOKUP(B770,'MASTER RECORD'!$B$5:$W$1000,2,0),"")</f>
        <v/>
      </c>
      <c r="E770" s="36" t="str">
        <f>IFERROR(VLOOKUP(B770,'MASTER RECORD'!$B$5:$W$1000,9,0),"")</f>
        <v/>
      </c>
      <c r="F770" s="18"/>
      <c r="G770" s="18" t="str">
        <f t="shared" si="45"/>
        <v/>
      </c>
      <c r="H770" s="18" t="str">
        <f t="shared" si="46"/>
        <v/>
      </c>
      <c r="I770" s="35" t="str">
        <f t="shared" si="47"/>
        <v/>
      </c>
      <c r="J770" s="50"/>
      <c r="K770" s="17"/>
    </row>
    <row r="771" spans="1:11">
      <c r="A771" s="6">
        <f t="shared" si="44"/>
        <v>766</v>
      </c>
      <c r="B771" s="49"/>
      <c r="C771" s="35" t="str">
        <f>IFERROR(VLOOKUP(B771,'MASTER RECORD'!$B$5:$W$1000,3,0),"")</f>
        <v/>
      </c>
      <c r="D771" s="35" t="str">
        <f>IFERROR(VLOOKUP(B771,'MASTER RECORD'!$B$5:$W$1000,2,0),"")</f>
        <v/>
      </c>
      <c r="E771" s="36" t="str">
        <f>IFERROR(VLOOKUP(B771,'MASTER RECORD'!$B$5:$W$1000,9,0),"")</f>
        <v/>
      </c>
      <c r="F771" s="18"/>
      <c r="G771" s="18" t="str">
        <f t="shared" si="45"/>
        <v/>
      </c>
      <c r="H771" s="18" t="str">
        <f t="shared" si="46"/>
        <v/>
      </c>
      <c r="I771" s="35" t="str">
        <f t="shared" si="47"/>
        <v/>
      </c>
      <c r="J771" s="50"/>
      <c r="K771" s="17"/>
    </row>
    <row r="772" spans="1:11">
      <c r="A772" s="6">
        <f t="shared" si="44"/>
        <v>767</v>
      </c>
      <c r="B772" s="49"/>
      <c r="C772" s="35" t="str">
        <f>IFERROR(VLOOKUP(B772,'MASTER RECORD'!$B$5:$W$1000,3,0),"")</f>
        <v/>
      </c>
      <c r="D772" s="35" t="str">
        <f>IFERROR(VLOOKUP(B772,'MASTER RECORD'!$B$5:$W$1000,2,0),"")</f>
        <v/>
      </c>
      <c r="E772" s="36" t="str">
        <f>IFERROR(VLOOKUP(B772,'MASTER RECORD'!$B$5:$W$1000,9,0),"")</f>
        <v/>
      </c>
      <c r="F772" s="18"/>
      <c r="G772" s="18" t="str">
        <f t="shared" si="45"/>
        <v/>
      </c>
      <c r="H772" s="18" t="str">
        <f t="shared" si="46"/>
        <v/>
      </c>
      <c r="I772" s="35" t="str">
        <f t="shared" si="47"/>
        <v/>
      </c>
      <c r="J772" s="50"/>
      <c r="K772" s="17"/>
    </row>
    <row r="773" spans="1:11">
      <c r="A773" s="6">
        <f t="shared" si="44"/>
        <v>768</v>
      </c>
      <c r="B773" s="49"/>
      <c r="C773" s="35" t="str">
        <f>IFERROR(VLOOKUP(B773,'MASTER RECORD'!$B$5:$W$1000,3,0),"")</f>
        <v/>
      </c>
      <c r="D773" s="35" t="str">
        <f>IFERROR(VLOOKUP(B773,'MASTER RECORD'!$B$5:$W$1000,2,0),"")</f>
        <v/>
      </c>
      <c r="E773" s="36" t="str">
        <f>IFERROR(VLOOKUP(B773,'MASTER RECORD'!$B$5:$W$1000,9,0),"")</f>
        <v/>
      </c>
      <c r="F773" s="18"/>
      <c r="G773" s="18" t="str">
        <f t="shared" si="45"/>
        <v/>
      </c>
      <c r="H773" s="18" t="str">
        <f t="shared" si="46"/>
        <v/>
      </c>
      <c r="I773" s="35" t="str">
        <f t="shared" si="47"/>
        <v/>
      </c>
      <c r="J773" s="50"/>
      <c r="K773" s="17"/>
    </row>
    <row r="774" spans="1:11">
      <c r="A774" s="6">
        <f t="shared" si="44"/>
        <v>769</v>
      </c>
      <c r="B774" s="49"/>
      <c r="C774" s="35" t="str">
        <f>IFERROR(VLOOKUP(B774,'MASTER RECORD'!$B$5:$W$1000,3,0),"")</f>
        <v/>
      </c>
      <c r="D774" s="35" t="str">
        <f>IFERROR(VLOOKUP(B774,'MASTER RECORD'!$B$5:$W$1000,2,0),"")</f>
        <v/>
      </c>
      <c r="E774" s="36" t="str">
        <f>IFERROR(VLOOKUP(B774,'MASTER RECORD'!$B$5:$W$1000,9,0),"")</f>
        <v/>
      </c>
      <c r="F774" s="18"/>
      <c r="G774" s="18" t="str">
        <f t="shared" si="45"/>
        <v/>
      </c>
      <c r="H774" s="18" t="str">
        <f t="shared" si="46"/>
        <v/>
      </c>
      <c r="I774" s="35" t="str">
        <f t="shared" si="47"/>
        <v/>
      </c>
      <c r="J774" s="50"/>
      <c r="K774" s="17"/>
    </row>
    <row r="775" spans="1:11">
      <c r="A775" s="6">
        <f t="shared" ref="A775:A833" si="48">ROW(A770)</f>
        <v>770</v>
      </c>
      <c r="B775" s="49"/>
      <c r="C775" s="35" t="str">
        <f>IFERROR(VLOOKUP(B775,'MASTER RECORD'!$B$5:$W$1000,3,0),"")</f>
        <v/>
      </c>
      <c r="D775" s="35" t="str">
        <f>IFERROR(VLOOKUP(B775,'MASTER RECORD'!$B$5:$W$1000,2,0),"")</f>
        <v/>
      </c>
      <c r="E775" s="36" t="str">
        <f>IFERROR(VLOOKUP(B775,'MASTER RECORD'!$B$5:$W$1000,9,0),"")</f>
        <v/>
      </c>
      <c r="F775" s="18"/>
      <c r="G775" s="18" t="str">
        <f t="shared" ref="G775:G833" si="49">IF($F775=0,"",TEXT($F775,"mmmm"))</f>
        <v/>
      </c>
      <c r="H775" s="18" t="str">
        <f t="shared" ref="H775:H833" si="50">IF($F775=0,"",TEXT($F775,"yyyy"))</f>
        <v/>
      </c>
      <c r="I775" s="35" t="str">
        <f t="shared" ref="I775:I833" si="51">IFERROR(DATEDIF(E775,F775,"Y")&amp;"."&amp;DATEDIF(E775,F775,"YM"),"")</f>
        <v/>
      </c>
      <c r="J775" s="50"/>
      <c r="K775" s="17"/>
    </row>
    <row r="776" spans="1:11">
      <c r="A776" s="6">
        <f t="shared" si="48"/>
        <v>771</v>
      </c>
      <c r="B776" s="49"/>
      <c r="C776" s="35" t="str">
        <f>IFERROR(VLOOKUP(B776,'MASTER RECORD'!$B$5:$W$1000,3,0),"")</f>
        <v/>
      </c>
      <c r="D776" s="35" t="str">
        <f>IFERROR(VLOOKUP(B776,'MASTER RECORD'!$B$5:$W$1000,2,0),"")</f>
        <v/>
      </c>
      <c r="E776" s="36" t="str">
        <f>IFERROR(VLOOKUP(B776,'MASTER RECORD'!$B$5:$W$1000,9,0),"")</f>
        <v/>
      </c>
      <c r="F776" s="18"/>
      <c r="G776" s="18" t="str">
        <f t="shared" si="49"/>
        <v/>
      </c>
      <c r="H776" s="18" t="str">
        <f t="shared" si="50"/>
        <v/>
      </c>
      <c r="I776" s="35" t="str">
        <f t="shared" si="51"/>
        <v/>
      </c>
      <c r="J776" s="50"/>
      <c r="K776" s="17"/>
    </row>
    <row r="777" spans="1:11">
      <c r="A777" s="6">
        <f t="shared" si="48"/>
        <v>772</v>
      </c>
      <c r="B777" s="49"/>
      <c r="C777" s="35" t="str">
        <f>IFERROR(VLOOKUP(B777,'MASTER RECORD'!$B$5:$W$1000,3,0),"")</f>
        <v/>
      </c>
      <c r="D777" s="35" t="str">
        <f>IFERROR(VLOOKUP(B777,'MASTER RECORD'!$B$5:$W$1000,2,0),"")</f>
        <v/>
      </c>
      <c r="E777" s="36" t="str">
        <f>IFERROR(VLOOKUP(B777,'MASTER RECORD'!$B$5:$W$1000,9,0),"")</f>
        <v/>
      </c>
      <c r="F777" s="18"/>
      <c r="G777" s="18" t="str">
        <f t="shared" si="49"/>
        <v/>
      </c>
      <c r="H777" s="18" t="str">
        <f t="shared" si="50"/>
        <v/>
      </c>
      <c r="I777" s="35" t="str">
        <f t="shared" si="51"/>
        <v/>
      </c>
      <c r="J777" s="50"/>
      <c r="K777" s="17"/>
    </row>
    <row r="778" spans="1:11">
      <c r="A778" s="6">
        <f t="shared" si="48"/>
        <v>773</v>
      </c>
      <c r="B778" s="49"/>
      <c r="C778" s="35" t="str">
        <f>IFERROR(VLOOKUP(B778,'MASTER RECORD'!$B$5:$W$1000,3,0),"")</f>
        <v/>
      </c>
      <c r="D778" s="35" t="str">
        <f>IFERROR(VLOOKUP(B778,'MASTER RECORD'!$B$5:$W$1000,2,0),"")</f>
        <v/>
      </c>
      <c r="E778" s="36" t="str">
        <f>IFERROR(VLOOKUP(B778,'MASTER RECORD'!$B$5:$W$1000,9,0),"")</f>
        <v/>
      </c>
      <c r="F778" s="18"/>
      <c r="G778" s="18" t="str">
        <f t="shared" si="49"/>
        <v/>
      </c>
      <c r="H778" s="18" t="str">
        <f t="shared" si="50"/>
        <v/>
      </c>
      <c r="I778" s="35" t="str">
        <f t="shared" si="51"/>
        <v/>
      </c>
      <c r="J778" s="50"/>
      <c r="K778" s="17"/>
    </row>
    <row r="779" spans="1:11">
      <c r="A779" s="6">
        <f t="shared" si="48"/>
        <v>774</v>
      </c>
      <c r="B779" s="49"/>
      <c r="C779" s="35" t="str">
        <f>IFERROR(VLOOKUP(B779,'MASTER RECORD'!$B$5:$W$1000,3,0),"")</f>
        <v/>
      </c>
      <c r="D779" s="35" t="str">
        <f>IFERROR(VLOOKUP(B779,'MASTER RECORD'!$B$5:$W$1000,2,0),"")</f>
        <v/>
      </c>
      <c r="E779" s="36" t="str">
        <f>IFERROR(VLOOKUP(B779,'MASTER RECORD'!$B$5:$W$1000,9,0),"")</f>
        <v/>
      </c>
      <c r="F779" s="18"/>
      <c r="G779" s="18" t="str">
        <f t="shared" si="49"/>
        <v/>
      </c>
      <c r="H779" s="18" t="str">
        <f t="shared" si="50"/>
        <v/>
      </c>
      <c r="I779" s="35" t="str">
        <f t="shared" si="51"/>
        <v/>
      </c>
      <c r="J779" s="50"/>
      <c r="K779" s="17"/>
    </row>
    <row r="780" spans="1:11">
      <c r="A780" s="6">
        <f t="shared" si="48"/>
        <v>775</v>
      </c>
      <c r="B780" s="49"/>
      <c r="C780" s="35" t="str">
        <f>IFERROR(VLOOKUP(B780,'MASTER RECORD'!$B$5:$W$1000,3,0),"")</f>
        <v/>
      </c>
      <c r="D780" s="35" t="str">
        <f>IFERROR(VLOOKUP(B780,'MASTER RECORD'!$B$5:$W$1000,2,0),"")</f>
        <v/>
      </c>
      <c r="E780" s="36" t="str">
        <f>IFERROR(VLOOKUP(B780,'MASTER RECORD'!$B$5:$W$1000,9,0),"")</f>
        <v/>
      </c>
      <c r="F780" s="18"/>
      <c r="G780" s="18" t="str">
        <f t="shared" si="49"/>
        <v/>
      </c>
      <c r="H780" s="18" t="str">
        <f t="shared" si="50"/>
        <v/>
      </c>
      <c r="I780" s="35" t="str">
        <f t="shared" si="51"/>
        <v/>
      </c>
      <c r="J780" s="50"/>
      <c r="K780" s="17"/>
    </row>
    <row r="781" spans="1:11">
      <c r="A781" s="6">
        <f t="shared" si="48"/>
        <v>776</v>
      </c>
      <c r="B781" s="49"/>
      <c r="C781" s="35" t="str">
        <f>IFERROR(VLOOKUP(B781,'MASTER RECORD'!$B$5:$W$1000,3,0),"")</f>
        <v/>
      </c>
      <c r="D781" s="35" t="str">
        <f>IFERROR(VLOOKUP(B781,'MASTER RECORD'!$B$5:$W$1000,2,0),"")</f>
        <v/>
      </c>
      <c r="E781" s="36" t="str">
        <f>IFERROR(VLOOKUP(B781,'MASTER RECORD'!$B$5:$W$1000,9,0),"")</f>
        <v/>
      </c>
      <c r="F781" s="18"/>
      <c r="G781" s="18" t="str">
        <f t="shared" si="49"/>
        <v/>
      </c>
      <c r="H781" s="18" t="str">
        <f t="shared" si="50"/>
        <v/>
      </c>
      <c r="I781" s="35" t="str">
        <f t="shared" si="51"/>
        <v/>
      </c>
      <c r="J781" s="50"/>
      <c r="K781" s="17"/>
    </row>
    <row r="782" spans="1:11">
      <c r="A782" s="6">
        <f t="shared" si="48"/>
        <v>777</v>
      </c>
      <c r="B782" s="49"/>
      <c r="C782" s="35" t="str">
        <f>IFERROR(VLOOKUP(B782,'MASTER RECORD'!$B$5:$W$1000,3,0),"")</f>
        <v/>
      </c>
      <c r="D782" s="35" t="str">
        <f>IFERROR(VLOOKUP(B782,'MASTER RECORD'!$B$5:$W$1000,2,0),"")</f>
        <v/>
      </c>
      <c r="E782" s="36" t="str">
        <f>IFERROR(VLOOKUP(B782,'MASTER RECORD'!$B$5:$W$1000,9,0),"")</f>
        <v/>
      </c>
      <c r="F782" s="18"/>
      <c r="G782" s="18" t="str">
        <f t="shared" si="49"/>
        <v/>
      </c>
      <c r="H782" s="18" t="str">
        <f t="shared" si="50"/>
        <v/>
      </c>
      <c r="I782" s="35" t="str">
        <f t="shared" si="51"/>
        <v/>
      </c>
      <c r="J782" s="50"/>
      <c r="K782" s="17"/>
    </row>
    <row r="783" spans="1:11">
      <c r="A783" s="6">
        <f t="shared" si="48"/>
        <v>778</v>
      </c>
      <c r="B783" s="49"/>
      <c r="C783" s="35" t="str">
        <f>IFERROR(VLOOKUP(B783,'MASTER RECORD'!$B$5:$W$1000,3,0),"")</f>
        <v/>
      </c>
      <c r="D783" s="35" t="str">
        <f>IFERROR(VLOOKUP(B783,'MASTER RECORD'!$B$5:$W$1000,2,0),"")</f>
        <v/>
      </c>
      <c r="E783" s="36" t="str">
        <f>IFERROR(VLOOKUP(B783,'MASTER RECORD'!$B$5:$W$1000,9,0),"")</f>
        <v/>
      </c>
      <c r="F783" s="18"/>
      <c r="G783" s="18" t="str">
        <f t="shared" si="49"/>
        <v/>
      </c>
      <c r="H783" s="18" t="str">
        <f t="shared" si="50"/>
        <v/>
      </c>
      <c r="I783" s="35" t="str">
        <f t="shared" si="51"/>
        <v/>
      </c>
      <c r="J783" s="50"/>
      <c r="K783" s="17"/>
    </row>
    <row r="784" spans="1:11">
      <c r="A784" s="6">
        <f t="shared" si="48"/>
        <v>779</v>
      </c>
      <c r="B784" s="49"/>
      <c r="C784" s="35" t="str">
        <f>IFERROR(VLOOKUP(B784,'MASTER RECORD'!$B$5:$W$1000,3,0),"")</f>
        <v/>
      </c>
      <c r="D784" s="35" t="str">
        <f>IFERROR(VLOOKUP(B784,'MASTER RECORD'!$B$5:$W$1000,2,0),"")</f>
        <v/>
      </c>
      <c r="E784" s="36" t="str">
        <f>IFERROR(VLOOKUP(B784,'MASTER RECORD'!$B$5:$W$1000,9,0),"")</f>
        <v/>
      </c>
      <c r="F784" s="18"/>
      <c r="G784" s="18" t="str">
        <f t="shared" si="49"/>
        <v/>
      </c>
      <c r="H784" s="18" t="str">
        <f t="shared" si="50"/>
        <v/>
      </c>
      <c r="I784" s="35" t="str">
        <f t="shared" si="51"/>
        <v/>
      </c>
      <c r="J784" s="50"/>
      <c r="K784" s="17"/>
    </row>
    <row r="785" spans="1:11">
      <c r="A785" s="6">
        <f t="shared" si="48"/>
        <v>780</v>
      </c>
      <c r="B785" s="49"/>
      <c r="C785" s="35" t="str">
        <f>IFERROR(VLOOKUP(B785,'MASTER RECORD'!$B$5:$W$1000,3,0),"")</f>
        <v/>
      </c>
      <c r="D785" s="35" t="str">
        <f>IFERROR(VLOOKUP(B785,'MASTER RECORD'!$B$5:$W$1000,2,0),"")</f>
        <v/>
      </c>
      <c r="E785" s="36" t="str">
        <f>IFERROR(VLOOKUP(B785,'MASTER RECORD'!$B$5:$W$1000,9,0),"")</f>
        <v/>
      </c>
      <c r="F785" s="18"/>
      <c r="G785" s="18" t="str">
        <f t="shared" si="49"/>
        <v/>
      </c>
      <c r="H785" s="18" t="str">
        <f t="shared" si="50"/>
        <v/>
      </c>
      <c r="I785" s="35" t="str">
        <f t="shared" si="51"/>
        <v/>
      </c>
      <c r="J785" s="50"/>
      <c r="K785" s="17"/>
    </row>
    <row r="786" spans="1:11">
      <c r="A786" s="6">
        <f t="shared" si="48"/>
        <v>781</v>
      </c>
      <c r="B786" s="49"/>
      <c r="C786" s="35" t="str">
        <f>IFERROR(VLOOKUP(B786,'MASTER RECORD'!$B$5:$W$1000,3,0),"")</f>
        <v/>
      </c>
      <c r="D786" s="35" t="str">
        <f>IFERROR(VLOOKUP(B786,'MASTER RECORD'!$B$5:$W$1000,2,0),"")</f>
        <v/>
      </c>
      <c r="E786" s="36" t="str">
        <f>IFERROR(VLOOKUP(B786,'MASTER RECORD'!$B$5:$W$1000,9,0),"")</f>
        <v/>
      </c>
      <c r="F786" s="18"/>
      <c r="G786" s="18" t="str">
        <f t="shared" si="49"/>
        <v/>
      </c>
      <c r="H786" s="18" t="str">
        <f t="shared" si="50"/>
        <v/>
      </c>
      <c r="I786" s="35" t="str">
        <f t="shared" si="51"/>
        <v/>
      </c>
      <c r="J786" s="50"/>
      <c r="K786" s="17"/>
    </row>
    <row r="787" spans="1:11">
      <c r="A787" s="6">
        <f t="shared" si="48"/>
        <v>782</v>
      </c>
      <c r="B787" s="49"/>
      <c r="C787" s="35" t="str">
        <f>IFERROR(VLOOKUP(B787,'MASTER RECORD'!$B$5:$W$1000,3,0),"")</f>
        <v/>
      </c>
      <c r="D787" s="35" t="str">
        <f>IFERROR(VLOOKUP(B787,'MASTER RECORD'!$B$5:$W$1000,2,0),"")</f>
        <v/>
      </c>
      <c r="E787" s="36" t="str">
        <f>IFERROR(VLOOKUP(B787,'MASTER RECORD'!$B$5:$W$1000,9,0),"")</f>
        <v/>
      </c>
      <c r="F787" s="18"/>
      <c r="G787" s="18" t="str">
        <f t="shared" si="49"/>
        <v/>
      </c>
      <c r="H787" s="18" t="str">
        <f t="shared" si="50"/>
        <v/>
      </c>
      <c r="I787" s="35" t="str">
        <f t="shared" si="51"/>
        <v/>
      </c>
      <c r="J787" s="50"/>
      <c r="K787" s="17"/>
    </row>
    <row r="788" spans="1:11">
      <c r="A788" s="6">
        <f t="shared" si="48"/>
        <v>783</v>
      </c>
      <c r="B788" s="49"/>
      <c r="C788" s="35" t="str">
        <f>IFERROR(VLOOKUP(B788,'MASTER RECORD'!$B$5:$W$1000,3,0),"")</f>
        <v/>
      </c>
      <c r="D788" s="35" t="str">
        <f>IFERROR(VLOOKUP(B788,'MASTER RECORD'!$B$5:$W$1000,2,0),"")</f>
        <v/>
      </c>
      <c r="E788" s="36" t="str">
        <f>IFERROR(VLOOKUP(B788,'MASTER RECORD'!$B$5:$W$1000,9,0),"")</f>
        <v/>
      </c>
      <c r="F788" s="18"/>
      <c r="G788" s="18" t="str">
        <f t="shared" si="49"/>
        <v/>
      </c>
      <c r="H788" s="18" t="str">
        <f t="shared" si="50"/>
        <v/>
      </c>
      <c r="I788" s="35" t="str">
        <f t="shared" si="51"/>
        <v/>
      </c>
      <c r="J788" s="50"/>
      <c r="K788" s="17"/>
    </row>
    <row r="789" spans="1:11">
      <c r="A789" s="6">
        <f t="shared" si="48"/>
        <v>784</v>
      </c>
      <c r="B789" s="49"/>
      <c r="C789" s="35" t="str">
        <f>IFERROR(VLOOKUP(B789,'MASTER RECORD'!$B$5:$W$1000,3,0),"")</f>
        <v/>
      </c>
      <c r="D789" s="35" t="str">
        <f>IFERROR(VLOOKUP(B789,'MASTER RECORD'!$B$5:$W$1000,2,0),"")</f>
        <v/>
      </c>
      <c r="E789" s="36" t="str">
        <f>IFERROR(VLOOKUP(B789,'MASTER RECORD'!$B$5:$W$1000,9,0),"")</f>
        <v/>
      </c>
      <c r="F789" s="18"/>
      <c r="G789" s="18" t="str">
        <f t="shared" si="49"/>
        <v/>
      </c>
      <c r="H789" s="18" t="str">
        <f t="shared" si="50"/>
        <v/>
      </c>
      <c r="I789" s="35" t="str">
        <f t="shared" si="51"/>
        <v/>
      </c>
      <c r="J789" s="50"/>
      <c r="K789" s="17"/>
    </row>
    <row r="790" spans="1:11">
      <c r="A790" s="6">
        <f t="shared" si="48"/>
        <v>785</v>
      </c>
      <c r="B790" s="49"/>
      <c r="C790" s="35" t="str">
        <f>IFERROR(VLOOKUP(B790,'MASTER RECORD'!$B$5:$W$1000,3,0),"")</f>
        <v/>
      </c>
      <c r="D790" s="35" t="str">
        <f>IFERROR(VLOOKUP(B790,'MASTER RECORD'!$B$5:$W$1000,2,0),"")</f>
        <v/>
      </c>
      <c r="E790" s="36" t="str">
        <f>IFERROR(VLOOKUP(B790,'MASTER RECORD'!$B$5:$W$1000,9,0),"")</f>
        <v/>
      </c>
      <c r="F790" s="18"/>
      <c r="G790" s="18" t="str">
        <f t="shared" si="49"/>
        <v/>
      </c>
      <c r="H790" s="18" t="str">
        <f t="shared" si="50"/>
        <v/>
      </c>
      <c r="I790" s="35" t="str">
        <f t="shared" si="51"/>
        <v/>
      </c>
      <c r="J790" s="50"/>
      <c r="K790" s="17"/>
    </row>
    <row r="791" spans="1:11">
      <c r="A791" s="6">
        <f t="shared" si="48"/>
        <v>786</v>
      </c>
      <c r="B791" s="49"/>
      <c r="C791" s="35" t="str">
        <f>IFERROR(VLOOKUP(B791,'MASTER RECORD'!$B$5:$W$1000,3,0),"")</f>
        <v/>
      </c>
      <c r="D791" s="35" t="str">
        <f>IFERROR(VLOOKUP(B791,'MASTER RECORD'!$B$5:$W$1000,2,0),"")</f>
        <v/>
      </c>
      <c r="E791" s="36" t="str">
        <f>IFERROR(VLOOKUP(B791,'MASTER RECORD'!$B$5:$W$1000,9,0),"")</f>
        <v/>
      </c>
      <c r="F791" s="18"/>
      <c r="G791" s="18" t="str">
        <f t="shared" si="49"/>
        <v/>
      </c>
      <c r="H791" s="18" t="str">
        <f t="shared" si="50"/>
        <v/>
      </c>
      <c r="I791" s="35" t="str">
        <f t="shared" si="51"/>
        <v/>
      </c>
      <c r="J791" s="50"/>
      <c r="K791" s="17"/>
    </row>
    <row r="792" spans="1:11">
      <c r="A792" s="6">
        <f t="shared" si="48"/>
        <v>787</v>
      </c>
      <c r="B792" s="49"/>
      <c r="C792" s="35" t="str">
        <f>IFERROR(VLOOKUP(B792,'MASTER RECORD'!$B$5:$W$1000,3,0),"")</f>
        <v/>
      </c>
      <c r="D792" s="35" t="str">
        <f>IFERROR(VLOOKUP(B792,'MASTER RECORD'!$B$5:$W$1000,2,0),"")</f>
        <v/>
      </c>
      <c r="E792" s="36" t="str">
        <f>IFERROR(VLOOKUP(B792,'MASTER RECORD'!$B$5:$W$1000,9,0),"")</f>
        <v/>
      </c>
      <c r="F792" s="18"/>
      <c r="G792" s="18" t="str">
        <f t="shared" si="49"/>
        <v/>
      </c>
      <c r="H792" s="18" t="str">
        <f t="shared" si="50"/>
        <v/>
      </c>
      <c r="I792" s="35" t="str">
        <f t="shared" si="51"/>
        <v/>
      </c>
      <c r="J792" s="50"/>
      <c r="K792" s="17"/>
    </row>
    <row r="793" spans="1:11">
      <c r="A793" s="6">
        <f t="shared" si="48"/>
        <v>788</v>
      </c>
      <c r="B793" s="49"/>
      <c r="C793" s="35" t="str">
        <f>IFERROR(VLOOKUP(B793,'MASTER RECORD'!$B$5:$W$1000,3,0),"")</f>
        <v/>
      </c>
      <c r="D793" s="35" t="str">
        <f>IFERROR(VLOOKUP(B793,'MASTER RECORD'!$B$5:$W$1000,2,0),"")</f>
        <v/>
      </c>
      <c r="E793" s="36" t="str">
        <f>IFERROR(VLOOKUP(B793,'MASTER RECORD'!$B$5:$W$1000,9,0),"")</f>
        <v/>
      </c>
      <c r="F793" s="18"/>
      <c r="G793" s="18" t="str">
        <f t="shared" si="49"/>
        <v/>
      </c>
      <c r="H793" s="18" t="str">
        <f t="shared" si="50"/>
        <v/>
      </c>
      <c r="I793" s="35" t="str">
        <f t="shared" si="51"/>
        <v/>
      </c>
      <c r="J793" s="50"/>
      <c r="K793" s="17"/>
    </row>
    <row r="794" spans="1:11">
      <c r="A794" s="6">
        <f t="shared" si="48"/>
        <v>789</v>
      </c>
      <c r="B794" s="49"/>
      <c r="C794" s="35" t="str">
        <f>IFERROR(VLOOKUP(B794,'MASTER RECORD'!$B$5:$W$1000,3,0),"")</f>
        <v/>
      </c>
      <c r="D794" s="35" t="str">
        <f>IFERROR(VLOOKUP(B794,'MASTER RECORD'!$B$5:$W$1000,2,0),"")</f>
        <v/>
      </c>
      <c r="E794" s="36" t="str">
        <f>IFERROR(VLOOKUP(B794,'MASTER RECORD'!$B$5:$W$1000,9,0),"")</f>
        <v/>
      </c>
      <c r="F794" s="18"/>
      <c r="G794" s="18" t="str">
        <f t="shared" si="49"/>
        <v/>
      </c>
      <c r="H794" s="18" t="str">
        <f t="shared" si="50"/>
        <v/>
      </c>
      <c r="I794" s="35" t="str">
        <f t="shared" si="51"/>
        <v/>
      </c>
      <c r="J794" s="50"/>
      <c r="K794" s="17"/>
    </row>
    <row r="795" spans="1:11">
      <c r="A795" s="6">
        <f t="shared" si="48"/>
        <v>790</v>
      </c>
      <c r="B795" s="49"/>
      <c r="C795" s="35" t="str">
        <f>IFERROR(VLOOKUP(B795,'MASTER RECORD'!$B$5:$W$1000,3,0),"")</f>
        <v/>
      </c>
      <c r="D795" s="35" t="str">
        <f>IFERROR(VLOOKUP(B795,'MASTER RECORD'!$B$5:$W$1000,2,0),"")</f>
        <v/>
      </c>
      <c r="E795" s="36" t="str">
        <f>IFERROR(VLOOKUP(B795,'MASTER RECORD'!$B$5:$W$1000,9,0),"")</f>
        <v/>
      </c>
      <c r="F795" s="18"/>
      <c r="G795" s="18" t="str">
        <f t="shared" si="49"/>
        <v/>
      </c>
      <c r="H795" s="18" t="str">
        <f t="shared" si="50"/>
        <v/>
      </c>
      <c r="I795" s="35" t="str">
        <f t="shared" si="51"/>
        <v/>
      </c>
      <c r="J795" s="50"/>
      <c r="K795" s="17"/>
    </row>
    <row r="796" spans="1:11">
      <c r="A796" s="6">
        <f t="shared" si="48"/>
        <v>791</v>
      </c>
      <c r="B796" s="49"/>
      <c r="C796" s="35" t="str">
        <f>IFERROR(VLOOKUP(B796,'MASTER RECORD'!$B$5:$W$1000,3,0),"")</f>
        <v/>
      </c>
      <c r="D796" s="35" t="str">
        <f>IFERROR(VLOOKUP(B796,'MASTER RECORD'!$B$5:$W$1000,2,0),"")</f>
        <v/>
      </c>
      <c r="E796" s="36" t="str">
        <f>IFERROR(VLOOKUP(B796,'MASTER RECORD'!$B$5:$W$1000,9,0),"")</f>
        <v/>
      </c>
      <c r="F796" s="18"/>
      <c r="G796" s="18" t="str">
        <f t="shared" si="49"/>
        <v/>
      </c>
      <c r="H796" s="18" t="str">
        <f t="shared" si="50"/>
        <v/>
      </c>
      <c r="I796" s="35" t="str">
        <f t="shared" si="51"/>
        <v/>
      </c>
      <c r="J796" s="50"/>
      <c r="K796" s="17"/>
    </row>
    <row r="797" spans="1:11">
      <c r="A797" s="6">
        <f t="shared" si="48"/>
        <v>792</v>
      </c>
      <c r="B797" s="49"/>
      <c r="C797" s="35" t="str">
        <f>IFERROR(VLOOKUP(B797,'MASTER RECORD'!$B$5:$W$1000,3,0),"")</f>
        <v/>
      </c>
      <c r="D797" s="35" t="str">
        <f>IFERROR(VLOOKUP(B797,'MASTER RECORD'!$B$5:$W$1000,2,0),"")</f>
        <v/>
      </c>
      <c r="E797" s="36" t="str">
        <f>IFERROR(VLOOKUP(B797,'MASTER RECORD'!$B$5:$W$1000,9,0),"")</f>
        <v/>
      </c>
      <c r="F797" s="18"/>
      <c r="G797" s="18" t="str">
        <f t="shared" si="49"/>
        <v/>
      </c>
      <c r="H797" s="18" t="str">
        <f t="shared" si="50"/>
        <v/>
      </c>
      <c r="I797" s="35" t="str">
        <f t="shared" si="51"/>
        <v/>
      </c>
      <c r="J797" s="50"/>
      <c r="K797" s="17"/>
    </row>
    <row r="798" spans="1:11">
      <c r="A798" s="6">
        <f t="shared" si="48"/>
        <v>793</v>
      </c>
      <c r="B798" s="49"/>
      <c r="C798" s="35" t="str">
        <f>IFERROR(VLOOKUP(B798,'MASTER RECORD'!$B$5:$W$1000,3,0),"")</f>
        <v/>
      </c>
      <c r="D798" s="35" t="str">
        <f>IFERROR(VLOOKUP(B798,'MASTER RECORD'!$B$5:$W$1000,2,0),"")</f>
        <v/>
      </c>
      <c r="E798" s="36" t="str">
        <f>IFERROR(VLOOKUP(B798,'MASTER RECORD'!$B$5:$W$1000,9,0),"")</f>
        <v/>
      </c>
      <c r="F798" s="18"/>
      <c r="G798" s="18" t="str">
        <f t="shared" si="49"/>
        <v/>
      </c>
      <c r="H798" s="18" t="str">
        <f t="shared" si="50"/>
        <v/>
      </c>
      <c r="I798" s="35" t="str">
        <f t="shared" si="51"/>
        <v/>
      </c>
      <c r="J798" s="50"/>
      <c r="K798" s="17"/>
    </row>
    <row r="799" spans="1:11">
      <c r="A799" s="6">
        <f t="shared" si="48"/>
        <v>794</v>
      </c>
      <c r="B799" s="49"/>
      <c r="C799" s="35" t="str">
        <f>IFERROR(VLOOKUP(B799,'MASTER RECORD'!$B$5:$W$1000,3,0),"")</f>
        <v/>
      </c>
      <c r="D799" s="35" t="str">
        <f>IFERROR(VLOOKUP(B799,'MASTER RECORD'!$B$5:$W$1000,2,0),"")</f>
        <v/>
      </c>
      <c r="E799" s="36" t="str">
        <f>IFERROR(VLOOKUP(B799,'MASTER RECORD'!$B$5:$W$1000,9,0),"")</f>
        <v/>
      </c>
      <c r="F799" s="18"/>
      <c r="G799" s="18" t="str">
        <f t="shared" si="49"/>
        <v/>
      </c>
      <c r="H799" s="18" t="str">
        <f t="shared" si="50"/>
        <v/>
      </c>
      <c r="I799" s="35" t="str">
        <f t="shared" si="51"/>
        <v/>
      </c>
      <c r="J799" s="50"/>
      <c r="K799" s="17"/>
    </row>
    <row r="800" spans="1:11">
      <c r="A800" s="6">
        <f t="shared" si="48"/>
        <v>795</v>
      </c>
      <c r="B800" s="49"/>
      <c r="C800" s="35" t="str">
        <f>IFERROR(VLOOKUP(B800,'MASTER RECORD'!$B$5:$W$1000,3,0),"")</f>
        <v/>
      </c>
      <c r="D800" s="35" t="str">
        <f>IFERROR(VLOOKUP(B800,'MASTER RECORD'!$B$5:$W$1000,2,0),"")</f>
        <v/>
      </c>
      <c r="E800" s="36" t="str">
        <f>IFERROR(VLOOKUP(B800,'MASTER RECORD'!$B$5:$W$1000,9,0),"")</f>
        <v/>
      </c>
      <c r="F800" s="18"/>
      <c r="G800" s="18" t="str">
        <f t="shared" si="49"/>
        <v/>
      </c>
      <c r="H800" s="18" t="str">
        <f t="shared" si="50"/>
        <v/>
      </c>
      <c r="I800" s="35" t="str">
        <f t="shared" si="51"/>
        <v/>
      </c>
      <c r="J800" s="50"/>
      <c r="K800" s="17"/>
    </row>
    <row r="801" spans="1:11">
      <c r="A801" s="6">
        <f t="shared" si="48"/>
        <v>796</v>
      </c>
      <c r="B801" s="49"/>
      <c r="C801" s="35" t="str">
        <f>IFERROR(VLOOKUP(B801,'MASTER RECORD'!$B$5:$W$1000,3,0),"")</f>
        <v/>
      </c>
      <c r="D801" s="35" t="str">
        <f>IFERROR(VLOOKUP(B801,'MASTER RECORD'!$B$5:$W$1000,2,0),"")</f>
        <v/>
      </c>
      <c r="E801" s="36" t="str">
        <f>IFERROR(VLOOKUP(B801,'MASTER RECORD'!$B$5:$W$1000,9,0),"")</f>
        <v/>
      </c>
      <c r="F801" s="18"/>
      <c r="G801" s="18" t="str">
        <f t="shared" si="49"/>
        <v/>
      </c>
      <c r="H801" s="18" t="str">
        <f t="shared" si="50"/>
        <v/>
      </c>
      <c r="I801" s="35" t="str">
        <f t="shared" si="51"/>
        <v/>
      </c>
      <c r="J801" s="50"/>
      <c r="K801" s="17"/>
    </row>
    <row r="802" spans="1:11">
      <c r="A802" s="6">
        <f t="shared" si="48"/>
        <v>797</v>
      </c>
      <c r="B802" s="49"/>
      <c r="C802" s="35" t="str">
        <f>IFERROR(VLOOKUP(B802,'MASTER RECORD'!$B$5:$W$1000,3,0),"")</f>
        <v/>
      </c>
      <c r="D802" s="35" t="str">
        <f>IFERROR(VLOOKUP(B802,'MASTER RECORD'!$B$5:$W$1000,2,0),"")</f>
        <v/>
      </c>
      <c r="E802" s="36" t="str">
        <f>IFERROR(VLOOKUP(B802,'MASTER RECORD'!$B$5:$W$1000,9,0),"")</f>
        <v/>
      </c>
      <c r="F802" s="18"/>
      <c r="G802" s="18" t="str">
        <f t="shared" si="49"/>
        <v/>
      </c>
      <c r="H802" s="18" t="str">
        <f t="shared" si="50"/>
        <v/>
      </c>
      <c r="I802" s="35" t="str">
        <f t="shared" si="51"/>
        <v/>
      </c>
      <c r="J802" s="50"/>
      <c r="K802" s="17"/>
    </row>
    <row r="803" spans="1:11">
      <c r="A803" s="6">
        <f t="shared" si="48"/>
        <v>798</v>
      </c>
      <c r="B803" s="49"/>
      <c r="C803" s="35" t="str">
        <f>IFERROR(VLOOKUP(B803,'MASTER RECORD'!$B$5:$W$1000,3,0),"")</f>
        <v/>
      </c>
      <c r="D803" s="35" t="str">
        <f>IFERROR(VLOOKUP(B803,'MASTER RECORD'!$B$5:$W$1000,2,0),"")</f>
        <v/>
      </c>
      <c r="E803" s="36" t="str">
        <f>IFERROR(VLOOKUP(B803,'MASTER RECORD'!$B$5:$W$1000,9,0),"")</f>
        <v/>
      </c>
      <c r="F803" s="18"/>
      <c r="G803" s="18" t="str">
        <f t="shared" si="49"/>
        <v/>
      </c>
      <c r="H803" s="18" t="str">
        <f t="shared" si="50"/>
        <v/>
      </c>
      <c r="I803" s="35" t="str">
        <f t="shared" si="51"/>
        <v/>
      </c>
      <c r="J803" s="50"/>
      <c r="K803" s="17"/>
    </row>
    <row r="804" spans="1:11">
      <c r="A804" s="6">
        <f t="shared" si="48"/>
        <v>799</v>
      </c>
      <c r="B804" s="49"/>
      <c r="C804" s="35" t="str">
        <f>IFERROR(VLOOKUP(B804,'MASTER RECORD'!$B$5:$W$1000,3,0),"")</f>
        <v/>
      </c>
      <c r="D804" s="35" t="str">
        <f>IFERROR(VLOOKUP(B804,'MASTER RECORD'!$B$5:$W$1000,2,0),"")</f>
        <v/>
      </c>
      <c r="E804" s="36" t="str">
        <f>IFERROR(VLOOKUP(B804,'MASTER RECORD'!$B$5:$W$1000,9,0),"")</f>
        <v/>
      </c>
      <c r="F804" s="18"/>
      <c r="G804" s="18" t="str">
        <f t="shared" si="49"/>
        <v/>
      </c>
      <c r="H804" s="18" t="str">
        <f t="shared" si="50"/>
        <v/>
      </c>
      <c r="I804" s="35" t="str">
        <f t="shared" si="51"/>
        <v/>
      </c>
      <c r="J804" s="50"/>
      <c r="K804" s="17"/>
    </row>
    <row r="805" spans="1:11">
      <c r="A805" s="6">
        <f t="shared" si="48"/>
        <v>800</v>
      </c>
      <c r="B805" s="49"/>
      <c r="C805" s="35" t="str">
        <f>IFERROR(VLOOKUP(B805,'MASTER RECORD'!$B$5:$W$1000,3,0),"")</f>
        <v/>
      </c>
      <c r="D805" s="35" t="str">
        <f>IFERROR(VLOOKUP(B805,'MASTER RECORD'!$B$5:$W$1000,2,0),"")</f>
        <v/>
      </c>
      <c r="E805" s="36" t="str">
        <f>IFERROR(VLOOKUP(B805,'MASTER RECORD'!$B$5:$W$1000,9,0),"")</f>
        <v/>
      </c>
      <c r="F805" s="18"/>
      <c r="G805" s="18" t="str">
        <f t="shared" si="49"/>
        <v/>
      </c>
      <c r="H805" s="18" t="str">
        <f t="shared" si="50"/>
        <v/>
      </c>
      <c r="I805" s="35" t="str">
        <f t="shared" si="51"/>
        <v/>
      </c>
      <c r="J805" s="50"/>
      <c r="K805" s="17"/>
    </row>
    <row r="806" spans="1:11">
      <c r="A806" s="6">
        <f t="shared" si="48"/>
        <v>801</v>
      </c>
      <c r="B806" s="49"/>
      <c r="C806" s="35" t="str">
        <f>IFERROR(VLOOKUP(B806,'MASTER RECORD'!$B$5:$W$1000,3,0),"")</f>
        <v/>
      </c>
      <c r="D806" s="35" t="str">
        <f>IFERROR(VLOOKUP(B806,'MASTER RECORD'!$B$5:$W$1000,2,0),"")</f>
        <v/>
      </c>
      <c r="E806" s="36" t="str">
        <f>IFERROR(VLOOKUP(B806,'MASTER RECORD'!$B$5:$W$1000,9,0),"")</f>
        <v/>
      </c>
      <c r="F806" s="18"/>
      <c r="G806" s="18" t="str">
        <f t="shared" si="49"/>
        <v/>
      </c>
      <c r="H806" s="18" t="str">
        <f t="shared" si="50"/>
        <v/>
      </c>
      <c r="I806" s="35" t="str">
        <f t="shared" si="51"/>
        <v/>
      </c>
      <c r="J806" s="50"/>
      <c r="K806" s="17"/>
    </row>
    <row r="807" spans="1:11">
      <c r="A807" s="6">
        <f t="shared" si="48"/>
        <v>802</v>
      </c>
      <c r="B807" s="49"/>
      <c r="C807" s="35" t="str">
        <f>IFERROR(VLOOKUP(B807,'MASTER RECORD'!$B$5:$W$1000,3,0),"")</f>
        <v/>
      </c>
      <c r="D807" s="35" t="str">
        <f>IFERROR(VLOOKUP(B807,'MASTER RECORD'!$B$5:$W$1000,2,0),"")</f>
        <v/>
      </c>
      <c r="E807" s="36" t="str">
        <f>IFERROR(VLOOKUP(B807,'MASTER RECORD'!$B$5:$W$1000,9,0),"")</f>
        <v/>
      </c>
      <c r="F807" s="18"/>
      <c r="G807" s="18" t="str">
        <f t="shared" si="49"/>
        <v/>
      </c>
      <c r="H807" s="18" t="str">
        <f t="shared" si="50"/>
        <v/>
      </c>
      <c r="I807" s="35" t="str">
        <f t="shared" si="51"/>
        <v/>
      </c>
      <c r="J807" s="50"/>
      <c r="K807" s="17"/>
    </row>
    <row r="808" spans="1:11">
      <c r="A808" s="6">
        <f t="shared" si="48"/>
        <v>803</v>
      </c>
      <c r="B808" s="49"/>
      <c r="C808" s="35" t="str">
        <f>IFERROR(VLOOKUP(B808,'MASTER RECORD'!$B$5:$W$1000,3,0),"")</f>
        <v/>
      </c>
      <c r="D808" s="35" t="str">
        <f>IFERROR(VLOOKUP(B808,'MASTER RECORD'!$B$5:$W$1000,2,0),"")</f>
        <v/>
      </c>
      <c r="E808" s="36" t="str">
        <f>IFERROR(VLOOKUP(B808,'MASTER RECORD'!$B$5:$W$1000,9,0),"")</f>
        <v/>
      </c>
      <c r="F808" s="18"/>
      <c r="G808" s="18" t="str">
        <f t="shared" si="49"/>
        <v/>
      </c>
      <c r="H808" s="18" t="str">
        <f t="shared" si="50"/>
        <v/>
      </c>
      <c r="I808" s="35" t="str">
        <f t="shared" si="51"/>
        <v/>
      </c>
      <c r="J808" s="50"/>
      <c r="K808" s="17"/>
    </row>
    <row r="809" spans="1:11">
      <c r="A809" s="6">
        <f t="shared" si="48"/>
        <v>804</v>
      </c>
      <c r="B809" s="49"/>
      <c r="C809" s="35" t="str">
        <f>IFERROR(VLOOKUP(B809,'MASTER RECORD'!$B$5:$W$1000,3,0),"")</f>
        <v/>
      </c>
      <c r="D809" s="35" t="str">
        <f>IFERROR(VLOOKUP(B809,'MASTER RECORD'!$B$5:$W$1000,2,0),"")</f>
        <v/>
      </c>
      <c r="E809" s="36" t="str">
        <f>IFERROR(VLOOKUP(B809,'MASTER RECORD'!$B$5:$W$1000,9,0),"")</f>
        <v/>
      </c>
      <c r="F809" s="18"/>
      <c r="G809" s="18" t="str">
        <f t="shared" si="49"/>
        <v/>
      </c>
      <c r="H809" s="18" t="str">
        <f t="shared" si="50"/>
        <v/>
      </c>
      <c r="I809" s="35" t="str">
        <f t="shared" si="51"/>
        <v/>
      </c>
      <c r="J809" s="50"/>
      <c r="K809" s="17"/>
    </row>
    <row r="810" spans="1:11">
      <c r="A810" s="6">
        <f t="shared" si="48"/>
        <v>805</v>
      </c>
      <c r="B810" s="49"/>
      <c r="C810" s="35" t="str">
        <f>IFERROR(VLOOKUP(B810,'MASTER RECORD'!$B$5:$W$1000,3,0),"")</f>
        <v/>
      </c>
      <c r="D810" s="35" t="str">
        <f>IFERROR(VLOOKUP(B810,'MASTER RECORD'!$B$5:$W$1000,2,0),"")</f>
        <v/>
      </c>
      <c r="E810" s="36" t="str">
        <f>IFERROR(VLOOKUP(B810,'MASTER RECORD'!$B$5:$W$1000,9,0),"")</f>
        <v/>
      </c>
      <c r="F810" s="18"/>
      <c r="G810" s="18" t="str">
        <f t="shared" si="49"/>
        <v/>
      </c>
      <c r="H810" s="18" t="str">
        <f t="shared" si="50"/>
        <v/>
      </c>
      <c r="I810" s="35" t="str">
        <f t="shared" si="51"/>
        <v/>
      </c>
      <c r="J810" s="50"/>
      <c r="K810" s="17"/>
    </row>
    <row r="811" spans="1:11">
      <c r="A811" s="6">
        <f t="shared" si="48"/>
        <v>806</v>
      </c>
      <c r="B811" s="49"/>
      <c r="C811" s="35" t="str">
        <f>IFERROR(VLOOKUP(B811,'MASTER RECORD'!$B$5:$W$1000,3,0),"")</f>
        <v/>
      </c>
      <c r="D811" s="35" t="str">
        <f>IFERROR(VLOOKUP(B811,'MASTER RECORD'!$B$5:$W$1000,2,0),"")</f>
        <v/>
      </c>
      <c r="E811" s="36" t="str">
        <f>IFERROR(VLOOKUP(B811,'MASTER RECORD'!$B$5:$W$1000,9,0),"")</f>
        <v/>
      </c>
      <c r="F811" s="18"/>
      <c r="G811" s="18" t="str">
        <f t="shared" si="49"/>
        <v/>
      </c>
      <c r="H811" s="18" t="str">
        <f t="shared" si="50"/>
        <v/>
      </c>
      <c r="I811" s="35" t="str">
        <f t="shared" si="51"/>
        <v/>
      </c>
      <c r="J811" s="50"/>
      <c r="K811" s="17"/>
    </row>
    <row r="812" spans="1:11">
      <c r="A812" s="6">
        <f t="shared" si="48"/>
        <v>807</v>
      </c>
      <c r="B812" s="49"/>
      <c r="C812" s="35" t="str">
        <f>IFERROR(VLOOKUP(B812,'MASTER RECORD'!$B$5:$W$1000,3,0),"")</f>
        <v/>
      </c>
      <c r="D812" s="35" t="str">
        <f>IFERROR(VLOOKUP(B812,'MASTER RECORD'!$B$5:$W$1000,2,0),"")</f>
        <v/>
      </c>
      <c r="E812" s="36" t="str">
        <f>IFERROR(VLOOKUP(B812,'MASTER RECORD'!$B$5:$W$1000,9,0),"")</f>
        <v/>
      </c>
      <c r="F812" s="18"/>
      <c r="G812" s="18" t="str">
        <f t="shared" si="49"/>
        <v/>
      </c>
      <c r="H812" s="18" t="str">
        <f t="shared" si="50"/>
        <v/>
      </c>
      <c r="I812" s="35" t="str">
        <f t="shared" si="51"/>
        <v/>
      </c>
      <c r="J812" s="50"/>
      <c r="K812" s="17"/>
    </row>
    <row r="813" spans="1:11">
      <c r="A813" s="6">
        <f t="shared" si="48"/>
        <v>808</v>
      </c>
      <c r="B813" s="49"/>
      <c r="C813" s="35" t="str">
        <f>IFERROR(VLOOKUP(B813,'MASTER RECORD'!$B$5:$W$1000,3,0),"")</f>
        <v/>
      </c>
      <c r="D813" s="35" t="str">
        <f>IFERROR(VLOOKUP(B813,'MASTER RECORD'!$B$5:$W$1000,2,0),"")</f>
        <v/>
      </c>
      <c r="E813" s="36" t="str">
        <f>IFERROR(VLOOKUP(B813,'MASTER RECORD'!$B$5:$W$1000,9,0),"")</f>
        <v/>
      </c>
      <c r="F813" s="18"/>
      <c r="G813" s="18" t="str">
        <f t="shared" si="49"/>
        <v/>
      </c>
      <c r="H813" s="18" t="str">
        <f t="shared" si="50"/>
        <v/>
      </c>
      <c r="I813" s="35" t="str">
        <f t="shared" si="51"/>
        <v/>
      </c>
      <c r="J813" s="50"/>
      <c r="K813" s="17"/>
    </row>
    <row r="814" spans="1:11">
      <c r="A814" s="6">
        <f t="shared" si="48"/>
        <v>809</v>
      </c>
      <c r="B814" s="49"/>
      <c r="C814" s="35" t="str">
        <f>IFERROR(VLOOKUP(B814,'MASTER RECORD'!$B$5:$W$1000,3,0),"")</f>
        <v/>
      </c>
      <c r="D814" s="35" t="str">
        <f>IFERROR(VLOOKUP(B814,'MASTER RECORD'!$B$5:$W$1000,2,0),"")</f>
        <v/>
      </c>
      <c r="E814" s="36" t="str">
        <f>IFERROR(VLOOKUP(B814,'MASTER RECORD'!$B$5:$W$1000,9,0),"")</f>
        <v/>
      </c>
      <c r="F814" s="18"/>
      <c r="G814" s="18" t="str">
        <f t="shared" si="49"/>
        <v/>
      </c>
      <c r="H814" s="18" t="str">
        <f t="shared" si="50"/>
        <v/>
      </c>
      <c r="I814" s="35" t="str">
        <f t="shared" si="51"/>
        <v/>
      </c>
      <c r="J814" s="50"/>
      <c r="K814" s="17"/>
    </row>
    <row r="815" spans="1:11">
      <c r="A815" s="6">
        <f t="shared" si="48"/>
        <v>810</v>
      </c>
      <c r="B815" s="49"/>
      <c r="C815" s="35" t="str">
        <f>IFERROR(VLOOKUP(B815,'MASTER RECORD'!$B$5:$W$1000,3,0),"")</f>
        <v/>
      </c>
      <c r="D815" s="35" t="str">
        <f>IFERROR(VLOOKUP(B815,'MASTER RECORD'!$B$5:$W$1000,2,0),"")</f>
        <v/>
      </c>
      <c r="E815" s="36" t="str">
        <f>IFERROR(VLOOKUP(B815,'MASTER RECORD'!$B$5:$W$1000,9,0),"")</f>
        <v/>
      </c>
      <c r="F815" s="18"/>
      <c r="G815" s="18" t="str">
        <f t="shared" si="49"/>
        <v/>
      </c>
      <c r="H815" s="18" t="str">
        <f t="shared" si="50"/>
        <v/>
      </c>
      <c r="I815" s="35" t="str">
        <f t="shared" si="51"/>
        <v/>
      </c>
      <c r="J815" s="50"/>
      <c r="K815" s="17"/>
    </row>
    <row r="816" spans="1:11">
      <c r="A816" s="6">
        <f t="shared" si="48"/>
        <v>811</v>
      </c>
      <c r="B816" s="49"/>
      <c r="C816" s="35" t="str">
        <f>IFERROR(VLOOKUP(B816,'MASTER RECORD'!$B$5:$W$1000,3,0),"")</f>
        <v/>
      </c>
      <c r="D816" s="35" t="str">
        <f>IFERROR(VLOOKUP(B816,'MASTER RECORD'!$B$5:$W$1000,2,0),"")</f>
        <v/>
      </c>
      <c r="E816" s="36" t="str">
        <f>IFERROR(VLOOKUP(B816,'MASTER RECORD'!$B$5:$W$1000,9,0),"")</f>
        <v/>
      </c>
      <c r="F816" s="18"/>
      <c r="G816" s="18" t="str">
        <f t="shared" si="49"/>
        <v/>
      </c>
      <c r="H816" s="18" t="str">
        <f t="shared" si="50"/>
        <v/>
      </c>
      <c r="I816" s="35" t="str">
        <f t="shared" si="51"/>
        <v/>
      </c>
      <c r="J816" s="50"/>
      <c r="K816" s="17"/>
    </row>
    <row r="817" spans="1:11">
      <c r="A817" s="6">
        <f t="shared" si="48"/>
        <v>812</v>
      </c>
      <c r="B817" s="49"/>
      <c r="C817" s="35" t="str">
        <f>IFERROR(VLOOKUP(B817,'MASTER RECORD'!$B$5:$W$1000,3,0),"")</f>
        <v/>
      </c>
      <c r="D817" s="35" t="str">
        <f>IFERROR(VLOOKUP(B817,'MASTER RECORD'!$B$5:$W$1000,2,0),"")</f>
        <v/>
      </c>
      <c r="E817" s="36" t="str">
        <f>IFERROR(VLOOKUP(B817,'MASTER RECORD'!$B$5:$W$1000,9,0),"")</f>
        <v/>
      </c>
      <c r="F817" s="18"/>
      <c r="G817" s="18" t="str">
        <f t="shared" si="49"/>
        <v/>
      </c>
      <c r="H817" s="18" t="str">
        <f t="shared" si="50"/>
        <v/>
      </c>
      <c r="I817" s="35" t="str">
        <f t="shared" si="51"/>
        <v/>
      </c>
      <c r="J817" s="50"/>
      <c r="K817" s="17"/>
    </row>
    <row r="818" spans="1:11">
      <c r="A818" s="6">
        <f t="shared" si="48"/>
        <v>813</v>
      </c>
      <c r="B818" s="49"/>
      <c r="C818" s="35" t="str">
        <f>IFERROR(VLOOKUP(B818,'MASTER RECORD'!$B$5:$W$1000,3,0),"")</f>
        <v/>
      </c>
      <c r="D818" s="35" t="str">
        <f>IFERROR(VLOOKUP(B818,'MASTER RECORD'!$B$5:$W$1000,2,0),"")</f>
        <v/>
      </c>
      <c r="E818" s="36" t="str">
        <f>IFERROR(VLOOKUP(B818,'MASTER RECORD'!$B$5:$W$1000,9,0),"")</f>
        <v/>
      </c>
      <c r="F818" s="18"/>
      <c r="G818" s="18" t="str">
        <f t="shared" si="49"/>
        <v/>
      </c>
      <c r="H818" s="18" t="str">
        <f t="shared" si="50"/>
        <v/>
      </c>
      <c r="I818" s="35" t="str">
        <f t="shared" si="51"/>
        <v/>
      </c>
      <c r="J818" s="50"/>
      <c r="K818" s="17"/>
    </row>
    <row r="819" spans="1:11">
      <c r="A819" s="6">
        <f t="shared" si="48"/>
        <v>814</v>
      </c>
      <c r="B819" s="49"/>
      <c r="C819" s="35" t="str">
        <f>IFERROR(VLOOKUP(B819,'MASTER RECORD'!$B$5:$W$1000,3,0),"")</f>
        <v/>
      </c>
      <c r="D819" s="35" t="str">
        <f>IFERROR(VLOOKUP(B819,'MASTER RECORD'!$B$5:$W$1000,2,0),"")</f>
        <v/>
      </c>
      <c r="E819" s="36" t="str">
        <f>IFERROR(VLOOKUP(B819,'MASTER RECORD'!$B$5:$W$1000,9,0),"")</f>
        <v/>
      </c>
      <c r="F819" s="18"/>
      <c r="G819" s="18" t="str">
        <f t="shared" si="49"/>
        <v/>
      </c>
      <c r="H819" s="18" t="str">
        <f t="shared" si="50"/>
        <v/>
      </c>
      <c r="I819" s="35" t="str">
        <f t="shared" si="51"/>
        <v/>
      </c>
      <c r="J819" s="50"/>
      <c r="K819" s="17"/>
    </row>
    <row r="820" spans="1:11">
      <c r="A820" s="6">
        <f t="shared" si="48"/>
        <v>815</v>
      </c>
      <c r="B820" s="49"/>
      <c r="C820" s="35" t="str">
        <f>IFERROR(VLOOKUP(B820,'MASTER RECORD'!$B$5:$W$1000,3,0),"")</f>
        <v/>
      </c>
      <c r="D820" s="35" t="str">
        <f>IFERROR(VLOOKUP(B820,'MASTER RECORD'!$B$5:$W$1000,2,0),"")</f>
        <v/>
      </c>
      <c r="E820" s="36" t="str">
        <f>IFERROR(VLOOKUP(B820,'MASTER RECORD'!$B$5:$W$1000,9,0),"")</f>
        <v/>
      </c>
      <c r="F820" s="18"/>
      <c r="G820" s="18" t="str">
        <f t="shared" si="49"/>
        <v/>
      </c>
      <c r="H820" s="18" t="str">
        <f t="shared" si="50"/>
        <v/>
      </c>
      <c r="I820" s="35" t="str">
        <f t="shared" si="51"/>
        <v/>
      </c>
      <c r="J820" s="50"/>
      <c r="K820" s="17"/>
    </row>
    <row r="821" spans="1:11">
      <c r="A821" s="6">
        <f t="shared" si="48"/>
        <v>816</v>
      </c>
      <c r="B821" s="49"/>
      <c r="C821" s="35" t="str">
        <f>IFERROR(VLOOKUP(B821,'MASTER RECORD'!$B$5:$W$1000,3,0),"")</f>
        <v/>
      </c>
      <c r="D821" s="35" t="str">
        <f>IFERROR(VLOOKUP(B821,'MASTER RECORD'!$B$5:$W$1000,2,0),"")</f>
        <v/>
      </c>
      <c r="E821" s="36" t="str">
        <f>IFERROR(VLOOKUP(B821,'MASTER RECORD'!$B$5:$W$1000,9,0),"")</f>
        <v/>
      </c>
      <c r="F821" s="18"/>
      <c r="G821" s="18" t="str">
        <f t="shared" si="49"/>
        <v/>
      </c>
      <c r="H821" s="18" t="str">
        <f t="shared" si="50"/>
        <v/>
      </c>
      <c r="I821" s="35" t="str">
        <f t="shared" si="51"/>
        <v/>
      </c>
      <c r="J821" s="50"/>
      <c r="K821" s="17"/>
    </row>
    <row r="822" spans="1:11">
      <c r="A822" s="6">
        <f t="shared" si="48"/>
        <v>817</v>
      </c>
      <c r="B822" s="49"/>
      <c r="C822" s="35" t="str">
        <f>IFERROR(VLOOKUP(B822,'MASTER RECORD'!$B$5:$W$1000,3,0),"")</f>
        <v/>
      </c>
      <c r="D822" s="35" t="str">
        <f>IFERROR(VLOOKUP(B822,'MASTER RECORD'!$B$5:$W$1000,2,0),"")</f>
        <v/>
      </c>
      <c r="E822" s="36" t="str">
        <f>IFERROR(VLOOKUP(B822,'MASTER RECORD'!$B$5:$W$1000,9,0),"")</f>
        <v/>
      </c>
      <c r="F822" s="18"/>
      <c r="G822" s="18" t="str">
        <f t="shared" si="49"/>
        <v/>
      </c>
      <c r="H822" s="18" t="str">
        <f t="shared" si="50"/>
        <v/>
      </c>
      <c r="I822" s="35" t="str">
        <f t="shared" si="51"/>
        <v/>
      </c>
      <c r="J822" s="50"/>
      <c r="K822" s="17"/>
    </row>
    <row r="823" spans="1:11">
      <c r="A823" s="6">
        <f t="shared" si="48"/>
        <v>818</v>
      </c>
      <c r="B823" s="49"/>
      <c r="C823" s="35" t="str">
        <f>IFERROR(VLOOKUP(B823,'MASTER RECORD'!$B$5:$W$1000,3,0),"")</f>
        <v/>
      </c>
      <c r="D823" s="35" t="str">
        <f>IFERROR(VLOOKUP(B823,'MASTER RECORD'!$B$5:$W$1000,2,0),"")</f>
        <v/>
      </c>
      <c r="E823" s="36" t="str">
        <f>IFERROR(VLOOKUP(B823,'MASTER RECORD'!$B$5:$W$1000,9,0),"")</f>
        <v/>
      </c>
      <c r="F823" s="18"/>
      <c r="G823" s="18" t="str">
        <f t="shared" si="49"/>
        <v/>
      </c>
      <c r="H823" s="18" t="str">
        <f t="shared" si="50"/>
        <v/>
      </c>
      <c r="I823" s="35" t="str">
        <f t="shared" si="51"/>
        <v/>
      </c>
      <c r="J823" s="50"/>
      <c r="K823" s="17"/>
    </row>
    <row r="824" spans="1:11">
      <c r="A824" s="6">
        <f t="shared" si="48"/>
        <v>819</v>
      </c>
      <c r="B824" s="49"/>
      <c r="C824" s="35" t="str">
        <f>IFERROR(VLOOKUP(B824,'MASTER RECORD'!$B$5:$W$1000,3,0),"")</f>
        <v/>
      </c>
      <c r="D824" s="35" t="str">
        <f>IFERROR(VLOOKUP(B824,'MASTER RECORD'!$B$5:$W$1000,2,0),"")</f>
        <v/>
      </c>
      <c r="E824" s="36" t="str">
        <f>IFERROR(VLOOKUP(B824,'MASTER RECORD'!$B$5:$W$1000,9,0),"")</f>
        <v/>
      </c>
      <c r="F824" s="18"/>
      <c r="G824" s="18" t="str">
        <f t="shared" si="49"/>
        <v/>
      </c>
      <c r="H824" s="18" t="str">
        <f t="shared" si="50"/>
        <v/>
      </c>
      <c r="I824" s="35" t="str">
        <f t="shared" si="51"/>
        <v/>
      </c>
      <c r="J824" s="50"/>
      <c r="K824" s="17"/>
    </row>
    <row r="825" spans="1:11">
      <c r="A825" s="6">
        <f t="shared" si="48"/>
        <v>820</v>
      </c>
      <c r="B825" s="49"/>
      <c r="C825" s="35" t="str">
        <f>IFERROR(VLOOKUP(B825,'MASTER RECORD'!$B$5:$W$1000,3,0),"")</f>
        <v/>
      </c>
      <c r="D825" s="35" t="str">
        <f>IFERROR(VLOOKUP(B825,'MASTER RECORD'!$B$5:$W$1000,2,0),"")</f>
        <v/>
      </c>
      <c r="E825" s="36" t="str">
        <f>IFERROR(VLOOKUP(B825,'MASTER RECORD'!$B$5:$W$1000,9,0),"")</f>
        <v/>
      </c>
      <c r="F825" s="18"/>
      <c r="G825" s="18" t="str">
        <f t="shared" si="49"/>
        <v/>
      </c>
      <c r="H825" s="18" t="str">
        <f t="shared" si="50"/>
        <v/>
      </c>
      <c r="I825" s="35" t="str">
        <f t="shared" si="51"/>
        <v/>
      </c>
      <c r="J825" s="50"/>
      <c r="K825" s="17"/>
    </row>
    <row r="826" spans="1:11">
      <c r="A826" s="6">
        <f t="shared" si="48"/>
        <v>821</v>
      </c>
      <c r="B826" s="49"/>
      <c r="C826" s="35" t="str">
        <f>IFERROR(VLOOKUP(B826,'MASTER RECORD'!$B$5:$W$1000,3,0),"")</f>
        <v/>
      </c>
      <c r="D826" s="35" t="str">
        <f>IFERROR(VLOOKUP(B826,'MASTER RECORD'!$B$5:$W$1000,2,0),"")</f>
        <v/>
      </c>
      <c r="E826" s="36" t="str">
        <f>IFERROR(VLOOKUP(B826,'MASTER RECORD'!$B$5:$W$1000,9,0),"")</f>
        <v/>
      </c>
      <c r="F826" s="18"/>
      <c r="G826" s="18" t="str">
        <f t="shared" si="49"/>
        <v/>
      </c>
      <c r="H826" s="18" t="str">
        <f t="shared" si="50"/>
        <v/>
      </c>
      <c r="I826" s="35" t="str">
        <f t="shared" si="51"/>
        <v/>
      </c>
      <c r="J826" s="50"/>
      <c r="K826" s="17"/>
    </row>
    <row r="827" spans="1:11">
      <c r="A827" s="6">
        <f t="shared" si="48"/>
        <v>822</v>
      </c>
      <c r="B827" s="49"/>
      <c r="C827" s="35" t="str">
        <f>IFERROR(VLOOKUP(B827,'MASTER RECORD'!$B$5:$W$1000,3,0),"")</f>
        <v/>
      </c>
      <c r="D827" s="35" t="str">
        <f>IFERROR(VLOOKUP(B827,'MASTER RECORD'!$B$5:$W$1000,2,0),"")</f>
        <v/>
      </c>
      <c r="E827" s="36" t="str">
        <f>IFERROR(VLOOKUP(B827,'MASTER RECORD'!$B$5:$W$1000,9,0),"")</f>
        <v/>
      </c>
      <c r="F827" s="18"/>
      <c r="G827" s="18" t="str">
        <f t="shared" si="49"/>
        <v/>
      </c>
      <c r="H827" s="18" t="str">
        <f t="shared" si="50"/>
        <v/>
      </c>
      <c r="I827" s="35" t="str">
        <f t="shared" si="51"/>
        <v/>
      </c>
      <c r="J827" s="50"/>
      <c r="K827" s="17"/>
    </row>
    <row r="828" spans="1:11">
      <c r="A828" s="6">
        <f t="shared" si="48"/>
        <v>823</v>
      </c>
      <c r="B828" s="49"/>
      <c r="C828" s="35" t="str">
        <f>IFERROR(VLOOKUP(B828,'MASTER RECORD'!$B$5:$W$1000,3,0),"")</f>
        <v/>
      </c>
      <c r="D828" s="35" t="str">
        <f>IFERROR(VLOOKUP(B828,'MASTER RECORD'!$B$5:$W$1000,2,0),"")</f>
        <v/>
      </c>
      <c r="E828" s="36" t="str">
        <f>IFERROR(VLOOKUP(B828,'MASTER RECORD'!$B$5:$W$1000,9,0),"")</f>
        <v/>
      </c>
      <c r="F828" s="18"/>
      <c r="G828" s="18" t="str">
        <f t="shared" si="49"/>
        <v/>
      </c>
      <c r="H828" s="18" t="str">
        <f t="shared" si="50"/>
        <v/>
      </c>
      <c r="I828" s="35" t="str">
        <f t="shared" si="51"/>
        <v/>
      </c>
      <c r="J828" s="50"/>
      <c r="K828" s="17"/>
    </row>
    <row r="829" spans="1:11">
      <c r="A829" s="6">
        <f t="shared" si="48"/>
        <v>824</v>
      </c>
      <c r="B829" s="49"/>
      <c r="C829" s="35" t="str">
        <f>IFERROR(VLOOKUP(B829,'MASTER RECORD'!$B$5:$W$1000,3,0),"")</f>
        <v/>
      </c>
      <c r="D829" s="35" t="str">
        <f>IFERROR(VLOOKUP(B829,'MASTER RECORD'!$B$5:$W$1000,2,0),"")</f>
        <v/>
      </c>
      <c r="E829" s="36" t="str">
        <f>IFERROR(VLOOKUP(B829,'MASTER RECORD'!$B$5:$W$1000,9,0),"")</f>
        <v/>
      </c>
      <c r="F829" s="18"/>
      <c r="G829" s="18" t="str">
        <f t="shared" si="49"/>
        <v/>
      </c>
      <c r="H829" s="18" t="str">
        <f t="shared" si="50"/>
        <v/>
      </c>
      <c r="I829" s="35" t="str">
        <f t="shared" si="51"/>
        <v/>
      </c>
      <c r="J829" s="50"/>
      <c r="K829" s="17"/>
    </row>
    <row r="830" spans="1:11">
      <c r="A830" s="6">
        <f t="shared" si="48"/>
        <v>825</v>
      </c>
      <c r="B830" s="49"/>
      <c r="C830" s="35" t="str">
        <f>IFERROR(VLOOKUP(B830,'MASTER RECORD'!$B$5:$W$1000,3,0),"")</f>
        <v/>
      </c>
      <c r="D830" s="35" t="str">
        <f>IFERROR(VLOOKUP(B830,'MASTER RECORD'!$B$5:$W$1000,2,0),"")</f>
        <v/>
      </c>
      <c r="E830" s="36" t="str">
        <f>IFERROR(VLOOKUP(B830,'MASTER RECORD'!$B$5:$W$1000,9,0),"")</f>
        <v/>
      </c>
      <c r="F830" s="18"/>
      <c r="G830" s="18" t="str">
        <f t="shared" si="49"/>
        <v/>
      </c>
      <c r="H830" s="18" t="str">
        <f t="shared" si="50"/>
        <v/>
      </c>
      <c r="I830" s="35" t="str">
        <f t="shared" si="51"/>
        <v/>
      </c>
      <c r="J830" s="50"/>
      <c r="K830" s="17"/>
    </row>
    <row r="831" spans="1:11">
      <c r="A831" s="6">
        <f t="shared" si="48"/>
        <v>826</v>
      </c>
      <c r="B831" s="49"/>
      <c r="C831" s="35" t="str">
        <f>IFERROR(VLOOKUP(B831,'MASTER RECORD'!$B$5:$W$1000,3,0),"")</f>
        <v/>
      </c>
      <c r="D831" s="35" t="str">
        <f>IFERROR(VLOOKUP(B831,'MASTER RECORD'!$B$5:$W$1000,2,0),"")</f>
        <v/>
      </c>
      <c r="E831" s="36" t="str">
        <f>IFERROR(VLOOKUP(B831,'MASTER RECORD'!$B$5:$W$1000,9,0),"")</f>
        <v/>
      </c>
      <c r="F831" s="18"/>
      <c r="G831" s="18" t="str">
        <f t="shared" si="49"/>
        <v/>
      </c>
      <c r="H831" s="18" t="str">
        <f t="shared" si="50"/>
        <v/>
      </c>
      <c r="I831" s="35" t="str">
        <f t="shared" si="51"/>
        <v/>
      </c>
      <c r="J831" s="50"/>
      <c r="K831" s="17"/>
    </row>
    <row r="832" spans="1:11">
      <c r="A832" s="6">
        <f t="shared" si="48"/>
        <v>827</v>
      </c>
      <c r="B832" s="49"/>
      <c r="C832" s="35" t="str">
        <f>IFERROR(VLOOKUP(B832,'MASTER RECORD'!$B$5:$W$1000,3,0),"")</f>
        <v/>
      </c>
      <c r="D832" s="35" t="str">
        <f>IFERROR(VLOOKUP(B832,'MASTER RECORD'!$B$5:$W$1000,2,0),"")</f>
        <v/>
      </c>
      <c r="E832" s="36" t="str">
        <f>IFERROR(VLOOKUP(B832,'MASTER RECORD'!$B$5:$W$1000,9,0),"")</f>
        <v/>
      </c>
      <c r="F832" s="18"/>
      <c r="G832" s="18" t="str">
        <f t="shared" si="49"/>
        <v/>
      </c>
      <c r="H832" s="18" t="str">
        <f t="shared" si="50"/>
        <v/>
      </c>
      <c r="I832" s="35" t="str">
        <f t="shared" si="51"/>
        <v/>
      </c>
      <c r="J832" s="50"/>
      <c r="K832" s="17"/>
    </row>
    <row r="833" spans="1:11">
      <c r="A833" s="6">
        <f t="shared" si="48"/>
        <v>828</v>
      </c>
      <c r="B833" s="49"/>
      <c r="C833" s="35" t="str">
        <f>IFERROR(VLOOKUP(B833,'MASTER RECORD'!$B$5:$W$1000,3,0),"")</f>
        <v/>
      </c>
      <c r="D833" s="35" t="str">
        <f>IFERROR(VLOOKUP(B833,'MASTER RECORD'!$B$5:$W$1000,2,0),"")</f>
        <v/>
      </c>
      <c r="E833" s="36" t="str">
        <f>IFERROR(VLOOKUP(B833,'MASTER RECORD'!$B$5:$W$1000,9,0),"")</f>
        <v/>
      </c>
      <c r="F833" s="18"/>
      <c r="G833" s="18" t="str">
        <f t="shared" si="49"/>
        <v/>
      </c>
      <c r="H833" s="18" t="str">
        <f t="shared" si="50"/>
        <v/>
      </c>
      <c r="I833" s="35" t="str">
        <f t="shared" si="51"/>
        <v/>
      </c>
      <c r="J833" s="50"/>
      <c r="K833" s="17"/>
    </row>
  </sheetData>
  <mergeCells count="4">
    <mergeCell ref="A1:K2"/>
    <mergeCell ref="A4:K4"/>
    <mergeCell ref="N1:R1"/>
    <mergeCell ref="N2:P2"/>
  </mergeCells>
  <phoneticPr fontId="11" type="noConversion"/>
  <pageMargins left="0.7" right="0.7" top="0.75" bottom="0.75" header="0.3" footer="0.3"/>
  <ignoredErrors>
    <ignoredError sqref="P5" 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2C4C73B0-1CF5-A747-A3C7-80D88EF95A15}">
          <x14:formula1>
            <xm:f>'MASTER RECORD'!$B$6:$B$504</xm:f>
          </x14:formula1>
          <xm:sqref>B6:B833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26A5D-F0F7-8C45-93A7-EDF89D15850A}">
  <sheetPr codeName="Sheet6">
    <tabColor theme="0" tint="-0.249977111117893"/>
  </sheetPr>
  <dimension ref="A1:BI929"/>
  <sheetViews>
    <sheetView showGridLines="0" topLeftCell="I1" workbookViewId="0">
      <pane ySplit="5" topLeftCell="A6" activePane="bottomLeft" state="frozen"/>
      <selection pane="bottomLeft" activeCell="R8" sqref="R8"/>
    </sheetView>
  </sheetViews>
  <sheetFormatPr baseColWidth="10" defaultColWidth="0" defaultRowHeight="16"/>
  <cols>
    <col min="1" max="1" width="4.1640625" bestFit="1" customWidth="1"/>
    <col min="2" max="2" width="8.5" customWidth="1"/>
    <col min="3" max="3" width="13" style="2" customWidth="1"/>
    <col min="4" max="4" width="16.6640625" customWidth="1"/>
    <col min="5" max="5" width="14" customWidth="1"/>
    <col min="6" max="6" width="15.83203125" customWidth="1"/>
    <col min="7" max="7" width="13" customWidth="1"/>
    <col min="8" max="8" width="16.83203125" bestFit="1" customWidth="1"/>
    <col min="9" max="9" width="10.83203125" customWidth="1"/>
    <col min="10" max="10" width="10.5" customWidth="1"/>
    <col min="11" max="11" width="17.33203125" style="2" customWidth="1"/>
    <col min="12" max="12" width="10.33203125" customWidth="1"/>
    <col min="13" max="13" width="29.1640625" customWidth="1"/>
    <col min="14" max="15" width="10.83203125" customWidth="1"/>
    <col min="16" max="16" width="10.83203125" style="69" customWidth="1"/>
    <col min="17" max="17" width="14.5" style="68" customWidth="1"/>
    <col min="18" max="18" width="14.1640625" style="68" customWidth="1"/>
    <col min="19" max="23" width="10.83203125" style="68" customWidth="1"/>
    <col min="24" max="24" width="14" style="66" customWidth="1"/>
    <col min="25" max="25" width="13.83203125" style="66" customWidth="1"/>
    <col min="26" max="26" width="10.83203125" style="68" customWidth="1"/>
    <col min="27" max="27" width="6.1640625" customWidth="1"/>
    <col min="28" max="61" width="0" hidden="1" customWidth="1"/>
    <col min="62" max="16384" width="10.83203125" hidden="1"/>
  </cols>
  <sheetData>
    <row r="1" spans="1:61">
      <c r="A1" s="124" t="s">
        <v>21</v>
      </c>
      <c r="B1" s="125"/>
      <c r="C1" s="125"/>
      <c r="D1" s="125"/>
      <c r="E1" s="125"/>
      <c r="F1" s="125"/>
      <c r="G1" s="125"/>
      <c r="H1" s="125"/>
      <c r="I1" s="125"/>
      <c r="J1" s="125"/>
      <c r="K1" s="125"/>
      <c r="L1" s="125"/>
      <c r="M1" s="125"/>
      <c r="N1" s="23"/>
      <c r="O1" s="23"/>
      <c r="P1" s="23"/>
      <c r="Q1" s="23"/>
      <c r="R1" s="23"/>
      <c r="S1" s="23"/>
      <c r="T1" s="23"/>
      <c r="U1" s="23"/>
      <c r="V1" s="23"/>
      <c r="W1" s="23"/>
      <c r="X1" s="23"/>
      <c r="Y1" s="23"/>
      <c r="Z1" s="23"/>
      <c r="AA1" s="23"/>
    </row>
    <row r="2" spans="1:61">
      <c r="A2" s="126"/>
      <c r="B2" s="127"/>
      <c r="C2" s="127"/>
      <c r="D2" s="127"/>
      <c r="E2" s="127"/>
      <c r="F2" s="127"/>
      <c r="G2" s="127"/>
      <c r="H2" s="127"/>
      <c r="I2" s="127"/>
      <c r="J2" s="127"/>
      <c r="K2" s="127"/>
      <c r="L2" s="127"/>
      <c r="M2" s="127"/>
      <c r="N2" s="23"/>
      <c r="O2" s="23"/>
      <c r="P2" s="23"/>
      <c r="Q2" s="23"/>
      <c r="R2" s="23"/>
      <c r="S2" s="23"/>
      <c r="T2" s="23"/>
      <c r="U2" s="23"/>
      <c r="V2" s="23"/>
      <c r="W2" s="23"/>
      <c r="X2" s="23"/>
      <c r="Y2" s="23"/>
      <c r="Z2" s="23"/>
      <c r="AA2" s="23"/>
    </row>
    <row r="3" spans="1:61" ht="4" customHeight="1">
      <c r="A3" s="11"/>
      <c r="B3" s="12"/>
      <c r="C3" s="12"/>
      <c r="D3" s="12"/>
      <c r="E3" s="12"/>
      <c r="F3" s="12"/>
      <c r="G3" s="12"/>
      <c r="H3" s="12"/>
      <c r="I3" s="12"/>
      <c r="J3" s="12"/>
      <c r="K3" s="12"/>
      <c r="L3" s="12"/>
      <c r="M3" s="12"/>
      <c r="N3" s="43"/>
      <c r="O3" s="43"/>
      <c r="P3" s="43"/>
      <c r="Q3" s="43"/>
      <c r="R3" s="43"/>
      <c r="S3" s="43"/>
      <c r="T3" s="43"/>
      <c r="U3" s="43"/>
      <c r="V3" s="43"/>
      <c r="W3" s="43"/>
      <c r="X3" s="43"/>
      <c r="Y3" s="43"/>
      <c r="Z3" s="43"/>
      <c r="AA3" s="43"/>
    </row>
    <row r="4" spans="1:61" ht="26" customHeight="1">
      <c r="A4" s="148" t="s">
        <v>108</v>
      </c>
      <c r="B4" s="149"/>
      <c r="C4" s="149"/>
      <c r="D4" s="149"/>
      <c r="E4" s="149"/>
      <c r="F4" s="149"/>
      <c r="G4" s="149"/>
      <c r="H4" s="149"/>
      <c r="I4" s="149"/>
      <c r="J4" s="149"/>
      <c r="K4" s="149"/>
      <c r="L4" s="149"/>
      <c r="M4" s="149"/>
      <c r="N4" s="23"/>
      <c r="O4" s="23"/>
      <c r="P4" s="109"/>
      <c r="Q4" s="110"/>
      <c r="R4" s="71"/>
      <c r="S4" s="72"/>
      <c r="T4" s="72"/>
      <c r="U4" s="71"/>
      <c r="V4" s="73"/>
      <c r="W4" s="73"/>
      <c r="X4" s="71"/>
      <c r="Y4" s="74"/>
      <c r="Z4" s="75"/>
      <c r="AA4" s="73"/>
    </row>
    <row r="5" spans="1:61" ht="26" customHeight="1">
      <c r="A5" s="22" t="s">
        <v>13</v>
      </c>
      <c r="B5" s="22" t="s">
        <v>0</v>
      </c>
      <c r="C5" s="22" t="s">
        <v>97</v>
      </c>
      <c r="D5" s="19" t="s">
        <v>98</v>
      </c>
      <c r="E5" s="19" t="s">
        <v>105</v>
      </c>
      <c r="F5" s="19" t="s">
        <v>99</v>
      </c>
      <c r="G5" s="19" t="s">
        <v>100</v>
      </c>
      <c r="H5" s="44" t="s">
        <v>101</v>
      </c>
      <c r="I5" s="44" t="s">
        <v>106</v>
      </c>
      <c r="J5" s="45" t="s">
        <v>102</v>
      </c>
      <c r="K5" s="46" t="s">
        <v>103</v>
      </c>
      <c r="L5" s="47" t="s">
        <v>113</v>
      </c>
      <c r="M5" s="44" t="s">
        <v>104</v>
      </c>
      <c r="N5" s="23"/>
      <c r="O5" s="23"/>
      <c r="P5" s="108" t="s">
        <v>0</v>
      </c>
      <c r="Q5" s="26"/>
      <c r="R5" s="24"/>
      <c r="S5" s="24"/>
      <c r="T5" s="24"/>
      <c r="U5" s="24"/>
      <c r="V5" s="24"/>
      <c r="W5" s="24"/>
      <c r="X5" s="24"/>
      <c r="Y5" s="24"/>
      <c r="Z5" s="24"/>
      <c r="AA5" s="24"/>
    </row>
    <row r="6" spans="1:61" ht="26">
      <c r="A6" s="7">
        <f>ROW(A1)</f>
        <v>1</v>
      </c>
      <c r="B6" s="26" t="s">
        <v>131</v>
      </c>
      <c r="C6" s="8">
        <v>45363</v>
      </c>
      <c r="D6" s="48" t="s">
        <v>132</v>
      </c>
      <c r="E6" s="7" t="s">
        <v>133</v>
      </c>
      <c r="F6" s="7" t="s">
        <v>134</v>
      </c>
      <c r="G6" s="7" t="s">
        <v>134</v>
      </c>
      <c r="H6" s="7" t="s">
        <v>109</v>
      </c>
      <c r="I6" s="7" t="s">
        <v>135</v>
      </c>
      <c r="J6" s="7">
        <v>30</v>
      </c>
      <c r="K6" s="38">
        <f>IF(C6&gt;0,C6+J6-1,"")</f>
        <v>45392</v>
      </c>
      <c r="L6" s="37" t="str">
        <f ca="1">IF(K6="","",IF(TODAY()&gt;K6,"YES","No"))</f>
        <v>YES</v>
      </c>
      <c r="M6" s="7" t="s">
        <v>136</v>
      </c>
      <c r="N6" s="33"/>
      <c r="O6" s="33"/>
      <c r="P6" s="22" t="s">
        <v>97</v>
      </c>
      <c r="Q6" s="19" t="s">
        <v>98</v>
      </c>
      <c r="R6" s="19" t="s">
        <v>105</v>
      </c>
      <c r="S6" s="19" t="s">
        <v>99</v>
      </c>
      <c r="T6" s="19" t="s">
        <v>100</v>
      </c>
      <c r="U6" s="44" t="s">
        <v>101</v>
      </c>
      <c r="V6" s="44" t="s">
        <v>106</v>
      </c>
      <c r="W6" s="45" t="s">
        <v>102</v>
      </c>
      <c r="X6" s="46" t="s">
        <v>103</v>
      </c>
      <c r="Y6" s="47" t="s">
        <v>113</v>
      </c>
      <c r="Z6" s="44" t="s">
        <v>104</v>
      </c>
      <c r="AA6" s="33"/>
    </row>
    <row r="7" spans="1:61">
      <c r="A7" s="7">
        <f t="shared" ref="A7:A70" si="0">ROW(A2)</f>
        <v>2</v>
      </c>
      <c r="B7" s="26"/>
      <c r="C7" s="8"/>
      <c r="D7" s="7"/>
      <c r="E7" s="7"/>
      <c r="F7" s="7"/>
      <c r="G7" s="7"/>
      <c r="H7" s="7"/>
      <c r="I7" s="7"/>
      <c r="J7" s="7"/>
      <c r="K7" s="38" t="str">
        <f t="shared" ref="K7:K70" si="1">IF(C7&gt;0,C7+J7-1,"")</f>
        <v/>
      </c>
      <c r="L7" s="37" t="str">
        <f t="shared" ref="L7:L70" ca="1" si="2">IF(K7="","",IF(TODAY()&gt;K7,"YES","No"))</f>
        <v/>
      </c>
      <c r="M7" s="7"/>
      <c r="N7" s="33"/>
      <c r="O7" s="33"/>
      <c r="P7" s="8"/>
      <c r="Q7" s="48"/>
      <c r="R7" s="7"/>
      <c r="S7" s="7"/>
      <c r="T7" s="7"/>
      <c r="U7" s="7"/>
      <c r="V7" s="7"/>
      <c r="W7" s="7"/>
      <c r="X7" s="38"/>
      <c r="Y7" s="37"/>
      <c r="Z7" s="7"/>
      <c r="AA7" s="33"/>
      <c r="BI7" s="41" t="s">
        <v>109</v>
      </c>
    </row>
    <row r="8" spans="1:61">
      <c r="A8" s="7">
        <f t="shared" si="0"/>
        <v>3</v>
      </c>
      <c r="B8" s="26"/>
      <c r="C8" s="8"/>
      <c r="D8" s="7"/>
      <c r="E8" s="7"/>
      <c r="F8" s="7"/>
      <c r="G8" s="7"/>
      <c r="H8" s="7"/>
      <c r="I8" s="7"/>
      <c r="J8" s="7"/>
      <c r="K8" s="38" t="str">
        <f t="shared" si="1"/>
        <v/>
      </c>
      <c r="L8" s="37" t="str">
        <f t="shared" ca="1" si="2"/>
        <v/>
      </c>
      <c r="M8" s="7"/>
      <c r="N8" s="33"/>
      <c r="O8" s="33"/>
      <c r="P8" s="8"/>
      <c r="Q8" s="7"/>
      <c r="R8" s="7"/>
      <c r="S8" s="7"/>
      <c r="T8" s="7"/>
      <c r="U8" s="7"/>
      <c r="V8" s="7"/>
      <c r="W8" s="7"/>
      <c r="X8" s="38"/>
      <c r="Y8" s="37"/>
      <c r="Z8" s="7"/>
      <c r="AA8" s="33"/>
      <c r="BI8" s="41" t="s">
        <v>110</v>
      </c>
    </row>
    <row r="9" spans="1:61">
      <c r="A9" s="7">
        <f t="shared" si="0"/>
        <v>4</v>
      </c>
      <c r="B9" s="26"/>
      <c r="C9" s="8"/>
      <c r="D9" s="7"/>
      <c r="E9" s="7"/>
      <c r="F9" s="7"/>
      <c r="G9" s="7"/>
      <c r="H9" s="7"/>
      <c r="I9" s="7"/>
      <c r="J9" s="7"/>
      <c r="K9" s="38" t="str">
        <f t="shared" si="1"/>
        <v/>
      </c>
      <c r="L9" s="37" t="str">
        <f t="shared" ca="1" si="2"/>
        <v/>
      </c>
      <c r="M9" s="7"/>
      <c r="P9" s="67"/>
      <c r="X9" s="70"/>
      <c r="BI9" s="41" t="s">
        <v>111</v>
      </c>
    </row>
    <row r="10" spans="1:61">
      <c r="A10" s="7">
        <f t="shared" si="0"/>
        <v>5</v>
      </c>
      <c r="B10" s="26"/>
      <c r="C10" s="8"/>
      <c r="D10" s="7"/>
      <c r="E10" s="7"/>
      <c r="F10" s="7"/>
      <c r="G10" s="7"/>
      <c r="H10" s="7"/>
      <c r="I10" s="7"/>
      <c r="J10" s="7"/>
      <c r="K10" s="38" t="str">
        <f t="shared" si="1"/>
        <v/>
      </c>
      <c r="L10" s="37" t="str">
        <f t="shared" ca="1" si="2"/>
        <v/>
      </c>
      <c r="M10" s="7"/>
      <c r="P10" s="67"/>
      <c r="X10" s="70"/>
      <c r="BI10" s="42" t="s">
        <v>112</v>
      </c>
    </row>
    <row r="11" spans="1:61">
      <c r="A11" s="7">
        <f t="shared" si="0"/>
        <v>6</v>
      </c>
      <c r="B11" s="26"/>
      <c r="C11" s="8"/>
      <c r="D11" s="7"/>
      <c r="E11" s="7"/>
      <c r="F11" s="7"/>
      <c r="G11" s="7"/>
      <c r="H11" s="7"/>
      <c r="I11" s="7"/>
      <c r="J11" s="7"/>
      <c r="K11" s="38" t="str">
        <f t="shared" si="1"/>
        <v/>
      </c>
      <c r="L11" s="37" t="str">
        <f t="shared" ca="1" si="2"/>
        <v/>
      </c>
      <c r="M11" s="7"/>
      <c r="P11" s="67"/>
      <c r="X11" s="70"/>
      <c r="BI11" s="42"/>
    </row>
    <row r="12" spans="1:61">
      <c r="A12" s="7">
        <f t="shared" si="0"/>
        <v>7</v>
      </c>
      <c r="B12" s="26"/>
      <c r="C12" s="8"/>
      <c r="D12" s="7"/>
      <c r="E12" s="7"/>
      <c r="F12" s="7"/>
      <c r="G12" s="7"/>
      <c r="H12" s="7"/>
      <c r="I12" s="7"/>
      <c r="J12" s="7"/>
      <c r="K12" s="38" t="str">
        <f t="shared" si="1"/>
        <v/>
      </c>
      <c r="L12" s="37" t="str">
        <f t="shared" ca="1" si="2"/>
        <v/>
      </c>
      <c r="M12" s="7"/>
      <c r="P12" s="67"/>
      <c r="X12" s="70"/>
    </row>
    <row r="13" spans="1:61">
      <c r="A13" s="7">
        <f t="shared" si="0"/>
        <v>8</v>
      </c>
      <c r="B13" s="26"/>
      <c r="C13" s="8"/>
      <c r="D13" s="7"/>
      <c r="E13" s="7"/>
      <c r="F13" s="7"/>
      <c r="G13" s="7"/>
      <c r="H13" s="7"/>
      <c r="I13" s="7"/>
      <c r="J13" s="7"/>
      <c r="K13" s="38" t="str">
        <f t="shared" si="1"/>
        <v/>
      </c>
      <c r="L13" s="37" t="str">
        <f t="shared" ca="1" si="2"/>
        <v/>
      </c>
      <c r="M13" s="7"/>
      <c r="P13" s="67"/>
      <c r="X13" s="70"/>
    </row>
    <row r="14" spans="1:61">
      <c r="A14" s="7">
        <f t="shared" si="0"/>
        <v>9</v>
      </c>
      <c r="B14" s="26"/>
      <c r="C14" s="8"/>
      <c r="D14" s="7"/>
      <c r="E14" s="7"/>
      <c r="F14" s="7"/>
      <c r="G14" s="7"/>
      <c r="H14" s="7"/>
      <c r="I14" s="7"/>
      <c r="J14" s="7"/>
      <c r="K14" s="38" t="str">
        <f t="shared" si="1"/>
        <v/>
      </c>
      <c r="L14" s="37" t="str">
        <f t="shared" ca="1" si="2"/>
        <v/>
      </c>
      <c r="M14" s="7"/>
      <c r="P14" s="67"/>
      <c r="X14" s="70"/>
    </row>
    <row r="15" spans="1:61">
      <c r="A15" s="7">
        <f t="shared" si="0"/>
        <v>10</v>
      </c>
      <c r="B15" s="26"/>
      <c r="C15" s="8"/>
      <c r="D15" s="7"/>
      <c r="E15" s="7"/>
      <c r="F15" s="7"/>
      <c r="G15" s="7"/>
      <c r="H15" s="7"/>
      <c r="I15" s="7"/>
      <c r="J15" s="7"/>
      <c r="K15" s="38" t="str">
        <f t="shared" si="1"/>
        <v/>
      </c>
      <c r="L15" s="37" t="str">
        <f t="shared" ca="1" si="2"/>
        <v/>
      </c>
      <c r="M15" s="7"/>
      <c r="P15" s="67"/>
      <c r="X15" s="70"/>
    </row>
    <row r="16" spans="1:61">
      <c r="A16" s="7">
        <f t="shared" si="0"/>
        <v>11</v>
      </c>
      <c r="B16" s="26"/>
      <c r="C16" s="8"/>
      <c r="D16" s="7"/>
      <c r="E16" s="7"/>
      <c r="F16" s="7"/>
      <c r="G16" s="7"/>
      <c r="H16" s="7"/>
      <c r="I16" s="7"/>
      <c r="J16" s="7"/>
      <c r="K16" s="38" t="str">
        <f t="shared" si="1"/>
        <v/>
      </c>
      <c r="L16" s="37" t="str">
        <f t="shared" ca="1" si="2"/>
        <v/>
      </c>
      <c r="M16" s="7"/>
      <c r="P16" s="67"/>
      <c r="X16" s="70"/>
    </row>
    <row r="17" spans="1:24">
      <c r="A17" s="7">
        <f t="shared" si="0"/>
        <v>12</v>
      </c>
      <c r="B17" s="26"/>
      <c r="C17" s="8"/>
      <c r="D17" s="7"/>
      <c r="E17" s="7"/>
      <c r="F17" s="7"/>
      <c r="G17" s="7"/>
      <c r="H17" s="7"/>
      <c r="I17" s="7"/>
      <c r="J17" s="7"/>
      <c r="K17" s="38" t="str">
        <f t="shared" si="1"/>
        <v/>
      </c>
      <c r="L17" s="37" t="str">
        <f t="shared" ca="1" si="2"/>
        <v/>
      </c>
      <c r="M17" s="7"/>
      <c r="P17" s="67"/>
      <c r="X17" s="70"/>
    </row>
    <row r="18" spans="1:24">
      <c r="A18" s="7">
        <f t="shared" si="0"/>
        <v>13</v>
      </c>
      <c r="B18" s="26"/>
      <c r="C18" s="8"/>
      <c r="D18" s="7"/>
      <c r="E18" s="7"/>
      <c r="F18" s="7"/>
      <c r="G18" s="7"/>
      <c r="H18" s="7"/>
      <c r="I18" s="7"/>
      <c r="J18" s="7"/>
      <c r="K18" s="38" t="str">
        <f t="shared" si="1"/>
        <v/>
      </c>
      <c r="L18" s="37" t="str">
        <f t="shared" ca="1" si="2"/>
        <v/>
      </c>
      <c r="M18" s="7"/>
      <c r="P18" s="67"/>
      <c r="X18" s="70"/>
    </row>
    <row r="19" spans="1:24">
      <c r="A19" s="7">
        <f t="shared" si="0"/>
        <v>14</v>
      </c>
      <c r="B19" s="26"/>
      <c r="C19" s="8"/>
      <c r="D19" s="7"/>
      <c r="E19" s="7"/>
      <c r="F19" s="7"/>
      <c r="G19" s="7"/>
      <c r="H19" s="7"/>
      <c r="I19" s="7"/>
      <c r="J19" s="7"/>
      <c r="K19" s="38" t="str">
        <f t="shared" si="1"/>
        <v/>
      </c>
      <c r="L19" s="37" t="str">
        <f t="shared" ca="1" si="2"/>
        <v/>
      </c>
      <c r="M19" s="7"/>
      <c r="P19" s="67"/>
      <c r="X19" s="70"/>
    </row>
    <row r="20" spans="1:24">
      <c r="A20" s="7">
        <f t="shared" si="0"/>
        <v>15</v>
      </c>
      <c r="B20" s="26"/>
      <c r="C20" s="8"/>
      <c r="D20" s="7"/>
      <c r="E20" s="7"/>
      <c r="F20" s="7"/>
      <c r="G20" s="7"/>
      <c r="H20" s="7"/>
      <c r="I20" s="7"/>
      <c r="J20" s="7"/>
      <c r="K20" s="38" t="str">
        <f t="shared" si="1"/>
        <v/>
      </c>
      <c r="L20" s="37" t="str">
        <f t="shared" ca="1" si="2"/>
        <v/>
      </c>
      <c r="M20" s="7"/>
      <c r="P20" s="67"/>
      <c r="X20" s="70"/>
    </row>
    <row r="21" spans="1:24">
      <c r="A21" s="7">
        <f t="shared" si="0"/>
        <v>16</v>
      </c>
      <c r="B21" s="26"/>
      <c r="C21" s="8"/>
      <c r="D21" s="7"/>
      <c r="E21" s="7"/>
      <c r="F21" s="7"/>
      <c r="G21" s="7"/>
      <c r="H21" s="7"/>
      <c r="I21" s="7"/>
      <c r="J21" s="7"/>
      <c r="K21" s="38" t="str">
        <f t="shared" si="1"/>
        <v/>
      </c>
      <c r="L21" s="37" t="str">
        <f t="shared" ca="1" si="2"/>
        <v/>
      </c>
      <c r="M21" s="7"/>
      <c r="P21" s="67"/>
      <c r="X21" s="70"/>
    </row>
    <row r="22" spans="1:24">
      <c r="A22" s="7">
        <f t="shared" si="0"/>
        <v>17</v>
      </c>
      <c r="B22" s="26"/>
      <c r="C22" s="8"/>
      <c r="D22" s="7"/>
      <c r="E22" s="7"/>
      <c r="F22" s="7"/>
      <c r="G22" s="7"/>
      <c r="H22" s="7"/>
      <c r="I22" s="7"/>
      <c r="J22" s="7"/>
      <c r="K22" s="38" t="str">
        <f t="shared" si="1"/>
        <v/>
      </c>
      <c r="L22" s="37" t="str">
        <f t="shared" ca="1" si="2"/>
        <v/>
      </c>
      <c r="M22" s="7"/>
      <c r="P22" s="67"/>
      <c r="X22" s="70"/>
    </row>
    <row r="23" spans="1:24">
      <c r="A23" s="7">
        <f t="shared" si="0"/>
        <v>18</v>
      </c>
      <c r="B23" s="26" t="s">
        <v>131</v>
      </c>
      <c r="C23" s="8">
        <v>46308</v>
      </c>
      <c r="D23" s="7" t="s">
        <v>137</v>
      </c>
      <c r="E23" s="7" t="s">
        <v>138</v>
      </c>
      <c r="F23" s="7" t="s">
        <v>139</v>
      </c>
      <c r="G23" s="7"/>
      <c r="H23" s="7"/>
      <c r="I23" s="7" t="s">
        <v>140</v>
      </c>
      <c r="J23" s="7">
        <v>69</v>
      </c>
      <c r="K23" s="38">
        <f t="shared" si="1"/>
        <v>46376</v>
      </c>
      <c r="L23" s="37" t="str">
        <f t="shared" ca="1" si="2"/>
        <v>No</v>
      </c>
      <c r="M23" s="7" t="s">
        <v>141</v>
      </c>
      <c r="P23" s="67"/>
      <c r="X23" s="70"/>
    </row>
    <row r="24" spans="1:24">
      <c r="A24" s="7">
        <f t="shared" si="0"/>
        <v>19</v>
      </c>
      <c r="B24" s="26"/>
      <c r="C24" s="8"/>
      <c r="D24" s="7"/>
      <c r="E24" s="7"/>
      <c r="F24" s="7"/>
      <c r="G24" s="7"/>
      <c r="H24" s="7"/>
      <c r="I24" s="7"/>
      <c r="J24" s="7"/>
      <c r="K24" s="38" t="str">
        <f t="shared" si="1"/>
        <v/>
      </c>
      <c r="L24" s="37" t="str">
        <f t="shared" ca="1" si="2"/>
        <v/>
      </c>
      <c r="M24" s="7"/>
      <c r="P24" s="67"/>
      <c r="X24" s="70"/>
    </row>
    <row r="25" spans="1:24">
      <c r="A25" s="7">
        <f t="shared" si="0"/>
        <v>20</v>
      </c>
      <c r="B25" s="26"/>
      <c r="C25" s="8"/>
      <c r="D25" s="7"/>
      <c r="E25" s="7"/>
      <c r="F25" s="7"/>
      <c r="G25" s="7"/>
      <c r="H25" s="7"/>
      <c r="I25" s="7"/>
      <c r="J25" s="7"/>
      <c r="K25" s="38" t="str">
        <f t="shared" si="1"/>
        <v/>
      </c>
      <c r="L25" s="37" t="str">
        <f t="shared" ca="1" si="2"/>
        <v/>
      </c>
      <c r="M25" s="7"/>
      <c r="P25" s="67"/>
      <c r="X25" s="70"/>
    </row>
    <row r="26" spans="1:24">
      <c r="A26" s="7">
        <f t="shared" si="0"/>
        <v>21</v>
      </c>
      <c r="B26" s="26"/>
      <c r="C26" s="8"/>
      <c r="D26" s="7"/>
      <c r="E26" s="7"/>
      <c r="F26" s="7"/>
      <c r="G26" s="7"/>
      <c r="H26" s="7"/>
      <c r="I26" s="7"/>
      <c r="J26" s="7"/>
      <c r="K26" s="38" t="str">
        <f t="shared" si="1"/>
        <v/>
      </c>
      <c r="L26" s="37" t="str">
        <f t="shared" ca="1" si="2"/>
        <v/>
      </c>
      <c r="M26" s="7"/>
      <c r="P26" s="67"/>
      <c r="X26" s="70"/>
    </row>
    <row r="27" spans="1:24">
      <c r="A27" s="7">
        <f t="shared" si="0"/>
        <v>22</v>
      </c>
      <c r="B27" s="26"/>
      <c r="C27" s="8"/>
      <c r="D27" s="7"/>
      <c r="E27" s="7"/>
      <c r="F27" s="7"/>
      <c r="G27" s="7"/>
      <c r="H27" s="7"/>
      <c r="I27" s="7"/>
      <c r="J27" s="7"/>
      <c r="K27" s="38" t="str">
        <f t="shared" si="1"/>
        <v/>
      </c>
      <c r="L27" s="37" t="str">
        <f t="shared" ca="1" si="2"/>
        <v/>
      </c>
      <c r="M27" s="7"/>
      <c r="P27" s="67"/>
      <c r="X27" s="70"/>
    </row>
    <row r="28" spans="1:24">
      <c r="A28" s="7">
        <f t="shared" si="0"/>
        <v>23</v>
      </c>
      <c r="B28" s="26"/>
      <c r="C28" s="8"/>
      <c r="D28" s="7"/>
      <c r="E28" s="7"/>
      <c r="F28" s="7"/>
      <c r="G28" s="7"/>
      <c r="H28" s="7"/>
      <c r="I28" s="7"/>
      <c r="J28" s="7"/>
      <c r="K28" s="38" t="str">
        <f t="shared" si="1"/>
        <v/>
      </c>
      <c r="L28" s="37" t="str">
        <f t="shared" ca="1" si="2"/>
        <v/>
      </c>
      <c r="M28" s="7"/>
      <c r="P28" s="67"/>
      <c r="X28" s="70"/>
    </row>
    <row r="29" spans="1:24">
      <c r="A29" s="7">
        <f t="shared" si="0"/>
        <v>24</v>
      </c>
      <c r="B29" s="26"/>
      <c r="C29" s="8"/>
      <c r="D29" s="7"/>
      <c r="E29" s="7"/>
      <c r="F29" s="7"/>
      <c r="G29" s="7"/>
      <c r="H29" s="7"/>
      <c r="I29" s="7"/>
      <c r="J29" s="7"/>
      <c r="K29" s="38" t="str">
        <f t="shared" si="1"/>
        <v/>
      </c>
      <c r="L29" s="37" t="str">
        <f t="shared" ca="1" si="2"/>
        <v/>
      </c>
      <c r="M29" s="7"/>
      <c r="P29" s="67"/>
      <c r="X29" s="70"/>
    </row>
    <row r="30" spans="1:24">
      <c r="A30" s="7">
        <f t="shared" si="0"/>
        <v>25</v>
      </c>
      <c r="B30" s="26"/>
      <c r="C30" s="8"/>
      <c r="D30" s="7"/>
      <c r="E30" s="7"/>
      <c r="F30" s="7"/>
      <c r="G30" s="7"/>
      <c r="H30" s="7"/>
      <c r="I30" s="7"/>
      <c r="J30" s="7"/>
      <c r="K30" s="38" t="str">
        <f t="shared" si="1"/>
        <v/>
      </c>
      <c r="L30" s="37" t="str">
        <f t="shared" ca="1" si="2"/>
        <v/>
      </c>
      <c r="M30" s="7"/>
      <c r="P30" s="67"/>
      <c r="X30" s="70"/>
    </row>
    <row r="31" spans="1:24">
      <c r="A31" s="7">
        <f t="shared" si="0"/>
        <v>26</v>
      </c>
      <c r="B31" s="26"/>
      <c r="C31" s="8"/>
      <c r="D31" s="7"/>
      <c r="E31" s="7"/>
      <c r="F31" s="7"/>
      <c r="G31" s="7"/>
      <c r="H31" s="7"/>
      <c r="I31" s="7"/>
      <c r="J31" s="7"/>
      <c r="K31" s="38" t="str">
        <f t="shared" si="1"/>
        <v/>
      </c>
      <c r="L31" s="37" t="str">
        <f t="shared" ca="1" si="2"/>
        <v/>
      </c>
      <c r="M31" s="7"/>
      <c r="P31" s="67"/>
      <c r="X31" s="70"/>
    </row>
    <row r="32" spans="1:24">
      <c r="A32" s="7">
        <f t="shared" si="0"/>
        <v>27</v>
      </c>
      <c r="B32" s="26"/>
      <c r="C32" s="8"/>
      <c r="D32" s="7"/>
      <c r="E32" s="7"/>
      <c r="F32" s="7"/>
      <c r="G32" s="7"/>
      <c r="H32" s="7"/>
      <c r="I32" s="7"/>
      <c r="J32" s="7"/>
      <c r="K32" s="38" t="str">
        <f t="shared" si="1"/>
        <v/>
      </c>
      <c r="L32" s="37" t="str">
        <f t="shared" ca="1" si="2"/>
        <v/>
      </c>
      <c r="M32" s="7"/>
      <c r="P32" s="67"/>
      <c r="X32" s="70"/>
    </row>
    <row r="33" spans="1:24">
      <c r="A33" s="7">
        <f t="shared" si="0"/>
        <v>28</v>
      </c>
      <c r="B33" s="26"/>
      <c r="C33" s="8"/>
      <c r="D33" s="7"/>
      <c r="E33" s="7"/>
      <c r="F33" s="7"/>
      <c r="G33" s="7"/>
      <c r="H33" s="7"/>
      <c r="I33" s="7"/>
      <c r="J33" s="7"/>
      <c r="K33" s="38" t="str">
        <f t="shared" si="1"/>
        <v/>
      </c>
      <c r="L33" s="37" t="str">
        <f t="shared" ca="1" si="2"/>
        <v/>
      </c>
      <c r="M33" s="7"/>
      <c r="P33" s="67"/>
      <c r="X33" s="70"/>
    </row>
    <row r="34" spans="1:24">
      <c r="A34" s="7">
        <f t="shared" si="0"/>
        <v>29</v>
      </c>
      <c r="B34" s="26"/>
      <c r="C34" s="8"/>
      <c r="D34" s="7"/>
      <c r="E34" s="7"/>
      <c r="F34" s="7"/>
      <c r="G34" s="7"/>
      <c r="H34" s="7"/>
      <c r="I34" s="7"/>
      <c r="J34" s="7"/>
      <c r="K34" s="38" t="str">
        <f t="shared" si="1"/>
        <v/>
      </c>
      <c r="L34" s="37" t="str">
        <f t="shared" ca="1" si="2"/>
        <v/>
      </c>
      <c r="M34" s="7"/>
      <c r="P34" s="67"/>
      <c r="X34" s="70"/>
    </row>
    <row r="35" spans="1:24">
      <c r="A35" s="7">
        <f t="shared" si="0"/>
        <v>30</v>
      </c>
      <c r="B35" s="26"/>
      <c r="C35" s="8"/>
      <c r="D35" s="7"/>
      <c r="E35" s="7"/>
      <c r="F35" s="7"/>
      <c r="G35" s="7"/>
      <c r="H35" s="7"/>
      <c r="I35" s="7"/>
      <c r="J35" s="7"/>
      <c r="K35" s="38" t="str">
        <f t="shared" si="1"/>
        <v/>
      </c>
      <c r="L35" s="37" t="str">
        <f t="shared" ca="1" si="2"/>
        <v/>
      </c>
      <c r="M35" s="7"/>
      <c r="P35" s="67"/>
      <c r="X35" s="70"/>
    </row>
    <row r="36" spans="1:24">
      <c r="A36" s="7">
        <f t="shared" si="0"/>
        <v>31</v>
      </c>
      <c r="B36" s="26"/>
      <c r="C36" s="8"/>
      <c r="D36" s="7"/>
      <c r="E36" s="7"/>
      <c r="F36" s="7"/>
      <c r="G36" s="7"/>
      <c r="H36" s="7"/>
      <c r="I36" s="7"/>
      <c r="J36" s="7"/>
      <c r="K36" s="38" t="str">
        <f t="shared" si="1"/>
        <v/>
      </c>
      <c r="L36" s="37" t="str">
        <f t="shared" ca="1" si="2"/>
        <v/>
      </c>
      <c r="M36" s="7"/>
      <c r="P36" s="67"/>
      <c r="X36" s="70"/>
    </row>
    <row r="37" spans="1:24">
      <c r="A37" s="7">
        <f t="shared" si="0"/>
        <v>32</v>
      </c>
      <c r="B37" s="26"/>
      <c r="C37" s="8"/>
      <c r="D37" s="7"/>
      <c r="E37" s="7"/>
      <c r="F37" s="7"/>
      <c r="G37" s="7"/>
      <c r="H37" s="7"/>
      <c r="I37" s="7"/>
      <c r="J37" s="7"/>
      <c r="K37" s="38" t="str">
        <f t="shared" si="1"/>
        <v/>
      </c>
      <c r="L37" s="37" t="str">
        <f t="shared" ca="1" si="2"/>
        <v/>
      </c>
      <c r="M37" s="7"/>
      <c r="P37" s="67"/>
      <c r="X37" s="70"/>
    </row>
    <row r="38" spans="1:24">
      <c r="A38" s="7">
        <f t="shared" si="0"/>
        <v>33</v>
      </c>
      <c r="B38" s="26"/>
      <c r="C38" s="8"/>
      <c r="D38" s="7"/>
      <c r="E38" s="7"/>
      <c r="F38" s="7"/>
      <c r="G38" s="7"/>
      <c r="H38" s="7"/>
      <c r="I38" s="7"/>
      <c r="J38" s="7"/>
      <c r="K38" s="38" t="str">
        <f t="shared" si="1"/>
        <v/>
      </c>
      <c r="L38" s="37" t="str">
        <f t="shared" ca="1" si="2"/>
        <v/>
      </c>
      <c r="M38" s="7"/>
      <c r="P38" s="67"/>
      <c r="X38" s="70"/>
    </row>
    <row r="39" spans="1:24">
      <c r="A39" s="7">
        <f t="shared" si="0"/>
        <v>34</v>
      </c>
      <c r="B39" s="26"/>
      <c r="C39" s="8"/>
      <c r="D39" s="7"/>
      <c r="E39" s="7"/>
      <c r="F39" s="7"/>
      <c r="G39" s="7"/>
      <c r="H39" s="7"/>
      <c r="I39" s="7"/>
      <c r="J39" s="7"/>
      <c r="K39" s="38" t="str">
        <f t="shared" si="1"/>
        <v/>
      </c>
      <c r="L39" s="37" t="str">
        <f t="shared" ca="1" si="2"/>
        <v/>
      </c>
      <c r="M39" s="7"/>
      <c r="P39" s="67"/>
      <c r="X39" s="70"/>
    </row>
    <row r="40" spans="1:24">
      <c r="A40" s="7">
        <f t="shared" si="0"/>
        <v>35</v>
      </c>
      <c r="B40" s="26"/>
      <c r="C40" s="8"/>
      <c r="D40" s="7"/>
      <c r="E40" s="7"/>
      <c r="F40" s="7"/>
      <c r="G40" s="7"/>
      <c r="H40" s="7"/>
      <c r="I40" s="7"/>
      <c r="J40" s="7"/>
      <c r="K40" s="38" t="str">
        <f t="shared" si="1"/>
        <v/>
      </c>
      <c r="L40" s="37" t="str">
        <f t="shared" ca="1" si="2"/>
        <v/>
      </c>
      <c r="M40" s="7"/>
      <c r="P40" s="67"/>
      <c r="X40" s="70"/>
    </row>
    <row r="41" spans="1:24">
      <c r="A41" s="7">
        <f t="shared" si="0"/>
        <v>36</v>
      </c>
      <c r="B41" s="26"/>
      <c r="C41" s="8"/>
      <c r="D41" s="7"/>
      <c r="E41" s="7"/>
      <c r="F41" s="7"/>
      <c r="G41" s="7"/>
      <c r="H41" s="7"/>
      <c r="I41" s="7"/>
      <c r="J41" s="7"/>
      <c r="K41" s="38" t="str">
        <f t="shared" si="1"/>
        <v/>
      </c>
      <c r="L41" s="37" t="str">
        <f t="shared" ca="1" si="2"/>
        <v/>
      </c>
      <c r="M41" s="7"/>
      <c r="P41" s="67"/>
      <c r="X41" s="70"/>
    </row>
    <row r="42" spans="1:24">
      <c r="A42" s="7">
        <f t="shared" si="0"/>
        <v>37</v>
      </c>
      <c r="B42" s="26"/>
      <c r="C42" s="8"/>
      <c r="D42" s="7"/>
      <c r="E42" s="7"/>
      <c r="F42" s="7"/>
      <c r="G42" s="7"/>
      <c r="H42" s="7"/>
      <c r="I42" s="7"/>
      <c r="J42" s="7"/>
      <c r="K42" s="38" t="str">
        <f t="shared" si="1"/>
        <v/>
      </c>
      <c r="L42" s="37" t="str">
        <f t="shared" ca="1" si="2"/>
        <v/>
      </c>
      <c r="M42" s="7"/>
      <c r="P42" s="67"/>
      <c r="X42" s="70"/>
    </row>
    <row r="43" spans="1:24">
      <c r="A43" s="7">
        <f t="shared" si="0"/>
        <v>38</v>
      </c>
      <c r="B43" s="26"/>
      <c r="C43" s="8"/>
      <c r="D43" s="7"/>
      <c r="E43" s="7"/>
      <c r="F43" s="7"/>
      <c r="G43" s="7"/>
      <c r="H43" s="7"/>
      <c r="I43" s="7"/>
      <c r="J43" s="7"/>
      <c r="K43" s="38" t="str">
        <f t="shared" si="1"/>
        <v/>
      </c>
      <c r="L43" s="37" t="str">
        <f t="shared" ca="1" si="2"/>
        <v/>
      </c>
      <c r="M43" s="7"/>
      <c r="P43" s="67"/>
      <c r="X43" s="70"/>
    </row>
    <row r="44" spans="1:24">
      <c r="A44" s="7">
        <f t="shared" si="0"/>
        <v>39</v>
      </c>
      <c r="B44" s="26"/>
      <c r="C44" s="8"/>
      <c r="D44" s="7"/>
      <c r="E44" s="7"/>
      <c r="F44" s="7"/>
      <c r="G44" s="7"/>
      <c r="H44" s="7"/>
      <c r="I44" s="7"/>
      <c r="J44" s="7"/>
      <c r="K44" s="38" t="str">
        <f t="shared" si="1"/>
        <v/>
      </c>
      <c r="L44" s="37" t="str">
        <f t="shared" ca="1" si="2"/>
        <v/>
      </c>
      <c r="M44" s="7"/>
      <c r="P44" s="67"/>
      <c r="X44" s="70"/>
    </row>
    <row r="45" spans="1:24">
      <c r="A45" s="7">
        <f t="shared" si="0"/>
        <v>40</v>
      </c>
      <c r="B45" s="26"/>
      <c r="C45" s="8"/>
      <c r="D45" s="7"/>
      <c r="E45" s="7"/>
      <c r="F45" s="7"/>
      <c r="G45" s="7"/>
      <c r="H45" s="7"/>
      <c r="I45" s="7"/>
      <c r="J45" s="7"/>
      <c r="K45" s="38" t="str">
        <f t="shared" si="1"/>
        <v/>
      </c>
      <c r="L45" s="37" t="str">
        <f t="shared" ca="1" si="2"/>
        <v/>
      </c>
      <c r="M45" s="7"/>
      <c r="P45" s="67"/>
      <c r="X45" s="70"/>
    </row>
    <row r="46" spans="1:24">
      <c r="A46" s="7">
        <f t="shared" si="0"/>
        <v>41</v>
      </c>
      <c r="B46" s="26"/>
      <c r="C46" s="8"/>
      <c r="D46" s="7"/>
      <c r="E46" s="7"/>
      <c r="F46" s="7"/>
      <c r="G46" s="7"/>
      <c r="H46" s="7"/>
      <c r="I46" s="7"/>
      <c r="J46" s="7"/>
      <c r="K46" s="38" t="str">
        <f t="shared" si="1"/>
        <v/>
      </c>
      <c r="L46" s="37" t="str">
        <f t="shared" ca="1" si="2"/>
        <v/>
      </c>
      <c r="M46" s="7"/>
      <c r="P46" s="67"/>
      <c r="X46" s="70"/>
    </row>
    <row r="47" spans="1:24">
      <c r="A47" s="7">
        <f t="shared" si="0"/>
        <v>42</v>
      </c>
      <c r="B47" s="26"/>
      <c r="C47" s="8"/>
      <c r="D47" s="7"/>
      <c r="E47" s="7"/>
      <c r="F47" s="7"/>
      <c r="G47" s="7"/>
      <c r="H47" s="7"/>
      <c r="I47" s="7"/>
      <c r="J47" s="7"/>
      <c r="K47" s="38" t="str">
        <f t="shared" si="1"/>
        <v/>
      </c>
      <c r="L47" s="37" t="str">
        <f t="shared" ca="1" si="2"/>
        <v/>
      </c>
      <c r="M47" s="7"/>
      <c r="P47" s="67"/>
      <c r="X47" s="70"/>
    </row>
    <row r="48" spans="1:24">
      <c r="A48" s="7">
        <f t="shared" si="0"/>
        <v>43</v>
      </c>
      <c r="B48" s="26"/>
      <c r="C48" s="8"/>
      <c r="D48" s="7"/>
      <c r="E48" s="7"/>
      <c r="F48" s="7"/>
      <c r="G48" s="7"/>
      <c r="H48" s="7"/>
      <c r="I48" s="7"/>
      <c r="J48" s="7"/>
      <c r="K48" s="38" t="str">
        <f t="shared" si="1"/>
        <v/>
      </c>
      <c r="L48" s="37" t="str">
        <f t="shared" ca="1" si="2"/>
        <v/>
      </c>
      <c r="M48" s="7"/>
      <c r="P48" s="67"/>
      <c r="X48" s="70"/>
    </row>
    <row r="49" spans="1:24">
      <c r="A49" s="7">
        <f t="shared" si="0"/>
        <v>44</v>
      </c>
      <c r="B49" s="26"/>
      <c r="C49" s="8"/>
      <c r="D49" s="7"/>
      <c r="E49" s="7"/>
      <c r="F49" s="7"/>
      <c r="G49" s="7"/>
      <c r="H49" s="7"/>
      <c r="I49" s="7"/>
      <c r="J49" s="7"/>
      <c r="K49" s="38" t="str">
        <f t="shared" si="1"/>
        <v/>
      </c>
      <c r="L49" s="37" t="str">
        <f t="shared" ca="1" si="2"/>
        <v/>
      </c>
      <c r="M49" s="7"/>
      <c r="P49" s="67"/>
      <c r="X49" s="70"/>
    </row>
    <row r="50" spans="1:24">
      <c r="A50" s="7">
        <f t="shared" si="0"/>
        <v>45</v>
      </c>
      <c r="B50" s="26"/>
      <c r="C50" s="8"/>
      <c r="D50" s="7"/>
      <c r="E50" s="7"/>
      <c r="F50" s="7"/>
      <c r="G50" s="7"/>
      <c r="H50" s="7"/>
      <c r="I50" s="7"/>
      <c r="J50" s="7"/>
      <c r="K50" s="38" t="str">
        <f t="shared" si="1"/>
        <v/>
      </c>
      <c r="L50" s="37" t="str">
        <f t="shared" ca="1" si="2"/>
        <v/>
      </c>
      <c r="M50" s="7"/>
      <c r="P50" s="67"/>
      <c r="X50" s="70"/>
    </row>
    <row r="51" spans="1:24">
      <c r="A51" s="7">
        <f t="shared" si="0"/>
        <v>46</v>
      </c>
      <c r="B51" s="26"/>
      <c r="C51" s="8"/>
      <c r="D51" s="7"/>
      <c r="E51" s="7"/>
      <c r="F51" s="7"/>
      <c r="G51" s="7"/>
      <c r="H51" s="7"/>
      <c r="I51" s="7"/>
      <c r="J51" s="7"/>
      <c r="K51" s="38" t="str">
        <f t="shared" si="1"/>
        <v/>
      </c>
      <c r="L51" s="37" t="str">
        <f t="shared" ca="1" si="2"/>
        <v/>
      </c>
      <c r="M51" s="7"/>
      <c r="P51" s="67"/>
      <c r="X51" s="70"/>
    </row>
    <row r="52" spans="1:24">
      <c r="A52" s="7">
        <f t="shared" si="0"/>
        <v>47</v>
      </c>
      <c r="B52" s="26"/>
      <c r="C52" s="8"/>
      <c r="D52" s="7"/>
      <c r="E52" s="7"/>
      <c r="F52" s="7"/>
      <c r="G52" s="7"/>
      <c r="H52" s="7"/>
      <c r="I52" s="7"/>
      <c r="J52" s="7"/>
      <c r="K52" s="38" t="str">
        <f t="shared" si="1"/>
        <v/>
      </c>
      <c r="L52" s="37" t="str">
        <f t="shared" ca="1" si="2"/>
        <v/>
      </c>
      <c r="M52" s="7"/>
      <c r="P52" s="67"/>
      <c r="X52" s="70"/>
    </row>
    <row r="53" spans="1:24">
      <c r="A53" s="7">
        <f t="shared" si="0"/>
        <v>48</v>
      </c>
      <c r="B53" s="26"/>
      <c r="C53" s="8"/>
      <c r="D53" s="7"/>
      <c r="E53" s="7"/>
      <c r="F53" s="7"/>
      <c r="G53" s="7"/>
      <c r="H53" s="7"/>
      <c r="I53" s="7"/>
      <c r="J53" s="7"/>
      <c r="K53" s="38" t="str">
        <f t="shared" si="1"/>
        <v/>
      </c>
      <c r="L53" s="37" t="str">
        <f t="shared" ca="1" si="2"/>
        <v/>
      </c>
      <c r="M53" s="7"/>
      <c r="P53" s="67"/>
      <c r="X53" s="70"/>
    </row>
    <row r="54" spans="1:24">
      <c r="A54" s="7">
        <f t="shared" si="0"/>
        <v>49</v>
      </c>
      <c r="B54" s="26"/>
      <c r="C54" s="8"/>
      <c r="D54" s="7"/>
      <c r="E54" s="7"/>
      <c r="F54" s="7"/>
      <c r="G54" s="7"/>
      <c r="H54" s="7"/>
      <c r="I54" s="7"/>
      <c r="J54" s="7"/>
      <c r="K54" s="38" t="str">
        <f t="shared" si="1"/>
        <v/>
      </c>
      <c r="L54" s="37" t="str">
        <f t="shared" ca="1" si="2"/>
        <v/>
      </c>
      <c r="M54" s="7"/>
      <c r="P54" s="67"/>
      <c r="X54" s="70"/>
    </row>
    <row r="55" spans="1:24">
      <c r="A55" s="7">
        <f t="shared" si="0"/>
        <v>50</v>
      </c>
      <c r="B55" s="26"/>
      <c r="C55" s="8"/>
      <c r="D55" s="7"/>
      <c r="E55" s="7"/>
      <c r="F55" s="7"/>
      <c r="G55" s="7"/>
      <c r="H55" s="7"/>
      <c r="I55" s="7"/>
      <c r="J55" s="7"/>
      <c r="K55" s="38" t="str">
        <f t="shared" si="1"/>
        <v/>
      </c>
      <c r="L55" s="37" t="str">
        <f t="shared" ca="1" si="2"/>
        <v/>
      </c>
      <c r="M55" s="7"/>
      <c r="P55" s="67"/>
      <c r="X55" s="70"/>
    </row>
    <row r="56" spans="1:24">
      <c r="A56" s="7">
        <f t="shared" si="0"/>
        <v>51</v>
      </c>
      <c r="B56" s="26"/>
      <c r="C56" s="8"/>
      <c r="D56" s="7"/>
      <c r="E56" s="7"/>
      <c r="F56" s="7"/>
      <c r="G56" s="7"/>
      <c r="H56" s="7"/>
      <c r="I56" s="7"/>
      <c r="J56" s="7"/>
      <c r="K56" s="38" t="str">
        <f t="shared" si="1"/>
        <v/>
      </c>
      <c r="L56" s="37" t="str">
        <f t="shared" ca="1" si="2"/>
        <v/>
      </c>
      <c r="M56" s="7"/>
      <c r="P56" s="67"/>
      <c r="X56" s="70"/>
    </row>
    <row r="57" spans="1:24">
      <c r="A57" s="7">
        <f t="shared" si="0"/>
        <v>52</v>
      </c>
      <c r="B57" s="26"/>
      <c r="C57" s="8"/>
      <c r="D57" s="7"/>
      <c r="E57" s="7"/>
      <c r="F57" s="7"/>
      <c r="G57" s="7"/>
      <c r="H57" s="7"/>
      <c r="I57" s="7"/>
      <c r="J57" s="7"/>
      <c r="K57" s="38" t="str">
        <f t="shared" si="1"/>
        <v/>
      </c>
      <c r="L57" s="37" t="str">
        <f t="shared" ca="1" si="2"/>
        <v/>
      </c>
      <c r="M57" s="7"/>
      <c r="P57" s="67"/>
      <c r="X57" s="70"/>
    </row>
    <row r="58" spans="1:24">
      <c r="A58" s="7">
        <f t="shared" si="0"/>
        <v>53</v>
      </c>
      <c r="B58" s="26"/>
      <c r="C58" s="8"/>
      <c r="D58" s="7"/>
      <c r="E58" s="7"/>
      <c r="F58" s="7"/>
      <c r="G58" s="7"/>
      <c r="H58" s="7"/>
      <c r="I58" s="7"/>
      <c r="J58" s="7"/>
      <c r="K58" s="38" t="str">
        <f t="shared" si="1"/>
        <v/>
      </c>
      <c r="L58" s="37" t="str">
        <f t="shared" ca="1" si="2"/>
        <v/>
      </c>
      <c r="M58" s="7"/>
      <c r="P58" s="67"/>
      <c r="X58" s="70"/>
    </row>
    <row r="59" spans="1:24">
      <c r="A59" s="7">
        <f t="shared" si="0"/>
        <v>54</v>
      </c>
      <c r="B59" s="26"/>
      <c r="C59" s="8"/>
      <c r="D59" s="7"/>
      <c r="E59" s="7"/>
      <c r="F59" s="7"/>
      <c r="G59" s="7"/>
      <c r="H59" s="7"/>
      <c r="I59" s="7"/>
      <c r="J59" s="7"/>
      <c r="K59" s="38" t="str">
        <f t="shared" si="1"/>
        <v/>
      </c>
      <c r="L59" s="37" t="str">
        <f t="shared" ca="1" si="2"/>
        <v/>
      </c>
      <c r="M59" s="7"/>
      <c r="P59" s="67"/>
      <c r="X59" s="70"/>
    </row>
    <row r="60" spans="1:24">
      <c r="A60" s="7">
        <f t="shared" si="0"/>
        <v>55</v>
      </c>
      <c r="B60" s="26"/>
      <c r="C60" s="8"/>
      <c r="D60" s="7"/>
      <c r="E60" s="7"/>
      <c r="F60" s="7"/>
      <c r="G60" s="7"/>
      <c r="H60" s="7"/>
      <c r="I60" s="7"/>
      <c r="J60" s="7"/>
      <c r="K60" s="38" t="str">
        <f t="shared" si="1"/>
        <v/>
      </c>
      <c r="L60" s="37" t="str">
        <f t="shared" ca="1" si="2"/>
        <v/>
      </c>
      <c r="M60" s="7"/>
      <c r="P60" s="67"/>
      <c r="X60" s="70"/>
    </row>
    <row r="61" spans="1:24">
      <c r="A61" s="7">
        <f t="shared" si="0"/>
        <v>56</v>
      </c>
      <c r="B61" s="26"/>
      <c r="C61" s="8"/>
      <c r="D61" s="7"/>
      <c r="E61" s="7"/>
      <c r="F61" s="7"/>
      <c r="G61" s="7"/>
      <c r="H61" s="7"/>
      <c r="I61" s="7"/>
      <c r="J61" s="7"/>
      <c r="K61" s="38" t="str">
        <f t="shared" si="1"/>
        <v/>
      </c>
      <c r="L61" s="37" t="str">
        <f t="shared" ca="1" si="2"/>
        <v/>
      </c>
      <c r="M61" s="7"/>
      <c r="P61" s="67"/>
      <c r="X61" s="70"/>
    </row>
    <row r="62" spans="1:24">
      <c r="A62" s="7">
        <f t="shared" si="0"/>
        <v>57</v>
      </c>
      <c r="B62" s="26"/>
      <c r="C62" s="8"/>
      <c r="D62" s="7"/>
      <c r="E62" s="7"/>
      <c r="F62" s="7"/>
      <c r="G62" s="7"/>
      <c r="H62" s="7"/>
      <c r="I62" s="7"/>
      <c r="J62" s="7"/>
      <c r="K62" s="38" t="str">
        <f t="shared" si="1"/>
        <v/>
      </c>
      <c r="L62" s="37" t="str">
        <f t="shared" ca="1" si="2"/>
        <v/>
      </c>
      <c r="M62" s="7"/>
      <c r="P62" s="67"/>
      <c r="X62" s="70"/>
    </row>
    <row r="63" spans="1:24">
      <c r="A63" s="7">
        <f t="shared" si="0"/>
        <v>58</v>
      </c>
      <c r="B63" s="26"/>
      <c r="C63" s="8"/>
      <c r="D63" s="7"/>
      <c r="E63" s="7"/>
      <c r="F63" s="7"/>
      <c r="G63" s="7"/>
      <c r="H63" s="7"/>
      <c r="I63" s="7"/>
      <c r="J63" s="7"/>
      <c r="K63" s="38" t="str">
        <f t="shared" si="1"/>
        <v/>
      </c>
      <c r="L63" s="37" t="str">
        <f t="shared" ca="1" si="2"/>
        <v/>
      </c>
      <c r="M63" s="7"/>
      <c r="P63" s="67"/>
      <c r="X63" s="70"/>
    </row>
    <row r="64" spans="1:24">
      <c r="A64" s="7">
        <f t="shared" si="0"/>
        <v>59</v>
      </c>
      <c r="B64" s="26"/>
      <c r="C64" s="8"/>
      <c r="D64" s="7"/>
      <c r="E64" s="7"/>
      <c r="F64" s="7"/>
      <c r="G64" s="7"/>
      <c r="H64" s="7"/>
      <c r="I64" s="7"/>
      <c r="J64" s="7"/>
      <c r="K64" s="38" t="str">
        <f t="shared" si="1"/>
        <v/>
      </c>
      <c r="L64" s="37" t="str">
        <f t="shared" ca="1" si="2"/>
        <v/>
      </c>
      <c r="M64" s="7"/>
      <c r="P64" s="67"/>
      <c r="X64" s="70"/>
    </row>
    <row r="65" spans="1:24">
      <c r="A65" s="7">
        <f t="shared" si="0"/>
        <v>60</v>
      </c>
      <c r="B65" s="26"/>
      <c r="C65" s="8"/>
      <c r="D65" s="7"/>
      <c r="E65" s="7"/>
      <c r="F65" s="7"/>
      <c r="G65" s="7"/>
      <c r="H65" s="7"/>
      <c r="I65" s="7"/>
      <c r="J65" s="7"/>
      <c r="K65" s="38" t="str">
        <f t="shared" si="1"/>
        <v/>
      </c>
      <c r="L65" s="37" t="str">
        <f t="shared" ca="1" si="2"/>
        <v/>
      </c>
      <c r="M65" s="7"/>
      <c r="P65" s="67"/>
      <c r="X65" s="70"/>
    </row>
    <row r="66" spans="1:24">
      <c r="A66" s="7">
        <f t="shared" si="0"/>
        <v>61</v>
      </c>
      <c r="B66" s="26"/>
      <c r="C66" s="8"/>
      <c r="D66" s="7"/>
      <c r="E66" s="7"/>
      <c r="F66" s="7"/>
      <c r="G66" s="7"/>
      <c r="H66" s="7"/>
      <c r="I66" s="7"/>
      <c r="J66" s="7"/>
      <c r="K66" s="38" t="str">
        <f t="shared" si="1"/>
        <v/>
      </c>
      <c r="L66" s="37" t="str">
        <f t="shared" ca="1" si="2"/>
        <v/>
      </c>
      <c r="M66" s="7"/>
      <c r="P66" s="67"/>
      <c r="X66" s="70"/>
    </row>
    <row r="67" spans="1:24">
      <c r="A67" s="7">
        <f t="shared" si="0"/>
        <v>62</v>
      </c>
      <c r="B67" s="26"/>
      <c r="C67" s="8"/>
      <c r="D67" s="7"/>
      <c r="E67" s="7"/>
      <c r="F67" s="7"/>
      <c r="G67" s="7"/>
      <c r="H67" s="7"/>
      <c r="I67" s="7"/>
      <c r="J67" s="7"/>
      <c r="K67" s="38" t="str">
        <f t="shared" si="1"/>
        <v/>
      </c>
      <c r="L67" s="37" t="str">
        <f t="shared" ca="1" si="2"/>
        <v/>
      </c>
      <c r="M67" s="7"/>
      <c r="P67" s="67"/>
      <c r="X67" s="70"/>
    </row>
    <row r="68" spans="1:24">
      <c r="A68" s="7">
        <f t="shared" si="0"/>
        <v>63</v>
      </c>
      <c r="B68" s="26"/>
      <c r="C68" s="8"/>
      <c r="D68" s="7"/>
      <c r="E68" s="7"/>
      <c r="F68" s="7"/>
      <c r="G68" s="7"/>
      <c r="H68" s="7"/>
      <c r="I68" s="7"/>
      <c r="J68" s="7"/>
      <c r="K68" s="38" t="str">
        <f t="shared" si="1"/>
        <v/>
      </c>
      <c r="L68" s="37" t="str">
        <f t="shared" ca="1" si="2"/>
        <v/>
      </c>
      <c r="M68" s="7"/>
      <c r="P68" s="67"/>
      <c r="X68" s="70"/>
    </row>
    <row r="69" spans="1:24">
      <c r="A69" s="7">
        <f t="shared" si="0"/>
        <v>64</v>
      </c>
      <c r="B69" s="26"/>
      <c r="C69" s="8"/>
      <c r="D69" s="7"/>
      <c r="E69" s="7"/>
      <c r="F69" s="7"/>
      <c r="G69" s="7"/>
      <c r="H69" s="7"/>
      <c r="I69" s="7"/>
      <c r="J69" s="7"/>
      <c r="K69" s="38" t="str">
        <f t="shared" si="1"/>
        <v/>
      </c>
      <c r="L69" s="37" t="str">
        <f t="shared" ca="1" si="2"/>
        <v/>
      </c>
      <c r="M69" s="7"/>
      <c r="P69" s="67"/>
      <c r="X69" s="70"/>
    </row>
    <row r="70" spans="1:24">
      <c r="A70" s="7">
        <f t="shared" si="0"/>
        <v>65</v>
      </c>
      <c r="B70" s="26"/>
      <c r="C70" s="8"/>
      <c r="D70" s="7"/>
      <c r="E70" s="7"/>
      <c r="F70" s="7"/>
      <c r="G70" s="7"/>
      <c r="H70" s="7"/>
      <c r="I70" s="7"/>
      <c r="J70" s="7"/>
      <c r="K70" s="38" t="str">
        <f t="shared" si="1"/>
        <v/>
      </c>
      <c r="L70" s="37" t="str">
        <f t="shared" ca="1" si="2"/>
        <v/>
      </c>
      <c r="M70" s="7"/>
      <c r="P70" s="67"/>
      <c r="X70" s="70"/>
    </row>
    <row r="71" spans="1:24">
      <c r="A71" s="7">
        <f t="shared" ref="A71:A134" si="3">ROW(A66)</f>
        <v>66</v>
      </c>
      <c r="B71" s="26"/>
      <c r="C71" s="8"/>
      <c r="D71" s="7"/>
      <c r="E71" s="7"/>
      <c r="F71" s="7"/>
      <c r="G71" s="7"/>
      <c r="H71" s="7"/>
      <c r="I71" s="7"/>
      <c r="J71" s="7"/>
      <c r="K71" s="38" t="str">
        <f t="shared" ref="K71:K134" si="4">IF(C71&gt;0,C71+J71-1,"")</f>
        <v/>
      </c>
      <c r="L71" s="37" t="str">
        <f t="shared" ref="L71:L134" ca="1" si="5">IF(K71="","",IF(TODAY()&gt;K71,"YES","No"))</f>
        <v/>
      </c>
      <c r="M71" s="7"/>
      <c r="P71" s="67"/>
      <c r="X71" s="70"/>
    </row>
    <row r="72" spans="1:24">
      <c r="A72" s="7">
        <f t="shared" si="3"/>
        <v>67</v>
      </c>
      <c r="B72" s="26"/>
      <c r="C72" s="8"/>
      <c r="D72" s="7"/>
      <c r="E72" s="7"/>
      <c r="F72" s="7"/>
      <c r="G72" s="7"/>
      <c r="H72" s="7"/>
      <c r="I72" s="7"/>
      <c r="J72" s="7"/>
      <c r="K72" s="38" t="str">
        <f t="shared" si="4"/>
        <v/>
      </c>
      <c r="L72" s="37" t="str">
        <f t="shared" ca="1" si="5"/>
        <v/>
      </c>
      <c r="M72" s="7"/>
      <c r="P72" s="67"/>
      <c r="X72" s="70"/>
    </row>
    <row r="73" spans="1:24">
      <c r="A73" s="7">
        <f t="shared" si="3"/>
        <v>68</v>
      </c>
      <c r="B73" s="26"/>
      <c r="C73" s="8"/>
      <c r="D73" s="7"/>
      <c r="E73" s="7"/>
      <c r="F73" s="7"/>
      <c r="G73" s="7"/>
      <c r="H73" s="7"/>
      <c r="I73" s="7"/>
      <c r="J73" s="7"/>
      <c r="K73" s="38" t="str">
        <f t="shared" si="4"/>
        <v/>
      </c>
      <c r="L73" s="37" t="str">
        <f t="shared" ca="1" si="5"/>
        <v/>
      </c>
      <c r="M73" s="7"/>
      <c r="P73" s="67"/>
      <c r="X73" s="70"/>
    </row>
    <row r="74" spans="1:24">
      <c r="A74" s="7">
        <f t="shared" si="3"/>
        <v>69</v>
      </c>
      <c r="B74" s="26"/>
      <c r="C74" s="8"/>
      <c r="D74" s="7"/>
      <c r="E74" s="7"/>
      <c r="F74" s="7"/>
      <c r="G74" s="7"/>
      <c r="H74" s="7"/>
      <c r="I74" s="7"/>
      <c r="J74" s="7"/>
      <c r="K74" s="38" t="str">
        <f t="shared" si="4"/>
        <v/>
      </c>
      <c r="L74" s="37" t="str">
        <f t="shared" ca="1" si="5"/>
        <v/>
      </c>
      <c r="M74" s="7"/>
      <c r="P74" s="67"/>
      <c r="X74" s="70"/>
    </row>
    <row r="75" spans="1:24">
      <c r="A75" s="7">
        <f t="shared" si="3"/>
        <v>70</v>
      </c>
      <c r="B75" s="26"/>
      <c r="C75" s="8"/>
      <c r="D75" s="7"/>
      <c r="E75" s="7"/>
      <c r="F75" s="7"/>
      <c r="G75" s="7"/>
      <c r="H75" s="7"/>
      <c r="I75" s="7"/>
      <c r="J75" s="7"/>
      <c r="K75" s="38" t="str">
        <f t="shared" si="4"/>
        <v/>
      </c>
      <c r="L75" s="37" t="str">
        <f t="shared" ca="1" si="5"/>
        <v/>
      </c>
      <c r="M75" s="7"/>
      <c r="P75" s="67"/>
      <c r="X75" s="70"/>
    </row>
    <row r="76" spans="1:24">
      <c r="A76" s="7">
        <f t="shared" si="3"/>
        <v>71</v>
      </c>
      <c r="B76" s="26"/>
      <c r="C76" s="8"/>
      <c r="D76" s="7"/>
      <c r="E76" s="7"/>
      <c r="F76" s="7"/>
      <c r="G76" s="7"/>
      <c r="H76" s="7"/>
      <c r="I76" s="7"/>
      <c r="J76" s="7"/>
      <c r="K76" s="38" t="str">
        <f t="shared" si="4"/>
        <v/>
      </c>
      <c r="L76" s="37" t="str">
        <f t="shared" ca="1" si="5"/>
        <v/>
      </c>
      <c r="M76" s="7"/>
      <c r="P76" s="67"/>
      <c r="X76" s="70"/>
    </row>
    <row r="77" spans="1:24">
      <c r="A77" s="7">
        <f t="shared" si="3"/>
        <v>72</v>
      </c>
      <c r="B77" s="26"/>
      <c r="C77" s="8"/>
      <c r="D77" s="7"/>
      <c r="E77" s="7"/>
      <c r="F77" s="7"/>
      <c r="G77" s="7"/>
      <c r="H77" s="7"/>
      <c r="I77" s="7"/>
      <c r="J77" s="7"/>
      <c r="K77" s="38" t="str">
        <f t="shared" si="4"/>
        <v/>
      </c>
      <c r="L77" s="37" t="str">
        <f t="shared" ca="1" si="5"/>
        <v/>
      </c>
      <c r="M77" s="7"/>
      <c r="P77" s="67"/>
      <c r="X77" s="70"/>
    </row>
    <row r="78" spans="1:24">
      <c r="A78" s="7">
        <f t="shared" si="3"/>
        <v>73</v>
      </c>
      <c r="B78" s="26"/>
      <c r="C78" s="8"/>
      <c r="D78" s="7"/>
      <c r="E78" s="7"/>
      <c r="F78" s="7"/>
      <c r="G78" s="7"/>
      <c r="H78" s="7"/>
      <c r="I78" s="7"/>
      <c r="J78" s="7"/>
      <c r="K78" s="38" t="str">
        <f t="shared" si="4"/>
        <v/>
      </c>
      <c r="L78" s="37" t="str">
        <f t="shared" ca="1" si="5"/>
        <v/>
      </c>
      <c r="M78" s="7"/>
      <c r="P78" s="67"/>
      <c r="X78" s="70"/>
    </row>
    <row r="79" spans="1:24">
      <c r="A79" s="7">
        <f t="shared" si="3"/>
        <v>74</v>
      </c>
      <c r="B79" s="26"/>
      <c r="C79" s="8"/>
      <c r="D79" s="7"/>
      <c r="E79" s="7"/>
      <c r="F79" s="7"/>
      <c r="G79" s="7"/>
      <c r="H79" s="7"/>
      <c r="I79" s="7"/>
      <c r="J79" s="7"/>
      <c r="K79" s="38" t="str">
        <f t="shared" si="4"/>
        <v/>
      </c>
      <c r="L79" s="37" t="str">
        <f t="shared" ca="1" si="5"/>
        <v/>
      </c>
      <c r="M79" s="7"/>
      <c r="P79" s="67"/>
      <c r="X79" s="70"/>
    </row>
    <row r="80" spans="1:24">
      <c r="A80" s="7">
        <f t="shared" si="3"/>
        <v>75</v>
      </c>
      <c r="B80" s="26"/>
      <c r="C80" s="8"/>
      <c r="D80" s="7"/>
      <c r="E80" s="7"/>
      <c r="F80" s="7"/>
      <c r="G80" s="7"/>
      <c r="H80" s="7"/>
      <c r="I80" s="7"/>
      <c r="J80" s="7"/>
      <c r="K80" s="38" t="str">
        <f t="shared" si="4"/>
        <v/>
      </c>
      <c r="L80" s="37" t="str">
        <f t="shared" ca="1" si="5"/>
        <v/>
      </c>
      <c r="M80" s="7"/>
      <c r="P80" s="67"/>
      <c r="X80" s="70"/>
    </row>
    <row r="81" spans="1:24">
      <c r="A81" s="7">
        <f t="shared" si="3"/>
        <v>76</v>
      </c>
      <c r="B81" s="26"/>
      <c r="C81" s="8"/>
      <c r="D81" s="7"/>
      <c r="E81" s="7"/>
      <c r="F81" s="7"/>
      <c r="G81" s="7"/>
      <c r="H81" s="7"/>
      <c r="I81" s="7"/>
      <c r="J81" s="7"/>
      <c r="K81" s="38" t="str">
        <f t="shared" si="4"/>
        <v/>
      </c>
      <c r="L81" s="37" t="str">
        <f t="shared" ca="1" si="5"/>
        <v/>
      </c>
      <c r="M81" s="7"/>
      <c r="P81" s="67"/>
      <c r="X81" s="70"/>
    </row>
    <row r="82" spans="1:24">
      <c r="A82" s="7">
        <f t="shared" si="3"/>
        <v>77</v>
      </c>
      <c r="B82" s="26"/>
      <c r="C82" s="8"/>
      <c r="D82" s="7"/>
      <c r="E82" s="7"/>
      <c r="F82" s="7"/>
      <c r="G82" s="7"/>
      <c r="H82" s="7"/>
      <c r="I82" s="7"/>
      <c r="J82" s="7"/>
      <c r="K82" s="38" t="str">
        <f t="shared" si="4"/>
        <v/>
      </c>
      <c r="L82" s="37" t="str">
        <f t="shared" ca="1" si="5"/>
        <v/>
      </c>
      <c r="M82" s="7"/>
      <c r="P82" s="67"/>
      <c r="X82" s="70"/>
    </row>
    <row r="83" spans="1:24">
      <c r="A83" s="7">
        <f t="shared" si="3"/>
        <v>78</v>
      </c>
      <c r="B83" s="26"/>
      <c r="C83" s="8"/>
      <c r="D83" s="7"/>
      <c r="E83" s="7"/>
      <c r="F83" s="7"/>
      <c r="G83" s="7"/>
      <c r="H83" s="7"/>
      <c r="I83" s="7"/>
      <c r="J83" s="7"/>
      <c r="K83" s="38" t="str">
        <f t="shared" si="4"/>
        <v/>
      </c>
      <c r="L83" s="37" t="str">
        <f t="shared" ca="1" si="5"/>
        <v/>
      </c>
      <c r="M83" s="7"/>
      <c r="P83" s="67"/>
      <c r="X83" s="70"/>
    </row>
    <row r="84" spans="1:24">
      <c r="A84" s="7">
        <f t="shared" si="3"/>
        <v>79</v>
      </c>
      <c r="B84" s="26"/>
      <c r="C84" s="8"/>
      <c r="D84" s="7"/>
      <c r="E84" s="7"/>
      <c r="F84" s="7"/>
      <c r="G84" s="7"/>
      <c r="H84" s="7"/>
      <c r="I84" s="7"/>
      <c r="J84" s="7"/>
      <c r="K84" s="38" t="str">
        <f t="shared" si="4"/>
        <v/>
      </c>
      <c r="L84" s="37" t="str">
        <f t="shared" ca="1" si="5"/>
        <v/>
      </c>
      <c r="M84" s="7"/>
      <c r="P84" s="67"/>
      <c r="X84" s="70"/>
    </row>
    <row r="85" spans="1:24">
      <c r="A85" s="7">
        <f t="shared" si="3"/>
        <v>80</v>
      </c>
      <c r="B85" s="26"/>
      <c r="C85" s="8"/>
      <c r="D85" s="7"/>
      <c r="E85" s="7"/>
      <c r="F85" s="7"/>
      <c r="G85" s="7"/>
      <c r="H85" s="7"/>
      <c r="I85" s="7"/>
      <c r="J85" s="7"/>
      <c r="K85" s="38" t="str">
        <f t="shared" si="4"/>
        <v/>
      </c>
      <c r="L85" s="37" t="str">
        <f t="shared" ca="1" si="5"/>
        <v/>
      </c>
      <c r="M85" s="7"/>
      <c r="P85" s="67"/>
      <c r="X85" s="70"/>
    </row>
    <row r="86" spans="1:24">
      <c r="A86" s="7">
        <f t="shared" si="3"/>
        <v>81</v>
      </c>
      <c r="B86" s="26"/>
      <c r="C86" s="8"/>
      <c r="D86" s="7"/>
      <c r="E86" s="7"/>
      <c r="F86" s="7"/>
      <c r="G86" s="7"/>
      <c r="H86" s="7"/>
      <c r="I86" s="7"/>
      <c r="J86" s="7"/>
      <c r="K86" s="38" t="str">
        <f t="shared" si="4"/>
        <v/>
      </c>
      <c r="L86" s="37" t="str">
        <f t="shared" ca="1" si="5"/>
        <v/>
      </c>
      <c r="M86" s="7"/>
      <c r="P86" s="67"/>
      <c r="X86" s="70"/>
    </row>
    <row r="87" spans="1:24">
      <c r="A87" s="7">
        <f t="shared" si="3"/>
        <v>82</v>
      </c>
      <c r="B87" s="26"/>
      <c r="C87" s="8"/>
      <c r="D87" s="7"/>
      <c r="E87" s="7"/>
      <c r="F87" s="7"/>
      <c r="G87" s="7"/>
      <c r="H87" s="7"/>
      <c r="I87" s="7"/>
      <c r="J87" s="7"/>
      <c r="K87" s="38" t="str">
        <f t="shared" si="4"/>
        <v/>
      </c>
      <c r="L87" s="37" t="str">
        <f t="shared" ca="1" si="5"/>
        <v/>
      </c>
      <c r="M87" s="7"/>
      <c r="P87" s="67"/>
      <c r="X87" s="70"/>
    </row>
    <row r="88" spans="1:24">
      <c r="A88" s="7">
        <f t="shared" si="3"/>
        <v>83</v>
      </c>
      <c r="B88" s="26"/>
      <c r="C88" s="8"/>
      <c r="D88" s="7"/>
      <c r="E88" s="7"/>
      <c r="F88" s="7"/>
      <c r="G88" s="7"/>
      <c r="H88" s="7"/>
      <c r="I88" s="7"/>
      <c r="J88" s="7"/>
      <c r="K88" s="38" t="str">
        <f t="shared" si="4"/>
        <v/>
      </c>
      <c r="L88" s="37" t="str">
        <f t="shared" ca="1" si="5"/>
        <v/>
      </c>
      <c r="M88" s="7"/>
      <c r="P88" s="67"/>
      <c r="X88" s="70"/>
    </row>
    <row r="89" spans="1:24">
      <c r="A89" s="7">
        <f t="shared" si="3"/>
        <v>84</v>
      </c>
      <c r="B89" s="26"/>
      <c r="C89" s="8"/>
      <c r="D89" s="7"/>
      <c r="E89" s="7"/>
      <c r="F89" s="7"/>
      <c r="G89" s="7"/>
      <c r="H89" s="7"/>
      <c r="I89" s="7"/>
      <c r="J89" s="7"/>
      <c r="K89" s="38" t="str">
        <f t="shared" si="4"/>
        <v/>
      </c>
      <c r="L89" s="37" t="str">
        <f t="shared" ca="1" si="5"/>
        <v/>
      </c>
      <c r="M89" s="7"/>
      <c r="P89" s="67"/>
      <c r="X89" s="70"/>
    </row>
    <row r="90" spans="1:24">
      <c r="A90" s="7">
        <f t="shared" si="3"/>
        <v>85</v>
      </c>
      <c r="B90" s="26"/>
      <c r="C90" s="8"/>
      <c r="D90" s="7"/>
      <c r="E90" s="7"/>
      <c r="F90" s="7"/>
      <c r="G90" s="7"/>
      <c r="H90" s="7"/>
      <c r="I90" s="7"/>
      <c r="J90" s="7"/>
      <c r="K90" s="38" t="str">
        <f t="shared" si="4"/>
        <v/>
      </c>
      <c r="L90" s="37" t="str">
        <f t="shared" ca="1" si="5"/>
        <v/>
      </c>
      <c r="M90" s="7"/>
      <c r="P90" s="67"/>
      <c r="X90" s="70"/>
    </row>
    <row r="91" spans="1:24">
      <c r="A91" s="7">
        <f t="shared" si="3"/>
        <v>86</v>
      </c>
      <c r="B91" s="26"/>
      <c r="C91" s="8"/>
      <c r="D91" s="7"/>
      <c r="E91" s="7"/>
      <c r="F91" s="7"/>
      <c r="G91" s="7"/>
      <c r="H91" s="7"/>
      <c r="I91" s="7"/>
      <c r="J91" s="7"/>
      <c r="K91" s="38" t="str">
        <f t="shared" si="4"/>
        <v/>
      </c>
      <c r="L91" s="37" t="str">
        <f t="shared" ca="1" si="5"/>
        <v/>
      </c>
      <c r="M91" s="7"/>
      <c r="P91" s="67"/>
      <c r="X91" s="70"/>
    </row>
    <row r="92" spans="1:24">
      <c r="A92" s="7">
        <f t="shared" si="3"/>
        <v>87</v>
      </c>
      <c r="B92" s="26"/>
      <c r="C92" s="8"/>
      <c r="D92" s="7"/>
      <c r="E92" s="7"/>
      <c r="F92" s="7"/>
      <c r="G92" s="7"/>
      <c r="H92" s="7"/>
      <c r="I92" s="7"/>
      <c r="J92" s="7"/>
      <c r="K92" s="38" t="str">
        <f t="shared" si="4"/>
        <v/>
      </c>
      <c r="L92" s="37" t="str">
        <f t="shared" ca="1" si="5"/>
        <v/>
      </c>
      <c r="M92" s="7"/>
      <c r="P92" s="67"/>
      <c r="X92" s="70"/>
    </row>
    <row r="93" spans="1:24">
      <c r="A93" s="7">
        <f t="shared" si="3"/>
        <v>88</v>
      </c>
      <c r="B93" s="26"/>
      <c r="C93" s="8"/>
      <c r="D93" s="7"/>
      <c r="E93" s="7"/>
      <c r="F93" s="7"/>
      <c r="G93" s="7"/>
      <c r="H93" s="7"/>
      <c r="I93" s="7"/>
      <c r="J93" s="7"/>
      <c r="K93" s="38" t="str">
        <f t="shared" si="4"/>
        <v/>
      </c>
      <c r="L93" s="37" t="str">
        <f t="shared" ca="1" si="5"/>
        <v/>
      </c>
      <c r="M93" s="7"/>
      <c r="P93" s="67"/>
      <c r="X93" s="70"/>
    </row>
    <row r="94" spans="1:24">
      <c r="A94" s="7">
        <f t="shared" si="3"/>
        <v>89</v>
      </c>
      <c r="B94" s="26"/>
      <c r="C94" s="8"/>
      <c r="D94" s="7"/>
      <c r="E94" s="7"/>
      <c r="F94" s="7"/>
      <c r="G94" s="7"/>
      <c r="H94" s="7"/>
      <c r="I94" s="7"/>
      <c r="J94" s="7"/>
      <c r="K94" s="38" t="str">
        <f t="shared" si="4"/>
        <v/>
      </c>
      <c r="L94" s="37" t="str">
        <f t="shared" ca="1" si="5"/>
        <v/>
      </c>
      <c r="M94" s="7"/>
      <c r="P94" s="67"/>
      <c r="X94" s="70"/>
    </row>
    <row r="95" spans="1:24">
      <c r="A95" s="7">
        <f t="shared" si="3"/>
        <v>90</v>
      </c>
      <c r="B95" s="26"/>
      <c r="C95" s="8"/>
      <c r="D95" s="7"/>
      <c r="E95" s="7"/>
      <c r="F95" s="7"/>
      <c r="G95" s="7"/>
      <c r="H95" s="7"/>
      <c r="I95" s="7"/>
      <c r="J95" s="7"/>
      <c r="K95" s="38" t="str">
        <f t="shared" si="4"/>
        <v/>
      </c>
      <c r="L95" s="37" t="str">
        <f t="shared" ca="1" si="5"/>
        <v/>
      </c>
      <c r="M95" s="7"/>
      <c r="P95" s="67"/>
      <c r="X95" s="70"/>
    </row>
    <row r="96" spans="1:24">
      <c r="A96" s="7">
        <f t="shared" si="3"/>
        <v>91</v>
      </c>
      <c r="B96" s="26"/>
      <c r="C96" s="8"/>
      <c r="D96" s="7"/>
      <c r="E96" s="7"/>
      <c r="F96" s="7"/>
      <c r="G96" s="7"/>
      <c r="H96" s="7"/>
      <c r="I96" s="7"/>
      <c r="J96" s="7"/>
      <c r="K96" s="38" t="str">
        <f t="shared" si="4"/>
        <v/>
      </c>
      <c r="L96" s="37" t="str">
        <f t="shared" ca="1" si="5"/>
        <v/>
      </c>
      <c r="M96" s="7"/>
      <c r="P96" s="67"/>
      <c r="X96" s="70"/>
    </row>
    <row r="97" spans="1:24">
      <c r="A97" s="7">
        <f t="shared" si="3"/>
        <v>92</v>
      </c>
      <c r="B97" s="26"/>
      <c r="C97" s="8"/>
      <c r="D97" s="7"/>
      <c r="E97" s="7"/>
      <c r="F97" s="7"/>
      <c r="G97" s="7"/>
      <c r="H97" s="7"/>
      <c r="I97" s="7"/>
      <c r="J97" s="7"/>
      <c r="K97" s="38" t="str">
        <f t="shared" si="4"/>
        <v/>
      </c>
      <c r="L97" s="37" t="str">
        <f t="shared" ca="1" si="5"/>
        <v/>
      </c>
      <c r="M97" s="7"/>
      <c r="P97" s="67"/>
      <c r="X97" s="70"/>
    </row>
    <row r="98" spans="1:24">
      <c r="A98" s="7">
        <f t="shared" si="3"/>
        <v>93</v>
      </c>
      <c r="B98" s="26"/>
      <c r="C98" s="8"/>
      <c r="D98" s="7"/>
      <c r="E98" s="7"/>
      <c r="F98" s="7"/>
      <c r="G98" s="7"/>
      <c r="H98" s="7"/>
      <c r="I98" s="7"/>
      <c r="J98" s="7"/>
      <c r="K98" s="38" t="str">
        <f t="shared" si="4"/>
        <v/>
      </c>
      <c r="L98" s="37" t="str">
        <f t="shared" ca="1" si="5"/>
        <v/>
      </c>
      <c r="M98" s="7"/>
      <c r="P98" s="67"/>
      <c r="X98" s="70"/>
    </row>
    <row r="99" spans="1:24">
      <c r="A99" s="7">
        <f t="shared" si="3"/>
        <v>94</v>
      </c>
      <c r="B99" s="26"/>
      <c r="C99" s="8"/>
      <c r="D99" s="7"/>
      <c r="E99" s="7"/>
      <c r="F99" s="7"/>
      <c r="G99" s="7"/>
      <c r="H99" s="7"/>
      <c r="I99" s="7"/>
      <c r="J99" s="7"/>
      <c r="K99" s="38" t="str">
        <f t="shared" si="4"/>
        <v/>
      </c>
      <c r="L99" s="37" t="str">
        <f t="shared" ca="1" si="5"/>
        <v/>
      </c>
      <c r="M99" s="7"/>
      <c r="P99" s="67"/>
      <c r="X99" s="70"/>
    </row>
    <row r="100" spans="1:24">
      <c r="A100" s="7">
        <f t="shared" si="3"/>
        <v>95</v>
      </c>
      <c r="B100" s="26"/>
      <c r="C100" s="8"/>
      <c r="D100" s="7"/>
      <c r="E100" s="7"/>
      <c r="F100" s="7"/>
      <c r="G100" s="7"/>
      <c r="H100" s="7"/>
      <c r="I100" s="7"/>
      <c r="J100" s="7"/>
      <c r="K100" s="38" t="str">
        <f t="shared" si="4"/>
        <v/>
      </c>
      <c r="L100" s="37" t="str">
        <f t="shared" ca="1" si="5"/>
        <v/>
      </c>
      <c r="M100" s="7"/>
      <c r="P100" s="67"/>
      <c r="X100" s="70"/>
    </row>
    <row r="101" spans="1:24">
      <c r="A101" s="7">
        <f t="shared" si="3"/>
        <v>96</v>
      </c>
      <c r="B101" s="26"/>
      <c r="C101" s="8"/>
      <c r="D101" s="7"/>
      <c r="E101" s="7"/>
      <c r="F101" s="7"/>
      <c r="G101" s="7"/>
      <c r="H101" s="7"/>
      <c r="I101" s="7"/>
      <c r="J101" s="7"/>
      <c r="K101" s="38" t="str">
        <f t="shared" si="4"/>
        <v/>
      </c>
      <c r="L101" s="37" t="str">
        <f t="shared" ca="1" si="5"/>
        <v/>
      </c>
      <c r="M101" s="7"/>
      <c r="P101" s="67"/>
      <c r="X101" s="70"/>
    </row>
    <row r="102" spans="1:24">
      <c r="A102" s="7">
        <f t="shared" si="3"/>
        <v>97</v>
      </c>
      <c r="B102" s="26"/>
      <c r="C102" s="8"/>
      <c r="D102" s="7"/>
      <c r="E102" s="7"/>
      <c r="F102" s="7"/>
      <c r="G102" s="7"/>
      <c r="H102" s="7"/>
      <c r="I102" s="7"/>
      <c r="J102" s="7"/>
      <c r="K102" s="38" t="str">
        <f t="shared" si="4"/>
        <v/>
      </c>
      <c r="L102" s="37" t="str">
        <f t="shared" ca="1" si="5"/>
        <v/>
      </c>
      <c r="M102" s="7"/>
      <c r="P102" s="67"/>
      <c r="X102" s="70"/>
    </row>
    <row r="103" spans="1:24">
      <c r="A103" s="7">
        <f t="shared" si="3"/>
        <v>98</v>
      </c>
      <c r="B103" s="26"/>
      <c r="C103" s="8"/>
      <c r="D103" s="7"/>
      <c r="E103" s="7"/>
      <c r="F103" s="7"/>
      <c r="G103" s="7"/>
      <c r="H103" s="7"/>
      <c r="I103" s="7"/>
      <c r="J103" s="7"/>
      <c r="K103" s="38" t="str">
        <f t="shared" si="4"/>
        <v/>
      </c>
      <c r="L103" s="37" t="str">
        <f t="shared" ca="1" si="5"/>
        <v/>
      </c>
      <c r="M103" s="7"/>
      <c r="P103" s="67"/>
      <c r="X103" s="70"/>
    </row>
    <row r="104" spans="1:24">
      <c r="A104" s="7">
        <f t="shared" si="3"/>
        <v>99</v>
      </c>
      <c r="B104" s="26"/>
      <c r="C104" s="8"/>
      <c r="D104" s="7"/>
      <c r="E104" s="7"/>
      <c r="F104" s="7"/>
      <c r="G104" s="7"/>
      <c r="H104" s="7"/>
      <c r="I104" s="7"/>
      <c r="J104" s="7"/>
      <c r="K104" s="38" t="str">
        <f t="shared" si="4"/>
        <v/>
      </c>
      <c r="L104" s="37" t="str">
        <f t="shared" ca="1" si="5"/>
        <v/>
      </c>
      <c r="M104" s="7"/>
      <c r="P104" s="67"/>
      <c r="X104" s="70"/>
    </row>
    <row r="105" spans="1:24">
      <c r="A105" s="7">
        <f t="shared" si="3"/>
        <v>100</v>
      </c>
      <c r="B105" s="26"/>
      <c r="C105" s="8"/>
      <c r="D105" s="7"/>
      <c r="E105" s="7"/>
      <c r="F105" s="7"/>
      <c r="G105" s="7"/>
      <c r="H105" s="7"/>
      <c r="I105" s="7"/>
      <c r="J105" s="7"/>
      <c r="K105" s="38" t="str">
        <f t="shared" si="4"/>
        <v/>
      </c>
      <c r="L105" s="37" t="str">
        <f t="shared" ca="1" si="5"/>
        <v/>
      </c>
      <c r="M105" s="7"/>
      <c r="P105" s="67"/>
      <c r="X105" s="70"/>
    </row>
    <row r="106" spans="1:24">
      <c r="A106" s="7">
        <f t="shared" si="3"/>
        <v>101</v>
      </c>
      <c r="B106" s="26"/>
      <c r="C106" s="8"/>
      <c r="D106" s="7"/>
      <c r="E106" s="7"/>
      <c r="F106" s="7"/>
      <c r="G106" s="7"/>
      <c r="H106" s="7"/>
      <c r="I106" s="7"/>
      <c r="J106" s="7"/>
      <c r="K106" s="38" t="str">
        <f t="shared" si="4"/>
        <v/>
      </c>
      <c r="L106" s="37" t="str">
        <f t="shared" ca="1" si="5"/>
        <v/>
      </c>
      <c r="M106" s="7"/>
      <c r="P106" s="67"/>
      <c r="X106" s="70"/>
    </row>
    <row r="107" spans="1:24">
      <c r="A107" s="7">
        <f t="shared" si="3"/>
        <v>102</v>
      </c>
      <c r="B107" s="26"/>
      <c r="C107" s="8"/>
      <c r="D107" s="7"/>
      <c r="E107" s="7"/>
      <c r="F107" s="7"/>
      <c r="G107" s="7"/>
      <c r="H107" s="7"/>
      <c r="I107" s="7"/>
      <c r="J107" s="7"/>
      <c r="K107" s="38" t="str">
        <f t="shared" si="4"/>
        <v/>
      </c>
      <c r="L107" s="37" t="str">
        <f t="shared" ca="1" si="5"/>
        <v/>
      </c>
      <c r="M107" s="7"/>
      <c r="P107" s="67"/>
      <c r="X107" s="70"/>
    </row>
    <row r="108" spans="1:24">
      <c r="A108" s="7">
        <f t="shared" si="3"/>
        <v>103</v>
      </c>
      <c r="B108" s="26"/>
      <c r="C108" s="8"/>
      <c r="D108" s="7"/>
      <c r="E108" s="7"/>
      <c r="F108" s="7"/>
      <c r="G108" s="7"/>
      <c r="H108" s="7"/>
      <c r="I108" s="7"/>
      <c r="J108" s="7"/>
      <c r="K108" s="38" t="str">
        <f t="shared" si="4"/>
        <v/>
      </c>
      <c r="L108" s="37" t="str">
        <f t="shared" ca="1" si="5"/>
        <v/>
      </c>
      <c r="M108" s="7"/>
      <c r="P108" s="67"/>
      <c r="X108" s="70"/>
    </row>
    <row r="109" spans="1:24">
      <c r="A109" s="7">
        <f t="shared" si="3"/>
        <v>104</v>
      </c>
      <c r="B109" s="26"/>
      <c r="C109" s="8"/>
      <c r="D109" s="7"/>
      <c r="E109" s="7"/>
      <c r="F109" s="7"/>
      <c r="G109" s="7"/>
      <c r="H109" s="7"/>
      <c r="I109" s="7"/>
      <c r="J109" s="7"/>
      <c r="K109" s="38" t="str">
        <f t="shared" si="4"/>
        <v/>
      </c>
      <c r="L109" s="37" t="str">
        <f t="shared" ca="1" si="5"/>
        <v/>
      </c>
      <c r="M109" s="7"/>
      <c r="P109" s="67"/>
      <c r="X109" s="70"/>
    </row>
    <row r="110" spans="1:24">
      <c r="A110" s="7">
        <f t="shared" si="3"/>
        <v>105</v>
      </c>
      <c r="B110" s="26"/>
      <c r="C110" s="8"/>
      <c r="D110" s="7"/>
      <c r="E110" s="7"/>
      <c r="F110" s="7"/>
      <c r="G110" s="7"/>
      <c r="H110" s="7"/>
      <c r="I110" s="7"/>
      <c r="J110" s="7"/>
      <c r="K110" s="38" t="str">
        <f t="shared" si="4"/>
        <v/>
      </c>
      <c r="L110" s="37" t="str">
        <f t="shared" ca="1" si="5"/>
        <v/>
      </c>
      <c r="M110" s="7"/>
      <c r="P110" s="67"/>
      <c r="X110" s="70"/>
    </row>
    <row r="111" spans="1:24">
      <c r="A111" s="7">
        <f t="shared" si="3"/>
        <v>106</v>
      </c>
      <c r="B111" s="26"/>
      <c r="C111" s="8"/>
      <c r="D111" s="7"/>
      <c r="E111" s="7"/>
      <c r="F111" s="7"/>
      <c r="G111" s="7"/>
      <c r="H111" s="7"/>
      <c r="I111" s="7"/>
      <c r="J111" s="7"/>
      <c r="K111" s="38" t="str">
        <f t="shared" si="4"/>
        <v/>
      </c>
      <c r="L111" s="37" t="str">
        <f t="shared" ca="1" si="5"/>
        <v/>
      </c>
      <c r="M111" s="7"/>
      <c r="P111" s="67"/>
      <c r="X111" s="70"/>
    </row>
    <row r="112" spans="1:24">
      <c r="A112" s="7">
        <f t="shared" si="3"/>
        <v>107</v>
      </c>
      <c r="B112" s="26"/>
      <c r="C112" s="8"/>
      <c r="D112" s="7"/>
      <c r="E112" s="7"/>
      <c r="F112" s="7"/>
      <c r="G112" s="7"/>
      <c r="H112" s="7"/>
      <c r="I112" s="7"/>
      <c r="J112" s="7"/>
      <c r="K112" s="38" t="str">
        <f t="shared" si="4"/>
        <v/>
      </c>
      <c r="L112" s="37" t="str">
        <f t="shared" ca="1" si="5"/>
        <v/>
      </c>
      <c r="M112" s="7"/>
      <c r="P112" s="67"/>
      <c r="X112" s="70"/>
    </row>
    <row r="113" spans="1:24">
      <c r="A113" s="7">
        <f t="shared" si="3"/>
        <v>108</v>
      </c>
      <c r="B113" s="26"/>
      <c r="C113" s="8"/>
      <c r="D113" s="7"/>
      <c r="E113" s="7"/>
      <c r="F113" s="7"/>
      <c r="G113" s="7"/>
      <c r="H113" s="7"/>
      <c r="I113" s="7"/>
      <c r="J113" s="7"/>
      <c r="K113" s="38" t="str">
        <f t="shared" si="4"/>
        <v/>
      </c>
      <c r="L113" s="37" t="str">
        <f t="shared" ca="1" si="5"/>
        <v/>
      </c>
      <c r="M113" s="7"/>
      <c r="P113" s="67"/>
      <c r="X113" s="70"/>
    </row>
    <row r="114" spans="1:24">
      <c r="A114" s="7">
        <f t="shared" si="3"/>
        <v>109</v>
      </c>
      <c r="B114" s="26"/>
      <c r="C114" s="8"/>
      <c r="D114" s="7"/>
      <c r="E114" s="7"/>
      <c r="F114" s="7"/>
      <c r="G114" s="7"/>
      <c r="H114" s="7"/>
      <c r="I114" s="7"/>
      <c r="J114" s="7"/>
      <c r="K114" s="38" t="str">
        <f t="shared" si="4"/>
        <v/>
      </c>
      <c r="L114" s="37" t="str">
        <f t="shared" ca="1" si="5"/>
        <v/>
      </c>
      <c r="M114" s="7"/>
      <c r="P114" s="67"/>
      <c r="X114" s="70"/>
    </row>
    <row r="115" spans="1:24">
      <c r="A115" s="7">
        <f t="shared" si="3"/>
        <v>110</v>
      </c>
      <c r="B115" s="26"/>
      <c r="C115" s="8"/>
      <c r="D115" s="7"/>
      <c r="E115" s="7"/>
      <c r="F115" s="7"/>
      <c r="G115" s="7"/>
      <c r="H115" s="7"/>
      <c r="I115" s="7"/>
      <c r="J115" s="7"/>
      <c r="K115" s="38" t="str">
        <f t="shared" si="4"/>
        <v/>
      </c>
      <c r="L115" s="37" t="str">
        <f t="shared" ca="1" si="5"/>
        <v/>
      </c>
      <c r="M115" s="7"/>
      <c r="P115" s="67"/>
      <c r="X115" s="70"/>
    </row>
    <row r="116" spans="1:24">
      <c r="A116" s="7">
        <f t="shared" si="3"/>
        <v>111</v>
      </c>
      <c r="B116" s="26"/>
      <c r="C116" s="8"/>
      <c r="D116" s="7"/>
      <c r="E116" s="7"/>
      <c r="F116" s="7"/>
      <c r="G116" s="7"/>
      <c r="H116" s="7"/>
      <c r="I116" s="7"/>
      <c r="J116" s="7"/>
      <c r="K116" s="38" t="str">
        <f t="shared" si="4"/>
        <v/>
      </c>
      <c r="L116" s="37" t="str">
        <f t="shared" ca="1" si="5"/>
        <v/>
      </c>
      <c r="M116" s="7"/>
      <c r="P116" s="67"/>
      <c r="X116" s="70"/>
    </row>
    <row r="117" spans="1:24">
      <c r="A117" s="7">
        <f t="shared" si="3"/>
        <v>112</v>
      </c>
      <c r="B117" s="26"/>
      <c r="C117" s="8"/>
      <c r="D117" s="7"/>
      <c r="E117" s="7"/>
      <c r="F117" s="7"/>
      <c r="G117" s="7"/>
      <c r="H117" s="7"/>
      <c r="I117" s="7"/>
      <c r="J117" s="7"/>
      <c r="K117" s="38" t="str">
        <f t="shared" si="4"/>
        <v/>
      </c>
      <c r="L117" s="37" t="str">
        <f t="shared" ca="1" si="5"/>
        <v/>
      </c>
      <c r="M117" s="7"/>
      <c r="P117" s="67"/>
      <c r="X117" s="70"/>
    </row>
    <row r="118" spans="1:24">
      <c r="A118" s="7">
        <f t="shared" si="3"/>
        <v>113</v>
      </c>
      <c r="B118" s="26"/>
      <c r="C118" s="8"/>
      <c r="D118" s="7"/>
      <c r="E118" s="7"/>
      <c r="F118" s="7"/>
      <c r="G118" s="7"/>
      <c r="H118" s="7"/>
      <c r="I118" s="7"/>
      <c r="J118" s="7"/>
      <c r="K118" s="38" t="str">
        <f t="shared" si="4"/>
        <v/>
      </c>
      <c r="L118" s="37" t="str">
        <f t="shared" ca="1" si="5"/>
        <v/>
      </c>
      <c r="M118" s="7"/>
      <c r="P118" s="67"/>
      <c r="X118" s="70"/>
    </row>
    <row r="119" spans="1:24">
      <c r="A119" s="7">
        <f t="shared" si="3"/>
        <v>114</v>
      </c>
      <c r="B119" s="26"/>
      <c r="C119" s="8"/>
      <c r="D119" s="7"/>
      <c r="E119" s="7"/>
      <c r="F119" s="7"/>
      <c r="G119" s="7"/>
      <c r="H119" s="7"/>
      <c r="I119" s="7"/>
      <c r="J119" s="7"/>
      <c r="K119" s="38" t="str">
        <f t="shared" si="4"/>
        <v/>
      </c>
      <c r="L119" s="37" t="str">
        <f t="shared" ca="1" si="5"/>
        <v/>
      </c>
      <c r="M119" s="7"/>
      <c r="P119" s="67"/>
      <c r="X119" s="70"/>
    </row>
    <row r="120" spans="1:24">
      <c r="A120" s="7">
        <f t="shared" si="3"/>
        <v>115</v>
      </c>
      <c r="B120" s="26"/>
      <c r="C120" s="8"/>
      <c r="D120" s="7"/>
      <c r="E120" s="7"/>
      <c r="F120" s="7"/>
      <c r="G120" s="7"/>
      <c r="H120" s="7"/>
      <c r="I120" s="7"/>
      <c r="J120" s="7"/>
      <c r="K120" s="38" t="str">
        <f t="shared" si="4"/>
        <v/>
      </c>
      <c r="L120" s="37" t="str">
        <f t="shared" ca="1" si="5"/>
        <v/>
      </c>
      <c r="M120" s="7"/>
      <c r="P120" s="67"/>
      <c r="X120" s="70"/>
    </row>
    <row r="121" spans="1:24">
      <c r="A121" s="7">
        <f t="shared" si="3"/>
        <v>116</v>
      </c>
      <c r="B121" s="26"/>
      <c r="C121" s="8"/>
      <c r="D121" s="7"/>
      <c r="E121" s="7"/>
      <c r="F121" s="7"/>
      <c r="G121" s="7"/>
      <c r="H121" s="7"/>
      <c r="I121" s="7"/>
      <c r="J121" s="7"/>
      <c r="K121" s="38" t="str">
        <f t="shared" si="4"/>
        <v/>
      </c>
      <c r="L121" s="37" t="str">
        <f t="shared" ca="1" si="5"/>
        <v/>
      </c>
      <c r="M121" s="7"/>
      <c r="P121" s="67"/>
      <c r="X121" s="70"/>
    </row>
    <row r="122" spans="1:24">
      <c r="A122" s="7">
        <f t="shared" si="3"/>
        <v>117</v>
      </c>
      <c r="B122" s="26"/>
      <c r="C122" s="8"/>
      <c r="D122" s="7"/>
      <c r="E122" s="7"/>
      <c r="F122" s="7"/>
      <c r="G122" s="7"/>
      <c r="H122" s="7"/>
      <c r="I122" s="7"/>
      <c r="J122" s="7"/>
      <c r="K122" s="38" t="str">
        <f t="shared" si="4"/>
        <v/>
      </c>
      <c r="L122" s="37" t="str">
        <f t="shared" ca="1" si="5"/>
        <v/>
      </c>
      <c r="M122" s="7"/>
      <c r="P122" s="67"/>
      <c r="X122" s="70"/>
    </row>
    <row r="123" spans="1:24">
      <c r="A123" s="7">
        <f t="shared" si="3"/>
        <v>118</v>
      </c>
      <c r="B123" s="26"/>
      <c r="C123" s="8"/>
      <c r="D123" s="7"/>
      <c r="E123" s="7"/>
      <c r="F123" s="7"/>
      <c r="G123" s="7"/>
      <c r="H123" s="7"/>
      <c r="I123" s="7"/>
      <c r="J123" s="7"/>
      <c r="K123" s="38" t="str">
        <f t="shared" si="4"/>
        <v/>
      </c>
      <c r="L123" s="37" t="str">
        <f t="shared" ca="1" si="5"/>
        <v/>
      </c>
      <c r="M123" s="7"/>
      <c r="P123" s="67"/>
      <c r="X123" s="70"/>
    </row>
    <row r="124" spans="1:24">
      <c r="A124" s="7">
        <f t="shared" si="3"/>
        <v>119</v>
      </c>
      <c r="B124" s="26"/>
      <c r="C124" s="8"/>
      <c r="D124" s="7"/>
      <c r="E124" s="7"/>
      <c r="F124" s="7"/>
      <c r="G124" s="7"/>
      <c r="H124" s="7"/>
      <c r="I124" s="7"/>
      <c r="J124" s="7"/>
      <c r="K124" s="38" t="str">
        <f t="shared" si="4"/>
        <v/>
      </c>
      <c r="L124" s="37" t="str">
        <f t="shared" ca="1" si="5"/>
        <v/>
      </c>
      <c r="M124" s="7"/>
      <c r="P124" s="67"/>
      <c r="X124" s="70"/>
    </row>
    <row r="125" spans="1:24">
      <c r="A125" s="7">
        <f t="shared" si="3"/>
        <v>120</v>
      </c>
      <c r="B125" s="26"/>
      <c r="C125" s="8"/>
      <c r="D125" s="7"/>
      <c r="E125" s="7"/>
      <c r="F125" s="7"/>
      <c r="G125" s="7"/>
      <c r="H125" s="7"/>
      <c r="I125" s="7"/>
      <c r="J125" s="7"/>
      <c r="K125" s="38" t="str">
        <f t="shared" si="4"/>
        <v/>
      </c>
      <c r="L125" s="37" t="str">
        <f t="shared" ca="1" si="5"/>
        <v/>
      </c>
      <c r="M125" s="7"/>
      <c r="P125" s="67"/>
      <c r="X125" s="70"/>
    </row>
    <row r="126" spans="1:24">
      <c r="A126" s="7">
        <f t="shared" si="3"/>
        <v>121</v>
      </c>
      <c r="B126" s="26"/>
      <c r="C126" s="8"/>
      <c r="D126" s="7"/>
      <c r="E126" s="7"/>
      <c r="F126" s="7"/>
      <c r="G126" s="7"/>
      <c r="H126" s="7"/>
      <c r="I126" s="7"/>
      <c r="J126" s="7"/>
      <c r="K126" s="38" t="str">
        <f>IF(C126&gt;0,C126+J126-1,"")</f>
        <v/>
      </c>
      <c r="L126" s="37" t="str">
        <f t="shared" ca="1" si="5"/>
        <v/>
      </c>
      <c r="M126" s="7"/>
      <c r="P126" s="67"/>
      <c r="X126" s="70"/>
    </row>
    <row r="127" spans="1:24">
      <c r="A127" s="7">
        <f t="shared" si="3"/>
        <v>122</v>
      </c>
      <c r="B127" s="26"/>
      <c r="C127" s="8"/>
      <c r="D127" s="7"/>
      <c r="E127" s="7"/>
      <c r="F127" s="7"/>
      <c r="G127" s="7"/>
      <c r="H127" s="7"/>
      <c r="I127" s="7"/>
      <c r="J127" s="7"/>
      <c r="K127" s="38" t="str">
        <f t="shared" si="4"/>
        <v/>
      </c>
      <c r="L127" s="37" t="str">
        <f t="shared" ca="1" si="5"/>
        <v/>
      </c>
      <c r="M127" s="7"/>
      <c r="P127" s="67"/>
      <c r="X127" s="70"/>
    </row>
    <row r="128" spans="1:24">
      <c r="A128" s="7">
        <f t="shared" si="3"/>
        <v>123</v>
      </c>
      <c r="B128" s="26"/>
      <c r="C128" s="8"/>
      <c r="D128" s="7"/>
      <c r="E128" s="7"/>
      <c r="F128" s="7"/>
      <c r="G128" s="7"/>
      <c r="H128" s="7"/>
      <c r="I128" s="7"/>
      <c r="J128" s="7"/>
      <c r="K128" s="38" t="str">
        <f t="shared" si="4"/>
        <v/>
      </c>
      <c r="L128" s="37" t="str">
        <f t="shared" ca="1" si="5"/>
        <v/>
      </c>
      <c r="M128" s="7"/>
      <c r="P128" s="67"/>
      <c r="X128" s="70"/>
    </row>
    <row r="129" spans="1:24">
      <c r="A129" s="7">
        <f t="shared" si="3"/>
        <v>124</v>
      </c>
      <c r="B129" s="26"/>
      <c r="C129" s="8"/>
      <c r="D129" s="7"/>
      <c r="E129" s="7"/>
      <c r="F129" s="7"/>
      <c r="G129" s="7"/>
      <c r="H129" s="7"/>
      <c r="I129" s="7"/>
      <c r="J129" s="7"/>
      <c r="K129" s="38" t="str">
        <f t="shared" si="4"/>
        <v/>
      </c>
      <c r="L129" s="37" t="str">
        <f t="shared" ca="1" si="5"/>
        <v/>
      </c>
      <c r="M129" s="7"/>
      <c r="P129" s="67"/>
      <c r="X129" s="70"/>
    </row>
    <row r="130" spans="1:24">
      <c r="A130" s="7">
        <f t="shared" si="3"/>
        <v>125</v>
      </c>
      <c r="B130" s="26"/>
      <c r="C130" s="8"/>
      <c r="D130" s="7"/>
      <c r="E130" s="7"/>
      <c r="F130" s="7"/>
      <c r="G130" s="7"/>
      <c r="H130" s="7"/>
      <c r="I130" s="7"/>
      <c r="J130" s="7"/>
      <c r="K130" s="38" t="str">
        <f t="shared" si="4"/>
        <v/>
      </c>
      <c r="L130" s="37" t="str">
        <f t="shared" ca="1" si="5"/>
        <v/>
      </c>
      <c r="M130" s="7"/>
      <c r="P130" s="67"/>
      <c r="X130" s="70"/>
    </row>
    <row r="131" spans="1:24">
      <c r="A131" s="7">
        <f t="shared" si="3"/>
        <v>126</v>
      </c>
      <c r="B131" s="26"/>
      <c r="C131" s="8"/>
      <c r="D131" s="7"/>
      <c r="E131" s="7"/>
      <c r="F131" s="7"/>
      <c r="G131" s="7"/>
      <c r="H131" s="7"/>
      <c r="I131" s="7"/>
      <c r="J131" s="7"/>
      <c r="K131" s="38" t="str">
        <f t="shared" si="4"/>
        <v/>
      </c>
      <c r="L131" s="37" t="str">
        <f t="shared" ca="1" si="5"/>
        <v/>
      </c>
      <c r="M131" s="7"/>
      <c r="P131" s="67"/>
      <c r="X131" s="70"/>
    </row>
    <row r="132" spans="1:24">
      <c r="A132" s="7">
        <f t="shared" si="3"/>
        <v>127</v>
      </c>
      <c r="B132" s="26"/>
      <c r="C132" s="8"/>
      <c r="D132" s="7"/>
      <c r="E132" s="7"/>
      <c r="F132" s="7"/>
      <c r="G132" s="7"/>
      <c r="H132" s="7"/>
      <c r="I132" s="7"/>
      <c r="J132" s="7"/>
      <c r="K132" s="38" t="str">
        <f t="shared" si="4"/>
        <v/>
      </c>
      <c r="L132" s="37" t="str">
        <f t="shared" ca="1" si="5"/>
        <v/>
      </c>
      <c r="M132" s="7"/>
      <c r="P132" s="67"/>
      <c r="X132" s="70"/>
    </row>
    <row r="133" spans="1:24">
      <c r="A133" s="7">
        <f t="shared" si="3"/>
        <v>128</v>
      </c>
      <c r="B133" s="26"/>
      <c r="C133" s="8"/>
      <c r="D133" s="7"/>
      <c r="E133" s="7"/>
      <c r="F133" s="7"/>
      <c r="G133" s="7"/>
      <c r="H133" s="7"/>
      <c r="I133" s="7"/>
      <c r="J133" s="7"/>
      <c r="K133" s="38" t="str">
        <f t="shared" si="4"/>
        <v/>
      </c>
      <c r="L133" s="37" t="str">
        <f t="shared" ca="1" si="5"/>
        <v/>
      </c>
      <c r="M133" s="7"/>
      <c r="P133" s="67"/>
      <c r="X133" s="70"/>
    </row>
    <row r="134" spans="1:24">
      <c r="A134" s="7">
        <f t="shared" si="3"/>
        <v>129</v>
      </c>
      <c r="B134" s="26"/>
      <c r="C134" s="8"/>
      <c r="D134" s="7"/>
      <c r="E134" s="7"/>
      <c r="F134" s="7"/>
      <c r="G134" s="7"/>
      <c r="H134" s="7"/>
      <c r="I134" s="7"/>
      <c r="J134" s="7"/>
      <c r="K134" s="38" t="str">
        <f t="shared" si="4"/>
        <v/>
      </c>
      <c r="L134" s="37" t="str">
        <f t="shared" ca="1" si="5"/>
        <v/>
      </c>
      <c r="M134" s="7"/>
      <c r="P134" s="67"/>
      <c r="X134" s="70"/>
    </row>
    <row r="135" spans="1:24">
      <c r="A135" s="7">
        <f t="shared" ref="A135:A198" si="6">ROW(A130)</f>
        <v>130</v>
      </c>
      <c r="B135" s="26"/>
      <c r="C135" s="8"/>
      <c r="D135" s="7"/>
      <c r="E135" s="7"/>
      <c r="F135" s="7"/>
      <c r="G135" s="7"/>
      <c r="H135" s="7"/>
      <c r="I135" s="7"/>
      <c r="J135" s="7"/>
      <c r="K135" s="38" t="str">
        <f t="shared" ref="K135:K198" si="7">IF(C135&gt;0,C135+J135-1,"")</f>
        <v/>
      </c>
      <c r="L135" s="37" t="str">
        <f t="shared" ref="L135:L198" ca="1" si="8">IF(K135="","",IF(TODAY()&gt;K135,"YES","No"))</f>
        <v/>
      </c>
      <c r="M135" s="7"/>
      <c r="P135" s="67"/>
      <c r="X135" s="70"/>
    </row>
    <row r="136" spans="1:24">
      <c r="A136" s="7">
        <f t="shared" si="6"/>
        <v>131</v>
      </c>
      <c r="B136" s="26"/>
      <c r="C136" s="8"/>
      <c r="D136" s="7"/>
      <c r="E136" s="7"/>
      <c r="F136" s="7"/>
      <c r="G136" s="7"/>
      <c r="H136" s="7"/>
      <c r="I136" s="7"/>
      <c r="J136" s="7"/>
      <c r="K136" s="38" t="str">
        <f t="shared" si="7"/>
        <v/>
      </c>
      <c r="L136" s="37" t="str">
        <f t="shared" ca="1" si="8"/>
        <v/>
      </c>
      <c r="M136" s="7"/>
      <c r="P136" s="67"/>
      <c r="X136" s="70"/>
    </row>
    <row r="137" spans="1:24">
      <c r="A137" s="7">
        <f t="shared" si="6"/>
        <v>132</v>
      </c>
      <c r="B137" s="26"/>
      <c r="C137" s="8"/>
      <c r="D137" s="7"/>
      <c r="E137" s="7"/>
      <c r="F137" s="7"/>
      <c r="G137" s="7"/>
      <c r="H137" s="7"/>
      <c r="I137" s="7"/>
      <c r="J137" s="7"/>
      <c r="K137" s="38" t="str">
        <f t="shared" si="7"/>
        <v/>
      </c>
      <c r="L137" s="37" t="str">
        <f t="shared" ca="1" si="8"/>
        <v/>
      </c>
      <c r="M137" s="7"/>
      <c r="P137" s="67"/>
      <c r="X137" s="70"/>
    </row>
    <row r="138" spans="1:24">
      <c r="A138" s="7">
        <f t="shared" si="6"/>
        <v>133</v>
      </c>
      <c r="B138" s="26"/>
      <c r="C138" s="8"/>
      <c r="D138" s="7"/>
      <c r="E138" s="7"/>
      <c r="F138" s="7"/>
      <c r="G138" s="7"/>
      <c r="H138" s="7"/>
      <c r="I138" s="7"/>
      <c r="J138" s="7"/>
      <c r="K138" s="38" t="str">
        <f t="shared" si="7"/>
        <v/>
      </c>
      <c r="L138" s="37" t="str">
        <f t="shared" ca="1" si="8"/>
        <v/>
      </c>
      <c r="M138" s="7"/>
      <c r="P138" s="67"/>
      <c r="X138" s="70"/>
    </row>
    <row r="139" spans="1:24">
      <c r="A139" s="7">
        <f t="shared" si="6"/>
        <v>134</v>
      </c>
      <c r="B139" s="26"/>
      <c r="C139" s="8"/>
      <c r="D139" s="7"/>
      <c r="E139" s="7"/>
      <c r="F139" s="7"/>
      <c r="G139" s="7"/>
      <c r="H139" s="7"/>
      <c r="I139" s="7"/>
      <c r="J139" s="7"/>
      <c r="K139" s="38" t="str">
        <f t="shared" si="7"/>
        <v/>
      </c>
      <c r="L139" s="37" t="str">
        <f t="shared" ca="1" si="8"/>
        <v/>
      </c>
      <c r="M139" s="7"/>
      <c r="P139" s="67"/>
      <c r="X139" s="70"/>
    </row>
    <row r="140" spans="1:24">
      <c r="A140" s="7">
        <f t="shared" si="6"/>
        <v>135</v>
      </c>
      <c r="B140" s="26"/>
      <c r="C140" s="8"/>
      <c r="D140" s="7"/>
      <c r="E140" s="7"/>
      <c r="F140" s="7"/>
      <c r="G140" s="7"/>
      <c r="H140" s="7"/>
      <c r="I140" s="7"/>
      <c r="J140" s="7"/>
      <c r="K140" s="38" t="str">
        <f t="shared" si="7"/>
        <v/>
      </c>
      <c r="L140" s="37" t="str">
        <f t="shared" ca="1" si="8"/>
        <v/>
      </c>
      <c r="M140" s="7"/>
      <c r="P140" s="67"/>
      <c r="X140" s="70"/>
    </row>
    <row r="141" spans="1:24">
      <c r="A141" s="7">
        <f t="shared" si="6"/>
        <v>136</v>
      </c>
      <c r="B141" s="26"/>
      <c r="C141" s="8"/>
      <c r="D141" s="7"/>
      <c r="E141" s="7"/>
      <c r="F141" s="7"/>
      <c r="G141" s="7"/>
      <c r="H141" s="7"/>
      <c r="I141" s="7"/>
      <c r="J141" s="7"/>
      <c r="K141" s="38" t="str">
        <f t="shared" si="7"/>
        <v/>
      </c>
      <c r="L141" s="37" t="str">
        <f t="shared" ca="1" si="8"/>
        <v/>
      </c>
      <c r="M141" s="7"/>
      <c r="P141" s="67"/>
      <c r="X141" s="70"/>
    </row>
    <row r="142" spans="1:24">
      <c r="A142" s="7">
        <f t="shared" si="6"/>
        <v>137</v>
      </c>
      <c r="B142" s="26"/>
      <c r="C142" s="8"/>
      <c r="D142" s="7"/>
      <c r="E142" s="7"/>
      <c r="F142" s="7"/>
      <c r="G142" s="7"/>
      <c r="H142" s="7"/>
      <c r="I142" s="7"/>
      <c r="J142" s="7"/>
      <c r="K142" s="38" t="str">
        <f t="shared" si="7"/>
        <v/>
      </c>
      <c r="L142" s="37" t="str">
        <f t="shared" ca="1" si="8"/>
        <v/>
      </c>
      <c r="M142" s="7"/>
      <c r="P142" s="67"/>
      <c r="X142" s="70"/>
    </row>
    <row r="143" spans="1:24">
      <c r="A143" s="7">
        <f t="shared" si="6"/>
        <v>138</v>
      </c>
      <c r="B143" s="26"/>
      <c r="C143" s="8"/>
      <c r="D143" s="7"/>
      <c r="E143" s="7"/>
      <c r="F143" s="7"/>
      <c r="G143" s="7"/>
      <c r="H143" s="7"/>
      <c r="I143" s="7"/>
      <c r="J143" s="7"/>
      <c r="K143" s="38" t="str">
        <f t="shared" si="7"/>
        <v/>
      </c>
      <c r="L143" s="37" t="str">
        <f t="shared" ca="1" si="8"/>
        <v/>
      </c>
      <c r="M143" s="7"/>
      <c r="P143" s="67"/>
      <c r="X143" s="70"/>
    </row>
    <row r="144" spans="1:24">
      <c r="A144" s="7">
        <f t="shared" si="6"/>
        <v>139</v>
      </c>
      <c r="B144" s="26"/>
      <c r="C144" s="8"/>
      <c r="D144" s="7"/>
      <c r="E144" s="7"/>
      <c r="F144" s="7"/>
      <c r="G144" s="7"/>
      <c r="H144" s="7"/>
      <c r="I144" s="7"/>
      <c r="J144" s="7"/>
      <c r="K144" s="38" t="str">
        <f t="shared" si="7"/>
        <v/>
      </c>
      <c r="L144" s="37" t="str">
        <f t="shared" ca="1" si="8"/>
        <v/>
      </c>
      <c r="M144" s="7"/>
      <c r="P144" s="67"/>
      <c r="X144" s="70"/>
    </row>
    <row r="145" spans="1:24">
      <c r="A145" s="7">
        <f t="shared" si="6"/>
        <v>140</v>
      </c>
      <c r="B145" s="26"/>
      <c r="C145" s="8"/>
      <c r="D145" s="7"/>
      <c r="E145" s="7"/>
      <c r="F145" s="7"/>
      <c r="G145" s="7"/>
      <c r="H145" s="7"/>
      <c r="I145" s="7"/>
      <c r="J145" s="7"/>
      <c r="K145" s="38" t="str">
        <f t="shared" si="7"/>
        <v/>
      </c>
      <c r="L145" s="37" t="str">
        <f t="shared" ca="1" si="8"/>
        <v/>
      </c>
      <c r="M145" s="7"/>
      <c r="P145" s="67"/>
      <c r="X145" s="70"/>
    </row>
    <row r="146" spans="1:24">
      <c r="A146" s="7">
        <f t="shared" si="6"/>
        <v>141</v>
      </c>
      <c r="B146" s="26"/>
      <c r="C146" s="8"/>
      <c r="D146" s="7"/>
      <c r="E146" s="7"/>
      <c r="F146" s="7"/>
      <c r="G146" s="7"/>
      <c r="H146" s="7"/>
      <c r="I146" s="7"/>
      <c r="J146" s="7"/>
      <c r="K146" s="38" t="str">
        <f t="shared" si="7"/>
        <v/>
      </c>
      <c r="L146" s="37" t="str">
        <f t="shared" ca="1" si="8"/>
        <v/>
      </c>
      <c r="M146" s="7"/>
      <c r="P146" s="67"/>
      <c r="X146" s="70"/>
    </row>
    <row r="147" spans="1:24">
      <c r="A147" s="7">
        <f t="shared" si="6"/>
        <v>142</v>
      </c>
      <c r="B147" s="26"/>
      <c r="C147" s="8"/>
      <c r="D147" s="7"/>
      <c r="E147" s="7"/>
      <c r="F147" s="7"/>
      <c r="G147" s="7"/>
      <c r="H147" s="7"/>
      <c r="I147" s="7"/>
      <c r="J147" s="7"/>
      <c r="K147" s="38" t="str">
        <f t="shared" si="7"/>
        <v/>
      </c>
      <c r="L147" s="37" t="str">
        <f t="shared" ca="1" si="8"/>
        <v/>
      </c>
      <c r="M147" s="7"/>
      <c r="P147" s="67"/>
      <c r="X147" s="70"/>
    </row>
    <row r="148" spans="1:24">
      <c r="A148" s="7">
        <f t="shared" si="6"/>
        <v>143</v>
      </c>
      <c r="B148" s="26"/>
      <c r="C148" s="8"/>
      <c r="D148" s="7"/>
      <c r="E148" s="7"/>
      <c r="F148" s="7"/>
      <c r="G148" s="7"/>
      <c r="H148" s="7"/>
      <c r="I148" s="7"/>
      <c r="J148" s="7"/>
      <c r="K148" s="38" t="str">
        <f t="shared" si="7"/>
        <v/>
      </c>
      <c r="L148" s="37" t="str">
        <f t="shared" ca="1" si="8"/>
        <v/>
      </c>
      <c r="M148" s="7"/>
      <c r="P148" s="67"/>
      <c r="X148" s="70"/>
    </row>
    <row r="149" spans="1:24">
      <c r="A149" s="7">
        <f t="shared" si="6"/>
        <v>144</v>
      </c>
      <c r="B149" s="26"/>
      <c r="C149" s="8"/>
      <c r="D149" s="7"/>
      <c r="E149" s="7"/>
      <c r="F149" s="7"/>
      <c r="G149" s="7"/>
      <c r="H149" s="7"/>
      <c r="I149" s="7"/>
      <c r="J149" s="7"/>
      <c r="K149" s="38" t="str">
        <f t="shared" si="7"/>
        <v/>
      </c>
      <c r="L149" s="37" t="str">
        <f t="shared" ca="1" si="8"/>
        <v/>
      </c>
      <c r="M149" s="7"/>
      <c r="P149" s="67"/>
      <c r="X149" s="70"/>
    </row>
    <row r="150" spans="1:24">
      <c r="A150" s="7">
        <f t="shared" si="6"/>
        <v>145</v>
      </c>
      <c r="B150" s="26"/>
      <c r="C150" s="8"/>
      <c r="D150" s="7"/>
      <c r="E150" s="7"/>
      <c r="F150" s="7"/>
      <c r="G150" s="7"/>
      <c r="H150" s="7"/>
      <c r="I150" s="7"/>
      <c r="J150" s="7"/>
      <c r="K150" s="38" t="str">
        <f t="shared" si="7"/>
        <v/>
      </c>
      <c r="L150" s="37" t="str">
        <f t="shared" ca="1" si="8"/>
        <v/>
      </c>
      <c r="M150" s="7"/>
      <c r="P150" s="67"/>
      <c r="X150" s="70"/>
    </row>
    <row r="151" spans="1:24">
      <c r="A151" s="7">
        <f t="shared" si="6"/>
        <v>146</v>
      </c>
      <c r="B151" s="26"/>
      <c r="C151" s="8"/>
      <c r="D151" s="7"/>
      <c r="E151" s="7"/>
      <c r="F151" s="7"/>
      <c r="G151" s="7"/>
      <c r="H151" s="7"/>
      <c r="I151" s="7"/>
      <c r="J151" s="7"/>
      <c r="K151" s="38" t="str">
        <f t="shared" si="7"/>
        <v/>
      </c>
      <c r="L151" s="37" t="str">
        <f t="shared" ca="1" si="8"/>
        <v/>
      </c>
      <c r="M151" s="7"/>
      <c r="P151" s="67"/>
      <c r="X151" s="70"/>
    </row>
    <row r="152" spans="1:24">
      <c r="A152" s="7">
        <f t="shared" si="6"/>
        <v>147</v>
      </c>
      <c r="B152" s="26"/>
      <c r="C152" s="8"/>
      <c r="D152" s="7"/>
      <c r="E152" s="7"/>
      <c r="F152" s="7"/>
      <c r="G152" s="7"/>
      <c r="H152" s="7"/>
      <c r="I152" s="7"/>
      <c r="J152" s="7"/>
      <c r="K152" s="38" t="str">
        <f t="shared" si="7"/>
        <v/>
      </c>
      <c r="L152" s="37" t="str">
        <f t="shared" ca="1" si="8"/>
        <v/>
      </c>
      <c r="M152" s="7"/>
      <c r="P152" s="67"/>
      <c r="X152" s="70"/>
    </row>
    <row r="153" spans="1:24">
      <c r="A153" s="7">
        <f t="shared" si="6"/>
        <v>148</v>
      </c>
      <c r="B153" s="26"/>
      <c r="C153" s="8"/>
      <c r="D153" s="7"/>
      <c r="E153" s="7"/>
      <c r="F153" s="7"/>
      <c r="G153" s="7"/>
      <c r="H153" s="7"/>
      <c r="I153" s="7"/>
      <c r="J153" s="7"/>
      <c r="K153" s="38" t="str">
        <f t="shared" si="7"/>
        <v/>
      </c>
      <c r="L153" s="37" t="str">
        <f t="shared" ca="1" si="8"/>
        <v/>
      </c>
      <c r="M153" s="7"/>
      <c r="P153" s="67"/>
      <c r="X153" s="70"/>
    </row>
    <row r="154" spans="1:24">
      <c r="A154" s="7">
        <f t="shared" si="6"/>
        <v>149</v>
      </c>
      <c r="B154" s="26"/>
      <c r="C154" s="8"/>
      <c r="D154" s="7"/>
      <c r="E154" s="7"/>
      <c r="F154" s="7"/>
      <c r="G154" s="7"/>
      <c r="H154" s="7"/>
      <c r="I154" s="7"/>
      <c r="J154" s="7"/>
      <c r="K154" s="38" t="str">
        <f t="shared" si="7"/>
        <v/>
      </c>
      <c r="L154" s="37" t="str">
        <f t="shared" ca="1" si="8"/>
        <v/>
      </c>
      <c r="M154" s="7"/>
      <c r="P154" s="67"/>
      <c r="X154" s="70"/>
    </row>
    <row r="155" spans="1:24">
      <c r="A155" s="7">
        <f t="shared" si="6"/>
        <v>150</v>
      </c>
      <c r="B155" s="26"/>
      <c r="C155" s="8"/>
      <c r="D155" s="7"/>
      <c r="E155" s="7"/>
      <c r="F155" s="7"/>
      <c r="G155" s="7"/>
      <c r="H155" s="7"/>
      <c r="I155" s="7"/>
      <c r="J155" s="7"/>
      <c r="K155" s="38" t="str">
        <f t="shared" si="7"/>
        <v/>
      </c>
      <c r="L155" s="37" t="str">
        <f t="shared" ca="1" si="8"/>
        <v/>
      </c>
      <c r="M155" s="7"/>
      <c r="P155" s="67"/>
      <c r="X155" s="70"/>
    </row>
    <row r="156" spans="1:24">
      <c r="A156" s="7">
        <f t="shared" si="6"/>
        <v>151</v>
      </c>
      <c r="B156" s="26"/>
      <c r="C156" s="8"/>
      <c r="D156" s="7"/>
      <c r="E156" s="7"/>
      <c r="F156" s="7"/>
      <c r="G156" s="7"/>
      <c r="H156" s="7"/>
      <c r="I156" s="7"/>
      <c r="J156" s="7"/>
      <c r="K156" s="38" t="str">
        <f t="shared" si="7"/>
        <v/>
      </c>
      <c r="L156" s="37" t="str">
        <f t="shared" ca="1" si="8"/>
        <v/>
      </c>
      <c r="M156" s="7"/>
      <c r="P156" s="67"/>
      <c r="X156" s="70"/>
    </row>
    <row r="157" spans="1:24">
      <c r="A157" s="7">
        <f t="shared" si="6"/>
        <v>152</v>
      </c>
      <c r="B157" s="26"/>
      <c r="C157" s="8"/>
      <c r="D157" s="7"/>
      <c r="E157" s="7"/>
      <c r="F157" s="7"/>
      <c r="G157" s="7"/>
      <c r="H157" s="7"/>
      <c r="I157" s="7"/>
      <c r="J157" s="7"/>
      <c r="K157" s="38" t="str">
        <f t="shared" si="7"/>
        <v/>
      </c>
      <c r="L157" s="37" t="str">
        <f t="shared" ca="1" si="8"/>
        <v/>
      </c>
      <c r="M157" s="7"/>
      <c r="P157" s="67"/>
      <c r="X157" s="70"/>
    </row>
    <row r="158" spans="1:24">
      <c r="A158" s="7">
        <f t="shared" si="6"/>
        <v>153</v>
      </c>
      <c r="B158" s="26"/>
      <c r="C158" s="8"/>
      <c r="D158" s="7"/>
      <c r="E158" s="7"/>
      <c r="F158" s="7"/>
      <c r="G158" s="7"/>
      <c r="H158" s="7"/>
      <c r="I158" s="7"/>
      <c r="J158" s="7"/>
      <c r="K158" s="38" t="str">
        <f t="shared" si="7"/>
        <v/>
      </c>
      <c r="L158" s="37" t="str">
        <f t="shared" ca="1" si="8"/>
        <v/>
      </c>
      <c r="M158" s="7"/>
      <c r="P158" s="67"/>
      <c r="X158" s="70"/>
    </row>
    <row r="159" spans="1:24">
      <c r="A159" s="7">
        <f t="shared" si="6"/>
        <v>154</v>
      </c>
      <c r="B159" s="26"/>
      <c r="C159" s="8"/>
      <c r="D159" s="7"/>
      <c r="E159" s="7"/>
      <c r="F159" s="7"/>
      <c r="G159" s="7"/>
      <c r="H159" s="7"/>
      <c r="I159" s="7"/>
      <c r="J159" s="7"/>
      <c r="K159" s="38" t="str">
        <f t="shared" si="7"/>
        <v/>
      </c>
      <c r="L159" s="37" t="str">
        <f t="shared" ca="1" si="8"/>
        <v/>
      </c>
      <c r="M159" s="7"/>
      <c r="P159" s="67"/>
      <c r="X159" s="70"/>
    </row>
    <row r="160" spans="1:24">
      <c r="A160" s="7">
        <f t="shared" si="6"/>
        <v>155</v>
      </c>
      <c r="B160" s="26"/>
      <c r="C160" s="8"/>
      <c r="D160" s="7"/>
      <c r="E160" s="7"/>
      <c r="F160" s="7"/>
      <c r="G160" s="7"/>
      <c r="H160" s="7"/>
      <c r="I160" s="7"/>
      <c r="J160" s="7"/>
      <c r="K160" s="38" t="str">
        <f t="shared" si="7"/>
        <v/>
      </c>
      <c r="L160" s="37" t="str">
        <f t="shared" ca="1" si="8"/>
        <v/>
      </c>
      <c r="M160" s="7"/>
      <c r="P160" s="67"/>
      <c r="X160" s="70"/>
    </row>
    <row r="161" spans="1:24">
      <c r="A161" s="7">
        <f t="shared" si="6"/>
        <v>156</v>
      </c>
      <c r="B161" s="26"/>
      <c r="C161" s="8"/>
      <c r="D161" s="7"/>
      <c r="E161" s="7"/>
      <c r="F161" s="7"/>
      <c r="G161" s="7"/>
      <c r="H161" s="7"/>
      <c r="I161" s="7"/>
      <c r="J161" s="7"/>
      <c r="K161" s="38" t="str">
        <f t="shared" si="7"/>
        <v/>
      </c>
      <c r="L161" s="37" t="str">
        <f t="shared" ca="1" si="8"/>
        <v/>
      </c>
      <c r="M161" s="7"/>
      <c r="P161" s="67"/>
      <c r="X161" s="70"/>
    </row>
    <row r="162" spans="1:24">
      <c r="A162" s="7">
        <f t="shared" si="6"/>
        <v>157</v>
      </c>
      <c r="B162" s="26"/>
      <c r="C162" s="8"/>
      <c r="D162" s="7"/>
      <c r="E162" s="7"/>
      <c r="F162" s="7"/>
      <c r="G162" s="7"/>
      <c r="H162" s="7"/>
      <c r="I162" s="7"/>
      <c r="J162" s="7"/>
      <c r="K162" s="38" t="str">
        <f t="shared" si="7"/>
        <v/>
      </c>
      <c r="L162" s="37" t="str">
        <f t="shared" ca="1" si="8"/>
        <v/>
      </c>
      <c r="M162" s="7"/>
      <c r="P162" s="67"/>
      <c r="X162" s="70"/>
    </row>
    <row r="163" spans="1:24">
      <c r="A163" s="7">
        <f t="shared" si="6"/>
        <v>158</v>
      </c>
      <c r="B163" s="26"/>
      <c r="C163" s="8"/>
      <c r="D163" s="7"/>
      <c r="E163" s="7"/>
      <c r="F163" s="7"/>
      <c r="G163" s="7"/>
      <c r="H163" s="7"/>
      <c r="I163" s="7"/>
      <c r="J163" s="7"/>
      <c r="K163" s="38" t="str">
        <f t="shared" si="7"/>
        <v/>
      </c>
      <c r="L163" s="37" t="str">
        <f t="shared" ca="1" si="8"/>
        <v/>
      </c>
      <c r="M163" s="7"/>
      <c r="P163" s="67"/>
      <c r="X163" s="70"/>
    </row>
    <row r="164" spans="1:24">
      <c r="A164" s="7">
        <f t="shared" si="6"/>
        <v>159</v>
      </c>
      <c r="B164" s="26"/>
      <c r="C164" s="8"/>
      <c r="D164" s="7"/>
      <c r="E164" s="7"/>
      <c r="F164" s="7"/>
      <c r="G164" s="7"/>
      <c r="H164" s="7"/>
      <c r="I164" s="7"/>
      <c r="J164" s="7"/>
      <c r="K164" s="38" t="str">
        <f t="shared" si="7"/>
        <v/>
      </c>
      <c r="L164" s="37" t="str">
        <f t="shared" ca="1" si="8"/>
        <v/>
      </c>
      <c r="M164" s="7"/>
      <c r="P164" s="67"/>
      <c r="X164" s="70"/>
    </row>
    <row r="165" spans="1:24">
      <c r="A165" s="7">
        <f t="shared" si="6"/>
        <v>160</v>
      </c>
      <c r="B165" s="26"/>
      <c r="C165" s="8"/>
      <c r="D165" s="7"/>
      <c r="E165" s="7"/>
      <c r="F165" s="7"/>
      <c r="G165" s="7"/>
      <c r="H165" s="7"/>
      <c r="I165" s="7"/>
      <c r="J165" s="7"/>
      <c r="K165" s="38" t="str">
        <f t="shared" si="7"/>
        <v/>
      </c>
      <c r="L165" s="37" t="str">
        <f t="shared" ca="1" si="8"/>
        <v/>
      </c>
      <c r="M165" s="7"/>
      <c r="P165" s="67"/>
      <c r="X165" s="70"/>
    </row>
    <row r="166" spans="1:24">
      <c r="A166" s="7">
        <f t="shared" si="6"/>
        <v>161</v>
      </c>
      <c r="B166" s="26"/>
      <c r="C166" s="8"/>
      <c r="D166" s="7"/>
      <c r="E166" s="7"/>
      <c r="F166" s="7"/>
      <c r="G166" s="7"/>
      <c r="H166" s="7"/>
      <c r="I166" s="7"/>
      <c r="J166" s="7"/>
      <c r="K166" s="38" t="str">
        <f t="shared" si="7"/>
        <v/>
      </c>
      <c r="L166" s="37" t="str">
        <f t="shared" ca="1" si="8"/>
        <v/>
      </c>
      <c r="M166" s="7"/>
      <c r="P166" s="67"/>
      <c r="X166" s="70"/>
    </row>
    <row r="167" spans="1:24">
      <c r="A167" s="7">
        <f t="shared" si="6"/>
        <v>162</v>
      </c>
      <c r="B167" s="26"/>
      <c r="C167" s="8"/>
      <c r="D167" s="7"/>
      <c r="E167" s="7"/>
      <c r="F167" s="7"/>
      <c r="G167" s="7"/>
      <c r="H167" s="7"/>
      <c r="I167" s="7"/>
      <c r="J167" s="7"/>
      <c r="K167" s="38" t="str">
        <f t="shared" si="7"/>
        <v/>
      </c>
      <c r="L167" s="37" t="str">
        <f t="shared" ca="1" si="8"/>
        <v/>
      </c>
      <c r="M167" s="7"/>
      <c r="P167" s="67"/>
      <c r="X167" s="70"/>
    </row>
    <row r="168" spans="1:24">
      <c r="A168" s="7">
        <f t="shared" si="6"/>
        <v>163</v>
      </c>
      <c r="B168" s="26"/>
      <c r="C168" s="8"/>
      <c r="D168" s="7"/>
      <c r="E168" s="7"/>
      <c r="F168" s="7"/>
      <c r="G168" s="7"/>
      <c r="H168" s="7"/>
      <c r="I168" s="7"/>
      <c r="J168" s="7"/>
      <c r="K168" s="38" t="str">
        <f t="shared" si="7"/>
        <v/>
      </c>
      <c r="L168" s="37" t="str">
        <f t="shared" ca="1" si="8"/>
        <v/>
      </c>
      <c r="M168" s="7"/>
      <c r="P168" s="67"/>
      <c r="X168" s="70"/>
    </row>
    <row r="169" spans="1:24">
      <c r="A169" s="7">
        <f t="shared" si="6"/>
        <v>164</v>
      </c>
      <c r="B169" s="26"/>
      <c r="C169" s="8"/>
      <c r="D169" s="7"/>
      <c r="E169" s="7"/>
      <c r="F169" s="7"/>
      <c r="G169" s="7"/>
      <c r="H169" s="7"/>
      <c r="I169" s="7"/>
      <c r="J169" s="7"/>
      <c r="K169" s="38" t="str">
        <f t="shared" si="7"/>
        <v/>
      </c>
      <c r="L169" s="37" t="str">
        <f t="shared" ca="1" si="8"/>
        <v/>
      </c>
      <c r="M169" s="7"/>
      <c r="P169" s="67"/>
      <c r="X169" s="70"/>
    </row>
    <row r="170" spans="1:24">
      <c r="A170" s="7">
        <f t="shared" si="6"/>
        <v>165</v>
      </c>
      <c r="B170" s="26"/>
      <c r="C170" s="8"/>
      <c r="D170" s="7"/>
      <c r="E170" s="7"/>
      <c r="F170" s="7"/>
      <c r="G170" s="7"/>
      <c r="H170" s="7"/>
      <c r="I170" s="7"/>
      <c r="J170" s="7"/>
      <c r="K170" s="38" t="str">
        <f t="shared" si="7"/>
        <v/>
      </c>
      <c r="L170" s="37" t="str">
        <f t="shared" ca="1" si="8"/>
        <v/>
      </c>
      <c r="M170" s="7"/>
      <c r="P170" s="67"/>
      <c r="X170" s="70"/>
    </row>
    <row r="171" spans="1:24">
      <c r="A171" s="7">
        <f t="shared" si="6"/>
        <v>166</v>
      </c>
      <c r="B171" s="26"/>
      <c r="C171" s="8"/>
      <c r="D171" s="7"/>
      <c r="E171" s="7"/>
      <c r="F171" s="7"/>
      <c r="G171" s="7"/>
      <c r="H171" s="7"/>
      <c r="I171" s="7"/>
      <c r="J171" s="7"/>
      <c r="K171" s="38" t="str">
        <f t="shared" si="7"/>
        <v/>
      </c>
      <c r="L171" s="37" t="str">
        <f t="shared" ca="1" si="8"/>
        <v/>
      </c>
      <c r="M171" s="7"/>
      <c r="P171" s="67"/>
      <c r="X171" s="70"/>
    </row>
    <row r="172" spans="1:24">
      <c r="A172" s="7">
        <f t="shared" si="6"/>
        <v>167</v>
      </c>
      <c r="B172" s="26"/>
      <c r="C172" s="8"/>
      <c r="D172" s="7"/>
      <c r="E172" s="7"/>
      <c r="F172" s="7"/>
      <c r="G172" s="7"/>
      <c r="H172" s="7"/>
      <c r="I172" s="7"/>
      <c r="J172" s="7"/>
      <c r="K172" s="38" t="str">
        <f t="shared" si="7"/>
        <v/>
      </c>
      <c r="L172" s="37" t="str">
        <f t="shared" ca="1" si="8"/>
        <v/>
      </c>
      <c r="M172" s="7"/>
      <c r="P172" s="67"/>
      <c r="X172" s="70"/>
    </row>
    <row r="173" spans="1:24">
      <c r="A173" s="7">
        <f t="shared" si="6"/>
        <v>168</v>
      </c>
      <c r="B173" s="26"/>
      <c r="C173" s="8"/>
      <c r="D173" s="7"/>
      <c r="E173" s="7"/>
      <c r="F173" s="7"/>
      <c r="G173" s="7"/>
      <c r="H173" s="7"/>
      <c r="I173" s="7"/>
      <c r="J173" s="7"/>
      <c r="K173" s="38" t="str">
        <f t="shared" si="7"/>
        <v/>
      </c>
      <c r="L173" s="37" t="str">
        <f t="shared" ca="1" si="8"/>
        <v/>
      </c>
      <c r="M173" s="7"/>
      <c r="P173" s="67"/>
      <c r="X173" s="70"/>
    </row>
    <row r="174" spans="1:24">
      <c r="A174" s="7">
        <f t="shared" si="6"/>
        <v>169</v>
      </c>
      <c r="B174" s="26"/>
      <c r="C174" s="8"/>
      <c r="D174" s="7"/>
      <c r="E174" s="7"/>
      <c r="F174" s="7"/>
      <c r="G174" s="7"/>
      <c r="H174" s="7"/>
      <c r="I174" s="7"/>
      <c r="J174" s="7"/>
      <c r="K174" s="38" t="str">
        <f t="shared" si="7"/>
        <v/>
      </c>
      <c r="L174" s="37" t="str">
        <f t="shared" ca="1" si="8"/>
        <v/>
      </c>
      <c r="M174" s="7"/>
      <c r="P174" s="67"/>
      <c r="X174" s="70"/>
    </row>
    <row r="175" spans="1:24">
      <c r="A175" s="7">
        <f t="shared" si="6"/>
        <v>170</v>
      </c>
      <c r="B175" s="26"/>
      <c r="C175" s="8"/>
      <c r="D175" s="7"/>
      <c r="E175" s="7"/>
      <c r="F175" s="7"/>
      <c r="G175" s="7"/>
      <c r="H175" s="7"/>
      <c r="I175" s="7"/>
      <c r="J175" s="7"/>
      <c r="K175" s="38" t="str">
        <f t="shared" si="7"/>
        <v/>
      </c>
      <c r="L175" s="37" t="str">
        <f t="shared" ca="1" si="8"/>
        <v/>
      </c>
      <c r="M175" s="7"/>
      <c r="P175" s="67"/>
      <c r="X175" s="70"/>
    </row>
    <row r="176" spans="1:24">
      <c r="A176" s="7">
        <f t="shared" si="6"/>
        <v>171</v>
      </c>
      <c r="B176" s="26"/>
      <c r="C176" s="8"/>
      <c r="D176" s="7"/>
      <c r="E176" s="7"/>
      <c r="F176" s="7"/>
      <c r="G176" s="7"/>
      <c r="H176" s="7"/>
      <c r="I176" s="7"/>
      <c r="J176" s="7"/>
      <c r="K176" s="38" t="str">
        <f t="shared" si="7"/>
        <v/>
      </c>
      <c r="L176" s="37" t="str">
        <f t="shared" ca="1" si="8"/>
        <v/>
      </c>
      <c r="M176" s="7"/>
      <c r="P176" s="67"/>
      <c r="X176" s="70"/>
    </row>
    <row r="177" spans="1:24">
      <c r="A177" s="7">
        <f t="shared" si="6"/>
        <v>172</v>
      </c>
      <c r="B177" s="26"/>
      <c r="C177" s="8"/>
      <c r="D177" s="7"/>
      <c r="E177" s="7"/>
      <c r="F177" s="7"/>
      <c r="G177" s="7"/>
      <c r="H177" s="7"/>
      <c r="I177" s="7"/>
      <c r="J177" s="7"/>
      <c r="K177" s="38" t="str">
        <f t="shared" si="7"/>
        <v/>
      </c>
      <c r="L177" s="37" t="str">
        <f t="shared" ca="1" si="8"/>
        <v/>
      </c>
      <c r="M177" s="7"/>
      <c r="P177" s="67"/>
      <c r="X177" s="70"/>
    </row>
    <row r="178" spans="1:24">
      <c r="A178" s="7">
        <f t="shared" si="6"/>
        <v>173</v>
      </c>
      <c r="B178" s="26"/>
      <c r="C178" s="8"/>
      <c r="D178" s="7"/>
      <c r="E178" s="7"/>
      <c r="F178" s="7"/>
      <c r="G178" s="7"/>
      <c r="H178" s="7"/>
      <c r="I178" s="7"/>
      <c r="J178" s="7"/>
      <c r="K178" s="38" t="str">
        <f t="shared" si="7"/>
        <v/>
      </c>
      <c r="L178" s="37" t="str">
        <f t="shared" ca="1" si="8"/>
        <v/>
      </c>
      <c r="M178" s="7"/>
      <c r="P178" s="67"/>
      <c r="X178" s="70"/>
    </row>
    <row r="179" spans="1:24">
      <c r="A179" s="7">
        <f t="shared" si="6"/>
        <v>174</v>
      </c>
      <c r="B179" s="26"/>
      <c r="C179" s="8"/>
      <c r="D179" s="7"/>
      <c r="E179" s="7"/>
      <c r="F179" s="7"/>
      <c r="G179" s="7"/>
      <c r="H179" s="7"/>
      <c r="I179" s="7"/>
      <c r="J179" s="7"/>
      <c r="K179" s="38" t="str">
        <f t="shared" si="7"/>
        <v/>
      </c>
      <c r="L179" s="37" t="str">
        <f t="shared" ca="1" si="8"/>
        <v/>
      </c>
      <c r="M179" s="7"/>
      <c r="P179" s="67"/>
      <c r="X179" s="70"/>
    </row>
    <row r="180" spans="1:24">
      <c r="A180" s="7">
        <f t="shared" si="6"/>
        <v>175</v>
      </c>
      <c r="B180" s="26"/>
      <c r="C180" s="8"/>
      <c r="D180" s="7"/>
      <c r="E180" s="7"/>
      <c r="F180" s="7"/>
      <c r="G180" s="7"/>
      <c r="H180" s="7"/>
      <c r="I180" s="7"/>
      <c r="J180" s="7"/>
      <c r="K180" s="38" t="str">
        <f t="shared" si="7"/>
        <v/>
      </c>
      <c r="L180" s="37" t="str">
        <f t="shared" ca="1" si="8"/>
        <v/>
      </c>
      <c r="M180" s="7"/>
      <c r="P180" s="67"/>
      <c r="X180" s="70"/>
    </row>
    <row r="181" spans="1:24">
      <c r="A181" s="7">
        <f t="shared" si="6"/>
        <v>176</v>
      </c>
      <c r="B181" s="26"/>
      <c r="C181" s="8"/>
      <c r="D181" s="7"/>
      <c r="E181" s="7"/>
      <c r="F181" s="7"/>
      <c r="G181" s="7"/>
      <c r="H181" s="7"/>
      <c r="I181" s="7"/>
      <c r="J181" s="7"/>
      <c r="K181" s="38" t="str">
        <f t="shared" si="7"/>
        <v/>
      </c>
      <c r="L181" s="37" t="str">
        <f t="shared" ca="1" si="8"/>
        <v/>
      </c>
      <c r="M181" s="7"/>
      <c r="P181" s="67"/>
      <c r="X181" s="70"/>
    </row>
    <row r="182" spans="1:24">
      <c r="A182" s="7">
        <f t="shared" si="6"/>
        <v>177</v>
      </c>
      <c r="B182" s="26"/>
      <c r="C182" s="8"/>
      <c r="D182" s="7"/>
      <c r="E182" s="7"/>
      <c r="F182" s="7"/>
      <c r="G182" s="7"/>
      <c r="H182" s="7"/>
      <c r="I182" s="7"/>
      <c r="J182" s="7"/>
      <c r="K182" s="38" t="str">
        <f t="shared" si="7"/>
        <v/>
      </c>
      <c r="L182" s="37" t="str">
        <f t="shared" ca="1" si="8"/>
        <v/>
      </c>
      <c r="M182" s="7"/>
      <c r="P182" s="67"/>
      <c r="X182" s="70"/>
    </row>
    <row r="183" spans="1:24">
      <c r="A183" s="7">
        <f t="shared" si="6"/>
        <v>178</v>
      </c>
      <c r="B183" s="26"/>
      <c r="C183" s="8"/>
      <c r="D183" s="7"/>
      <c r="E183" s="7"/>
      <c r="F183" s="7"/>
      <c r="G183" s="7"/>
      <c r="H183" s="7"/>
      <c r="I183" s="7"/>
      <c r="J183" s="7"/>
      <c r="K183" s="38" t="str">
        <f t="shared" si="7"/>
        <v/>
      </c>
      <c r="L183" s="37" t="str">
        <f t="shared" ca="1" si="8"/>
        <v/>
      </c>
      <c r="M183" s="7"/>
      <c r="P183" s="67"/>
      <c r="X183" s="70"/>
    </row>
    <row r="184" spans="1:24">
      <c r="A184" s="7">
        <f t="shared" si="6"/>
        <v>179</v>
      </c>
      <c r="B184" s="26"/>
      <c r="C184" s="8"/>
      <c r="D184" s="7"/>
      <c r="E184" s="7"/>
      <c r="F184" s="7"/>
      <c r="G184" s="7"/>
      <c r="H184" s="7"/>
      <c r="I184" s="7"/>
      <c r="J184" s="7"/>
      <c r="K184" s="38" t="str">
        <f t="shared" si="7"/>
        <v/>
      </c>
      <c r="L184" s="37" t="str">
        <f t="shared" ca="1" si="8"/>
        <v/>
      </c>
      <c r="M184" s="7"/>
      <c r="P184" s="67"/>
      <c r="X184" s="70"/>
    </row>
    <row r="185" spans="1:24">
      <c r="A185" s="7">
        <f t="shared" si="6"/>
        <v>180</v>
      </c>
      <c r="B185" s="26"/>
      <c r="C185" s="8"/>
      <c r="D185" s="7"/>
      <c r="E185" s="7"/>
      <c r="F185" s="7"/>
      <c r="G185" s="7"/>
      <c r="H185" s="7"/>
      <c r="I185" s="7"/>
      <c r="J185" s="7"/>
      <c r="K185" s="38" t="str">
        <f t="shared" si="7"/>
        <v/>
      </c>
      <c r="L185" s="37" t="str">
        <f t="shared" ca="1" si="8"/>
        <v/>
      </c>
      <c r="M185" s="7"/>
      <c r="P185" s="67"/>
      <c r="X185" s="70"/>
    </row>
    <row r="186" spans="1:24">
      <c r="A186" s="7">
        <f t="shared" si="6"/>
        <v>181</v>
      </c>
      <c r="B186" s="26"/>
      <c r="C186" s="8"/>
      <c r="D186" s="7"/>
      <c r="E186" s="7"/>
      <c r="F186" s="7"/>
      <c r="G186" s="7"/>
      <c r="H186" s="7"/>
      <c r="I186" s="7"/>
      <c r="J186" s="7"/>
      <c r="K186" s="38" t="str">
        <f t="shared" si="7"/>
        <v/>
      </c>
      <c r="L186" s="37" t="str">
        <f t="shared" ca="1" si="8"/>
        <v/>
      </c>
      <c r="M186" s="7"/>
      <c r="P186" s="67"/>
      <c r="X186" s="70"/>
    </row>
    <row r="187" spans="1:24">
      <c r="A187" s="7">
        <f t="shared" si="6"/>
        <v>182</v>
      </c>
      <c r="B187" s="26"/>
      <c r="C187" s="8"/>
      <c r="D187" s="7"/>
      <c r="E187" s="7"/>
      <c r="F187" s="7"/>
      <c r="G187" s="7"/>
      <c r="H187" s="7"/>
      <c r="I187" s="7"/>
      <c r="J187" s="7"/>
      <c r="K187" s="38" t="str">
        <f t="shared" si="7"/>
        <v/>
      </c>
      <c r="L187" s="37" t="str">
        <f t="shared" ca="1" si="8"/>
        <v/>
      </c>
      <c r="M187" s="7"/>
      <c r="P187" s="67"/>
      <c r="X187" s="70"/>
    </row>
    <row r="188" spans="1:24">
      <c r="A188" s="7">
        <f t="shared" si="6"/>
        <v>183</v>
      </c>
      <c r="B188" s="26"/>
      <c r="C188" s="8"/>
      <c r="D188" s="7"/>
      <c r="E188" s="7"/>
      <c r="F188" s="7"/>
      <c r="G188" s="7"/>
      <c r="H188" s="7"/>
      <c r="I188" s="7"/>
      <c r="J188" s="7"/>
      <c r="K188" s="38" t="str">
        <f t="shared" si="7"/>
        <v/>
      </c>
      <c r="L188" s="37" t="str">
        <f t="shared" ca="1" si="8"/>
        <v/>
      </c>
      <c r="M188" s="7"/>
      <c r="P188" s="67"/>
      <c r="X188" s="70"/>
    </row>
    <row r="189" spans="1:24">
      <c r="A189" s="7">
        <f t="shared" si="6"/>
        <v>184</v>
      </c>
      <c r="B189" s="26"/>
      <c r="C189" s="8"/>
      <c r="D189" s="7"/>
      <c r="E189" s="7"/>
      <c r="F189" s="7"/>
      <c r="G189" s="7"/>
      <c r="H189" s="7"/>
      <c r="I189" s="7"/>
      <c r="J189" s="7"/>
      <c r="K189" s="38" t="str">
        <f t="shared" si="7"/>
        <v/>
      </c>
      <c r="L189" s="37" t="str">
        <f t="shared" ca="1" si="8"/>
        <v/>
      </c>
      <c r="M189" s="7"/>
      <c r="P189" s="67"/>
      <c r="X189" s="70"/>
    </row>
    <row r="190" spans="1:24">
      <c r="A190" s="7">
        <f t="shared" si="6"/>
        <v>185</v>
      </c>
      <c r="B190" s="26"/>
      <c r="C190" s="8"/>
      <c r="D190" s="7"/>
      <c r="E190" s="7"/>
      <c r="F190" s="7"/>
      <c r="G190" s="7"/>
      <c r="H190" s="7"/>
      <c r="I190" s="7"/>
      <c r="J190" s="7"/>
      <c r="K190" s="38" t="str">
        <f t="shared" si="7"/>
        <v/>
      </c>
      <c r="L190" s="37" t="str">
        <f t="shared" ca="1" si="8"/>
        <v/>
      </c>
      <c r="M190" s="7"/>
      <c r="P190" s="67"/>
      <c r="X190" s="70"/>
    </row>
    <row r="191" spans="1:24">
      <c r="A191" s="7">
        <f t="shared" si="6"/>
        <v>186</v>
      </c>
      <c r="B191" s="26"/>
      <c r="C191" s="8"/>
      <c r="D191" s="7"/>
      <c r="E191" s="7"/>
      <c r="F191" s="7"/>
      <c r="G191" s="7"/>
      <c r="H191" s="7"/>
      <c r="I191" s="7"/>
      <c r="J191" s="7"/>
      <c r="K191" s="38" t="str">
        <f t="shared" si="7"/>
        <v/>
      </c>
      <c r="L191" s="37" t="str">
        <f t="shared" ca="1" si="8"/>
        <v/>
      </c>
      <c r="M191" s="7"/>
      <c r="P191" s="67"/>
      <c r="X191" s="70"/>
    </row>
    <row r="192" spans="1:24">
      <c r="A192" s="7">
        <f t="shared" si="6"/>
        <v>187</v>
      </c>
      <c r="B192" s="26"/>
      <c r="C192" s="8"/>
      <c r="D192" s="7"/>
      <c r="E192" s="7"/>
      <c r="F192" s="7"/>
      <c r="G192" s="7"/>
      <c r="H192" s="7"/>
      <c r="I192" s="7"/>
      <c r="J192" s="7"/>
      <c r="K192" s="38" t="str">
        <f t="shared" si="7"/>
        <v/>
      </c>
      <c r="L192" s="37" t="str">
        <f t="shared" ca="1" si="8"/>
        <v/>
      </c>
      <c r="M192" s="7"/>
      <c r="P192" s="67"/>
      <c r="X192" s="70"/>
    </row>
    <row r="193" spans="1:24">
      <c r="A193" s="7">
        <f t="shared" si="6"/>
        <v>188</v>
      </c>
      <c r="B193" s="26"/>
      <c r="C193" s="8"/>
      <c r="D193" s="7"/>
      <c r="E193" s="7"/>
      <c r="F193" s="7"/>
      <c r="G193" s="7"/>
      <c r="H193" s="7"/>
      <c r="I193" s="7"/>
      <c r="J193" s="7"/>
      <c r="K193" s="38" t="str">
        <f t="shared" si="7"/>
        <v/>
      </c>
      <c r="L193" s="37" t="str">
        <f t="shared" ca="1" si="8"/>
        <v/>
      </c>
      <c r="M193" s="7"/>
      <c r="P193" s="67"/>
      <c r="X193" s="70"/>
    </row>
    <row r="194" spans="1:24">
      <c r="A194" s="7">
        <f t="shared" si="6"/>
        <v>189</v>
      </c>
      <c r="B194" s="26"/>
      <c r="C194" s="8"/>
      <c r="D194" s="7"/>
      <c r="E194" s="7"/>
      <c r="F194" s="7"/>
      <c r="G194" s="7"/>
      <c r="H194" s="7"/>
      <c r="I194" s="7"/>
      <c r="J194" s="7"/>
      <c r="K194" s="38" t="str">
        <f t="shared" si="7"/>
        <v/>
      </c>
      <c r="L194" s="37" t="str">
        <f t="shared" ca="1" si="8"/>
        <v/>
      </c>
      <c r="M194" s="7"/>
      <c r="P194" s="67"/>
      <c r="X194" s="70"/>
    </row>
    <row r="195" spans="1:24">
      <c r="A195" s="7">
        <f t="shared" si="6"/>
        <v>190</v>
      </c>
      <c r="B195" s="26"/>
      <c r="C195" s="8"/>
      <c r="D195" s="7"/>
      <c r="E195" s="7"/>
      <c r="F195" s="7"/>
      <c r="G195" s="7"/>
      <c r="H195" s="7"/>
      <c r="I195" s="7"/>
      <c r="J195" s="7"/>
      <c r="K195" s="38" t="str">
        <f t="shared" si="7"/>
        <v/>
      </c>
      <c r="L195" s="37" t="str">
        <f t="shared" ca="1" si="8"/>
        <v/>
      </c>
      <c r="M195" s="7"/>
      <c r="P195" s="67"/>
      <c r="X195" s="70"/>
    </row>
    <row r="196" spans="1:24">
      <c r="A196" s="7">
        <f t="shared" si="6"/>
        <v>191</v>
      </c>
      <c r="B196" s="26"/>
      <c r="C196" s="8"/>
      <c r="D196" s="7"/>
      <c r="E196" s="7"/>
      <c r="F196" s="7"/>
      <c r="G196" s="7"/>
      <c r="H196" s="7"/>
      <c r="I196" s="7"/>
      <c r="J196" s="7"/>
      <c r="K196" s="38" t="str">
        <f t="shared" si="7"/>
        <v/>
      </c>
      <c r="L196" s="37" t="str">
        <f t="shared" ca="1" si="8"/>
        <v/>
      </c>
      <c r="M196" s="7"/>
      <c r="P196" s="67"/>
      <c r="X196" s="70"/>
    </row>
    <row r="197" spans="1:24">
      <c r="A197" s="7">
        <f t="shared" si="6"/>
        <v>192</v>
      </c>
      <c r="B197" s="26"/>
      <c r="C197" s="8"/>
      <c r="D197" s="7"/>
      <c r="E197" s="7"/>
      <c r="F197" s="7"/>
      <c r="G197" s="7"/>
      <c r="H197" s="7"/>
      <c r="I197" s="7"/>
      <c r="J197" s="7"/>
      <c r="K197" s="38" t="str">
        <f t="shared" si="7"/>
        <v/>
      </c>
      <c r="L197" s="37" t="str">
        <f t="shared" ca="1" si="8"/>
        <v/>
      </c>
      <c r="M197" s="7"/>
      <c r="P197" s="67"/>
      <c r="X197" s="70"/>
    </row>
    <row r="198" spans="1:24">
      <c r="A198" s="7">
        <f t="shared" si="6"/>
        <v>193</v>
      </c>
      <c r="B198" s="26"/>
      <c r="C198" s="8"/>
      <c r="D198" s="7"/>
      <c r="E198" s="7"/>
      <c r="F198" s="7"/>
      <c r="G198" s="7"/>
      <c r="H198" s="7"/>
      <c r="I198" s="7"/>
      <c r="J198" s="7"/>
      <c r="K198" s="38" t="str">
        <f t="shared" si="7"/>
        <v/>
      </c>
      <c r="L198" s="37" t="str">
        <f t="shared" ca="1" si="8"/>
        <v/>
      </c>
      <c r="M198" s="7"/>
      <c r="P198" s="67"/>
      <c r="X198" s="70"/>
    </row>
    <row r="199" spans="1:24">
      <c r="A199" s="7">
        <f t="shared" ref="A199:A262" si="9">ROW(A194)</f>
        <v>194</v>
      </c>
      <c r="B199" s="26"/>
      <c r="C199" s="8"/>
      <c r="D199" s="7"/>
      <c r="E199" s="7"/>
      <c r="F199" s="7"/>
      <c r="G199" s="7"/>
      <c r="H199" s="7"/>
      <c r="I199" s="7"/>
      <c r="J199" s="7"/>
      <c r="K199" s="38" t="str">
        <f t="shared" ref="K199:K262" si="10">IF(C199&gt;0,C199+J199-1,"")</f>
        <v/>
      </c>
      <c r="L199" s="37" t="str">
        <f t="shared" ref="L199:L262" ca="1" si="11">IF(K199="","",IF(TODAY()&gt;K199,"YES","No"))</f>
        <v/>
      </c>
      <c r="M199" s="7"/>
      <c r="P199" s="67"/>
      <c r="X199" s="70"/>
    </row>
    <row r="200" spans="1:24">
      <c r="A200" s="7">
        <f t="shared" si="9"/>
        <v>195</v>
      </c>
      <c r="B200" s="26"/>
      <c r="C200" s="8"/>
      <c r="D200" s="7"/>
      <c r="E200" s="7"/>
      <c r="F200" s="7"/>
      <c r="G200" s="7"/>
      <c r="H200" s="7"/>
      <c r="I200" s="7"/>
      <c r="J200" s="7"/>
      <c r="K200" s="38" t="str">
        <f t="shared" si="10"/>
        <v/>
      </c>
      <c r="L200" s="37" t="str">
        <f t="shared" ca="1" si="11"/>
        <v/>
      </c>
      <c r="M200" s="7"/>
      <c r="P200" s="67"/>
      <c r="X200" s="70"/>
    </row>
    <row r="201" spans="1:24">
      <c r="A201" s="7">
        <f t="shared" si="9"/>
        <v>196</v>
      </c>
      <c r="B201" s="26"/>
      <c r="C201" s="8"/>
      <c r="D201" s="7"/>
      <c r="E201" s="7"/>
      <c r="F201" s="7"/>
      <c r="G201" s="7"/>
      <c r="H201" s="7"/>
      <c r="I201" s="7"/>
      <c r="J201" s="7"/>
      <c r="K201" s="38" t="str">
        <f t="shared" si="10"/>
        <v/>
      </c>
      <c r="L201" s="37" t="str">
        <f t="shared" ca="1" si="11"/>
        <v/>
      </c>
      <c r="M201" s="7"/>
      <c r="P201" s="67"/>
      <c r="X201" s="70"/>
    </row>
    <row r="202" spans="1:24">
      <c r="A202" s="7">
        <f t="shared" si="9"/>
        <v>197</v>
      </c>
      <c r="B202" s="26"/>
      <c r="C202" s="8"/>
      <c r="D202" s="7"/>
      <c r="E202" s="7"/>
      <c r="F202" s="7"/>
      <c r="G202" s="7"/>
      <c r="H202" s="7"/>
      <c r="I202" s="7"/>
      <c r="J202" s="7"/>
      <c r="K202" s="38" t="str">
        <f t="shared" si="10"/>
        <v/>
      </c>
      <c r="L202" s="37" t="str">
        <f t="shared" ca="1" si="11"/>
        <v/>
      </c>
      <c r="M202" s="7"/>
      <c r="P202" s="67"/>
      <c r="X202" s="70"/>
    </row>
    <row r="203" spans="1:24">
      <c r="A203" s="7">
        <f t="shared" si="9"/>
        <v>198</v>
      </c>
      <c r="B203" s="26"/>
      <c r="C203" s="8"/>
      <c r="D203" s="7"/>
      <c r="E203" s="7"/>
      <c r="F203" s="7"/>
      <c r="G203" s="7"/>
      <c r="H203" s="7"/>
      <c r="I203" s="7"/>
      <c r="J203" s="7"/>
      <c r="K203" s="38" t="str">
        <f t="shared" si="10"/>
        <v/>
      </c>
      <c r="L203" s="37" t="str">
        <f t="shared" ca="1" si="11"/>
        <v/>
      </c>
      <c r="M203" s="7"/>
      <c r="P203" s="67"/>
      <c r="X203" s="70"/>
    </row>
    <row r="204" spans="1:24">
      <c r="A204" s="7">
        <f t="shared" si="9"/>
        <v>199</v>
      </c>
      <c r="B204" s="26"/>
      <c r="C204" s="8"/>
      <c r="D204" s="7"/>
      <c r="E204" s="7"/>
      <c r="F204" s="7"/>
      <c r="G204" s="7"/>
      <c r="H204" s="7"/>
      <c r="I204" s="7"/>
      <c r="J204" s="7"/>
      <c r="K204" s="38" t="str">
        <f t="shared" si="10"/>
        <v/>
      </c>
      <c r="L204" s="37" t="str">
        <f t="shared" ca="1" si="11"/>
        <v/>
      </c>
      <c r="M204" s="7"/>
      <c r="P204" s="67"/>
      <c r="X204" s="70"/>
    </row>
    <row r="205" spans="1:24">
      <c r="A205" s="7">
        <f t="shared" si="9"/>
        <v>200</v>
      </c>
      <c r="B205" s="26"/>
      <c r="C205" s="8"/>
      <c r="D205" s="7"/>
      <c r="E205" s="7"/>
      <c r="F205" s="7"/>
      <c r="G205" s="7"/>
      <c r="H205" s="7"/>
      <c r="I205" s="7"/>
      <c r="J205" s="7"/>
      <c r="K205" s="38" t="str">
        <f t="shared" si="10"/>
        <v/>
      </c>
      <c r="L205" s="37" t="str">
        <f t="shared" ca="1" si="11"/>
        <v/>
      </c>
      <c r="M205" s="7"/>
      <c r="P205" s="67"/>
      <c r="X205" s="70"/>
    </row>
    <row r="206" spans="1:24">
      <c r="A206" s="7">
        <f t="shared" si="9"/>
        <v>201</v>
      </c>
      <c r="B206" s="26"/>
      <c r="C206" s="8"/>
      <c r="D206" s="7"/>
      <c r="E206" s="7"/>
      <c r="F206" s="7"/>
      <c r="G206" s="7"/>
      <c r="H206" s="7"/>
      <c r="I206" s="7"/>
      <c r="J206" s="7"/>
      <c r="K206" s="38" t="str">
        <f t="shared" si="10"/>
        <v/>
      </c>
      <c r="L206" s="37" t="str">
        <f t="shared" ca="1" si="11"/>
        <v/>
      </c>
      <c r="M206" s="7"/>
      <c r="P206" s="67"/>
      <c r="X206" s="70"/>
    </row>
    <row r="207" spans="1:24">
      <c r="A207" s="7">
        <f t="shared" si="9"/>
        <v>202</v>
      </c>
      <c r="B207" s="26"/>
      <c r="C207" s="8"/>
      <c r="D207" s="7"/>
      <c r="E207" s="7"/>
      <c r="F207" s="7"/>
      <c r="G207" s="7"/>
      <c r="H207" s="7"/>
      <c r="I207" s="7"/>
      <c r="J207" s="7"/>
      <c r="K207" s="38" t="str">
        <f t="shared" si="10"/>
        <v/>
      </c>
      <c r="L207" s="37" t="str">
        <f t="shared" ca="1" si="11"/>
        <v/>
      </c>
      <c r="M207" s="7"/>
      <c r="P207" s="67"/>
      <c r="X207" s="70"/>
    </row>
    <row r="208" spans="1:24">
      <c r="A208" s="7">
        <f t="shared" si="9"/>
        <v>203</v>
      </c>
      <c r="B208" s="26"/>
      <c r="C208" s="8"/>
      <c r="D208" s="7"/>
      <c r="E208" s="7"/>
      <c r="F208" s="7"/>
      <c r="G208" s="7"/>
      <c r="H208" s="7"/>
      <c r="I208" s="7"/>
      <c r="J208" s="7"/>
      <c r="K208" s="38" t="str">
        <f t="shared" si="10"/>
        <v/>
      </c>
      <c r="L208" s="37" t="str">
        <f t="shared" ca="1" si="11"/>
        <v/>
      </c>
      <c r="M208" s="7"/>
      <c r="P208" s="67"/>
      <c r="X208" s="70"/>
    </row>
    <row r="209" spans="1:24">
      <c r="A209" s="7">
        <f t="shared" si="9"/>
        <v>204</v>
      </c>
      <c r="B209" s="26"/>
      <c r="C209" s="8"/>
      <c r="D209" s="7"/>
      <c r="E209" s="7"/>
      <c r="F209" s="7"/>
      <c r="G209" s="7"/>
      <c r="H209" s="7"/>
      <c r="I209" s="7"/>
      <c r="J209" s="7"/>
      <c r="K209" s="38" t="str">
        <f t="shared" si="10"/>
        <v/>
      </c>
      <c r="L209" s="37" t="str">
        <f t="shared" ca="1" si="11"/>
        <v/>
      </c>
      <c r="M209" s="7"/>
      <c r="P209" s="67"/>
      <c r="X209" s="70"/>
    </row>
    <row r="210" spans="1:24">
      <c r="A210" s="7">
        <f t="shared" si="9"/>
        <v>205</v>
      </c>
      <c r="B210" s="26"/>
      <c r="C210" s="8"/>
      <c r="D210" s="7"/>
      <c r="E210" s="7"/>
      <c r="F210" s="7"/>
      <c r="G210" s="7"/>
      <c r="H210" s="7"/>
      <c r="I210" s="7"/>
      <c r="J210" s="7"/>
      <c r="K210" s="38" t="str">
        <f t="shared" si="10"/>
        <v/>
      </c>
      <c r="L210" s="37" t="str">
        <f t="shared" ca="1" si="11"/>
        <v/>
      </c>
      <c r="M210" s="7"/>
      <c r="P210" s="67"/>
      <c r="X210" s="70"/>
    </row>
    <row r="211" spans="1:24">
      <c r="A211" s="7">
        <f t="shared" si="9"/>
        <v>206</v>
      </c>
      <c r="B211" s="26"/>
      <c r="C211" s="8"/>
      <c r="D211" s="7"/>
      <c r="E211" s="7"/>
      <c r="F211" s="7"/>
      <c r="G211" s="7"/>
      <c r="H211" s="7"/>
      <c r="I211" s="7"/>
      <c r="J211" s="7"/>
      <c r="K211" s="38" t="str">
        <f t="shared" si="10"/>
        <v/>
      </c>
      <c r="L211" s="37" t="str">
        <f t="shared" ca="1" si="11"/>
        <v/>
      </c>
      <c r="M211" s="7"/>
      <c r="P211" s="67"/>
      <c r="X211" s="70"/>
    </row>
    <row r="212" spans="1:24">
      <c r="A212" s="7">
        <f t="shared" si="9"/>
        <v>207</v>
      </c>
      <c r="B212" s="26"/>
      <c r="C212" s="8"/>
      <c r="D212" s="7"/>
      <c r="E212" s="7"/>
      <c r="F212" s="7"/>
      <c r="G212" s="7"/>
      <c r="H212" s="7"/>
      <c r="I212" s="7"/>
      <c r="J212" s="7"/>
      <c r="K212" s="38" t="str">
        <f t="shared" si="10"/>
        <v/>
      </c>
      <c r="L212" s="37" t="str">
        <f t="shared" ca="1" si="11"/>
        <v/>
      </c>
      <c r="M212" s="7"/>
      <c r="P212" s="67"/>
      <c r="X212" s="70"/>
    </row>
    <row r="213" spans="1:24">
      <c r="A213" s="7">
        <f t="shared" si="9"/>
        <v>208</v>
      </c>
      <c r="B213" s="26"/>
      <c r="C213" s="8"/>
      <c r="D213" s="7"/>
      <c r="E213" s="7"/>
      <c r="F213" s="7"/>
      <c r="G213" s="7"/>
      <c r="H213" s="7"/>
      <c r="I213" s="7"/>
      <c r="J213" s="7"/>
      <c r="K213" s="38" t="str">
        <f t="shared" si="10"/>
        <v/>
      </c>
      <c r="L213" s="37" t="str">
        <f t="shared" ca="1" si="11"/>
        <v/>
      </c>
      <c r="M213" s="7"/>
      <c r="P213" s="67"/>
      <c r="X213" s="70"/>
    </row>
    <row r="214" spans="1:24">
      <c r="A214" s="7">
        <f t="shared" si="9"/>
        <v>209</v>
      </c>
      <c r="B214" s="26"/>
      <c r="C214" s="8"/>
      <c r="D214" s="7"/>
      <c r="E214" s="7"/>
      <c r="F214" s="7"/>
      <c r="G214" s="7"/>
      <c r="H214" s="7"/>
      <c r="I214" s="7"/>
      <c r="J214" s="7"/>
      <c r="K214" s="38" t="str">
        <f t="shared" si="10"/>
        <v/>
      </c>
      <c r="L214" s="37" t="str">
        <f t="shared" ca="1" si="11"/>
        <v/>
      </c>
      <c r="M214" s="7"/>
      <c r="P214" s="67"/>
      <c r="X214" s="70"/>
    </row>
    <row r="215" spans="1:24">
      <c r="A215" s="7">
        <f t="shared" si="9"/>
        <v>210</v>
      </c>
      <c r="B215" s="26"/>
      <c r="C215" s="8"/>
      <c r="D215" s="7"/>
      <c r="E215" s="7"/>
      <c r="F215" s="7"/>
      <c r="G215" s="7"/>
      <c r="H215" s="7"/>
      <c r="I215" s="7"/>
      <c r="J215" s="7"/>
      <c r="K215" s="38" t="str">
        <f t="shared" si="10"/>
        <v/>
      </c>
      <c r="L215" s="37" t="str">
        <f t="shared" ca="1" si="11"/>
        <v/>
      </c>
      <c r="M215" s="7"/>
      <c r="P215" s="67"/>
      <c r="X215" s="70"/>
    </row>
    <row r="216" spans="1:24">
      <c r="A216" s="7">
        <f t="shared" si="9"/>
        <v>211</v>
      </c>
      <c r="B216" s="26"/>
      <c r="C216" s="8"/>
      <c r="D216" s="7"/>
      <c r="E216" s="7"/>
      <c r="F216" s="7"/>
      <c r="G216" s="7"/>
      <c r="H216" s="7"/>
      <c r="I216" s="7"/>
      <c r="J216" s="7"/>
      <c r="K216" s="38" t="str">
        <f t="shared" si="10"/>
        <v/>
      </c>
      <c r="L216" s="37" t="str">
        <f t="shared" ca="1" si="11"/>
        <v/>
      </c>
      <c r="M216" s="7"/>
      <c r="P216" s="67"/>
      <c r="X216" s="70"/>
    </row>
    <row r="217" spans="1:24">
      <c r="A217" s="7">
        <f t="shared" si="9"/>
        <v>212</v>
      </c>
      <c r="B217" s="26"/>
      <c r="C217" s="8"/>
      <c r="D217" s="7"/>
      <c r="E217" s="7"/>
      <c r="F217" s="7"/>
      <c r="G217" s="7"/>
      <c r="H217" s="7"/>
      <c r="I217" s="7"/>
      <c r="J217" s="7"/>
      <c r="K217" s="38" t="str">
        <f t="shared" si="10"/>
        <v/>
      </c>
      <c r="L217" s="37" t="str">
        <f t="shared" ca="1" si="11"/>
        <v/>
      </c>
      <c r="M217" s="7"/>
      <c r="P217" s="67"/>
      <c r="X217" s="70"/>
    </row>
    <row r="218" spans="1:24">
      <c r="A218" s="7">
        <f t="shared" si="9"/>
        <v>213</v>
      </c>
      <c r="B218" s="26"/>
      <c r="C218" s="8"/>
      <c r="D218" s="7"/>
      <c r="E218" s="7"/>
      <c r="F218" s="7"/>
      <c r="G218" s="7"/>
      <c r="H218" s="7"/>
      <c r="I218" s="7"/>
      <c r="J218" s="7"/>
      <c r="K218" s="38" t="str">
        <f t="shared" si="10"/>
        <v/>
      </c>
      <c r="L218" s="37" t="str">
        <f t="shared" ca="1" si="11"/>
        <v/>
      </c>
      <c r="M218" s="7"/>
      <c r="P218" s="67"/>
      <c r="X218" s="70"/>
    </row>
    <row r="219" spans="1:24">
      <c r="A219" s="7">
        <f t="shared" si="9"/>
        <v>214</v>
      </c>
      <c r="B219" s="26"/>
      <c r="C219" s="8"/>
      <c r="D219" s="7"/>
      <c r="E219" s="7"/>
      <c r="F219" s="7"/>
      <c r="G219" s="7"/>
      <c r="H219" s="7"/>
      <c r="I219" s="7"/>
      <c r="J219" s="7"/>
      <c r="K219" s="38" t="str">
        <f t="shared" si="10"/>
        <v/>
      </c>
      <c r="L219" s="37" t="str">
        <f t="shared" ca="1" si="11"/>
        <v/>
      </c>
      <c r="M219" s="7"/>
      <c r="P219" s="67"/>
      <c r="X219" s="70"/>
    </row>
    <row r="220" spans="1:24">
      <c r="A220" s="7">
        <f t="shared" si="9"/>
        <v>215</v>
      </c>
      <c r="B220" s="26"/>
      <c r="C220" s="8"/>
      <c r="D220" s="7"/>
      <c r="E220" s="7"/>
      <c r="F220" s="7"/>
      <c r="G220" s="7"/>
      <c r="H220" s="7"/>
      <c r="I220" s="7"/>
      <c r="J220" s="7"/>
      <c r="K220" s="38" t="str">
        <f t="shared" si="10"/>
        <v/>
      </c>
      <c r="L220" s="37" t="str">
        <f t="shared" ca="1" si="11"/>
        <v/>
      </c>
      <c r="M220" s="7"/>
      <c r="P220" s="67"/>
      <c r="X220" s="70"/>
    </row>
    <row r="221" spans="1:24">
      <c r="A221" s="7">
        <f t="shared" si="9"/>
        <v>216</v>
      </c>
      <c r="B221" s="26"/>
      <c r="C221" s="8"/>
      <c r="D221" s="7"/>
      <c r="E221" s="7"/>
      <c r="F221" s="7"/>
      <c r="G221" s="7"/>
      <c r="H221" s="7"/>
      <c r="I221" s="7"/>
      <c r="J221" s="7"/>
      <c r="K221" s="38" t="str">
        <f t="shared" si="10"/>
        <v/>
      </c>
      <c r="L221" s="37" t="str">
        <f t="shared" ca="1" si="11"/>
        <v/>
      </c>
      <c r="M221" s="7"/>
      <c r="P221" s="67"/>
      <c r="X221" s="70"/>
    </row>
    <row r="222" spans="1:24">
      <c r="A222" s="7">
        <f t="shared" si="9"/>
        <v>217</v>
      </c>
      <c r="B222" s="26"/>
      <c r="C222" s="8"/>
      <c r="D222" s="7"/>
      <c r="E222" s="7"/>
      <c r="F222" s="7"/>
      <c r="G222" s="7"/>
      <c r="H222" s="7"/>
      <c r="I222" s="7"/>
      <c r="J222" s="7"/>
      <c r="K222" s="38" t="str">
        <f t="shared" si="10"/>
        <v/>
      </c>
      <c r="L222" s="37" t="str">
        <f t="shared" ca="1" si="11"/>
        <v/>
      </c>
      <c r="M222" s="7"/>
      <c r="P222" s="67"/>
      <c r="X222" s="70"/>
    </row>
    <row r="223" spans="1:24">
      <c r="A223" s="7">
        <f t="shared" si="9"/>
        <v>218</v>
      </c>
      <c r="B223" s="26"/>
      <c r="C223" s="8"/>
      <c r="D223" s="7"/>
      <c r="E223" s="7"/>
      <c r="F223" s="7"/>
      <c r="G223" s="7"/>
      <c r="H223" s="7"/>
      <c r="I223" s="7"/>
      <c r="J223" s="7"/>
      <c r="K223" s="38" t="str">
        <f t="shared" si="10"/>
        <v/>
      </c>
      <c r="L223" s="37" t="str">
        <f t="shared" ca="1" si="11"/>
        <v/>
      </c>
      <c r="M223" s="7"/>
      <c r="P223" s="67"/>
      <c r="X223" s="70"/>
    </row>
    <row r="224" spans="1:24">
      <c r="A224" s="7">
        <f t="shared" si="9"/>
        <v>219</v>
      </c>
      <c r="B224" s="26"/>
      <c r="C224" s="8"/>
      <c r="D224" s="7"/>
      <c r="E224" s="7"/>
      <c r="F224" s="7"/>
      <c r="G224" s="7"/>
      <c r="H224" s="7"/>
      <c r="I224" s="7"/>
      <c r="J224" s="7"/>
      <c r="K224" s="38" t="str">
        <f t="shared" si="10"/>
        <v/>
      </c>
      <c r="L224" s="37" t="str">
        <f t="shared" ca="1" si="11"/>
        <v/>
      </c>
      <c r="M224" s="7"/>
      <c r="P224" s="67"/>
      <c r="X224" s="70"/>
    </row>
    <row r="225" spans="1:24">
      <c r="A225" s="7">
        <f t="shared" si="9"/>
        <v>220</v>
      </c>
      <c r="B225" s="26"/>
      <c r="C225" s="8"/>
      <c r="D225" s="7"/>
      <c r="E225" s="7"/>
      <c r="F225" s="7"/>
      <c r="G225" s="7"/>
      <c r="H225" s="7"/>
      <c r="I225" s="7"/>
      <c r="J225" s="7"/>
      <c r="K225" s="38" t="str">
        <f t="shared" si="10"/>
        <v/>
      </c>
      <c r="L225" s="37" t="str">
        <f t="shared" ca="1" si="11"/>
        <v/>
      </c>
      <c r="M225" s="7"/>
      <c r="P225" s="67"/>
      <c r="X225" s="70"/>
    </row>
    <row r="226" spans="1:24">
      <c r="A226" s="7">
        <f t="shared" si="9"/>
        <v>221</v>
      </c>
      <c r="B226" s="26"/>
      <c r="C226" s="8"/>
      <c r="D226" s="7"/>
      <c r="E226" s="7"/>
      <c r="F226" s="7"/>
      <c r="G226" s="7"/>
      <c r="H226" s="7"/>
      <c r="I226" s="7"/>
      <c r="J226" s="7"/>
      <c r="K226" s="38" t="str">
        <f t="shared" si="10"/>
        <v/>
      </c>
      <c r="L226" s="37" t="str">
        <f t="shared" ca="1" si="11"/>
        <v/>
      </c>
      <c r="M226" s="7"/>
      <c r="P226" s="67"/>
      <c r="X226" s="70"/>
    </row>
    <row r="227" spans="1:24">
      <c r="A227" s="7">
        <f t="shared" si="9"/>
        <v>222</v>
      </c>
      <c r="B227" s="26"/>
      <c r="C227" s="8"/>
      <c r="D227" s="7"/>
      <c r="E227" s="7"/>
      <c r="F227" s="7"/>
      <c r="G227" s="7"/>
      <c r="H227" s="7"/>
      <c r="I227" s="7"/>
      <c r="J227" s="7"/>
      <c r="K227" s="38" t="str">
        <f t="shared" si="10"/>
        <v/>
      </c>
      <c r="L227" s="37" t="str">
        <f t="shared" ca="1" si="11"/>
        <v/>
      </c>
      <c r="M227" s="7"/>
      <c r="P227" s="67"/>
      <c r="X227" s="70"/>
    </row>
    <row r="228" spans="1:24">
      <c r="A228" s="7">
        <f t="shared" si="9"/>
        <v>223</v>
      </c>
      <c r="B228" s="26"/>
      <c r="C228" s="8"/>
      <c r="D228" s="7"/>
      <c r="E228" s="7"/>
      <c r="F228" s="7"/>
      <c r="G228" s="7"/>
      <c r="H228" s="7"/>
      <c r="I228" s="7"/>
      <c r="J228" s="7"/>
      <c r="K228" s="38" t="str">
        <f t="shared" si="10"/>
        <v/>
      </c>
      <c r="L228" s="37" t="str">
        <f t="shared" ca="1" si="11"/>
        <v/>
      </c>
      <c r="M228" s="7"/>
      <c r="P228" s="67"/>
      <c r="X228" s="70"/>
    </row>
    <row r="229" spans="1:24">
      <c r="A229" s="7">
        <f t="shared" si="9"/>
        <v>224</v>
      </c>
      <c r="B229" s="26"/>
      <c r="C229" s="8"/>
      <c r="D229" s="7"/>
      <c r="E229" s="7"/>
      <c r="F229" s="7"/>
      <c r="G229" s="7"/>
      <c r="H229" s="7"/>
      <c r="I229" s="7"/>
      <c r="J229" s="7"/>
      <c r="K229" s="38" t="str">
        <f t="shared" si="10"/>
        <v/>
      </c>
      <c r="L229" s="37" t="str">
        <f t="shared" ca="1" si="11"/>
        <v/>
      </c>
      <c r="M229" s="7"/>
      <c r="P229" s="67"/>
      <c r="X229" s="70"/>
    </row>
    <row r="230" spans="1:24">
      <c r="A230" s="7">
        <f t="shared" si="9"/>
        <v>225</v>
      </c>
      <c r="B230" s="26"/>
      <c r="C230" s="8"/>
      <c r="D230" s="7"/>
      <c r="E230" s="7"/>
      <c r="F230" s="7"/>
      <c r="G230" s="7"/>
      <c r="H230" s="7"/>
      <c r="I230" s="7"/>
      <c r="J230" s="7"/>
      <c r="K230" s="38" t="str">
        <f t="shared" si="10"/>
        <v/>
      </c>
      <c r="L230" s="37" t="str">
        <f t="shared" ca="1" si="11"/>
        <v/>
      </c>
      <c r="M230" s="7"/>
      <c r="P230" s="67"/>
      <c r="X230" s="70"/>
    </row>
    <row r="231" spans="1:24">
      <c r="A231" s="7">
        <f t="shared" si="9"/>
        <v>226</v>
      </c>
      <c r="B231" s="26"/>
      <c r="C231" s="8"/>
      <c r="D231" s="7"/>
      <c r="E231" s="7"/>
      <c r="F231" s="7"/>
      <c r="G231" s="7"/>
      <c r="H231" s="7"/>
      <c r="I231" s="7"/>
      <c r="J231" s="7"/>
      <c r="K231" s="38" t="str">
        <f t="shared" si="10"/>
        <v/>
      </c>
      <c r="L231" s="37" t="str">
        <f t="shared" ca="1" si="11"/>
        <v/>
      </c>
      <c r="M231" s="7"/>
      <c r="P231" s="67"/>
      <c r="X231" s="70"/>
    </row>
    <row r="232" spans="1:24">
      <c r="A232" s="7">
        <f t="shared" si="9"/>
        <v>227</v>
      </c>
      <c r="B232" s="26"/>
      <c r="C232" s="8"/>
      <c r="D232" s="7"/>
      <c r="E232" s="7"/>
      <c r="F232" s="7"/>
      <c r="G232" s="7"/>
      <c r="H232" s="7"/>
      <c r="I232" s="7"/>
      <c r="J232" s="7"/>
      <c r="K232" s="38" t="str">
        <f t="shared" si="10"/>
        <v/>
      </c>
      <c r="L232" s="37" t="str">
        <f t="shared" ca="1" si="11"/>
        <v/>
      </c>
      <c r="M232" s="7"/>
      <c r="P232" s="67"/>
      <c r="X232" s="70"/>
    </row>
    <row r="233" spans="1:24">
      <c r="A233" s="7">
        <f t="shared" si="9"/>
        <v>228</v>
      </c>
      <c r="B233" s="26"/>
      <c r="C233" s="8"/>
      <c r="D233" s="7"/>
      <c r="E233" s="7"/>
      <c r="F233" s="7"/>
      <c r="G233" s="7"/>
      <c r="H233" s="7"/>
      <c r="I233" s="7"/>
      <c r="J233" s="7"/>
      <c r="K233" s="38" t="str">
        <f t="shared" si="10"/>
        <v/>
      </c>
      <c r="L233" s="37" t="str">
        <f t="shared" ca="1" si="11"/>
        <v/>
      </c>
      <c r="M233" s="7"/>
      <c r="P233" s="67"/>
      <c r="X233" s="70"/>
    </row>
    <row r="234" spans="1:24">
      <c r="A234" s="7">
        <f t="shared" si="9"/>
        <v>229</v>
      </c>
      <c r="B234" s="26"/>
      <c r="C234" s="8"/>
      <c r="D234" s="7"/>
      <c r="E234" s="7"/>
      <c r="F234" s="7"/>
      <c r="G234" s="7"/>
      <c r="H234" s="7"/>
      <c r="I234" s="7"/>
      <c r="J234" s="7"/>
      <c r="K234" s="38" t="str">
        <f t="shared" si="10"/>
        <v/>
      </c>
      <c r="L234" s="37" t="str">
        <f t="shared" ca="1" si="11"/>
        <v/>
      </c>
      <c r="M234" s="7"/>
      <c r="P234" s="67"/>
      <c r="X234" s="70"/>
    </row>
    <row r="235" spans="1:24">
      <c r="A235" s="7">
        <f t="shared" si="9"/>
        <v>230</v>
      </c>
      <c r="B235" s="26"/>
      <c r="C235" s="8"/>
      <c r="D235" s="7"/>
      <c r="E235" s="7"/>
      <c r="F235" s="7"/>
      <c r="G235" s="7"/>
      <c r="H235" s="7"/>
      <c r="I235" s="7"/>
      <c r="J235" s="7"/>
      <c r="K235" s="38" t="str">
        <f t="shared" si="10"/>
        <v/>
      </c>
      <c r="L235" s="37" t="str">
        <f t="shared" ca="1" si="11"/>
        <v/>
      </c>
      <c r="M235" s="7"/>
      <c r="P235" s="67"/>
      <c r="X235" s="70"/>
    </row>
    <row r="236" spans="1:24">
      <c r="A236" s="7">
        <f t="shared" si="9"/>
        <v>231</v>
      </c>
      <c r="B236" s="26"/>
      <c r="C236" s="8"/>
      <c r="D236" s="7"/>
      <c r="E236" s="7"/>
      <c r="F236" s="7"/>
      <c r="G236" s="7"/>
      <c r="H236" s="7"/>
      <c r="I236" s="7"/>
      <c r="J236" s="7"/>
      <c r="K236" s="38" t="str">
        <f t="shared" si="10"/>
        <v/>
      </c>
      <c r="L236" s="37" t="str">
        <f t="shared" ca="1" si="11"/>
        <v/>
      </c>
      <c r="M236" s="7"/>
      <c r="P236" s="67"/>
      <c r="X236" s="70"/>
    </row>
    <row r="237" spans="1:24">
      <c r="A237" s="7">
        <f t="shared" si="9"/>
        <v>232</v>
      </c>
      <c r="B237" s="26"/>
      <c r="C237" s="8"/>
      <c r="D237" s="7"/>
      <c r="E237" s="7"/>
      <c r="F237" s="7"/>
      <c r="G237" s="7"/>
      <c r="H237" s="7"/>
      <c r="I237" s="7"/>
      <c r="J237" s="7"/>
      <c r="K237" s="38" t="str">
        <f t="shared" si="10"/>
        <v/>
      </c>
      <c r="L237" s="37" t="str">
        <f t="shared" ca="1" si="11"/>
        <v/>
      </c>
      <c r="M237" s="7"/>
      <c r="P237" s="67"/>
      <c r="X237" s="70"/>
    </row>
    <row r="238" spans="1:24">
      <c r="A238" s="7">
        <f t="shared" si="9"/>
        <v>233</v>
      </c>
      <c r="B238" s="26"/>
      <c r="C238" s="8"/>
      <c r="D238" s="7"/>
      <c r="E238" s="7"/>
      <c r="F238" s="7"/>
      <c r="G238" s="7"/>
      <c r="H238" s="7"/>
      <c r="I238" s="7"/>
      <c r="J238" s="7"/>
      <c r="K238" s="38" t="str">
        <f t="shared" si="10"/>
        <v/>
      </c>
      <c r="L238" s="37" t="str">
        <f t="shared" ca="1" si="11"/>
        <v/>
      </c>
      <c r="M238" s="7"/>
      <c r="P238" s="67"/>
      <c r="X238" s="70"/>
    </row>
    <row r="239" spans="1:24">
      <c r="A239" s="7">
        <f t="shared" si="9"/>
        <v>234</v>
      </c>
      <c r="B239" s="26"/>
      <c r="C239" s="8"/>
      <c r="D239" s="7"/>
      <c r="E239" s="7"/>
      <c r="F239" s="7"/>
      <c r="G239" s="7"/>
      <c r="H239" s="7"/>
      <c r="I239" s="7"/>
      <c r="J239" s="7"/>
      <c r="K239" s="38" t="str">
        <f t="shared" si="10"/>
        <v/>
      </c>
      <c r="L239" s="37" t="str">
        <f t="shared" ca="1" si="11"/>
        <v/>
      </c>
      <c r="M239" s="7"/>
      <c r="P239" s="67"/>
      <c r="X239" s="70"/>
    </row>
    <row r="240" spans="1:24">
      <c r="A240" s="7">
        <f t="shared" si="9"/>
        <v>235</v>
      </c>
      <c r="B240" s="26"/>
      <c r="C240" s="8"/>
      <c r="D240" s="7"/>
      <c r="E240" s="7"/>
      <c r="F240" s="7"/>
      <c r="G240" s="7"/>
      <c r="H240" s="7"/>
      <c r="I240" s="7"/>
      <c r="J240" s="7"/>
      <c r="K240" s="38" t="str">
        <f t="shared" si="10"/>
        <v/>
      </c>
      <c r="L240" s="37" t="str">
        <f t="shared" ca="1" si="11"/>
        <v/>
      </c>
      <c r="M240" s="7"/>
      <c r="P240" s="67"/>
      <c r="X240" s="70"/>
    </row>
    <row r="241" spans="1:24">
      <c r="A241" s="7">
        <f t="shared" si="9"/>
        <v>236</v>
      </c>
      <c r="B241" s="26"/>
      <c r="C241" s="8"/>
      <c r="D241" s="7"/>
      <c r="E241" s="7"/>
      <c r="F241" s="7"/>
      <c r="G241" s="7"/>
      <c r="H241" s="7"/>
      <c r="I241" s="7"/>
      <c r="J241" s="7"/>
      <c r="K241" s="38" t="str">
        <f t="shared" si="10"/>
        <v/>
      </c>
      <c r="L241" s="37" t="str">
        <f t="shared" ca="1" si="11"/>
        <v/>
      </c>
      <c r="M241" s="7"/>
      <c r="P241" s="67"/>
      <c r="X241" s="70"/>
    </row>
    <row r="242" spans="1:24">
      <c r="A242" s="7">
        <f t="shared" si="9"/>
        <v>237</v>
      </c>
      <c r="B242" s="26"/>
      <c r="C242" s="8"/>
      <c r="D242" s="7"/>
      <c r="E242" s="7"/>
      <c r="F242" s="7"/>
      <c r="G242" s="7"/>
      <c r="H242" s="7"/>
      <c r="I242" s="7"/>
      <c r="J242" s="7"/>
      <c r="K242" s="38" t="str">
        <f t="shared" si="10"/>
        <v/>
      </c>
      <c r="L242" s="37" t="str">
        <f t="shared" ca="1" si="11"/>
        <v/>
      </c>
      <c r="M242" s="7"/>
      <c r="P242" s="67"/>
      <c r="X242" s="70"/>
    </row>
    <row r="243" spans="1:24">
      <c r="A243" s="7">
        <f t="shared" si="9"/>
        <v>238</v>
      </c>
      <c r="B243" s="26"/>
      <c r="C243" s="8"/>
      <c r="D243" s="7"/>
      <c r="E243" s="7"/>
      <c r="F243" s="7"/>
      <c r="G243" s="7"/>
      <c r="H243" s="7"/>
      <c r="I243" s="7"/>
      <c r="J243" s="7"/>
      <c r="K243" s="38" t="str">
        <f t="shared" si="10"/>
        <v/>
      </c>
      <c r="L243" s="37" t="str">
        <f t="shared" ca="1" si="11"/>
        <v/>
      </c>
      <c r="M243" s="7"/>
      <c r="P243" s="67"/>
      <c r="X243" s="70"/>
    </row>
    <row r="244" spans="1:24">
      <c r="A244" s="7">
        <f t="shared" si="9"/>
        <v>239</v>
      </c>
      <c r="B244" s="26"/>
      <c r="C244" s="8"/>
      <c r="D244" s="7"/>
      <c r="E244" s="7"/>
      <c r="F244" s="7"/>
      <c r="G244" s="7"/>
      <c r="H244" s="7"/>
      <c r="I244" s="7"/>
      <c r="J244" s="7"/>
      <c r="K244" s="38" t="str">
        <f t="shared" si="10"/>
        <v/>
      </c>
      <c r="L244" s="37" t="str">
        <f t="shared" ca="1" si="11"/>
        <v/>
      </c>
      <c r="M244" s="7"/>
      <c r="P244" s="67"/>
      <c r="X244" s="70"/>
    </row>
    <row r="245" spans="1:24">
      <c r="A245" s="7">
        <f t="shared" si="9"/>
        <v>240</v>
      </c>
      <c r="B245" s="26"/>
      <c r="C245" s="8"/>
      <c r="D245" s="7"/>
      <c r="E245" s="7"/>
      <c r="F245" s="7"/>
      <c r="G245" s="7"/>
      <c r="H245" s="7"/>
      <c r="I245" s="7"/>
      <c r="J245" s="7"/>
      <c r="K245" s="38" t="str">
        <f t="shared" si="10"/>
        <v/>
      </c>
      <c r="L245" s="37" t="str">
        <f t="shared" ca="1" si="11"/>
        <v/>
      </c>
      <c r="M245" s="7"/>
      <c r="P245" s="67"/>
      <c r="X245" s="70"/>
    </row>
    <row r="246" spans="1:24">
      <c r="A246" s="7">
        <f t="shared" si="9"/>
        <v>241</v>
      </c>
      <c r="B246" s="26"/>
      <c r="C246" s="8"/>
      <c r="D246" s="7"/>
      <c r="E246" s="7"/>
      <c r="F246" s="7"/>
      <c r="G246" s="7"/>
      <c r="H246" s="7"/>
      <c r="I246" s="7"/>
      <c r="J246" s="7"/>
      <c r="K246" s="38" t="str">
        <f t="shared" si="10"/>
        <v/>
      </c>
      <c r="L246" s="37" t="str">
        <f t="shared" ca="1" si="11"/>
        <v/>
      </c>
      <c r="M246" s="7"/>
      <c r="P246" s="67"/>
      <c r="X246" s="70"/>
    </row>
    <row r="247" spans="1:24">
      <c r="A247" s="7">
        <f t="shared" si="9"/>
        <v>242</v>
      </c>
      <c r="B247" s="26"/>
      <c r="C247" s="8"/>
      <c r="D247" s="7"/>
      <c r="E247" s="7"/>
      <c r="F247" s="7"/>
      <c r="G247" s="7"/>
      <c r="H247" s="7"/>
      <c r="I247" s="7"/>
      <c r="J247" s="7"/>
      <c r="K247" s="38" t="str">
        <f t="shared" si="10"/>
        <v/>
      </c>
      <c r="L247" s="37" t="str">
        <f t="shared" ca="1" si="11"/>
        <v/>
      </c>
      <c r="M247" s="7"/>
      <c r="P247" s="67"/>
      <c r="X247" s="70"/>
    </row>
    <row r="248" spans="1:24">
      <c r="A248" s="7">
        <f t="shared" si="9"/>
        <v>243</v>
      </c>
      <c r="B248" s="26"/>
      <c r="C248" s="8"/>
      <c r="D248" s="7"/>
      <c r="E248" s="7"/>
      <c r="F248" s="7"/>
      <c r="G248" s="7"/>
      <c r="H248" s="7"/>
      <c r="I248" s="7"/>
      <c r="J248" s="7"/>
      <c r="K248" s="38" t="str">
        <f t="shared" si="10"/>
        <v/>
      </c>
      <c r="L248" s="37" t="str">
        <f t="shared" ca="1" si="11"/>
        <v/>
      </c>
      <c r="M248" s="7"/>
      <c r="P248" s="67"/>
      <c r="X248" s="70"/>
    </row>
    <row r="249" spans="1:24">
      <c r="A249" s="7">
        <f t="shared" si="9"/>
        <v>244</v>
      </c>
      <c r="B249" s="26"/>
      <c r="C249" s="8"/>
      <c r="D249" s="7"/>
      <c r="E249" s="7"/>
      <c r="F249" s="7"/>
      <c r="G249" s="7"/>
      <c r="H249" s="7"/>
      <c r="I249" s="7"/>
      <c r="J249" s="7"/>
      <c r="K249" s="38" t="str">
        <f t="shared" si="10"/>
        <v/>
      </c>
      <c r="L249" s="37" t="str">
        <f t="shared" ca="1" si="11"/>
        <v/>
      </c>
      <c r="M249" s="7"/>
      <c r="P249" s="67"/>
      <c r="X249" s="70"/>
    </row>
    <row r="250" spans="1:24">
      <c r="A250" s="7">
        <f t="shared" si="9"/>
        <v>245</v>
      </c>
      <c r="B250" s="26"/>
      <c r="C250" s="8"/>
      <c r="D250" s="7"/>
      <c r="E250" s="7"/>
      <c r="F250" s="7"/>
      <c r="G250" s="7"/>
      <c r="H250" s="7"/>
      <c r="I250" s="7"/>
      <c r="J250" s="7"/>
      <c r="K250" s="38" t="str">
        <f t="shared" si="10"/>
        <v/>
      </c>
      <c r="L250" s="37" t="str">
        <f t="shared" ca="1" si="11"/>
        <v/>
      </c>
      <c r="M250" s="7"/>
      <c r="P250" s="67"/>
      <c r="X250" s="70"/>
    </row>
    <row r="251" spans="1:24">
      <c r="A251" s="7">
        <f t="shared" si="9"/>
        <v>246</v>
      </c>
      <c r="B251" s="26"/>
      <c r="C251" s="8"/>
      <c r="D251" s="7"/>
      <c r="E251" s="7"/>
      <c r="F251" s="7"/>
      <c r="G251" s="7"/>
      <c r="H251" s="7"/>
      <c r="I251" s="7"/>
      <c r="J251" s="7"/>
      <c r="K251" s="38" t="str">
        <f t="shared" si="10"/>
        <v/>
      </c>
      <c r="L251" s="37" t="str">
        <f t="shared" ca="1" si="11"/>
        <v/>
      </c>
      <c r="M251" s="7"/>
      <c r="P251" s="67"/>
      <c r="X251" s="70"/>
    </row>
    <row r="252" spans="1:24">
      <c r="A252" s="7">
        <f t="shared" si="9"/>
        <v>247</v>
      </c>
      <c r="B252" s="26"/>
      <c r="C252" s="8"/>
      <c r="D252" s="7"/>
      <c r="E252" s="7"/>
      <c r="F252" s="7"/>
      <c r="G252" s="7"/>
      <c r="H252" s="7"/>
      <c r="I252" s="7"/>
      <c r="J252" s="7"/>
      <c r="K252" s="38" t="str">
        <f t="shared" si="10"/>
        <v/>
      </c>
      <c r="L252" s="37" t="str">
        <f t="shared" ca="1" si="11"/>
        <v/>
      </c>
      <c r="M252" s="7"/>
      <c r="P252" s="67"/>
      <c r="X252" s="70"/>
    </row>
    <row r="253" spans="1:24">
      <c r="A253" s="7">
        <f t="shared" si="9"/>
        <v>248</v>
      </c>
      <c r="B253" s="26"/>
      <c r="C253" s="8"/>
      <c r="D253" s="7"/>
      <c r="E253" s="7"/>
      <c r="F253" s="7"/>
      <c r="G253" s="7"/>
      <c r="H253" s="7"/>
      <c r="I253" s="7"/>
      <c r="J253" s="7"/>
      <c r="K253" s="38" t="str">
        <f t="shared" si="10"/>
        <v/>
      </c>
      <c r="L253" s="37" t="str">
        <f t="shared" ca="1" si="11"/>
        <v/>
      </c>
      <c r="M253" s="7"/>
      <c r="P253" s="67"/>
      <c r="X253" s="70"/>
    </row>
    <row r="254" spans="1:24">
      <c r="A254" s="7">
        <f t="shared" si="9"/>
        <v>249</v>
      </c>
      <c r="B254" s="26"/>
      <c r="C254" s="8"/>
      <c r="D254" s="7"/>
      <c r="E254" s="7"/>
      <c r="F254" s="7"/>
      <c r="G254" s="7"/>
      <c r="H254" s="7"/>
      <c r="I254" s="7"/>
      <c r="J254" s="7"/>
      <c r="K254" s="38" t="str">
        <f t="shared" si="10"/>
        <v/>
      </c>
      <c r="L254" s="37" t="str">
        <f t="shared" ca="1" si="11"/>
        <v/>
      </c>
      <c r="M254" s="7"/>
      <c r="P254" s="67"/>
      <c r="X254" s="70"/>
    </row>
    <row r="255" spans="1:24">
      <c r="A255" s="7">
        <f t="shared" si="9"/>
        <v>250</v>
      </c>
      <c r="B255" s="26"/>
      <c r="C255" s="8"/>
      <c r="D255" s="7"/>
      <c r="E255" s="7"/>
      <c r="F255" s="7"/>
      <c r="G255" s="7"/>
      <c r="H255" s="7"/>
      <c r="I255" s="7"/>
      <c r="J255" s="7"/>
      <c r="K255" s="38" t="str">
        <f t="shared" si="10"/>
        <v/>
      </c>
      <c r="L255" s="37" t="str">
        <f t="shared" ca="1" si="11"/>
        <v/>
      </c>
      <c r="M255" s="7"/>
      <c r="P255" s="67"/>
      <c r="X255" s="70"/>
    </row>
    <row r="256" spans="1:24">
      <c r="A256" s="7">
        <f t="shared" si="9"/>
        <v>251</v>
      </c>
      <c r="B256" s="26"/>
      <c r="C256" s="8"/>
      <c r="D256" s="7"/>
      <c r="E256" s="7"/>
      <c r="F256" s="7"/>
      <c r="G256" s="7"/>
      <c r="H256" s="7"/>
      <c r="I256" s="7"/>
      <c r="J256" s="7"/>
      <c r="K256" s="38" t="str">
        <f t="shared" si="10"/>
        <v/>
      </c>
      <c r="L256" s="37" t="str">
        <f t="shared" ca="1" si="11"/>
        <v/>
      </c>
      <c r="M256" s="7"/>
      <c r="P256" s="67"/>
      <c r="X256" s="70"/>
    </row>
    <row r="257" spans="1:24">
      <c r="A257" s="7">
        <f t="shared" si="9"/>
        <v>252</v>
      </c>
      <c r="B257" s="26"/>
      <c r="C257" s="8"/>
      <c r="D257" s="7"/>
      <c r="E257" s="7"/>
      <c r="F257" s="7"/>
      <c r="G257" s="7"/>
      <c r="H257" s="7"/>
      <c r="I257" s="7"/>
      <c r="J257" s="7"/>
      <c r="K257" s="38" t="str">
        <f t="shared" si="10"/>
        <v/>
      </c>
      <c r="L257" s="37" t="str">
        <f t="shared" ca="1" si="11"/>
        <v/>
      </c>
      <c r="M257" s="7"/>
      <c r="P257" s="67"/>
      <c r="X257" s="70"/>
    </row>
    <row r="258" spans="1:24">
      <c r="A258" s="7">
        <f t="shared" si="9"/>
        <v>253</v>
      </c>
      <c r="B258" s="26"/>
      <c r="C258" s="8"/>
      <c r="D258" s="7"/>
      <c r="E258" s="7"/>
      <c r="F258" s="7"/>
      <c r="G258" s="7"/>
      <c r="H258" s="7"/>
      <c r="I258" s="7"/>
      <c r="J258" s="7"/>
      <c r="K258" s="38" t="str">
        <f t="shared" si="10"/>
        <v/>
      </c>
      <c r="L258" s="37" t="str">
        <f t="shared" ca="1" si="11"/>
        <v/>
      </c>
      <c r="M258" s="7"/>
      <c r="P258" s="67"/>
      <c r="X258" s="70"/>
    </row>
    <row r="259" spans="1:24">
      <c r="A259" s="7">
        <f t="shared" si="9"/>
        <v>254</v>
      </c>
      <c r="B259" s="26"/>
      <c r="C259" s="8"/>
      <c r="D259" s="7"/>
      <c r="E259" s="7"/>
      <c r="F259" s="7"/>
      <c r="G259" s="7"/>
      <c r="H259" s="7"/>
      <c r="I259" s="7"/>
      <c r="J259" s="7"/>
      <c r="K259" s="38" t="str">
        <f t="shared" si="10"/>
        <v/>
      </c>
      <c r="L259" s="37" t="str">
        <f t="shared" ca="1" si="11"/>
        <v/>
      </c>
      <c r="M259" s="7"/>
      <c r="P259" s="67"/>
      <c r="X259" s="70"/>
    </row>
    <row r="260" spans="1:24">
      <c r="A260" s="7">
        <f t="shared" si="9"/>
        <v>255</v>
      </c>
      <c r="B260" s="26"/>
      <c r="C260" s="8"/>
      <c r="D260" s="7"/>
      <c r="E260" s="7"/>
      <c r="F260" s="7"/>
      <c r="G260" s="7"/>
      <c r="H260" s="7"/>
      <c r="I260" s="7"/>
      <c r="J260" s="7"/>
      <c r="K260" s="38" t="str">
        <f t="shared" si="10"/>
        <v/>
      </c>
      <c r="L260" s="37" t="str">
        <f t="shared" ca="1" si="11"/>
        <v/>
      </c>
      <c r="M260" s="7"/>
      <c r="P260" s="67"/>
      <c r="X260" s="70"/>
    </row>
    <row r="261" spans="1:24">
      <c r="A261" s="7">
        <f t="shared" si="9"/>
        <v>256</v>
      </c>
      <c r="B261" s="26"/>
      <c r="C261" s="8"/>
      <c r="D261" s="7"/>
      <c r="E261" s="7"/>
      <c r="F261" s="7"/>
      <c r="G261" s="7"/>
      <c r="H261" s="7"/>
      <c r="I261" s="7"/>
      <c r="J261" s="7"/>
      <c r="K261" s="38" t="str">
        <f t="shared" si="10"/>
        <v/>
      </c>
      <c r="L261" s="37" t="str">
        <f t="shared" ca="1" si="11"/>
        <v/>
      </c>
      <c r="M261" s="7"/>
      <c r="P261" s="67"/>
      <c r="X261" s="70"/>
    </row>
    <row r="262" spans="1:24">
      <c r="A262" s="7">
        <f t="shared" si="9"/>
        <v>257</v>
      </c>
      <c r="B262" s="26"/>
      <c r="C262" s="8"/>
      <c r="D262" s="7"/>
      <c r="E262" s="7"/>
      <c r="F262" s="7"/>
      <c r="G262" s="7"/>
      <c r="H262" s="7"/>
      <c r="I262" s="7"/>
      <c r="J262" s="7"/>
      <c r="K262" s="38" t="str">
        <f t="shared" si="10"/>
        <v/>
      </c>
      <c r="L262" s="37" t="str">
        <f t="shared" ca="1" si="11"/>
        <v/>
      </c>
      <c r="M262" s="7"/>
      <c r="P262" s="67"/>
      <c r="X262" s="70"/>
    </row>
    <row r="263" spans="1:24">
      <c r="A263" s="7">
        <f t="shared" ref="A263:A326" si="12">ROW(A258)</f>
        <v>258</v>
      </c>
      <c r="B263" s="26"/>
      <c r="C263" s="8"/>
      <c r="D263" s="7"/>
      <c r="E263" s="7"/>
      <c r="F263" s="7"/>
      <c r="G263" s="7"/>
      <c r="H263" s="7"/>
      <c r="I263" s="7"/>
      <c r="J263" s="7"/>
      <c r="K263" s="38" t="str">
        <f t="shared" ref="K263:K326" si="13">IF(C263&gt;0,C263+J263-1,"")</f>
        <v/>
      </c>
      <c r="L263" s="37" t="str">
        <f t="shared" ref="L263:L326" ca="1" si="14">IF(K263="","",IF(TODAY()&gt;K263,"YES","No"))</f>
        <v/>
      </c>
      <c r="M263" s="7"/>
      <c r="P263" s="67"/>
      <c r="X263" s="70"/>
    </row>
    <row r="264" spans="1:24">
      <c r="A264" s="7">
        <f t="shared" si="12"/>
        <v>259</v>
      </c>
      <c r="B264" s="26"/>
      <c r="C264" s="8"/>
      <c r="D264" s="7"/>
      <c r="E264" s="7"/>
      <c r="F264" s="7"/>
      <c r="G264" s="7"/>
      <c r="H264" s="7"/>
      <c r="I264" s="7"/>
      <c r="J264" s="7"/>
      <c r="K264" s="38" t="str">
        <f t="shared" si="13"/>
        <v/>
      </c>
      <c r="L264" s="37" t="str">
        <f t="shared" ca="1" si="14"/>
        <v/>
      </c>
      <c r="M264" s="7"/>
      <c r="P264" s="67"/>
      <c r="X264" s="70"/>
    </row>
    <row r="265" spans="1:24">
      <c r="A265" s="7">
        <f t="shared" si="12"/>
        <v>260</v>
      </c>
      <c r="B265" s="26"/>
      <c r="C265" s="8"/>
      <c r="D265" s="7"/>
      <c r="E265" s="7"/>
      <c r="F265" s="7"/>
      <c r="G265" s="7"/>
      <c r="H265" s="7"/>
      <c r="I265" s="7"/>
      <c r="J265" s="7"/>
      <c r="K265" s="38" t="str">
        <f t="shared" si="13"/>
        <v/>
      </c>
      <c r="L265" s="37" t="str">
        <f t="shared" ca="1" si="14"/>
        <v/>
      </c>
      <c r="M265" s="7"/>
      <c r="P265" s="67"/>
      <c r="X265" s="70"/>
    </row>
    <row r="266" spans="1:24">
      <c r="A266" s="7">
        <f t="shared" si="12"/>
        <v>261</v>
      </c>
      <c r="B266" s="26"/>
      <c r="C266" s="8"/>
      <c r="D266" s="7"/>
      <c r="E266" s="7"/>
      <c r="F266" s="7"/>
      <c r="G266" s="7"/>
      <c r="H266" s="7"/>
      <c r="I266" s="7"/>
      <c r="J266" s="7"/>
      <c r="K266" s="38" t="str">
        <f t="shared" si="13"/>
        <v/>
      </c>
      <c r="L266" s="37" t="str">
        <f t="shared" ca="1" si="14"/>
        <v/>
      </c>
      <c r="M266" s="7"/>
      <c r="P266" s="67"/>
      <c r="X266" s="70"/>
    </row>
    <row r="267" spans="1:24">
      <c r="A267" s="7">
        <f t="shared" si="12"/>
        <v>262</v>
      </c>
      <c r="B267" s="26"/>
      <c r="C267" s="8"/>
      <c r="D267" s="7"/>
      <c r="E267" s="7"/>
      <c r="F267" s="7"/>
      <c r="G267" s="7"/>
      <c r="H267" s="7"/>
      <c r="I267" s="7"/>
      <c r="J267" s="7"/>
      <c r="K267" s="38" t="str">
        <f t="shared" si="13"/>
        <v/>
      </c>
      <c r="L267" s="37" t="str">
        <f t="shared" ca="1" si="14"/>
        <v/>
      </c>
      <c r="M267" s="7"/>
      <c r="P267" s="67"/>
      <c r="X267" s="70"/>
    </row>
    <row r="268" spans="1:24">
      <c r="A268" s="7">
        <f t="shared" si="12"/>
        <v>263</v>
      </c>
      <c r="B268" s="26"/>
      <c r="C268" s="8"/>
      <c r="D268" s="7"/>
      <c r="E268" s="7"/>
      <c r="F268" s="7"/>
      <c r="G268" s="7"/>
      <c r="H268" s="7"/>
      <c r="I268" s="7"/>
      <c r="J268" s="7"/>
      <c r="K268" s="38" t="str">
        <f t="shared" si="13"/>
        <v/>
      </c>
      <c r="L268" s="37" t="str">
        <f t="shared" ca="1" si="14"/>
        <v/>
      </c>
      <c r="M268" s="7"/>
      <c r="P268" s="67"/>
      <c r="X268" s="70"/>
    </row>
    <row r="269" spans="1:24">
      <c r="A269" s="7">
        <f t="shared" si="12"/>
        <v>264</v>
      </c>
      <c r="B269" s="26"/>
      <c r="C269" s="8"/>
      <c r="D269" s="7"/>
      <c r="E269" s="7"/>
      <c r="F269" s="7"/>
      <c r="G269" s="7"/>
      <c r="H269" s="7"/>
      <c r="I269" s="7"/>
      <c r="J269" s="7"/>
      <c r="K269" s="38" t="str">
        <f t="shared" si="13"/>
        <v/>
      </c>
      <c r="L269" s="37" t="str">
        <f t="shared" ca="1" si="14"/>
        <v/>
      </c>
      <c r="M269" s="7"/>
      <c r="P269" s="67"/>
      <c r="X269" s="70"/>
    </row>
    <row r="270" spans="1:24">
      <c r="A270" s="7">
        <f t="shared" si="12"/>
        <v>265</v>
      </c>
      <c r="B270" s="26"/>
      <c r="C270" s="8"/>
      <c r="D270" s="7"/>
      <c r="E270" s="7"/>
      <c r="F270" s="7"/>
      <c r="G270" s="7"/>
      <c r="H270" s="7"/>
      <c r="I270" s="7"/>
      <c r="J270" s="7"/>
      <c r="K270" s="38" t="str">
        <f t="shared" si="13"/>
        <v/>
      </c>
      <c r="L270" s="37" t="str">
        <f t="shared" ca="1" si="14"/>
        <v/>
      </c>
      <c r="M270" s="7"/>
      <c r="P270" s="67"/>
      <c r="X270" s="70"/>
    </row>
    <row r="271" spans="1:24">
      <c r="A271" s="7">
        <f t="shared" si="12"/>
        <v>266</v>
      </c>
      <c r="B271" s="26"/>
      <c r="C271" s="8"/>
      <c r="D271" s="7"/>
      <c r="E271" s="7"/>
      <c r="F271" s="7"/>
      <c r="G271" s="7"/>
      <c r="H271" s="7"/>
      <c r="I271" s="7"/>
      <c r="J271" s="7"/>
      <c r="K271" s="38" t="str">
        <f t="shared" si="13"/>
        <v/>
      </c>
      <c r="L271" s="37" t="str">
        <f t="shared" ca="1" si="14"/>
        <v/>
      </c>
      <c r="M271" s="7"/>
      <c r="P271" s="67"/>
      <c r="X271" s="70"/>
    </row>
    <row r="272" spans="1:24">
      <c r="A272" s="7">
        <f t="shared" si="12"/>
        <v>267</v>
      </c>
      <c r="B272" s="26"/>
      <c r="C272" s="8"/>
      <c r="D272" s="7"/>
      <c r="E272" s="7"/>
      <c r="F272" s="7"/>
      <c r="G272" s="7"/>
      <c r="H272" s="7"/>
      <c r="I272" s="7"/>
      <c r="J272" s="7"/>
      <c r="K272" s="38" t="str">
        <f t="shared" si="13"/>
        <v/>
      </c>
      <c r="L272" s="37" t="str">
        <f t="shared" ca="1" si="14"/>
        <v/>
      </c>
      <c r="M272" s="7"/>
      <c r="P272" s="67"/>
      <c r="X272" s="70"/>
    </row>
    <row r="273" spans="1:24">
      <c r="A273" s="7">
        <f t="shared" si="12"/>
        <v>268</v>
      </c>
      <c r="B273" s="26"/>
      <c r="C273" s="8"/>
      <c r="D273" s="7"/>
      <c r="E273" s="7"/>
      <c r="F273" s="7"/>
      <c r="G273" s="7"/>
      <c r="H273" s="7"/>
      <c r="I273" s="7"/>
      <c r="J273" s="7"/>
      <c r="K273" s="38" t="str">
        <f t="shared" si="13"/>
        <v/>
      </c>
      <c r="L273" s="37" t="str">
        <f t="shared" ca="1" si="14"/>
        <v/>
      </c>
      <c r="M273" s="7"/>
      <c r="P273" s="67"/>
      <c r="X273" s="70"/>
    </row>
    <row r="274" spans="1:24">
      <c r="A274" s="7">
        <f t="shared" si="12"/>
        <v>269</v>
      </c>
      <c r="B274" s="26"/>
      <c r="C274" s="8"/>
      <c r="D274" s="7"/>
      <c r="E274" s="7"/>
      <c r="F274" s="7"/>
      <c r="G274" s="7"/>
      <c r="H274" s="7"/>
      <c r="I274" s="7"/>
      <c r="J274" s="7"/>
      <c r="K274" s="38" t="str">
        <f t="shared" si="13"/>
        <v/>
      </c>
      <c r="L274" s="37" t="str">
        <f t="shared" ca="1" si="14"/>
        <v/>
      </c>
      <c r="M274" s="7"/>
      <c r="P274" s="67"/>
      <c r="X274" s="70"/>
    </row>
    <row r="275" spans="1:24">
      <c r="A275" s="7">
        <f t="shared" si="12"/>
        <v>270</v>
      </c>
      <c r="B275" s="26"/>
      <c r="C275" s="8"/>
      <c r="D275" s="7"/>
      <c r="E275" s="7"/>
      <c r="F275" s="7"/>
      <c r="G275" s="7"/>
      <c r="H275" s="7"/>
      <c r="I275" s="7"/>
      <c r="J275" s="7"/>
      <c r="K275" s="38" t="str">
        <f t="shared" si="13"/>
        <v/>
      </c>
      <c r="L275" s="37" t="str">
        <f t="shared" ca="1" si="14"/>
        <v/>
      </c>
      <c r="M275" s="7"/>
      <c r="P275" s="67"/>
      <c r="X275" s="70"/>
    </row>
    <row r="276" spans="1:24">
      <c r="A276" s="7">
        <f t="shared" si="12"/>
        <v>271</v>
      </c>
      <c r="B276" s="26"/>
      <c r="C276" s="8"/>
      <c r="D276" s="7"/>
      <c r="E276" s="7"/>
      <c r="F276" s="7"/>
      <c r="G276" s="7"/>
      <c r="H276" s="7"/>
      <c r="I276" s="7"/>
      <c r="J276" s="7"/>
      <c r="K276" s="38" t="str">
        <f t="shared" si="13"/>
        <v/>
      </c>
      <c r="L276" s="37" t="str">
        <f t="shared" ca="1" si="14"/>
        <v/>
      </c>
      <c r="M276" s="7"/>
      <c r="P276" s="67"/>
      <c r="X276" s="70"/>
    </row>
    <row r="277" spans="1:24">
      <c r="A277" s="7">
        <f t="shared" si="12"/>
        <v>272</v>
      </c>
      <c r="B277" s="26"/>
      <c r="C277" s="8"/>
      <c r="D277" s="7"/>
      <c r="E277" s="7"/>
      <c r="F277" s="7"/>
      <c r="G277" s="7"/>
      <c r="H277" s="7"/>
      <c r="I277" s="7"/>
      <c r="J277" s="7"/>
      <c r="K277" s="38" t="str">
        <f t="shared" si="13"/>
        <v/>
      </c>
      <c r="L277" s="37" t="str">
        <f t="shared" ca="1" si="14"/>
        <v/>
      </c>
      <c r="M277" s="7"/>
      <c r="P277" s="67"/>
      <c r="X277" s="70"/>
    </row>
    <row r="278" spans="1:24">
      <c r="A278" s="7">
        <f t="shared" si="12"/>
        <v>273</v>
      </c>
      <c r="B278" s="26"/>
      <c r="C278" s="8"/>
      <c r="D278" s="7"/>
      <c r="E278" s="7"/>
      <c r="F278" s="7"/>
      <c r="G278" s="7"/>
      <c r="H278" s="7"/>
      <c r="I278" s="7"/>
      <c r="J278" s="7"/>
      <c r="K278" s="38" t="str">
        <f t="shared" si="13"/>
        <v/>
      </c>
      <c r="L278" s="37" t="str">
        <f t="shared" ca="1" si="14"/>
        <v/>
      </c>
      <c r="M278" s="7"/>
      <c r="P278" s="67"/>
      <c r="X278" s="70"/>
    </row>
    <row r="279" spans="1:24">
      <c r="A279" s="7">
        <f t="shared" si="12"/>
        <v>274</v>
      </c>
      <c r="B279" s="26"/>
      <c r="C279" s="8"/>
      <c r="D279" s="7"/>
      <c r="E279" s="7"/>
      <c r="F279" s="7"/>
      <c r="G279" s="7"/>
      <c r="H279" s="7"/>
      <c r="I279" s="7"/>
      <c r="J279" s="7"/>
      <c r="K279" s="38" t="str">
        <f t="shared" si="13"/>
        <v/>
      </c>
      <c r="L279" s="37" t="str">
        <f t="shared" ca="1" si="14"/>
        <v/>
      </c>
      <c r="M279" s="7"/>
      <c r="P279" s="67"/>
      <c r="X279" s="70"/>
    </row>
    <row r="280" spans="1:24">
      <c r="A280" s="7">
        <f t="shared" si="12"/>
        <v>275</v>
      </c>
      <c r="B280" s="26"/>
      <c r="C280" s="8"/>
      <c r="D280" s="7"/>
      <c r="E280" s="7"/>
      <c r="F280" s="7"/>
      <c r="G280" s="7"/>
      <c r="H280" s="7"/>
      <c r="I280" s="7"/>
      <c r="J280" s="7"/>
      <c r="K280" s="38" t="str">
        <f t="shared" si="13"/>
        <v/>
      </c>
      <c r="L280" s="37" t="str">
        <f t="shared" ca="1" si="14"/>
        <v/>
      </c>
      <c r="M280" s="7"/>
      <c r="P280" s="67"/>
      <c r="X280" s="70"/>
    </row>
    <row r="281" spans="1:24">
      <c r="A281" s="7">
        <f t="shared" si="12"/>
        <v>276</v>
      </c>
      <c r="B281" s="26"/>
      <c r="C281" s="8"/>
      <c r="D281" s="7"/>
      <c r="E281" s="7"/>
      <c r="F281" s="7"/>
      <c r="G281" s="7"/>
      <c r="H281" s="7"/>
      <c r="I281" s="7"/>
      <c r="J281" s="7"/>
      <c r="K281" s="38" t="str">
        <f t="shared" si="13"/>
        <v/>
      </c>
      <c r="L281" s="37" t="str">
        <f t="shared" ca="1" si="14"/>
        <v/>
      </c>
      <c r="M281" s="7"/>
      <c r="P281" s="67"/>
      <c r="X281" s="70"/>
    </row>
    <row r="282" spans="1:24">
      <c r="A282" s="7">
        <f t="shared" si="12"/>
        <v>277</v>
      </c>
      <c r="B282" s="26"/>
      <c r="C282" s="8"/>
      <c r="D282" s="7"/>
      <c r="E282" s="7"/>
      <c r="F282" s="7"/>
      <c r="G282" s="7"/>
      <c r="H282" s="7"/>
      <c r="I282" s="7"/>
      <c r="J282" s="7"/>
      <c r="K282" s="38" t="str">
        <f t="shared" si="13"/>
        <v/>
      </c>
      <c r="L282" s="37" t="str">
        <f t="shared" ca="1" si="14"/>
        <v/>
      </c>
      <c r="M282" s="7"/>
      <c r="P282" s="67"/>
      <c r="X282" s="70"/>
    </row>
    <row r="283" spans="1:24">
      <c r="A283" s="7">
        <f t="shared" si="12"/>
        <v>278</v>
      </c>
      <c r="B283" s="26"/>
      <c r="C283" s="8"/>
      <c r="D283" s="7"/>
      <c r="E283" s="7"/>
      <c r="F283" s="7"/>
      <c r="G283" s="7"/>
      <c r="H283" s="7"/>
      <c r="I283" s="7"/>
      <c r="J283" s="7"/>
      <c r="K283" s="38" t="str">
        <f t="shared" si="13"/>
        <v/>
      </c>
      <c r="L283" s="37" t="str">
        <f t="shared" ca="1" si="14"/>
        <v/>
      </c>
      <c r="M283" s="7"/>
      <c r="P283" s="67"/>
      <c r="X283" s="70"/>
    </row>
    <row r="284" spans="1:24">
      <c r="A284" s="7">
        <f t="shared" si="12"/>
        <v>279</v>
      </c>
      <c r="B284" s="26"/>
      <c r="C284" s="8"/>
      <c r="D284" s="7"/>
      <c r="E284" s="7"/>
      <c r="F284" s="7"/>
      <c r="G284" s="7"/>
      <c r="H284" s="7"/>
      <c r="I284" s="7"/>
      <c r="J284" s="7"/>
      <c r="K284" s="38" t="str">
        <f t="shared" si="13"/>
        <v/>
      </c>
      <c r="L284" s="37" t="str">
        <f t="shared" ca="1" si="14"/>
        <v/>
      </c>
      <c r="M284" s="7"/>
      <c r="P284" s="67"/>
      <c r="X284" s="70"/>
    </row>
    <row r="285" spans="1:24">
      <c r="A285" s="7">
        <f t="shared" si="12"/>
        <v>280</v>
      </c>
      <c r="B285" s="26"/>
      <c r="C285" s="8"/>
      <c r="D285" s="7"/>
      <c r="E285" s="7"/>
      <c r="F285" s="7"/>
      <c r="G285" s="7"/>
      <c r="H285" s="7"/>
      <c r="I285" s="7"/>
      <c r="J285" s="7"/>
      <c r="K285" s="38" t="str">
        <f t="shared" si="13"/>
        <v/>
      </c>
      <c r="L285" s="37" t="str">
        <f t="shared" ca="1" si="14"/>
        <v/>
      </c>
      <c r="M285" s="7"/>
      <c r="P285" s="67"/>
      <c r="X285" s="70"/>
    </row>
    <row r="286" spans="1:24">
      <c r="A286" s="7">
        <f t="shared" si="12"/>
        <v>281</v>
      </c>
      <c r="B286" s="26"/>
      <c r="C286" s="8"/>
      <c r="D286" s="7"/>
      <c r="E286" s="7"/>
      <c r="F286" s="7"/>
      <c r="G286" s="7"/>
      <c r="H286" s="7"/>
      <c r="I286" s="7"/>
      <c r="J286" s="7"/>
      <c r="K286" s="38" t="str">
        <f t="shared" si="13"/>
        <v/>
      </c>
      <c r="L286" s="37" t="str">
        <f t="shared" ca="1" si="14"/>
        <v/>
      </c>
      <c r="M286" s="7"/>
      <c r="P286" s="67"/>
      <c r="X286" s="70"/>
    </row>
    <row r="287" spans="1:24">
      <c r="A287" s="7">
        <f t="shared" si="12"/>
        <v>282</v>
      </c>
      <c r="B287" s="26"/>
      <c r="C287" s="8"/>
      <c r="D287" s="7"/>
      <c r="E287" s="7"/>
      <c r="F287" s="7"/>
      <c r="G287" s="7"/>
      <c r="H287" s="7"/>
      <c r="I287" s="7"/>
      <c r="J287" s="7"/>
      <c r="K287" s="38" t="str">
        <f t="shared" si="13"/>
        <v/>
      </c>
      <c r="L287" s="37" t="str">
        <f t="shared" ca="1" si="14"/>
        <v/>
      </c>
      <c r="M287" s="7"/>
      <c r="P287" s="67"/>
      <c r="X287" s="70"/>
    </row>
    <row r="288" spans="1:24">
      <c r="A288" s="7">
        <f t="shared" si="12"/>
        <v>283</v>
      </c>
      <c r="B288" s="26"/>
      <c r="C288" s="8"/>
      <c r="D288" s="7"/>
      <c r="E288" s="7"/>
      <c r="F288" s="7"/>
      <c r="G288" s="7"/>
      <c r="H288" s="7"/>
      <c r="I288" s="7"/>
      <c r="J288" s="7"/>
      <c r="K288" s="38" t="str">
        <f t="shared" si="13"/>
        <v/>
      </c>
      <c r="L288" s="37" t="str">
        <f t="shared" ca="1" si="14"/>
        <v/>
      </c>
      <c r="M288" s="7"/>
      <c r="P288" s="67"/>
      <c r="X288" s="70"/>
    </row>
    <row r="289" spans="1:24">
      <c r="A289" s="7">
        <f t="shared" si="12"/>
        <v>284</v>
      </c>
      <c r="B289" s="26"/>
      <c r="C289" s="8"/>
      <c r="D289" s="7"/>
      <c r="E289" s="7"/>
      <c r="F289" s="7"/>
      <c r="G289" s="7"/>
      <c r="H289" s="7"/>
      <c r="I289" s="7"/>
      <c r="J289" s="7"/>
      <c r="K289" s="38" t="str">
        <f t="shared" si="13"/>
        <v/>
      </c>
      <c r="L289" s="37" t="str">
        <f t="shared" ca="1" si="14"/>
        <v/>
      </c>
      <c r="M289" s="7"/>
      <c r="P289" s="67"/>
      <c r="X289" s="70"/>
    </row>
    <row r="290" spans="1:24">
      <c r="A290" s="7">
        <f t="shared" si="12"/>
        <v>285</v>
      </c>
      <c r="B290" s="26"/>
      <c r="C290" s="8"/>
      <c r="D290" s="7"/>
      <c r="E290" s="7"/>
      <c r="F290" s="7"/>
      <c r="G290" s="7"/>
      <c r="H290" s="7"/>
      <c r="I290" s="7"/>
      <c r="J290" s="7"/>
      <c r="K290" s="38" t="str">
        <f t="shared" si="13"/>
        <v/>
      </c>
      <c r="L290" s="37" t="str">
        <f t="shared" ca="1" si="14"/>
        <v/>
      </c>
      <c r="M290" s="7"/>
      <c r="P290" s="67"/>
      <c r="X290" s="70"/>
    </row>
    <row r="291" spans="1:24">
      <c r="A291" s="7">
        <f t="shared" si="12"/>
        <v>286</v>
      </c>
      <c r="B291" s="26"/>
      <c r="C291" s="8"/>
      <c r="D291" s="7"/>
      <c r="E291" s="7"/>
      <c r="F291" s="7"/>
      <c r="G291" s="7"/>
      <c r="H291" s="7"/>
      <c r="I291" s="7"/>
      <c r="J291" s="7"/>
      <c r="K291" s="38" t="str">
        <f t="shared" si="13"/>
        <v/>
      </c>
      <c r="L291" s="37" t="str">
        <f t="shared" ca="1" si="14"/>
        <v/>
      </c>
      <c r="M291" s="7"/>
      <c r="P291" s="67"/>
      <c r="X291" s="70"/>
    </row>
    <row r="292" spans="1:24">
      <c r="A292" s="7">
        <f t="shared" si="12"/>
        <v>287</v>
      </c>
      <c r="B292" s="26"/>
      <c r="C292" s="8"/>
      <c r="D292" s="7"/>
      <c r="E292" s="7"/>
      <c r="F292" s="7"/>
      <c r="G292" s="7"/>
      <c r="H292" s="7"/>
      <c r="I292" s="7"/>
      <c r="J292" s="7"/>
      <c r="K292" s="38" t="str">
        <f t="shared" si="13"/>
        <v/>
      </c>
      <c r="L292" s="37" t="str">
        <f t="shared" ca="1" si="14"/>
        <v/>
      </c>
      <c r="M292" s="7"/>
      <c r="P292" s="67"/>
      <c r="X292" s="70"/>
    </row>
    <row r="293" spans="1:24">
      <c r="A293" s="7">
        <f t="shared" si="12"/>
        <v>288</v>
      </c>
      <c r="B293" s="26"/>
      <c r="C293" s="8"/>
      <c r="D293" s="7"/>
      <c r="E293" s="7"/>
      <c r="F293" s="7"/>
      <c r="G293" s="7"/>
      <c r="H293" s="7"/>
      <c r="I293" s="7"/>
      <c r="J293" s="7"/>
      <c r="K293" s="38" t="str">
        <f t="shared" si="13"/>
        <v/>
      </c>
      <c r="L293" s="37" t="str">
        <f t="shared" ca="1" si="14"/>
        <v/>
      </c>
      <c r="M293" s="7"/>
      <c r="P293" s="67"/>
      <c r="X293" s="70"/>
    </row>
    <row r="294" spans="1:24">
      <c r="A294" s="7">
        <f t="shared" si="12"/>
        <v>289</v>
      </c>
      <c r="B294" s="26"/>
      <c r="C294" s="8"/>
      <c r="D294" s="7"/>
      <c r="E294" s="7"/>
      <c r="F294" s="7"/>
      <c r="G294" s="7"/>
      <c r="H294" s="7"/>
      <c r="I294" s="7"/>
      <c r="J294" s="7"/>
      <c r="K294" s="38" t="str">
        <f t="shared" si="13"/>
        <v/>
      </c>
      <c r="L294" s="37" t="str">
        <f t="shared" ca="1" si="14"/>
        <v/>
      </c>
      <c r="M294" s="7"/>
      <c r="P294" s="67"/>
      <c r="X294" s="70"/>
    </row>
    <row r="295" spans="1:24">
      <c r="A295" s="7">
        <f t="shared" si="12"/>
        <v>290</v>
      </c>
      <c r="B295" s="26"/>
      <c r="C295" s="8"/>
      <c r="D295" s="7"/>
      <c r="E295" s="7"/>
      <c r="F295" s="7"/>
      <c r="G295" s="7"/>
      <c r="H295" s="7"/>
      <c r="I295" s="7"/>
      <c r="J295" s="7"/>
      <c r="K295" s="38" t="str">
        <f t="shared" si="13"/>
        <v/>
      </c>
      <c r="L295" s="37" t="str">
        <f t="shared" ca="1" si="14"/>
        <v/>
      </c>
      <c r="M295" s="7"/>
      <c r="P295" s="67"/>
      <c r="X295" s="70"/>
    </row>
    <row r="296" spans="1:24">
      <c r="A296" s="7">
        <f t="shared" si="12"/>
        <v>291</v>
      </c>
      <c r="B296" s="26"/>
      <c r="C296" s="8"/>
      <c r="D296" s="7"/>
      <c r="E296" s="7"/>
      <c r="F296" s="7"/>
      <c r="G296" s="7"/>
      <c r="H296" s="7"/>
      <c r="I296" s="7"/>
      <c r="J296" s="7"/>
      <c r="K296" s="38" t="str">
        <f t="shared" si="13"/>
        <v/>
      </c>
      <c r="L296" s="37" t="str">
        <f t="shared" ca="1" si="14"/>
        <v/>
      </c>
      <c r="M296" s="7"/>
      <c r="P296" s="67"/>
      <c r="X296" s="70"/>
    </row>
    <row r="297" spans="1:24">
      <c r="A297" s="7">
        <f t="shared" si="12"/>
        <v>292</v>
      </c>
      <c r="B297" s="26"/>
      <c r="C297" s="8"/>
      <c r="D297" s="7"/>
      <c r="E297" s="7"/>
      <c r="F297" s="7"/>
      <c r="G297" s="7"/>
      <c r="H297" s="7"/>
      <c r="I297" s="7"/>
      <c r="J297" s="7"/>
      <c r="K297" s="38" t="str">
        <f t="shared" si="13"/>
        <v/>
      </c>
      <c r="L297" s="37" t="str">
        <f t="shared" ca="1" si="14"/>
        <v/>
      </c>
      <c r="M297" s="7"/>
      <c r="P297" s="67"/>
      <c r="X297" s="70"/>
    </row>
    <row r="298" spans="1:24">
      <c r="A298" s="7">
        <f t="shared" si="12"/>
        <v>293</v>
      </c>
      <c r="B298" s="26"/>
      <c r="C298" s="8"/>
      <c r="D298" s="7"/>
      <c r="E298" s="7"/>
      <c r="F298" s="7"/>
      <c r="G298" s="7"/>
      <c r="H298" s="7"/>
      <c r="I298" s="7"/>
      <c r="J298" s="7"/>
      <c r="K298" s="38" t="str">
        <f t="shared" si="13"/>
        <v/>
      </c>
      <c r="L298" s="37" t="str">
        <f t="shared" ca="1" si="14"/>
        <v/>
      </c>
      <c r="M298" s="7"/>
      <c r="P298" s="67"/>
      <c r="X298" s="70"/>
    </row>
    <row r="299" spans="1:24">
      <c r="A299" s="7">
        <f t="shared" si="12"/>
        <v>294</v>
      </c>
      <c r="B299" s="26"/>
      <c r="C299" s="8"/>
      <c r="D299" s="7"/>
      <c r="E299" s="7"/>
      <c r="F299" s="7"/>
      <c r="G299" s="7"/>
      <c r="H299" s="7"/>
      <c r="I299" s="7"/>
      <c r="J299" s="7"/>
      <c r="K299" s="38" t="str">
        <f t="shared" si="13"/>
        <v/>
      </c>
      <c r="L299" s="37" t="str">
        <f t="shared" ca="1" si="14"/>
        <v/>
      </c>
      <c r="M299" s="7"/>
      <c r="P299" s="67"/>
      <c r="X299" s="70"/>
    </row>
    <row r="300" spans="1:24">
      <c r="A300" s="7">
        <f t="shared" si="12"/>
        <v>295</v>
      </c>
      <c r="B300" s="26"/>
      <c r="C300" s="8"/>
      <c r="D300" s="7"/>
      <c r="E300" s="7"/>
      <c r="F300" s="7"/>
      <c r="G300" s="7"/>
      <c r="H300" s="7"/>
      <c r="I300" s="7"/>
      <c r="J300" s="7"/>
      <c r="K300" s="38" t="str">
        <f t="shared" si="13"/>
        <v/>
      </c>
      <c r="L300" s="37" t="str">
        <f t="shared" ca="1" si="14"/>
        <v/>
      </c>
      <c r="M300" s="7"/>
      <c r="P300" s="67"/>
      <c r="X300" s="70"/>
    </row>
    <row r="301" spans="1:24">
      <c r="A301" s="7">
        <f t="shared" si="12"/>
        <v>296</v>
      </c>
      <c r="B301" s="26"/>
      <c r="C301" s="8"/>
      <c r="D301" s="7"/>
      <c r="E301" s="7"/>
      <c r="F301" s="7"/>
      <c r="G301" s="7"/>
      <c r="H301" s="7"/>
      <c r="I301" s="7"/>
      <c r="J301" s="7"/>
      <c r="K301" s="38" t="str">
        <f t="shared" si="13"/>
        <v/>
      </c>
      <c r="L301" s="37" t="str">
        <f t="shared" ca="1" si="14"/>
        <v/>
      </c>
      <c r="M301" s="7"/>
      <c r="P301" s="67"/>
      <c r="X301" s="70"/>
    </row>
    <row r="302" spans="1:24">
      <c r="A302" s="7">
        <f t="shared" si="12"/>
        <v>297</v>
      </c>
      <c r="B302" s="26"/>
      <c r="C302" s="8"/>
      <c r="D302" s="7"/>
      <c r="E302" s="7"/>
      <c r="F302" s="7"/>
      <c r="G302" s="7"/>
      <c r="H302" s="7"/>
      <c r="I302" s="7"/>
      <c r="J302" s="7"/>
      <c r="K302" s="38" t="str">
        <f t="shared" si="13"/>
        <v/>
      </c>
      <c r="L302" s="37" t="str">
        <f t="shared" ca="1" si="14"/>
        <v/>
      </c>
      <c r="M302" s="7"/>
      <c r="P302" s="67"/>
      <c r="X302" s="70"/>
    </row>
    <row r="303" spans="1:24">
      <c r="A303" s="7">
        <f t="shared" si="12"/>
        <v>298</v>
      </c>
      <c r="B303" s="26"/>
      <c r="C303" s="8"/>
      <c r="D303" s="7"/>
      <c r="E303" s="7"/>
      <c r="F303" s="7"/>
      <c r="G303" s="7"/>
      <c r="H303" s="7"/>
      <c r="I303" s="7"/>
      <c r="J303" s="7"/>
      <c r="K303" s="38" t="str">
        <f t="shared" si="13"/>
        <v/>
      </c>
      <c r="L303" s="37" t="str">
        <f t="shared" ca="1" si="14"/>
        <v/>
      </c>
      <c r="M303" s="7"/>
      <c r="P303" s="67"/>
      <c r="X303" s="70"/>
    </row>
    <row r="304" spans="1:24">
      <c r="A304" s="7">
        <f t="shared" si="12"/>
        <v>299</v>
      </c>
      <c r="B304" s="26"/>
      <c r="C304" s="8"/>
      <c r="D304" s="7"/>
      <c r="E304" s="7"/>
      <c r="F304" s="7"/>
      <c r="G304" s="7"/>
      <c r="H304" s="7"/>
      <c r="I304" s="7"/>
      <c r="J304" s="7"/>
      <c r="K304" s="38" t="str">
        <f t="shared" si="13"/>
        <v/>
      </c>
      <c r="L304" s="37" t="str">
        <f t="shared" ca="1" si="14"/>
        <v/>
      </c>
      <c r="M304" s="7"/>
      <c r="P304" s="67"/>
      <c r="X304" s="70"/>
    </row>
    <row r="305" spans="1:24">
      <c r="A305" s="7">
        <f t="shared" si="12"/>
        <v>300</v>
      </c>
      <c r="B305" s="26"/>
      <c r="C305" s="8"/>
      <c r="D305" s="7"/>
      <c r="E305" s="7"/>
      <c r="F305" s="7"/>
      <c r="G305" s="7"/>
      <c r="H305" s="7"/>
      <c r="I305" s="7"/>
      <c r="J305" s="7"/>
      <c r="K305" s="38" t="str">
        <f t="shared" si="13"/>
        <v/>
      </c>
      <c r="L305" s="37" t="str">
        <f t="shared" ca="1" si="14"/>
        <v/>
      </c>
      <c r="M305" s="7"/>
      <c r="P305" s="67"/>
      <c r="X305" s="70"/>
    </row>
    <row r="306" spans="1:24">
      <c r="A306" s="7">
        <f t="shared" si="12"/>
        <v>301</v>
      </c>
      <c r="B306" s="26"/>
      <c r="C306" s="8"/>
      <c r="D306" s="7"/>
      <c r="E306" s="7"/>
      <c r="F306" s="7"/>
      <c r="G306" s="7"/>
      <c r="H306" s="7"/>
      <c r="I306" s="7"/>
      <c r="J306" s="7"/>
      <c r="K306" s="38" t="str">
        <f t="shared" si="13"/>
        <v/>
      </c>
      <c r="L306" s="37" t="str">
        <f t="shared" ca="1" si="14"/>
        <v/>
      </c>
      <c r="M306" s="7"/>
      <c r="P306" s="67"/>
      <c r="X306" s="70"/>
    </row>
    <row r="307" spans="1:24">
      <c r="A307" s="7">
        <f t="shared" si="12"/>
        <v>302</v>
      </c>
      <c r="B307" s="26"/>
      <c r="C307" s="8"/>
      <c r="D307" s="7"/>
      <c r="E307" s="7"/>
      <c r="F307" s="7"/>
      <c r="G307" s="7"/>
      <c r="H307" s="7"/>
      <c r="I307" s="7"/>
      <c r="J307" s="7"/>
      <c r="K307" s="38" t="str">
        <f t="shared" si="13"/>
        <v/>
      </c>
      <c r="L307" s="37" t="str">
        <f t="shared" ca="1" si="14"/>
        <v/>
      </c>
      <c r="M307" s="7"/>
      <c r="P307" s="67"/>
      <c r="X307" s="70"/>
    </row>
    <row r="308" spans="1:24">
      <c r="A308" s="7">
        <f t="shared" si="12"/>
        <v>303</v>
      </c>
      <c r="B308" s="26"/>
      <c r="C308" s="8"/>
      <c r="D308" s="7"/>
      <c r="E308" s="7"/>
      <c r="F308" s="7"/>
      <c r="G308" s="7"/>
      <c r="H308" s="7"/>
      <c r="I308" s="7"/>
      <c r="J308" s="7"/>
      <c r="K308" s="38" t="str">
        <f t="shared" si="13"/>
        <v/>
      </c>
      <c r="L308" s="37" t="str">
        <f t="shared" ca="1" si="14"/>
        <v/>
      </c>
      <c r="M308" s="7"/>
      <c r="P308" s="67"/>
      <c r="X308" s="70"/>
    </row>
    <row r="309" spans="1:24">
      <c r="A309" s="7">
        <f t="shared" si="12"/>
        <v>304</v>
      </c>
      <c r="B309" s="26"/>
      <c r="C309" s="8"/>
      <c r="D309" s="7"/>
      <c r="E309" s="7"/>
      <c r="F309" s="7"/>
      <c r="G309" s="7"/>
      <c r="H309" s="7"/>
      <c r="I309" s="7"/>
      <c r="J309" s="7"/>
      <c r="K309" s="38" t="str">
        <f t="shared" si="13"/>
        <v/>
      </c>
      <c r="L309" s="37" t="str">
        <f t="shared" ca="1" si="14"/>
        <v/>
      </c>
      <c r="M309" s="7"/>
      <c r="P309" s="67"/>
      <c r="X309" s="70"/>
    </row>
    <row r="310" spans="1:24">
      <c r="A310" s="7">
        <f t="shared" si="12"/>
        <v>305</v>
      </c>
      <c r="B310" s="26"/>
      <c r="C310" s="8"/>
      <c r="D310" s="7"/>
      <c r="E310" s="7"/>
      <c r="F310" s="7"/>
      <c r="G310" s="7"/>
      <c r="H310" s="7"/>
      <c r="I310" s="7"/>
      <c r="J310" s="7"/>
      <c r="K310" s="38" t="str">
        <f t="shared" si="13"/>
        <v/>
      </c>
      <c r="L310" s="37" t="str">
        <f t="shared" ca="1" si="14"/>
        <v/>
      </c>
      <c r="M310" s="7"/>
      <c r="P310" s="67"/>
      <c r="X310" s="70"/>
    </row>
    <row r="311" spans="1:24">
      <c r="A311" s="7">
        <f t="shared" si="12"/>
        <v>306</v>
      </c>
      <c r="B311" s="26"/>
      <c r="C311" s="8"/>
      <c r="D311" s="7"/>
      <c r="E311" s="7"/>
      <c r="F311" s="7"/>
      <c r="G311" s="7"/>
      <c r="H311" s="7"/>
      <c r="I311" s="7"/>
      <c r="J311" s="7"/>
      <c r="K311" s="38" t="str">
        <f t="shared" si="13"/>
        <v/>
      </c>
      <c r="L311" s="37" t="str">
        <f t="shared" ca="1" si="14"/>
        <v/>
      </c>
      <c r="M311" s="7"/>
      <c r="P311" s="67"/>
      <c r="X311" s="70"/>
    </row>
    <row r="312" spans="1:24">
      <c r="A312" s="7">
        <f t="shared" si="12"/>
        <v>307</v>
      </c>
      <c r="B312" s="26"/>
      <c r="C312" s="8"/>
      <c r="D312" s="7"/>
      <c r="E312" s="7"/>
      <c r="F312" s="7"/>
      <c r="G312" s="7"/>
      <c r="H312" s="7"/>
      <c r="I312" s="7"/>
      <c r="J312" s="7"/>
      <c r="K312" s="38" t="str">
        <f t="shared" si="13"/>
        <v/>
      </c>
      <c r="L312" s="37" t="str">
        <f t="shared" ca="1" si="14"/>
        <v/>
      </c>
      <c r="M312" s="7"/>
      <c r="P312" s="67"/>
      <c r="X312" s="70"/>
    </row>
    <row r="313" spans="1:24">
      <c r="A313" s="7">
        <f t="shared" si="12"/>
        <v>308</v>
      </c>
      <c r="B313" s="26"/>
      <c r="C313" s="8"/>
      <c r="D313" s="7"/>
      <c r="E313" s="7"/>
      <c r="F313" s="7"/>
      <c r="G313" s="7"/>
      <c r="H313" s="7"/>
      <c r="I313" s="7"/>
      <c r="J313" s="7"/>
      <c r="K313" s="38" t="str">
        <f t="shared" si="13"/>
        <v/>
      </c>
      <c r="L313" s="37" t="str">
        <f t="shared" ca="1" si="14"/>
        <v/>
      </c>
      <c r="M313" s="7"/>
      <c r="P313" s="67"/>
      <c r="X313" s="70"/>
    </row>
    <row r="314" spans="1:24">
      <c r="A314" s="7">
        <f t="shared" si="12"/>
        <v>309</v>
      </c>
      <c r="B314" s="26"/>
      <c r="C314" s="8"/>
      <c r="D314" s="7"/>
      <c r="E314" s="7"/>
      <c r="F314" s="7"/>
      <c r="G314" s="7"/>
      <c r="H314" s="7"/>
      <c r="I314" s="7"/>
      <c r="J314" s="7"/>
      <c r="K314" s="38" t="str">
        <f t="shared" si="13"/>
        <v/>
      </c>
      <c r="L314" s="37" t="str">
        <f t="shared" ca="1" si="14"/>
        <v/>
      </c>
      <c r="M314" s="7"/>
      <c r="P314" s="67"/>
      <c r="X314" s="70"/>
    </row>
    <row r="315" spans="1:24">
      <c r="A315" s="7">
        <f t="shared" si="12"/>
        <v>310</v>
      </c>
      <c r="B315" s="26"/>
      <c r="C315" s="8"/>
      <c r="D315" s="7"/>
      <c r="E315" s="7"/>
      <c r="F315" s="7"/>
      <c r="G315" s="7"/>
      <c r="H315" s="7"/>
      <c r="I315" s="7"/>
      <c r="J315" s="7"/>
      <c r="K315" s="38" t="str">
        <f t="shared" si="13"/>
        <v/>
      </c>
      <c r="L315" s="37" t="str">
        <f t="shared" ca="1" si="14"/>
        <v/>
      </c>
      <c r="M315" s="7"/>
      <c r="P315" s="67"/>
      <c r="X315" s="70"/>
    </row>
    <row r="316" spans="1:24">
      <c r="A316" s="7">
        <f t="shared" si="12"/>
        <v>311</v>
      </c>
      <c r="B316" s="26"/>
      <c r="C316" s="8"/>
      <c r="D316" s="7"/>
      <c r="E316" s="7"/>
      <c r="F316" s="7"/>
      <c r="G316" s="7"/>
      <c r="H316" s="7"/>
      <c r="I316" s="7"/>
      <c r="J316" s="7"/>
      <c r="K316" s="38" t="str">
        <f t="shared" si="13"/>
        <v/>
      </c>
      <c r="L316" s="37" t="str">
        <f t="shared" ca="1" si="14"/>
        <v/>
      </c>
      <c r="M316" s="7"/>
      <c r="P316" s="67"/>
      <c r="X316" s="70"/>
    </row>
    <row r="317" spans="1:24">
      <c r="A317" s="7">
        <f t="shared" si="12"/>
        <v>312</v>
      </c>
      <c r="B317" s="26"/>
      <c r="C317" s="8"/>
      <c r="D317" s="7"/>
      <c r="E317" s="7"/>
      <c r="F317" s="7"/>
      <c r="G317" s="7"/>
      <c r="H317" s="7"/>
      <c r="I317" s="7"/>
      <c r="J317" s="7"/>
      <c r="K317" s="38" t="str">
        <f t="shared" si="13"/>
        <v/>
      </c>
      <c r="L317" s="37" t="str">
        <f t="shared" ca="1" si="14"/>
        <v/>
      </c>
      <c r="M317" s="7"/>
      <c r="P317" s="67"/>
      <c r="X317" s="70"/>
    </row>
    <row r="318" spans="1:24">
      <c r="A318" s="7">
        <f t="shared" si="12"/>
        <v>313</v>
      </c>
      <c r="B318" s="26"/>
      <c r="C318" s="8"/>
      <c r="D318" s="7"/>
      <c r="E318" s="7"/>
      <c r="F318" s="7"/>
      <c r="G318" s="7"/>
      <c r="H318" s="7"/>
      <c r="I318" s="7"/>
      <c r="J318" s="7"/>
      <c r="K318" s="38" t="str">
        <f t="shared" si="13"/>
        <v/>
      </c>
      <c r="L318" s="37" t="str">
        <f t="shared" ca="1" si="14"/>
        <v/>
      </c>
      <c r="M318" s="7"/>
      <c r="P318" s="67"/>
      <c r="X318" s="70"/>
    </row>
    <row r="319" spans="1:24">
      <c r="A319" s="7">
        <f t="shared" si="12"/>
        <v>314</v>
      </c>
      <c r="B319" s="26"/>
      <c r="C319" s="8"/>
      <c r="D319" s="7"/>
      <c r="E319" s="7"/>
      <c r="F319" s="7"/>
      <c r="G319" s="7"/>
      <c r="H319" s="7"/>
      <c r="I319" s="7"/>
      <c r="J319" s="7"/>
      <c r="K319" s="38" t="str">
        <f t="shared" si="13"/>
        <v/>
      </c>
      <c r="L319" s="37" t="str">
        <f t="shared" ca="1" si="14"/>
        <v/>
      </c>
      <c r="M319" s="7"/>
      <c r="P319" s="67"/>
      <c r="X319" s="70"/>
    </row>
    <row r="320" spans="1:24">
      <c r="A320" s="7">
        <f t="shared" si="12"/>
        <v>315</v>
      </c>
      <c r="B320" s="26"/>
      <c r="C320" s="8"/>
      <c r="D320" s="7"/>
      <c r="E320" s="7"/>
      <c r="F320" s="7"/>
      <c r="G320" s="7"/>
      <c r="H320" s="7"/>
      <c r="I320" s="7"/>
      <c r="J320" s="7"/>
      <c r="K320" s="38" t="str">
        <f t="shared" si="13"/>
        <v/>
      </c>
      <c r="L320" s="37" t="str">
        <f t="shared" ca="1" si="14"/>
        <v/>
      </c>
      <c r="M320" s="7"/>
      <c r="P320" s="67"/>
      <c r="X320" s="70"/>
    </row>
    <row r="321" spans="1:24">
      <c r="A321" s="7">
        <f t="shared" si="12"/>
        <v>316</v>
      </c>
      <c r="B321" s="26"/>
      <c r="C321" s="8"/>
      <c r="D321" s="7"/>
      <c r="E321" s="7"/>
      <c r="F321" s="7"/>
      <c r="G321" s="7"/>
      <c r="H321" s="7"/>
      <c r="I321" s="7"/>
      <c r="J321" s="7"/>
      <c r="K321" s="38" t="str">
        <f t="shared" si="13"/>
        <v/>
      </c>
      <c r="L321" s="37" t="str">
        <f t="shared" ca="1" si="14"/>
        <v/>
      </c>
      <c r="M321" s="7"/>
      <c r="P321" s="67"/>
      <c r="X321" s="70"/>
    </row>
    <row r="322" spans="1:24">
      <c r="A322" s="7">
        <f t="shared" si="12"/>
        <v>317</v>
      </c>
      <c r="B322" s="26"/>
      <c r="C322" s="8"/>
      <c r="D322" s="7"/>
      <c r="E322" s="7"/>
      <c r="F322" s="7"/>
      <c r="G322" s="7"/>
      <c r="H322" s="7"/>
      <c r="I322" s="7"/>
      <c r="J322" s="7"/>
      <c r="K322" s="38" t="str">
        <f t="shared" si="13"/>
        <v/>
      </c>
      <c r="L322" s="37" t="str">
        <f t="shared" ca="1" si="14"/>
        <v/>
      </c>
      <c r="M322" s="7"/>
      <c r="P322" s="67"/>
      <c r="X322" s="70"/>
    </row>
    <row r="323" spans="1:24">
      <c r="A323" s="7">
        <f t="shared" si="12"/>
        <v>318</v>
      </c>
      <c r="B323" s="26"/>
      <c r="C323" s="8"/>
      <c r="D323" s="7"/>
      <c r="E323" s="7"/>
      <c r="F323" s="7"/>
      <c r="G323" s="7"/>
      <c r="H323" s="7"/>
      <c r="I323" s="7"/>
      <c r="J323" s="7"/>
      <c r="K323" s="38" t="str">
        <f t="shared" si="13"/>
        <v/>
      </c>
      <c r="L323" s="37" t="str">
        <f t="shared" ca="1" si="14"/>
        <v/>
      </c>
      <c r="M323" s="7"/>
      <c r="P323" s="67"/>
      <c r="X323" s="70"/>
    </row>
    <row r="324" spans="1:24">
      <c r="A324" s="7">
        <f t="shared" si="12"/>
        <v>319</v>
      </c>
      <c r="B324" s="26"/>
      <c r="C324" s="8"/>
      <c r="D324" s="7"/>
      <c r="E324" s="7"/>
      <c r="F324" s="7"/>
      <c r="G324" s="7"/>
      <c r="H324" s="7"/>
      <c r="I324" s="7"/>
      <c r="J324" s="7"/>
      <c r="K324" s="38" t="str">
        <f t="shared" si="13"/>
        <v/>
      </c>
      <c r="L324" s="37" t="str">
        <f t="shared" ca="1" si="14"/>
        <v/>
      </c>
      <c r="M324" s="7"/>
      <c r="P324" s="67"/>
      <c r="X324" s="70"/>
    </row>
    <row r="325" spans="1:24">
      <c r="A325" s="7">
        <f t="shared" si="12"/>
        <v>320</v>
      </c>
      <c r="B325" s="26"/>
      <c r="C325" s="8"/>
      <c r="D325" s="7"/>
      <c r="E325" s="7"/>
      <c r="F325" s="7"/>
      <c r="G325" s="7"/>
      <c r="H325" s="7"/>
      <c r="I325" s="7"/>
      <c r="J325" s="7"/>
      <c r="K325" s="38" t="str">
        <f t="shared" si="13"/>
        <v/>
      </c>
      <c r="L325" s="37" t="str">
        <f t="shared" ca="1" si="14"/>
        <v/>
      </c>
      <c r="M325" s="7"/>
      <c r="P325" s="67"/>
      <c r="X325" s="70"/>
    </row>
    <row r="326" spans="1:24">
      <c r="A326" s="7">
        <f t="shared" si="12"/>
        <v>321</v>
      </c>
      <c r="B326" s="26"/>
      <c r="C326" s="8"/>
      <c r="D326" s="7"/>
      <c r="E326" s="7"/>
      <c r="F326" s="7"/>
      <c r="G326" s="7"/>
      <c r="H326" s="7"/>
      <c r="I326" s="7"/>
      <c r="J326" s="7"/>
      <c r="K326" s="38" t="str">
        <f t="shared" si="13"/>
        <v/>
      </c>
      <c r="L326" s="37" t="str">
        <f t="shared" ca="1" si="14"/>
        <v/>
      </c>
      <c r="M326" s="7"/>
      <c r="P326" s="67"/>
      <c r="X326" s="70"/>
    </row>
    <row r="327" spans="1:24">
      <c r="A327" s="7">
        <f t="shared" ref="A327:A390" si="15">ROW(A322)</f>
        <v>322</v>
      </c>
      <c r="B327" s="26"/>
      <c r="C327" s="8"/>
      <c r="D327" s="7"/>
      <c r="E327" s="7"/>
      <c r="F327" s="7"/>
      <c r="G327" s="7"/>
      <c r="H327" s="7"/>
      <c r="I327" s="7"/>
      <c r="J327" s="7"/>
      <c r="K327" s="38" t="str">
        <f t="shared" ref="K327:K390" si="16">IF(C327&gt;0,C327+J327-1,"")</f>
        <v/>
      </c>
      <c r="L327" s="37" t="str">
        <f t="shared" ref="L327:L390" ca="1" si="17">IF(K327="","",IF(TODAY()&gt;K327,"YES","No"))</f>
        <v/>
      </c>
      <c r="M327" s="7"/>
      <c r="P327" s="67"/>
      <c r="X327" s="70"/>
    </row>
    <row r="328" spans="1:24">
      <c r="A328" s="7">
        <f t="shared" si="15"/>
        <v>323</v>
      </c>
      <c r="B328" s="26"/>
      <c r="C328" s="8"/>
      <c r="D328" s="7"/>
      <c r="E328" s="7"/>
      <c r="F328" s="7"/>
      <c r="G328" s="7"/>
      <c r="H328" s="7"/>
      <c r="I328" s="7"/>
      <c r="J328" s="7"/>
      <c r="K328" s="38" t="str">
        <f t="shared" si="16"/>
        <v/>
      </c>
      <c r="L328" s="37" t="str">
        <f t="shared" ca="1" si="17"/>
        <v/>
      </c>
      <c r="M328" s="7"/>
      <c r="P328" s="67"/>
      <c r="X328" s="70"/>
    </row>
    <row r="329" spans="1:24">
      <c r="A329" s="7">
        <f t="shared" si="15"/>
        <v>324</v>
      </c>
      <c r="B329" s="26"/>
      <c r="C329" s="8"/>
      <c r="D329" s="7"/>
      <c r="E329" s="7"/>
      <c r="F329" s="7"/>
      <c r="G329" s="7"/>
      <c r="H329" s="7"/>
      <c r="I329" s="7"/>
      <c r="J329" s="7"/>
      <c r="K329" s="38" t="str">
        <f t="shared" si="16"/>
        <v/>
      </c>
      <c r="L329" s="37" t="str">
        <f t="shared" ca="1" si="17"/>
        <v/>
      </c>
      <c r="M329" s="7"/>
      <c r="P329" s="67"/>
      <c r="X329" s="70"/>
    </row>
    <row r="330" spans="1:24">
      <c r="A330" s="7">
        <f t="shared" si="15"/>
        <v>325</v>
      </c>
      <c r="B330" s="26"/>
      <c r="C330" s="8"/>
      <c r="D330" s="7"/>
      <c r="E330" s="7"/>
      <c r="F330" s="7"/>
      <c r="G330" s="7"/>
      <c r="H330" s="7"/>
      <c r="I330" s="7"/>
      <c r="J330" s="7"/>
      <c r="K330" s="38" t="str">
        <f t="shared" si="16"/>
        <v/>
      </c>
      <c r="L330" s="37" t="str">
        <f t="shared" ca="1" si="17"/>
        <v/>
      </c>
      <c r="M330" s="7"/>
      <c r="P330" s="67"/>
      <c r="X330" s="70"/>
    </row>
    <row r="331" spans="1:24">
      <c r="A331" s="7">
        <f t="shared" si="15"/>
        <v>326</v>
      </c>
      <c r="B331" s="26"/>
      <c r="C331" s="8"/>
      <c r="D331" s="7"/>
      <c r="E331" s="7"/>
      <c r="F331" s="7"/>
      <c r="G331" s="7"/>
      <c r="H331" s="7"/>
      <c r="I331" s="7"/>
      <c r="J331" s="7"/>
      <c r="K331" s="38" t="str">
        <f t="shared" si="16"/>
        <v/>
      </c>
      <c r="L331" s="37" t="str">
        <f t="shared" ca="1" si="17"/>
        <v/>
      </c>
      <c r="M331" s="7"/>
      <c r="P331" s="67"/>
      <c r="X331" s="70"/>
    </row>
    <row r="332" spans="1:24">
      <c r="A332" s="7">
        <f t="shared" si="15"/>
        <v>327</v>
      </c>
      <c r="B332" s="26"/>
      <c r="C332" s="8"/>
      <c r="D332" s="7"/>
      <c r="E332" s="7"/>
      <c r="F332" s="7"/>
      <c r="G332" s="7"/>
      <c r="H332" s="7"/>
      <c r="I332" s="7"/>
      <c r="J332" s="7"/>
      <c r="K332" s="38" t="str">
        <f t="shared" si="16"/>
        <v/>
      </c>
      <c r="L332" s="37" t="str">
        <f t="shared" ca="1" si="17"/>
        <v/>
      </c>
      <c r="M332" s="7"/>
      <c r="P332" s="67"/>
      <c r="X332" s="70"/>
    </row>
    <row r="333" spans="1:24">
      <c r="A333" s="7">
        <f t="shared" si="15"/>
        <v>328</v>
      </c>
      <c r="B333" s="26"/>
      <c r="C333" s="8"/>
      <c r="D333" s="7"/>
      <c r="E333" s="7"/>
      <c r="F333" s="7"/>
      <c r="G333" s="7"/>
      <c r="H333" s="7"/>
      <c r="I333" s="7"/>
      <c r="J333" s="7"/>
      <c r="K333" s="38" t="str">
        <f t="shared" si="16"/>
        <v/>
      </c>
      <c r="L333" s="37" t="str">
        <f t="shared" ca="1" si="17"/>
        <v/>
      </c>
      <c r="M333" s="7"/>
      <c r="P333" s="67"/>
      <c r="X333" s="70"/>
    </row>
    <row r="334" spans="1:24">
      <c r="A334" s="7">
        <f t="shared" si="15"/>
        <v>329</v>
      </c>
      <c r="B334" s="26"/>
      <c r="C334" s="8"/>
      <c r="D334" s="7"/>
      <c r="E334" s="7"/>
      <c r="F334" s="7"/>
      <c r="G334" s="7"/>
      <c r="H334" s="7"/>
      <c r="I334" s="7"/>
      <c r="J334" s="7"/>
      <c r="K334" s="38" t="str">
        <f t="shared" si="16"/>
        <v/>
      </c>
      <c r="L334" s="37" t="str">
        <f t="shared" ca="1" si="17"/>
        <v/>
      </c>
      <c r="M334" s="7"/>
      <c r="P334" s="67"/>
      <c r="X334" s="70"/>
    </row>
    <row r="335" spans="1:24">
      <c r="A335" s="7">
        <f t="shared" si="15"/>
        <v>330</v>
      </c>
      <c r="B335" s="26"/>
      <c r="C335" s="8"/>
      <c r="D335" s="7"/>
      <c r="E335" s="7"/>
      <c r="F335" s="7"/>
      <c r="G335" s="7"/>
      <c r="H335" s="7"/>
      <c r="I335" s="7"/>
      <c r="J335" s="7"/>
      <c r="K335" s="38" t="str">
        <f t="shared" si="16"/>
        <v/>
      </c>
      <c r="L335" s="37" t="str">
        <f t="shared" ca="1" si="17"/>
        <v/>
      </c>
      <c r="M335" s="7"/>
      <c r="P335" s="67"/>
      <c r="X335" s="70"/>
    </row>
    <row r="336" spans="1:24">
      <c r="A336" s="7">
        <f t="shared" si="15"/>
        <v>331</v>
      </c>
      <c r="B336" s="26"/>
      <c r="C336" s="8"/>
      <c r="D336" s="7"/>
      <c r="E336" s="7"/>
      <c r="F336" s="7"/>
      <c r="G336" s="7"/>
      <c r="H336" s="7"/>
      <c r="I336" s="7"/>
      <c r="J336" s="7"/>
      <c r="K336" s="38" t="str">
        <f t="shared" si="16"/>
        <v/>
      </c>
      <c r="L336" s="37" t="str">
        <f t="shared" ca="1" si="17"/>
        <v/>
      </c>
      <c r="M336" s="7"/>
      <c r="P336" s="67"/>
      <c r="X336" s="70"/>
    </row>
    <row r="337" spans="1:24">
      <c r="A337" s="7">
        <f t="shared" si="15"/>
        <v>332</v>
      </c>
      <c r="B337" s="26"/>
      <c r="C337" s="8"/>
      <c r="D337" s="7"/>
      <c r="E337" s="7"/>
      <c r="F337" s="7"/>
      <c r="G337" s="7"/>
      <c r="H337" s="7"/>
      <c r="I337" s="7"/>
      <c r="J337" s="7"/>
      <c r="K337" s="38" t="str">
        <f t="shared" si="16"/>
        <v/>
      </c>
      <c r="L337" s="37" t="str">
        <f t="shared" ca="1" si="17"/>
        <v/>
      </c>
      <c r="M337" s="7"/>
      <c r="P337" s="67"/>
      <c r="X337" s="70"/>
    </row>
    <row r="338" spans="1:24">
      <c r="A338" s="7">
        <f t="shared" si="15"/>
        <v>333</v>
      </c>
      <c r="B338" s="26"/>
      <c r="C338" s="8"/>
      <c r="D338" s="7"/>
      <c r="E338" s="7"/>
      <c r="F338" s="7"/>
      <c r="G338" s="7"/>
      <c r="H338" s="7"/>
      <c r="I338" s="7"/>
      <c r="J338" s="7"/>
      <c r="K338" s="38" t="str">
        <f t="shared" si="16"/>
        <v/>
      </c>
      <c r="L338" s="37" t="str">
        <f t="shared" ca="1" si="17"/>
        <v/>
      </c>
      <c r="M338" s="7"/>
      <c r="P338" s="67"/>
      <c r="X338" s="70"/>
    </row>
    <row r="339" spans="1:24">
      <c r="A339" s="7">
        <f t="shared" si="15"/>
        <v>334</v>
      </c>
      <c r="B339" s="26"/>
      <c r="C339" s="8"/>
      <c r="D339" s="7"/>
      <c r="E339" s="7"/>
      <c r="F339" s="7"/>
      <c r="G339" s="7"/>
      <c r="H339" s="7"/>
      <c r="I339" s="7"/>
      <c r="J339" s="7"/>
      <c r="K339" s="38" t="str">
        <f t="shared" si="16"/>
        <v/>
      </c>
      <c r="L339" s="37" t="str">
        <f t="shared" ca="1" si="17"/>
        <v/>
      </c>
      <c r="M339" s="7"/>
      <c r="P339" s="67"/>
      <c r="X339" s="70"/>
    </row>
    <row r="340" spans="1:24">
      <c r="A340" s="7">
        <f t="shared" si="15"/>
        <v>335</v>
      </c>
      <c r="B340" s="26"/>
      <c r="C340" s="8"/>
      <c r="D340" s="7"/>
      <c r="E340" s="7"/>
      <c r="F340" s="7"/>
      <c r="G340" s="7"/>
      <c r="H340" s="7"/>
      <c r="I340" s="7"/>
      <c r="J340" s="7"/>
      <c r="K340" s="38" t="str">
        <f t="shared" si="16"/>
        <v/>
      </c>
      <c r="L340" s="37" t="str">
        <f t="shared" ca="1" si="17"/>
        <v/>
      </c>
      <c r="M340" s="7"/>
      <c r="P340" s="67"/>
      <c r="X340" s="70"/>
    </row>
    <row r="341" spans="1:24">
      <c r="A341" s="7">
        <f t="shared" si="15"/>
        <v>336</v>
      </c>
      <c r="B341" s="26"/>
      <c r="C341" s="8"/>
      <c r="D341" s="7"/>
      <c r="E341" s="7"/>
      <c r="F341" s="7"/>
      <c r="G341" s="7"/>
      <c r="H341" s="7"/>
      <c r="I341" s="7"/>
      <c r="J341" s="7"/>
      <c r="K341" s="38" t="str">
        <f t="shared" si="16"/>
        <v/>
      </c>
      <c r="L341" s="37" t="str">
        <f t="shared" ca="1" si="17"/>
        <v/>
      </c>
      <c r="M341" s="7"/>
      <c r="P341" s="67"/>
      <c r="X341" s="70"/>
    </row>
    <row r="342" spans="1:24">
      <c r="A342" s="7">
        <f t="shared" si="15"/>
        <v>337</v>
      </c>
      <c r="B342" s="26"/>
      <c r="C342" s="8"/>
      <c r="D342" s="7"/>
      <c r="E342" s="7"/>
      <c r="F342" s="7"/>
      <c r="G342" s="7"/>
      <c r="H342" s="7"/>
      <c r="I342" s="7"/>
      <c r="J342" s="7"/>
      <c r="K342" s="38" t="str">
        <f t="shared" si="16"/>
        <v/>
      </c>
      <c r="L342" s="37" t="str">
        <f t="shared" ca="1" si="17"/>
        <v/>
      </c>
      <c r="M342" s="7"/>
      <c r="P342" s="67"/>
      <c r="X342" s="70"/>
    </row>
    <row r="343" spans="1:24">
      <c r="A343" s="7">
        <f t="shared" si="15"/>
        <v>338</v>
      </c>
      <c r="B343" s="26"/>
      <c r="C343" s="8"/>
      <c r="D343" s="7"/>
      <c r="E343" s="7"/>
      <c r="F343" s="7"/>
      <c r="G343" s="7"/>
      <c r="H343" s="7"/>
      <c r="I343" s="7"/>
      <c r="J343" s="7"/>
      <c r="K343" s="38" t="str">
        <f t="shared" si="16"/>
        <v/>
      </c>
      <c r="L343" s="37" t="str">
        <f t="shared" ca="1" si="17"/>
        <v/>
      </c>
      <c r="M343" s="7"/>
      <c r="P343" s="67"/>
      <c r="X343" s="70"/>
    </row>
    <row r="344" spans="1:24">
      <c r="A344" s="7">
        <f t="shared" si="15"/>
        <v>339</v>
      </c>
      <c r="B344" s="26"/>
      <c r="C344" s="8"/>
      <c r="D344" s="7"/>
      <c r="E344" s="7"/>
      <c r="F344" s="7"/>
      <c r="G344" s="7"/>
      <c r="H344" s="7"/>
      <c r="I344" s="7"/>
      <c r="J344" s="7"/>
      <c r="K344" s="38" t="str">
        <f t="shared" si="16"/>
        <v/>
      </c>
      <c r="L344" s="37" t="str">
        <f t="shared" ca="1" si="17"/>
        <v/>
      </c>
      <c r="M344" s="7"/>
      <c r="P344" s="67"/>
      <c r="X344" s="70"/>
    </row>
    <row r="345" spans="1:24">
      <c r="A345" s="7">
        <f t="shared" si="15"/>
        <v>340</v>
      </c>
      <c r="B345" s="26"/>
      <c r="C345" s="8"/>
      <c r="D345" s="7"/>
      <c r="E345" s="7"/>
      <c r="F345" s="7"/>
      <c r="G345" s="7"/>
      <c r="H345" s="7"/>
      <c r="I345" s="7"/>
      <c r="J345" s="7"/>
      <c r="K345" s="38" t="str">
        <f t="shared" si="16"/>
        <v/>
      </c>
      <c r="L345" s="37" t="str">
        <f t="shared" ca="1" si="17"/>
        <v/>
      </c>
      <c r="M345" s="7"/>
      <c r="P345" s="67"/>
      <c r="X345" s="70"/>
    </row>
    <row r="346" spans="1:24">
      <c r="A346" s="7">
        <f t="shared" si="15"/>
        <v>341</v>
      </c>
      <c r="B346" s="26"/>
      <c r="C346" s="8"/>
      <c r="D346" s="7"/>
      <c r="E346" s="7"/>
      <c r="F346" s="7"/>
      <c r="G346" s="7"/>
      <c r="H346" s="7"/>
      <c r="I346" s="7"/>
      <c r="J346" s="7"/>
      <c r="K346" s="38" t="str">
        <f t="shared" si="16"/>
        <v/>
      </c>
      <c r="L346" s="37" t="str">
        <f t="shared" ca="1" si="17"/>
        <v/>
      </c>
      <c r="M346" s="7"/>
      <c r="P346" s="67"/>
      <c r="X346" s="70"/>
    </row>
    <row r="347" spans="1:24">
      <c r="A347" s="7">
        <f t="shared" si="15"/>
        <v>342</v>
      </c>
      <c r="B347" s="26"/>
      <c r="C347" s="8"/>
      <c r="D347" s="7"/>
      <c r="E347" s="7"/>
      <c r="F347" s="7"/>
      <c r="G347" s="7"/>
      <c r="H347" s="7"/>
      <c r="I347" s="7"/>
      <c r="J347" s="7"/>
      <c r="K347" s="38" t="str">
        <f t="shared" si="16"/>
        <v/>
      </c>
      <c r="L347" s="37" t="str">
        <f t="shared" ca="1" si="17"/>
        <v/>
      </c>
      <c r="M347" s="7"/>
      <c r="P347" s="67"/>
      <c r="X347" s="70"/>
    </row>
    <row r="348" spans="1:24">
      <c r="A348" s="7">
        <f t="shared" si="15"/>
        <v>343</v>
      </c>
      <c r="B348" s="26"/>
      <c r="C348" s="8"/>
      <c r="D348" s="7"/>
      <c r="E348" s="7"/>
      <c r="F348" s="7"/>
      <c r="G348" s="7"/>
      <c r="H348" s="7"/>
      <c r="I348" s="7"/>
      <c r="J348" s="7"/>
      <c r="K348" s="38" t="str">
        <f t="shared" si="16"/>
        <v/>
      </c>
      <c r="L348" s="37" t="str">
        <f t="shared" ca="1" si="17"/>
        <v/>
      </c>
      <c r="M348" s="7"/>
      <c r="P348" s="67"/>
      <c r="X348" s="70"/>
    </row>
    <row r="349" spans="1:24">
      <c r="A349" s="7">
        <f t="shared" si="15"/>
        <v>344</v>
      </c>
      <c r="B349" s="26"/>
      <c r="C349" s="8"/>
      <c r="D349" s="7"/>
      <c r="E349" s="7"/>
      <c r="F349" s="7"/>
      <c r="G349" s="7"/>
      <c r="H349" s="7"/>
      <c r="I349" s="7"/>
      <c r="J349" s="7"/>
      <c r="K349" s="38" t="str">
        <f t="shared" si="16"/>
        <v/>
      </c>
      <c r="L349" s="37" t="str">
        <f t="shared" ca="1" si="17"/>
        <v/>
      </c>
      <c r="M349" s="7"/>
      <c r="P349" s="67"/>
      <c r="X349" s="70"/>
    </row>
    <row r="350" spans="1:24">
      <c r="A350" s="7">
        <f t="shared" si="15"/>
        <v>345</v>
      </c>
      <c r="B350" s="26"/>
      <c r="C350" s="8"/>
      <c r="D350" s="7"/>
      <c r="E350" s="7"/>
      <c r="F350" s="7"/>
      <c r="G350" s="7"/>
      <c r="H350" s="7"/>
      <c r="I350" s="7"/>
      <c r="J350" s="7"/>
      <c r="K350" s="38" t="str">
        <f t="shared" si="16"/>
        <v/>
      </c>
      <c r="L350" s="37" t="str">
        <f t="shared" ca="1" si="17"/>
        <v/>
      </c>
      <c r="M350" s="7"/>
      <c r="P350" s="67"/>
      <c r="X350" s="70"/>
    </row>
    <row r="351" spans="1:24">
      <c r="A351" s="7">
        <f t="shared" si="15"/>
        <v>346</v>
      </c>
      <c r="B351" s="26"/>
      <c r="C351" s="8"/>
      <c r="D351" s="7"/>
      <c r="E351" s="7"/>
      <c r="F351" s="7"/>
      <c r="G351" s="7"/>
      <c r="H351" s="7"/>
      <c r="I351" s="7"/>
      <c r="J351" s="7"/>
      <c r="K351" s="38" t="str">
        <f t="shared" si="16"/>
        <v/>
      </c>
      <c r="L351" s="37" t="str">
        <f t="shared" ca="1" si="17"/>
        <v/>
      </c>
      <c r="M351" s="7"/>
      <c r="P351" s="67"/>
      <c r="X351" s="70"/>
    </row>
    <row r="352" spans="1:24">
      <c r="A352" s="7">
        <f t="shared" si="15"/>
        <v>347</v>
      </c>
      <c r="B352" s="26"/>
      <c r="C352" s="8"/>
      <c r="D352" s="7"/>
      <c r="E352" s="7"/>
      <c r="F352" s="7"/>
      <c r="G352" s="7"/>
      <c r="H352" s="7"/>
      <c r="I352" s="7"/>
      <c r="J352" s="7"/>
      <c r="K352" s="38" t="str">
        <f t="shared" si="16"/>
        <v/>
      </c>
      <c r="L352" s="37" t="str">
        <f t="shared" ca="1" si="17"/>
        <v/>
      </c>
      <c r="M352" s="7"/>
      <c r="P352" s="67"/>
      <c r="X352" s="70"/>
    </row>
    <row r="353" spans="1:24">
      <c r="A353" s="7">
        <f t="shared" si="15"/>
        <v>348</v>
      </c>
      <c r="B353" s="26"/>
      <c r="C353" s="8"/>
      <c r="D353" s="7"/>
      <c r="E353" s="7"/>
      <c r="F353" s="7"/>
      <c r="G353" s="7"/>
      <c r="H353" s="7"/>
      <c r="I353" s="7"/>
      <c r="J353" s="7"/>
      <c r="K353" s="38" t="str">
        <f t="shared" si="16"/>
        <v/>
      </c>
      <c r="L353" s="37" t="str">
        <f t="shared" ca="1" si="17"/>
        <v/>
      </c>
      <c r="M353" s="7"/>
      <c r="P353" s="67"/>
      <c r="X353" s="70"/>
    </row>
    <row r="354" spans="1:24">
      <c r="A354" s="7">
        <f t="shared" si="15"/>
        <v>349</v>
      </c>
      <c r="B354" s="26"/>
      <c r="C354" s="8"/>
      <c r="D354" s="7"/>
      <c r="E354" s="7"/>
      <c r="F354" s="7"/>
      <c r="G354" s="7"/>
      <c r="H354" s="7"/>
      <c r="I354" s="7"/>
      <c r="J354" s="7"/>
      <c r="K354" s="38" t="str">
        <f t="shared" si="16"/>
        <v/>
      </c>
      <c r="L354" s="37" t="str">
        <f t="shared" ca="1" si="17"/>
        <v/>
      </c>
      <c r="M354" s="7"/>
      <c r="P354" s="67"/>
      <c r="X354" s="70"/>
    </row>
    <row r="355" spans="1:24">
      <c r="A355" s="7">
        <f t="shared" si="15"/>
        <v>350</v>
      </c>
      <c r="B355" s="26"/>
      <c r="C355" s="8"/>
      <c r="D355" s="7"/>
      <c r="E355" s="7"/>
      <c r="F355" s="7"/>
      <c r="G355" s="7"/>
      <c r="H355" s="7"/>
      <c r="I355" s="7"/>
      <c r="J355" s="7"/>
      <c r="K355" s="38" t="str">
        <f t="shared" si="16"/>
        <v/>
      </c>
      <c r="L355" s="37" t="str">
        <f t="shared" ca="1" si="17"/>
        <v/>
      </c>
      <c r="M355" s="7"/>
      <c r="P355" s="67"/>
      <c r="X355" s="70"/>
    </row>
    <row r="356" spans="1:24">
      <c r="A356" s="7">
        <f t="shared" si="15"/>
        <v>351</v>
      </c>
      <c r="B356" s="26"/>
      <c r="C356" s="8"/>
      <c r="D356" s="7"/>
      <c r="E356" s="7"/>
      <c r="F356" s="7"/>
      <c r="G356" s="7"/>
      <c r="H356" s="7"/>
      <c r="I356" s="7"/>
      <c r="J356" s="7"/>
      <c r="K356" s="38" t="str">
        <f t="shared" si="16"/>
        <v/>
      </c>
      <c r="L356" s="37" t="str">
        <f t="shared" ca="1" si="17"/>
        <v/>
      </c>
      <c r="M356" s="7"/>
      <c r="P356" s="67"/>
      <c r="X356" s="70"/>
    </row>
    <row r="357" spans="1:24">
      <c r="A357" s="7">
        <f t="shared" si="15"/>
        <v>352</v>
      </c>
      <c r="B357" s="26"/>
      <c r="C357" s="8"/>
      <c r="D357" s="7"/>
      <c r="E357" s="7"/>
      <c r="F357" s="7"/>
      <c r="G357" s="7"/>
      <c r="H357" s="7"/>
      <c r="I357" s="7"/>
      <c r="J357" s="7"/>
      <c r="K357" s="38" t="str">
        <f t="shared" si="16"/>
        <v/>
      </c>
      <c r="L357" s="37" t="str">
        <f t="shared" ca="1" si="17"/>
        <v/>
      </c>
      <c r="M357" s="7"/>
      <c r="P357" s="67"/>
      <c r="X357" s="70"/>
    </row>
    <row r="358" spans="1:24">
      <c r="A358" s="7">
        <f t="shared" si="15"/>
        <v>353</v>
      </c>
      <c r="B358" s="26"/>
      <c r="C358" s="8"/>
      <c r="D358" s="7"/>
      <c r="E358" s="7"/>
      <c r="F358" s="7"/>
      <c r="G358" s="7"/>
      <c r="H358" s="7"/>
      <c r="I358" s="7"/>
      <c r="J358" s="7"/>
      <c r="K358" s="38" t="str">
        <f t="shared" si="16"/>
        <v/>
      </c>
      <c r="L358" s="37" t="str">
        <f t="shared" ca="1" si="17"/>
        <v/>
      </c>
      <c r="M358" s="7"/>
      <c r="P358" s="67"/>
      <c r="X358" s="70"/>
    </row>
    <row r="359" spans="1:24">
      <c r="A359" s="7">
        <f t="shared" si="15"/>
        <v>354</v>
      </c>
      <c r="B359" s="26"/>
      <c r="C359" s="8"/>
      <c r="D359" s="7"/>
      <c r="E359" s="7"/>
      <c r="F359" s="7"/>
      <c r="G359" s="7"/>
      <c r="H359" s="7"/>
      <c r="I359" s="7"/>
      <c r="J359" s="7"/>
      <c r="K359" s="38" t="str">
        <f t="shared" si="16"/>
        <v/>
      </c>
      <c r="L359" s="37" t="str">
        <f t="shared" ca="1" si="17"/>
        <v/>
      </c>
      <c r="M359" s="7"/>
      <c r="P359" s="67"/>
      <c r="X359" s="70"/>
    </row>
    <row r="360" spans="1:24">
      <c r="A360" s="7">
        <f t="shared" si="15"/>
        <v>355</v>
      </c>
      <c r="B360" s="26"/>
      <c r="C360" s="8"/>
      <c r="D360" s="7"/>
      <c r="E360" s="7"/>
      <c r="F360" s="7"/>
      <c r="G360" s="7"/>
      <c r="H360" s="7"/>
      <c r="I360" s="7"/>
      <c r="J360" s="7"/>
      <c r="K360" s="38" t="str">
        <f t="shared" si="16"/>
        <v/>
      </c>
      <c r="L360" s="37" t="str">
        <f t="shared" ca="1" si="17"/>
        <v/>
      </c>
      <c r="M360" s="7"/>
      <c r="P360" s="67"/>
      <c r="X360" s="70"/>
    </row>
    <row r="361" spans="1:24">
      <c r="A361" s="7">
        <f t="shared" si="15"/>
        <v>356</v>
      </c>
      <c r="B361" s="26"/>
      <c r="C361" s="8"/>
      <c r="D361" s="7"/>
      <c r="E361" s="7"/>
      <c r="F361" s="7"/>
      <c r="G361" s="7"/>
      <c r="H361" s="7"/>
      <c r="I361" s="7"/>
      <c r="J361" s="7"/>
      <c r="K361" s="38" t="str">
        <f t="shared" si="16"/>
        <v/>
      </c>
      <c r="L361" s="37" t="str">
        <f t="shared" ca="1" si="17"/>
        <v/>
      </c>
      <c r="M361" s="7"/>
      <c r="P361" s="67"/>
      <c r="X361" s="70"/>
    </row>
    <row r="362" spans="1:24">
      <c r="A362" s="7">
        <f t="shared" si="15"/>
        <v>357</v>
      </c>
      <c r="B362" s="26"/>
      <c r="C362" s="8"/>
      <c r="D362" s="7"/>
      <c r="E362" s="7"/>
      <c r="F362" s="7"/>
      <c r="G362" s="7"/>
      <c r="H362" s="7"/>
      <c r="I362" s="7"/>
      <c r="J362" s="7"/>
      <c r="K362" s="38" t="str">
        <f t="shared" si="16"/>
        <v/>
      </c>
      <c r="L362" s="37" t="str">
        <f t="shared" ca="1" si="17"/>
        <v/>
      </c>
      <c r="M362" s="7"/>
      <c r="P362" s="67"/>
      <c r="X362" s="70"/>
    </row>
    <row r="363" spans="1:24">
      <c r="A363" s="7">
        <f t="shared" si="15"/>
        <v>358</v>
      </c>
      <c r="B363" s="26"/>
      <c r="C363" s="8"/>
      <c r="D363" s="7"/>
      <c r="E363" s="7"/>
      <c r="F363" s="7"/>
      <c r="G363" s="7"/>
      <c r="H363" s="7"/>
      <c r="I363" s="7"/>
      <c r="J363" s="7"/>
      <c r="K363" s="38" t="str">
        <f t="shared" si="16"/>
        <v/>
      </c>
      <c r="L363" s="37" t="str">
        <f t="shared" ca="1" si="17"/>
        <v/>
      </c>
      <c r="M363" s="7"/>
      <c r="P363" s="67"/>
      <c r="X363" s="70"/>
    </row>
    <row r="364" spans="1:24">
      <c r="A364" s="7">
        <f t="shared" si="15"/>
        <v>359</v>
      </c>
      <c r="B364" s="26"/>
      <c r="C364" s="8"/>
      <c r="D364" s="7"/>
      <c r="E364" s="7"/>
      <c r="F364" s="7"/>
      <c r="G364" s="7"/>
      <c r="H364" s="7"/>
      <c r="I364" s="7"/>
      <c r="J364" s="7"/>
      <c r="K364" s="38" t="str">
        <f t="shared" si="16"/>
        <v/>
      </c>
      <c r="L364" s="37" t="str">
        <f t="shared" ca="1" si="17"/>
        <v/>
      </c>
      <c r="M364" s="7"/>
      <c r="P364" s="67"/>
      <c r="X364" s="70"/>
    </row>
    <row r="365" spans="1:24">
      <c r="A365" s="7">
        <f t="shared" si="15"/>
        <v>360</v>
      </c>
      <c r="B365" s="26"/>
      <c r="C365" s="8"/>
      <c r="D365" s="7"/>
      <c r="E365" s="7"/>
      <c r="F365" s="7"/>
      <c r="G365" s="7"/>
      <c r="H365" s="7"/>
      <c r="I365" s="7"/>
      <c r="J365" s="7"/>
      <c r="K365" s="38" t="str">
        <f t="shared" si="16"/>
        <v/>
      </c>
      <c r="L365" s="37" t="str">
        <f t="shared" ca="1" si="17"/>
        <v/>
      </c>
      <c r="M365" s="7"/>
      <c r="P365" s="67"/>
      <c r="X365" s="70"/>
    </row>
    <row r="366" spans="1:24">
      <c r="A366" s="7">
        <f t="shared" si="15"/>
        <v>361</v>
      </c>
      <c r="B366" s="26"/>
      <c r="C366" s="8"/>
      <c r="D366" s="7"/>
      <c r="E366" s="7"/>
      <c r="F366" s="7"/>
      <c r="G366" s="7"/>
      <c r="H366" s="7"/>
      <c r="I366" s="7"/>
      <c r="J366" s="7"/>
      <c r="K366" s="38" t="str">
        <f t="shared" si="16"/>
        <v/>
      </c>
      <c r="L366" s="37" t="str">
        <f t="shared" ca="1" si="17"/>
        <v/>
      </c>
      <c r="M366" s="7"/>
      <c r="P366" s="67"/>
      <c r="X366" s="70"/>
    </row>
    <row r="367" spans="1:24">
      <c r="A367" s="7">
        <f t="shared" si="15"/>
        <v>362</v>
      </c>
      <c r="B367" s="26"/>
      <c r="C367" s="8"/>
      <c r="D367" s="7"/>
      <c r="E367" s="7"/>
      <c r="F367" s="7"/>
      <c r="G367" s="7"/>
      <c r="H367" s="7"/>
      <c r="I367" s="7"/>
      <c r="J367" s="7"/>
      <c r="K367" s="38" t="str">
        <f t="shared" si="16"/>
        <v/>
      </c>
      <c r="L367" s="37" t="str">
        <f t="shared" ca="1" si="17"/>
        <v/>
      </c>
      <c r="M367" s="7"/>
      <c r="P367" s="67"/>
      <c r="X367" s="70"/>
    </row>
    <row r="368" spans="1:24">
      <c r="A368" s="7">
        <f t="shared" si="15"/>
        <v>363</v>
      </c>
      <c r="B368" s="26"/>
      <c r="C368" s="8"/>
      <c r="D368" s="7"/>
      <c r="E368" s="7"/>
      <c r="F368" s="7"/>
      <c r="G368" s="7"/>
      <c r="H368" s="7"/>
      <c r="I368" s="7"/>
      <c r="J368" s="7"/>
      <c r="K368" s="38" t="str">
        <f t="shared" si="16"/>
        <v/>
      </c>
      <c r="L368" s="37" t="str">
        <f t="shared" ca="1" si="17"/>
        <v/>
      </c>
      <c r="M368" s="7"/>
      <c r="P368" s="67"/>
      <c r="X368" s="70"/>
    </row>
    <row r="369" spans="1:24">
      <c r="A369" s="7">
        <f t="shared" si="15"/>
        <v>364</v>
      </c>
      <c r="B369" s="26"/>
      <c r="C369" s="8"/>
      <c r="D369" s="7"/>
      <c r="E369" s="7"/>
      <c r="F369" s="7"/>
      <c r="G369" s="7"/>
      <c r="H369" s="7"/>
      <c r="I369" s="7"/>
      <c r="J369" s="7"/>
      <c r="K369" s="38" t="str">
        <f t="shared" si="16"/>
        <v/>
      </c>
      <c r="L369" s="37" t="str">
        <f t="shared" ca="1" si="17"/>
        <v/>
      </c>
      <c r="M369" s="7"/>
      <c r="P369" s="67"/>
      <c r="X369" s="70"/>
    </row>
    <row r="370" spans="1:24">
      <c r="A370" s="7">
        <f t="shared" si="15"/>
        <v>365</v>
      </c>
      <c r="B370" s="26"/>
      <c r="C370" s="8"/>
      <c r="D370" s="7"/>
      <c r="E370" s="7"/>
      <c r="F370" s="7"/>
      <c r="G370" s="7"/>
      <c r="H370" s="7"/>
      <c r="I370" s="7"/>
      <c r="J370" s="7"/>
      <c r="K370" s="38" t="str">
        <f t="shared" si="16"/>
        <v/>
      </c>
      <c r="L370" s="37" t="str">
        <f t="shared" ca="1" si="17"/>
        <v/>
      </c>
      <c r="M370" s="7"/>
      <c r="P370" s="67"/>
      <c r="X370" s="70"/>
    </row>
    <row r="371" spans="1:24">
      <c r="A371" s="7">
        <f t="shared" si="15"/>
        <v>366</v>
      </c>
      <c r="B371" s="26"/>
      <c r="C371" s="8"/>
      <c r="D371" s="7"/>
      <c r="E371" s="7"/>
      <c r="F371" s="7"/>
      <c r="G371" s="7"/>
      <c r="H371" s="7"/>
      <c r="I371" s="7"/>
      <c r="J371" s="7"/>
      <c r="K371" s="38" t="str">
        <f t="shared" si="16"/>
        <v/>
      </c>
      <c r="L371" s="37" t="str">
        <f t="shared" ca="1" si="17"/>
        <v/>
      </c>
      <c r="M371" s="7"/>
      <c r="P371" s="67"/>
      <c r="X371" s="70"/>
    </row>
    <row r="372" spans="1:24">
      <c r="A372" s="7">
        <f t="shared" si="15"/>
        <v>367</v>
      </c>
      <c r="B372" s="26"/>
      <c r="C372" s="8"/>
      <c r="D372" s="7"/>
      <c r="E372" s="7"/>
      <c r="F372" s="7"/>
      <c r="G372" s="7"/>
      <c r="H372" s="7"/>
      <c r="I372" s="7"/>
      <c r="J372" s="7"/>
      <c r="K372" s="38" t="str">
        <f t="shared" si="16"/>
        <v/>
      </c>
      <c r="L372" s="37" t="str">
        <f t="shared" ca="1" si="17"/>
        <v/>
      </c>
      <c r="M372" s="7"/>
      <c r="P372" s="67"/>
      <c r="X372" s="70"/>
    </row>
    <row r="373" spans="1:24">
      <c r="A373" s="7">
        <f t="shared" si="15"/>
        <v>368</v>
      </c>
      <c r="B373" s="26"/>
      <c r="C373" s="8"/>
      <c r="D373" s="7"/>
      <c r="E373" s="7"/>
      <c r="F373" s="7"/>
      <c r="G373" s="7"/>
      <c r="H373" s="7"/>
      <c r="I373" s="7"/>
      <c r="J373" s="7"/>
      <c r="K373" s="38" t="str">
        <f t="shared" si="16"/>
        <v/>
      </c>
      <c r="L373" s="37" t="str">
        <f t="shared" ca="1" si="17"/>
        <v/>
      </c>
      <c r="M373" s="7"/>
      <c r="P373" s="67"/>
      <c r="X373" s="70"/>
    </row>
    <row r="374" spans="1:24">
      <c r="A374" s="7">
        <f t="shared" si="15"/>
        <v>369</v>
      </c>
      <c r="B374" s="26"/>
      <c r="C374" s="8"/>
      <c r="D374" s="7"/>
      <c r="E374" s="7"/>
      <c r="F374" s="7"/>
      <c r="G374" s="7"/>
      <c r="H374" s="7"/>
      <c r="I374" s="7"/>
      <c r="J374" s="7"/>
      <c r="K374" s="38" t="str">
        <f t="shared" si="16"/>
        <v/>
      </c>
      <c r="L374" s="37" t="str">
        <f t="shared" ca="1" si="17"/>
        <v/>
      </c>
      <c r="M374" s="7"/>
      <c r="P374" s="67"/>
      <c r="X374" s="70"/>
    </row>
    <row r="375" spans="1:24">
      <c r="A375" s="7">
        <f t="shared" si="15"/>
        <v>370</v>
      </c>
      <c r="B375" s="26"/>
      <c r="C375" s="8"/>
      <c r="D375" s="7"/>
      <c r="E375" s="7"/>
      <c r="F375" s="7"/>
      <c r="G375" s="7"/>
      <c r="H375" s="7"/>
      <c r="I375" s="7"/>
      <c r="J375" s="7"/>
      <c r="K375" s="38" t="str">
        <f t="shared" si="16"/>
        <v/>
      </c>
      <c r="L375" s="37" t="str">
        <f t="shared" ca="1" si="17"/>
        <v/>
      </c>
      <c r="M375" s="7"/>
      <c r="P375" s="67"/>
      <c r="X375" s="70"/>
    </row>
    <row r="376" spans="1:24">
      <c r="A376" s="7">
        <f t="shared" si="15"/>
        <v>371</v>
      </c>
      <c r="B376" s="26"/>
      <c r="C376" s="8"/>
      <c r="D376" s="7"/>
      <c r="E376" s="7"/>
      <c r="F376" s="7"/>
      <c r="G376" s="7"/>
      <c r="H376" s="7"/>
      <c r="I376" s="7"/>
      <c r="J376" s="7"/>
      <c r="K376" s="38" t="str">
        <f t="shared" si="16"/>
        <v/>
      </c>
      <c r="L376" s="37" t="str">
        <f t="shared" ca="1" si="17"/>
        <v/>
      </c>
      <c r="M376" s="7"/>
      <c r="P376" s="67"/>
      <c r="X376" s="70"/>
    </row>
    <row r="377" spans="1:24">
      <c r="A377" s="7">
        <f t="shared" si="15"/>
        <v>372</v>
      </c>
      <c r="B377" s="26"/>
      <c r="C377" s="8"/>
      <c r="D377" s="7"/>
      <c r="E377" s="7"/>
      <c r="F377" s="7"/>
      <c r="G377" s="7"/>
      <c r="H377" s="7"/>
      <c r="I377" s="7"/>
      <c r="J377" s="7"/>
      <c r="K377" s="38" t="str">
        <f t="shared" si="16"/>
        <v/>
      </c>
      <c r="L377" s="37" t="str">
        <f t="shared" ca="1" si="17"/>
        <v/>
      </c>
      <c r="M377" s="7"/>
      <c r="P377" s="67"/>
      <c r="X377" s="70"/>
    </row>
    <row r="378" spans="1:24">
      <c r="A378" s="7">
        <f t="shared" si="15"/>
        <v>373</v>
      </c>
      <c r="B378" s="26"/>
      <c r="C378" s="8"/>
      <c r="D378" s="7"/>
      <c r="E378" s="7"/>
      <c r="F378" s="7"/>
      <c r="G378" s="7"/>
      <c r="H378" s="7"/>
      <c r="I378" s="7"/>
      <c r="J378" s="7"/>
      <c r="K378" s="38" t="str">
        <f t="shared" si="16"/>
        <v/>
      </c>
      <c r="L378" s="37" t="str">
        <f t="shared" ca="1" si="17"/>
        <v/>
      </c>
      <c r="M378" s="7"/>
      <c r="P378" s="67"/>
      <c r="X378" s="70"/>
    </row>
    <row r="379" spans="1:24">
      <c r="A379" s="7">
        <f t="shared" si="15"/>
        <v>374</v>
      </c>
      <c r="B379" s="26"/>
      <c r="C379" s="8"/>
      <c r="D379" s="7"/>
      <c r="E379" s="7"/>
      <c r="F379" s="7"/>
      <c r="G379" s="7"/>
      <c r="H379" s="7"/>
      <c r="I379" s="7"/>
      <c r="J379" s="7"/>
      <c r="K379" s="38" t="str">
        <f t="shared" si="16"/>
        <v/>
      </c>
      <c r="L379" s="37" t="str">
        <f t="shared" ca="1" si="17"/>
        <v/>
      </c>
      <c r="M379" s="7"/>
      <c r="P379" s="67"/>
      <c r="X379" s="70"/>
    </row>
    <row r="380" spans="1:24">
      <c r="A380" s="7">
        <f t="shared" si="15"/>
        <v>375</v>
      </c>
      <c r="B380" s="26"/>
      <c r="C380" s="8"/>
      <c r="D380" s="7"/>
      <c r="E380" s="7"/>
      <c r="F380" s="7"/>
      <c r="G380" s="7"/>
      <c r="H380" s="7"/>
      <c r="I380" s="7"/>
      <c r="J380" s="7"/>
      <c r="K380" s="38" t="str">
        <f t="shared" si="16"/>
        <v/>
      </c>
      <c r="L380" s="37" t="str">
        <f t="shared" ca="1" si="17"/>
        <v/>
      </c>
      <c r="M380" s="7"/>
      <c r="P380" s="67"/>
      <c r="X380" s="70"/>
    </row>
    <row r="381" spans="1:24">
      <c r="A381" s="7">
        <f t="shared" si="15"/>
        <v>376</v>
      </c>
      <c r="B381" s="26"/>
      <c r="C381" s="8"/>
      <c r="D381" s="7"/>
      <c r="E381" s="7"/>
      <c r="F381" s="7"/>
      <c r="G381" s="7"/>
      <c r="H381" s="7"/>
      <c r="I381" s="7"/>
      <c r="J381" s="7"/>
      <c r="K381" s="38" t="str">
        <f t="shared" si="16"/>
        <v/>
      </c>
      <c r="L381" s="37" t="str">
        <f t="shared" ca="1" si="17"/>
        <v/>
      </c>
      <c r="M381" s="7"/>
      <c r="P381" s="67"/>
      <c r="X381" s="70"/>
    </row>
    <row r="382" spans="1:24">
      <c r="A382" s="7">
        <f t="shared" si="15"/>
        <v>377</v>
      </c>
      <c r="B382" s="26"/>
      <c r="C382" s="8"/>
      <c r="D382" s="7"/>
      <c r="E382" s="7"/>
      <c r="F382" s="7"/>
      <c r="G382" s="7"/>
      <c r="H382" s="7"/>
      <c r="I382" s="7"/>
      <c r="J382" s="7"/>
      <c r="K382" s="38" t="str">
        <f t="shared" si="16"/>
        <v/>
      </c>
      <c r="L382" s="37" t="str">
        <f t="shared" ca="1" si="17"/>
        <v/>
      </c>
      <c r="M382" s="7"/>
      <c r="P382" s="67"/>
      <c r="X382" s="70"/>
    </row>
    <row r="383" spans="1:24">
      <c r="A383" s="7">
        <f t="shared" si="15"/>
        <v>378</v>
      </c>
      <c r="B383" s="26"/>
      <c r="C383" s="8"/>
      <c r="D383" s="7"/>
      <c r="E383" s="7"/>
      <c r="F383" s="7"/>
      <c r="G383" s="7"/>
      <c r="H383" s="7"/>
      <c r="I383" s="7"/>
      <c r="J383" s="7"/>
      <c r="K383" s="38" t="str">
        <f t="shared" si="16"/>
        <v/>
      </c>
      <c r="L383" s="37" t="str">
        <f t="shared" ca="1" si="17"/>
        <v/>
      </c>
      <c r="M383" s="7"/>
      <c r="P383" s="67"/>
      <c r="X383" s="70"/>
    </row>
    <row r="384" spans="1:24">
      <c r="A384" s="7">
        <f t="shared" si="15"/>
        <v>379</v>
      </c>
      <c r="B384" s="26"/>
      <c r="C384" s="8"/>
      <c r="D384" s="7"/>
      <c r="E384" s="7"/>
      <c r="F384" s="7"/>
      <c r="G384" s="7"/>
      <c r="H384" s="7"/>
      <c r="I384" s="7"/>
      <c r="J384" s="7"/>
      <c r="K384" s="38" t="str">
        <f t="shared" si="16"/>
        <v/>
      </c>
      <c r="L384" s="37" t="str">
        <f t="shared" ca="1" si="17"/>
        <v/>
      </c>
      <c r="M384" s="7"/>
      <c r="P384" s="67"/>
      <c r="X384" s="70"/>
    </row>
    <row r="385" spans="1:24">
      <c r="A385" s="7">
        <f t="shared" si="15"/>
        <v>380</v>
      </c>
      <c r="B385" s="26"/>
      <c r="C385" s="8"/>
      <c r="D385" s="7"/>
      <c r="E385" s="7"/>
      <c r="F385" s="7"/>
      <c r="G385" s="7"/>
      <c r="H385" s="7"/>
      <c r="I385" s="7"/>
      <c r="J385" s="7"/>
      <c r="K385" s="38" t="str">
        <f t="shared" si="16"/>
        <v/>
      </c>
      <c r="L385" s="37" t="str">
        <f t="shared" ca="1" si="17"/>
        <v/>
      </c>
      <c r="M385" s="7"/>
      <c r="P385" s="67"/>
      <c r="X385" s="70"/>
    </row>
    <row r="386" spans="1:24">
      <c r="A386" s="7">
        <f t="shared" si="15"/>
        <v>381</v>
      </c>
      <c r="B386" s="26"/>
      <c r="C386" s="8"/>
      <c r="D386" s="7"/>
      <c r="E386" s="7"/>
      <c r="F386" s="7"/>
      <c r="G386" s="7"/>
      <c r="H386" s="7"/>
      <c r="I386" s="7"/>
      <c r="J386" s="7"/>
      <c r="K386" s="38" t="str">
        <f t="shared" si="16"/>
        <v/>
      </c>
      <c r="L386" s="37" t="str">
        <f t="shared" ca="1" si="17"/>
        <v/>
      </c>
      <c r="M386" s="7"/>
      <c r="P386" s="67"/>
      <c r="X386" s="70"/>
    </row>
    <row r="387" spans="1:24">
      <c r="A387" s="7">
        <f t="shared" si="15"/>
        <v>382</v>
      </c>
      <c r="B387" s="26"/>
      <c r="C387" s="8"/>
      <c r="D387" s="7"/>
      <c r="E387" s="7"/>
      <c r="F387" s="7"/>
      <c r="G387" s="7"/>
      <c r="H387" s="7"/>
      <c r="I387" s="7"/>
      <c r="J387" s="7"/>
      <c r="K387" s="38" t="str">
        <f t="shared" si="16"/>
        <v/>
      </c>
      <c r="L387" s="37" t="str">
        <f t="shared" ca="1" si="17"/>
        <v/>
      </c>
      <c r="M387" s="7"/>
      <c r="P387" s="67"/>
      <c r="X387" s="70"/>
    </row>
    <row r="388" spans="1:24">
      <c r="A388" s="7">
        <f t="shared" si="15"/>
        <v>383</v>
      </c>
      <c r="B388" s="26"/>
      <c r="C388" s="8"/>
      <c r="D388" s="7"/>
      <c r="E388" s="7"/>
      <c r="F388" s="7"/>
      <c r="G388" s="7"/>
      <c r="H388" s="7"/>
      <c r="I388" s="7"/>
      <c r="J388" s="7"/>
      <c r="K388" s="38" t="str">
        <f t="shared" si="16"/>
        <v/>
      </c>
      <c r="L388" s="37" t="str">
        <f t="shared" ca="1" si="17"/>
        <v/>
      </c>
      <c r="M388" s="7"/>
      <c r="P388" s="67"/>
      <c r="X388" s="70"/>
    </row>
    <row r="389" spans="1:24">
      <c r="A389" s="7">
        <f t="shared" si="15"/>
        <v>384</v>
      </c>
      <c r="B389" s="26"/>
      <c r="C389" s="8"/>
      <c r="D389" s="7"/>
      <c r="E389" s="7"/>
      <c r="F389" s="7"/>
      <c r="G389" s="7"/>
      <c r="H389" s="7"/>
      <c r="I389" s="7"/>
      <c r="J389" s="7"/>
      <c r="K389" s="38" t="str">
        <f t="shared" si="16"/>
        <v/>
      </c>
      <c r="L389" s="37" t="str">
        <f t="shared" ca="1" si="17"/>
        <v/>
      </c>
      <c r="M389" s="7"/>
      <c r="P389" s="67"/>
      <c r="X389" s="70"/>
    </row>
    <row r="390" spans="1:24">
      <c r="A390" s="7">
        <f t="shared" si="15"/>
        <v>385</v>
      </c>
      <c r="B390" s="26"/>
      <c r="C390" s="8"/>
      <c r="D390" s="7"/>
      <c r="E390" s="7"/>
      <c r="F390" s="7"/>
      <c r="G390" s="7"/>
      <c r="H390" s="7"/>
      <c r="I390" s="7"/>
      <c r="J390" s="7"/>
      <c r="K390" s="38" t="str">
        <f t="shared" si="16"/>
        <v/>
      </c>
      <c r="L390" s="37" t="str">
        <f t="shared" ca="1" si="17"/>
        <v/>
      </c>
      <c r="M390" s="7"/>
      <c r="P390" s="67"/>
      <c r="X390" s="70"/>
    </row>
    <row r="391" spans="1:24">
      <c r="A391" s="7">
        <f t="shared" ref="A391:A454" si="18">ROW(A386)</f>
        <v>386</v>
      </c>
      <c r="B391" s="26"/>
      <c r="C391" s="8"/>
      <c r="D391" s="7"/>
      <c r="E391" s="7"/>
      <c r="F391" s="7"/>
      <c r="G391" s="7"/>
      <c r="H391" s="7"/>
      <c r="I391" s="7"/>
      <c r="J391" s="7"/>
      <c r="K391" s="38" t="str">
        <f t="shared" ref="K391:K454" si="19">IF(C391&gt;0,C391+J391-1,"")</f>
        <v/>
      </c>
      <c r="L391" s="37" t="str">
        <f t="shared" ref="L391:L454" ca="1" si="20">IF(K391="","",IF(TODAY()&gt;K391,"YES","No"))</f>
        <v/>
      </c>
      <c r="M391" s="7"/>
      <c r="P391" s="67"/>
      <c r="X391" s="70"/>
    </row>
    <row r="392" spans="1:24">
      <c r="A392" s="7">
        <f t="shared" si="18"/>
        <v>387</v>
      </c>
      <c r="B392" s="26"/>
      <c r="C392" s="8"/>
      <c r="D392" s="7"/>
      <c r="E392" s="7"/>
      <c r="F392" s="7"/>
      <c r="G392" s="7"/>
      <c r="H392" s="7"/>
      <c r="I392" s="7"/>
      <c r="J392" s="7"/>
      <c r="K392" s="38" t="str">
        <f t="shared" si="19"/>
        <v/>
      </c>
      <c r="L392" s="37" t="str">
        <f t="shared" ca="1" si="20"/>
        <v/>
      </c>
      <c r="M392" s="7"/>
      <c r="P392" s="67"/>
      <c r="X392" s="70"/>
    </row>
    <row r="393" spans="1:24">
      <c r="A393" s="7">
        <f t="shared" si="18"/>
        <v>388</v>
      </c>
      <c r="B393" s="26"/>
      <c r="C393" s="8"/>
      <c r="D393" s="7"/>
      <c r="E393" s="7"/>
      <c r="F393" s="7"/>
      <c r="G393" s="7"/>
      <c r="H393" s="7"/>
      <c r="I393" s="7"/>
      <c r="J393" s="7"/>
      <c r="K393" s="38" t="str">
        <f t="shared" si="19"/>
        <v/>
      </c>
      <c r="L393" s="37" t="str">
        <f t="shared" ca="1" si="20"/>
        <v/>
      </c>
      <c r="M393" s="7"/>
      <c r="P393" s="67"/>
      <c r="X393" s="70"/>
    </row>
    <row r="394" spans="1:24">
      <c r="A394" s="7">
        <f t="shared" si="18"/>
        <v>389</v>
      </c>
      <c r="B394" s="26"/>
      <c r="C394" s="8"/>
      <c r="D394" s="7"/>
      <c r="E394" s="7"/>
      <c r="F394" s="7"/>
      <c r="G394" s="7"/>
      <c r="H394" s="7"/>
      <c r="I394" s="7"/>
      <c r="J394" s="7"/>
      <c r="K394" s="38" t="str">
        <f t="shared" si="19"/>
        <v/>
      </c>
      <c r="L394" s="37" t="str">
        <f t="shared" ca="1" si="20"/>
        <v/>
      </c>
      <c r="M394" s="7"/>
      <c r="P394" s="67"/>
      <c r="X394" s="70"/>
    </row>
    <row r="395" spans="1:24">
      <c r="A395" s="7">
        <f t="shared" si="18"/>
        <v>390</v>
      </c>
      <c r="B395" s="26"/>
      <c r="C395" s="8"/>
      <c r="D395" s="7"/>
      <c r="E395" s="7"/>
      <c r="F395" s="7"/>
      <c r="G395" s="7"/>
      <c r="H395" s="7"/>
      <c r="I395" s="7"/>
      <c r="J395" s="7"/>
      <c r="K395" s="38" t="str">
        <f t="shared" si="19"/>
        <v/>
      </c>
      <c r="L395" s="37" t="str">
        <f t="shared" ca="1" si="20"/>
        <v/>
      </c>
      <c r="M395" s="7"/>
      <c r="P395" s="67"/>
      <c r="X395" s="70"/>
    </row>
    <row r="396" spans="1:24">
      <c r="A396" s="7">
        <f t="shared" si="18"/>
        <v>391</v>
      </c>
      <c r="B396" s="26"/>
      <c r="C396" s="8"/>
      <c r="D396" s="7"/>
      <c r="E396" s="7"/>
      <c r="F396" s="7"/>
      <c r="G396" s="7"/>
      <c r="H396" s="7"/>
      <c r="I396" s="7"/>
      <c r="J396" s="7"/>
      <c r="K396" s="38" t="str">
        <f t="shared" si="19"/>
        <v/>
      </c>
      <c r="L396" s="37" t="str">
        <f t="shared" ca="1" si="20"/>
        <v/>
      </c>
      <c r="M396" s="7"/>
      <c r="P396" s="67"/>
      <c r="X396" s="70"/>
    </row>
    <row r="397" spans="1:24">
      <c r="A397" s="7">
        <f t="shared" si="18"/>
        <v>392</v>
      </c>
      <c r="B397" s="26"/>
      <c r="C397" s="8"/>
      <c r="D397" s="7"/>
      <c r="E397" s="7"/>
      <c r="F397" s="7"/>
      <c r="G397" s="7"/>
      <c r="H397" s="7"/>
      <c r="I397" s="7"/>
      <c r="J397" s="7"/>
      <c r="K397" s="38" t="str">
        <f t="shared" si="19"/>
        <v/>
      </c>
      <c r="L397" s="37" t="str">
        <f t="shared" ca="1" si="20"/>
        <v/>
      </c>
      <c r="M397" s="7"/>
      <c r="P397" s="67"/>
      <c r="X397" s="70"/>
    </row>
    <row r="398" spans="1:24">
      <c r="A398" s="7">
        <f t="shared" si="18"/>
        <v>393</v>
      </c>
      <c r="B398" s="26"/>
      <c r="C398" s="8"/>
      <c r="D398" s="7"/>
      <c r="E398" s="7"/>
      <c r="F398" s="7"/>
      <c r="G398" s="7"/>
      <c r="H398" s="7"/>
      <c r="I398" s="7"/>
      <c r="J398" s="7"/>
      <c r="K398" s="38" t="str">
        <f t="shared" si="19"/>
        <v/>
      </c>
      <c r="L398" s="37" t="str">
        <f t="shared" ca="1" si="20"/>
        <v/>
      </c>
      <c r="M398" s="7"/>
      <c r="P398" s="67"/>
      <c r="X398" s="70"/>
    </row>
    <row r="399" spans="1:24">
      <c r="A399" s="7">
        <f t="shared" si="18"/>
        <v>394</v>
      </c>
      <c r="B399" s="26"/>
      <c r="C399" s="8"/>
      <c r="D399" s="7"/>
      <c r="E399" s="7"/>
      <c r="F399" s="7"/>
      <c r="G399" s="7"/>
      <c r="H399" s="7"/>
      <c r="I399" s="7"/>
      <c r="J399" s="7"/>
      <c r="K399" s="38" t="str">
        <f t="shared" si="19"/>
        <v/>
      </c>
      <c r="L399" s="37" t="str">
        <f t="shared" ca="1" si="20"/>
        <v/>
      </c>
      <c r="M399" s="7"/>
      <c r="P399" s="67"/>
      <c r="X399" s="70"/>
    </row>
    <row r="400" spans="1:24">
      <c r="A400" s="7">
        <f t="shared" si="18"/>
        <v>395</v>
      </c>
      <c r="B400" s="26"/>
      <c r="C400" s="8"/>
      <c r="D400" s="7"/>
      <c r="E400" s="7"/>
      <c r="F400" s="7"/>
      <c r="G400" s="7"/>
      <c r="H400" s="7"/>
      <c r="I400" s="7"/>
      <c r="J400" s="7"/>
      <c r="K400" s="38" t="str">
        <f t="shared" si="19"/>
        <v/>
      </c>
      <c r="L400" s="37" t="str">
        <f t="shared" ca="1" si="20"/>
        <v/>
      </c>
      <c r="M400" s="7"/>
      <c r="P400" s="67"/>
      <c r="X400" s="70"/>
    </row>
    <row r="401" spans="1:24">
      <c r="A401" s="7">
        <f t="shared" si="18"/>
        <v>396</v>
      </c>
      <c r="B401" s="26"/>
      <c r="C401" s="8"/>
      <c r="D401" s="7"/>
      <c r="E401" s="7"/>
      <c r="F401" s="7"/>
      <c r="G401" s="7"/>
      <c r="H401" s="7"/>
      <c r="I401" s="7"/>
      <c r="J401" s="7"/>
      <c r="K401" s="38" t="str">
        <f t="shared" si="19"/>
        <v/>
      </c>
      <c r="L401" s="37" t="str">
        <f t="shared" ca="1" si="20"/>
        <v/>
      </c>
      <c r="M401" s="7"/>
      <c r="P401" s="67"/>
      <c r="X401" s="70"/>
    </row>
    <row r="402" spans="1:24">
      <c r="A402" s="7">
        <f t="shared" si="18"/>
        <v>397</v>
      </c>
      <c r="B402" s="26"/>
      <c r="C402" s="8"/>
      <c r="D402" s="7"/>
      <c r="E402" s="7"/>
      <c r="F402" s="7"/>
      <c r="G402" s="7"/>
      <c r="H402" s="7"/>
      <c r="I402" s="7"/>
      <c r="J402" s="7"/>
      <c r="K402" s="38" t="str">
        <f t="shared" si="19"/>
        <v/>
      </c>
      <c r="L402" s="37" t="str">
        <f t="shared" ca="1" si="20"/>
        <v/>
      </c>
      <c r="M402" s="7"/>
      <c r="P402" s="67"/>
      <c r="X402" s="70"/>
    </row>
    <row r="403" spans="1:24">
      <c r="A403" s="7">
        <f t="shared" si="18"/>
        <v>398</v>
      </c>
      <c r="B403" s="26"/>
      <c r="C403" s="8"/>
      <c r="D403" s="7"/>
      <c r="E403" s="7"/>
      <c r="F403" s="7"/>
      <c r="G403" s="7"/>
      <c r="H403" s="7"/>
      <c r="I403" s="7"/>
      <c r="J403" s="7"/>
      <c r="K403" s="38" t="str">
        <f t="shared" si="19"/>
        <v/>
      </c>
      <c r="L403" s="37" t="str">
        <f t="shared" ca="1" si="20"/>
        <v/>
      </c>
      <c r="M403" s="7"/>
      <c r="P403" s="67"/>
      <c r="X403" s="70"/>
    </row>
    <row r="404" spans="1:24">
      <c r="A404" s="7">
        <f t="shared" si="18"/>
        <v>399</v>
      </c>
      <c r="B404" s="26"/>
      <c r="C404" s="8"/>
      <c r="D404" s="7"/>
      <c r="E404" s="7"/>
      <c r="F404" s="7"/>
      <c r="G404" s="7"/>
      <c r="H404" s="7"/>
      <c r="I404" s="7"/>
      <c r="J404" s="7"/>
      <c r="K404" s="38" t="str">
        <f t="shared" si="19"/>
        <v/>
      </c>
      <c r="L404" s="37" t="str">
        <f t="shared" ca="1" si="20"/>
        <v/>
      </c>
      <c r="M404" s="7"/>
      <c r="P404" s="67"/>
      <c r="X404" s="70"/>
    </row>
    <row r="405" spans="1:24">
      <c r="A405" s="7">
        <f t="shared" si="18"/>
        <v>400</v>
      </c>
      <c r="B405" s="26"/>
      <c r="C405" s="8"/>
      <c r="D405" s="7"/>
      <c r="E405" s="7"/>
      <c r="F405" s="7"/>
      <c r="G405" s="7"/>
      <c r="H405" s="7"/>
      <c r="I405" s="7"/>
      <c r="J405" s="7"/>
      <c r="K405" s="38" t="str">
        <f t="shared" si="19"/>
        <v/>
      </c>
      <c r="L405" s="37" t="str">
        <f t="shared" ca="1" si="20"/>
        <v/>
      </c>
      <c r="M405" s="7"/>
      <c r="P405" s="67"/>
      <c r="X405" s="70"/>
    </row>
    <row r="406" spans="1:24">
      <c r="A406" s="7">
        <f t="shared" si="18"/>
        <v>401</v>
      </c>
      <c r="B406" s="26"/>
      <c r="C406" s="8"/>
      <c r="D406" s="7"/>
      <c r="E406" s="7"/>
      <c r="F406" s="7"/>
      <c r="G406" s="7"/>
      <c r="H406" s="7"/>
      <c r="I406" s="7"/>
      <c r="J406" s="7"/>
      <c r="K406" s="38" t="str">
        <f t="shared" si="19"/>
        <v/>
      </c>
      <c r="L406" s="37" t="str">
        <f t="shared" ca="1" si="20"/>
        <v/>
      </c>
      <c r="M406" s="7"/>
      <c r="P406" s="67"/>
      <c r="X406" s="70"/>
    </row>
    <row r="407" spans="1:24">
      <c r="A407" s="7">
        <f t="shared" si="18"/>
        <v>402</v>
      </c>
      <c r="B407" s="26"/>
      <c r="C407" s="8"/>
      <c r="D407" s="7"/>
      <c r="E407" s="7"/>
      <c r="F407" s="7"/>
      <c r="G407" s="7"/>
      <c r="H407" s="7"/>
      <c r="I407" s="7"/>
      <c r="J407" s="7"/>
      <c r="K407" s="38" t="str">
        <f t="shared" si="19"/>
        <v/>
      </c>
      <c r="L407" s="37" t="str">
        <f t="shared" ca="1" si="20"/>
        <v/>
      </c>
      <c r="M407" s="7"/>
      <c r="P407" s="67"/>
      <c r="X407" s="70"/>
    </row>
    <row r="408" spans="1:24">
      <c r="A408" s="7">
        <f t="shared" si="18"/>
        <v>403</v>
      </c>
      <c r="B408" s="26"/>
      <c r="C408" s="8"/>
      <c r="D408" s="7"/>
      <c r="E408" s="7"/>
      <c r="F408" s="7"/>
      <c r="G408" s="7"/>
      <c r="H408" s="7"/>
      <c r="I408" s="7"/>
      <c r="J408" s="7"/>
      <c r="K408" s="38" t="str">
        <f t="shared" si="19"/>
        <v/>
      </c>
      <c r="L408" s="37" t="str">
        <f t="shared" ca="1" si="20"/>
        <v/>
      </c>
      <c r="M408" s="7"/>
      <c r="P408" s="67"/>
      <c r="X408" s="70"/>
    </row>
    <row r="409" spans="1:24">
      <c r="A409" s="7">
        <f t="shared" si="18"/>
        <v>404</v>
      </c>
      <c r="B409" s="26"/>
      <c r="C409" s="8"/>
      <c r="D409" s="7"/>
      <c r="E409" s="7"/>
      <c r="F409" s="7"/>
      <c r="G409" s="7"/>
      <c r="H409" s="7"/>
      <c r="I409" s="7"/>
      <c r="J409" s="7"/>
      <c r="K409" s="38" t="str">
        <f t="shared" si="19"/>
        <v/>
      </c>
      <c r="L409" s="37" t="str">
        <f t="shared" ca="1" si="20"/>
        <v/>
      </c>
      <c r="M409" s="7"/>
      <c r="P409" s="67"/>
      <c r="X409" s="70"/>
    </row>
    <row r="410" spans="1:24">
      <c r="A410" s="7">
        <f t="shared" si="18"/>
        <v>405</v>
      </c>
      <c r="B410" s="26"/>
      <c r="C410" s="8"/>
      <c r="D410" s="7"/>
      <c r="E410" s="7"/>
      <c r="F410" s="7"/>
      <c r="G410" s="7"/>
      <c r="H410" s="7"/>
      <c r="I410" s="7"/>
      <c r="J410" s="7"/>
      <c r="K410" s="38" t="str">
        <f t="shared" si="19"/>
        <v/>
      </c>
      <c r="L410" s="37" t="str">
        <f t="shared" ca="1" si="20"/>
        <v/>
      </c>
      <c r="M410" s="7"/>
      <c r="P410" s="67"/>
      <c r="X410" s="70"/>
    </row>
    <row r="411" spans="1:24">
      <c r="A411" s="7">
        <f t="shared" si="18"/>
        <v>406</v>
      </c>
      <c r="B411" s="26"/>
      <c r="C411" s="8"/>
      <c r="D411" s="7"/>
      <c r="E411" s="7"/>
      <c r="F411" s="7"/>
      <c r="G411" s="7"/>
      <c r="H411" s="7"/>
      <c r="I411" s="7"/>
      <c r="J411" s="7"/>
      <c r="K411" s="38" t="str">
        <f t="shared" si="19"/>
        <v/>
      </c>
      <c r="L411" s="37" t="str">
        <f t="shared" ca="1" si="20"/>
        <v/>
      </c>
      <c r="M411" s="7"/>
      <c r="P411" s="67"/>
      <c r="X411" s="70"/>
    </row>
    <row r="412" spans="1:24">
      <c r="A412" s="7">
        <f t="shared" si="18"/>
        <v>407</v>
      </c>
      <c r="B412" s="26"/>
      <c r="C412" s="8"/>
      <c r="D412" s="7"/>
      <c r="E412" s="7"/>
      <c r="F412" s="7"/>
      <c r="G412" s="7"/>
      <c r="H412" s="7"/>
      <c r="I412" s="7"/>
      <c r="J412" s="7"/>
      <c r="K412" s="38" t="str">
        <f t="shared" si="19"/>
        <v/>
      </c>
      <c r="L412" s="37" t="str">
        <f t="shared" ca="1" si="20"/>
        <v/>
      </c>
      <c r="M412" s="7"/>
      <c r="P412" s="67"/>
      <c r="X412" s="70"/>
    </row>
    <row r="413" spans="1:24">
      <c r="A413" s="7">
        <f t="shared" si="18"/>
        <v>408</v>
      </c>
      <c r="B413" s="26"/>
      <c r="C413" s="8"/>
      <c r="D413" s="7"/>
      <c r="E413" s="7"/>
      <c r="F413" s="7"/>
      <c r="G413" s="7"/>
      <c r="H413" s="7"/>
      <c r="I413" s="7"/>
      <c r="J413" s="7"/>
      <c r="K413" s="38" t="str">
        <f t="shared" si="19"/>
        <v/>
      </c>
      <c r="L413" s="37" t="str">
        <f t="shared" ca="1" si="20"/>
        <v/>
      </c>
      <c r="M413" s="7"/>
      <c r="P413" s="67"/>
      <c r="X413" s="70"/>
    </row>
    <row r="414" spans="1:24">
      <c r="A414" s="7">
        <f t="shared" si="18"/>
        <v>409</v>
      </c>
      <c r="B414" s="26"/>
      <c r="C414" s="8"/>
      <c r="D414" s="7"/>
      <c r="E414" s="7"/>
      <c r="F414" s="7"/>
      <c r="G414" s="7"/>
      <c r="H414" s="7"/>
      <c r="I414" s="7"/>
      <c r="J414" s="7"/>
      <c r="K414" s="38" t="str">
        <f t="shared" si="19"/>
        <v/>
      </c>
      <c r="L414" s="37" t="str">
        <f t="shared" ca="1" si="20"/>
        <v/>
      </c>
      <c r="M414" s="7"/>
      <c r="P414" s="67"/>
      <c r="X414" s="70"/>
    </row>
    <row r="415" spans="1:24">
      <c r="A415" s="7">
        <f t="shared" si="18"/>
        <v>410</v>
      </c>
      <c r="B415" s="26"/>
      <c r="C415" s="8"/>
      <c r="D415" s="7"/>
      <c r="E415" s="7"/>
      <c r="F415" s="7"/>
      <c r="G415" s="7"/>
      <c r="H415" s="7"/>
      <c r="I415" s="7"/>
      <c r="J415" s="7"/>
      <c r="K415" s="38" t="str">
        <f t="shared" si="19"/>
        <v/>
      </c>
      <c r="L415" s="37" t="str">
        <f t="shared" ca="1" si="20"/>
        <v/>
      </c>
      <c r="M415" s="7"/>
      <c r="P415" s="67"/>
      <c r="X415" s="70"/>
    </row>
    <row r="416" spans="1:24">
      <c r="A416" s="7">
        <f t="shared" si="18"/>
        <v>411</v>
      </c>
      <c r="B416" s="26"/>
      <c r="C416" s="8"/>
      <c r="D416" s="7"/>
      <c r="E416" s="7"/>
      <c r="F416" s="7"/>
      <c r="G416" s="7"/>
      <c r="H416" s="7"/>
      <c r="I416" s="7"/>
      <c r="J416" s="7"/>
      <c r="K416" s="38" t="str">
        <f t="shared" si="19"/>
        <v/>
      </c>
      <c r="L416" s="37" t="str">
        <f t="shared" ca="1" si="20"/>
        <v/>
      </c>
      <c r="M416" s="7"/>
      <c r="P416" s="67"/>
      <c r="X416" s="70"/>
    </row>
    <row r="417" spans="1:24">
      <c r="A417" s="7">
        <f t="shared" si="18"/>
        <v>412</v>
      </c>
      <c r="B417" s="26"/>
      <c r="C417" s="8"/>
      <c r="D417" s="7"/>
      <c r="E417" s="7"/>
      <c r="F417" s="7"/>
      <c r="G417" s="7"/>
      <c r="H417" s="7"/>
      <c r="I417" s="7"/>
      <c r="J417" s="7"/>
      <c r="K417" s="38" t="str">
        <f t="shared" si="19"/>
        <v/>
      </c>
      <c r="L417" s="37" t="str">
        <f t="shared" ca="1" si="20"/>
        <v/>
      </c>
      <c r="M417" s="7"/>
      <c r="P417" s="67"/>
      <c r="X417" s="70"/>
    </row>
    <row r="418" spans="1:24">
      <c r="A418" s="7">
        <f t="shared" si="18"/>
        <v>413</v>
      </c>
      <c r="B418" s="26"/>
      <c r="C418" s="8"/>
      <c r="D418" s="7"/>
      <c r="E418" s="7"/>
      <c r="F418" s="7"/>
      <c r="G418" s="7"/>
      <c r="H418" s="7"/>
      <c r="I418" s="7"/>
      <c r="J418" s="7"/>
      <c r="K418" s="38" t="str">
        <f t="shared" si="19"/>
        <v/>
      </c>
      <c r="L418" s="37" t="str">
        <f t="shared" ca="1" si="20"/>
        <v/>
      </c>
      <c r="M418" s="7"/>
      <c r="P418" s="67"/>
      <c r="X418" s="70"/>
    </row>
    <row r="419" spans="1:24">
      <c r="A419" s="7">
        <f t="shared" si="18"/>
        <v>414</v>
      </c>
      <c r="B419" s="26"/>
      <c r="C419" s="8"/>
      <c r="D419" s="7"/>
      <c r="E419" s="7"/>
      <c r="F419" s="7"/>
      <c r="G419" s="7"/>
      <c r="H419" s="7"/>
      <c r="I419" s="7"/>
      <c r="J419" s="7"/>
      <c r="K419" s="38" t="str">
        <f t="shared" si="19"/>
        <v/>
      </c>
      <c r="L419" s="37" t="str">
        <f t="shared" ca="1" si="20"/>
        <v/>
      </c>
      <c r="M419" s="7"/>
      <c r="P419" s="67"/>
      <c r="X419" s="70"/>
    </row>
    <row r="420" spans="1:24">
      <c r="A420" s="7">
        <f t="shared" si="18"/>
        <v>415</v>
      </c>
      <c r="B420" s="26"/>
      <c r="C420" s="8"/>
      <c r="D420" s="7"/>
      <c r="E420" s="7"/>
      <c r="F420" s="7"/>
      <c r="G420" s="7"/>
      <c r="H420" s="7"/>
      <c r="I420" s="7"/>
      <c r="J420" s="7"/>
      <c r="K420" s="38" t="str">
        <f t="shared" si="19"/>
        <v/>
      </c>
      <c r="L420" s="37" t="str">
        <f t="shared" ca="1" si="20"/>
        <v/>
      </c>
      <c r="M420" s="7"/>
      <c r="P420" s="67"/>
      <c r="X420" s="70"/>
    </row>
    <row r="421" spans="1:24">
      <c r="A421" s="7">
        <f t="shared" si="18"/>
        <v>416</v>
      </c>
      <c r="B421" s="26"/>
      <c r="C421" s="8"/>
      <c r="D421" s="7"/>
      <c r="E421" s="7"/>
      <c r="F421" s="7"/>
      <c r="G421" s="7"/>
      <c r="H421" s="7"/>
      <c r="I421" s="7"/>
      <c r="J421" s="7"/>
      <c r="K421" s="38" t="str">
        <f t="shared" si="19"/>
        <v/>
      </c>
      <c r="L421" s="37" t="str">
        <f t="shared" ca="1" si="20"/>
        <v/>
      </c>
      <c r="M421" s="7"/>
      <c r="P421" s="67"/>
      <c r="X421" s="70"/>
    </row>
    <row r="422" spans="1:24">
      <c r="A422" s="7">
        <f t="shared" si="18"/>
        <v>417</v>
      </c>
      <c r="B422" s="26"/>
      <c r="C422" s="8"/>
      <c r="D422" s="7"/>
      <c r="E422" s="7"/>
      <c r="F422" s="7"/>
      <c r="G422" s="7"/>
      <c r="H422" s="7"/>
      <c r="I422" s="7"/>
      <c r="J422" s="7"/>
      <c r="K422" s="38" t="str">
        <f t="shared" si="19"/>
        <v/>
      </c>
      <c r="L422" s="37" t="str">
        <f t="shared" ca="1" si="20"/>
        <v/>
      </c>
      <c r="M422" s="7"/>
      <c r="P422" s="67"/>
      <c r="X422" s="70"/>
    </row>
    <row r="423" spans="1:24">
      <c r="A423" s="7">
        <f t="shared" si="18"/>
        <v>418</v>
      </c>
      <c r="B423" s="26"/>
      <c r="C423" s="8"/>
      <c r="D423" s="7"/>
      <c r="E423" s="7"/>
      <c r="F423" s="7"/>
      <c r="G423" s="7"/>
      <c r="H423" s="7"/>
      <c r="I423" s="7"/>
      <c r="J423" s="7"/>
      <c r="K423" s="38" t="str">
        <f t="shared" si="19"/>
        <v/>
      </c>
      <c r="L423" s="37" t="str">
        <f t="shared" ca="1" si="20"/>
        <v/>
      </c>
      <c r="M423" s="7"/>
      <c r="P423" s="67"/>
      <c r="X423" s="70"/>
    </row>
    <row r="424" spans="1:24">
      <c r="A424" s="7">
        <f t="shared" si="18"/>
        <v>419</v>
      </c>
      <c r="B424" s="26"/>
      <c r="C424" s="8"/>
      <c r="D424" s="7"/>
      <c r="E424" s="7"/>
      <c r="F424" s="7"/>
      <c r="G424" s="7"/>
      <c r="H424" s="7"/>
      <c r="I424" s="7"/>
      <c r="J424" s="7"/>
      <c r="K424" s="38" t="str">
        <f t="shared" si="19"/>
        <v/>
      </c>
      <c r="L424" s="37" t="str">
        <f t="shared" ca="1" si="20"/>
        <v/>
      </c>
      <c r="M424" s="7"/>
      <c r="P424" s="67"/>
      <c r="X424" s="70"/>
    </row>
    <row r="425" spans="1:24">
      <c r="A425" s="7">
        <f t="shared" si="18"/>
        <v>420</v>
      </c>
      <c r="B425" s="26"/>
      <c r="C425" s="8"/>
      <c r="D425" s="7"/>
      <c r="E425" s="7"/>
      <c r="F425" s="7"/>
      <c r="G425" s="7"/>
      <c r="H425" s="7"/>
      <c r="I425" s="7"/>
      <c r="J425" s="7"/>
      <c r="K425" s="38" t="str">
        <f t="shared" si="19"/>
        <v/>
      </c>
      <c r="L425" s="37" t="str">
        <f t="shared" ca="1" si="20"/>
        <v/>
      </c>
      <c r="M425" s="7"/>
      <c r="P425" s="67"/>
      <c r="X425" s="70"/>
    </row>
    <row r="426" spans="1:24">
      <c r="A426" s="7">
        <f t="shared" si="18"/>
        <v>421</v>
      </c>
      <c r="B426" s="26"/>
      <c r="C426" s="8"/>
      <c r="D426" s="7"/>
      <c r="E426" s="7"/>
      <c r="F426" s="7"/>
      <c r="G426" s="7"/>
      <c r="H426" s="7"/>
      <c r="I426" s="7"/>
      <c r="J426" s="7"/>
      <c r="K426" s="38" t="str">
        <f t="shared" si="19"/>
        <v/>
      </c>
      <c r="L426" s="37" t="str">
        <f t="shared" ca="1" si="20"/>
        <v/>
      </c>
      <c r="M426" s="7"/>
      <c r="P426" s="67"/>
      <c r="X426" s="70"/>
    </row>
    <row r="427" spans="1:24">
      <c r="A427" s="7">
        <f t="shared" si="18"/>
        <v>422</v>
      </c>
      <c r="B427" s="26"/>
      <c r="C427" s="8"/>
      <c r="D427" s="7"/>
      <c r="E427" s="7"/>
      <c r="F427" s="7"/>
      <c r="G427" s="7"/>
      <c r="H427" s="7"/>
      <c r="I427" s="7"/>
      <c r="J427" s="7"/>
      <c r="K427" s="38" t="str">
        <f t="shared" si="19"/>
        <v/>
      </c>
      <c r="L427" s="37" t="str">
        <f t="shared" ca="1" si="20"/>
        <v/>
      </c>
      <c r="M427" s="7"/>
      <c r="P427" s="67"/>
      <c r="X427" s="70"/>
    </row>
    <row r="428" spans="1:24">
      <c r="A428" s="7">
        <f t="shared" si="18"/>
        <v>423</v>
      </c>
      <c r="B428" s="26"/>
      <c r="C428" s="8"/>
      <c r="D428" s="7"/>
      <c r="E428" s="7"/>
      <c r="F428" s="7"/>
      <c r="G428" s="7"/>
      <c r="H428" s="7"/>
      <c r="I428" s="7"/>
      <c r="J428" s="7"/>
      <c r="K428" s="38" t="str">
        <f t="shared" si="19"/>
        <v/>
      </c>
      <c r="L428" s="37" t="str">
        <f t="shared" ca="1" si="20"/>
        <v/>
      </c>
      <c r="M428" s="7"/>
      <c r="P428" s="67"/>
      <c r="X428" s="70"/>
    </row>
    <row r="429" spans="1:24">
      <c r="A429" s="7">
        <f t="shared" si="18"/>
        <v>424</v>
      </c>
      <c r="B429" s="26"/>
      <c r="C429" s="8"/>
      <c r="D429" s="7"/>
      <c r="E429" s="7"/>
      <c r="F429" s="7"/>
      <c r="G429" s="7"/>
      <c r="H429" s="7"/>
      <c r="I429" s="7"/>
      <c r="J429" s="7"/>
      <c r="K429" s="38" t="str">
        <f t="shared" si="19"/>
        <v/>
      </c>
      <c r="L429" s="37" t="str">
        <f t="shared" ca="1" si="20"/>
        <v/>
      </c>
      <c r="M429" s="7"/>
      <c r="P429" s="67"/>
      <c r="X429" s="70"/>
    </row>
    <row r="430" spans="1:24">
      <c r="A430" s="7">
        <f t="shared" si="18"/>
        <v>425</v>
      </c>
      <c r="B430" s="26"/>
      <c r="C430" s="8"/>
      <c r="D430" s="7"/>
      <c r="E430" s="7"/>
      <c r="F430" s="7"/>
      <c r="G430" s="7"/>
      <c r="H430" s="7"/>
      <c r="I430" s="7"/>
      <c r="J430" s="7"/>
      <c r="K430" s="38" t="str">
        <f t="shared" si="19"/>
        <v/>
      </c>
      <c r="L430" s="37" t="str">
        <f t="shared" ca="1" si="20"/>
        <v/>
      </c>
      <c r="M430" s="7"/>
      <c r="P430" s="67"/>
      <c r="X430" s="70"/>
    </row>
    <row r="431" spans="1:24">
      <c r="A431" s="7">
        <f t="shared" si="18"/>
        <v>426</v>
      </c>
      <c r="B431" s="26"/>
      <c r="C431" s="8"/>
      <c r="D431" s="7"/>
      <c r="E431" s="7"/>
      <c r="F431" s="7"/>
      <c r="G431" s="7"/>
      <c r="H431" s="7"/>
      <c r="I431" s="7"/>
      <c r="J431" s="7"/>
      <c r="K431" s="38" t="str">
        <f t="shared" si="19"/>
        <v/>
      </c>
      <c r="L431" s="37" t="str">
        <f t="shared" ca="1" si="20"/>
        <v/>
      </c>
      <c r="M431" s="7"/>
      <c r="P431" s="67"/>
      <c r="X431" s="70"/>
    </row>
    <row r="432" spans="1:24">
      <c r="A432" s="7">
        <f t="shared" si="18"/>
        <v>427</v>
      </c>
      <c r="B432" s="26"/>
      <c r="C432" s="8"/>
      <c r="D432" s="7"/>
      <c r="E432" s="7"/>
      <c r="F432" s="7"/>
      <c r="G432" s="7"/>
      <c r="H432" s="7"/>
      <c r="I432" s="7"/>
      <c r="J432" s="7"/>
      <c r="K432" s="38" t="str">
        <f t="shared" si="19"/>
        <v/>
      </c>
      <c r="L432" s="37" t="str">
        <f t="shared" ca="1" si="20"/>
        <v/>
      </c>
      <c r="M432" s="7"/>
      <c r="P432" s="67"/>
      <c r="X432" s="70"/>
    </row>
    <row r="433" spans="1:24">
      <c r="A433" s="7">
        <f t="shared" si="18"/>
        <v>428</v>
      </c>
      <c r="B433" s="26"/>
      <c r="C433" s="8"/>
      <c r="D433" s="7"/>
      <c r="E433" s="7"/>
      <c r="F433" s="7"/>
      <c r="G433" s="7"/>
      <c r="H433" s="7"/>
      <c r="I433" s="7"/>
      <c r="J433" s="7"/>
      <c r="K433" s="38" t="str">
        <f t="shared" si="19"/>
        <v/>
      </c>
      <c r="L433" s="37" t="str">
        <f t="shared" ca="1" si="20"/>
        <v/>
      </c>
      <c r="M433" s="7"/>
      <c r="P433" s="67"/>
      <c r="X433" s="70"/>
    </row>
    <row r="434" spans="1:24">
      <c r="A434" s="7">
        <f t="shared" si="18"/>
        <v>429</v>
      </c>
      <c r="B434" s="26"/>
      <c r="C434" s="8"/>
      <c r="D434" s="7"/>
      <c r="E434" s="7"/>
      <c r="F434" s="7"/>
      <c r="G434" s="7"/>
      <c r="H434" s="7"/>
      <c r="I434" s="7"/>
      <c r="J434" s="7"/>
      <c r="K434" s="38" t="str">
        <f t="shared" si="19"/>
        <v/>
      </c>
      <c r="L434" s="37" t="str">
        <f t="shared" ca="1" si="20"/>
        <v/>
      </c>
      <c r="M434" s="7"/>
      <c r="P434" s="67"/>
      <c r="X434" s="70"/>
    </row>
    <row r="435" spans="1:24">
      <c r="A435" s="7">
        <f t="shared" si="18"/>
        <v>430</v>
      </c>
      <c r="B435" s="26"/>
      <c r="C435" s="8"/>
      <c r="D435" s="7"/>
      <c r="E435" s="7"/>
      <c r="F435" s="7"/>
      <c r="G435" s="7"/>
      <c r="H435" s="7"/>
      <c r="I435" s="7"/>
      <c r="J435" s="7"/>
      <c r="K435" s="38" t="str">
        <f t="shared" si="19"/>
        <v/>
      </c>
      <c r="L435" s="37" t="str">
        <f t="shared" ca="1" si="20"/>
        <v/>
      </c>
      <c r="M435" s="7"/>
      <c r="P435" s="67"/>
      <c r="X435" s="70"/>
    </row>
    <row r="436" spans="1:24">
      <c r="A436" s="7">
        <f t="shared" si="18"/>
        <v>431</v>
      </c>
      <c r="B436" s="26"/>
      <c r="C436" s="8"/>
      <c r="D436" s="7"/>
      <c r="E436" s="7"/>
      <c r="F436" s="7"/>
      <c r="G436" s="7"/>
      <c r="H436" s="7"/>
      <c r="I436" s="7"/>
      <c r="J436" s="7"/>
      <c r="K436" s="38" t="str">
        <f t="shared" si="19"/>
        <v/>
      </c>
      <c r="L436" s="37" t="str">
        <f t="shared" ca="1" si="20"/>
        <v/>
      </c>
      <c r="M436" s="7"/>
      <c r="P436" s="67"/>
      <c r="X436" s="70"/>
    </row>
    <row r="437" spans="1:24">
      <c r="A437" s="7">
        <f t="shared" si="18"/>
        <v>432</v>
      </c>
      <c r="B437" s="26"/>
      <c r="C437" s="8"/>
      <c r="D437" s="7"/>
      <c r="E437" s="7"/>
      <c r="F437" s="7"/>
      <c r="G437" s="7"/>
      <c r="H437" s="7"/>
      <c r="I437" s="7"/>
      <c r="J437" s="7"/>
      <c r="K437" s="38" t="str">
        <f t="shared" si="19"/>
        <v/>
      </c>
      <c r="L437" s="37" t="str">
        <f t="shared" ca="1" si="20"/>
        <v/>
      </c>
      <c r="M437" s="7"/>
      <c r="P437" s="67"/>
      <c r="X437" s="70"/>
    </row>
    <row r="438" spans="1:24">
      <c r="A438" s="7">
        <f t="shared" si="18"/>
        <v>433</v>
      </c>
      <c r="B438" s="26"/>
      <c r="C438" s="8"/>
      <c r="D438" s="7"/>
      <c r="E438" s="7"/>
      <c r="F438" s="7"/>
      <c r="G438" s="7"/>
      <c r="H438" s="7"/>
      <c r="I438" s="7"/>
      <c r="J438" s="7"/>
      <c r="K438" s="38" t="str">
        <f t="shared" si="19"/>
        <v/>
      </c>
      <c r="L438" s="37" t="str">
        <f t="shared" ca="1" si="20"/>
        <v/>
      </c>
      <c r="M438" s="7"/>
      <c r="P438" s="67"/>
      <c r="X438" s="70"/>
    </row>
    <row r="439" spans="1:24">
      <c r="A439" s="7">
        <f t="shared" si="18"/>
        <v>434</v>
      </c>
      <c r="B439" s="26"/>
      <c r="C439" s="8"/>
      <c r="D439" s="7"/>
      <c r="E439" s="7"/>
      <c r="F439" s="7"/>
      <c r="G439" s="7"/>
      <c r="H439" s="7"/>
      <c r="I439" s="7"/>
      <c r="J439" s="7"/>
      <c r="K439" s="38" t="str">
        <f t="shared" si="19"/>
        <v/>
      </c>
      <c r="L439" s="37" t="str">
        <f t="shared" ca="1" si="20"/>
        <v/>
      </c>
      <c r="M439" s="7"/>
      <c r="P439" s="67"/>
      <c r="X439" s="70"/>
    </row>
    <row r="440" spans="1:24">
      <c r="A440" s="7">
        <f t="shared" si="18"/>
        <v>435</v>
      </c>
      <c r="B440" s="26"/>
      <c r="C440" s="8"/>
      <c r="D440" s="7"/>
      <c r="E440" s="7"/>
      <c r="F440" s="7"/>
      <c r="G440" s="7"/>
      <c r="H440" s="7"/>
      <c r="I440" s="7"/>
      <c r="J440" s="7"/>
      <c r="K440" s="38" t="str">
        <f t="shared" si="19"/>
        <v/>
      </c>
      <c r="L440" s="37" t="str">
        <f t="shared" ca="1" si="20"/>
        <v/>
      </c>
      <c r="M440" s="7"/>
      <c r="P440" s="67"/>
      <c r="X440" s="70"/>
    </row>
    <row r="441" spans="1:24">
      <c r="A441" s="7">
        <f t="shared" si="18"/>
        <v>436</v>
      </c>
      <c r="B441" s="26"/>
      <c r="C441" s="8"/>
      <c r="D441" s="7"/>
      <c r="E441" s="7"/>
      <c r="F441" s="7"/>
      <c r="G441" s="7"/>
      <c r="H441" s="7"/>
      <c r="I441" s="7"/>
      <c r="J441" s="7"/>
      <c r="K441" s="38" t="str">
        <f t="shared" si="19"/>
        <v/>
      </c>
      <c r="L441" s="37" t="str">
        <f t="shared" ca="1" si="20"/>
        <v/>
      </c>
      <c r="M441" s="7"/>
      <c r="P441" s="67"/>
      <c r="X441" s="70"/>
    </row>
    <row r="442" spans="1:24">
      <c r="A442" s="7">
        <f t="shared" si="18"/>
        <v>437</v>
      </c>
      <c r="B442" s="26"/>
      <c r="C442" s="8"/>
      <c r="D442" s="7"/>
      <c r="E442" s="7"/>
      <c r="F442" s="7"/>
      <c r="G442" s="7"/>
      <c r="H442" s="7"/>
      <c r="I442" s="7"/>
      <c r="J442" s="7"/>
      <c r="K442" s="38" t="str">
        <f t="shared" si="19"/>
        <v/>
      </c>
      <c r="L442" s="37" t="str">
        <f t="shared" ca="1" si="20"/>
        <v/>
      </c>
      <c r="M442" s="7"/>
      <c r="P442" s="67"/>
      <c r="X442" s="70"/>
    </row>
    <row r="443" spans="1:24">
      <c r="A443" s="7">
        <f t="shared" si="18"/>
        <v>438</v>
      </c>
      <c r="B443" s="26"/>
      <c r="C443" s="8"/>
      <c r="D443" s="7"/>
      <c r="E443" s="7"/>
      <c r="F443" s="7"/>
      <c r="G443" s="7"/>
      <c r="H443" s="7"/>
      <c r="I443" s="7"/>
      <c r="J443" s="7"/>
      <c r="K443" s="38" t="str">
        <f t="shared" si="19"/>
        <v/>
      </c>
      <c r="L443" s="37" t="str">
        <f t="shared" ca="1" si="20"/>
        <v/>
      </c>
      <c r="M443" s="7"/>
      <c r="P443" s="67"/>
      <c r="X443" s="70"/>
    </row>
    <row r="444" spans="1:24">
      <c r="A444" s="7">
        <f t="shared" si="18"/>
        <v>439</v>
      </c>
      <c r="B444" s="26"/>
      <c r="C444" s="8"/>
      <c r="D444" s="7"/>
      <c r="E444" s="7"/>
      <c r="F444" s="7"/>
      <c r="G444" s="7"/>
      <c r="H444" s="7"/>
      <c r="I444" s="7"/>
      <c r="J444" s="7"/>
      <c r="K444" s="38" t="str">
        <f t="shared" si="19"/>
        <v/>
      </c>
      <c r="L444" s="37" t="str">
        <f t="shared" ca="1" si="20"/>
        <v/>
      </c>
      <c r="M444" s="7"/>
      <c r="P444" s="67"/>
      <c r="X444" s="70"/>
    </row>
    <row r="445" spans="1:24">
      <c r="A445" s="7">
        <f t="shared" si="18"/>
        <v>440</v>
      </c>
      <c r="B445" s="26"/>
      <c r="C445" s="8"/>
      <c r="D445" s="7"/>
      <c r="E445" s="7"/>
      <c r="F445" s="7"/>
      <c r="G445" s="7"/>
      <c r="H445" s="7"/>
      <c r="I445" s="7"/>
      <c r="J445" s="7"/>
      <c r="K445" s="38" t="str">
        <f t="shared" si="19"/>
        <v/>
      </c>
      <c r="L445" s="37" t="str">
        <f t="shared" ca="1" si="20"/>
        <v/>
      </c>
      <c r="M445" s="7"/>
      <c r="P445" s="67"/>
      <c r="X445" s="70"/>
    </row>
    <row r="446" spans="1:24">
      <c r="A446" s="7">
        <f t="shared" si="18"/>
        <v>441</v>
      </c>
      <c r="B446" s="26"/>
      <c r="C446" s="8"/>
      <c r="D446" s="7"/>
      <c r="E446" s="7"/>
      <c r="F446" s="7"/>
      <c r="G446" s="7"/>
      <c r="H446" s="7"/>
      <c r="I446" s="7"/>
      <c r="J446" s="7"/>
      <c r="K446" s="38" t="str">
        <f t="shared" si="19"/>
        <v/>
      </c>
      <c r="L446" s="37" t="str">
        <f t="shared" ca="1" si="20"/>
        <v/>
      </c>
      <c r="M446" s="7"/>
      <c r="P446" s="67"/>
      <c r="X446" s="70"/>
    </row>
    <row r="447" spans="1:24">
      <c r="A447" s="7">
        <f t="shared" si="18"/>
        <v>442</v>
      </c>
      <c r="B447" s="26"/>
      <c r="C447" s="8"/>
      <c r="D447" s="7"/>
      <c r="E447" s="7"/>
      <c r="F447" s="7"/>
      <c r="G447" s="7"/>
      <c r="H447" s="7"/>
      <c r="I447" s="7"/>
      <c r="J447" s="7"/>
      <c r="K447" s="38" t="str">
        <f t="shared" si="19"/>
        <v/>
      </c>
      <c r="L447" s="37" t="str">
        <f t="shared" ca="1" si="20"/>
        <v/>
      </c>
      <c r="M447" s="7"/>
      <c r="P447" s="67"/>
      <c r="X447" s="70"/>
    </row>
    <row r="448" spans="1:24">
      <c r="A448" s="7">
        <f t="shared" si="18"/>
        <v>443</v>
      </c>
      <c r="B448" s="26"/>
      <c r="C448" s="8"/>
      <c r="D448" s="7"/>
      <c r="E448" s="7"/>
      <c r="F448" s="7"/>
      <c r="G448" s="7"/>
      <c r="H448" s="7"/>
      <c r="I448" s="7"/>
      <c r="J448" s="7"/>
      <c r="K448" s="38" t="str">
        <f t="shared" si="19"/>
        <v/>
      </c>
      <c r="L448" s="37" t="str">
        <f t="shared" ca="1" si="20"/>
        <v/>
      </c>
      <c r="M448" s="7"/>
      <c r="P448" s="67"/>
      <c r="X448" s="70"/>
    </row>
    <row r="449" spans="1:24">
      <c r="A449" s="7">
        <f t="shared" si="18"/>
        <v>444</v>
      </c>
      <c r="B449" s="26"/>
      <c r="C449" s="8"/>
      <c r="D449" s="7"/>
      <c r="E449" s="7"/>
      <c r="F449" s="7"/>
      <c r="G449" s="7"/>
      <c r="H449" s="7"/>
      <c r="I449" s="7"/>
      <c r="J449" s="7"/>
      <c r="K449" s="38" t="str">
        <f t="shared" si="19"/>
        <v/>
      </c>
      <c r="L449" s="37" t="str">
        <f t="shared" ca="1" si="20"/>
        <v/>
      </c>
      <c r="M449" s="7"/>
      <c r="P449" s="67"/>
      <c r="X449" s="70"/>
    </row>
    <row r="450" spans="1:24">
      <c r="A450" s="7">
        <f t="shared" si="18"/>
        <v>445</v>
      </c>
      <c r="B450" s="26"/>
      <c r="C450" s="8"/>
      <c r="D450" s="7"/>
      <c r="E450" s="7"/>
      <c r="F450" s="7"/>
      <c r="G450" s="7"/>
      <c r="H450" s="7"/>
      <c r="I450" s="7"/>
      <c r="J450" s="7"/>
      <c r="K450" s="38" t="str">
        <f t="shared" si="19"/>
        <v/>
      </c>
      <c r="L450" s="37" t="str">
        <f t="shared" ca="1" si="20"/>
        <v/>
      </c>
      <c r="M450" s="7"/>
      <c r="P450" s="67"/>
      <c r="X450" s="70"/>
    </row>
    <row r="451" spans="1:24">
      <c r="A451" s="7">
        <f t="shared" si="18"/>
        <v>446</v>
      </c>
      <c r="B451" s="26"/>
      <c r="C451" s="8"/>
      <c r="D451" s="7"/>
      <c r="E451" s="7"/>
      <c r="F451" s="7"/>
      <c r="G451" s="7"/>
      <c r="H451" s="7"/>
      <c r="I451" s="7"/>
      <c r="J451" s="7"/>
      <c r="K451" s="38" t="str">
        <f t="shared" si="19"/>
        <v/>
      </c>
      <c r="L451" s="37" t="str">
        <f t="shared" ca="1" si="20"/>
        <v/>
      </c>
      <c r="M451" s="7"/>
      <c r="P451" s="67"/>
      <c r="X451" s="70"/>
    </row>
    <row r="452" spans="1:24">
      <c r="A452" s="7">
        <f t="shared" si="18"/>
        <v>447</v>
      </c>
      <c r="B452" s="26"/>
      <c r="C452" s="8"/>
      <c r="D452" s="7"/>
      <c r="E452" s="7"/>
      <c r="F452" s="7"/>
      <c r="G452" s="7"/>
      <c r="H452" s="7"/>
      <c r="I452" s="7"/>
      <c r="J452" s="7"/>
      <c r="K452" s="38" t="str">
        <f t="shared" si="19"/>
        <v/>
      </c>
      <c r="L452" s="37" t="str">
        <f t="shared" ca="1" si="20"/>
        <v/>
      </c>
      <c r="M452" s="7"/>
      <c r="P452" s="67"/>
      <c r="X452" s="70"/>
    </row>
    <row r="453" spans="1:24">
      <c r="A453" s="7">
        <f t="shared" si="18"/>
        <v>448</v>
      </c>
      <c r="B453" s="26"/>
      <c r="C453" s="8"/>
      <c r="D453" s="7"/>
      <c r="E453" s="7"/>
      <c r="F453" s="7"/>
      <c r="G453" s="7"/>
      <c r="H453" s="7"/>
      <c r="I453" s="7"/>
      <c r="J453" s="7"/>
      <c r="K453" s="38" t="str">
        <f t="shared" si="19"/>
        <v/>
      </c>
      <c r="L453" s="37" t="str">
        <f t="shared" ca="1" si="20"/>
        <v/>
      </c>
      <c r="M453" s="7"/>
      <c r="P453" s="67"/>
      <c r="X453" s="70"/>
    </row>
    <row r="454" spans="1:24">
      <c r="A454" s="7">
        <f t="shared" si="18"/>
        <v>449</v>
      </c>
      <c r="B454" s="26"/>
      <c r="C454" s="8"/>
      <c r="D454" s="7"/>
      <c r="E454" s="7"/>
      <c r="F454" s="7"/>
      <c r="G454" s="7"/>
      <c r="H454" s="7"/>
      <c r="I454" s="7"/>
      <c r="J454" s="7"/>
      <c r="K454" s="38" t="str">
        <f t="shared" si="19"/>
        <v/>
      </c>
      <c r="L454" s="37" t="str">
        <f t="shared" ca="1" si="20"/>
        <v/>
      </c>
      <c r="M454" s="7"/>
      <c r="P454" s="67"/>
      <c r="X454" s="70"/>
    </row>
    <row r="455" spans="1:24">
      <c r="A455" s="7">
        <f t="shared" ref="A455:A518" si="21">ROW(A450)</f>
        <v>450</v>
      </c>
      <c r="B455" s="26"/>
      <c r="C455" s="8"/>
      <c r="D455" s="7"/>
      <c r="E455" s="7"/>
      <c r="F455" s="7"/>
      <c r="G455" s="7"/>
      <c r="H455" s="7"/>
      <c r="I455" s="7"/>
      <c r="J455" s="7"/>
      <c r="K455" s="38" t="str">
        <f t="shared" ref="K455:K518" si="22">IF(C455&gt;0,C455+J455-1,"")</f>
        <v/>
      </c>
      <c r="L455" s="37" t="str">
        <f t="shared" ref="L455:L518" ca="1" si="23">IF(K455="","",IF(TODAY()&gt;K455,"YES","No"))</f>
        <v/>
      </c>
      <c r="M455" s="7"/>
      <c r="P455" s="67"/>
      <c r="X455" s="70"/>
    </row>
    <row r="456" spans="1:24">
      <c r="A456" s="7">
        <f t="shared" si="21"/>
        <v>451</v>
      </c>
      <c r="B456" s="26"/>
      <c r="C456" s="8"/>
      <c r="D456" s="7"/>
      <c r="E456" s="7"/>
      <c r="F456" s="7"/>
      <c r="G456" s="7"/>
      <c r="H456" s="7"/>
      <c r="I456" s="7"/>
      <c r="J456" s="7"/>
      <c r="K456" s="38" t="str">
        <f t="shared" si="22"/>
        <v/>
      </c>
      <c r="L456" s="37" t="str">
        <f t="shared" ca="1" si="23"/>
        <v/>
      </c>
      <c r="M456" s="7"/>
      <c r="P456" s="67"/>
      <c r="X456" s="70"/>
    </row>
    <row r="457" spans="1:24">
      <c r="A457" s="7">
        <f t="shared" si="21"/>
        <v>452</v>
      </c>
      <c r="B457" s="26"/>
      <c r="C457" s="8"/>
      <c r="D457" s="7"/>
      <c r="E457" s="7"/>
      <c r="F457" s="7"/>
      <c r="G457" s="7"/>
      <c r="H457" s="7"/>
      <c r="I457" s="7"/>
      <c r="J457" s="7"/>
      <c r="K457" s="38" t="str">
        <f t="shared" si="22"/>
        <v/>
      </c>
      <c r="L457" s="37" t="str">
        <f t="shared" ca="1" si="23"/>
        <v/>
      </c>
      <c r="M457" s="7"/>
      <c r="P457" s="67"/>
      <c r="X457" s="70"/>
    </row>
    <row r="458" spans="1:24">
      <c r="A458" s="7">
        <f t="shared" si="21"/>
        <v>453</v>
      </c>
      <c r="B458" s="26"/>
      <c r="C458" s="8"/>
      <c r="D458" s="7"/>
      <c r="E458" s="7"/>
      <c r="F458" s="7"/>
      <c r="G458" s="7"/>
      <c r="H458" s="7"/>
      <c r="I458" s="7"/>
      <c r="J458" s="7"/>
      <c r="K458" s="38" t="str">
        <f t="shared" si="22"/>
        <v/>
      </c>
      <c r="L458" s="37" t="str">
        <f t="shared" ca="1" si="23"/>
        <v/>
      </c>
      <c r="M458" s="7"/>
      <c r="P458" s="67"/>
      <c r="X458" s="70"/>
    </row>
    <row r="459" spans="1:24">
      <c r="A459" s="7">
        <f t="shared" si="21"/>
        <v>454</v>
      </c>
      <c r="B459" s="26"/>
      <c r="C459" s="8"/>
      <c r="D459" s="7"/>
      <c r="E459" s="7"/>
      <c r="F459" s="7"/>
      <c r="G459" s="7"/>
      <c r="H459" s="7"/>
      <c r="I459" s="7"/>
      <c r="J459" s="7"/>
      <c r="K459" s="38" t="str">
        <f t="shared" si="22"/>
        <v/>
      </c>
      <c r="L459" s="37" t="str">
        <f t="shared" ca="1" si="23"/>
        <v/>
      </c>
      <c r="M459" s="7"/>
      <c r="P459" s="67"/>
      <c r="X459" s="70"/>
    </row>
    <row r="460" spans="1:24">
      <c r="A460" s="7">
        <f t="shared" si="21"/>
        <v>455</v>
      </c>
      <c r="B460" s="26"/>
      <c r="C460" s="8"/>
      <c r="D460" s="7"/>
      <c r="E460" s="7"/>
      <c r="F460" s="7"/>
      <c r="G460" s="7"/>
      <c r="H460" s="7"/>
      <c r="I460" s="7"/>
      <c r="J460" s="7"/>
      <c r="K460" s="38" t="str">
        <f t="shared" si="22"/>
        <v/>
      </c>
      <c r="L460" s="37" t="str">
        <f t="shared" ca="1" si="23"/>
        <v/>
      </c>
      <c r="M460" s="7"/>
      <c r="P460" s="67"/>
      <c r="X460" s="70"/>
    </row>
    <row r="461" spans="1:24">
      <c r="A461" s="7">
        <f t="shared" si="21"/>
        <v>456</v>
      </c>
      <c r="B461" s="26"/>
      <c r="C461" s="8"/>
      <c r="D461" s="7"/>
      <c r="E461" s="7"/>
      <c r="F461" s="7"/>
      <c r="G461" s="7"/>
      <c r="H461" s="7"/>
      <c r="I461" s="7"/>
      <c r="J461" s="7"/>
      <c r="K461" s="38" t="str">
        <f t="shared" si="22"/>
        <v/>
      </c>
      <c r="L461" s="37" t="str">
        <f t="shared" ca="1" si="23"/>
        <v/>
      </c>
      <c r="M461" s="7"/>
      <c r="P461" s="67"/>
      <c r="X461" s="70"/>
    </row>
    <row r="462" spans="1:24">
      <c r="A462" s="7">
        <f t="shared" si="21"/>
        <v>457</v>
      </c>
      <c r="B462" s="26"/>
      <c r="C462" s="8"/>
      <c r="D462" s="7"/>
      <c r="E462" s="7"/>
      <c r="F462" s="7"/>
      <c r="G462" s="7"/>
      <c r="H462" s="7"/>
      <c r="I462" s="7"/>
      <c r="J462" s="7"/>
      <c r="K462" s="38" t="str">
        <f t="shared" si="22"/>
        <v/>
      </c>
      <c r="L462" s="37" t="str">
        <f t="shared" ca="1" si="23"/>
        <v/>
      </c>
      <c r="M462" s="7"/>
      <c r="P462" s="67"/>
      <c r="X462" s="70"/>
    </row>
    <row r="463" spans="1:24">
      <c r="A463" s="7">
        <f t="shared" si="21"/>
        <v>458</v>
      </c>
      <c r="B463" s="26"/>
      <c r="C463" s="8"/>
      <c r="D463" s="7"/>
      <c r="E463" s="7"/>
      <c r="F463" s="7"/>
      <c r="G463" s="7"/>
      <c r="H463" s="7"/>
      <c r="I463" s="7"/>
      <c r="J463" s="7"/>
      <c r="K463" s="38" t="str">
        <f t="shared" si="22"/>
        <v/>
      </c>
      <c r="L463" s="37" t="str">
        <f t="shared" ca="1" si="23"/>
        <v/>
      </c>
      <c r="M463" s="7"/>
      <c r="P463" s="67"/>
      <c r="X463" s="70"/>
    </row>
    <row r="464" spans="1:24">
      <c r="A464" s="7">
        <f t="shared" si="21"/>
        <v>459</v>
      </c>
      <c r="B464" s="26"/>
      <c r="C464" s="8"/>
      <c r="D464" s="7"/>
      <c r="E464" s="7"/>
      <c r="F464" s="7"/>
      <c r="G464" s="7"/>
      <c r="H464" s="7"/>
      <c r="I464" s="7"/>
      <c r="J464" s="7"/>
      <c r="K464" s="38" t="str">
        <f t="shared" si="22"/>
        <v/>
      </c>
      <c r="L464" s="37" t="str">
        <f t="shared" ca="1" si="23"/>
        <v/>
      </c>
      <c r="M464" s="7"/>
      <c r="P464" s="67"/>
      <c r="X464" s="70"/>
    </row>
    <row r="465" spans="1:24">
      <c r="A465" s="7">
        <f t="shared" si="21"/>
        <v>460</v>
      </c>
      <c r="B465" s="26"/>
      <c r="C465" s="8"/>
      <c r="D465" s="7"/>
      <c r="E465" s="7"/>
      <c r="F465" s="7"/>
      <c r="G465" s="7"/>
      <c r="H465" s="7"/>
      <c r="I465" s="7"/>
      <c r="J465" s="7"/>
      <c r="K465" s="38" t="str">
        <f t="shared" si="22"/>
        <v/>
      </c>
      <c r="L465" s="37" t="str">
        <f t="shared" ca="1" si="23"/>
        <v/>
      </c>
      <c r="M465" s="7"/>
      <c r="P465" s="67"/>
      <c r="X465" s="70"/>
    </row>
    <row r="466" spans="1:24">
      <c r="A466" s="7">
        <f t="shared" si="21"/>
        <v>461</v>
      </c>
      <c r="B466" s="26"/>
      <c r="C466" s="8"/>
      <c r="D466" s="7"/>
      <c r="E466" s="7"/>
      <c r="F466" s="7"/>
      <c r="G466" s="7"/>
      <c r="H466" s="7"/>
      <c r="I466" s="7"/>
      <c r="J466" s="7"/>
      <c r="K466" s="38" t="str">
        <f t="shared" si="22"/>
        <v/>
      </c>
      <c r="L466" s="37" t="str">
        <f t="shared" ca="1" si="23"/>
        <v/>
      </c>
      <c r="M466" s="7"/>
      <c r="P466" s="67"/>
      <c r="X466" s="70"/>
    </row>
    <row r="467" spans="1:24">
      <c r="A467" s="7">
        <f t="shared" si="21"/>
        <v>462</v>
      </c>
      <c r="B467" s="26"/>
      <c r="C467" s="8"/>
      <c r="D467" s="7"/>
      <c r="E467" s="7"/>
      <c r="F467" s="7"/>
      <c r="G467" s="7"/>
      <c r="H467" s="7"/>
      <c r="I467" s="7"/>
      <c r="J467" s="7"/>
      <c r="K467" s="38" t="str">
        <f t="shared" si="22"/>
        <v/>
      </c>
      <c r="L467" s="37" t="str">
        <f t="shared" ca="1" si="23"/>
        <v/>
      </c>
      <c r="M467" s="7"/>
      <c r="P467" s="67"/>
      <c r="X467" s="70"/>
    </row>
    <row r="468" spans="1:24">
      <c r="A468" s="7">
        <f t="shared" si="21"/>
        <v>463</v>
      </c>
      <c r="B468" s="26"/>
      <c r="C468" s="8"/>
      <c r="D468" s="7"/>
      <c r="E468" s="7"/>
      <c r="F468" s="7"/>
      <c r="G468" s="7"/>
      <c r="H468" s="7"/>
      <c r="I468" s="7"/>
      <c r="J468" s="7"/>
      <c r="K468" s="38" t="str">
        <f t="shared" si="22"/>
        <v/>
      </c>
      <c r="L468" s="37" t="str">
        <f t="shared" ca="1" si="23"/>
        <v/>
      </c>
      <c r="M468" s="7"/>
      <c r="P468" s="67"/>
      <c r="X468" s="70"/>
    </row>
    <row r="469" spans="1:24">
      <c r="A469" s="7">
        <f t="shared" si="21"/>
        <v>464</v>
      </c>
      <c r="B469" s="26"/>
      <c r="C469" s="8"/>
      <c r="D469" s="7"/>
      <c r="E469" s="7"/>
      <c r="F469" s="7"/>
      <c r="G469" s="7"/>
      <c r="H469" s="7"/>
      <c r="I469" s="7"/>
      <c r="J469" s="7"/>
      <c r="K469" s="38" t="str">
        <f t="shared" si="22"/>
        <v/>
      </c>
      <c r="L469" s="37" t="str">
        <f t="shared" ca="1" si="23"/>
        <v/>
      </c>
      <c r="M469" s="7"/>
      <c r="P469" s="67"/>
      <c r="X469" s="70"/>
    </row>
    <row r="470" spans="1:24">
      <c r="A470" s="7">
        <f t="shared" si="21"/>
        <v>465</v>
      </c>
      <c r="B470" s="26"/>
      <c r="C470" s="8"/>
      <c r="D470" s="7"/>
      <c r="E470" s="7"/>
      <c r="F470" s="7"/>
      <c r="G470" s="7"/>
      <c r="H470" s="7"/>
      <c r="I470" s="7"/>
      <c r="J470" s="7"/>
      <c r="K470" s="38" t="str">
        <f t="shared" si="22"/>
        <v/>
      </c>
      <c r="L470" s="37" t="str">
        <f t="shared" ca="1" si="23"/>
        <v/>
      </c>
      <c r="M470" s="7"/>
      <c r="P470" s="67"/>
      <c r="X470" s="70"/>
    </row>
    <row r="471" spans="1:24">
      <c r="A471" s="7">
        <f t="shared" si="21"/>
        <v>466</v>
      </c>
      <c r="B471" s="26"/>
      <c r="C471" s="8"/>
      <c r="D471" s="7"/>
      <c r="E471" s="7"/>
      <c r="F471" s="7"/>
      <c r="G471" s="7"/>
      <c r="H471" s="7"/>
      <c r="I471" s="7"/>
      <c r="J471" s="7"/>
      <c r="K471" s="38" t="str">
        <f t="shared" si="22"/>
        <v/>
      </c>
      <c r="L471" s="37" t="str">
        <f t="shared" ca="1" si="23"/>
        <v/>
      </c>
      <c r="M471" s="7"/>
      <c r="P471" s="67"/>
      <c r="X471" s="70"/>
    </row>
    <row r="472" spans="1:24">
      <c r="A472" s="7">
        <f t="shared" si="21"/>
        <v>467</v>
      </c>
      <c r="B472" s="26"/>
      <c r="C472" s="8"/>
      <c r="D472" s="7"/>
      <c r="E472" s="7"/>
      <c r="F472" s="7"/>
      <c r="G472" s="7"/>
      <c r="H472" s="7"/>
      <c r="I472" s="7"/>
      <c r="J472" s="7"/>
      <c r="K472" s="38" t="str">
        <f t="shared" si="22"/>
        <v/>
      </c>
      <c r="L472" s="37" t="str">
        <f t="shared" ca="1" si="23"/>
        <v/>
      </c>
      <c r="M472" s="7"/>
      <c r="P472" s="67"/>
      <c r="X472" s="70"/>
    </row>
    <row r="473" spans="1:24">
      <c r="A473" s="7">
        <f t="shared" si="21"/>
        <v>468</v>
      </c>
      <c r="B473" s="26"/>
      <c r="C473" s="8"/>
      <c r="D473" s="7"/>
      <c r="E473" s="7"/>
      <c r="F473" s="7"/>
      <c r="G473" s="7"/>
      <c r="H473" s="7"/>
      <c r="I473" s="7"/>
      <c r="J473" s="7"/>
      <c r="K473" s="38" t="str">
        <f t="shared" si="22"/>
        <v/>
      </c>
      <c r="L473" s="37" t="str">
        <f t="shared" ca="1" si="23"/>
        <v/>
      </c>
      <c r="M473" s="7"/>
      <c r="P473" s="67"/>
      <c r="X473" s="70"/>
    </row>
    <row r="474" spans="1:24">
      <c r="A474" s="7">
        <f t="shared" si="21"/>
        <v>469</v>
      </c>
      <c r="B474" s="26"/>
      <c r="C474" s="8"/>
      <c r="D474" s="7"/>
      <c r="E474" s="7"/>
      <c r="F474" s="7"/>
      <c r="G474" s="7"/>
      <c r="H474" s="7"/>
      <c r="I474" s="7"/>
      <c r="J474" s="7"/>
      <c r="K474" s="38" t="str">
        <f t="shared" si="22"/>
        <v/>
      </c>
      <c r="L474" s="37" t="str">
        <f t="shared" ca="1" si="23"/>
        <v/>
      </c>
      <c r="M474" s="7"/>
      <c r="P474" s="67"/>
      <c r="X474" s="70"/>
    </row>
    <row r="475" spans="1:24">
      <c r="A475" s="7">
        <f t="shared" si="21"/>
        <v>470</v>
      </c>
      <c r="B475" s="26"/>
      <c r="C475" s="8"/>
      <c r="D475" s="7"/>
      <c r="E475" s="7"/>
      <c r="F475" s="7"/>
      <c r="G475" s="7"/>
      <c r="H475" s="7"/>
      <c r="I475" s="7"/>
      <c r="J475" s="7"/>
      <c r="K475" s="38" t="str">
        <f t="shared" si="22"/>
        <v/>
      </c>
      <c r="L475" s="37" t="str">
        <f t="shared" ca="1" si="23"/>
        <v/>
      </c>
      <c r="M475" s="7"/>
      <c r="P475" s="67"/>
      <c r="X475" s="70"/>
    </row>
    <row r="476" spans="1:24">
      <c r="A476" s="7">
        <f t="shared" si="21"/>
        <v>471</v>
      </c>
      <c r="B476" s="26"/>
      <c r="C476" s="8"/>
      <c r="D476" s="7"/>
      <c r="E476" s="7"/>
      <c r="F476" s="7"/>
      <c r="G476" s="7"/>
      <c r="H476" s="7"/>
      <c r="I476" s="7"/>
      <c r="J476" s="7"/>
      <c r="K476" s="38" t="str">
        <f t="shared" si="22"/>
        <v/>
      </c>
      <c r="L476" s="37" t="str">
        <f t="shared" ca="1" si="23"/>
        <v/>
      </c>
      <c r="M476" s="7"/>
      <c r="P476" s="67"/>
      <c r="X476" s="70"/>
    </row>
    <row r="477" spans="1:24">
      <c r="A477" s="7">
        <f t="shared" si="21"/>
        <v>472</v>
      </c>
      <c r="B477" s="26"/>
      <c r="C477" s="8"/>
      <c r="D477" s="7"/>
      <c r="E477" s="7"/>
      <c r="F477" s="7"/>
      <c r="G477" s="7"/>
      <c r="H477" s="7"/>
      <c r="I477" s="7"/>
      <c r="J477" s="7"/>
      <c r="K477" s="38" t="str">
        <f t="shared" si="22"/>
        <v/>
      </c>
      <c r="L477" s="37" t="str">
        <f t="shared" ca="1" si="23"/>
        <v/>
      </c>
      <c r="M477" s="7"/>
      <c r="P477" s="67"/>
      <c r="X477" s="70"/>
    </row>
    <row r="478" spans="1:24">
      <c r="A478" s="7">
        <f t="shared" si="21"/>
        <v>473</v>
      </c>
      <c r="B478" s="26"/>
      <c r="C478" s="8"/>
      <c r="D478" s="7"/>
      <c r="E478" s="7"/>
      <c r="F478" s="7"/>
      <c r="G478" s="7"/>
      <c r="H478" s="7"/>
      <c r="I478" s="7"/>
      <c r="J478" s="7"/>
      <c r="K478" s="38" t="str">
        <f t="shared" si="22"/>
        <v/>
      </c>
      <c r="L478" s="37" t="str">
        <f t="shared" ca="1" si="23"/>
        <v/>
      </c>
      <c r="M478" s="7"/>
      <c r="P478" s="67"/>
      <c r="X478" s="70"/>
    </row>
    <row r="479" spans="1:24">
      <c r="A479" s="7">
        <f t="shared" si="21"/>
        <v>474</v>
      </c>
      <c r="B479" s="26"/>
      <c r="C479" s="8"/>
      <c r="D479" s="7"/>
      <c r="E479" s="7"/>
      <c r="F479" s="7"/>
      <c r="G479" s="7"/>
      <c r="H479" s="7"/>
      <c r="I479" s="7"/>
      <c r="J479" s="7"/>
      <c r="K479" s="38" t="str">
        <f t="shared" si="22"/>
        <v/>
      </c>
      <c r="L479" s="37" t="str">
        <f t="shared" ca="1" si="23"/>
        <v/>
      </c>
      <c r="M479" s="7"/>
      <c r="P479" s="67"/>
      <c r="X479" s="70"/>
    </row>
    <row r="480" spans="1:24">
      <c r="A480" s="7">
        <f t="shared" si="21"/>
        <v>475</v>
      </c>
      <c r="B480" s="26"/>
      <c r="C480" s="8"/>
      <c r="D480" s="7"/>
      <c r="E480" s="7"/>
      <c r="F480" s="7"/>
      <c r="G480" s="7"/>
      <c r="H480" s="7"/>
      <c r="I480" s="7"/>
      <c r="J480" s="7"/>
      <c r="K480" s="38" t="str">
        <f t="shared" si="22"/>
        <v/>
      </c>
      <c r="L480" s="37" t="str">
        <f t="shared" ca="1" si="23"/>
        <v/>
      </c>
      <c r="M480" s="7"/>
      <c r="P480" s="67"/>
      <c r="X480" s="70"/>
    </row>
    <row r="481" spans="1:24">
      <c r="A481" s="7">
        <f t="shared" si="21"/>
        <v>476</v>
      </c>
      <c r="B481" s="26"/>
      <c r="C481" s="8"/>
      <c r="D481" s="7"/>
      <c r="E481" s="7"/>
      <c r="F481" s="7"/>
      <c r="G481" s="7"/>
      <c r="H481" s="7"/>
      <c r="I481" s="7"/>
      <c r="J481" s="7"/>
      <c r="K481" s="38" t="str">
        <f t="shared" si="22"/>
        <v/>
      </c>
      <c r="L481" s="37" t="str">
        <f t="shared" ca="1" si="23"/>
        <v/>
      </c>
      <c r="M481" s="7"/>
      <c r="P481" s="67"/>
      <c r="X481" s="70"/>
    </row>
    <row r="482" spans="1:24">
      <c r="A482" s="7">
        <f t="shared" si="21"/>
        <v>477</v>
      </c>
      <c r="B482" s="26"/>
      <c r="C482" s="8"/>
      <c r="D482" s="7"/>
      <c r="E482" s="7"/>
      <c r="F482" s="7"/>
      <c r="G482" s="7"/>
      <c r="H482" s="7"/>
      <c r="I482" s="7"/>
      <c r="J482" s="7"/>
      <c r="K482" s="38" t="str">
        <f t="shared" si="22"/>
        <v/>
      </c>
      <c r="L482" s="37" t="str">
        <f t="shared" ca="1" si="23"/>
        <v/>
      </c>
      <c r="M482" s="7"/>
      <c r="P482" s="67"/>
      <c r="X482" s="70"/>
    </row>
    <row r="483" spans="1:24">
      <c r="A483" s="7">
        <f t="shared" si="21"/>
        <v>478</v>
      </c>
      <c r="B483" s="26"/>
      <c r="C483" s="8"/>
      <c r="D483" s="7"/>
      <c r="E483" s="7"/>
      <c r="F483" s="7"/>
      <c r="G483" s="7"/>
      <c r="H483" s="7"/>
      <c r="I483" s="7"/>
      <c r="J483" s="7"/>
      <c r="K483" s="38" t="str">
        <f t="shared" si="22"/>
        <v/>
      </c>
      <c r="L483" s="37" t="str">
        <f t="shared" ca="1" si="23"/>
        <v/>
      </c>
      <c r="M483" s="7"/>
      <c r="P483" s="67"/>
      <c r="X483" s="70"/>
    </row>
    <row r="484" spans="1:24">
      <c r="A484" s="7">
        <f t="shared" si="21"/>
        <v>479</v>
      </c>
      <c r="B484" s="26"/>
      <c r="C484" s="8"/>
      <c r="D484" s="7"/>
      <c r="E484" s="7"/>
      <c r="F484" s="7"/>
      <c r="G484" s="7"/>
      <c r="H484" s="7"/>
      <c r="I484" s="7"/>
      <c r="J484" s="7"/>
      <c r="K484" s="38" t="str">
        <f t="shared" si="22"/>
        <v/>
      </c>
      <c r="L484" s="37" t="str">
        <f t="shared" ca="1" si="23"/>
        <v/>
      </c>
      <c r="M484" s="7"/>
      <c r="P484" s="67"/>
      <c r="X484" s="70"/>
    </row>
    <row r="485" spans="1:24">
      <c r="A485" s="7">
        <f t="shared" si="21"/>
        <v>480</v>
      </c>
      <c r="B485" s="26"/>
      <c r="C485" s="8"/>
      <c r="D485" s="7"/>
      <c r="E485" s="7"/>
      <c r="F485" s="7"/>
      <c r="G485" s="7"/>
      <c r="H485" s="7"/>
      <c r="I485" s="7"/>
      <c r="J485" s="7"/>
      <c r="K485" s="38" t="str">
        <f t="shared" si="22"/>
        <v/>
      </c>
      <c r="L485" s="37" t="str">
        <f t="shared" ca="1" si="23"/>
        <v/>
      </c>
      <c r="M485" s="7"/>
      <c r="P485" s="67"/>
      <c r="X485" s="70"/>
    </row>
    <row r="486" spans="1:24">
      <c r="A486" s="7">
        <f t="shared" si="21"/>
        <v>481</v>
      </c>
      <c r="B486" s="26"/>
      <c r="C486" s="8"/>
      <c r="D486" s="7"/>
      <c r="E486" s="7"/>
      <c r="F486" s="7"/>
      <c r="G486" s="7"/>
      <c r="H486" s="7"/>
      <c r="I486" s="7"/>
      <c r="J486" s="7"/>
      <c r="K486" s="38" t="str">
        <f t="shared" si="22"/>
        <v/>
      </c>
      <c r="L486" s="37" t="str">
        <f t="shared" ca="1" si="23"/>
        <v/>
      </c>
      <c r="M486" s="7"/>
      <c r="P486" s="67"/>
      <c r="X486" s="70"/>
    </row>
    <row r="487" spans="1:24">
      <c r="A487" s="7">
        <f t="shared" si="21"/>
        <v>482</v>
      </c>
      <c r="B487" s="26"/>
      <c r="C487" s="8"/>
      <c r="D487" s="7"/>
      <c r="E487" s="7"/>
      <c r="F487" s="7"/>
      <c r="G487" s="7"/>
      <c r="H487" s="7"/>
      <c r="I487" s="7"/>
      <c r="J487" s="7"/>
      <c r="K487" s="38" t="str">
        <f t="shared" si="22"/>
        <v/>
      </c>
      <c r="L487" s="37" t="str">
        <f t="shared" ca="1" si="23"/>
        <v/>
      </c>
      <c r="M487" s="7"/>
      <c r="P487" s="67"/>
      <c r="X487" s="70"/>
    </row>
    <row r="488" spans="1:24">
      <c r="A488" s="7">
        <f t="shared" si="21"/>
        <v>483</v>
      </c>
      <c r="B488" s="26"/>
      <c r="C488" s="8"/>
      <c r="D488" s="7"/>
      <c r="E488" s="7"/>
      <c r="F488" s="7"/>
      <c r="G488" s="7"/>
      <c r="H488" s="7"/>
      <c r="I488" s="7"/>
      <c r="J488" s="7"/>
      <c r="K488" s="38" t="str">
        <f t="shared" si="22"/>
        <v/>
      </c>
      <c r="L488" s="37" t="str">
        <f t="shared" ca="1" si="23"/>
        <v/>
      </c>
      <c r="M488" s="7"/>
      <c r="P488" s="67"/>
      <c r="X488" s="70"/>
    </row>
    <row r="489" spans="1:24">
      <c r="A489" s="7">
        <f t="shared" si="21"/>
        <v>484</v>
      </c>
      <c r="B489" s="26"/>
      <c r="C489" s="8"/>
      <c r="D489" s="7"/>
      <c r="E489" s="7"/>
      <c r="F489" s="7"/>
      <c r="G489" s="7"/>
      <c r="H489" s="7"/>
      <c r="I489" s="7"/>
      <c r="J489" s="7"/>
      <c r="K489" s="38" t="str">
        <f t="shared" si="22"/>
        <v/>
      </c>
      <c r="L489" s="37" t="str">
        <f t="shared" ca="1" si="23"/>
        <v/>
      </c>
      <c r="M489" s="7"/>
      <c r="P489" s="67"/>
      <c r="X489" s="70"/>
    </row>
    <row r="490" spans="1:24">
      <c r="A490" s="7">
        <f t="shared" si="21"/>
        <v>485</v>
      </c>
      <c r="B490" s="26"/>
      <c r="C490" s="8"/>
      <c r="D490" s="7"/>
      <c r="E490" s="7"/>
      <c r="F490" s="7"/>
      <c r="G490" s="7"/>
      <c r="H490" s="7"/>
      <c r="I490" s="7"/>
      <c r="J490" s="7"/>
      <c r="K490" s="38" t="str">
        <f t="shared" si="22"/>
        <v/>
      </c>
      <c r="L490" s="37" t="str">
        <f t="shared" ca="1" si="23"/>
        <v/>
      </c>
      <c r="M490" s="7"/>
      <c r="P490" s="67"/>
      <c r="X490" s="70"/>
    </row>
    <row r="491" spans="1:24">
      <c r="A491" s="7">
        <f t="shared" si="21"/>
        <v>486</v>
      </c>
      <c r="B491" s="26"/>
      <c r="C491" s="8"/>
      <c r="D491" s="7"/>
      <c r="E491" s="7"/>
      <c r="F491" s="7"/>
      <c r="G491" s="7"/>
      <c r="H491" s="7"/>
      <c r="I491" s="7"/>
      <c r="J491" s="7"/>
      <c r="K491" s="38" t="str">
        <f t="shared" si="22"/>
        <v/>
      </c>
      <c r="L491" s="37" t="str">
        <f t="shared" ca="1" si="23"/>
        <v/>
      </c>
      <c r="M491" s="7"/>
      <c r="P491" s="67"/>
      <c r="X491" s="70"/>
    </row>
    <row r="492" spans="1:24">
      <c r="A492" s="7">
        <f t="shared" si="21"/>
        <v>487</v>
      </c>
      <c r="B492" s="26"/>
      <c r="C492" s="8"/>
      <c r="D492" s="7"/>
      <c r="E492" s="7"/>
      <c r="F492" s="7"/>
      <c r="G492" s="7"/>
      <c r="H492" s="7"/>
      <c r="I492" s="7"/>
      <c r="J492" s="7"/>
      <c r="K492" s="38" t="str">
        <f t="shared" si="22"/>
        <v/>
      </c>
      <c r="L492" s="37" t="str">
        <f t="shared" ca="1" si="23"/>
        <v/>
      </c>
      <c r="M492" s="7"/>
      <c r="P492" s="67"/>
      <c r="X492" s="70"/>
    </row>
    <row r="493" spans="1:24">
      <c r="A493" s="7">
        <f t="shared" si="21"/>
        <v>488</v>
      </c>
      <c r="B493" s="26"/>
      <c r="C493" s="8"/>
      <c r="D493" s="7"/>
      <c r="E493" s="7"/>
      <c r="F493" s="7"/>
      <c r="G493" s="7"/>
      <c r="H493" s="7"/>
      <c r="I493" s="7"/>
      <c r="J493" s="7"/>
      <c r="K493" s="38" t="str">
        <f t="shared" si="22"/>
        <v/>
      </c>
      <c r="L493" s="37" t="str">
        <f t="shared" ca="1" si="23"/>
        <v/>
      </c>
      <c r="M493" s="7"/>
      <c r="P493" s="67"/>
      <c r="X493" s="70"/>
    </row>
    <row r="494" spans="1:24">
      <c r="A494" s="7">
        <f t="shared" si="21"/>
        <v>489</v>
      </c>
      <c r="B494" s="26"/>
      <c r="C494" s="8"/>
      <c r="D494" s="7"/>
      <c r="E494" s="7"/>
      <c r="F494" s="7"/>
      <c r="G494" s="7"/>
      <c r="H494" s="7"/>
      <c r="I494" s="7"/>
      <c r="J494" s="7"/>
      <c r="K494" s="38" t="str">
        <f t="shared" si="22"/>
        <v/>
      </c>
      <c r="L494" s="37" t="str">
        <f t="shared" ca="1" si="23"/>
        <v/>
      </c>
      <c r="M494" s="7"/>
      <c r="P494" s="67"/>
      <c r="X494" s="70"/>
    </row>
    <row r="495" spans="1:24">
      <c r="A495" s="7">
        <f t="shared" si="21"/>
        <v>490</v>
      </c>
      <c r="B495" s="26"/>
      <c r="C495" s="8"/>
      <c r="D495" s="7"/>
      <c r="E495" s="7"/>
      <c r="F495" s="7"/>
      <c r="G495" s="7"/>
      <c r="H495" s="7"/>
      <c r="I495" s="7"/>
      <c r="J495" s="7"/>
      <c r="K495" s="38" t="str">
        <f t="shared" si="22"/>
        <v/>
      </c>
      <c r="L495" s="37" t="str">
        <f t="shared" ca="1" si="23"/>
        <v/>
      </c>
      <c r="M495" s="7"/>
      <c r="P495" s="67"/>
      <c r="X495" s="70"/>
    </row>
    <row r="496" spans="1:24">
      <c r="A496" s="7">
        <f t="shared" si="21"/>
        <v>491</v>
      </c>
      <c r="B496" s="26"/>
      <c r="C496" s="8"/>
      <c r="D496" s="7"/>
      <c r="E496" s="7"/>
      <c r="F496" s="7"/>
      <c r="G496" s="7"/>
      <c r="H496" s="7"/>
      <c r="I496" s="7"/>
      <c r="J496" s="7"/>
      <c r="K496" s="38" t="str">
        <f t="shared" si="22"/>
        <v/>
      </c>
      <c r="L496" s="37" t="str">
        <f t="shared" ca="1" si="23"/>
        <v/>
      </c>
      <c r="M496" s="7"/>
      <c r="P496" s="67"/>
      <c r="X496" s="70"/>
    </row>
    <row r="497" spans="1:24">
      <c r="A497" s="7">
        <f t="shared" si="21"/>
        <v>492</v>
      </c>
      <c r="B497" s="26"/>
      <c r="C497" s="8"/>
      <c r="D497" s="7"/>
      <c r="E497" s="7"/>
      <c r="F497" s="7"/>
      <c r="G497" s="7"/>
      <c r="H497" s="7"/>
      <c r="I497" s="7"/>
      <c r="J497" s="7"/>
      <c r="K497" s="38" t="str">
        <f t="shared" si="22"/>
        <v/>
      </c>
      <c r="L497" s="37" t="str">
        <f t="shared" ca="1" si="23"/>
        <v/>
      </c>
      <c r="M497" s="7"/>
      <c r="P497" s="67"/>
      <c r="X497" s="70"/>
    </row>
    <row r="498" spans="1:24">
      <c r="A498" s="7">
        <f t="shared" si="21"/>
        <v>493</v>
      </c>
      <c r="B498" s="26"/>
      <c r="C498" s="8"/>
      <c r="D498" s="7"/>
      <c r="E498" s="7"/>
      <c r="F498" s="7"/>
      <c r="G498" s="7"/>
      <c r="H498" s="7"/>
      <c r="I498" s="7"/>
      <c r="J498" s="7"/>
      <c r="K498" s="38" t="str">
        <f t="shared" si="22"/>
        <v/>
      </c>
      <c r="L498" s="37" t="str">
        <f t="shared" ca="1" si="23"/>
        <v/>
      </c>
      <c r="M498" s="7"/>
      <c r="P498" s="67"/>
      <c r="X498" s="70"/>
    </row>
    <row r="499" spans="1:24">
      <c r="A499" s="7">
        <f t="shared" si="21"/>
        <v>494</v>
      </c>
      <c r="B499" s="26"/>
      <c r="C499" s="8"/>
      <c r="D499" s="7"/>
      <c r="E499" s="7"/>
      <c r="F499" s="7"/>
      <c r="G499" s="7"/>
      <c r="H499" s="7"/>
      <c r="I499" s="7"/>
      <c r="J499" s="7"/>
      <c r="K499" s="38" t="str">
        <f t="shared" si="22"/>
        <v/>
      </c>
      <c r="L499" s="37" t="str">
        <f t="shared" ca="1" si="23"/>
        <v/>
      </c>
      <c r="M499" s="7"/>
      <c r="P499" s="67"/>
      <c r="X499" s="70"/>
    </row>
    <row r="500" spans="1:24">
      <c r="A500" s="7">
        <f t="shared" si="21"/>
        <v>495</v>
      </c>
      <c r="B500" s="26"/>
      <c r="C500" s="8"/>
      <c r="D500" s="7"/>
      <c r="E500" s="7"/>
      <c r="F500" s="7"/>
      <c r="G500" s="7"/>
      <c r="H500" s="7"/>
      <c r="I500" s="7"/>
      <c r="J500" s="7"/>
      <c r="K500" s="38" t="str">
        <f t="shared" si="22"/>
        <v/>
      </c>
      <c r="L500" s="37" t="str">
        <f t="shared" ca="1" si="23"/>
        <v/>
      </c>
      <c r="M500" s="7"/>
      <c r="P500" s="67"/>
      <c r="X500" s="70"/>
    </row>
    <row r="501" spans="1:24">
      <c r="A501" s="7">
        <f t="shared" si="21"/>
        <v>496</v>
      </c>
      <c r="B501" s="26"/>
      <c r="C501" s="8"/>
      <c r="D501" s="7"/>
      <c r="E501" s="7"/>
      <c r="F501" s="7"/>
      <c r="G501" s="7"/>
      <c r="H501" s="7"/>
      <c r="I501" s="7"/>
      <c r="J501" s="7"/>
      <c r="K501" s="38" t="str">
        <f t="shared" si="22"/>
        <v/>
      </c>
      <c r="L501" s="37" t="str">
        <f t="shared" ca="1" si="23"/>
        <v/>
      </c>
      <c r="M501" s="7"/>
      <c r="P501" s="67"/>
      <c r="X501" s="70"/>
    </row>
    <row r="502" spans="1:24">
      <c r="A502" s="7">
        <f t="shared" si="21"/>
        <v>497</v>
      </c>
      <c r="B502" s="26"/>
      <c r="C502" s="8"/>
      <c r="D502" s="7"/>
      <c r="E502" s="7"/>
      <c r="F502" s="7"/>
      <c r="G502" s="7"/>
      <c r="H502" s="7"/>
      <c r="I502" s="7"/>
      <c r="J502" s="7"/>
      <c r="K502" s="38" t="str">
        <f t="shared" si="22"/>
        <v/>
      </c>
      <c r="L502" s="37" t="str">
        <f t="shared" ca="1" si="23"/>
        <v/>
      </c>
      <c r="M502" s="7"/>
      <c r="P502" s="67"/>
      <c r="X502" s="70"/>
    </row>
    <row r="503" spans="1:24">
      <c r="A503" s="7">
        <f t="shared" si="21"/>
        <v>498</v>
      </c>
      <c r="B503" s="26"/>
      <c r="C503" s="8"/>
      <c r="D503" s="7"/>
      <c r="E503" s="7"/>
      <c r="F503" s="7"/>
      <c r="G503" s="7"/>
      <c r="H503" s="7"/>
      <c r="I503" s="7"/>
      <c r="J503" s="7"/>
      <c r="K503" s="38" t="str">
        <f t="shared" si="22"/>
        <v/>
      </c>
      <c r="L503" s="37" t="str">
        <f t="shared" ca="1" si="23"/>
        <v/>
      </c>
      <c r="M503" s="7"/>
      <c r="P503" s="67"/>
      <c r="X503" s="70"/>
    </row>
    <row r="504" spans="1:24">
      <c r="A504" s="7">
        <f t="shared" si="21"/>
        <v>499</v>
      </c>
      <c r="B504" s="26"/>
      <c r="C504" s="8"/>
      <c r="D504" s="7"/>
      <c r="E504" s="7"/>
      <c r="F504" s="7"/>
      <c r="G504" s="7"/>
      <c r="H504" s="7"/>
      <c r="I504" s="7"/>
      <c r="J504" s="7"/>
      <c r="K504" s="38" t="str">
        <f t="shared" si="22"/>
        <v/>
      </c>
      <c r="L504" s="37" t="str">
        <f t="shared" ca="1" si="23"/>
        <v/>
      </c>
      <c r="M504" s="7"/>
      <c r="P504" s="67"/>
      <c r="X504" s="70"/>
    </row>
    <row r="505" spans="1:24">
      <c r="A505" s="7">
        <f t="shared" si="21"/>
        <v>500</v>
      </c>
      <c r="B505" s="26"/>
      <c r="C505" s="8"/>
      <c r="D505" s="7"/>
      <c r="E505" s="7"/>
      <c r="F505" s="7"/>
      <c r="G505" s="7"/>
      <c r="H505" s="7"/>
      <c r="I505" s="7"/>
      <c r="J505" s="7"/>
      <c r="K505" s="38" t="str">
        <f t="shared" si="22"/>
        <v/>
      </c>
      <c r="L505" s="37" t="str">
        <f t="shared" ca="1" si="23"/>
        <v/>
      </c>
      <c r="M505" s="7"/>
      <c r="P505" s="67"/>
      <c r="X505" s="70"/>
    </row>
    <row r="506" spans="1:24">
      <c r="A506" s="7">
        <f t="shared" si="21"/>
        <v>501</v>
      </c>
      <c r="B506" s="26"/>
      <c r="C506" s="8"/>
      <c r="D506" s="7"/>
      <c r="E506" s="7"/>
      <c r="F506" s="7"/>
      <c r="G506" s="7"/>
      <c r="H506" s="7"/>
      <c r="I506" s="7"/>
      <c r="J506" s="7"/>
      <c r="K506" s="38" t="str">
        <f t="shared" si="22"/>
        <v/>
      </c>
      <c r="L506" s="37" t="str">
        <f t="shared" ca="1" si="23"/>
        <v/>
      </c>
      <c r="M506" s="7"/>
      <c r="P506" s="67"/>
      <c r="X506" s="70"/>
    </row>
    <row r="507" spans="1:24">
      <c r="A507" s="7">
        <f t="shared" si="21"/>
        <v>502</v>
      </c>
      <c r="B507" s="26"/>
      <c r="C507" s="8"/>
      <c r="D507" s="7"/>
      <c r="E507" s="7"/>
      <c r="F507" s="7"/>
      <c r="G507" s="7"/>
      <c r="H507" s="7"/>
      <c r="I507" s="7"/>
      <c r="J507" s="7"/>
      <c r="K507" s="38" t="str">
        <f t="shared" si="22"/>
        <v/>
      </c>
      <c r="L507" s="37" t="str">
        <f t="shared" ca="1" si="23"/>
        <v/>
      </c>
      <c r="M507" s="7"/>
      <c r="P507" s="67"/>
      <c r="X507" s="70"/>
    </row>
    <row r="508" spans="1:24">
      <c r="A508" s="7">
        <f t="shared" si="21"/>
        <v>503</v>
      </c>
      <c r="B508" s="26"/>
      <c r="C508" s="8"/>
      <c r="D508" s="7"/>
      <c r="E508" s="7"/>
      <c r="F508" s="7"/>
      <c r="G508" s="7"/>
      <c r="H508" s="7"/>
      <c r="I508" s="7"/>
      <c r="J508" s="7"/>
      <c r="K508" s="38" t="str">
        <f t="shared" si="22"/>
        <v/>
      </c>
      <c r="L508" s="37" t="str">
        <f t="shared" ca="1" si="23"/>
        <v/>
      </c>
      <c r="M508" s="7"/>
      <c r="P508" s="67"/>
      <c r="X508" s="70"/>
    </row>
    <row r="509" spans="1:24">
      <c r="A509" s="7">
        <f t="shared" si="21"/>
        <v>504</v>
      </c>
      <c r="B509" s="26"/>
      <c r="C509" s="8"/>
      <c r="D509" s="7"/>
      <c r="E509" s="7"/>
      <c r="F509" s="7"/>
      <c r="G509" s="7"/>
      <c r="H509" s="7"/>
      <c r="I509" s="7"/>
      <c r="J509" s="7"/>
      <c r="K509" s="38" t="str">
        <f t="shared" si="22"/>
        <v/>
      </c>
      <c r="L509" s="37" t="str">
        <f t="shared" ca="1" si="23"/>
        <v/>
      </c>
      <c r="M509" s="7"/>
      <c r="P509" s="67"/>
      <c r="X509" s="70"/>
    </row>
    <row r="510" spans="1:24">
      <c r="A510" s="7">
        <f t="shared" si="21"/>
        <v>505</v>
      </c>
      <c r="B510" s="26"/>
      <c r="C510" s="8"/>
      <c r="D510" s="7"/>
      <c r="E510" s="7"/>
      <c r="F510" s="7"/>
      <c r="G510" s="7"/>
      <c r="H510" s="7"/>
      <c r="I510" s="7"/>
      <c r="J510" s="7"/>
      <c r="K510" s="38" t="str">
        <f t="shared" si="22"/>
        <v/>
      </c>
      <c r="L510" s="37" t="str">
        <f t="shared" ca="1" si="23"/>
        <v/>
      </c>
      <c r="M510" s="7"/>
      <c r="P510" s="67"/>
      <c r="X510" s="70"/>
    </row>
    <row r="511" spans="1:24">
      <c r="A511" s="7">
        <f t="shared" si="21"/>
        <v>506</v>
      </c>
      <c r="B511" s="26"/>
      <c r="C511" s="8"/>
      <c r="D511" s="7"/>
      <c r="E511" s="7"/>
      <c r="F511" s="7"/>
      <c r="G511" s="7"/>
      <c r="H511" s="7"/>
      <c r="I511" s="7"/>
      <c r="J511" s="7"/>
      <c r="K511" s="38" t="str">
        <f t="shared" si="22"/>
        <v/>
      </c>
      <c r="L511" s="37" t="str">
        <f t="shared" ca="1" si="23"/>
        <v/>
      </c>
      <c r="M511" s="7"/>
      <c r="P511" s="67"/>
      <c r="X511" s="70"/>
    </row>
    <row r="512" spans="1:24">
      <c r="A512" s="7">
        <f t="shared" si="21"/>
        <v>507</v>
      </c>
      <c r="B512" s="26"/>
      <c r="C512" s="8"/>
      <c r="D512" s="7"/>
      <c r="E512" s="7"/>
      <c r="F512" s="7"/>
      <c r="G512" s="7"/>
      <c r="H512" s="7"/>
      <c r="I512" s="7"/>
      <c r="J512" s="7"/>
      <c r="K512" s="38" t="str">
        <f t="shared" si="22"/>
        <v/>
      </c>
      <c r="L512" s="37" t="str">
        <f t="shared" ca="1" si="23"/>
        <v/>
      </c>
      <c r="M512" s="7"/>
      <c r="P512" s="67"/>
      <c r="X512" s="70"/>
    </row>
    <row r="513" spans="1:24">
      <c r="A513" s="7">
        <f t="shared" si="21"/>
        <v>508</v>
      </c>
      <c r="B513" s="26"/>
      <c r="C513" s="8"/>
      <c r="D513" s="7"/>
      <c r="E513" s="7"/>
      <c r="F513" s="7"/>
      <c r="G513" s="7"/>
      <c r="H513" s="7"/>
      <c r="I513" s="7"/>
      <c r="J513" s="7"/>
      <c r="K513" s="38" t="str">
        <f t="shared" si="22"/>
        <v/>
      </c>
      <c r="L513" s="37" t="str">
        <f t="shared" ca="1" si="23"/>
        <v/>
      </c>
      <c r="M513" s="7"/>
      <c r="P513" s="67"/>
      <c r="X513" s="70"/>
    </row>
    <row r="514" spans="1:24">
      <c r="A514" s="7">
        <f t="shared" si="21"/>
        <v>509</v>
      </c>
      <c r="B514" s="26"/>
      <c r="C514" s="8"/>
      <c r="D514" s="7"/>
      <c r="E514" s="7"/>
      <c r="F514" s="7"/>
      <c r="G514" s="7"/>
      <c r="H514" s="7"/>
      <c r="I514" s="7"/>
      <c r="J514" s="7"/>
      <c r="K514" s="38" t="str">
        <f t="shared" si="22"/>
        <v/>
      </c>
      <c r="L514" s="37" t="str">
        <f t="shared" ca="1" si="23"/>
        <v/>
      </c>
      <c r="M514" s="7"/>
      <c r="P514" s="67"/>
      <c r="X514" s="70"/>
    </row>
    <row r="515" spans="1:24">
      <c r="A515" s="7">
        <f t="shared" si="21"/>
        <v>510</v>
      </c>
      <c r="B515" s="26"/>
      <c r="C515" s="8"/>
      <c r="D515" s="7"/>
      <c r="E515" s="7"/>
      <c r="F515" s="7"/>
      <c r="G515" s="7"/>
      <c r="H515" s="7"/>
      <c r="I515" s="7"/>
      <c r="J515" s="7"/>
      <c r="K515" s="38" t="str">
        <f t="shared" si="22"/>
        <v/>
      </c>
      <c r="L515" s="37" t="str">
        <f t="shared" ca="1" si="23"/>
        <v/>
      </c>
      <c r="M515" s="7"/>
      <c r="P515" s="67"/>
      <c r="X515" s="70"/>
    </row>
    <row r="516" spans="1:24">
      <c r="A516" s="7">
        <f t="shared" si="21"/>
        <v>511</v>
      </c>
      <c r="B516" s="26"/>
      <c r="C516" s="8"/>
      <c r="D516" s="7"/>
      <c r="E516" s="7"/>
      <c r="F516" s="7"/>
      <c r="G516" s="7"/>
      <c r="H516" s="7"/>
      <c r="I516" s="7"/>
      <c r="J516" s="7"/>
      <c r="K516" s="38" t="str">
        <f t="shared" si="22"/>
        <v/>
      </c>
      <c r="L516" s="37" t="str">
        <f t="shared" ca="1" si="23"/>
        <v/>
      </c>
      <c r="M516" s="7"/>
      <c r="P516" s="67"/>
      <c r="X516" s="70"/>
    </row>
    <row r="517" spans="1:24">
      <c r="A517" s="7">
        <f t="shared" si="21"/>
        <v>512</v>
      </c>
      <c r="B517" s="26"/>
      <c r="C517" s="8"/>
      <c r="D517" s="7"/>
      <c r="E517" s="7"/>
      <c r="F517" s="7"/>
      <c r="G517" s="7"/>
      <c r="H517" s="7"/>
      <c r="I517" s="7"/>
      <c r="J517" s="7"/>
      <c r="K517" s="38" t="str">
        <f t="shared" si="22"/>
        <v/>
      </c>
      <c r="L517" s="37" t="str">
        <f t="shared" ca="1" si="23"/>
        <v/>
      </c>
      <c r="M517" s="7"/>
      <c r="P517" s="67"/>
      <c r="X517" s="70"/>
    </row>
    <row r="518" spans="1:24">
      <c r="A518" s="7">
        <f t="shared" si="21"/>
        <v>513</v>
      </c>
      <c r="B518" s="26"/>
      <c r="C518" s="8"/>
      <c r="D518" s="7"/>
      <c r="E518" s="7"/>
      <c r="F518" s="7"/>
      <c r="G518" s="7"/>
      <c r="H518" s="7"/>
      <c r="I518" s="7"/>
      <c r="J518" s="7"/>
      <c r="K518" s="38" t="str">
        <f t="shared" si="22"/>
        <v/>
      </c>
      <c r="L518" s="37" t="str">
        <f t="shared" ca="1" si="23"/>
        <v/>
      </c>
      <c r="M518" s="7"/>
      <c r="P518" s="67"/>
      <c r="X518" s="70"/>
    </row>
    <row r="519" spans="1:24">
      <c r="A519" s="7">
        <f t="shared" ref="A519:A582" si="24">ROW(A514)</f>
        <v>514</v>
      </c>
      <c r="B519" s="26"/>
      <c r="C519" s="8"/>
      <c r="D519" s="7"/>
      <c r="E519" s="7"/>
      <c r="F519" s="7"/>
      <c r="G519" s="7"/>
      <c r="H519" s="7"/>
      <c r="I519" s="7"/>
      <c r="J519" s="7"/>
      <c r="K519" s="38" t="str">
        <f t="shared" ref="K519:K582" si="25">IF(C519&gt;0,C519+J519-1,"")</f>
        <v/>
      </c>
      <c r="L519" s="37" t="str">
        <f t="shared" ref="L519:L582" ca="1" si="26">IF(K519="","",IF(TODAY()&gt;K519,"YES","No"))</f>
        <v/>
      </c>
      <c r="M519" s="7"/>
      <c r="P519" s="67"/>
      <c r="X519" s="70"/>
    </row>
    <row r="520" spans="1:24">
      <c r="A520" s="7">
        <f t="shared" si="24"/>
        <v>515</v>
      </c>
      <c r="B520" s="26"/>
      <c r="C520" s="8"/>
      <c r="D520" s="7"/>
      <c r="E520" s="7"/>
      <c r="F520" s="7"/>
      <c r="G520" s="7"/>
      <c r="H520" s="7"/>
      <c r="I520" s="7"/>
      <c r="J520" s="7"/>
      <c r="K520" s="38" t="str">
        <f t="shared" si="25"/>
        <v/>
      </c>
      <c r="L520" s="37" t="str">
        <f t="shared" ca="1" si="26"/>
        <v/>
      </c>
      <c r="M520" s="7"/>
      <c r="P520" s="67"/>
      <c r="X520" s="70"/>
    </row>
    <row r="521" spans="1:24">
      <c r="A521" s="7">
        <f t="shared" si="24"/>
        <v>516</v>
      </c>
      <c r="B521" s="26"/>
      <c r="C521" s="8"/>
      <c r="D521" s="7"/>
      <c r="E521" s="7"/>
      <c r="F521" s="7"/>
      <c r="G521" s="7"/>
      <c r="H521" s="7"/>
      <c r="I521" s="7"/>
      <c r="J521" s="7"/>
      <c r="K521" s="38" t="str">
        <f t="shared" si="25"/>
        <v/>
      </c>
      <c r="L521" s="37" t="str">
        <f t="shared" ca="1" si="26"/>
        <v/>
      </c>
      <c r="M521" s="7"/>
      <c r="P521" s="67"/>
      <c r="X521" s="70"/>
    </row>
    <row r="522" spans="1:24">
      <c r="A522" s="7">
        <f t="shared" si="24"/>
        <v>517</v>
      </c>
      <c r="B522" s="26"/>
      <c r="C522" s="8"/>
      <c r="D522" s="7"/>
      <c r="E522" s="7"/>
      <c r="F522" s="7"/>
      <c r="G522" s="7"/>
      <c r="H522" s="7"/>
      <c r="I522" s="7"/>
      <c r="J522" s="7"/>
      <c r="K522" s="38" t="str">
        <f t="shared" si="25"/>
        <v/>
      </c>
      <c r="L522" s="37" t="str">
        <f t="shared" ca="1" si="26"/>
        <v/>
      </c>
      <c r="M522" s="7"/>
      <c r="P522" s="67"/>
      <c r="X522" s="70"/>
    </row>
    <row r="523" spans="1:24">
      <c r="A523" s="7">
        <f t="shared" si="24"/>
        <v>518</v>
      </c>
      <c r="B523" s="26"/>
      <c r="C523" s="8"/>
      <c r="D523" s="7"/>
      <c r="E523" s="7"/>
      <c r="F523" s="7"/>
      <c r="G523" s="7"/>
      <c r="H523" s="7"/>
      <c r="I523" s="7"/>
      <c r="J523" s="7"/>
      <c r="K523" s="38" t="str">
        <f t="shared" si="25"/>
        <v/>
      </c>
      <c r="L523" s="37" t="str">
        <f t="shared" ca="1" si="26"/>
        <v/>
      </c>
      <c r="M523" s="7"/>
      <c r="P523" s="67"/>
      <c r="X523" s="70"/>
    </row>
    <row r="524" spans="1:24">
      <c r="A524" s="7">
        <f t="shared" si="24"/>
        <v>519</v>
      </c>
      <c r="B524" s="26"/>
      <c r="C524" s="8"/>
      <c r="D524" s="7"/>
      <c r="E524" s="7"/>
      <c r="F524" s="7"/>
      <c r="G524" s="7"/>
      <c r="H524" s="7"/>
      <c r="I524" s="7"/>
      <c r="J524" s="7"/>
      <c r="K524" s="38" t="str">
        <f t="shared" si="25"/>
        <v/>
      </c>
      <c r="L524" s="37" t="str">
        <f t="shared" ca="1" si="26"/>
        <v/>
      </c>
      <c r="M524" s="7"/>
      <c r="P524" s="67"/>
      <c r="X524" s="70"/>
    </row>
    <row r="525" spans="1:24">
      <c r="A525" s="7">
        <f t="shared" si="24"/>
        <v>520</v>
      </c>
      <c r="B525" s="26"/>
      <c r="C525" s="8"/>
      <c r="D525" s="7"/>
      <c r="E525" s="7"/>
      <c r="F525" s="7"/>
      <c r="G525" s="7"/>
      <c r="H525" s="7"/>
      <c r="I525" s="7"/>
      <c r="J525" s="7"/>
      <c r="K525" s="38" t="str">
        <f t="shared" si="25"/>
        <v/>
      </c>
      <c r="L525" s="37" t="str">
        <f t="shared" ca="1" si="26"/>
        <v/>
      </c>
      <c r="M525" s="7"/>
      <c r="P525" s="67"/>
      <c r="X525" s="70"/>
    </row>
    <row r="526" spans="1:24">
      <c r="A526" s="7">
        <f t="shared" si="24"/>
        <v>521</v>
      </c>
      <c r="B526" s="26"/>
      <c r="C526" s="8"/>
      <c r="D526" s="7"/>
      <c r="E526" s="7"/>
      <c r="F526" s="7"/>
      <c r="G526" s="7"/>
      <c r="H526" s="7"/>
      <c r="I526" s="7"/>
      <c r="J526" s="7"/>
      <c r="K526" s="38" t="str">
        <f t="shared" si="25"/>
        <v/>
      </c>
      <c r="L526" s="37" t="str">
        <f t="shared" ca="1" si="26"/>
        <v/>
      </c>
      <c r="M526" s="7"/>
      <c r="P526" s="67"/>
      <c r="X526" s="70"/>
    </row>
    <row r="527" spans="1:24">
      <c r="A527" s="7">
        <f t="shared" si="24"/>
        <v>522</v>
      </c>
      <c r="B527" s="26"/>
      <c r="C527" s="8"/>
      <c r="D527" s="7"/>
      <c r="E527" s="7"/>
      <c r="F527" s="7"/>
      <c r="G527" s="7"/>
      <c r="H527" s="7"/>
      <c r="I527" s="7"/>
      <c r="J527" s="7"/>
      <c r="K527" s="38" t="str">
        <f t="shared" si="25"/>
        <v/>
      </c>
      <c r="L527" s="37" t="str">
        <f t="shared" ca="1" si="26"/>
        <v/>
      </c>
      <c r="M527" s="7"/>
      <c r="P527" s="67"/>
      <c r="X527" s="70"/>
    </row>
    <row r="528" spans="1:24">
      <c r="A528" s="7">
        <f t="shared" si="24"/>
        <v>523</v>
      </c>
      <c r="B528" s="26"/>
      <c r="C528" s="8"/>
      <c r="D528" s="7"/>
      <c r="E528" s="7"/>
      <c r="F528" s="7"/>
      <c r="G528" s="7"/>
      <c r="H528" s="7"/>
      <c r="I528" s="7"/>
      <c r="J528" s="7"/>
      <c r="K528" s="38" t="str">
        <f t="shared" si="25"/>
        <v/>
      </c>
      <c r="L528" s="37" t="str">
        <f t="shared" ca="1" si="26"/>
        <v/>
      </c>
      <c r="M528" s="7"/>
      <c r="P528" s="67"/>
      <c r="X528" s="70"/>
    </row>
    <row r="529" spans="1:24">
      <c r="A529" s="7">
        <f t="shared" si="24"/>
        <v>524</v>
      </c>
      <c r="B529" s="26"/>
      <c r="C529" s="8"/>
      <c r="D529" s="7"/>
      <c r="E529" s="7"/>
      <c r="F529" s="7"/>
      <c r="G529" s="7"/>
      <c r="H529" s="7"/>
      <c r="I529" s="7"/>
      <c r="J529" s="7"/>
      <c r="K529" s="38" t="str">
        <f t="shared" si="25"/>
        <v/>
      </c>
      <c r="L529" s="37" t="str">
        <f t="shared" ca="1" si="26"/>
        <v/>
      </c>
      <c r="M529" s="7"/>
      <c r="P529" s="67"/>
      <c r="X529" s="70"/>
    </row>
    <row r="530" spans="1:24">
      <c r="A530" s="7">
        <f t="shared" si="24"/>
        <v>525</v>
      </c>
      <c r="B530" s="26"/>
      <c r="C530" s="8"/>
      <c r="D530" s="7"/>
      <c r="E530" s="7"/>
      <c r="F530" s="7"/>
      <c r="G530" s="7"/>
      <c r="H530" s="7"/>
      <c r="I530" s="7"/>
      <c r="J530" s="7"/>
      <c r="K530" s="38" t="str">
        <f t="shared" si="25"/>
        <v/>
      </c>
      <c r="L530" s="37" t="str">
        <f t="shared" ca="1" si="26"/>
        <v/>
      </c>
      <c r="M530" s="7"/>
      <c r="P530" s="67"/>
      <c r="X530" s="70"/>
    </row>
    <row r="531" spans="1:24">
      <c r="A531" s="7">
        <f t="shared" si="24"/>
        <v>526</v>
      </c>
      <c r="B531" s="26"/>
      <c r="C531" s="8"/>
      <c r="D531" s="7"/>
      <c r="E531" s="7"/>
      <c r="F531" s="7"/>
      <c r="G531" s="7"/>
      <c r="H531" s="7"/>
      <c r="I531" s="7"/>
      <c r="J531" s="7"/>
      <c r="K531" s="38" t="str">
        <f t="shared" si="25"/>
        <v/>
      </c>
      <c r="L531" s="37" t="str">
        <f t="shared" ca="1" si="26"/>
        <v/>
      </c>
      <c r="M531" s="7"/>
      <c r="P531" s="67"/>
      <c r="X531" s="70"/>
    </row>
    <row r="532" spans="1:24">
      <c r="A532" s="7">
        <f t="shared" si="24"/>
        <v>527</v>
      </c>
      <c r="B532" s="26"/>
      <c r="C532" s="8"/>
      <c r="D532" s="7"/>
      <c r="E532" s="7"/>
      <c r="F532" s="7"/>
      <c r="G532" s="7"/>
      <c r="H532" s="7"/>
      <c r="I532" s="7"/>
      <c r="J532" s="7"/>
      <c r="K532" s="38" t="str">
        <f t="shared" si="25"/>
        <v/>
      </c>
      <c r="L532" s="37" t="str">
        <f t="shared" ca="1" si="26"/>
        <v/>
      </c>
      <c r="M532" s="7"/>
      <c r="P532" s="67"/>
      <c r="X532" s="70"/>
    </row>
    <row r="533" spans="1:24">
      <c r="A533" s="7">
        <f t="shared" si="24"/>
        <v>528</v>
      </c>
      <c r="B533" s="26"/>
      <c r="C533" s="8"/>
      <c r="D533" s="7"/>
      <c r="E533" s="7"/>
      <c r="F533" s="7"/>
      <c r="G533" s="7"/>
      <c r="H533" s="7"/>
      <c r="I533" s="7"/>
      <c r="J533" s="7"/>
      <c r="K533" s="38" t="str">
        <f t="shared" si="25"/>
        <v/>
      </c>
      <c r="L533" s="37" t="str">
        <f t="shared" ca="1" si="26"/>
        <v/>
      </c>
      <c r="M533" s="7"/>
      <c r="P533" s="67"/>
      <c r="X533" s="70"/>
    </row>
    <row r="534" spans="1:24">
      <c r="A534" s="7">
        <f t="shared" si="24"/>
        <v>529</v>
      </c>
      <c r="B534" s="26"/>
      <c r="C534" s="8"/>
      <c r="D534" s="7"/>
      <c r="E534" s="7"/>
      <c r="F534" s="7"/>
      <c r="G534" s="7"/>
      <c r="H534" s="7"/>
      <c r="I534" s="7"/>
      <c r="J534" s="7"/>
      <c r="K534" s="38" t="str">
        <f t="shared" si="25"/>
        <v/>
      </c>
      <c r="L534" s="37" t="str">
        <f t="shared" ca="1" si="26"/>
        <v/>
      </c>
      <c r="M534" s="7"/>
      <c r="P534" s="67"/>
      <c r="X534" s="70"/>
    </row>
    <row r="535" spans="1:24">
      <c r="A535" s="7">
        <f t="shared" si="24"/>
        <v>530</v>
      </c>
      <c r="B535" s="26"/>
      <c r="C535" s="8"/>
      <c r="D535" s="7"/>
      <c r="E535" s="7"/>
      <c r="F535" s="7"/>
      <c r="G535" s="7"/>
      <c r="H535" s="7"/>
      <c r="I535" s="7"/>
      <c r="J535" s="7"/>
      <c r="K535" s="38" t="str">
        <f t="shared" si="25"/>
        <v/>
      </c>
      <c r="L535" s="37" t="str">
        <f t="shared" ca="1" si="26"/>
        <v/>
      </c>
      <c r="M535" s="7"/>
      <c r="P535" s="67"/>
      <c r="X535" s="70"/>
    </row>
    <row r="536" spans="1:24">
      <c r="A536" s="7">
        <f t="shared" si="24"/>
        <v>531</v>
      </c>
      <c r="B536" s="26"/>
      <c r="C536" s="8"/>
      <c r="D536" s="7"/>
      <c r="E536" s="7"/>
      <c r="F536" s="7"/>
      <c r="G536" s="7"/>
      <c r="H536" s="7"/>
      <c r="I536" s="7"/>
      <c r="J536" s="7"/>
      <c r="K536" s="38" t="str">
        <f t="shared" si="25"/>
        <v/>
      </c>
      <c r="L536" s="37" t="str">
        <f t="shared" ca="1" si="26"/>
        <v/>
      </c>
      <c r="M536" s="7"/>
      <c r="P536" s="67"/>
      <c r="X536" s="70"/>
    </row>
    <row r="537" spans="1:24">
      <c r="A537" s="7">
        <f t="shared" si="24"/>
        <v>532</v>
      </c>
      <c r="B537" s="26"/>
      <c r="C537" s="8"/>
      <c r="D537" s="7"/>
      <c r="E537" s="7"/>
      <c r="F537" s="7"/>
      <c r="G537" s="7"/>
      <c r="H537" s="7"/>
      <c r="I537" s="7"/>
      <c r="J537" s="7"/>
      <c r="K537" s="38" t="str">
        <f t="shared" si="25"/>
        <v/>
      </c>
      <c r="L537" s="37" t="str">
        <f t="shared" ca="1" si="26"/>
        <v/>
      </c>
      <c r="M537" s="7"/>
      <c r="P537" s="67"/>
      <c r="X537" s="70"/>
    </row>
    <row r="538" spans="1:24">
      <c r="A538" s="7">
        <f t="shared" si="24"/>
        <v>533</v>
      </c>
      <c r="B538" s="26"/>
      <c r="C538" s="8"/>
      <c r="D538" s="7"/>
      <c r="E538" s="7"/>
      <c r="F538" s="7"/>
      <c r="G538" s="7"/>
      <c r="H538" s="7"/>
      <c r="I538" s="7"/>
      <c r="J538" s="7"/>
      <c r="K538" s="38" t="str">
        <f t="shared" si="25"/>
        <v/>
      </c>
      <c r="L538" s="37" t="str">
        <f t="shared" ca="1" si="26"/>
        <v/>
      </c>
      <c r="M538" s="7"/>
      <c r="P538" s="67"/>
      <c r="X538" s="70"/>
    </row>
    <row r="539" spans="1:24">
      <c r="A539" s="7">
        <f t="shared" si="24"/>
        <v>534</v>
      </c>
      <c r="B539" s="26"/>
      <c r="C539" s="8"/>
      <c r="D539" s="7"/>
      <c r="E539" s="7"/>
      <c r="F539" s="7"/>
      <c r="G539" s="7"/>
      <c r="H539" s="7"/>
      <c r="I539" s="7"/>
      <c r="J539" s="7"/>
      <c r="K539" s="38" t="str">
        <f t="shared" si="25"/>
        <v/>
      </c>
      <c r="L539" s="37" t="str">
        <f t="shared" ca="1" si="26"/>
        <v/>
      </c>
      <c r="M539" s="7"/>
      <c r="P539" s="67"/>
      <c r="X539" s="70"/>
    </row>
    <row r="540" spans="1:24">
      <c r="A540" s="7">
        <f t="shared" si="24"/>
        <v>535</v>
      </c>
      <c r="B540" s="26"/>
      <c r="C540" s="8"/>
      <c r="D540" s="7"/>
      <c r="E540" s="7"/>
      <c r="F540" s="7"/>
      <c r="G540" s="7"/>
      <c r="H540" s="7"/>
      <c r="I540" s="7"/>
      <c r="J540" s="7"/>
      <c r="K540" s="38" t="str">
        <f t="shared" si="25"/>
        <v/>
      </c>
      <c r="L540" s="37" t="str">
        <f t="shared" ca="1" si="26"/>
        <v/>
      </c>
      <c r="M540" s="7"/>
      <c r="P540" s="67"/>
      <c r="X540" s="70"/>
    </row>
    <row r="541" spans="1:24">
      <c r="A541" s="7">
        <f t="shared" si="24"/>
        <v>536</v>
      </c>
      <c r="B541" s="26"/>
      <c r="C541" s="8"/>
      <c r="D541" s="7"/>
      <c r="E541" s="7"/>
      <c r="F541" s="7"/>
      <c r="G541" s="7"/>
      <c r="H541" s="7"/>
      <c r="I541" s="7"/>
      <c r="J541" s="7"/>
      <c r="K541" s="38" t="str">
        <f t="shared" si="25"/>
        <v/>
      </c>
      <c r="L541" s="37" t="str">
        <f t="shared" ca="1" si="26"/>
        <v/>
      </c>
      <c r="M541" s="7"/>
      <c r="P541" s="67"/>
      <c r="X541" s="70"/>
    </row>
    <row r="542" spans="1:24">
      <c r="A542" s="7">
        <f t="shared" si="24"/>
        <v>537</v>
      </c>
      <c r="B542" s="26"/>
      <c r="C542" s="8"/>
      <c r="D542" s="7"/>
      <c r="E542" s="7"/>
      <c r="F542" s="7"/>
      <c r="G542" s="7"/>
      <c r="H542" s="7"/>
      <c r="I542" s="7"/>
      <c r="J542" s="7"/>
      <c r="K542" s="38" t="str">
        <f t="shared" si="25"/>
        <v/>
      </c>
      <c r="L542" s="37" t="str">
        <f t="shared" ca="1" si="26"/>
        <v/>
      </c>
      <c r="M542" s="7"/>
      <c r="P542" s="67"/>
      <c r="X542" s="70"/>
    </row>
    <row r="543" spans="1:24">
      <c r="A543" s="7">
        <f t="shared" si="24"/>
        <v>538</v>
      </c>
      <c r="B543" s="26"/>
      <c r="C543" s="8"/>
      <c r="D543" s="7"/>
      <c r="E543" s="7"/>
      <c r="F543" s="7"/>
      <c r="G543" s="7"/>
      <c r="H543" s="7"/>
      <c r="I543" s="7"/>
      <c r="J543" s="7"/>
      <c r="K543" s="38" t="str">
        <f t="shared" si="25"/>
        <v/>
      </c>
      <c r="L543" s="37" t="str">
        <f t="shared" ca="1" si="26"/>
        <v/>
      </c>
      <c r="M543" s="7"/>
      <c r="P543" s="67"/>
      <c r="X543" s="70"/>
    </row>
    <row r="544" spans="1:24">
      <c r="A544" s="7">
        <f t="shared" si="24"/>
        <v>539</v>
      </c>
      <c r="B544" s="26"/>
      <c r="C544" s="8"/>
      <c r="D544" s="7"/>
      <c r="E544" s="7"/>
      <c r="F544" s="7"/>
      <c r="G544" s="7"/>
      <c r="H544" s="7"/>
      <c r="I544" s="7"/>
      <c r="J544" s="7"/>
      <c r="K544" s="38" t="str">
        <f t="shared" si="25"/>
        <v/>
      </c>
      <c r="L544" s="37" t="str">
        <f t="shared" ca="1" si="26"/>
        <v/>
      </c>
      <c r="M544" s="7"/>
      <c r="P544" s="67"/>
      <c r="X544" s="70"/>
    </row>
    <row r="545" spans="1:24">
      <c r="A545" s="7">
        <f t="shared" si="24"/>
        <v>540</v>
      </c>
      <c r="B545" s="26"/>
      <c r="C545" s="8"/>
      <c r="D545" s="7"/>
      <c r="E545" s="7"/>
      <c r="F545" s="7"/>
      <c r="G545" s="7"/>
      <c r="H545" s="7"/>
      <c r="I545" s="7"/>
      <c r="J545" s="7"/>
      <c r="K545" s="38" t="str">
        <f t="shared" si="25"/>
        <v/>
      </c>
      <c r="L545" s="37" t="str">
        <f t="shared" ca="1" si="26"/>
        <v/>
      </c>
      <c r="M545" s="7"/>
      <c r="P545" s="67"/>
      <c r="X545" s="70"/>
    </row>
    <row r="546" spans="1:24">
      <c r="A546" s="7">
        <f t="shared" si="24"/>
        <v>541</v>
      </c>
      <c r="B546" s="26"/>
      <c r="C546" s="8"/>
      <c r="D546" s="7"/>
      <c r="E546" s="7"/>
      <c r="F546" s="7"/>
      <c r="G546" s="7"/>
      <c r="H546" s="7"/>
      <c r="I546" s="7"/>
      <c r="J546" s="7"/>
      <c r="K546" s="38" t="str">
        <f t="shared" si="25"/>
        <v/>
      </c>
      <c r="L546" s="37" t="str">
        <f t="shared" ca="1" si="26"/>
        <v/>
      </c>
      <c r="M546" s="7"/>
      <c r="P546" s="67"/>
      <c r="X546" s="70"/>
    </row>
    <row r="547" spans="1:24">
      <c r="A547" s="7">
        <f t="shared" si="24"/>
        <v>542</v>
      </c>
      <c r="B547" s="26"/>
      <c r="C547" s="8"/>
      <c r="D547" s="7"/>
      <c r="E547" s="7"/>
      <c r="F547" s="7"/>
      <c r="G547" s="7"/>
      <c r="H547" s="7"/>
      <c r="I547" s="7"/>
      <c r="J547" s="7"/>
      <c r="K547" s="38" t="str">
        <f t="shared" si="25"/>
        <v/>
      </c>
      <c r="L547" s="37" t="str">
        <f t="shared" ca="1" si="26"/>
        <v/>
      </c>
      <c r="M547" s="7"/>
      <c r="P547" s="67"/>
      <c r="X547" s="70"/>
    </row>
    <row r="548" spans="1:24">
      <c r="A548" s="7">
        <f t="shared" si="24"/>
        <v>543</v>
      </c>
      <c r="B548" s="26"/>
      <c r="C548" s="8"/>
      <c r="D548" s="7"/>
      <c r="E548" s="7"/>
      <c r="F548" s="7"/>
      <c r="G548" s="7"/>
      <c r="H548" s="7"/>
      <c r="I548" s="7"/>
      <c r="J548" s="7"/>
      <c r="K548" s="38" t="str">
        <f t="shared" si="25"/>
        <v/>
      </c>
      <c r="L548" s="37" t="str">
        <f t="shared" ca="1" si="26"/>
        <v/>
      </c>
      <c r="M548" s="7"/>
      <c r="P548" s="67"/>
      <c r="X548" s="70"/>
    </row>
    <row r="549" spans="1:24">
      <c r="A549" s="7">
        <f t="shared" si="24"/>
        <v>544</v>
      </c>
      <c r="B549" s="26"/>
      <c r="C549" s="8"/>
      <c r="D549" s="7"/>
      <c r="E549" s="7"/>
      <c r="F549" s="7"/>
      <c r="G549" s="7"/>
      <c r="H549" s="7"/>
      <c r="I549" s="7"/>
      <c r="J549" s="7"/>
      <c r="K549" s="38" t="str">
        <f t="shared" si="25"/>
        <v/>
      </c>
      <c r="L549" s="37" t="str">
        <f t="shared" ca="1" si="26"/>
        <v/>
      </c>
      <c r="M549" s="7"/>
      <c r="P549" s="67"/>
      <c r="X549" s="70"/>
    </row>
    <row r="550" spans="1:24">
      <c r="A550" s="7">
        <f t="shared" si="24"/>
        <v>545</v>
      </c>
      <c r="B550" s="26"/>
      <c r="C550" s="8"/>
      <c r="D550" s="7"/>
      <c r="E550" s="7"/>
      <c r="F550" s="7"/>
      <c r="G550" s="7"/>
      <c r="H550" s="7"/>
      <c r="I550" s="7"/>
      <c r="J550" s="7"/>
      <c r="K550" s="38" t="str">
        <f t="shared" si="25"/>
        <v/>
      </c>
      <c r="L550" s="37" t="str">
        <f t="shared" ca="1" si="26"/>
        <v/>
      </c>
      <c r="M550" s="7"/>
      <c r="P550" s="67"/>
      <c r="X550" s="70"/>
    </row>
    <row r="551" spans="1:24">
      <c r="A551" s="7">
        <f t="shared" si="24"/>
        <v>546</v>
      </c>
      <c r="B551" s="26"/>
      <c r="C551" s="8"/>
      <c r="D551" s="7"/>
      <c r="E551" s="7"/>
      <c r="F551" s="7"/>
      <c r="G551" s="7"/>
      <c r="H551" s="7"/>
      <c r="I551" s="7"/>
      <c r="J551" s="7"/>
      <c r="K551" s="38" t="str">
        <f t="shared" si="25"/>
        <v/>
      </c>
      <c r="L551" s="37" t="str">
        <f t="shared" ca="1" si="26"/>
        <v/>
      </c>
      <c r="M551" s="7"/>
      <c r="P551" s="67"/>
      <c r="X551" s="70"/>
    </row>
    <row r="552" spans="1:24">
      <c r="A552" s="7">
        <f t="shared" si="24"/>
        <v>547</v>
      </c>
      <c r="B552" s="26"/>
      <c r="C552" s="8"/>
      <c r="D552" s="7"/>
      <c r="E552" s="7"/>
      <c r="F552" s="7"/>
      <c r="G552" s="7"/>
      <c r="H552" s="7"/>
      <c r="I552" s="7"/>
      <c r="J552" s="7"/>
      <c r="K552" s="38" t="str">
        <f t="shared" si="25"/>
        <v/>
      </c>
      <c r="L552" s="37" t="str">
        <f t="shared" ca="1" si="26"/>
        <v/>
      </c>
      <c r="M552" s="7"/>
      <c r="P552" s="67"/>
      <c r="X552" s="70"/>
    </row>
    <row r="553" spans="1:24">
      <c r="A553" s="7">
        <f t="shared" si="24"/>
        <v>548</v>
      </c>
      <c r="B553" s="26"/>
      <c r="C553" s="8"/>
      <c r="D553" s="7"/>
      <c r="E553" s="7"/>
      <c r="F553" s="7"/>
      <c r="G553" s="7"/>
      <c r="H553" s="7"/>
      <c r="I553" s="7"/>
      <c r="J553" s="7"/>
      <c r="K553" s="38" t="str">
        <f t="shared" si="25"/>
        <v/>
      </c>
      <c r="L553" s="37" t="str">
        <f t="shared" ca="1" si="26"/>
        <v/>
      </c>
      <c r="M553" s="7"/>
      <c r="P553" s="67"/>
      <c r="X553" s="70"/>
    </row>
    <row r="554" spans="1:24">
      <c r="A554" s="7">
        <f t="shared" si="24"/>
        <v>549</v>
      </c>
      <c r="B554" s="26"/>
      <c r="C554" s="8"/>
      <c r="D554" s="7"/>
      <c r="E554" s="7"/>
      <c r="F554" s="7"/>
      <c r="G554" s="7"/>
      <c r="H554" s="7"/>
      <c r="I554" s="7"/>
      <c r="J554" s="7"/>
      <c r="K554" s="38" t="str">
        <f t="shared" si="25"/>
        <v/>
      </c>
      <c r="L554" s="37" t="str">
        <f t="shared" ca="1" si="26"/>
        <v/>
      </c>
      <c r="M554" s="7"/>
      <c r="P554" s="67"/>
      <c r="X554" s="70"/>
    </row>
    <row r="555" spans="1:24">
      <c r="A555" s="7">
        <f t="shared" si="24"/>
        <v>550</v>
      </c>
      <c r="B555" s="26"/>
      <c r="C555" s="8"/>
      <c r="D555" s="7"/>
      <c r="E555" s="7"/>
      <c r="F555" s="7"/>
      <c r="G555" s="7"/>
      <c r="H555" s="7"/>
      <c r="I555" s="7"/>
      <c r="J555" s="7"/>
      <c r="K555" s="38" t="str">
        <f t="shared" si="25"/>
        <v/>
      </c>
      <c r="L555" s="37" t="str">
        <f t="shared" ca="1" si="26"/>
        <v/>
      </c>
      <c r="M555" s="7"/>
      <c r="P555" s="67"/>
      <c r="X555" s="70"/>
    </row>
    <row r="556" spans="1:24">
      <c r="A556" s="7">
        <f t="shared" si="24"/>
        <v>551</v>
      </c>
      <c r="B556" s="26"/>
      <c r="C556" s="8"/>
      <c r="D556" s="7"/>
      <c r="E556" s="7"/>
      <c r="F556" s="7"/>
      <c r="G556" s="7"/>
      <c r="H556" s="7"/>
      <c r="I556" s="7"/>
      <c r="J556" s="7"/>
      <c r="K556" s="38" t="str">
        <f t="shared" si="25"/>
        <v/>
      </c>
      <c r="L556" s="37" t="str">
        <f t="shared" ca="1" si="26"/>
        <v/>
      </c>
      <c r="M556" s="7"/>
      <c r="P556" s="67"/>
      <c r="X556" s="70"/>
    </row>
    <row r="557" spans="1:24">
      <c r="A557" s="7">
        <f t="shared" si="24"/>
        <v>552</v>
      </c>
      <c r="B557" s="26"/>
      <c r="C557" s="8"/>
      <c r="D557" s="7"/>
      <c r="E557" s="7"/>
      <c r="F557" s="7"/>
      <c r="G557" s="7"/>
      <c r="H557" s="7"/>
      <c r="I557" s="7"/>
      <c r="J557" s="7"/>
      <c r="K557" s="38" t="str">
        <f t="shared" si="25"/>
        <v/>
      </c>
      <c r="L557" s="37" t="str">
        <f t="shared" ca="1" si="26"/>
        <v/>
      </c>
      <c r="M557" s="7"/>
      <c r="P557" s="67"/>
      <c r="X557" s="70"/>
    </row>
    <row r="558" spans="1:24">
      <c r="A558" s="7">
        <f t="shared" si="24"/>
        <v>553</v>
      </c>
      <c r="B558" s="26"/>
      <c r="C558" s="8"/>
      <c r="D558" s="7"/>
      <c r="E558" s="7"/>
      <c r="F558" s="7"/>
      <c r="G558" s="7"/>
      <c r="H558" s="7"/>
      <c r="I558" s="7"/>
      <c r="J558" s="7"/>
      <c r="K558" s="38" t="str">
        <f t="shared" si="25"/>
        <v/>
      </c>
      <c r="L558" s="37" t="str">
        <f t="shared" ca="1" si="26"/>
        <v/>
      </c>
      <c r="M558" s="7"/>
      <c r="P558" s="67"/>
      <c r="X558" s="70"/>
    </row>
    <row r="559" spans="1:24">
      <c r="A559" s="7">
        <f t="shared" si="24"/>
        <v>554</v>
      </c>
      <c r="B559" s="26"/>
      <c r="C559" s="8"/>
      <c r="D559" s="7"/>
      <c r="E559" s="7"/>
      <c r="F559" s="7"/>
      <c r="G559" s="7"/>
      <c r="H559" s="7"/>
      <c r="I559" s="7"/>
      <c r="J559" s="7"/>
      <c r="K559" s="38" t="str">
        <f t="shared" si="25"/>
        <v/>
      </c>
      <c r="L559" s="37" t="str">
        <f t="shared" ca="1" si="26"/>
        <v/>
      </c>
      <c r="M559" s="7"/>
      <c r="P559" s="67"/>
      <c r="X559" s="70"/>
    </row>
    <row r="560" spans="1:24">
      <c r="A560" s="7">
        <f t="shared" si="24"/>
        <v>555</v>
      </c>
      <c r="B560" s="26"/>
      <c r="C560" s="8"/>
      <c r="D560" s="7"/>
      <c r="E560" s="7"/>
      <c r="F560" s="7"/>
      <c r="G560" s="7"/>
      <c r="H560" s="7"/>
      <c r="I560" s="7"/>
      <c r="J560" s="7"/>
      <c r="K560" s="38" t="str">
        <f t="shared" si="25"/>
        <v/>
      </c>
      <c r="L560" s="37" t="str">
        <f t="shared" ca="1" si="26"/>
        <v/>
      </c>
      <c r="M560" s="7"/>
      <c r="P560" s="67"/>
      <c r="X560" s="70"/>
    </row>
    <row r="561" spans="1:24">
      <c r="A561" s="7">
        <f t="shared" si="24"/>
        <v>556</v>
      </c>
      <c r="B561" s="26"/>
      <c r="C561" s="8"/>
      <c r="D561" s="7"/>
      <c r="E561" s="7"/>
      <c r="F561" s="7"/>
      <c r="G561" s="7"/>
      <c r="H561" s="7"/>
      <c r="I561" s="7"/>
      <c r="J561" s="7"/>
      <c r="K561" s="38" t="str">
        <f t="shared" si="25"/>
        <v/>
      </c>
      <c r="L561" s="37" t="str">
        <f t="shared" ca="1" si="26"/>
        <v/>
      </c>
      <c r="M561" s="7"/>
      <c r="P561" s="67"/>
      <c r="X561" s="70"/>
    </row>
    <row r="562" spans="1:24">
      <c r="A562" s="7">
        <f t="shared" si="24"/>
        <v>557</v>
      </c>
      <c r="B562" s="26"/>
      <c r="C562" s="8"/>
      <c r="D562" s="7"/>
      <c r="E562" s="7"/>
      <c r="F562" s="7"/>
      <c r="G562" s="7"/>
      <c r="H562" s="7"/>
      <c r="I562" s="7"/>
      <c r="J562" s="7"/>
      <c r="K562" s="38" t="str">
        <f t="shared" si="25"/>
        <v/>
      </c>
      <c r="L562" s="37" t="str">
        <f t="shared" ca="1" si="26"/>
        <v/>
      </c>
      <c r="M562" s="7"/>
      <c r="P562" s="67"/>
      <c r="X562" s="70"/>
    </row>
    <row r="563" spans="1:24">
      <c r="A563" s="7">
        <f t="shared" si="24"/>
        <v>558</v>
      </c>
      <c r="B563" s="26"/>
      <c r="C563" s="8"/>
      <c r="D563" s="7"/>
      <c r="E563" s="7"/>
      <c r="F563" s="7"/>
      <c r="G563" s="7"/>
      <c r="H563" s="7"/>
      <c r="I563" s="7"/>
      <c r="J563" s="7"/>
      <c r="K563" s="38" t="str">
        <f t="shared" si="25"/>
        <v/>
      </c>
      <c r="L563" s="37" t="str">
        <f t="shared" ca="1" si="26"/>
        <v/>
      </c>
      <c r="M563" s="7"/>
      <c r="P563" s="67"/>
      <c r="X563" s="70"/>
    </row>
    <row r="564" spans="1:24">
      <c r="A564" s="7">
        <f t="shared" si="24"/>
        <v>559</v>
      </c>
      <c r="B564" s="26"/>
      <c r="C564" s="8"/>
      <c r="D564" s="7"/>
      <c r="E564" s="7"/>
      <c r="F564" s="7"/>
      <c r="G564" s="7"/>
      <c r="H564" s="7"/>
      <c r="I564" s="7"/>
      <c r="J564" s="7"/>
      <c r="K564" s="38" t="str">
        <f t="shared" si="25"/>
        <v/>
      </c>
      <c r="L564" s="37" t="str">
        <f t="shared" ca="1" si="26"/>
        <v/>
      </c>
      <c r="M564" s="7"/>
      <c r="P564" s="67"/>
      <c r="X564" s="70"/>
    </row>
    <row r="565" spans="1:24">
      <c r="A565" s="7">
        <f t="shared" si="24"/>
        <v>560</v>
      </c>
      <c r="B565" s="26"/>
      <c r="C565" s="8"/>
      <c r="D565" s="7"/>
      <c r="E565" s="7"/>
      <c r="F565" s="7"/>
      <c r="G565" s="7"/>
      <c r="H565" s="7"/>
      <c r="I565" s="7"/>
      <c r="J565" s="7"/>
      <c r="K565" s="38" t="str">
        <f t="shared" si="25"/>
        <v/>
      </c>
      <c r="L565" s="37" t="str">
        <f t="shared" ca="1" si="26"/>
        <v/>
      </c>
      <c r="M565" s="7"/>
      <c r="P565" s="67"/>
      <c r="X565" s="70"/>
    </row>
    <row r="566" spans="1:24">
      <c r="A566" s="7">
        <f t="shared" si="24"/>
        <v>561</v>
      </c>
      <c r="B566" s="26"/>
      <c r="C566" s="8"/>
      <c r="D566" s="7"/>
      <c r="E566" s="7"/>
      <c r="F566" s="7"/>
      <c r="G566" s="7"/>
      <c r="H566" s="7"/>
      <c r="I566" s="7"/>
      <c r="J566" s="7"/>
      <c r="K566" s="38" t="str">
        <f t="shared" si="25"/>
        <v/>
      </c>
      <c r="L566" s="37" t="str">
        <f t="shared" ca="1" si="26"/>
        <v/>
      </c>
      <c r="M566" s="7"/>
      <c r="P566" s="67"/>
      <c r="X566" s="70"/>
    </row>
    <row r="567" spans="1:24">
      <c r="A567" s="7">
        <f t="shared" si="24"/>
        <v>562</v>
      </c>
      <c r="B567" s="26"/>
      <c r="C567" s="8"/>
      <c r="D567" s="7"/>
      <c r="E567" s="7"/>
      <c r="F567" s="7"/>
      <c r="G567" s="7"/>
      <c r="H567" s="7"/>
      <c r="I567" s="7"/>
      <c r="J567" s="7"/>
      <c r="K567" s="38" t="str">
        <f t="shared" si="25"/>
        <v/>
      </c>
      <c r="L567" s="37" t="str">
        <f t="shared" ca="1" si="26"/>
        <v/>
      </c>
      <c r="M567" s="7"/>
      <c r="P567" s="67"/>
      <c r="X567" s="70"/>
    </row>
    <row r="568" spans="1:24">
      <c r="A568" s="7">
        <f t="shared" si="24"/>
        <v>563</v>
      </c>
      <c r="B568" s="26"/>
      <c r="C568" s="8"/>
      <c r="D568" s="7"/>
      <c r="E568" s="7"/>
      <c r="F568" s="7"/>
      <c r="G568" s="7"/>
      <c r="H568" s="7"/>
      <c r="I568" s="7"/>
      <c r="J568" s="7"/>
      <c r="K568" s="38" t="str">
        <f t="shared" si="25"/>
        <v/>
      </c>
      <c r="L568" s="37" t="str">
        <f t="shared" ca="1" si="26"/>
        <v/>
      </c>
      <c r="M568" s="7"/>
      <c r="P568" s="67"/>
      <c r="X568" s="70"/>
    </row>
    <row r="569" spans="1:24">
      <c r="A569" s="7">
        <f t="shared" si="24"/>
        <v>564</v>
      </c>
      <c r="B569" s="26"/>
      <c r="C569" s="8"/>
      <c r="D569" s="7"/>
      <c r="E569" s="7"/>
      <c r="F569" s="7"/>
      <c r="G569" s="7"/>
      <c r="H569" s="7"/>
      <c r="I569" s="7"/>
      <c r="J569" s="7"/>
      <c r="K569" s="38" t="str">
        <f t="shared" si="25"/>
        <v/>
      </c>
      <c r="L569" s="37" t="str">
        <f t="shared" ca="1" si="26"/>
        <v/>
      </c>
      <c r="M569" s="7"/>
      <c r="P569" s="67"/>
      <c r="X569" s="70"/>
    </row>
    <row r="570" spans="1:24">
      <c r="A570" s="7">
        <f t="shared" si="24"/>
        <v>565</v>
      </c>
      <c r="B570" s="26"/>
      <c r="C570" s="8"/>
      <c r="D570" s="7"/>
      <c r="E570" s="7"/>
      <c r="F570" s="7"/>
      <c r="G570" s="7"/>
      <c r="H570" s="7"/>
      <c r="I570" s="7"/>
      <c r="J570" s="7"/>
      <c r="K570" s="38" t="str">
        <f t="shared" si="25"/>
        <v/>
      </c>
      <c r="L570" s="37" t="str">
        <f t="shared" ca="1" si="26"/>
        <v/>
      </c>
      <c r="M570" s="7"/>
      <c r="P570" s="67"/>
      <c r="X570" s="70"/>
    </row>
    <row r="571" spans="1:24">
      <c r="A571" s="7">
        <f t="shared" si="24"/>
        <v>566</v>
      </c>
      <c r="B571" s="26"/>
      <c r="C571" s="8"/>
      <c r="D571" s="7"/>
      <c r="E571" s="7"/>
      <c r="F571" s="7"/>
      <c r="G571" s="7"/>
      <c r="H571" s="7"/>
      <c r="I571" s="7"/>
      <c r="J571" s="7"/>
      <c r="K571" s="38" t="str">
        <f t="shared" si="25"/>
        <v/>
      </c>
      <c r="L571" s="37" t="str">
        <f t="shared" ca="1" si="26"/>
        <v/>
      </c>
      <c r="M571" s="7"/>
      <c r="P571" s="67"/>
      <c r="X571" s="70"/>
    </row>
    <row r="572" spans="1:24">
      <c r="A572" s="7">
        <f t="shared" si="24"/>
        <v>567</v>
      </c>
      <c r="B572" s="26"/>
      <c r="C572" s="8"/>
      <c r="D572" s="7"/>
      <c r="E572" s="7"/>
      <c r="F572" s="7"/>
      <c r="G572" s="7"/>
      <c r="H572" s="7"/>
      <c r="I572" s="7"/>
      <c r="J572" s="7"/>
      <c r="K572" s="38" t="str">
        <f t="shared" si="25"/>
        <v/>
      </c>
      <c r="L572" s="37" t="str">
        <f t="shared" ca="1" si="26"/>
        <v/>
      </c>
      <c r="M572" s="7"/>
      <c r="P572" s="67"/>
      <c r="X572" s="70"/>
    </row>
    <row r="573" spans="1:24">
      <c r="A573" s="7">
        <f t="shared" si="24"/>
        <v>568</v>
      </c>
      <c r="B573" s="26"/>
      <c r="C573" s="8"/>
      <c r="D573" s="7"/>
      <c r="E573" s="7"/>
      <c r="F573" s="7"/>
      <c r="G573" s="7"/>
      <c r="H573" s="7"/>
      <c r="I573" s="7"/>
      <c r="J573" s="7"/>
      <c r="K573" s="38" t="str">
        <f t="shared" si="25"/>
        <v/>
      </c>
      <c r="L573" s="37" t="str">
        <f t="shared" ca="1" si="26"/>
        <v/>
      </c>
      <c r="M573" s="7"/>
      <c r="P573" s="67"/>
      <c r="X573" s="70"/>
    </row>
    <row r="574" spans="1:24">
      <c r="A574" s="7">
        <f t="shared" si="24"/>
        <v>569</v>
      </c>
      <c r="B574" s="26"/>
      <c r="C574" s="8"/>
      <c r="D574" s="7"/>
      <c r="E574" s="7"/>
      <c r="F574" s="7"/>
      <c r="G574" s="7"/>
      <c r="H574" s="7"/>
      <c r="I574" s="7"/>
      <c r="J574" s="7"/>
      <c r="K574" s="38" t="str">
        <f t="shared" si="25"/>
        <v/>
      </c>
      <c r="L574" s="37" t="str">
        <f t="shared" ca="1" si="26"/>
        <v/>
      </c>
      <c r="M574" s="7"/>
      <c r="P574" s="67"/>
      <c r="X574" s="70"/>
    </row>
    <row r="575" spans="1:24">
      <c r="A575" s="7">
        <f t="shared" si="24"/>
        <v>570</v>
      </c>
      <c r="B575" s="26"/>
      <c r="C575" s="8"/>
      <c r="D575" s="7"/>
      <c r="E575" s="7"/>
      <c r="F575" s="7"/>
      <c r="G575" s="7"/>
      <c r="H575" s="7"/>
      <c r="I575" s="7"/>
      <c r="J575" s="7"/>
      <c r="K575" s="38" t="str">
        <f t="shared" si="25"/>
        <v/>
      </c>
      <c r="L575" s="37" t="str">
        <f t="shared" ca="1" si="26"/>
        <v/>
      </c>
      <c r="M575" s="7"/>
      <c r="P575" s="67"/>
      <c r="X575" s="70"/>
    </row>
    <row r="576" spans="1:24">
      <c r="A576" s="7">
        <f t="shared" si="24"/>
        <v>571</v>
      </c>
      <c r="B576" s="26"/>
      <c r="C576" s="8"/>
      <c r="D576" s="7"/>
      <c r="E576" s="7"/>
      <c r="F576" s="7"/>
      <c r="G576" s="7"/>
      <c r="H576" s="7"/>
      <c r="I576" s="7"/>
      <c r="J576" s="7"/>
      <c r="K576" s="38" t="str">
        <f t="shared" si="25"/>
        <v/>
      </c>
      <c r="L576" s="37" t="str">
        <f t="shared" ca="1" si="26"/>
        <v/>
      </c>
      <c r="M576" s="7"/>
      <c r="P576" s="67"/>
      <c r="X576" s="70"/>
    </row>
    <row r="577" spans="1:24">
      <c r="A577" s="7">
        <f t="shared" si="24"/>
        <v>572</v>
      </c>
      <c r="B577" s="26"/>
      <c r="C577" s="8"/>
      <c r="D577" s="7"/>
      <c r="E577" s="7"/>
      <c r="F577" s="7"/>
      <c r="G577" s="7"/>
      <c r="H577" s="7"/>
      <c r="I577" s="7"/>
      <c r="J577" s="7"/>
      <c r="K577" s="38" t="str">
        <f t="shared" si="25"/>
        <v/>
      </c>
      <c r="L577" s="37" t="str">
        <f t="shared" ca="1" si="26"/>
        <v/>
      </c>
      <c r="M577" s="7"/>
      <c r="P577" s="67"/>
      <c r="X577" s="70"/>
    </row>
    <row r="578" spans="1:24">
      <c r="A578" s="7">
        <f t="shared" si="24"/>
        <v>573</v>
      </c>
      <c r="B578" s="26"/>
      <c r="C578" s="8"/>
      <c r="D578" s="7"/>
      <c r="E578" s="7"/>
      <c r="F578" s="7"/>
      <c r="G578" s="7"/>
      <c r="H578" s="7"/>
      <c r="I578" s="7"/>
      <c r="J578" s="7"/>
      <c r="K578" s="38" t="str">
        <f t="shared" si="25"/>
        <v/>
      </c>
      <c r="L578" s="37" t="str">
        <f t="shared" ca="1" si="26"/>
        <v/>
      </c>
      <c r="M578" s="7"/>
      <c r="P578" s="67"/>
      <c r="X578" s="70"/>
    </row>
    <row r="579" spans="1:24">
      <c r="A579" s="7">
        <f t="shared" si="24"/>
        <v>574</v>
      </c>
      <c r="B579" s="26"/>
      <c r="C579" s="8"/>
      <c r="D579" s="7"/>
      <c r="E579" s="7"/>
      <c r="F579" s="7"/>
      <c r="G579" s="7"/>
      <c r="H579" s="7"/>
      <c r="I579" s="7"/>
      <c r="J579" s="7"/>
      <c r="K579" s="38" t="str">
        <f t="shared" si="25"/>
        <v/>
      </c>
      <c r="L579" s="37" t="str">
        <f t="shared" ca="1" si="26"/>
        <v/>
      </c>
      <c r="M579" s="7"/>
      <c r="P579" s="67"/>
      <c r="X579" s="70"/>
    </row>
    <row r="580" spans="1:24">
      <c r="A580" s="7">
        <f t="shared" si="24"/>
        <v>575</v>
      </c>
      <c r="B580" s="26"/>
      <c r="C580" s="8"/>
      <c r="D580" s="7"/>
      <c r="E580" s="7"/>
      <c r="F580" s="7"/>
      <c r="G580" s="7"/>
      <c r="H580" s="7"/>
      <c r="I580" s="7"/>
      <c r="J580" s="7"/>
      <c r="K580" s="38" t="str">
        <f t="shared" si="25"/>
        <v/>
      </c>
      <c r="L580" s="37" t="str">
        <f t="shared" ca="1" si="26"/>
        <v/>
      </c>
      <c r="M580" s="7"/>
      <c r="P580" s="67"/>
      <c r="X580" s="70"/>
    </row>
    <row r="581" spans="1:24">
      <c r="A581" s="7">
        <f t="shared" si="24"/>
        <v>576</v>
      </c>
      <c r="B581" s="26"/>
      <c r="C581" s="8"/>
      <c r="D581" s="7"/>
      <c r="E581" s="7"/>
      <c r="F581" s="7"/>
      <c r="G581" s="7"/>
      <c r="H581" s="7"/>
      <c r="I581" s="7"/>
      <c r="J581" s="7"/>
      <c r="K581" s="38" t="str">
        <f t="shared" si="25"/>
        <v/>
      </c>
      <c r="L581" s="37" t="str">
        <f t="shared" ca="1" si="26"/>
        <v/>
      </c>
      <c r="M581" s="7"/>
      <c r="P581" s="67"/>
      <c r="X581" s="70"/>
    </row>
    <row r="582" spans="1:24">
      <c r="A582" s="7">
        <f t="shared" si="24"/>
        <v>577</v>
      </c>
      <c r="B582" s="26"/>
      <c r="C582" s="8"/>
      <c r="D582" s="7"/>
      <c r="E582" s="7"/>
      <c r="F582" s="7"/>
      <c r="G582" s="7"/>
      <c r="H582" s="7"/>
      <c r="I582" s="7"/>
      <c r="J582" s="7"/>
      <c r="K582" s="38" t="str">
        <f t="shared" si="25"/>
        <v/>
      </c>
      <c r="L582" s="37" t="str">
        <f t="shared" ca="1" si="26"/>
        <v/>
      </c>
      <c r="M582" s="7"/>
      <c r="P582" s="67"/>
      <c r="X582" s="70"/>
    </row>
    <row r="583" spans="1:24">
      <c r="A583" s="7">
        <f t="shared" ref="A583:A646" si="27">ROW(A578)</f>
        <v>578</v>
      </c>
      <c r="B583" s="26"/>
      <c r="C583" s="8"/>
      <c r="D583" s="7"/>
      <c r="E583" s="7"/>
      <c r="F583" s="7"/>
      <c r="G583" s="7"/>
      <c r="H583" s="7"/>
      <c r="I583" s="7"/>
      <c r="J583" s="7"/>
      <c r="K583" s="38" t="str">
        <f t="shared" ref="K583:K646" si="28">IF(C583&gt;0,C583+J583-1,"")</f>
        <v/>
      </c>
      <c r="L583" s="37" t="str">
        <f t="shared" ref="L583:L646" ca="1" si="29">IF(K583="","",IF(TODAY()&gt;K583,"YES","No"))</f>
        <v/>
      </c>
      <c r="M583" s="7"/>
      <c r="P583" s="67"/>
      <c r="X583" s="70"/>
    </row>
    <row r="584" spans="1:24">
      <c r="A584" s="7">
        <f t="shared" si="27"/>
        <v>579</v>
      </c>
      <c r="B584" s="26"/>
      <c r="C584" s="8"/>
      <c r="D584" s="7"/>
      <c r="E584" s="7"/>
      <c r="F584" s="7"/>
      <c r="G584" s="7"/>
      <c r="H584" s="7"/>
      <c r="I584" s="7"/>
      <c r="J584" s="7"/>
      <c r="K584" s="38" t="str">
        <f t="shared" si="28"/>
        <v/>
      </c>
      <c r="L584" s="37" t="str">
        <f t="shared" ca="1" si="29"/>
        <v/>
      </c>
      <c r="M584" s="7"/>
      <c r="P584" s="67"/>
      <c r="X584" s="70"/>
    </row>
    <row r="585" spans="1:24">
      <c r="A585" s="7">
        <f t="shared" si="27"/>
        <v>580</v>
      </c>
      <c r="B585" s="26"/>
      <c r="C585" s="8"/>
      <c r="D585" s="7"/>
      <c r="E585" s="7"/>
      <c r="F585" s="7"/>
      <c r="G585" s="7"/>
      <c r="H585" s="7"/>
      <c r="I585" s="7"/>
      <c r="J585" s="7"/>
      <c r="K585" s="38" t="str">
        <f t="shared" si="28"/>
        <v/>
      </c>
      <c r="L585" s="37" t="str">
        <f t="shared" ca="1" si="29"/>
        <v/>
      </c>
      <c r="M585" s="7"/>
      <c r="P585" s="67"/>
      <c r="X585" s="70"/>
    </row>
    <row r="586" spans="1:24">
      <c r="A586" s="7">
        <f t="shared" si="27"/>
        <v>581</v>
      </c>
      <c r="B586" s="26"/>
      <c r="C586" s="8"/>
      <c r="D586" s="7"/>
      <c r="E586" s="7"/>
      <c r="F586" s="7"/>
      <c r="G586" s="7"/>
      <c r="H586" s="7"/>
      <c r="I586" s="7"/>
      <c r="J586" s="7"/>
      <c r="K586" s="38" t="str">
        <f t="shared" si="28"/>
        <v/>
      </c>
      <c r="L586" s="37" t="str">
        <f t="shared" ca="1" si="29"/>
        <v/>
      </c>
      <c r="M586" s="7"/>
      <c r="P586" s="67"/>
      <c r="X586" s="70"/>
    </row>
    <row r="587" spans="1:24">
      <c r="A587" s="7">
        <f t="shared" si="27"/>
        <v>582</v>
      </c>
      <c r="B587" s="26"/>
      <c r="C587" s="8"/>
      <c r="D587" s="7"/>
      <c r="E587" s="7"/>
      <c r="F587" s="7"/>
      <c r="G587" s="7"/>
      <c r="H587" s="7"/>
      <c r="I587" s="7"/>
      <c r="J587" s="7"/>
      <c r="K587" s="38" t="str">
        <f t="shared" si="28"/>
        <v/>
      </c>
      <c r="L587" s="37" t="str">
        <f t="shared" ca="1" si="29"/>
        <v/>
      </c>
      <c r="M587" s="7"/>
      <c r="P587" s="67"/>
      <c r="X587" s="70"/>
    </row>
    <row r="588" spans="1:24">
      <c r="A588" s="7">
        <f t="shared" si="27"/>
        <v>583</v>
      </c>
      <c r="B588" s="26"/>
      <c r="C588" s="8"/>
      <c r="D588" s="7"/>
      <c r="E588" s="7"/>
      <c r="F588" s="7"/>
      <c r="G588" s="7"/>
      <c r="H588" s="7"/>
      <c r="I588" s="7"/>
      <c r="J588" s="7"/>
      <c r="K588" s="38" t="str">
        <f t="shared" si="28"/>
        <v/>
      </c>
      <c r="L588" s="37" t="str">
        <f t="shared" ca="1" si="29"/>
        <v/>
      </c>
      <c r="M588" s="7"/>
      <c r="P588" s="67"/>
      <c r="X588" s="70"/>
    </row>
    <row r="589" spans="1:24">
      <c r="A589" s="7">
        <f t="shared" si="27"/>
        <v>584</v>
      </c>
      <c r="B589" s="26"/>
      <c r="C589" s="8"/>
      <c r="D589" s="7"/>
      <c r="E589" s="7"/>
      <c r="F589" s="7"/>
      <c r="G589" s="7"/>
      <c r="H589" s="7"/>
      <c r="I589" s="7"/>
      <c r="J589" s="7"/>
      <c r="K589" s="38" t="str">
        <f t="shared" si="28"/>
        <v/>
      </c>
      <c r="L589" s="37" t="str">
        <f t="shared" ca="1" si="29"/>
        <v/>
      </c>
      <c r="M589" s="7"/>
      <c r="P589" s="67"/>
      <c r="X589" s="70"/>
    </row>
    <row r="590" spans="1:24">
      <c r="A590" s="7">
        <f t="shared" si="27"/>
        <v>585</v>
      </c>
      <c r="B590" s="26"/>
      <c r="C590" s="8"/>
      <c r="D590" s="7"/>
      <c r="E590" s="7"/>
      <c r="F590" s="7"/>
      <c r="G590" s="7"/>
      <c r="H590" s="7"/>
      <c r="I590" s="7"/>
      <c r="J590" s="7"/>
      <c r="K590" s="38" t="str">
        <f t="shared" si="28"/>
        <v/>
      </c>
      <c r="L590" s="37" t="str">
        <f t="shared" ca="1" si="29"/>
        <v/>
      </c>
      <c r="M590" s="7"/>
      <c r="P590" s="67"/>
      <c r="X590" s="70"/>
    </row>
    <row r="591" spans="1:24">
      <c r="A591" s="7">
        <f t="shared" si="27"/>
        <v>586</v>
      </c>
      <c r="B591" s="26"/>
      <c r="C591" s="8"/>
      <c r="D591" s="7"/>
      <c r="E591" s="7"/>
      <c r="F591" s="7"/>
      <c r="G591" s="7"/>
      <c r="H591" s="7"/>
      <c r="I591" s="7"/>
      <c r="J591" s="7"/>
      <c r="K591" s="38" t="str">
        <f t="shared" si="28"/>
        <v/>
      </c>
      <c r="L591" s="37" t="str">
        <f t="shared" ca="1" si="29"/>
        <v/>
      </c>
      <c r="M591" s="7"/>
      <c r="P591" s="67"/>
      <c r="X591" s="70"/>
    </row>
    <row r="592" spans="1:24">
      <c r="A592" s="7">
        <f t="shared" si="27"/>
        <v>587</v>
      </c>
      <c r="B592" s="26"/>
      <c r="C592" s="8"/>
      <c r="D592" s="7"/>
      <c r="E592" s="7"/>
      <c r="F592" s="7"/>
      <c r="G592" s="7"/>
      <c r="H592" s="7"/>
      <c r="I592" s="7"/>
      <c r="J592" s="7"/>
      <c r="K592" s="38" t="str">
        <f t="shared" si="28"/>
        <v/>
      </c>
      <c r="L592" s="37" t="str">
        <f t="shared" ca="1" si="29"/>
        <v/>
      </c>
      <c r="M592" s="7"/>
      <c r="P592" s="67"/>
      <c r="X592" s="70"/>
    </row>
    <row r="593" spans="1:24">
      <c r="A593" s="7">
        <f t="shared" si="27"/>
        <v>588</v>
      </c>
      <c r="B593" s="26"/>
      <c r="C593" s="8"/>
      <c r="D593" s="7"/>
      <c r="E593" s="7"/>
      <c r="F593" s="7"/>
      <c r="G593" s="7"/>
      <c r="H593" s="7"/>
      <c r="I593" s="7"/>
      <c r="J593" s="7"/>
      <c r="K593" s="38" t="str">
        <f t="shared" si="28"/>
        <v/>
      </c>
      <c r="L593" s="37" t="str">
        <f t="shared" ca="1" si="29"/>
        <v/>
      </c>
      <c r="M593" s="7"/>
      <c r="P593" s="67"/>
      <c r="X593" s="70"/>
    </row>
    <row r="594" spans="1:24">
      <c r="A594" s="7">
        <f t="shared" si="27"/>
        <v>589</v>
      </c>
      <c r="B594" s="26"/>
      <c r="C594" s="8"/>
      <c r="D594" s="7"/>
      <c r="E594" s="7"/>
      <c r="F594" s="7"/>
      <c r="G594" s="7"/>
      <c r="H594" s="7"/>
      <c r="I594" s="7"/>
      <c r="J594" s="7"/>
      <c r="K594" s="38" t="str">
        <f t="shared" si="28"/>
        <v/>
      </c>
      <c r="L594" s="37" t="str">
        <f t="shared" ca="1" si="29"/>
        <v/>
      </c>
      <c r="M594" s="7"/>
      <c r="P594" s="67"/>
      <c r="X594" s="70"/>
    </row>
    <row r="595" spans="1:24">
      <c r="A595" s="7">
        <f t="shared" si="27"/>
        <v>590</v>
      </c>
      <c r="B595" s="26"/>
      <c r="C595" s="8"/>
      <c r="D595" s="7"/>
      <c r="E595" s="7"/>
      <c r="F595" s="7"/>
      <c r="G595" s="7"/>
      <c r="H595" s="7"/>
      <c r="I595" s="7"/>
      <c r="J595" s="7"/>
      <c r="K595" s="38" t="str">
        <f t="shared" si="28"/>
        <v/>
      </c>
      <c r="L595" s="37" t="str">
        <f t="shared" ca="1" si="29"/>
        <v/>
      </c>
      <c r="M595" s="7"/>
      <c r="P595" s="67"/>
      <c r="X595" s="70"/>
    </row>
    <row r="596" spans="1:24">
      <c r="A596" s="7">
        <f t="shared" si="27"/>
        <v>591</v>
      </c>
      <c r="B596" s="26"/>
      <c r="C596" s="8"/>
      <c r="D596" s="7"/>
      <c r="E596" s="7"/>
      <c r="F596" s="7"/>
      <c r="G596" s="7"/>
      <c r="H596" s="7"/>
      <c r="I596" s="7"/>
      <c r="J596" s="7"/>
      <c r="K596" s="38" t="str">
        <f t="shared" si="28"/>
        <v/>
      </c>
      <c r="L596" s="37" t="str">
        <f t="shared" ca="1" si="29"/>
        <v/>
      </c>
      <c r="M596" s="7"/>
      <c r="P596" s="67"/>
      <c r="X596" s="70"/>
    </row>
    <row r="597" spans="1:24">
      <c r="A597" s="7">
        <f t="shared" si="27"/>
        <v>592</v>
      </c>
      <c r="B597" s="26"/>
      <c r="C597" s="8"/>
      <c r="D597" s="7"/>
      <c r="E597" s="7"/>
      <c r="F597" s="7"/>
      <c r="G597" s="7"/>
      <c r="H597" s="7"/>
      <c r="I597" s="7"/>
      <c r="J597" s="7"/>
      <c r="K597" s="38" t="str">
        <f t="shared" si="28"/>
        <v/>
      </c>
      <c r="L597" s="37" t="str">
        <f t="shared" ca="1" si="29"/>
        <v/>
      </c>
      <c r="M597" s="7"/>
      <c r="P597" s="67"/>
      <c r="X597" s="70"/>
    </row>
    <row r="598" spans="1:24">
      <c r="A598" s="7">
        <f t="shared" si="27"/>
        <v>593</v>
      </c>
      <c r="B598" s="26"/>
      <c r="C598" s="8"/>
      <c r="D598" s="7"/>
      <c r="E598" s="7"/>
      <c r="F598" s="7"/>
      <c r="G598" s="7"/>
      <c r="H598" s="7"/>
      <c r="I598" s="7"/>
      <c r="J598" s="7"/>
      <c r="K598" s="38" t="str">
        <f t="shared" si="28"/>
        <v/>
      </c>
      <c r="L598" s="37" t="str">
        <f t="shared" ca="1" si="29"/>
        <v/>
      </c>
      <c r="M598" s="7"/>
      <c r="P598" s="67"/>
      <c r="X598" s="70"/>
    </row>
    <row r="599" spans="1:24">
      <c r="A599" s="7">
        <f t="shared" si="27"/>
        <v>594</v>
      </c>
      <c r="B599" s="26"/>
      <c r="C599" s="8"/>
      <c r="D599" s="7"/>
      <c r="E599" s="7"/>
      <c r="F599" s="7"/>
      <c r="G599" s="7"/>
      <c r="H599" s="7"/>
      <c r="I599" s="7"/>
      <c r="J599" s="7"/>
      <c r="K599" s="38" t="str">
        <f t="shared" si="28"/>
        <v/>
      </c>
      <c r="L599" s="37" t="str">
        <f t="shared" ca="1" si="29"/>
        <v/>
      </c>
      <c r="M599" s="7"/>
      <c r="P599" s="67"/>
      <c r="X599" s="70"/>
    </row>
    <row r="600" spans="1:24">
      <c r="A600" s="7">
        <f t="shared" si="27"/>
        <v>595</v>
      </c>
      <c r="B600" s="26"/>
      <c r="C600" s="8"/>
      <c r="D600" s="7"/>
      <c r="E600" s="7"/>
      <c r="F600" s="7"/>
      <c r="G600" s="7"/>
      <c r="H600" s="7"/>
      <c r="I600" s="7"/>
      <c r="J600" s="7"/>
      <c r="K600" s="38" t="str">
        <f t="shared" si="28"/>
        <v/>
      </c>
      <c r="L600" s="37" t="str">
        <f t="shared" ca="1" si="29"/>
        <v/>
      </c>
      <c r="M600" s="7"/>
      <c r="P600" s="67"/>
      <c r="X600" s="70"/>
    </row>
    <row r="601" spans="1:24">
      <c r="A601" s="7">
        <f t="shared" si="27"/>
        <v>596</v>
      </c>
      <c r="B601" s="26"/>
      <c r="C601" s="8"/>
      <c r="D601" s="7"/>
      <c r="E601" s="7"/>
      <c r="F601" s="7"/>
      <c r="G601" s="7"/>
      <c r="H601" s="7"/>
      <c r="I601" s="7"/>
      <c r="J601" s="7"/>
      <c r="K601" s="38" t="str">
        <f t="shared" si="28"/>
        <v/>
      </c>
      <c r="L601" s="37" t="str">
        <f t="shared" ca="1" si="29"/>
        <v/>
      </c>
      <c r="M601" s="7"/>
      <c r="P601" s="67"/>
      <c r="X601" s="70"/>
    </row>
    <row r="602" spans="1:24">
      <c r="A602" s="7">
        <f t="shared" si="27"/>
        <v>597</v>
      </c>
      <c r="B602" s="26"/>
      <c r="C602" s="8"/>
      <c r="D602" s="7"/>
      <c r="E602" s="7"/>
      <c r="F602" s="7"/>
      <c r="G602" s="7"/>
      <c r="H602" s="7"/>
      <c r="I602" s="7"/>
      <c r="J602" s="7"/>
      <c r="K602" s="38" t="str">
        <f t="shared" si="28"/>
        <v/>
      </c>
      <c r="L602" s="37" t="str">
        <f t="shared" ca="1" si="29"/>
        <v/>
      </c>
      <c r="M602" s="7"/>
      <c r="P602" s="67"/>
      <c r="X602" s="70"/>
    </row>
    <row r="603" spans="1:24">
      <c r="A603" s="7">
        <f t="shared" si="27"/>
        <v>598</v>
      </c>
      <c r="B603" s="26"/>
      <c r="C603" s="8"/>
      <c r="D603" s="7"/>
      <c r="E603" s="7"/>
      <c r="F603" s="7"/>
      <c r="G603" s="7"/>
      <c r="H603" s="7"/>
      <c r="I603" s="7"/>
      <c r="J603" s="7"/>
      <c r="K603" s="38" t="str">
        <f t="shared" si="28"/>
        <v/>
      </c>
      <c r="L603" s="37" t="str">
        <f t="shared" ca="1" si="29"/>
        <v/>
      </c>
      <c r="M603" s="7"/>
      <c r="P603" s="67"/>
      <c r="X603" s="70"/>
    </row>
    <row r="604" spans="1:24">
      <c r="A604" s="7">
        <f t="shared" si="27"/>
        <v>599</v>
      </c>
      <c r="B604" s="26"/>
      <c r="C604" s="8"/>
      <c r="D604" s="7"/>
      <c r="E604" s="7"/>
      <c r="F604" s="7"/>
      <c r="G604" s="7"/>
      <c r="H604" s="7"/>
      <c r="I604" s="7"/>
      <c r="J604" s="7"/>
      <c r="K604" s="38" t="str">
        <f t="shared" si="28"/>
        <v/>
      </c>
      <c r="L604" s="37" t="str">
        <f t="shared" ca="1" si="29"/>
        <v/>
      </c>
      <c r="M604" s="7"/>
      <c r="P604" s="67"/>
      <c r="X604" s="70"/>
    </row>
    <row r="605" spans="1:24">
      <c r="A605" s="7">
        <f t="shared" si="27"/>
        <v>600</v>
      </c>
      <c r="B605" s="26"/>
      <c r="C605" s="8"/>
      <c r="D605" s="7"/>
      <c r="E605" s="7"/>
      <c r="F605" s="7"/>
      <c r="G605" s="7"/>
      <c r="H605" s="7"/>
      <c r="I605" s="7"/>
      <c r="J605" s="7"/>
      <c r="K605" s="38" t="str">
        <f t="shared" si="28"/>
        <v/>
      </c>
      <c r="L605" s="37" t="str">
        <f t="shared" ca="1" si="29"/>
        <v/>
      </c>
      <c r="M605" s="7"/>
      <c r="P605" s="67"/>
      <c r="X605" s="70"/>
    </row>
    <row r="606" spans="1:24">
      <c r="A606" s="7">
        <f t="shared" si="27"/>
        <v>601</v>
      </c>
      <c r="B606" s="26"/>
      <c r="C606" s="8"/>
      <c r="D606" s="7"/>
      <c r="E606" s="7"/>
      <c r="F606" s="7"/>
      <c r="G606" s="7"/>
      <c r="H606" s="7"/>
      <c r="I606" s="7"/>
      <c r="J606" s="7"/>
      <c r="K606" s="38" t="str">
        <f t="shared" si="28"/>
        <v/>
      </c>
      <c r="L606" s="37" t="str">
        <f t="shared" ca="1" si="29"/>
        <v/>
      </c>
      <c r="M606" s="7"/>
      <c r="P606" s="67"/>
      <c r="X606" s="70"/>
    </row>
    <row r="607" spans="1:24">
      <c r="A607" s="7">
        <f t="shared" si="27"/>
        <v>602</v>
      </c>
      <c r="B607" s="26"/>
      <c r="C607" s="8"/>
      <c r="D607" s="7"/>
      <c r="E607" s="7"/>
      <c r="F607" s="7"/>
      <c r="G607" s="7"/>
      <c r="H607" s="7"/>
      <c r="I607" s="7"/>
      <c r="J607" s="7"/>
      <c r="K607" s="38" t="str">
        <f t="shared" si="28"/>
        <v/>
      </c>
      <c r="L607" s="37" t="str">
        <f t="shared" ca="1" si="29"/>
        <v/>
      </c>
      <c r="M607" s="7"/>
      <c r="P607" s="67"/>
      <c r="X607" s="70"/>
    </row>
    <row r="608" spans="1:24">
      <c r="A608" s="7">
        <f t="shared" si="27"/>
        <v>603</v>
      </c>
      <c r="B608" s="26"/>
      <c r="C608" s="8"/>
      <c r="D608" s="7"/>
      <c r="E608" s="7"/>
      <c r="F608" s="7"/>
      <c r="G608" s="7"/>
      <c r="H608" s="7"/>
      <c r="I608" s="7"/>
      <c r="J608" s="7"/>
      <c r="K608" s="38" t="str">
        <f t="shared" si="28"/>
        <v/>
      </c>
      <c r="L608" s="37" t="str">
        <f t="shared" ca="1" si="29"/>
        <v/>
      </c>
      <c r="M608" s="7"/>
      <c r="P608" s="67"/>
      <c r="X608" s="70"/>
    </row>
    <row r="609" spans="1:24">
      <c r="A609" s="7">
        <f t="shared" si="27"/>
        <v>604</v>
      </c>
      <c r="B609" s="26"/>
      <c r="C609" s="8"/>
      <c r="D609" s="7"/>
      <c r="E609" s="7"/>
      <c r="F609" s="7"/>
      <c r="G609" s="7"/>
      <c r="H609" s="7"/>
      <c r="I609" s="7"/>
      <c r="J609" s="7"/>
      <c r="K609" s="38" t="str">
        <f t="shared" si="28"/>
        <v/>
      </c>
      <c r="L609" s="37" t="str">
        <f t="shared" ca="1" si="29"/>
        <v/>
      </c>
      <c r="M609" s="7"/>
      <c r="P609" s="67"/>
      <c r="X609" s="70"/>
    </row>
    <row r="610" spans="1:24">
      <c r="A610" s="7">
        <f t="shared" si="27"/>
        <v>605</v>
      </c>
      <c r="B610" s="26"/>
      <c r="C610" s="8"/>
      <c r="D610" s="7"/>
      <c r="E610" s="7"/>
      <c r="F610" s="7"/>
      <c r="G610" s="7"/>
      <c r="H610" s="7"/>
      <c r="I610" s="7"/>
      <c r="J610" s="7"/>
      <c r="K610" s="38" t="str">
        <f t="shared" si="28"/>
        <v/>
      </c>
      <c r="L610" s="37" t="str">
        <f t="shared" ca="1" si="29"/>
        <v/>
      </c>
      <c r="M610" s="7"/>
      <c r="P610" s="67"/>
      <c r="X610" s="70"/>
    </row>
    <row r="611" spans="1:24">
      <c r="A611" s="7">
        <f t="shared" si="27"/>
        <v>606</v>
      </c>
      <c r="B611" s="26"/>
      <c r="C611" s="8"/>
      <c r="D611" s="7"/>
      <c r="E611" s="7"/>
      <c r="F611" s="7"/>
      <c r="G611" s="7"/>
      <c r="H611" s="7"/>
      <c r="I611" s="7"/>
      <c r="J611" s="7"/>
      <c r="K611" s="38" t="str">
        <f t="shared" si="28"/>
        <v/>
      </c>
      <c r="L611" s="37" t="str">
        <f t="shared" ca="1" si="29"/>
        <v/>
      </c>
      <c r="M611" s="7"/>
      <c r="P611" s="67"/>
      <c r="X611" s="70"/>
    </row>
    <row r="612" spans="1:24">
      <c r="A612" s="7">
        <f t="shared" si="27"/>
        <v>607</v>
      </c>
      <c r="B612" s="26"/>
      <c r="C612" s="8"/>
      <c r="D612" s="7"/>
      <c r="E612" s="7"/>
      <c r="F612" s="7"/>
      <c r="G612" s="7"/>
      <c r="H612" s="7"/>
      <c r="I612" s="7"/>
      <c r="J612" s="7"/>
      <c r="K612" s="38" t="str">
        <f t="shared" si="28"/>
        <v/>
      </c>
      <c r="L612" s="37" t="str">
        <f t="shared" ca="1" si="29"/>
        <v/>
      </c>
      <c r="M612" s="7"/>
      <c r="P612" s="67"/>
      <c r="X612" s="70"/>
    </row>
    <row r="613" spans="1:24">
      <c r="A613" s="7">
        <f t="shared" si="27"/>
        <v>608</v>
      </c>
      <c r="B613" s="26"/>
      <c r="C613" s="8"/>
      <c r="D613" s="7"/>
      <c r="E613" s="7"/>
      <c r="F613" s="7"/>
      <c r="G613" s="7"/>
      <c r="H613" s="7"/>
      <c r="I613" s="7"/>
      <c r="J613" s="7"/>
      <c r="K613" s="38" t="str">
        <f t="shared" si="28"/>
        <v/>
      </c>
      <c r="L613" s="37" t="str">
        <f t="shared" ca="1" si="29"/>
        <v/>
      </c>
      <c r="M613" s="7"/>
      <c r="P613" s="67"/>
      <c r="X613" s="70"/>
    </row>
    <row r="614" spans="1:24">
      <c r="A614" s="7">
        <f t="shared" si="27"/>
        <v>609</v>
      </c>
      <c r="B614" s="26"/>
      <c r="C614" s="8"/>
      <c r="D614" s="7"/>
      <c r="E614" s="7"/>
      <c r="F614" s="7"/>
      <c r="G614" s="7"/>
      <c r="H614" s="7"/>
      <c r="I614" s="7"/>
      <c r="J614" s="7"/>
      <c r="K614" s="38" t="str">
        <f t="shared" si="28"/>
        <v/>
      </c>
      <c r="L614" s="37" t="str">
        <f t="shared" ca="1" si="29"/>
        <v/>
      </c>
      <c r="M614" s="7"/>
      <c r="P614" s="67"/>
      <c r="X614" s="70"/>
    </row>
    <row r="615" spans="1:24">
      <c r="A615" s="7">
        <f t="shared" si="27"/>
        <v>610</v>
      </c>
      <c r="B615" s="26"/>
      <c r="C615" s="8"/>
      <c r="D615" s="7"/>
      <c r="E615" s="7"/>
      <c r="F615" s="7"/>
      <c r="G615" s="7"/>
      <c r="H615" s="7"/>
      <c r="I615" s="7"/>
      <c r="J615" s="7"/>
      <c r="K615" s="38" t="str">
        <f t="shared" si="28"/>
        <v/>
      </c>
      <c r="L615" s="37" t="str">
        <f t="shared" ca="1" si="29"/>
        <v/>
      </c>
      <c r="M615" s="7"/>
      <c r="P615" s="67"/>
      <c r="X615" s="70"/>
    </row>
    <row r="616" spans="1:24">
      <c r="A616" s="7">
        <f t="shared" si="27"/>
        <v>611</v>
      </c>
      <c r="B616" s="26"/>
      <c r="C616" s="8"/>
      <c r="D616" s="7"/>
      <c r="E616" s="7"/>
      <c r="F616" s="7"/>
      <c r="G616" s="7"/>
      <c r="H616" s="7"/>
      <c r="I616" s="7"/>
      <c r="J616" s="7"/>
      <c r="K616" s="38" t="str">
        <f t="shared" si="28"/>
        <v/>
      </c>
      <c r="L616" s="37" t="str">
        <f t="shared" ca="1" si="29"/>
        <v/>
      </c>
      <c r="M616" s="7"/>
      <c r="P616" s="67"/>
      <c r="X616" s="70"/>
    </row>
    <row r="617" spans="1:24">
      <c r="A617" s="7">
        <f t="shared" si="27"/>
        <v>612</v>
      </c>
      <c r="B617" s="26"/>
      <c r="C617" s="8"/>
      <c r="D617" s="7"/>
      <c r="E617" s="7"/>
      <c r="F617" s="7"/>
      <c r="G617" s="7"/>
      <c r="H617" s="7"/>
      <c r="I617" s="7"/>
      <c r="J617" s="7"/>
      <c r="K617" s="38" t="str">
        <f t="shared" si="28"/>
        <v/>
      </c>
      <c r="L617" s="37" t="str">
        <f t="shared" ca="1" si="29"/>
        <v/>
      </c>
      <c r="M617" s="7"/>
      <c r="P617" s="67"/>
      <c r="X617" s="70"/>
    </row>
    <row r="618" spans="1:24">
      <c r="A618" s="7">
        <f t="shared" si="27"/>
        <v>613</v>
      </c>
      <c r="B618" s="26"/>
      <c r="C618" s="8"/>
      <c r="D618" s="7"/>
      <c r="E618" s="7"/>
      <c r="F618" s="7"/>
      <c r="G618" s="7"/>
      <c r="H618" s="7"/>
      <c r="I618" s="7"/>
      <c r="J618" s="7"/>
      <c r="K618" s="38" t="str">
        <f t="shared" si="28"/>
        <v/>
      </c>
      <c r="L618" s="37" t="str">
        <f t="shared" ca="1" si="29"/>
        <v/>
      </c>
      <c r="M618" s="7"/>
      <c r="P618" s="67"/>
      <c r="X618" s="70"/>
    </row>
    <row r="619" spans="1:24">
      <c r="A619" s="7">
        <f t="shared" si="27"/>
        <v>614</v>
      </c>
      <c r="B619" s="26"/>
      <c r="C619" s="8"/>
      <c r="D619" s="7"/>
      <c r="E619" s="7"/>
      <c r="F619" s="7"/>
      <c r="G619" s="7"/>
      <c r="H619" s="7"/>
      <c r="I619" s="7"/>
      <c r="J619" s="7"/>
      <c r="K619" s="38" t="str">
        <f t="shared" si="28"/>
        <v/>
      </c>
      <c r="L619" s="37" t="str">
        <f t="shared" ca="1" si="29"/>
        <v/>
      </c>
      <c r="M619" s="7"/>
      <c r="P619" s="67"/>
      <c r="X619" s="70"/>
    </row>
    <row r="620" spans="1:24">
      <c r="A620" s="7">
        <f t="shared" si="27"/>
        <v>615</v>
      </c>
      <c r="B620" s="26"/>
      <c r="C620" s="8"/>
      <c r="D620" s="7"/>
      <c r="E620" s="7"/>
      <c r="F620" s="7"/>
      <c r="G620" s="7"/>
      <c r="H620" s="7"/>
      <c r="I620" s="7"/>
      <c r="J620" s="7"/>
      <c r="K620" s="38" t="str">
        <f t="shared" si="28"/>
        <v/>
      </c>
      <c r="L620" s="37" t="str">
        <f t="shared" ca="1" si="29"/>
        <v/>
      </c>
      <c r="M620" s="7"/>
      <c r="P620" s="67"/>
      <c r="X620" s="70"/>
    </row>
    <row r="621" spans="1:24">
      <c r="A621" s="7">
        <f t="shared" si="27"/>
        <v>616</v>
      </c>
      <c r="B621" s="26"/>
      <c r="C621" s="8"/>
      <c r="D621" s="7"/>
      <c r="E621" s="7"/>
      <c r="F621" s="7"/>
      <c r="G621" s="7"/>
      <c r="H621" s="7"/>
      <c r="I621" s="7"/>
      <c r="J621" s="7"/>
      <c r="K621" s="38" t="str">
        <f t="shared" si="28"/>
        <v/>
      </c>
      <c r="L621" s="37" t="str">
        <f t="shared" ca="1" si="29"/>
        <v/>
      </c>
      <c r="M621" s="7"/>
      <c r="P621" s="67"/>
      <c r="X621" s="70"/>
    </row>
    <row r="622" spans="1:24">
      <c r="A622" s="7">
        <f t="shared" si="27"/>
        <v>617</v>
      </c>
      <c r="B622" s="26"/>
      <c r="C622" s="8"/>
      <c r="D622" s="7"/>
      <c r="E622" s="7"/>
      <c r="F622" s="7"/>
      <c r="G622" s="7"/>
      <c r="H622" s="7"/>
      <c r="I622" s="7"/>
      <c r="J622" s="7"/>
      <c r="K622" s="38" t="str">
        <f t="shared" si="28"/>
        <v/>
      </c>
      <c r="L622" s="37" t="str">
        <f t="shared" ca="1" si="29"/>
        <v/>
      </c>
      <c r="M622" s="7"/>
      <c r="P622" s="67"/>
      <c r="X622" s="70"/>
    </row>
    <row r="623" spans="1:24">
      <c r="A623" s="7">
        <f t="shared" si="27"/>
        <v>618</v>
      </c>
      <c r="B623" s="26"/>
      <c r="C623" s="8"/>
      <c r="D623" s="7"/>
      <c r="E623" s="7"/>
      <c r="F623" s="7"/>
      <c r="G623" s="7"/>
      <c r="H623" s="7"/>
      <c r="I623" s="7"/>
      <c r="J623" s="7"/>
      <c r="K623" s="38" t="str">
        <f t="shared" si="28"/>
        <v/>
      </c>
      <c r="L623" s="37" t="str">
        <f t="shared" ca="1" si="29"/>
        <v/>
      </c>
      <c r="M623" s="7"/>
      <c r="P623" s="67"/>
      <c r="X623" s="70"/>
    </row>
    <row r="624" spans="1:24">
      <c r="A624" s="7">
        <f t="shared" si="27"/>
        <v>619</v>
      </c>
      <c r="B624" s="26"/>
      <c r="C624" s="8"/>
      <c r="D624" s="7"/>
      <c r="E624" s="7"/>
      <c r="F624" s="7"/>
      <c r="G624" s="7"/>
      <c r="H624" s="7"/>
      <c r="I624" s="7"/>
      <c r="J624" s="7"/>
      <c r="K624" s="38" t="str">
        <f t="shared" si="28"/>
        <v/>
      </c>
      <c r="L624" s="37" t="str">
        <f t="shared" ca="1" si="29"/>
        <v/>
      </c>
      <c r="M624" s="7"/>
      <c r="P624" s="67"/>
      <c r="X624" s="70"/>
    </row>
    <row r="625" spans="1:24">
      <c r="A625" s="7">
        <f t="shared" si="27"/>
        <v>620</v>
      </c>
      <c r="B625" s="26"/>
      <c r="C625" s="8"/>
      <c r="D625" s="7"/>
      <c r="E625" s="7"/>
      <c r="F625" s="7"/>
      <c r="G625" s="7"/>
      <c r="H625" s="7"/>
      <c r="I625" s="7"/>
      <c r="J625" s="7"/>
      <c r="K625" s="38" t="str">
        <f t="shared" si="28"/>
        <v/>
      </c>
      <c r="L625" s="37" t="str">
        <f t="shared" ca="1" si="29"/>
        <v/>
      </c>
      <c r="M625" s="7"/>
      <c r="P625" s="67"/>
      <c r="X625" s="70"/>
    </row>
    <row r="626" spans="1:24">
      <c r="A626" s="7">
        <f t="shared" si="27"/>
        <v>621</v>
      </c>
      <c r="B626" s="26"/>
      <c r="C626" s="8"/>
      <c r="D626" s="7"/>
      <c r="E626" s="7"/>
      <c r="F626" s="7"/>
      <c r="G626" s="7"/>
      <c r="H626" s="7"/>
      <c r="I626" s="7"/>
      <c r="J626" s="7"/>
      <c r="K626" s="38" t="str">
        <f t="shared" si="28"/>
        <v/>
      </c>
      <c r="L626" s="37" t="str">
        <f t="shared" ca="1" si="29"/>
        <v/>
      </c>
      <c r="M626" s="7"/>
      <c r="P626" s="67"/>
      <c r="X626" s="70"/>
    </row>
    <row r="627" spans="1:24">
      <c r="A627" s="7">
        <f t="shared" si="27"/>
        <v>622</v>
      </c>
      <c r="B627" s="26"/>
      <c r="C627" s="8"/>
      <c r="D627" s="7"/>
      <c r="E627" s="7"/>
      <c r="F627" s="7"/>
      <c r="G627" s="7"/>
      <c r="H627" s="7"/>
      <c r="I627" s="7"/>
      <c r="J627" s="7"/>
      <c r="K627" s="38" t="str">
        <f t="shared" si="28"/>
        <v/>
      </c>
      <c r="L627" s="37" t="str">
        <f t="shared" ca="1" si="29"/>
        <v/>
      </c>
      <c r="M627" s="7"/>
      <c r="P627" s="67"/>
      <c r="X627" s="70"/>
    </row>
    <row r="628" spans="1:24">
      <c r="A628" s="7">
        <f t="shared" si="27"/>
        <v>623</v>
      </c>
      <c r="B628" s="26"/>
      <c r="C628" s="8"/>
      <c r="D628" s="7"/>
      <c r="E628" s="7"/>
      <c r="F628" s="7"/>
      <c r="G628" s="7"/>
      <c r="H628" s="7"/>
      <c r="I628" s="7"/>
      <c r="J628" s="7"/>
      <c r="K628" s="38" t="str">
        <f t="shared" si="28"/>
        <v/>
      </c>
      <c r="L628" s="37" t="str">
        <f t="shared" ca="1" si="29"/>
        <v/>
      </c>
      <c r="M628" s="7"/>
      <c r="P628" s="67"/>
      <c r="X628" s="70"/>
    </row>
    <row r="629" spans="1:24">
      <c r="A629" s="7">
        <f t="shared" si="27"/>
        <v>624</v>
      </c>
      <c r="B629" s="26"/>
      <c r="C629" s="8"/>
      <c r="D629" s="7"/>
      <c r="E629" s="7"/>
      <c r="F629" s="7"/>
      <c r="G629" s="7"/>
      <c r="H629" s="7"/>
      <c r="I629" s="7"/>
      <c r="J629" s="7"/>
      <c r="K629" s="38" t="str">
        <f t="shared" si="28"/>
        <v/>
      </c>
      <c r="L629" s="37" t="str">
        <f t="shared" ca="1" si="29"/>
        <v/>
      </c>
      <c r="M629" s="7"/>
      <c r="P629" s="67"/>
      <c r="X629" s="70"/>
    </row>
    <row r="630" spans="1:24">
      <c r="A630" s="7">
        <f t="shared" si="27"/>
        <v>625</v>
      </c>
      <c r="B630" s="26"/>
      <c r="C630" s="8"/>
      <c r="D630" s="7"/>
      <c r="E630" s="7"/>
      <c r="F630" s="7"/>
      <c r="G630" s="7"/>
      <c r="H630" s="7"/>
      <c r="I630" s="7"/>
      <c r="J630" s="7"/>
      <c r="K630" s="38" t="str">
        <f t="shared" si="28"/>
        <v/>
      </c>
      <c r="L630" s="37" t="str">
        <f t="shared" ca="1" si="29"/>
        <v/>
      </c>
      <c r="M630" s="7"/>
      <c r="P630" s="67"/>
      <c r="X630" s="70"/>
    </row>
    <row r="631" spans="1:24">
      <c r="A631" s="7">
        <f t="shared" si="27"/>
        <v>626</v>
      </c>
      <c r="B631" s="26"/>
      <c r="C631" s="8"/>
      <c r="D631" s="7"/>
      <c r="E631" s="7"/>
      <c r="F631" s="7"/>
      <c r="G631" s="7"/>
      <c r="H631" s="7"/>
      <c r="I631" s="7"/>
      <c r="J631" s="7"/>
      <c r="K631" s="38" t="str">
        <f t="shared" si="28"/>
        <v/>
      </c>
      <c r="L631" s="37" t="str">
        <f t="shared" ca="1" si="29"/>
        <v/>
      </c>
      <c r="M631" s="7"/>
      <c r="P631" s="67"/>
      <c r="X631" s="70"/>
    </row>
    <row r="632" spans="1:24">
      <c r="A632" s="7">
        <f t="shared" si="27"/>
        <v>627</v>
      </c>
      <c r="B632" s="26"/>
      <c r="C632" s="8"/>
      <c r="D632" s="7"/>
      <c r="E632" s="7"/>
      <c r="F632" s="7"/>
      <c r="G632" s="7"/>
      <c r="H632" s="7"/>
      <c r="I632" s="7"/>
      <c r="J632" s="7"/>
      <c r="K632" s="38" t="str">
        <f t="shared" si="28"/>
        <v/>
      </c>
      <c r="L632" s="37" t="str">
        <f t="shared" ca="1" si="29"/>
        <v/>
      </c>
      <c r="M632" s="7"/>
      <c r="P632" s="67"/>
      <c r="X632" s="70"/>
    </row>
    <row r="633" spans="1:24">
      <c r="A633" s="7">
        <f t="shared" si="27"/>
        <v>628</v>
      </c>
      <c r="B633" s="26"/>
      <c r="C633" s="8"/>
      <c r="D633" s="7"/>
      <c r="E633" s="7"/>
      <c r="F633" s="7"/>
      <c r="G633" s="7"/>
      <c r="H633" s="7"/>
      <c r="I633" s="7"/>
      <c r="J633" s="7"/>
      <c r="K633" s="38" t="str">
        <f t="shared" si="28"/>
        <v/>
      </c>
      <c r="L633" s="37" t="str">
        <f t="shared" ca="1" si="29"/>
        <v/>
      </c>
      <c r="M633" s="7"/>
      <c r="P633" s="67"/>
      <c r="X633" s="70"/>
    </row>
    <row r="634" spans="1:24">
      <c r="A634" s="7">
        <f t="shared" si="27"/>
        <v>629</v>
      </c>
      <c r="B634" s="26"/>
      <c r="C634" s="8"/>
      <c r="D634" s="7"/>
      <c r="E634" s="7"/>
      <c r="F634" s="7"/>
      <c r="G634" s="7"/>
      <c r="H634" s="7"/>
      <c r="I634" s="7"/>
      <c r="J634" s="7"/>
      <c r="K634" s="38" t="str">
        <f t="shared" si="28"/>
        <v/>
      </c>
      <c r="L634" s="37" t="str">
        <f t="shared" ca="1" si="29"/>
        <v/>
      </c>
      <c r="M634" s="7"/>
      <c r="P634" s="67"/>
      <c r="X634" s="70"/>
    </row>
    <row r="635" spans="1:24">
      <c r="A635" s="7">
        <f t="shared" si="27"/>
        <v>630</v>
      </c>
      <c r="B635" s="26"/>
      <c r="C635" s="8"/>
      <c r="D635" s="7"/>
      <c r="E635" s="7"/>
      <c r="F635" s="7"/>
      <c r="G635" s="7"/>
      <c r="H635" s="7"/>
      <c r="I635" s="7"/>
      <c r="J635" s="7"/>
      <c r="K635" s="38" t="str">
        <f t="shared" si="28"/>
        <v/>
      </c>
      <c r="L635" s="37" t="str">
        <f t="shared" ca="1" si="29"/>
        <v/>
      </c>
      <c r="M635" s="7"/>
      <c r="P635" s="67"/>
      <c r="X635" s="70"/>
    </row>
    <row r="636" spans="1:24">
      <c r="A636" s="7">
        <f t="shared" si="27"/>
        <v>631</v>
      </c>
      <c r="B636" s="26"/>
      <c r="C636" s="8"/>
      <c r="D636" s="7"/>
      <c r="E636" s="7"/>
      <c r="F636" s="7"/>
      <c r="G636" s="7"/>
      <c r="H636" s="7"/>
      <c r="I636" s="7"/>
      <c r="J636" s="7"/>
      <c r="K636" s="38" t="str">
        <f t="shared" si="28"/>
        <v/>
      </c>
      <c r="L636" s="37" t="str">
        <f t="shared" ca="1" si="29"/>
        <v/>
      </c>
      <c r="M636" s="7"/>
      <c r="P636" s="67"/>
      <c r="X636" s="70"/>
    </row>
    <row r="637" spans="1:24">
      <c r="A637" s="7">
        <f t="shared" si="27"/>
        <v>632</v>
      </c>
      <c r="B637" s="26"/>
      <c r="C637" s="8"/>
      <c r="D637" s="7"/>
      <c r="E637" s="7"/>
      <c r="F637" s="7"/>
      <c r="G637" s="7"/>
      <c r="H637" s="7"/>
      <c r="I637" s="7"/>
      <c r="J637" s="7"/>
      <c r="K637" s="38" t="str">
        <f t="shared" si="28"/>
        <v/>
      </c>
      <c r="L637" s="37" t="str">
        <f t="shared" ca="1" si="29"/>
        <v/>
      </c>
      <c r="M637" s="7"/>
      <c r="P637" s="67"/>
      <c r="X637" s="70"/>
    </row>
    <row r="638" spans="1:24">
      <c r="A638" s="7">
        <f t="shared" si="27"/>
        <v>633</v>
      </c>
      <c r="B638" s="26"/>
      <c r="C638" s="8"/>
      <c r="D638" s="7"/>
      <c r="E638" s="7"/>
      <c r="F638" s="7"/>
      <c r="G638" s="7"/>
      <c r="H638" s="7"/>
      <c r="I638" s="7"/>
      <c r="J638" s="7"/>
      <c r="K638" s="38" t="str">
        <f t="shared" si="28"/>
        <v/>
      </c>
      <c r="L638" s="37" t="str">
        <f t="shared" ca="1" si="29"/>
        <v/>
      </c>
      <c r="M638" s="7"/>
      <c r="P638" s="67"/>
      <c r="X638" s="70"/>
    </row>
    <row r="639" spans="1:24">
      <c r="A639" s="7">
        <f t="shared" si="27"/>
        <v>634</v>
      </c>
      <c r="B639" s="26"/>
      <c r="C639" s="8"/>
      <c r="D639" s="7"/>
      <c r="E639" s="7"/>
      <c r="F639" s="7"/>
      <c r="G639" s="7"/>
      <c r="H639" s="7"/>
      <c r="I639" s="7"/>
      <c r="J639" s="7"/>
      <c r="K639" s="38" t="str">
        <f t="shared" si="28"/>
        <v/>
      </c>
      <c r="L639" s="37" t="str">
        <f t="shared" ca="1" si="29"/>
        <v/>
      </c>
      <c r="M639" s="7"/>
      <c r="P639" s="67"/>
      <c r="X639" s="70"/>
    </row>
    <row r="640" spans="1:24">
      <c r="A640" s="7">
        <f t="shared" si="27"/>
        <v>635</v>
      </c>
      <c r="B640" s="26"/>
      <c r="C640" s="8"/>
      <c r="D640" s="7"/>
      <c r="E640" s="7"/>
      <c r="F640" s="7"/>
      <c r="G640" s="7"/>
      <c r="H640" s="7"/>
      <c r="I640" s="7"/>
      <c r="J640" s="7"/>
      <c r="K640" s="38" t="str">
        <f t="shared" si="28"/>
        <v/>
      </c>
      <c r="L640" s="37" t="str">
        <f t="shared" ca="1" si="29"/>
        <v/>
      </c>
      <c r="M640" s="7"/>
      <c r="P640" s="67"/>
      <c r="X640" s="70"/>
    </row>
    <row r="641" spans="1:24">
      <c r="A641" s="7">
        <f t="shared" si="27"/>
        <v>636</v>
      </c>
      <c r="B641" s="26"/>
      <c r="C641" s="8"/>
      <c r="D641" s="7"/>
      <c r="E641" s="7"/>
      <c r="F641" s="7"/>
      <c r="G641" s="7"/>
      <c r="H641" s="7"/>
      <c r="I641" s="7"/>
      <c r="J641" s="7"/>
      <c r="K641" s="38" t="str">
        <f t="shared" si="28"/>
        <v/>
      </c>
      <c r="L641" s="37" t="str">
        <f t="shared" ca="1" si="29"/>
        <v/>
      </c>
      <c r="M641" s="7"/>
      <c r="P641" s="67"/>
      <c r="X641" s="70"/>
    </row>
    <row r="642" spans="1:24">
      <c r="A642" s="7">
        <f t="shared" si="27"/>
        <v>637</v>
      </c>
      <c r="B642" s="26"/>
      <c r="C642" s="8"/>
      <c r="D642" s="7"/>
      <c r="E642" s="7"/>
      <c r="F642" s="7"/>
      <c r="G642" s="7"/>
      <c r="H642" s="7"/>
      <c r="I642" s="7"/>
      <c r="J642" s="7"/>
      <c r="K642" s="38" t="str">
        <f t="shared" si="28"/>
        <v/>
      </c>
      <c r="L642" s="37" t="str">
        <f t="shared" ca="1" si="29"/>
        <v/>
      </c>
      <c r="M642" s="7"/>
      <c r="P642" s="67"/>
      <c r="X642" s="70"/>
    </row>
    <row r="643" spans="1:24">
      <c r="A643" s="7">
        <f t="shared" si="27"/>
        <v>638</v>
      </c>
      <c r="B643" s="26"/>
      <c r="C643" s="8"/>
      <c r="D643" s="7"/>
      <c r="E643" s="7"/>
      <c r="F643" s="7"/>
      <c r="G643" s="7"/>
      <c r="H643" s="7"/>
      <c r="I643" s="7"/>
      <c r="J643" s="7"/>
      <c r="K643" s="38" t="str">
        <f t="shared" si="28"/>
        <v/>
      </c>
      <c r="L643" s="37" t="str">
        <f t="shared" ca="1" si="29"/>
        <v/>
      </c>
      <c r="M643" s="7"/>
      <c r="P643" s="67"/>
      <c r="X643" s="70"/>
    </row>
    <row r="644" spans="1:24">
      <c r="A644" s="7">
        <f t="shared" si="27"/>
        <v>639</v>
      </c>
      <c r="B644" s="26"/>
      <c r="C644" s="8"/>
      <c r="D644" s="7"/>
      <c r="E644" s="7"/>
      <c r="F644" s="7"/>
      <c r="G644" s="7"/>
      <c r="H644" s="7"/>
      <c r="I644" s="7"/>
      <c r="J644" s="7"/>
      <c r="K644" s="38" t="str">
        <f t="shared" si="28"/>
        <v/>
      </c>
      <c r="L644" s="37" t="str">
        <f t="shared" ca="1" si="29"/>
        <v/>
      </c>
      <c r="M644" s="7"/>
      <c r="P644" s="67"/>
      <c r="X644" s="70"/>
    </row>
    <row r="645" spans="1:24">
      <c r="A645" s="7">
        <f t="shared" si="27"/>
        <v>640</v>
      </c>
      <c r="B645" s="26"/>
      <c r="C645" s="8"/>
      <c r="D645" s="7"/>
      <c r="E645" s="7"/>
      <c r="F645" s="7"/>
      <c r="G645" s="7"/>
      <c r="H645" s="7"/>
      <c r="I645" s="7"/>
      <c r="J645" s="7"/>
      <c r="K645" s="38" t="str">
        <f t="shared" si="28"/>
        <v/>
      </c>
      <c r="L645" s="37" t="str">
        <f t="shared" ca="1" si="29"/>
        <v/>
      </c>
      <c r="M645" s="7"/>
      <c r="P645" s="67"/>
      <c r="X645" s="70"/>
    </row>
    <row r="646" spans="1:24">
      <c r="A646" s="7">
        <f t="shared" si="27"/>
        <v>641</v>
      </c>
      <c r="B646" s="26"/>
      <c r="C646" s="8"/>
      <c r="D646" s="7"/>
      <c r="E646" s="7"/>
      <c r="F646" s="7"/>
      <c r="G646" s="7"/>
      <c r="H646" s="7"/>
      <c r="I646" s="7"/>
      <c r="J646" s="7"/>
      <c r="K646" s="38" t="str">
        <f t="shared" si="28"/>
        <v/>
      </c>
      <c r="L646" s="37" t="str">
        <f t="shared" ca="1" si="29"/>
        <v/>
      </c>
      <c r="M646" s="7"/>
      <c r="P646" s="67"/>
      <c r="X646" s="70"/>
    </row>
    <row r="647" spans="1:24">
      <c r="A647" s="7">
        <f t="shared" ref="A647:A710" si="30">ROW(A642)</f>
        <v>642</v>
      </c>
      <c r="B647" s="26"/>
      <c r="C647" s="8"/>
      <c r="D647" s="7"/>
      <c r="E647" s="7"/>
      <c r="F647" s="7"/>
      <c r="G647" s="7"/>
      <c r="H647" s="7"/>
      <c r="I647" s="7"/>
      <c r="J647" s="7"/>
      <c r="K647" s="38" t="str">
        <f t="shared" ref="K647:K710" si="31">IF(C647&gt;0,C647+J647-1,"")</f>
        <v/>
      </c>
      <c r="L647" s="37" t="str">
        <f t="shared" ref="L647:L710" ca="1" si="32">IF(K647="","",IF(TODAY()&gt;K647,"YES","No"))</f>
        <v/>
      </c>
      <c r="M647" s="7"/>
      <c r="P647" s="67"/>
      <c r="X647" s="70"/>
    </row>
    <row r="648" spans="1:24">
      <c r="A648" s="7">
        <f t="shared" si="30"/>
        <v>643</v>
      </c>
      <c r="B648" s="26"/>
      <c r="C648" s="8"/>
      <c r="D648" s="7"/>
      <c r="E648" s="7"/>
      <c r="F648" s="7"/>
      <c r="G648" s="7"/>
      <c r="H648" s="7"/>
      <c r="I648" s="7"/>
      <c r="J648" s="7"/>
      <c r="K648" s="38" t="str">
        <f t="shared" si="31"/>
        <v/>
      </c>
      <c r="L648" s="37" t="str">
        <f t="shared" ca="1" si="32"/>
        <v/>
      </c>
      <c r="M648" s="7"/>
      <c r="P648" s="67"/>
      <c r="X648" s="70"/>
    </row>
    <row r="649" spans="1:24">
      <c r="A649" s="7">
        <f t="shared" si="30"/>
        <v>644</v>
      </c>
      <c r="B649" s="26"/>
      <c r="C649" s="8"/>
      <c r="D649" s="7"/>
      <c r="E649" s="7"/>
      <c r="F649" s="7"/>
      <c r="G649" s="7"/>
      <c r="H649" s="7"/>
      <c r="I649" s="7"/>
      <c r="J649" s="7"/>
      <c r="K649" s="38" t="str">
        <f t="shared" si="31"/>
        <v/>
      </c>
      <c r="L649" s="37" t="str">
        <f t="shared" ca="1" si="32"/>
        <v/>
      </c>
      <c r="M649" s="7"/>
      <c r="P649" s="67"/>
      <c r="X649" s="70"/>
    </row>
    <row r="650" spans="1:24">
      <c r="A650" s="7">
        <f t="shared" si="30"/>
        <v>645</v>
      </c>
      <c r="B650" s="26"/>
      <c r="C650" s="8"/>
      <c r="D650" s="7"/>
      <c r="E650" s="7"/>
      <c r="F650" s="7"/>
      <c r="G650" s="7"/>
      <c r="H650" s="7"/>
      <c r="I650" s="7"/>
      <c r="J650" s="7"/>
      <c r="K650" s="38" t="str">
        <f t="shared" si="31"/>
        <v/>
      </c>
      <c r="L650" s="37" t="str">
        <f t="shared" ca="1" si="32"/>
        <v/>
      </c>
      <c r="M650" s="7"/>
      <c r="P650" s="67"/>
      <c r="X650" s="70"/>
    </row>
    <row r="651" spans="1:24">
      <c r="A651" s="7">
        <f t="shared" si="30"/>
        <v>646</v>
      </c>
      <c r="B651" s="26"/>
      <c r="C651" s="8"/>
      <c r="D651" s="7"/>
      <c r="E651" s="7"/>
      <c r="F651" s="7"/>
      <c r="G651" s="7"/>
      <c r="H651" s="7"/>
      <c r="I651" s="7"/>
      <c r="J651" s="7"/>
      <c r="K651" s="38" t="str">
        <f t="shared" si="31"/>
        <v/>
      </c>
      <c r="L651" s="37" t="str">
        <f t="shared" ca="1" si="32"/>
        <v/>
      </c>
      <c r="M651" s="7"/>
      <c r="P651" s="67"/>
      <c r="X651" s="70"/>
    </row>
    <row r="652" spans="1:24">
      <c r="A652" s="7">
        <f t="shared" si="30"/>
        <v>647</v>
      </c>
      <c r="B652" s="26"/>
      <c r="C652" s="8"/>
      <c r="D652" s="7"/>
      <c r="E652" s="7"/>
      <c r="F652" s="7"/>
      <c r="G652" s="7"/>
      <c r="H652" s="7"/>
      <c r="I652" s="7"/>
      <c r="J652" s="7"/>
      <c r="K652" s="38" t="str">
        <f t="shared" si="31"/>
        <v/>
      </c>
      <c r="L652" s="37" t="str">
        <f t="shared" ca="1" si="32"/>
        <v/>
      </c>
      <c r="M652" s="7"/>
      <c r="P652" s="67"/>
      <c r="X652" s="70"/>
    </row>
    <row r="653" spans="1:24">
      <c r="A653" s="7">
        <f t="shared" si="30"/>
        <v>648</v>
      </c>
      <c r="B653" s="26"/>
      <c r="C653" s="8"/>
      <c r="D653" s="7"/>
      <c r="E653" s="7"/>
      <c r="F653" s="7"/>
      <c r="G653" s="7"/>
      <c r="H653" s="7"/>
      <c r="I653" s="7"/>
      <c r="J653" s="7"/>
      <c r="K653" s="38" t="str">
        <f t="shared" si="31"/>
        <v/>
      </c>
      <c r="L653" s="37" t="str">
        <f t="shared" ca="1" si="32"/>
        <v/>
      </c>
      <c r="M653" s="7"/>
      <c r="P653" s="67"/>
      <c r="X653" s="70"/>
    </row>
    <row r="654" spans="1:24">
      <c r="A654" s="7">
        <f t="shared" si="30"/>
        <v>649</v>
      </c>
      <c r="B654" s="26"/>
      <c r="C654" s="8"/>
      <c r="D654" s="7"/>
      <c r="E654" s="7"/>
      <c r="F654" s="7"/>
      <c r="G654" s="7"/>
      <c r="H654" s="7"/>
      <c r="I654" s="7"/>
      <c r="J654" s="7"/>
      <c r="K654" s="38" t="str">
        <f t="shared" si="31"/>
        <v/>
      </c>
      <c r="L654" s="37" t="str">
        <f t="shared" ca="1" si="32"/>
        <v/>
      </c>
      <c r="M654" s="7"/>
      <c r="P654" s="67"/>
      <c r="X654" s="70"/>
    </row>
    <row r="655" spans="1:24">
      <c r="A655" s="7">
        <f t="shared" si="30"/>
        <v>650</v>
      </c>
      <c r="B655" s="26"/>
      <c r="C655" s="8"/>
      <c r="D655" s="7"/>
      <c r="E655" s="7"/>
      <c r="F655" s="7"/>
      <c r="G655" s="7"/>
      <c r="H655" s="7"/>
      <c r="I655" s="7"/>
      <c r="J655" s="7"/>
      <c r="K655" s="38" t="str">
        <f t="shared" si="31"/>
        <v/>
      </c>
      <c r="L655" s="37" t="str">
        <f t="shared" ca="1" si="32"/>
        <v/>
      </c>
      <c r="M655" s="7"/>
      <c r="P655" s="67"/>
      <c r="X655" s="70"/>
    </row>
    <row r="656" spans="1:24">
      <c r="A656" s="7">
        <f t="shared" si="30"/>
        <v>651</v>
      </c>
      <c r="B656" s="26"/>
      <c r="C656" s="8"/>
      <c r="D656" s="7"/>
      <c r="E656" s="7"/>
      <c r="F656" s="7"/>
      <c r="G656" s="7"/>
      <c r="H656" s="7"/>
      <c r="I656" s="7"/>
      <c r="J656" s="7"/>
      <c r="K656" s="38" t="str">
        <f t="shared" si="31"/>
        <v/>
      </c>
      <c r="L656" s="37" t="str">
        <f t="shared" ca="1" si="32"/>
        <v/>
      </c>
      <c r="M656" s="7"/>
      <c r="P656" s="67"/>
      <c r="X656" s="70"/>
    </row>
    <row r="657" spans="1:24">
      <c r="A657" s="7">
        <f t="shared" si="30"/>
        <v>652</v>
      </c>
      <c r="B657" s="26"/>
      <c r="C657" s="8"/>
      <c r="D657" s="7"/>
      <c r="E657" s="7"/>
      <c r="F657" s="7"/>
      <c r="G657" s="7"/>
      <c r="H657" s="7"/>
      <c r="I657" s="7"/>
      <c r="J657" s="7"/>
      <c r="K657" s="38" t="str">
        <f t="shared" si="31"/>
        <v/>
      </c>
      <c r="L657" s="37" t="str">
        <f t="shared" ca="1" si="32"/>
        <v/>
      </c>
      <c r="M657" s="7"/>
      <c r="P657" s="67"/>
      <c r="X657" s="70"/>
    </row>
    <row r="658" spans="1:24">
      <c r="A658" s="7">
        <f t="shared" si="30"/>
        <v>653</v>
      </c>
      <c r="B658" s="26"/>
      <c r="C658" s="8"/>
      <c r="D658" s="7"/>
      <c r="E658" s="7"/>
      <c r="F658" s="7"/>
      <c r="G658" s="7"/>
      <c r="H658" s="7"/>
      <c r="I658" s="7"/>
      <c r="J658" s="7"/>
      <c r="K658" s="38" t="str">
        <f t="shared" si="31"/>
        <v/>
      </c>
      <c r="L658" s="37" t="str">
        <f t="shared" ca="1" si="32"/>
        <v/>
      </c>
      <c r="M658" s="7"/>
      <c r="P658" s="67"/>
      <c r="X658" s="70"/>
    </row>
    <row r="659" spans="1:24">
      <c r="A659" s="7">
        <f t="shared" si="30"/>
        <v>654</v>
      </c>
      <c r="B659" s="26"/>
      <c r="C659" s="8"/>
      <c r="D659" s="7"/>
      <c r="E659" s="7"/>
      <c r="F659" s="7"/>
      <c r="G659" s="7"/>
      <c r="H659" s="7"/>
      <c r="I659" s="7"/>
      <c r="J659" s="7"/>
      <c r="K659" s="38" t="str">
        <f t="shared" si="31"/>
        <v/>
      </c>
      <c r="L659" s="37" t="str">
        <f t="shared" ca="1" si="32"/>
        <v/>
      </c>
      <c r="M659" s="7"/>
      <c r="P659" s="67"/>
      <c r="X659" s="70"/>
    </row>
    <row r="660" spans="1:24">
      <c r="A660" s="7">
        <f t="shared" si="30"/>
        <v>655</v>
      </c>
      <c r="B660" s="26"/>
      <c r="C660" s="8"/>
      <c r="D660" s="7"/>
      <c r="E660" s="7"/>
      <c r="F660" s="7"/>
      <c r="G660" s="7"/>
      <c r="H660" s="7"/>
      <c r="I660" s="7"/>
      <c r="J660" s="7"/>
      <c r="K660" s="38" t="str">
        <f t="shared" si="31"/>
        <v/>
      </c>
      <c r="L660" s="37" t="str">
        <f t="shared" ca="1" si="32"/>
        <v/>
      </c>
      <c r="M660" s="7"/>
      <c r="P660" s="67"/>
      <c r="X660" s="70"/>
    </row>
    <row r="661" spans="1:24">
      <c r="A661" s="7">
        <f t="shared" si="30"/>
        <v>656</v>
      </c>
      <c r="B661" s="26"/>
      <c r="C661" s="8"/>
      <c r="D661" s="7"/>
      <c r="E661" s="7"/>
      <c r="F661" s="7"/>
      <c r="G661" s="7"/>
      <c r="H661" s="7"/>
      <c r="I661" s="7"/>
      <c r="J661" s="7"/>
      <c r="K661" s="38" t="str">
        <f t="shared" si="31"/>
        <v/>
      </c>
      <c r="L661" s="37" t="str">
        <f t="shared" ca="1" si="32"/>
        <v/>
      </c>
      <c r="M661" s="7"/>
      <c r="P661" s="67"/>
      <c r="X661" s="70"/>
    </row>
    <row r="662" spans="1:24">
      <c r="A662" s="7">
        <f t="shared" si="30"/>
        <v>657</v>
      </c>
      <c r="B662" s="26"/>
      <c r="C662" s="8"/>
      <c r="D662" s="7"/>
      <c r="E662" s="7"/>
      <c r="F662" s="7"/>
      <c r="G662" s="7"/>
      <c r="H662" s="7"/>
      <c r="I662" s="7"/>
      <c r="J662" s="7"/>
      <c r="K662" s="38" t="str">
        <f t="shared" si="31"/>
        <v/>
      </c>
      <c r="L662" s="37" t="str">
        <f t="shared" ca="1" si="32"/>
        <v/>
      </c>
      <c r="M662" s="7"/>
      <c r="P662" s="67"/>
      <c r="X662" s="70"/>
    </row>
    <row r="663" spans="1:24">
      <c r="A663" s="7">
        <f t="shared" si="30"/>
        <v>658</v>
      </c>
      <c r="B663" s="26"/>
      <c r="C663" s="8"/>
      <c r="D663" s="7"/>
      <c r="E663" s="7"/>
      <c r="F663" s="7"/>
      <c r="G663" s="7"/>
      <c r="H663" s="7"/>
      <c r="I663" s="7"/>
      <c r="J663" s="7"/>
      <c r="K663" s="38" t="str">
        <f t="shared" si="31"/>
        <v/>
      </c>
      <c r="L663" s="37" t="str">
        <f t="shared" ca="1" si="32"/>
        <v/>
      </c>
      <c r="M663" s="7"/>
      <c r="P663" s="67"/>
      <c r="X663" s="70"/>
    </row>
    <row r="664" spans="1:24">
      <c r="A664" s="7">
        <f t="shared" si="30"/>
        <v>659</v>
      </c>
      <c r="B664" s="26"/>
      <c r="C664" s="8"/>
      <c r="D664" s="7"/>
      <c r="E664" s="7"/>
      <c r="F664" s="7"/>
      <c r="G664" s="7"/>
      <c r="H664" s="7"/>
      <c r="I664" s="7"/>
      <c r="J664" s="7"/>
      <c r="K664" s="38" t="str">
        <f t="shared" si="31"/>
        <v/>
      </c>
      <c r="L664" s="37" t="str">
        <f t="shared" ca="1" si="32"/>
        <v/>
      </c>
      <c r="M664" s="7"/>
      <c r="P664" s="67"/>
      <c r="X664" s="70"/>
    </row>
    <row r="665" spans="1:24">
      <c r="A665" s="7">
        <f t="shared" si="30"/>
        <v>660</v>
      </c>
      <c r="B665" s="26"/>
      <c r="C665" s="8"/>
      <c r="D665" s="7"/>
      <c r="E665" s="7"/>
      <c r="F665" s="7"/>
      <c r="G665" s="7"/>
      <c r="H665" s="7"/>
      <c r="I665" s="7"/>
      <c r="J665" s="7"/>
      <c r="K665" s="38" t="str">
        <f t="shared" si="31"/>
        <v/>
      </c>
      <c r="L665" s="37" t="str">
        <f t="shared" ca="1" si="32"/>
        <v/>
      </c>
      <c r="M665" s="7"/>
      <c r="P665" s="67"/>
      <c r="X665" s="70"/>
    </row>
    <row r="666" spans="1:24">
      <c r="A666" s="7">
        <f t="shared" si="30"/>
        <v>661</v>
      </c>
      <c r="B666" s="26"/>
      <c r="C666" s="8"/>
      <c r="D666" s="7"/>
      <c r="E666" s="7"/>
      <c r="F666" s="7"/>
      <c r="G666" s="7"/>
      <c r="H666" s="7"/>
      <c r="I666" s="7"/>
      <c r="J666" s="7"/>
      <c r="K666" s="38" t="str">
        <f t="shared" si="31"/>
        <v/>
      </c>
      <c r="L666" s="37" t="str">
        <f t="shared" ca="1" si="32"/>
        <v/>
      </c>
      <c r="M666" s="7"/>
      <c r="P666" s="67"/>
      <c r="X666" s="70"/>
    </row>
    <row r="667" spans="1:24">
      <c r="A667" s="7">
        <f t="shared" si="30"/>
        <v>662</v>
      </c>
      <c r="B667" s="26"/>
      <c r="C667" s="8"/>
      <c r="D667" s="7"/>
      <c r="E667" s="7"/>
      <c r="F667" s="7"/>
      <c r="G667" s="7"/>
      <c r="H667" s="7"/>
      <c r="I667" s="7"/>
      <c r="J667" s="7"/>
      <c r="K667" s="38" t="str">
        <f t="shared" si="31"/>
        <v/>
      </c>
      <c r="L667" s="37" t="str">
        <f t="shared" ca="1" si="32"/>
        <v/>
      </c>
      <c r="M667" s="7"/>
      <c r="P667" s="67"/>
      <c r="X667" s="70"/>
    </row>
    <row r="668" spans="1:24">
      <c r="A668" s="7">
        <f t="shared" si="30"/>
        <v>663</v>
      </c>
      <c r="B668" s="26"/>
      <c r="C668" s="8"/>
      <c r="D668" s="7"/>
      <c r="E668" s="7"/>
      <c r="F668" s="7"/>
      <c r="G668" s="7"/>
      <c r="H668" s="7"/>
      <c r="I668" s="7"/>
      <c r="J668" s="7"/>
      <c r="K668" s="38" t="str">
        <f t="shared" si="31"/>
        <v/>
      </c>
      <c r="L668" s="37" t="str">
        <f t="shared" ca="1" si="32"/>
        <v/>
      </c>
      <c r="M668" s="7"/>
      <c r="P668" s="67"/>
      <c r="X668" s="70"/>
    </row>
    <row r="669" spans="1:24">
      <c r="A669" s="7">
        <f t="shared" si="30"/>
        <v>664</v>
      </c>
      <c r="B669" s="26"/>
      <c r="C669" s="8"/>
      <c r="D669" s="7"/>
      <c r="E669" s="7"/>
      <c r="F669" s="7"/>
      <c r="G669" s="7"/>
      <c r="H669" s="7"/>
      <c r="I669" s="7"/>
      <c r="J669" s="7"/>
      <c r="K669" s="38" t="str">
        <f t="shared" si="31"/>
        <v/>
      </c>
      <c r="L669" s="37" t="str">
        <f t="shared" ca="1" si="32"/>
        <v/>
      </c>
      <c r="M669" s="7"/>
      <c r="P669" s="67"/>
      <c r="X669" s="70"/>
    </row>
    <row r="670" spans="1:24">
      <c r="A670" s="7">
        <f t="shared" si="30"/>
        <v>665</v>
      </c>
      <c r="B670" s="26"/>
      <c r="C670" s="8"/>
      <c r="D670" s="7"/>
      <c r="E670" s="7"/>
      <c r="F670" s="7"/>
      <c r="G670" s="7"/>
      <c r="H670" s="7"/>
      <c r="I670" s="7"/>
      <c r="J670" s="7"/>
      <c r="K670" s="38" t="str">
        <f t="shared" si="31"/>
        <v/>
      </c>
      <c r="L670" s="37" t="str">
        <f t="shared" ca="1" si="32"/>
        <v/>
      </c>
      <c r="M670" s="7"/>
      <c r="P670" s="67"/>
      <c r="X670" s="70"/>
    </row>
    <row r="671" spans="1:24">
      <c r="A671" s="7">
        <f t="shared" si="30"/>
        <v>666</v>
      </c>
      <c r="B671" s="26"/>
      <c r="C671" s="8"/>
      <c r="D671" s="7"/>
      <c r="E671" s="7"/>
      <c r="F671" s="7"/>
      <c r="G671" s="7"/>
      <c r="H671" s="7"/>
      <c r="I671" s="7"/>
      <c r="J671" s="7"/>
      <c r="K671" s="38" t="str">
        <f t="shared" si="31"/>
        <v/>
      </c>
      <c r="L671" s="37" t="str">
        <f t="shared" ca="1" si="32"/>
        <v/>
      </c>
      <c r="M671" s="7"/>
      <c r="P671" s="67"/>
      <c r="X671" s="70"/>
    </row>
    <row r="672" spans="1:24">
      <c r="A672" s="7">
        <f t="shared" si="30"/>
        <v>667</v>
      </c>
      <c r="B672" s="26"/>
      <c r="C672" s="8"/>
      <c r="D672" s="7"/>
      <c r="E672" s="7"/>
      <c r="F672" s="7"/>
      <c r="G672" s="7"/>
      <c r="H672" s="7"/>
      <c r="I672" s="7"/>
      <c r="J672" s="7"/>
      <c r="K672" s="38" t="str">
        <f t="shared" si="31"/>
        <v/>
      </c>
      <c r="L672" s="37" t="str">
        <f t="shared" ca="1" si="32"/>
        <v/>
      </c>
      <c r="M672" s="7"/>
      <c r="P672" s="67"/>
      <c r="X672" s="70"/>
    </row>
    <row r="673" spans="1:24">
      <c r="A673" s="7">
        <f t="shared" si="30"/>
        <v>668</v>
      </c>
      <c r="B673" s="26"/>
      <c r="C673" s="8"/>
      <c r="D673" s="7"/>
      <c r="E673" s="7"/>
      <c r="F673" s="7"/>
      <c r="G673" s="7"/>
      <c r="H673" s="7"/>
      <c r="I673" s="7"/>
      <c r="J673" s="7"/>
      <c r="K673" s="38" t="str">
        <f t="shared" si="31"/>
        <v/>
      </c>
      <c r="L673" s="37" t="str">
        <f t="shared" ca="1" si="32"/>
        <v/>
      </c>
      <c r="M673" s="7"/>
      <c r="P673" s="67"/>
      <c r="X673" s="70"/>
    </row>
    <row r="674" spans="1:24">
      <c r="A674" s="7">
        <f t="shared" si="30"/>
        <v>669</v>
      </c>
      <c r="B674" s="26"/>
      <c r="C674" s="8"/>
      <c r="D674" s="7"/>
      <c r="E674" s="7"/>
      <c r="F674" s="7"/>
      <c r="G674" s="7"/>
      <c r="H674" s="7"/>
      <c r="I674" s="7"/>
      <c r="J674" s="7"/>
      <c r="K674" s="38" t="str">
        <f t="shared" si="31"/>
        <v/>
      </c>
      <c r="L674" s="37" t="str">
        <f t="shared" ca="1" si="32"/>
        <v/>
      </c>
      <c r="M674" s="7"/>
      <c r="P674" s="67"/>
      <c r="X674" s="70"/>
    </row>
    <row r="675" spans="1:24">
      <c r="A675" s="7">
        <f t="shared" si="30"/>
        <v>670</v>
      </c>
      <c r="B675" s="26"/>
      <c r="C675" s="8"/>
      <c r="D675" s="7"/>
      <c r="E675" s="7"/>
      <c r="F675" s="7"/>
      <c r="G675" s="7"/>
      <c r="H675" s="7"/>
      <c r="I675" s="7"/>
      <c r="J675" s="7"/>
      <c r="K675" s="38" t="str">
        <f t="shared" si="31"/>
        <v/>
      </c>
      <c r="L675" s="37" t="str">
        <f t="shared" ca="1" si="32"/>
        <v/>
      </c>
      <c r="M675" s="7"/>
      <c r="P675" s="67"/>
      <c r="X675" s="70"/>
    </row>
    <row r="676" spans="1:24">
      <c r="A676" s="7">
        <f t="shared" si="30"/>
        <v>671</v>
      </c>
      <c r="B676" s="26"/>
      <c r="C676" s="8"/>
      <c r="D676" s="7"/>
      <c r="E676" s="7"/>
      <c r="F676" s="7"/>
      <c r="G676" s="7"/>
      <c r="H676" s="7"/>
      <c r="I676" s="7"/>
      <c r="J676" s="7"/>
      <c r="K676" s="38" t="str">
        <f t="shared" si="31"/>
        <v/>
      </c>
      <c r="L676" s="37" t="str">
        <f t="shared" ca="1" si="32"/>
        <v/>
      </c>
      <c r="M676" s="7"/>
      <c r="P676" s="67"/>
      <c r="X676" s="70"/>
    </row>
    <row r="677" spans="1:24">
      <c r="A677" s="7">
        <f t="shared" si="30"/>
        <v>672</v>
      </c>
      <c r="B677" s="26"/>
      <c r="C677" s="8"/>
      <c r="D677" s="7"/>
      <c r="E677" s="7"/>
      <c r="F677" s="7"/>
      <c r="G677" s="7"/>
      <c r="H677" s="7"/>
      <c r="I677" s="7"/>
      <c r="J677" s="7"/>
      <c r="K677" s="38" t="str">
        <f t="shared" si="31"/>
        <v/>
      </c>
      <c r="L677" s="37" t="str">
        <f t="shared" ca="1" si="32"/>
        <v/>
      </c>
      <c r="M677" s="7"/>
      <c r="P677" s="67"/>
      <c r="X677" s="70"/>
    </row>
    <row r="678" spans="1:24">
      <c r="A678" s="7">
        <f t="shared" si="30"/>
        <v>673</v>
      </c>
      <c r="B678" s="26"/>
      <c r="C678" s="8"/>
      <c r="D678" s="7"/>
      <c r="E678" s="7"/>
      <c r="F678" s="7"/>
      <c r="G678" s="7"/>
      <c r="H678" s="7"/>
      <c r="I678" s="7"/>
      <c r="J678" s="7"/>
      <c r="K678" s="38" t="str">
        <f t="shared" si="31"/>
        <v/>
      </c>
      <c r="L678" s="37" t="str">
        <f t="shared" ca="1" si="32"/>
        <v/>
      </c>
      <c r="M678" s="7"/>
      <c r="P678" s="67"/>
      <c r="X678" s="70"/>
    </row>
    <row r="679" spans="1:24">
      <c r="A679" s="7">
        <f t="shared" si="30"/>
        <v>674</v>
      </c>
      <c r="B679" s="26"/>
      <c r="C679" s="8"/>
      <c r="D679" s="7"/>
      <c r="E679" s="7"/>
      <c r="F679" s="7"/>
      <c r="G679" s="7"/>
      <c r="H679" s="7"/>
      <c r="I679" s="7"/>
      <c r="J679" s="7"/>
      <c r="K679" s="38" t="str">
        <f t="shared" si="31"/>
        <v/>
      </c>
      <c r="L679" s="37" t="str">
        <f t="shared" ca="1" si="32"/>
        <v/>
      </c>
      <c r="M679" s="7"/>
      <c r="P679" s="67"/>
      <c r="X679" s="70"/>
    </row>
    <row r="680" spans="1:24">
      <c r="A680" s="7">
        <f t="shared" si="30"/>
        <v>675</v>
      </c>
      <c r="B680" s="26"/>
      <c r="C680" s="8"/>
      <c r="D680" s="7"/>
      <c r="E680" s="7"/>
      <c r="F680" s="7"/>
      <c r="G680" s="7"/>
      <c r="H680" s="7"/>
      <c r="I680" s="7"/>
      <c r="J680" s="7"/>
      <c r="K680" s="38" t="str">
        <f t="shared" si="31"/>
        <v/>
      </c>
      <c r="L680" s="37" t="str">
        <f t="shared" ca="1" si="32"/>
        <v/>
      </c>
      <c r="M680" s="7"/>
      <c r="P680" s="67"/>
      <c r="X680" s="70"/>
    </row>
    <row r="681" spans="1:24">
      <c r="A681" s="7">
        <f t="shared" si="30"/>
        <v>676</v>
      </c>
      <c r="B681" s="26"/>
      <c r="C681" s="8"/>
      <c r="D681" s="7"/>
      <c r="E681" s="7"/>
      <c r="F681" s="7"/>
      <c r="G681" s="7"/>
      <c r="H681" s="7"/>
      <c r="I681" s="7"/>
      <c r="J681" s="7"/>
      <c r="K681" s="38" t="str">
        <f t="shared" si="31"/>
        <v/>
      </c>
      <c r="L681" s="37" t="str">
        <f t="shared" ca="1" si="32"/>
        <v/>
      </c>
      <c r="M681" s="7"/>
      <c r="P681" s="67"/>
      <c r="X681" s="70"/>
    </row>
    <row r="682" spans="1:24">
      <c r="A682" s="7">
        <f t="shared" si="30"/>
        <v>677</v>
      </c>
      <c r="B682" s="26"/>
      <c r="C682" s="8"/>
      <c r="D682" s="7"/>
      <c r="E682" s="7"/>
      <c r="F682" s="7"/>
      <c r="G682" s="7"/>
      <c r="H682" s="7"/>
      <c r="I682" s="7"/>
      <c r="J682" s="7"/>
      <c r="K682" s="38" t="str">
        <f t="shared" si="31"/>
        <v/>
      </c>
      <c r="L682" s="37" t="str">
        <f t="shared" ca="1" si="32"/>
        <v/>
      </c>
      <c r="M682" s="7"/>
      <c r="P682" s="67"/>
      <c r="X682" s="70"/>
    </row>
    <row r="683" spans="1:24">
      <c r="A683" s="7">
        <f t="shared" si="30"/>
        <v>678</v>
      </c>
      <c r="B683" s="26"/>
      <c r="C683" s="8"/>
      <c r="D683" s="7"/>
      <c r="E683" s="7"/>
      <c r="F683" s="7"/>
      <c r="G683" s="7"/>
      <c r="H683" s="7"/>
      <c r="I683" s="7"/>
      <c r="J683" s="7"/>
      <c r="K683" s="38" t="str">
        <f t="shared" si="31"/>
        <v/>
      </c>
      <c r="L683" s="37" t="str">
        <f t="shared" ca="1" si="32"/>
        <v/>
      </c>
      <c r="M683" s="7"/>
      <c r="P683" s="67"/>
      <c r="X683" s="70"/>
    </row>
    <row r="684" spans="1:24">
      <c r="A684" s="7">
        <f t="shared" si="30"/>
        <v>679</v>
      </c>
      <c r="B684" s="26"/>
      <c r="C684" s="8"/>
      <c r="D684" s="7"/>
      <c r="E684" s="7"/>
      <c r="F684" s="7"/>
      <c r="G684" s="7"/>
      <c r="H684" s="7"/>
      <c r="I684" s="7"/>
      <c r="J684" s="7"/>
      <c r="K684" s="38" t="str">
        <f t="shared" si="31"/>
        <v/>
      </c>
      <c r="L684" s="37" t="str">
        <f t="shared" ca="1" si="32"/>
        <v/>
      </c>
      <c r="M684" s="7"/>
      <c r="P684" s="67"/>
      <c r="X684" s="70"/>
    </row>
    <row r="685" spans="1:24">
      <c r="A685" s="7">
        <f t="shared" si="30"/>
        <v>680</v>
      </c>
      <c r="B685" s="26"/>
      <c r="C685" s="8"/>
      <c r="D685" s="7"/>
      <c r="E685" s="7"/>
      <c r="F685" s="7"/>
      <c r="G685" s="7"/>
      <c r="H685" s="7"/>
      <c r="I685" s="7"/>
      <c r="J685" s="7"/>
      <c r="K685" s="38" t="str">
        <f t="shared" si="31"/>
        <v/>
      </c>
      <c r="L685" s="37" t="str">
        <f t="shared" ca="1" si="32"/>
        <v/>
      </c>
      <c r="M685" s="7"/>
      <c r="P685" s="67"/>
      <c r="X685" s="70"/>
    </row>
    <row r="686" spans="1:24">
      <c r="A686" s="7">
        <f t="shared" si="30"/>
        <v>681</v>
      </c>
      <c r="B686" s="26"/>
      <c r="C686" s="8"/>
      <c r="D686" s="7"/>
      <c r="E686" s="7"/>
      <c r="F686" s="7"/>
      <c r="G686" s="7"/>
      <c r="H686" s="7"/>
      <c r="I686" s="7"/>
      <c r="J686" s="7"/>
      <c r="K686" s="38" t="str">
        <f t="shared" si="31"/>
        <v/>
      </c>
      <c r="L686" s="37" t="str">
        <f t="shared" ca="1" si="32"/>
        <v/>
      </c>
      <c r="M686" s="7"/>
      <c r="P686" s="67"/>
      <c r="X686" s="70"/>
    </row>
    <row r="687" spans="1:24">
      <c r="A687" s="7">
        <f t="shared" si="30"/>
        <v>682</v>
      </c>
      <c r="B687" s="26"/>
      <c r="C687" s="8"/>
      <c r="D687" s="7"/>
      <c r="E687" s="7"/>
      <c r="F687" s="7"/>
      <c r="G687" s="7"/>
      <c r="H687" s="7"/>
      <c r="I687" s="7"/>
      <c r="J687" s="7"/>
      <c r="K687" s="38" t="str">
        <f t="shared" si="31"/>
        <v/>
      </c>
      <c r="L687" s="37" t="str">
        <f t="shared" ca="1" si="32"/>
        <v/>
      </c>
      <c r="M687" s="7"/>
      <c r="P687" s="67"/>
      <c r="X687" s="70"/>
    </row>
    <row r="688" spans="1:24">
      <c r="A688" s="7">
        <f t="shared" si="30"/>
        <v>683</v>
      </c>
      <c r="B688" s="26"/>
      <c r="C688" s="8"/>
      <c r="D688" s="7"/>
      <c r="E688" s="7"/>
      <c r="F688" s="7"/>
      <c r="G688" s="7"/>
      <c r="H688" s="7"/>
      <c r="I688" s="7"/>
      <c r="J688" s="7"/>
      <c r="K688" s="38" t="str">
        <f t="shared" si="31"/>
        <v/>
      </c>
      <c r="L688" s="37" t="str">
        <f t="shared" ca="1" si="32"/>
        <v/>
      </c>
      <c r="M688" s="7"/>
      <c r="P688" s="67"/>
      <c r="X688" s="70"/>
    </row>
    <row r="689" spans="1:24">
      <c r="A689" s="7">
        <f t="shared" si="30"/>
        <v>684</v>
      </c>
      <c r="B689" s="26"/>
      <c r="C689" s="8"/>
      <c r="D689" s="7"/>
      <c r="E689" s="7"/>
      <c r="F689" s="7"/>
      <c r="G689" s="7"/>
      <c r="H689" s="7"/>
      <c r="I689" s="7"/>
      <c r="J689" s="7"/>
      <c r="K689" s="38" t="str">
        <f t="shared" si="31"/>
        <v/>
      </c>
      <c r="L689" s="37" t="str">
        <f t="shared" ca="1" si="32"/>
        <v/>
      </c>
      <c r="M689" s="7"/>
      <c r="P689" s="67"/>
      <c r="X689" s="70"/>
    </row>
    <row r="690" spans="1:24">
      <c r="A690" s="7">
        <f t="shared" si="30"/>
        <v>685</v>
      </c>
      <c r="B690" s="26"/>
      <c r="C690" s="8"/>
      <c r="D690" s="7"/>
      <c r="E690" s="7"/>
      <c r="F690" s="7"/>
      <c r="G690" s="7"/>
      <c r="H690" s="7"/>
      <c r="I690" s="7"/>
      <c r="J690" s="7"/>
      <c r="K690" s="38" t="str">
        <f t="shared" si="31"/>
        <v/>
      </c>
      <c r="L690" s="37" t="str">
        <f t="shared" ca="1" si="32"/>
        <v/>
      </c>
      <c r="M690" s="7"/>
      <c r="P690" s="67"/>
      <c r="X690" s="70"/>
    </row>
    <row r="691" spans="1:24">
      <c r="A691" s="7">
        <f t="shared" si="30"/>
        <v>686</v>
      </c>
      <c r="B691" s="26"/>
      <c r="C691" s="8"/>
      <c r="D691" s="7"/>
      <c r="E691" s="7"/>
      <c r="F691" s="7"/>
      <c r="G691" s="7"/>
      <c r="H691" s="7"/>
      <c r="I691" s="7"/>
      <c r="J691" s="7"/>
      <c r="K691" s="38" t="str">
        <f t="shared" si="31"/>
        <v/>
      </c>
      <c r="L691" s="37" t="str">
        <f t="shared" ca="1" si="32"/>
        <v/>
      </c>
      <c r="M691" s="7"/>
      <c r="P691" s="67"/>
      <c r="X691" s="70"/>
    </row>
    <row r="692" spans="1:24">
      <c r="A692" s="7">
        <f t="shared" si="30"/>
        <v>687</v>
      </c>
      <c r="B692" s="26"/>
      <c r="C692" s="8"/>
      <c r="D692" s="7"/>
      <c r="E692" s="7"/>
      <c r="F692" s="7"/>
      <c r="G692" s="7"/>
      <c r="H692" s="7"/>
      <c r="I692" s="7"/>
      <c r="J692" s="7"/>
      <c r="K692" s="38" t="str">
        <f t="shared" si="31"/>
        <v/>
      </c>
      <c r="L692" s="37" t="str">
        <f t="shared" ca="1" si="32"/>
        <v/>
      </c>
      <c r="M692" s="7"/>
      <c r="P692" s="67"/>
      <c r="X692" s="70"/>
    </row>
    <row r="693" spans="1:24">
      <c r="A693" s="7">
        <f t="shared" si="30"/>
        <v>688</v>
      </c>
      <c r="B693" s="26"/>
      <c r="C693" s="8"/>
      <c r="D693" s="7"/>
      <c r="E693" s="7"/>
      <c r="F693" s="7"/>
      <c r="G693" s="7"/>
      <c r="H693" s="7"/>
      <c r="I693" s="7"/>
      <c r="J693" s="7"/>
      <c r="K693" s="38" t="str">
        <f t="shared" si="31"/>
        <v/>
      </c>
      <c r="L693" s="37" t="str">
        <f t="shared" ca="1" si="32"/>
        <v/>
      </c>
      <c r="M693" s="7"/>
      <c r="P693" s="67"/>
      <c r="X693" s="70"/>
    </row>
    <row r="694" spans="1:24">
      <c r="A694" s="7">
        <f t="shared" si="30"/>
        <v>689</v>
      </c>
      <c r="B694" s="26"/>
      <c r="C694" s="8"/>
      <c r="D694" s="7"/>
      <c r="E694" s="7"/>
      <c r="F694" s="7"/>
      <c r="G694" s="7"/>
      <c r="H694" s="7"/>
      <c r="I694" s="7"/>
      <c r="J694" s="7"/>
      <c r="K694" s="38" t="str">
        <f t="shared" si="31"/>
        <v/>
      </c>
      <c r="L694" s="37" t="str">
        <f t="shared" ca="1" si="32"/>
        <v/>
      </c>
      <c r="M694" s="7"/>
      <c r="P694" s="67"/>
      <c r="X694" s="70"/>
    </row>
    <row r="695" spans="1:24">
      <c r="A695" s="7">
        <f t="shared" si="30"/>
        <v>690</v>
      </c>
      <c r="B695" s="26"/>
      <c r="C695" s="8"/>
      <c r="D695" s="7"/>
      <c r="E695" s="7"/>
      <c r="F695" s="7"/>
      <c r="G695" s="7"/>
      <c r="H695" s="7"/>
      <c r="I695" s="7"/>
      <c r="J695" s="7"/>
      <c r="K695" s="38" t="str">
        <f t="shared" si="31"/>
        <v/>
      </c>
      <c r="L695" s="37" t="str">
        <f t="shared" ca="1" si="32"/>
        <v/>
      </c>
      <c r="M695" s="7"/>
      <c r="P695" s="67"/>
      <c r="X695" s="70"/>
    </row>
    <row r="696" spans="1:24">
      <c r="A696" s="7">
        <f t="shared" si="30"/>
        <v>691</v>
      </c>
      <c r="B696" s="26"/>
      <c r="C696" s="8"/>
      <c r="D696" s="7"/>
      <c r="E696" s="7"/>
      <c r="F696" s="7"/>
      <c r="G696" s="7"/>
      <c r="H696" s="7"/>
      <c r="I696" s="7"/>
      <c r="J696" s="7"/>
      <c r="K696" s="38" t="str">
        <f t="shared" si="31"/>
        <v/>
      </c>
      <c r="L696" s="37" t="str">
        <f t="shared" ca="1" si="32"/>
        <v/>
      </c>
      <c r="M696" s="7"/>
      <c r="P696" s="67"/>
      <c r="X696" s="70"/>
    </row>
    <row r="697" spans="1:24">
      <c r="A697" s="7">
        <f t="shared" si="30"/>
        <v>692</v>
      </c>
      <c r="B697" s="26"/>
      <c r="C697" s="8"/>
      <c r="D697" s="7"/>
      <c r="E697" s="7"/>
      <c r="F697" s="7"/>
      <c r="G697" s="7"/>
      <c r="H697" s="7"/>
      <c r="I697" s="7"/>
      <c r="J697" s="7"/>
      <c r="K697" s="38" t="str">
        <f t="shared" si="31"/>
        <v/>
      </c>
      <c r="L697" s="37" t="str">
        <f t="shared" ca="1" si="32"/>
        <v/>
      </c>
      <c r="M697" s="7"/>
      <c r="P697" s="67"/>
      <c r="X697" s="70"/>
    </row>
    <row r="698" spans="1:24">
      <c r="A698" s="7">
        <f t="shared" si="30"/>
        <v>693</v>
      </c>
      <c r="B698" s="26"/>
      <c r="C698" s="8"/>
      <c r="D698" s="7"/>
      <c r="E698" s="7"/>
      <c r="F698" s="7"/>
      <c r="G698" s="7"/>
      <c r="H698" s="7"/>
      <c r="I698" s="7"/>
      <c r="J698" s="7"/>
      <c r="K698" s="38" t="str">
        <f t="shared" si="31"/>
        <v/>
      </c>
      <c r="L698" s="37" t="str">
        <f t="shared" ca="1" si="32"/>
        <v/>
      </c>
      <c r="M698" s="7"/>
      <c r="P698" s="67"/>
      <c r="X698" s="70"/>
    </row>
    <row r="699" spans="1:24">
      <c r="A699" s="7">
        <f t="shared" si="30"/>
        <v>694</v>
      </c>
      <c r="B699" s="26"/>
      <c r="C699" s="8"/>
      <c r="D699" s="7"/>
      <c r="E699" s="7"/>
      <c r="F699" s="7"/>
      <c r="G699" s="7"/>
      <c r="H699" s="7"/>
      <c r="I699" s="7"/>
      <c r="J699" s="7"/>
      <c r="K699" s="38" t="str">
        <f t="shared" si="31"/>
        <v/>
      </c>
      <c r="L699" s="37" t="str">
        <f t="shared" ca="1" si="32"/>
        <v/>
      </c>
      <c r="M699" s="7"/>
      <c r="P699" s="67"/>
      <c r="X699" s="70"/>
    </row>
    <row r="700" spans="1:24">
      <c r="A700" s="7">
        <f t="shared" si="30"/>
        <v>695</v>
      </c>
      <c r="B700" s="26"/>
      <c r="C700" s="8"/>
      <c r="D700" s="7"/>
      <c r="E700" s="7"/>
      <c r="F700" s="7"/>
      <c r="G700" s="7"/>
      <c r="H700" s="7"/>
      <c r="I700" s="7"/>
      <c r="J700" s="7"/>
      <c r="K700" s="38" t="str">
        <f t="shared" si="31"/>
        <v/>
      </c>
      <c r="L700" s="37" t="str">
        <f t="shared" ca="1" si="32"/>
        <v/>
      </c>
      <c r="M700" s="7"/>
      <c r="P700" s="67"/>
      <c r="X700" s="70"/>
    </row>
    <row r="701" spans="1:24">
      <c r="A701" s="7">
        <f t="shared" si="30"/>
        <v>696</v>
      </c>
      <c r="B701" s="26"/>
      <c r="C701" s="8"/>
      <c r="D701" s="7"/>
      <c r="E701" s="7"/>
      <c r="F701" s="7"/>
      <c r="G701" s="7"/>
      <c r="H701" s="7"/>
      <c r="I701" s="7"/>
      <c r="J701" s="7"/>
      <c r="K701" s="38" t="str">
        <f t="shared" si="31"/>
        <v/>
      </c>
      <c r="L701" s="37" t="str">
        <f t="shared" ca="1" si="32"/>
        <v/>
      </c>
      <c r="M701" s="7"/>
      <c r="P701" s="67"/>
      <c r="X701" s="70"/>
    </row>
    <row r="702" spans="1:24">
      <c r="A702" s="7">
        <f t="shared" si="30"/>
        <v>697</v>
      </c>
      <c r="B702" s="26"/>
      <c r="C702" s="8"/>
      <c r="D702" s="7"/>
      <c r="E702" s="7"/>
      <c r="F702" s="7"/>
      <c r="G702" s="7"/>
      <c r="H702" s="7"/>
      <c r="I702" s="7"/>
      <c r="J702" s="7"/>
      <c r="K702" s="38" t="str">
        <f t="shared" si="31"/>
        <v/>
      </c>
      <c r="L702" s="37" t="str">
        <f t="shared" ca="1" si="32"/>
        <v/>
      </c>
      <c r="M702" s="7"/>
      <c r="P702" s="67"/>
      <c r="X702" s="70"/>
    </row>
    <row r="703" spans="1:24">
      <c r="A703" s="7">
        <f t="shared" si="30"/>
        <v>698</v>
      </c>
      <c r="B703" s="26"/>
      <c r="C703" s="8"/>
      <c r="D703" s="7"/>
      <c r="E703" s="7"/>
      <c r="F703" s="7"/>
      <c r="G703" s="7"/>
      <c r="H703" s="7"/>
      <c r="I703" s="7"/>
      <c r="J703" s="7"/>
      <c r="K703" s="38" t="str">
        <f t="shared" si="31"/>
        <v/>
      </c>
      <c r="L703" s="37" t="str">
        <f t="shared" ca="1" si="32"/>
        <v/>
      </c>
      <c r="M703" s="7"/>
      <c r="P703" s="67"/>
      <c r="X703" s="70"/>
    </row>
    <row r="704" spans="1:24">
      <c r="A704" s="7">
        <f t="shared" si="30"/>
        <v>699</v>
      </c>
      <c r="B704" s="26"/>
      <c r="C704" s="8"/>
      <c r="D704" s="7"/>
      <c r="E704" s="7"/>
      <c r="F704" s="7"/>
      <c r="G704" s="7"/>
      <c r="H704" s="7"/>
      <c r="I704" s="7"/>
      <c r="J704" s="7"/>
      <c r="K704" s="38" t="str">
        <f t="shared" si="31"/>
        <v/>
      </c>
      <c r="L704" s="37" t="str">
        <f t="shared" ca="1" si="32"/>
        <v/>
      </c>
      <c r="M704" s="7"/>
      <c r="P704" s="67"/>
      <c r="X704" s="70"/>
    </row>
    <row r="705" spans="1:24">
      <c r="A705" s="7">
        <f t="shared" si="30"/>
        <v>700</v>
      </c>
      <c r="B705" s="26"/>
      <c r="C705" s="8"/>
      <c r="D705" s="7"/>
      <c r="E705" s="7"/>
      <c r="F705" s="7"/>
      <c r="G705" s="7"/>
      <c r="H705" s="7"/>
      <c r="I705" s="7"/>
      <c r="J705" s="7"/>
      <c r="K705" s="38" t="str">
        <f t="shared" si="31"/>
        <v/>
      </c>
      <c r="L705" s="37" t="str">
        <f t="shared" ca="1" si="32"/>
        <v/>
      </c>
      <c r="M705" s="7"/>
      <c r="P705" s="67"/>
      <c r="X705" s="70"/>
    </row>
    <row r="706" spans="1:24">
      <c r="A706" s="7">
        <f t="shared" si="30"/>
        <v>701</v>
      </c>
      <c r="B706" s="26"/>
      <c r="C706" s="8"/>
      <c r="D706" s="7"/>
      <c r="E706" s="7"/>
      <c r="F706" s="7"/>
      <c r="G706" s="7"/>
      <c r="H706" s="7"/>
      <c r="I706" s="7"/>
      <c r="J706" s="7"/>
      <c r="K706" s="38" t="str">
        <f t="shared" si="31"/>
        <v/>
      </c>
      <c r="L706" s="37" t="str">
        <f t="shared" ca="1" si="32"/>
        <v/>
      </c>
      <c r="M706" s="7"/>
      <c r="P706" s="67"/>
      <c r="X706" s="70"/>
    </row>
    <row r="707" spans="1:24">
      <c r="A707" s="7">
        <f t="shared" si="30"/>
        <v>702</v>
      </c>
      <c r="B707" s="26"/>
      <c r="C707" s="8"/>
      <c r="D707" s="7"/>
      <c r="E707" s="7"/>
      <c r="F707" s="7"/>
      <c r="G707" s="7"/>
      <c r="H707" s="7"/>
      <c r="I707" s="7"/>
      <c r="J707" s="7"/>
      <c r="K707" s="38" t="str">
        <f t="shared" si="31"/>
        <v/>
      </c>
      <c r="L707" s="37" t="str">
        <f t="shared" ca="1" si="32"/>
        <v/>
      </c>
      <c r="M707" s="7"/>
      <c r="P707" s="67"/>
      <c r="X707" s="70"/>
    </row>
    <row r="708" spans="1:24">
      <c r="A708" s="7">
        <f t="shared" si="30"/>
        <v>703</v>
      </c>
      <c r="B708" s="26"/>
      <c r="C708" s="8"/>
      <c r="D708" s="7"/>
      <c r="E708" s="7"/>
      <c r="F708" s="7"/>
      <c r="G708" s="7"/>
      <c r="H708" s="7"/>
      <c r="I708" s="7"/>
      <c r="J708" s="7"/>
      <c r="K708" s="38" t="str">
        <f t="shared" si="31"/>
        <v/>
      </c>
      <c r="L708" s="37" t="str">
        <f t="shared" ca="1" si="32"/>
        <v/>
      </c>
      <c r="M708" s="7"/>
      <c r="P708" s="67"/>
      <c r="X708" s="70"/>
    </row>
    <row r="709" spans="1:24">
      <c r="A709" s="7">
        <f t="shared" si="30"/>
        <v>704</v>
      </c>
      <c r="B709" s="26"/>
      <c r="C709" s="8"/>
      <c r="D709" s="7"/>
      <c r="E709" s="7"/>
      <c r="F709" s="7"/>
      <c r="G709" s="7"/>
      <c r="H709" s="7"/>
      <c r="I709" s="7"/>
      <c r="J709" s="7"/>
      <c r="K709" s="38" t="str">
        <f t="shared" si="31"/>
        <v/>
      </c>
      <c r="L709" s="37" t="str">
        <f t="shared" ca="1" si="32"/>
        <v/>
      </c>
      <c r="M709" s="7"/>
      <c r="P709" s="67"/>
      <c r="X709" s="70"/>
    </row>
    <row r="710" spans="1:24">
      <c r="A710" s="7">
        <f t="shared" si="30"/>
        <v>705</v>
      </c>
      <c r="B710" s="26"/>
      <c r="C710" s="8"/>
      <c r="D710" s="7"/>
      <c r="E710" s="7"/>
      <c r="F710" s="7"/>
      <c r="G710" s="7"/>
      <c r="H710" s="7"/>
      <c r="I710" s="7"/>
      <c r="J710" s="7"/>
      <c r="K710" s="38" t="str">
        <f t="shared" si="31"/>
        <v/>
      </c>
      <c r="L710" s="37" t="str">
        <f t="shared" ca="1" si="32"/>
        <v/>
      </c>
      <c r="M710" s="7"/>
      <c r="P710" s="67"/>
      <c r="X710" s="70"/>
    </row>
    <row r="711" spans="1:24">
      <c r="A711" s="7">
        <f t="shared" ref="A711:A774" si="33">ROW(A706)</f>
        <v>706</v>
      </c>
      <c r="B711" s="26"/>
      <c r="C711" s="8"/>
      <c r="D711" s="7"/>
      <c r="E711" s="7"/>
      <c r="F711" s="7"/>
      <c r="G711" s="7"/>
      <c r="H711" s="7"/>
      <c r="I711" s="7"/>
      <c r="J711" s="7"/>
      <c r="K711" s="38" t="str">
        <f t="shared" ref="K711:K774" si="34">IF(C711&gt;0,C711+J711-1,"")</f>
        <v/>
      </c>
      <c r="L711" s="37" t="str">
        <f t="shared" ref="L711:L774" ca="1" si="35">IF(K711="","",IF(TODAY()&gt;K711,"YES","No"))</f>
        <v/>
      </c>
      <c r="M711" s="7"/>
      <c r="P711" s="67"/>
      <c r="X711" s="70"/>
    </row>
    <row r="712" spans="1:24">
      <c r="A712" s="7">
        <f t="shared" si="33"/>
        <v>707</v>
      </c>
      <c r="B712" s="26"/>
      <c r="C712" s="8"/>
      <c r="D712" s="7"/>
      <c r="E712" s="7"/>
      <c r="F712" s="7"/>
      <c r="G712" s="7"/>
      <c r="H712" s="7"/>
      <c r="I712" s="7"/>
      <c r="J712" s="7"/>
      <c r="K712" s="38" t="str">
        <f t="shared" si="34"/>
        <v/>
      </c>
      <c r="L712" s="37" t="str">
        <f t="shared" ca="1" si="35"/>
        <v/>
      </c>
      <c r="M712" s="7"/>
      <c r="P712" s="67"/>
      <c r="X712" s="70"/>
    </row>
    <row r="713" spans="1:24">
      <c r="A713" s="7">
        <f t="shared" si="33"/>
        <v>708</v>
      </c>
      <c r="B713" s="26"/>
      <c r="C713" s="8"/>
      <c r="D713" s="7"/>
      <c r="E713" s="7"/>
      <c r="F713" s="7"/>
      <c r="G713" s="7"/>
      <c r="H713" s="7"/>
      <c r="I713" s="7"/>
      <c r="J713" s="7"/>
      <c r="K713" s="38" t="str">
        <f t="shared" si="34"/>
        <v/>
      </c>
      <c r="L713" s="37" t="str">
        <f t="shared" ca="1" si="35"/>
        <v/>
      </c>
      <c r="M713" s="7"/>
      <c r="P713" s="67"/>
      <c r="X713" s="70"/>
    </row>
    <row r="714" spans="1:24">
      <c r="A714" s="7">
        <f t="shared" si="33"/>
        <v>709</v>
      </c>
      <c r="B714" s="26"/>
      <c r="C714" s="8"/>
      <c r="D714" s="7"/>
      <c r="E714" s="7"/>
      <c r="F714" s="7"/>
      <c r="G714" s="7"/>
      <c r="H714" s="7"/>
      <c r="I714" s="7"/>
      <c r="J714" s="7"/>
      <c r="K714" s="38" t="str">
        <f t="shared" si="34"/>
        <v/>
      </c>
      <c r="L714" s="37" t="str">
        <f t="shared" ca="1" si="35"/>
        <v/>
      </c>
      <c r="M714" s="7"/>
      <c r="P714" s="67"/>
      <c r="X714" s="70"/>
    </row>
    <row r="715" spans="1:24">
      <c r="A715" s="7">
        <f t="shared" si="33"/>
        <v>710</v>
      </c>
      <c r="B715" s="26"/>
      <c r="C715" s="8"/>
      <c r="D715" s="7"/>
      <c r="E715" s="7"/>
      <c r="F715" s="7"/>
      <c r="G715" s="7"/>
      <c r="H715" s="7"/>
      <c r="I715" s="7"/>
      <c r="J715" s="7"/>
      <c r="K715" s="38" t="str">
        <f t="shared" si="34"/>
        <v/>
      </c>
      <c r="L715" s="37" t="str">
        <f t="shared" ca="1" si="35"/>
        <v/>
      </c>
      <c r="M715" s="7"/>
      <c r="P715" s="67"/>
      <c r="X715" s="70"/>
    </row>
    <row r="716" spans="1:24">
      <c r="A716" s="7">
        <f t="shared" si="33"/>
        <v>711</v>
      </c>
      <c r="B716" s="26"/>
      <c r="C716" s="8"/>
      <c r="D716" s="7"/>
      <c r="E716" s="7"/>
      <c r="F716" s="7"/>
      <c r="G716" s="7"/>
      <c r="H716" s="7"/>
      <c r="I716" s="7"/>
      <c r="J716" s="7"/>
      <c r="K716" s="38" t="str">
        <f t="shared" si="34"/>
        <v/>
      </c>
      <c r="L716" s="37" t="str">
        <f t="shared" ca="1" si="35"/>
        <v/>
      </c>
      <c r="M716" s="7"/>
      <c r="P716" s="67"/>
      <c r="X716" s="70"/>
    </row>
    <row r="717" spans="1:24">
      <c r="A717" s="7">
        <f t="shared" si="33"/>
        <v>712</v>
      </c>
      <c r="B717" s="26"/>
      <c r="C717" s="8"/>
      <c r="D717" s="7"/>
      <c r="E717" s="7"/>
      <c r="F717" s="7"/>
      <c r="G717" s="7"/>
      <c r="H717" s="7"/>
      <c r="I717" s="7"/>
      <c r="J717" s="7"/>
      <c r="K717" s="38" t="str">
        <f t="shared" si="34"/>
        <v/>
      </c>
      <c r="L717" s="37" t="str">
        <f t="shared" ca="1" si="35"/>
        <v/>
      </c>
      <c r="M717" s="7"/>
      <c r="P717" s="67"/>
      <c r="X717" s="70"/>
    </row>
    <row r="718" spans="1:24">
      <c r="A718" s="7">
        <f t="shared" si="33"/>
        <v>713</v>
      </c>
      <c r="B718" s="26"/>
      <c r="C718" s="8"/>
      <c r="D718" s="7"/>
      <c r="E718" s="7"/>
      <c r="F718" s="7"/>
      <c r="G718" s="7"/>
      <c r="H718" s="7"/>
      <c r="I718" s="7"/>
      <c r="J718" s="7"/>
      <c r="K718" s="38" t="str">
        <f t="shared" si="34"/>
        <v/>
      </c>
      <c r="L718" s="37" t="str">
        <f t="shared" ca="1" si="35"/>
        <v/>
      </c>
      <c r="M718" s="7"/>
      <c r="P718" s="67"/>
      <c r="X718" s="70"/>
    </row>
    <row r="719" spans="1:24">
      <c r="A719" s="7">
        <f t="shared" si="33"/>
        <v>714</v>
      </c>
      <c r="B719" s="26"/>
      <c r="C719" s="8"/>
      <c r="D719" s="7"/>
      <c r="E719" s="7"/>
      <c r="F719" s="7"/>
      <c r="G719" s="7"/>
      <c r="H719" s="7"/>
      <c r="I719" s="7"/>
      <c r="J719" s="7"/>
      <c r="K719" s="38" t="str">
        <f t="shared" si="34"/>
        <v/>
      </c>
      <c r="L719" s="37" t="str">
        <f t="shared" ca="1" si="35"/>
        <v/>
      </c>
      <c r="M719" s="7"/>
      <c r="P719" s="67"/>
      <c r="X719" s="70"/>
    </row>
    <row r="720" spans="1:24">
      <c r="A720" s="7">
        <f t="shared" si="33"/>
        <v>715</v>
      </c>
      <c r="B720" s="26"/>
      <c r="C720" s="8"/>
      <c r="D720" s="7"/>
      <c r="E720" s="7"/>
      <c r="F720" s="7"/>
      <c r="G720" s="7"/>
      <c r="H720" s="7"/>
      <c r="I720" s="7"/>
      <c r="J720" s="7"/>
      <c r="K720" s="38" t="str">
        <f t="shared" si="34"/>
        <v/>
      </c>
      <c r="L720" s="37" t="str">
        <f t="shared" ca="1" si="35"/>
        <v/>
      </c>
      <c r="M720" s="7"/>
      <c r="P720" s="67"/>
      <c r="X720" s="70"/>
    </row>
    <row r="721" spans="1:24">
      <c r="A721" s="7">
        <f t="shared" si="33"/>
        <v>716</v>
      </c>
      <c r="B721" s="26"/>
      <c r="C721" s="8"/>
      <c r="D721" s="7"/>
      <c r="E721" s="7"/>
      <c r="F721" s="7"/>
      <c r="G721" s="7"/>
      <c r="H721" s="7"/>
      <c r="I721" s="7"/>
      <c r="J721" s="7"/>
      <c r="K721" s="38" t="str">
        <f t="shared" si="34"/>
        <v/>
      </c>
      <c r="L721" s="37" t="str">
        <f t="shared" ca="1" si="35"/>
        <v/>
      </c>
      <c r="M721" s="7"/>
      <c r="P721" s="67"/>
      <c r="X721" s="70"/>
    </row>
    <row r="722" spans="1:24">
      <c r="A722" s="7">
        <f t="shared" si="33"/>
        <v>717</v>
      </c>
      <c r="B722" s="26"/>
      <c r="C722" s="8"/>
      <c r="D722" s="7"/>
      <c r="E722" s="7"/>
      <c r="F722" s="7"/>
      <c r="G722" s="7"/>
      <c r="H722" s="7"/>
      <c r="I722" s="7"/>
      <c r="J722" s="7"/>
      <c r="K722" s="38" t="str">
        <f t="shared" si="34"/>
        <v/>
      </c>
      <c r="L722" s="37" t="str">
        <f t="shared" ca="1" si="35"/>
        <v/>
      </c>
      <c r="M722" s="7"/>
      <c r="P722" s="67"/>
      <c r="X722" s="70"/>
    </row>
    <row r="723" spans="1:24">
      <c r="A723" s="7">
        <f t="shared" si="33"/>
        <v>718</v>
      </c>
      <c r="B723" s="26"/>
      <c r="C723" s="8"/>
      <c r="D723" s="7"/>
      <c r="E723" s="7"/>
      <c r="F723" s="7"/>
      <c r="G723" s="7"/>
      <c r="H723" s="7"/>
      <c r="I723" s="7"/>
      <c r="J723" s="7"/>
      <c r="K723" s="38" t="str">
        <f t="shared" si="34"/>
        <v/>
      </c>
      <c r="L723" s="37" t="str">
        <f t="shared" ca="1" si="35"/>
        <v/>
      </c>
      <c r="M723" s="7"/>
      <c r="P723" s="67"/>
      <c r="X723" s="70"/>
    </row>
    <row r="724" spans="1:24">
      <c r="A724" s="7">
        <f t="shared" si="33"/>
        <v>719</v>
      </c>
      <c r="B724" s="26"/>
      <c r="C724" s="8"/>
      <c r="D724" s="7"/>
      <c r="E724" s="7"/>
      <c r="F724" s="7"/>
      <c r="G724" s="7"/>
      <c r="H724" s="7"/>
      <c r="I724" s="7"/>
      <c r="J724" s="7"/>
      <c r="K724" s="38" t="str">
        <f t="shared" si="34"/>
        <v/>
      </c>
      <c r="L724" s="37" t="str">
        <f t="shared" ca="1" si="35"/>
        <v/>
      </c>
      <c r="M724" s="7"/>
      <c r="P724" s="67"/>
      <c r="X724" s="70"/>
    </row>
    <row r="725" spans="1:24">
      <c r="A725" s="7">
        <f t="shared" si="33"/>
        <v>720</v>
      </c>
      <c r="B725" s="26"/>
      <c r="C725" s="8"/>
      <c r="D725" s="7"/>
      <c r="E725" s="7"/>
      <c r="F725" s="7"/>
      <c r="G725" s="7"/>
      <c r="H725" s="7"/>
      <c r="I725" s="7"/>
      <c r="J725" s="7"/>
      <c r="K725" s="38" t="str">
        <f t="shared" si="34"/>
        <v/>
      </c>
      <c r="L725" s="37" t="str">
        <f t="shared" ca="1" si="35"/>
        <v/>
      </c>
      <c r="M725" s="7"/>
      <c r="P725" s="67"/>
      <c r="X725" s="70"/>
    </row>
    <row r="726" spans="1:24">
      <c r="A726" s="7">
        <f t="shared" si="33"/>
        <v>721</v>
      </c>
      <c r="B726" s="26"/>
      <c r="C726" s="8"/>
      <c r="D726" s="7"/>
      <c r="E726" s="7"/>
      <c r="F726" s="7"/>
      <c r="G726" s="7"/>
      <c r="H726" s="7"/>
      <c r="I726" s="7"/>
      <c r="J726" s="7"/>
      <c r="K726" s="38" t="str">
        <f t="shared" si="34"/>
        <v/>
      </c>
      <c r="L726" s="37" t="str">
        <f t="shared" ca="1" si="35"/>
        <v/>
      </c>
      <c r="M726" s="7"/>
      <c r="P726" s="67"/>
      <c r="X726" s="70"/>
    </row>
    <row r="727" spans="1:24">
      <c r="A727" s="7">
        <f t="shared" si="33"/>
        <v>722</v>
      </c>
      <c r="B727" s="26"/>
      <c r="C727" s="8"/>
      <c r="D727" s="7"/>
      <c r="E727" s="7"/>
      <c r="F727" s="7"/>
      <c r="G727" s="7"/>
      <c r="H727" s="7"/>
      <c r="I727" s="7"/>
      <c r="J727" s="7"/>
      <c r="K727" s="38" t="str">
        <f t="shared" si="34"/>
        <v/>
      </c>
      <c r="L727" s="37" t="str">
        <f t="shared" ca="1" si="35"/>
        <v/>
      </c>
      <c r="M727" s="7"/>
      <c r="P727" s="67"/>
      <c r="X727" s="70"/>
    </row>
    <row r="728" spans="1:24">
      <c r="A728" s="7">
        <f t="shared" si="33"/>
        <v>723</v>
      </c>
      <c r="B728" s="26"/>
      <c r="C728" s="8"/>
      <c r="D728" s="7"/>
      <c r="E728" s="7"/>
      <c r="F728" s="7"/>
      <c r="G728" s="7"/>
      <c r="H728" s="7"/>
      <c r="I728" s="7"/>
      <c r="J728" s="7"/>
      <c r="K728" s="38" t="str">
        <f t="shared" si="34"/>
        <v/>
      </c>
      <c r="L728" s="37" t="str">
        <f t="shared" ca="1" si="35"/>
        <v/>
      </c>
      <c r="M728" s="7"/>
      <c r="P728" s="67"/>
      <c r="X728" s="70"/>
    </row>
    <row r="729" spans="1:24">
      <c r="A729" s="7">
        <f t="shared" si="33"/>
        <v>724</v>
      </c>
      <c r="B729" s="26"/>
      <c r="C729" s="8"/>
      <c r="D729" s="7"/>
      <c r="E729" s="7"/>
      <c r="F729" s="7"/>
      <c r="G729" s="7"/>
      <c r="H729" s="7"/>
      <c r="I729" s="7"/>
      <c r="J729" s="7"/>
      <c r="K729" s="38" t="str">
        <f t="shared" si="34"/>
        <v/>
      </c>
      <c r="L729" s="37" t="str">
        <f t="shared" ca="1" si="35"/>
        <v/>
      </c>
      <c r="M729" s="7"/>
      <c r="P729" s="67"/>
      <c r="X729" s="70"/>
    </row>
    <row r="730" spans="1:24">
      <c r="A730" s="7">
        <f t="shared" si="33"/>
        <v>725</v>
      </c>
      <c r="B730" s="26"/>
      <c r="C730" s="8"/>
      <c r="D730" s="7"/>
      <c r="E730" s="7"/>
      <c r="F730" s="7"/>
      <c r="G730" s="7"/>
      <c r="H730" s="7"/>
      <c r="I730" s="7"/>
      <c r="J730" s="7"/>
      <c r="K730" s="38" t="str">
        <f t="shared" si="34"/>
        <v/>
      </c>
      <c r="L730" s="37" t="str">
        <f t="shared" ca="1" si="35"/>
        <v/>
      </c>
      <c r="M730" s="7"/>
      <c r="P730" s="67"/>
      <c r="X730" s="70"/>
    </row>
    <row r="731" spans="1:24">
      <c r="A731" s="7">
        <f t="shared" si="33"/>
        <v>726</v>
      </c>
      <c r="B731" s="26"/>
      <c r="C731" s="8"/>
      <c r="D731" s="7"/>
      <c r="E731" s="7"/>
      <c r="F731" s="7"/>
      <c r="G731" s="7"/>
      <c r="H731" s="7"/>
      <c r="I731" s="7"/>
      <c r="J731" s="7"/>
      <c r="K731" s="38" t="str">
        <f t="shared" si="34"/>
        <v/>
      </c>
      <c r="L731" s="37" t="str">
        <f t="shared" ca="1" si="35"/>
        <v/>
      </c>
      <c r="M731" s="7"/>
      <c r="P731" s="67"/>
      <c r="X731" s="70"/>
    </row>
    <row r="732" spans="1:24">
      <c r="A732" s="7">
        <f t="shared" si="33"/>
        <v>727</v>
      </c>
      <c r="B732" s="26"/>
      <c r="C732" s="8"/>
      <c r="D732" s="7"/>
      <c r="E732" s="7"/>
      <c r="F732" s="7"/>
      <c r="G732" s="7"/>
      <c r="H732" s="7"/>
      <c r="I732" s="7"/>
      <c r="J732" s="7"/>
      <c r="K732" s="38" t="str">
        <f t="shared" si="34"/>
        <v/>
      </c>
      <c r="L732" s="37" t="str">
        <f t="shared" ca="1" si="35"/>
        <v/>
      </c>
      <c r="M732" s="7"/>
      <c r="P732" s="67"/>
      <c r="X732" s="70"/>
    </row>
    <row r="733" spans="1:24">
      <c r="A733" s="7">
        <f t="shared" si="33"/>
        <v>728</v>
      </c>
      <c r="B733" s="26"/>
      <c r="C733" s="8"/>
      <c r="D733" s="7"/>
      <c r="E733" s="7"/>
      <c r="F733" s="7"/>
      <c r="G733" s="7"/>
      <c r="H733" s="7"/>
      <c r="I733" s="7"/>
      <c r="J733" s="7"/>
      <c r="K733" s="38" t="str">
        <f t="shared" si="34"/>
        <v/>
      </c>
      <c r="L733" s="37" t="str">
        <f t="shared" ca="1" si="35"/>
        <v/>
      </c>
      <c r="M733" s="7"/>
      <c r="P733" s="67"/>
      <c r="X733" s="70"/>
    </row>
    <row r="734" spans="1:24">
      <c r="A734" s="7">
        <f t="shared" si="33"/>
        <v>729</v>
      </c>
      <c r="B734" s="26"/>
      <c r="C734" s="8"/>
      <c r="D734" s="7"/>
      <c r="E734" s="7"/>
      <c r="F734" s="7"/>
      <c r="G734" s="7"/>
      <c r="H734" s="7"/>
      <c r="I734" s="7"/>
      <c r="J734" s="7"/>
      <c r="K734" s="38" t="str">
        <f t="shared" si="34"/>
        <v/>
      </c>
      <c r="L734" s="37" t="str">
        <f t="shared" ca="1" si="35"/>
        <v/>
      </c>
      <c r="M734" s="7"/>
      <c r="P734" s="67"/>
      <c r="X734" s="70"/>
    </row>
    <row r="735" spans="1:24">
      <c r="A735" s="7">
        <f t="shared" si="33"/>
        <v>730</v>
      </c>
      <c r="B735" s="26"/>
      <c r="C735" s="8"/>
      <c r="D735" s="7"/>
      <c r="E735" s="7"/>
      <c r="F735" s="7"/>
      <c r="G735" s="7"/>
      <c r="H735" s="7"/>
      <c r="I735" s="7"/>
      <c r="J735" s="7"/>
      <c r="K735" s="38" t="str">
        <f t="shared" si="34"/>
        <v/>
      </c>
      <c r="L735" s="37" t="str">
        <f t="shared" ca="1" si="35"/>
        <v/>
      </c>
      <c r="M735" s="7"/>
      <c r="P735" s="67"/>
      <c r="X735" s="70"/>
    </row>
    <row r="736" spans="1:24">
      <c r="A736" s="7">
        <f t="shared" si="33"/>
        <v>731</v>
      </c>
      <c r="B736" s="26"/>
      <c r="C736" s="8"/>
      <c r="D736" s="7"/>
      <c r="E736" s="7"/>
      <c r="F736" s="7"/>
      <c r="G736" s="7"/>
      <c r="H736" s="7"/>
      <c r="I736" s="7"/>
      <c r="J736" s="7"/>
      <c r="K736" s="38" t="str">
        <f t="shared" si="34"/>
        <v/>
      </c>
      <c r="L736" s="37" t="str">
        <f t="shared" ca="1" si="35"/>
        <v/>
      </c>
      <c r="M736" s="7"/>
      <c r="P736" s="67"/>
      <c r="X736" s="70"/>
    </row>
    <row r="737" spans="1:24">
      <c r="A737" s="7">
        <f t="shared" si="33"/>
        <v>732</v>
      </c>
      <c r="B737" s="26"/>
      <c r="C737" s="8"/>
      <c r="D737" s="7"/>
      <c r="E737" s="7"/>
      <c r="F737" s="7"/>
      <c r="G737" s="7"/>
      <c r="H737" s="7"/>
      <c r="I737" s="7"/>
      <c r="J737" s="7"/>
      <c r="K737" s="38" t="str">
        <f t="shared" si="34"/>
        <v/>
      </c>
      <c r="L737" s="37" t="str">
        <f t="shared" ca="1" si="35"/>
        <v/>
      </c>
      <c r="M737" s="7"/>
      <c r="P737" s="67"/>
      <c r="X737" s="70"/>
    </row>
    <row r="738" spans="1:24">
      <c r="A738" s="7">
        <f t="shared" si="33"/>
        <v>733</v>
      </c>
      <c r="B738" s="26"/>
      <c r="C738" s="8"/>
      <c r="D738" s="7"/>
      <c r="E738" s="7"/>
      <c r="F738" s="7"/>
      <c r="G738" s="7"/>
      <c r="H738" s="7"/>
      <c r="I738" s="7"/>
      <c r="J738" s="7"/>
      <c r="K738" s="38" t="str">
        <f t="shared" si="34"/>
        <v/>
      </c>
      <c r="L738" s="37" t="str">
        <f t="shared" ca="1" si="35"/>
        <v/>
      </c>
      <c r="M738" s="7"/>
      <c r="P738" s="67"/>
      <c r="X738" s="70"/>
    </row>
    <row r="739" spans="1:24">
      <c r="A739" s="7">
        <f t="shared" si="33"/>
        <v>734</v>
      </c>
      <c r="B739" s="26"/>
      <c r="C739" s="8"/>
      <c r="D739" s="7"/>
      <c r="E739" s="7"/>
      <c r="F739" s="7"/>
      <c r="G739" s="7"/>
      <c r="H739" s="7"/>
      <c r="I739" s="7"/>
      <c r="J739" s="7"/>
      <c r="K739" s="38" t="str">
        <f t="shared" si="34"/>
        <v/>
      </c>
      <c r="L739" s="37" t="str">
        <f t="shared" ca="1" si="35"/>
        <v/>
      </c>
      <c r="M739" s="7"/>
      <c r="P739" s="67"/>
      <c r="X739" s="70"/>
    </row>
    <row r="740" spans="1:24">
      <c r="A740" s="7">
        <f t="shared" si="33"/>
        <v>735</v>
      </c>
      <c r="B740" s="26"/>
      <c r="C740" s="8"/>
      <c r="D740" s="7"/>
      <c r="E740" s="7"/>
      <c r="F740" s="7"/>
      <c r="G740" s="7"/>
      <c r="H740" s="7"/>
      <c r="I740" s="7"/>
      <c r="J740" s="7"/>
      <c r="K740" s="38" t="str">
        <f t="shared" si="34"/>
        <v/>
      </c>
      <c r="L740" s="37" t="str">
        <f t="shared" ca="1" si="35"/>
        <v/>
      </c>
      <c r="M740" s="7"/>
      <c r="P740" s="67"/>
      <c r="X740" s="70"/>
    </row>
    <row r="741" spans="1:24">
      <c r="A741" s="7">
        <f t="shared" si="33"/>
        <v>736</v>
      </c>
      <c r="B741" s="26"/>
      <c r="C741" s="8"/>
      <c r="D741" s="7"/>
      <c r="E741" s="7"/>
      <c r="F741" s="7"/>
      <c r="G741" s="7"/>
      <c r="H741" s="7"/>
      <c r="I741" s="7"/>
      <c r="J741" s="7"/>
      <c r="K741" s="38" t="str">
        <f t="shared" si="34"/>
        <v/>
      </c>
      <c r="L741" s="37" t="str">
        <f t="shared" ca="1" si="35"/>
        <v/>
      </c>
      <c r="M741" s="7"/>
      <c r="P741" s="67"/>
      <c r="X741" s="70"/>
    </row>
    <row r="742" spans="1:24">
      <c r="A742" s="7">
        <f t="shared" si="33"/>
        <v>737</v>
      </c>
      <c r="B742" s="26"/>
      <c r="C742" s="8"/>
      <c r="D742" s="7"/>
      <c r="E742" s="7"/>
      <c r="F742" s="7"/>
      <c r="G742" s="7"/>
      <c r="H742" s="7"/>
      <c r="I742" s="7"/>
      <c r="J742" s="7"/>
      <c r="K742" s="38" t="str">
        <f t="shared" si="34"/>
        <v/>
      </c>
      <c r="L742" s="37" t="str">
        <f t="shared" ca="1" si="35"/>
        <v/>
      </c>
      <c r="M742" s="7"/>
      <c r="P742" s="67"/>
      <c r="X742" s="70"/>
    </row>
    <row r="743" spans="1:24">
      <c r="A743" s="7">
        <f t="shared" si="33"/>
        <v>738</v>
      </c>
      <c r="B743" s="26"/>
      <c r="C743" s="8"/>
      <c r="D743" s="7"/>
      <c r="E743" s="7"/>
      <c r="F743" s="7"/>
      <c r="G743" s="7"/>
      <c r="H743" s="7"/>
      <c r="I743" s="7"/>
      <c r="J743" s="7"/>
      <c r="K743" s="38" t="str">
        <f t="shared" si="34"/>
        <v/>
      </c>
      <c r="L743" s="37" t="str">
        <f t="shared" ca="1" si="35"/>
        <v/>
      </c>
      <c r="M743" s="7"/>
      <c r="P743" s="67"/>
      <c r="X743" s="70"/>
    </row>
    <row r="744" spans="1:24">
      <c r="A744" s="7">
        <f t="shared" si="33"/>
        <v>739</v>
      </c>
      <c r="B744" s="26"/>
      <c r="C744" s="8"/>
      <c r="D744" s="7"/>
      <c r="E744" s="7"/>
      <c r="F744" s="7"/>
      <c r="G744" s="7"/>
      <c r="H744" s="7"/>
      <c r="I744" s="7"/>
      <c r="J744" s="7"/>
      <c r="K744" s="38" t="str">
        <f t="shared" si="34"/>
        <v/>
      </c>
      <c r="L744" s="37" t="str">
        <f t="shared" ca="1" si="35"/>
        <v/>
      </c>
      <c r="M744" s="7"/>
      <c r="P744" s="67"/>
      <c r="X744" s="70"/>
    </row>
    <row r="745" spans="1:24">
      <c r="A745" s="7">
        <f t="shared" si="33"/>
        <v>740</v>
      </c>
      <c r="B745" s="26"/>
      <c r="C745" s="8"/>
      <c r="D745" s="7"/>
      <c r="E745" s="7"/>
      <c r="F745" s="7"/>
      <c r="G745" s="7"/>
      <c r="H745" s="7"/>
      <c r="I745" s="7"/>
      <c r="J745" s="7"/>
      <c r="K745" s="38" t="str">
        <f t="shared" si="34"/>
        <v/>
      </c>
      <c r="L745" s="37" t="str">
        <f t="shared" ca="1" si="35"/>
        <v/>
      </c>
      <c r="M745" s="7"/>
      <c r="P745" s="67"/>
      <c r="X745" s="70"/>
    </row>
    <row r="746" spans="1:24">
      <c r="A746" s="7">
        <f t="shared" si="33"/>
        <v>741</v>
      </c>
      <c r="B746" s="26"/>
      <c r="C746" s="8"/>
      <c r="D746" s="7"/>
      <c r="E746" s="7"/>
      <c r="F746" s="7"/>
      <c r="G746" s="7"/>
      <c r="H746" s="7"/>
      <c r="I746" s="7"/>
      <c r="J746" s="7"/>
      <c r="K746" s="38" t="str">
        <f t="shared" si="34"/>
        <v/>
      </c>
      <c r="L746" s="37" t="str">
        <f t="shared" ca="1" si="35"/>
        <v/>
      </c>
      <c r="M746" s="7"/>
      <c r="P746" s="67"/>
      <c r="X746" s="70"/>
    </row>
    <row r="747" spans="1:24">
      <c r="A747" s="7">
        <f t="shared" si="33"/>
        <v>742</v>
      </c>
      <c r="B747" s="26"/>
      <c r="C747" s="8"/>
      <c r="D747" s="7"/>
      <c r="E747" s="7"/>
      <c r="F747" s="7"/>
      <c r="G747" s="7"/>
      <c r="H747" s="7"/>
      <c r="I747" s="7"/>
      <c r="J747" s="7"/>
      <c r="K747" s="38" t="str">
        <f t="shared" si="34"/>
        <v/>
      </c>
      <c r="L747" s="37" t="str">
        <f t="shared" ca="1" si="35"/>
        <v/>
      </c>
      <c r="M747" s="7"/>
      <c r="P747" s="67"/>
      <c r="X747" s="70"/>
    </row>
    <row r="748" spans="1:24">
      <c r="A748" s="7">
        <f t="shared" si="33"/>
        <v>743</v>
      </c>
      <c r="B748" s="26"/>
      <c r="C748" s="8"/>
      <c r="D748" s="7"/>
      <c r="E748" s="7"/>
      <c r="F748" s="7"/>
      <c r="G748" s="7"/>
      <c r="H748" s="7"/>
      <c r="I748" s="7"/>
      <c r="J748" s="7"/>
      <c r="K748" s="38" t="str">
        <f t="shared" si="34"/>
        <v/>
      </c>
      <c r="L748" s="37" t="str">
        <f t="shared" ca="1" si="35"/>
        <v/>
      </c>
      <c r="M748" s="7"/>
      <c r="P748" s="67"/>
      <c r="X748" s="70"/>
    </row>
    <row r="749" spans="1:24">
      <c r="A749" s="7">
        <f t="shared" si="33"/>
        <v>744</v>
      </c>
      <c r="B749" s="26"/>
      <c r="C749" s="8"/>
      <c r="D749" s="7"/>
      <c r="E749" s="7"/>
      <c r="F749" s="7"/>
      <c r="G749" s="7"/>
      <c r="H749" s="7"/>
      <c r="I749" s="7"/>
      <c r="J749" s="7"/>
      <c r="K749" s="38" t="str">
        <f t="shared" si="34"/>
        <v/>
      </c>
      <c r="L749" s="37" t="str">
        <f t="shared" ca="1" si="35"/>
        <v/>
      </c>
      <c r="M749" s="7"/>
      <c r="P749" s="67"/>
      <c r="X749" s="70"/>
    </row>
    <row r="750" spans="1:24">
      <c r="A750" s="7">
        <f t="shared" si="33"/>
        <v>745</v>
      </c>
      <c r="B750" s="26"/>
      <c r="C750" s="8"/>
      <c r="D750" s="7"/>
      <c r="E750" s="7"/>
      <c r="F750" s="7"/>
      <c r="G750" s="7"/>
      <c r="H750" s="7"/>
      <c r="I750" s="7"/>
      <c r="J750" s="7"/>
      <c r="K750" s="38" t="str">
        <f t="shared" si="34"/>
        <v/>
      </c>
      <c r="L750" s="37" t="str">
        <f t="shared" ca="1" si="35"/>
        <v/>
      </c>
      <c r="M750" s="7"/>
      <c r="P750" s="67"/>
      <c r="X750" s="70"/>
    </row>
    <row r="751" spans="1:24">
      <c r="A751" s="7">
        <f t="shared" si="33"/>
        <v>746</v>
      </c>
      <c r="B751" s="26"/>
      <c r="C751" s="8"/>
      <c r="D751" s="7"/>
      <c r="E751" s="7"/>
      <c r="F751" s="7"/>
      <c r="G751" s="7"/>
      <c r="H751" s="7"/>
      <c r="I751" s="7"/>
      <c r="J751" s="7"/>
      <c r="K751" s="38" t="str">
        <f t="shared" si="34"/>
        <v/>
      </c>
      <c r="L751" s="37" t="str">
        <f t="shared" ca="1" si="35"/>
        <v/>
      </c>
      <c r="M751" s="7"/>
      <c r="P751" s="67"/>
      <c r="X751" s="70"/>
    </row>
    <row r="752" spans="1:24">
      <c r="A752" s="7">
        <f t="shared" si="33"/>
        <v>747</v>
      </c>
      <c r="B752" s="26"/>
      <c r="C752" s="8"/>
      <c r="D752" s="7"/>
      <c r="E752" s="7"/>
      <c r="F752" s="7"/>
      <c r="G752" s="7"/>
      <c r="H752" s="7"/>
      <c r="I752" s="7"/>
      <c r="J752" s="7"/>
      <c r="K752" s="38" t="str">
        <f t="shared" si="34"/>
        <v/>
      </c>
      <c r="L752" s="37" t="str">
        <f t="shared" ca="1" si="35"/>
        <v/>
      </c>
      <c r="M752" s="7"/>
      <c r="P752" s="67"/>
      <c r="X752" s="70"/>
    </row>
    <row r="753" spans="1:24">
      <c r="A753" s="7">
        <f t="shared" si="33"/>
        <v>748</v>
      </c>
      <c r="B753" s="26"/>
      <c r="C753" s="8"/>
      <c r="D753" s="7"/>
      <c r="E753" s="7"/>
      <c r="F753" s="7"/>
      <c r="G753" s="7"/>
      <c r="H753" s="7"/>
      <c r="I753" s="7"/>
      <c r="J753" s="7"/>
      <c r="K753" s="38" t="str">
        <f t="shared" si="34"/>
        <v/>
      </c>
      <c r="L753" s="37" t="str">
        <f t="shared" ca="1" si="35"/>
        <v/>
      </c>
      <c r="M753" s="7"/>
      <c r="P753" s="67"/>
      <c r="X753" s="70"/>
    </row>
    <row r="754" spans="1:24">
      <c r="A754" s="7">
        <f t="shared" si="33"/>
        <v>749</v>
      </c>
      <c r="B754" s="26"/>
      <c r="C754" s="8"/>
      <c r="D754" s="7"/>
      <c r="E754" s="7"/>
      <c r="F754" s="7"/>
      <c r="G754" s="7"/>
      <c r="H754" s="7"/>
      <c r="I754" s="7"/>
      <c r="J754" s="7"/>
      <c r="K754" s="38" t="str">
        <f t="shared" si="34"/>
        <v/>
      </c>
      <c r="L754" s="37" t="str">
        <f t="shared" ca="1" si="35"/>
        <v/>
      </c>
      <c r="M754" s="7"/>
      <c r="P754" s="67"/>
      <c r="X754" s="70"/>
    </row>
    <row r="755" spans="1:24">
      <c r="A755" s="7">
        <f t="shared" si="33"/>
        <v>750</v>
      </c>
      <c r="B755" s="26"/>
      <c r="C755" s="8"/>
      <c r="D755" s="7"/>
      <c r="E755" s="7"/>
      <c r="F755" s="7"/>
      <c r="G755" s="7"/>
      <c r="H755" s="7"/>
      <c r="I755" s="7"/>
      <c r="J755" s="7"/>
      <c r="K755" s="38" t="str">
        <f t="shared" si="34"/>
        <v/>
      </c>
      <c r="L755" s="37" t="str">
        <f t="shared" ca="1" si="35"/>
        <v/>
      </c>
      <c r="M755" s="7"/>
      <c r="P755" s="67"/>
      <c r="X755" s="70"/>
    </row>
    <row r="756" spans="1:24">
      <c r="A756" s="7">
        <f t="shared" si="33"/>
        <v>751</v>
      </c>
      <c r="B756" s="26"/>
      <c r="C756" s="8"/>
      <c r="D756" s="7"/>
      <c r="E756" s="7"/>
      <c r="F756" s="7"/>
      <c r="G756" s="7"/>
      <c r="H756" s="7"/>
      <c r="I756" s="7"/>
      <c r="J756" s="7"/>
      <c r="K756" s="38" t="str">
        <f t="shared" si="34"/>
        <v/>
      </c>
      <c r="L756" s="37" t="str">
        <f t="shared" ca="1" si="35"/>
        <v/>
      </c>
      <c r="M756" s="7"/>
      <c r="P756" s="67"/>
      <c r="X756" s="70"/>
    </row>
    <row r="757" spans="1:24">
      <c r="A757" s="7">
        <f t="shared" si="33"/>
        <v>752</v>
      </c>
      <c r="B757" s="26"/>
      <c r="C757" s="8"/>
      <c r="D757" s="7"/>
      <c r="E757" s="7"/>
      <c r="F757" s="7"/>
      <c r="G757" s="7"/>
      <c r="H757" s="7"/>
      <c r="I757" s="7"/>
      <c r="J757" s="7"/>
      <c r="K757" s="38" t="str">
        <f t="shared" si="34"/>
        <v/>
      </c>
      <c r="L757" s="37" t="str">
        <f t="shared" ca="1" si="35"/>
        <v/>
      </c>
      <c r="M757" s="7"/>
      <c r="P757" s="67"/>
      <c r="X757" s="70"/>
    </row>
    <row r="758" spans="1:24">
      <c r="A758" s="7">
        <f t="shared" si="33"/>
        <v>753</v>
      </c>
      <c r="B758" s="26"/>
      <c r="C758" s="8"/>
      <c r="D758" s="7"/>
      <c r="E758" s="7"/>
      <c r="F758" s="7"/>
      <c r="G758" s="7"/>
      <c r="H758" s="7"/>
      <c r="I758" s="7"/>
      <c r="J758" s="7"/>
      <c r="K758" s="38" t="str">
        <f t="shared" si="34"/>
        <v/>
      </c>
      <c r="L758" s="37" t="str">
        <f t="shared" ca="1" si="35"/>
        <v/>
      </c>
      <c r="M758" s="7"/>
      <c r="P758" s="67"/>
      <c r="X758" s="70"/>
    </row>
    <row r="759" spans="1:24">
      <c r="A759" s="7">
        <f t="shared" si="33"/>
        <v>754</v>
      </c>
      <c r="B759" s="26"/>
      <c r="C759" s="8"/>
      <c r="D759" s="7"/>
      <c r="E759" s="7"/>
      <c r="F759" s="7"/>
      <c r="G759" s="7"/>
      <c r="H759" s="7"/>
      <c r="I759" s="7"/>
      <c r="J759" s="7"/>
      <c r="K759" s="38" t="str">
        <f t="shared" si="34"/>
        <v/>
      </c>
      <c r="L759" s="37" t="str">
        <f t="shared" ca="1" si="35"/>
        <v/>
      </c>
      <c r="M759" s="7"/>
      <c r="P759" s="67"/>
      <c r="X759" s="70"/>
    </row>
    <row r="760" spans="1:24">
      <c r="A760" s="7">
        <f t="shared" si="33"/>
        <v>755</v>
      </c>
      <c r="B760" s="26"/>
      <c r="C760" s="8"/>
      <c r="D760" s="7"/>
      <c r="E760" s="7"/>
      <c r="F760" s="7"/>
      <c r="G760" s="7"/>
      <c r="H760" s="7"/>
      <c r="I760" s="7"/>
      <c r="J760" s="7"/>
      <c r="K760" s="38" t="str">
        <f t="shared" si="34"/>
        <v/>
      </c>
      <c r="L760" s="37" t="str">
        <f t="shared" ca="1" si="35"/>
        <v/>
      </c>
      <c r="M760" s="7"/>
      <c r="P760" s="67"/>
      <c r="X760" s="70"/>
    </row>
    <row r="761" spans="1:24">
      <c r="A761" s="7">
        <f t="shared" si="33"/>
        <v>756</v>
      </c>
      <c r="B761" s="26"/>
      <c r="C761" s="8"/>
      <c r="D761" s="7"/>
      <c r="E761" s="7"/>
      <c r="F761" s="7"/>
      <c r="G761" s="7"/>
      <c r="H761" s="7"/>
      <c r="I761" s="7"/>
      <c r="J761" s="7"/>
      <c r="K761" s="38" t="str">
        <f t="shared" si="34"/>
        <v/>
      </c>
      <c r="L761" s="37" t="str">
        <f t="shared" ca="1" si="35"/>
        <v/>
      </c>
      <c r="M761" s="7"/>
      <c r="P761" s="67"/>
      <c r="X761" s="70"/>
    </row>
    <row r="762" spans="1:24">
      <c r="A762" s="7">
        <f t="shared" si="33"/>
        <v>757</v>
      </c>
      <c r="B762" s="26"/>
      <c r="C762" s="8"/>
      <c r="D762" s="7"/>
      <c r="E762" s="7"/>
      <c r="F762" s="7"/>
      <c r="G762" s="7"/>
      <c r="H762" s="7"/>
      <c r="I762" s="7"/>
      <c r="J762" s="7"/>
      <c r="K762" s="38" t="str">
        <f t="shared" si="34"/>
        <v/>
      </c>
      <c r="L762" s="37" t="str">
        <f t="shared" ca="1" si="35"/>
        <v/>
      </c>
      <c r="M762" s="7"/>
      <c r="P762" s="67"/>
      <c r="X762" s="70"/>
    </row>
    <row r="763" spans="1:24">
      <c r="A763" s="7">
        <f t="shared" si="33"/>
        <v>758</v>
      </c>
      <c r="B763" s="26"/>
      <c r="C763" s="8"/>
      <c r="D763" s="7"/>
      <c r="E763" s="7"/>
      <c r="F763" s="7"/>
      <c r="G763" s="7"/>
      <c r="H763" s="7"/>
      <c r="I763" s="7"/>
      <c r="J763" s="7"/>
      <c r="K763" s="38" t="str">
        <f t="shared" si="34"/>
        <v/>
      </c>
      <c r="L763" s="37" t="str">
        <f t="shared" ca="1" si="35"/>
        <v/>
      </c>
      <c r="M763" s="7"/>
      <c r="P763" s="67"/>
      <c r="X763" s="70"/>
    </row>
    <row r="764" spans="1:24">
      <c r="A764" s="7">
        <f t="shared" si="33"/>
        <v>759</v>
      </c>
      <c r="B764" s="26"/>
      <c r="C764" s="8"/>
      <c r="D764" s="7"/>
      <c r="E764" s="7"/>
      <c r="F764" s="7"/>
      <c r="G764" s="7"/>
      <c r="H764" s="7"/>
      <c r="I764" s="7"/>
      <c r="J764" s="7"/>
      <c r="K764" s="38" t="str">
        <f t="shared" si="34"/>
        <v/>
      </c>
      <c r="L764" s="37" t="str">
        <f t="shared" ca="1" si="35"/>
        <v/>
      </c>
      <c r="M764" s="7"/>
      <c r="P764" s="67"/>
      <c r="X764" s="70"/>
    </row>
    <row r="765" spans="1:24">
      <c r="A765" s="7">
        <f t="shared" si="33"/>
        <v>760</v>
      </c>
      <c r="B765" s="26"/>
      <c r="C765" s="8"/>
      <c r="D765" s="7"/>
      <c r="E765" s="7"/>
      <c r="F765" s="7"/>
      <c r="G765" s="7"/>
      <c r="H765" s="7"/>
      <c r="I765" s="7"/>
      <c r="J765" s="7"/>
      <c r="K765" s="38" t="str">
        <f t="shared" si="34"/>
        <v/>
      </c>
      <c r="L765" s="37" t="str">
        <f t="shared" ca="1" si="35"/>
        <v/>
      </c>
      <c r="M765" s="7"/>
      <c r="P765" s="67"/>
      <c r="X765" s="70"/>
    </row>
    <row r="766" spans="1:24">
      <c r="A766" s="7">
        <f t="shared" si="33"/>
        <v>761</v>
      </c>
      <c r="B766" s="26"/>
      <c r="C766" s="8"/>
      <c r="D766" s="7"/>
      <c r="E766" s="7"/>
      <c r="F766" s="7"/>
      <c r="G766" s="7"/>
      <c r="H766" s="7"/>
      <c r="I766" s="7"/>
      <c r="J766" s="7"/>
      <c r="K766" s="38" t="str">
        <f t="shared" si="34"/>
        <v/>
      </c>
      <c r="L766" s="37" t="str">
        <f t="shared" ca="1" si="35"/>
        <v/>
      </c>
      <c r="M766" s="7"/>
      <c r="P766" s="67"/>
      <c r="X766" s="70"/>
    </row>
    <row r="767" spans="1:24">
      <c r="A767" s="7">
        <f t="shared" si="33"/>
        <v>762</v>
      </c>
      <c r="B767" s="26"/>
      <c r="C767" s="8"/>
      <c r="D767" s="7"/>
      <c r="E767" s="7"/>
      <c r="F767" s="7"/>
      <c r="G767" s="7"/>
      <c r="H767" s="7"/>
      <c r="I767" s="7"/>
      <c r="J767" s="7"/>
      <c r="K767" s="38" t="str">
        <f t="shared" si="34"/>
        <v/>
      </c>
      <c r="L767" s="37" t="str">
        <f t="shared" ca="1" si="35"/>
        <v/>
      </c>
      <c r="M767" s="7"/>
      <c r="P767" s="67"/>
      <c r="X767" s="70"/>
    </row>
    <row r="768" spans="1:24">
      <c r="A768" s="7">
        <f t="shared" si="33"/>
        <v>763</v>
      </c>
      <c r="B768" s="26"/>
      <c r="C768" s="8"/>
      <c r="D768" s="7"/>
      <c r="E768" s="7"/>
      <c r="F768" s="7"/>
      <c r="G768" s="7"/>
      <c r="H768" s="7"/>
      <c r="I768" s="7"/>
      <c r="J768" s="7"/>
      <c r="K768" s="38" t="str">
        <f t="shared" si="34"/>
        <v/>
      </c>
      <c r="L768" s="37" t="str">
        <f t="shared" ca="1" si="35"/>
        <v/>
      </c>
      <c r="M768" s="7"/>
      <c r="P768" s="67"/>
      <c r="X768" s="70"/>
    </row>
    <row r="769" spans="1:24">
      <c r="A769" s="7">
        <f t="shared" si="33"/>
        <v>764</v>
      </c>
      <c r="B769" s="26"/>
      <c r="C769" s="8"/>
      <c r="D769" s="7"/>
      <c r="E769" s="7"/>
      <c r="F769" s="7"/>
      <c r="G769" s="7"/>
      <c r="H769" s="7"/>
      <c r="I769" s="7"/>
      <c r="J769" s="7"/>
      <c r="K769" s="38" t="str">
        <f t="shared" si="34"/>
        <v/>
      </c>
      <c r="L769" s="37" t="str">
        <f t="shared" ca="1" si="35"/>
        <v/>
      </c>
      <c r="M769" s="7"/>
      <c r="P769" s="67"/>
      <c r="X769" s="70"/>
    </row>
    <row r="770" spans="1:24">
      <c r="A770" s="7">
        <f t="shared" si="33"/>
        <v>765</v>
      </c>
      <c r="B770" s="26"/>
      <c r="C770" s="8"/>
      <c r="D770" s="7"/>
      <c r="E770" s="7"/>
      <c r="F770" s="7"/>
      <c r="G770" s="7"/>
      <c r="H770" s="7"/>
      <c r="I770" s="7"/>
      <c r="J770" s="7"/>
      <c r="K770" s="38" t="str">
        <f t="shared" si="34"/>
        <v/>
      </c>
      <c r="L770" s="37" t="str">
        <f t="shared" ca="1" si="35"/>
        <v/>
      </c>
      <c r="M770" s="7"/>
      <c r="P770" s="67"/>
      <c r="X770" s="70"/>
    </row>
    <row r="771" spans="1:24">
      <c r="A771" s="7">
        <f t="shared" si="33"/>
        <v>766</v>
      </c>
      <c r="B771" s="26"/>
      <c r="C771" s="8"/>
      <c r="D771" s="7"/>
      <c r="E771" s="7"/>
      <c r="F771" s="7"/>
      <c r="G771" s="7"/>
      <c r="H771" s="7"/>
      <c r="I771" s="7"/>
      <c r="J771" s="7"/>
      <c r="K771" s="38" t="str">
        <f t="shared" si="34"/>
        <v/>
      </c>
      <c r="L771" s="37" t="str">
        <f t="shared" ca="1" si="35"/>
        <v/>
      </c>
      <c r="M771" s="7"/>
      <c r="P771" s="67"/>
      <c r="X771" s="70"/>
    </row>
    <row r="772" spans="1:24">
      <c r="A772" s="7">
        <f t="shared" si="33"/>
        <v>767</v>
      </c>
      <c r="B772" s="26"/>
      <c r="C772" s="8"/>
      <c r="D772" s="7"/>
      <c r="E772" s="7"/>
      <c r="F772" s="7"/>
      <c r="G772" s="7"/>
      <c r="H772" s="7"/>
      <c r="I772" s="7"/>
      <c r="J772" s="7"/>
      <c r="K772" s="38" t="str">
        <f t="shared" si="34"/>
        <v/>
      </c>
      <c r="L772" s="37" t="str">
        <f t="shared" ca="1" si="35"/>
        <v/>
      </c>
      <c r="M772" s="7"/>
      <c r="P772" s="67"/>
      <c r="X772" s="70"/>
    </row>
    <row r="773" spans="1:24">
      <c r="A773" s="7">
        <f t="shared" si="33"/>
        <v>768</v>
      </c>
      <c r="B773" s="26"/>
      <c r="C773" s="8"/>
      <c r="D773" s="7"/>
      <c r="E773" s="7"/>
      <c r="F773" s="7"/>
      <c r="G773" s="7"/>
      <c r="H773" s="7"/>
      <c r="I773" s="7"/>
      <c r="J773" s="7"/>
      <c r="K773" s="38" t="str">
        <f t="shared" si="34"/>
        <v/>
      </c>
      <c r="L773" s="37" t="str">
        <f t="shared" ca="1" si="35"/>
        <v/>
      </c>
      <c r="M773" s="7"/>
      <c r="P773" s="67"/>
      <c r="X773" s="70"/>
    </row>
    <row r="774" spans="1:24">
      <c r="A774" s="7">
        <f t="shared" si="33"/>
        <v>769</v>
      </c>
      <c r="B774" s="26"/>
      <c r="C774" s="8"/>
      <c r="D774" s="7"/>
      <c r="E774" s="7"/>
      <c r="F774" s="7"/>
      <c r="G774" s="7"/>
      <c r="H774" s="7"/>
      <c r="I774" s="7"/>
      <c r="J774" s="7"/>
      <c r="K774" s="38" t="str">
        <f t="shared" si="34"/>
        <v/>
      </c>
      <c r="L774" s="37" t="str">
        <f t="shared" ca="1" si="35"/>
        <v/>
      </c>
      <c r="M774" s="7"/>
      <c r="P774" s="67"/>
      <c r="X774" s="70"/>
    </row>
    <row r="775" spans="1:24">
      <c r="A775" s="7">
        <f t="shared" ref="A775:A838" si="36">ROW(A770)</f>
        <v>770</v>
      </c>
      <c r="B775" s="26"/>
      <c r="C775" s="8"/>
      <c r="D775" s="7"/>
      <c r="E775" s="7"/>
      <c r="F775" s="7"/>
      <c r="G775" s="7"/>
      <c r="H775" s="7"/>
      <c r="I775" s="7"/>
      <c r="J775" s="7"/>
      <c r="K775" s="38" t="str">
        <f t="shared" ref="K775:K838" si="37">IF(C775&gt;0,C775+J775-1,"")</f>
        <v/>
      </c>
      <c r="L775" s="37" t="str">
        <f t="shared" ref="L775:L838" ca="1" si="38">IF(K775="","",IF(TODAY()&gt;K775,"YES","No"))</f>
        <v/>
      </c>
      <c r="M775" s="7"/>
      <c r="P775" s="67"/>
      <c r="X775" s="70"/>
    </row>
    <row r="776" spans="1:24">
      <c r="A776" s="7">
        <f t="shared" si="36"/>
        <v>771</v>
      </c>
      <c r="B776" s="26"/>
      <c r="C776" s="8"/>
      <c r="D776" s="7"/>
      <c r="E776" s="7"/>
      <c r="F776" s="7"/>
      <c r="G776" s="7"/>
      <c r="H776" s="7"/>
      <c r="I776" s="7"/>
      <c r="J776" s="7"/>
      <c r="K776" s="38" t="str">
        <f t="shared" si="37"/>
        <v/>
      </c>
      <c r="L776" s="37" t="str">
        <f t="shared" ca="1" si="38"/>
        <v/>
      </c>
      <c r="M776" s="7"/>
      <c r="P776" s="67"/>
      <c r="X776" s="70"/>
    </row>
    <row r="777" spans="1:24">
      <c r="A777" s="7">
        <f t="shared" si="36"/>
        <v>772</v>
      </c>
      <c r="B777" s="26"/>
      <c r="C777" s="8"/>
      <c r="D777" s="7"/>
      <c r="E777" s="7"/>
      <c r="F777" s="7"/>
      <c r="G777" s="7"/>
      <c r="H777" s="7"/>
      <c r="I777" s="7"/>
      <c r="J777" s="7"/>
      <c r="K777" s="38" t="str">
        <f t="shared" si="37"/>
        <v/>
      </c>
      <c r="L777" s="37" t="str">
        <f t="shared" ca="1" si="38"/>
        <v/>
      </c>
      <c r="M777" s="7"/>
      <c r="P777" s="67"/>
      <c r="X777" s="70"/>
    </row>
    <row r="778" spans="1:24">
      <c r="A778" s="7">
        <f t="shared" si="36"/>
        <v>773</v>
      </c>
      <c r="B778" s="26"/>
      <c r="C778" s="8"/>
      <c r="D778" s="7"/>
      <c r="E778" s="7"/>
      <c r="F778" s="7"/>
      <c r="G778" s="7"/>
      <c r="H778" s="7"/>
      <c r="I778" s="7"/>
      <c r="J778" s="7"/>
      <c r="K778" s="38" t="str">
        <f t="shared" si="37"/>
        <v/>
      </c>
      <c r="L778" s="37" t="str">
        <f t="shared" ca="1" si="38"/>
        <v/>
      </c>
      <c r="M778" s="7"/>
      <c r="P778" s="67"/>
      <c r="X778" s="70"/>
    </row>
    <row r="779" spans="1:24">
      <c r="A779" s="7">
        <f t="shared" si="36"/>
        <v>774</v>
      </c>
      <c r="B779" s="26"/>
      <c r="C779" s="8"/>
      <c r="D779" s="7"/>
      <c r="E779" s="7"/>
      <c r="F779" s="7"/>
      <c r="G779" s="7"/>
      <c r="H779" s="7"/>
      <c r="I779" s="7"/>
      <c r="J779" s="7"/>
      <c r="K779" s="38" t="str">
        <f t="shared" si="37"/>
        <v/>
      </c>
      <c r="L779" s="37" t="str">
        <f t="shared" ca="1" si="38"/>
        <v/>
      </c>
      <c r="M779" s="7"/>
      <c r="P779" s="67"/>
      <c r="X779" s="70"/>
    </row>
    <row r="780" spans="1:24">
      <c r="A780" s="7">
        <f t="shared" si="36"/>
        <v>775</v>
      </c>
      <c r="B780" s="26"/>
      <c r="C780" s="8"/>
      <c r="D780" s="7"/>
      <c r="E780" s="7"/>
      <c r="F780" s="7"/>
      <c r="G780" s="7"/>
      <c r="H780" s="7"/>
      <c r="I780" s="7"/>
      <c r="J780" s="7"/>
      <c r="K780" s="38" t="str">
        <f t="shared" si="37"/>
        <v/>
      </c>
      <c r="L780" s="37" t="str">
        <f t="shared" ca="1" si="38"/>
        <v/>
      </c>
      <c r="M780" s="7"/>
      <c r="P780" s="67"/>
      <c r="X780" s="70"/>
    </row>
    <row r="781" spans="1:24">
      <c r="A781" s="7">
        <f t="shared" si="36"/>
        <v>776</v>
      </c>
      <c r="B781" s="26"/>
      <c r="C781" s="8"/>
      <c r="D781" s="7"/>
      <c r="E781" s="7"/>
      <c r="F781" s="7"/>
      <c r="G781" s="7"/>
      <c r="H781" s="7"/>
      <c r="I781" s="7"/>
      <c r="J781" s="7"/>
      <c r="K781" s="38" t="str">
        <f t="shared" si="37"/>
        <v/>
      </c>
      <c r="L781" s="37" t="str">
        <f t="shared" ca="1" si="38"/>
        <v/>
      </c>
      <c r="M781" s="7"/>
      <c r="P781" s="67"/>
      <c r="X781" s="70"/>
    </row>
    <row r="782" spans="1:24">
      <c r="A782" s="7">
        <f t="shared" si="36"/>
        <v>777</v>
      </c>
      <c r="B782" s="26"/>
      <c r="C782" s="8"/>
      <c r="D782" s="7"/>
      <c r="E782" s="7"/>
      <c r="F782" s="7"/>
      <c r="G782" s="7"/>
      <c r="H782" s="7"/>
      <c r="I782" s="7"/>
      <c r="J782" s="7"/>
      <c r="K782" s="38" t="str">
        <f t="shared" si="37"/>
        <v/>
      </c>
      <c r="L782" s="37" t="str">
        <f t="shared" ca="1" si="38"/>
        <v/>
      </c>
      <c r="M782" s="7"/>
      <c r="P782" s="67"/>
      <c r="X782" s="70"/>
    </row>
    <row r="783" spans="1:24">
      <c r="A783" s="7">
        <f t="shared" si="36"/>
        <v>778</v>
      </c>
      <c r="B783" s="26"/>
      <c r="C783" s="8"/>
      <c r="D783" s="7"/>
      <c r="E783" s="7"/>
      <c r="F783" s="7"/>
      <c r="G783" s="7"/>
      <c r="H783" s="7"/>
      <c r="I783" s="7"/>
      <c r="J783" s="7"/>
      <c r="K783" s="38" t="str">
        <f t="shared" si="37"/>
        <v/>
      </c>
      <c r="L783" s="37" t="str">
        <f t="shared" ca="1" si="38"/>
        <v/>
      </c>
      <c r="M783" s="7"/>
      <c r="P783" s="67"/>
      <c r="X783" s="70"/>
    </row>
    <row r="784" spans="1:24">
      <c r="A784" s="7">
        <f t="shared" si="36"/>
        <v>779</v>
      </c>
      <c r="B784" s="26"/>
      <c r="C784" s="8"/>
      <c r="D784" s="7"/>
      <c r="E784" s="7"/>
      <c r="F784" s="7"/>
      <c r="G784" s="7"/>
      <c r="H784" s="7"/>
      <c r="I784" s="7"/>
      <c r="J784" s="7"/>
      <c r="K784" s="38" t="str">
        <f t="shared" si="37"/>
        <v/>
      </c>
      <c r="L784" s="37" t="str">
        <f t="shared" ca="1" si="38"/>
        <v/>
      </c>
      <c r="M784" s="7"/>
      <c r="P784" s="67"/>
      <c r="X784" s="70"/>
    </row>
    <row r="785" spans="1:24">
      <c r="A785" s="7">
        <f t="shared" si="36"/>
        <v>780</v>
      </c>
      <c r="B785" s="26"/>
      <c r="C785" s="8"/>
      <c r="D785" s="7"/>
      <c r="E785" s="7"/>
      <c r="F785" s="7"/>
      <c r="G785" s="7"/>
      <c r="H785" s="7"/>
      <c r="I785" s="7"/>
      <c r="J785" s="7"/>
      <c r="K785" s="38" t="str">
        <f t="shared" si="37"/>
        <v/>
      </c>
      <c r="L785" s="37" t="str">
        <f t="shared" ca="1" si="38"/>
        <v/>
      </c>
      <c r="M785" s="7"/>
      <c r="P785" s="67"/>
      <c r="X785" s="70"/>
    </row>
    <row r="786" spans="1:24">
      <c r="A786" s="7">
        <f t="shared" si="36"/>
        <v>781</v>
      </c>
      <c r="B786" s="26"/>
      <c r="C786" s="8"/>
      <c r="D786" s="7"/>
      <c r="E786" s="7"/>
      <c r="F786" s="7"/>
      <c r="G786" s="7"/>
      <c r="H786" s="7"/>
      <c r="I786" s="7"/>
      <c r="J786" s="7"/>
      <c r="K786" s="38" t="str">
        <f t="shared" si="37"/>
        <v/>
      </c>
      <c r="L786" s="37" t="str">
        <f t="shared" ca="1" si="38"/>
        <v/>
      </c>
      <c r="M786" s="7"/>
      <c r="P786" s="67"/>
      <c r="X786" s="70"/>
    </row>
    <row r="787" spans="1:24">
      <c r="A787" s="7">
        <f t="shared" si="36"/>
        <v>782</v>
      </c>
      <c r="B787" s="26"/>
      <c r="C787" s="8"/>
      <c r="D787" s="7"/>
      <c r="E787" s="7"/>
      <c r="F787" s="7"/>
      <c r="G787" s="7"/>
      <c r="H787" s="7"/>
      <c r="I787" s="7"/>
      <c r="J787" s="7"/>
      <c r="K787" s="38" t="str">
        <f t="shared" si="37"/>
        <v/>
      </c>
      <c r="L787" s="37" t="str">
        <f t="shared" ca="1" si="38"/>
        <v/>
      </c>
      <c r="M787" s="7"/>
      <c r="P787" s="67"/>
      <c r="X787" s="70"/>
    </row>
    <row r="788" spans="1:24">
      <c r="A788" s="7">
        <f t="shared" si="36"/>
        <v>783</v>
      </c>
      <c r="B788" s="26"/>
      <c r="C788" s="8"/>
      <c r="D788" s="7"/>
      <c r="E788" s="7"/>
      <c r="F788" s="7"/>
      <c r="G788" s="7"/>
      <c r="H788" s="7"/>
      <c r="I788" s="7"/>
      <c r="J788" s="7"/>
      <c r="K788" s="38" t="str">
        <f t="shared" si="37"/>
        <v/>
      </c>
      <c r="L788" s="37" t="str">
        <f t="shared" ca="1" si="38"/>
        <v/>
      </c>
      <c r="M788" s="7"/>
      <c r="P788" s="67"/>
      <c r="X788" s="70"/>
    </row>
    <row r="789" spans="1:24">
      <c r="A789" s="7">
        <f t="shared" si="36"/>
        <v>784</v>
      </c>
      <c r="B789" s="26"/>
      <c r="C789" s="8"/>
      <c r="D789" s="7"/>
      <c r="E789" s="7"/>
      <c r="F789" s="7"/>
      <c r="G789" s="7"/>
      <c r="H789" s="7"/>
      <c r="I789" s="7"/>
      <c r="J789" s="7"/>
      <c r="K789" s="38" t="str">
        <f t="shared" si="37"/>
        <v/>
      </c>
      <c r="L789" s="37" t="str">
        <f t="shared" ca="1" si="38"/>
        <v/>
      </c>
      <c r="M789" s="7"/>
      <c r="P789" s="67"/>
      <c r="X789" s="70"/>
    </row>
    <row r="790" spans="1:24">
      <c r="A790" s="7">
        <f t="shared" si="36"/>
        <v>785</v>
      </c>
      <c r="B790" s="26"/>
      <c r="C790" s="8"/>
      <c r="D790" s="7"/>
      <c r="E790" s="7"/>
      <c r="F790" s="7"/>
      <c r="G790" s="7"/>
      <c r="H790" s="7"/>
      <c r="I790" s="7"/>
      <c r="J790" s="7"/>
      <c r="K790" s="38" t="str">
        <f t="shared" si="37"/>
        <v/>
      </c>
      <c r="L790" s="37" t="str">
        <f t="shared" ca="1" si="38"/>
        <v/>
      </c>
      <c r="M790" s="7"/>
      <c r="P790" s="67"/>
      <c r="X790" s="70"/>
    </row>
    <row r="791" spans="1:24">
      <c r="A791" s="7">
        <f t="shared" si="36"/>
        <v>786</v>
      </c>
      <c r="B791" s="26"/>
      <c r="C791" s="8"/>
      <c r="D791" s="7"/>
      <c r="E791" s="7"/>
      <c r="F791" s="7"/>
      <c r="G791" s="7"/>
      <c r="H791" s="7"/>
      <c r="I791" s="7"/>
      <c r="J791" s="7"/>
      <c r="K791" s="38" t="str">
        <f t="shared" si="37"/>
        <v/>
      </c>
      <c r="L791" s="37" t="str">
        <f t="shared" ca="1" si="38"/>
        <v/>
      </c>
      <c r="M791" s="7"/>
      <c r="P791" s="67"/>
      <c r="X791" s="70"/>
    </row>
    <row r="792" spans="1:24">
      <c r="A792" s="7">
        <f t="shared" si="36"/>
        <v>787</v>
      </c>
      <c r="B792" s="26"/>
      <c r="C792" s="8"/>
      <c r="D792" s="7"/>
      <c r="E792" s="7"/>
      <c r="F792" s="7"/>
      <c r="G792" s="7"/>
      <c r="H792" s="7"/>
      <c r="I792" s="7"/>
      <c r="J792" s="7"/>
      <c r="K792" s="38" t="str">
        <f t="shared" si="37"/>
        <v/>
      </c>
      <c r="L792" s="37" t="str">
        <f t="shared" ca="1" si="38"/>
        <v/>
      </c>
      <c r="M792" s="7"/>
      <c r="P792" s="67"/>
      <c r="X792" s="70"/>
    </row>
    <row r="793" spans="1:24">
      <c r="A793" s="7">
        <f t="shared" si="36"/>
        <v>788</v>
      </c>
      <c r="B793" s="26"/>
      <c r="C793" s="8"/>
      <c r="D793" s="7"/>
      <c r="E793" s="7"/>
      <c r="F793" s="7"/>
      <c r="G793" s="7"/>
      <c r="H793" s="7"/>
      <c r="I793" s="7"/>
      <c r="J793" s="7"/>
      <c r="K793" s="38" t="str">
        <f t="shared" si="37"/>
        <v/>
      </c>
      <c r="L793" s="37" t="str">
        <f t="shared" ca="1" si="38"/>
        <v/>
      </c>
      <c r="M793" s="7"/>
      <c r="P793" s="67"/>
      <c r="X793" s="70"/>
    </row>
    <row r="794" spans="1:24">
      <c r="A794" s="7">
        <f t="shared" si="36"/>
        <v>789</v>
      </c>
      <c r="B794" s="26"/>
      <c r="C794" s="8"/>
      <c r="D794" s="7"/>
      <c r="E794" s="7"/>
      <c r="F794" s="7"/>
      <c r="G794" s="7"/>
      <c r="H794" s="7"/>
      <c r="I794" s="7"/>
      <c r="J794" s="7"/>
      <c r="K794" s="38" t="str">
        <f t="shared" si="37"/>
        <v/>
      </c>
      <c r="L794" s="37" t="str">
        <f t="shared" ca="1" si="38"/>
        <v/>
      </c>
      <c r="M794" s="7"/>
      <c r="P794" s="67"/>
      <c r="X794" s="70"/>
    </row>
    <row r="795" spans="1:24">
      <c r="A795" s="7">
        <f t="shared" si="36"/>
        <v>790</v>
      </c>
      <c r="B795" s="26"/>
      <c r="C795" s="8"/>
      <c r="D795" s="7"/>
      <c r="E795" s="7"/>
      <c r="F795" s="7"/>
      <c r="G795" s="7"/>
      <c r="H795" s="7"/>
      <c r="I795" s="7"/>
      <c r="J795" s="7"/>
      <c r="K795" s="38" t="str">
        <f t="shared" si="37"/>
        <v/>
      </c>
      <c r="L795" s="37" t="str">
        <f t="shared" ca="1" si="38"/>
        <v/>
      </c>
      <c r="M795" s="7"/>
      <c r="P795" s="67"/>
      <c r="X795" s="70"/>
    </row>
    <row r="796" spans="1:24">
      <c r="A796" s="7">
        <f t="shared" si="36"/>
        <v>791</v>
      </c>
      <c r="B796" s="26"/>
      <c r="C796" s="8"/>
      <c r="D796" s="7"/>
      <c r="E796" s="7"/>
      <c r="F796" s="7"/>
      <c r="G796" s="7"/>
      <c r="H796" s="7"/>
      <c r="I796" s="7"/>
      <c r="J796" s="7"/>
      <c r="K796" s="38" t="str">
        <f t="shared" si="37"/>
        <v/>
      </c>
      <c r="L796" s="37" t="str">
        <f t="shared" ca="1" si="38"/>
        <v/>
      </c>
      <c r="M796" s="7"/>
      <c r="P796" s="67"/>
      <c r="X796" s="70"/>
    </row>
    <row r="797" spans="1:24">
      <c r="A797" s="7">
        <f t="shared" si="36"/>
        <v>792</v>
      </c>
      <c r="B797" s="26"/>
      <c r="C797" s="8"/>
      <c r="D797" s="7"/>
      <c r="E797" s="7"/>
      <c r="F797" s="7"/>
      <c r="G797" s="7"/>
      <c r="H797" s="7"/>
      <c r="I797" s="7"/>
      <c r="J797" s="7"/>
      <c r="K797" s="38" t="str">
        <f t="shared" si="37"/>
        <v/>
      </c>
      <c r="L797" s="37" t="str">
        <f t="shared" ca="1" si="38"/>
        <v/>
      </c>
      <c r="M797" s="7"/>
      <c r="P797" s="67"/>
      <c r="X797" s="70"/>
    </row>
    <row r="798" spans="1:24">
      <c r="A798" s="7">
        <f t="shared" si="36"/>
        <v>793</v>
      </c>
      <c r="B798" s="26"/>
      <c r="C798" s="8"/>
      <c r="D798" s="7"/>
      <c r="E798" s="7"/>
      <c r="F798" s="7"/>
      <c r="G798" s="7"/>
      <c r="H798" s="7"/>
      <c r="I798" s="7"/>
      <c r="J798" s="7"/>
      <c r="K798" s="38" t="str">
        <f t="shared" si="37"/>
        <v/>
      </c>
      <c r="L798" s="37" t="str">
        <f t="shared" ca="1" si="38"/>
        <v/>
      </c>
      <c r="M798" s="7"/>
      <c r="P798" s="67"/>
      <c r="X798" s="70"/>
    </row>
    <row r="799" spans="1:24">
      <c r="A799" s="7">
        <f t="shared" si="36"/>
        <v>794</v>
      </c>
      <c r="B799" s="26"/>
      <c r="C799" s="8"/>
      <c r="D799" s="7"/>
      <c r="E799" s="7"/>
      <c r="F799" s="7"/>
      <c r="G799" s="7"/>
      <c r="H799" s="7"/>
      <c r="I799" s="7"/>
      <c r="J799" s="7"/>
      <c r="K799" s="38" t="str">
        <f t="shared" si="37"/>
        <v/>
      </c>
      <c r="L799" s="37" t="str">
        <f t="shared" ca="1" si="38"/>
        <v/>
      </c>
      <c r="M799" s="7"/>
      <c r="P799" s="67"/>
      <c r="X799" s="70"/>
    </row>
    <row r="800" spans="1:24">
      <c r="A800" s="7">
        <f t="shared" si="36"/>
        <v>795</v>
      </c>
      <c r="B800" s="26"/>
      <c r="C800" s="8"/>
      <c r="D800" s="7"/>
      <c r="E800" s="7"/>
      <c r="F800" s="7"/>
      <c r="G800" s="7"/>
      <c r="H800" s="7"/>
      <c r="I800" s="7"/>
      <c r="J800" s="7"/>
      <c r="K800" s="38" t="str">
        <f t="shared" si="37"/>
        <v/>
      </c>
      <c r="L800" s="37" t="str">
        <f t="shared" ca="1" si="38"/>
        <v/>
      </c>
      <c r="M800" s="7"/>
      <c r="P800" s="67"/>
      <c r="X800" s="70"/>
    </row>
    <row r="801" spans="1:24">
      <c r="A801" s="7">
        <f t="shared" si="36"/>
        <v>796</v>
      </c>
      <c r="B801" s="26"/>
      <c r="C801" s="8"/>
      <c r="D801" s="7"/>
      <c r="E801" s="7"/>
      <c r="F801" s="7"/>
      <c r="G801" s="7"/>
      <c r="H801" s="7"/>
      <c r="I801" s="7"/>
      <c r="J801" s="7"/>
      <c r="K801" s="38" t="str">
        <f t="shared" si="37"/>
        <v/>
      </c>
      <c r="L801" s="37" t="str">
        <f t="shared" ca="1" si="38"/>
        <v/>
      </c>
      <c r="M801" s="7"/>
      <c r="P801" s="67"/>
      <c r="X801" s="70"/>
    </row>
    <row r="802" spans="1:24">
      <c r="A802" s="7">
        <f t="shared" si="36"/>
        <v>797</v>
      </c>
      <c r="B802" s="26"/>
      <c r="C802" s="8"/>
      <c r="D802" s="7"/>
      <c r="E802" s="7"/>
      <c r="F802" s="7"/>
      <c r="G802" s="7"/>
      <c r="H802" s="7"/>
      <c r="I802" s="7"/>
      <c r="J802" s="7"/>
      <c r="K802" s="38" t="str">
        <f t="shared" si="37"/>
        <v/>
      </c>
      <c r="L802" s="37" t="str">
        <f t="shared" ca="1" si="38"/>
        <v/>
      </c>
      <c r="M802" s="7"/>
      <c r="P802" s="67"/>
      <c r="X802" s="70"/>
    </row>
    <row r="803" spans="1:24">
      <c r="A803" s="7">
        <f t="shared" si="36"/>
        <v>798</v>
      </c>
      <c r="B803" s="26"/>
      <c r="C803" s="8"/>
      <c r="D803" s="7"/>
      <c r="E803" s="7"/>
      <c r="F803" s="7"/>
      <c r="G803" s="7"/>
      <c r="H803" s="7"/>
      <c r="I803" s="7"/>
      <c r="J803" s="7"/>
      <c r="K803" s="38" t="str">
        <f t="shared" si="37"/>
        <v/>
      </c>
      <c r="L803" s="37" t="str">
        <f t="shared" ca="1" si="38"/>
        <v/>
      </c>
      <c r="M803" s="7"/>
      <c r="P803" s="67"/>
      <c r="X803" s="70"/>
    </row>
    <row r="804" spans="1:24">
      <c r="A804" s="7">
        <f t="shared" si="36"/>
        <v>799</v>
      </c>
      <c r="B804" s="26"/>
      <c r="C804" s="8"/>
      <c r="D804" s="7"/>
      <c r="E804" s="7"/>
      <c r="F804" s="7"/>
      <c r="G804" s="7"/>
      <c r="H804" s="7"/>
      <c r="I804" s="7"/>
      <c r="J804" s="7"/>
      <c r="K804" s="38" t="str">
        <f t="shared" si="37"/>
        <v/>
      </c>
      <c r="L804" s="37" t="str">
        <f t="shared" ca="1" si="38"/>
        <v/>
      </c>
      <c r="M804" s="7"/>
      <c r="P804" s="67"/>
      <c r="X804" s="70"/>
    </row>
    <row r="805" spans="1:24">
      <c r="A805" s="7">
        <f t="shared" si="36"/>
        <v>800</v>
      </c>
      <c r="B805" s="26"/>
      <c r="C805" s="8"/>
      <c r="D805" s="7"/>
      <c r="E805" s="7"/>
      <c r="F805" s="7"/>
      <c r="G805" s="7"/>
      <c r="H805" s="7"/>
      <c r="I805" s="7"/>
      <c r="J805" s="7"/>
      <c r="K805" s="38" t="str">
        <f t="shared" si="37"/>
        <v/>
      </c>
      <c r="L805" s="37" t="str">
        <f t="shared" ca="1" si="38"/>
        <v/>
      </c>
      <c r="M805" s="7"/>
      <c r="P805" s="67"/>
      <c r="X805" s="70"/>
    </row>
    <row r="806" spans="1:24">
      <c r="A806" s="7">
        <f t="shared" si="36"/>
        <v>801</v>
      </c>
      <c r="B806" s="26"/>
      <c r="C806" s="8"/>
      <c r="D806" s="7"/>
      <c r="E806" s="7"/>
      <c r="F806" s="7"/>
      <c r="G806" s="7"/>
      <c r="H806" s="7"/>
      <c r="I806" s="7"/>
      <c r="J806" s="7"/>
      <c r="K806" s="38" t="str">
        <f t="shared" si="37"/>
        <v/>
      </c>
      <c r="L806" s="37" t="str">
        <f t="shared" ca="1" si="38"/>
        <v/>
      </c>
      <c r="M806" s="7"/>
      <c r="P806" s="67"/>
      <c r="X806" s="70"/>
    </row>
    <row r="807" spans="1:24">
      <c r="A807" s="7">
        <f t="shared" si="36"/>
        <v>802</v>
      </c>
      <c r="B807" s="26"/>
      <c r="C807" s="8"/>
      <c r="D807" s="7"/>
      <c r="E807" s="7"/>
      <c r="F807" s="7"/>
      <c r="G807" s="7"/>
      <c r="H807" s="7"/>
      <c r="I807" s="7"/>
      <c r="J807" s="7"/>
      <c r="K807" s="38" t="str">
        <f t="shared" si="37"/>
        <v/>
      </c>
      <c r="L807" s="37" t="str">
        <f t="shared" ca="1" si="38"/>
        <v/>
      </c>
      <c r="M807" s="7"/>
      <c r="P807" s="67"/>
      <c r="X807" s="70"/>
    </row>
    <row r="808" spans="1:24">
      <c r="A808" s="7">
        <f t="shared" si="36"/>
        <v>803</v>
      </c>
      <c r="B808" s="26"/>
      <c r="C808" s="8"/>
      <c r="D808" s="7"/>
      <c r="E808" s="7"/>
      <c r="F808" s="7"/>
      <c r="G808" s="7"/>
      <c r="H808" s="7"/>
      <c r="I808" s="7"/>
      <c r="J808" s="7"/>
      <c r="K808" s="38" t="str">
        <f t="shared" si="37"/>
        <v/>
      </c>
      <c r="L808" s="37" t="str">
        <f t="shared" ca="1" si="38"/>
        <v/>
      </c>
      <c r="M808" s="7"/>
      <c r="P808" s="67"/>
      <c r="X808" s="70"/>
    </row>
    <row r="809" spans="1:24">
      <c r="A809" s="7">
        <f t="shared" si="36"/>
        <v>804</v>
      </c>
      <c r="B809" s="26"/>
      <c r="C809" s="8"/>
      <c r="D809" s="7"/>
      <c r="E809" s="7"/>
      <c r="F809" s="7"/>
      <c r="G809" s="7"/>
      <c r="H809" s="7"/>
      <c r="I809" s="7"/>
      <c r="J809" s="7"/>
      <c r="K809" s="38" t="str">
        <f t="shared" si="37"/>
        <v/>
      </c>
      <c r="L809" s="37" t="str">
        <f t="shared" ca="1" si="38"/>
        <v/>
      </c>
      <c r="M809" s="7"/>
      <c r="P809" s="67"/>
      <c r="X809" s="70"/>
    </row>
    <row r="810" spans="1:24">
      <c r="A810" s="7">
        <f t="shared" si="36"/>
        <v>805</v>
      </c>
      <c r="B810" s="26"/>
      <c r="C810" s="8"/>
      <c r="D810" s="7"/>
      <c r="E810" s="7"/>
      <c r="F810" s="7"/>
      <c r="G810" s="7"/>
      <c r="H810" s="7"/>
      <c r="I810" s="7"/>
      <c r="J810" s="7"/>
      <c r="K810" s="38" t="str">
        <f t="shared" si="37"/>
        <v/>
      </c>
      <c r="L810" s="37" t="str">
        <f t="shared" ca="1" si="38"/>
        <v/>
      </c>
      <c r="M810" s="7"/>
      <c r="P810" s="67"/>
      <c r="X810" s="70"/>
    </row>
    <row r="811" spans="1:24">
      <c r="A811" s="7">
        <f t="shared" si="36"/>
        <v>806</v>
      </c>
      <c r="B811" s="26"/>
      <c r="C811" s="8"/>
      <c r="D811" s="7"/>
      <c r="E811" s="7"/>
      <c r="F811" s="7"/>
      <c r="G811" s="7"/>
      <c r="H811" s="7"/>
      <c r="I811" s="7"/>
      <c r="J811" s="7"/>
      <c r="K811" s="38" t="str">
        <f t="shared" si="37"/>
        <v/>
      </c>
      <c r="L811" s="37" t="str">
        <f t="shared" ca="1" si="38"/>
        <v/>
      </c>
      <c r="M811" s="7"/>
      <c r="P811" s="67"/>
      <c r="X811" s="70"/>
    </row>
    <row r="812" spans="1:24">
      <c r="A812" s="7">
        <f t="shared" si="36"/>
        <v>807</v>
      </c>
      <c r="B812" s="26"/>
      <c r="C812" s="8"/>
      <c r="D812" s="7"/>
      <c r="E812" s="7"/>
      <c r="F812" s="7"/>
      <c r="G812" s="7"/>
      <c r="H812" s="7"/>
      <c r="I812" s="7"/>
      <c r="J812" s="7"/>
      <c r="K812" s="38" t="str">
        <f t="shared" si="37"/>
        <v/>
      </c>
      <c r="L812" s="37" t="str">
        <f t="shared" ca="1" si="38"/>
        <v/>
      </c>
      <c r="M812" s="7"/>
      <c r="P812" s="67"/>
      <c r="X812" s="70"/>
    </row>
    <row r="813" spans="1:24">
      <c r="A813" s="7">
        <f t="shared" si="36"/>
        <v>808</v>
      </c>
      <c r="B813" s="26"/>
      <c r="C813" s="8"/>
      <c r="D813" s="7"/>
      <c r="E813" s="7"/>
      <c r="F813" s="7"/>
      <c r="G813" s="7"/>
      <c r="H813" s="7"/>
      <c r="I813" s="7"/>
      <c r="J813" s="7"/>
      <c r="K813" s="38" t="str">
        <f t="shared" si="37"/>
        <v/>
      </c>
      <c r="L813" s="37" t="str">
        <f t="shared" ca="1" si="38"/>
        <v/>
      </c>
      <c r="M813" s="7"/>
      <c r="P813" s="67"/>
      <c r="X813" s="70"/>
    </row>
    <row r="814" spans="1:24">
      <c r="A814" s="7">
        <f t="shared" si="36"/>
        <v>809</v>
      </c>
      <c r="B814" s="26"/>
      <c r="C814" s="8"/>
      <c r="D814" s="7"/>
      <c r="E814" s="7"/>
      <c r="F814" s="7"/>
      <c r="G814" s="7"/>
      <c r="H814" s="7"/>
      <c r="I814" s="7"/>
      <c r="J814" s="7"/>
      <c r="K814" s="38" t="str">
        <f t="shared" si="37"/>
        <v/>
      </c>
      <c r="L814" s="37" t="str">
        <f t="shared" ca="1" si="38"/>
        <v/>
      </c>
      <c r="M814" s="7"/>
      <c r="P814" s="67"/>
      <c r="X814" s="70"/>
    </row>
    <row r="815" spans="1:24">
      <c r="A815" s="7">
        <f t="shared" si="36"/>
        <v>810</v>
      </c>
      <c r="B815" s="26"/>
      <c r="C815" s="8"/>
      <c r="D815" s="7"/>
      <c r="E815" s="7"/>
      <c r="F815" s="7"/>
      <c r="G815" s="7"/>
      <c r="H815" s="7"/>
      <c r="I815" s="7"/>
      <c r="J815" s="7"/>
      <c r="K815" s="38" t="str">
        <f t="shared" si="37"/>
        <v/>
      </c>
      <c r="L815" s="37" t="str">
        <f t="shared" ca="1" si="38"/>
        <v/>
      </c>
      <c r="M815" s="7"/>
      <c r="P815" s="67"/>
      <c r="X815" s="70"/>
    </row>
    <row r="816" spans="1:24">
      <c r="A816" s="7">
        <f t="shared" si="36"/>
        <v>811</v>
      </c>
      <c r="B816" s="26"/>
      <c r="C816" s="8"/>
      <c r="D816" s="7"/>
      <c r="E816" s="7"/>
      <c r="F816" s="7"/>
      <c r="G816" s="7"/>
      <c r="H816" s="7"/>
      <c r="I816" s="7"/>
      <c r="J816" s="7"/>
      <c r="K816" s="38" t="str">
        <f t="shared" si="37"/>
        <v/>
      </c>
      <c r="L816" s="37" t="str">
        <f t="shared" ca="1" si="38"/>
        <v/>
      </c>
      <c r="M816" s="7"/>
      <c r="P816" s="67"/>
      <c r="X816" s="70"/>
    </row>
    <row r="817" spans="1:24">
      <c r="A817" s="7">
        <f t="shared" si="36"/>
        <v>812</v>
      </c>
      <c r="B817" s="26"/>
      <c r="C817" s="8"/>
      <c r="D817" s="7"/>
      <c r="E817" s="7"/>
      <c r="F817" s="7"/>
      <c r="G817" s="7"/>
      <c r="H817" s="7"/>
      <c r="I817" s="7"/>
      <c r="J817" s="7"/>
      <c r="K817" s="38" t="str">
        <f t="shared" si="37"/>
        <v/>
      </c>
      <c r="L817" s="37" t="str">
        <f t="shared" ca="1" si="38"/>
        <v/>
      </c>
      <c r="M817" s="7"/>
      <c r="P817" s="67"/>
      <c r="X817" s="70"/>
    </row>
    <row r="818" spans="1:24">
      <c r="A818" s="7">
        <f t="shared" si="36"/>
        <v>813</v>
      </c>
      <c r="B818" s="26"/>
      <c r="C818" s="8"/>
      <c r="D818" s="7"/>
      <c r="E818" s="7"/>
      <c r="F818" s="7"/>
      <c r="G818" s="7"/>
      <c r="H818" s="7"/>
      <c r="I818" s="7"/>
      <c r="J818" s="7"/>
      <c r="K818" s="38" t="str">
        <f t="shared" si="37"/>
        <v/>
      </c>
      <c r="L818" s="37" t="str">
        <f t="shared" ca="1" si="38"/>
        <v/>
      </c>
      <c r="M818" s="7"/>
      <c r="P818" s="67"/>
      <c r="X818" s="70"/>
    </row>
    <row r="819" spans="1:24">
      <c r="A819" s="7">
        <f t="shared" si="36"/>
        <v>814</v>
      </c>
      <c r="B819" s="26"/>
      <c r="C819" s="8"/>
      <c r="D819" s="7"/>
      <c r="E819" s="7"/>
      <c r="F819" s="7"/>
      <c r="G819" s="7"/>
      <c r="H819" s="7"/>
      <c r="I819" s="7"/>
      <c r="J819" s="7"/>
      <c r="K819" s="38" t="str">
        <f t="shared" si="37"/>
        <v/>
      </c>
      <c r="L819" s="37" t="str">
        <f t="shared" ca="1" si="38"/>
        <v/>
      </c>
      <c r="M819" s="7"/>
      <c r="P819" s="67"/>
      <c r="X819" s="70"/>
    </row>
    <row r="820" spans="1:24">
      <c r="A820" s="7">
        <f t="shared" si="36"/>
        <v>815</v>
      </c>
      <c r="B820" s="26"/>
      <c r="C820" s="8"/>
      <c r="D820" s="7"/>
      <c r="E820" s="7"/>
      <c r="F820" s="7"/>
      <c r="G820" s="7"/>
      <c r="H820" s="7"/>
      <c r="I820" s="7"/>
      <c r="J820" s="7"/>
      <c r="K820" s="38" t="str">
        <f t="shared" si="37"/>
        <v/>
      </c>
      <c r="L820" s="37" t="str">
        <f t="shared" ca="1" si="38"/>
        <v/>
      </c>
      <c r="M820" s="7"/>
      <c r="P820" s="67"/>
      <c r="X820" s="70"/>
    </row>
    <row r="821" spans="1:24">
      <c r="A821" s="7">
        <f t="shared" si="36"/>
        <v>816</v>
      </c>
      <c r="B821" s="26"/>
      <c r="C821" s="8"/>
      <c r="D821" s="7"/>
      <c r="E821" s="7"/>
      <c r="F821" s="7"/>
      <c r="G821" s="7"/>
      <c r="H821" s="7"/>
      <c r="I821" s="7"/>
      <c r="J821" s="7"/>
      <c r="K821" s="38" t="str">
        <f t="shared" si="37"/>
        <v/>
      </c>
      <c r="L821" s="37" t="str">
        <f t="shared" ca="1" si="38"/>
        <v/>
      </c>
      <c r="M821" s="7"/>
      <c r="P821" s="67"/>
      <c r="X821" s="70"/>
    </row>
    <row r="822" spans="1:24">
      <c r="A822" s="7">
        <f t="shared" si="36"/>
        <v>817</v>
      </c>
      <c r="B822" s="26"/>
      <c r="C822" s="8"/>
      <c r="D822" s="7"/>
      <c r="E822" s="7"/>
      <c r="F822" s="7"/>
      <c r="G822" s="7"/>
      <c r="H822" s="7"/>
      <c r="I822" s="7"/>
      <c r="J822" s="7"/>
      <c r="K822" s="38" t="str">
        <f t="shared" si="37"/>
        <v/>
      </c>
      <c r="L822" s="37" t="str">
        <f t="shared" ca="1" si="38"/>
        <v/>
      </c>
      <c r="M822" s="7"/>
      <c r="P822" s="67"/>
      <c r="X822" s="70"/>
    </row>
    <row r="823" spans="1:24">
      <c r="A823" s="7">
        <f t="shared" si="36"/>
        <v>818</v>
      </c>
      <c r="B823" s="26"/>
      <c r="C823" s="8"/>
      <c r="D823" s="7"/>
      <c r="E823" s="7"/>
      <c r="F823" s="7"/>
      <c r="G823" s="7"/>
      <c r="H823" s="7"/>
      <c r="I823" s="7"/>
      <c r="J823" s="7"/>
      <c r="K823" s="38" t="str">
        <f t="shared" si="37"/>
        <v/>
      </c>
      <c r="L823" s="37" t="str">
        <f t="shared" ca="1" si="38"/>
        <v/>
      </c>
      <c r="M823" s="7"/>
      <c r="P823" s="67"/>
      <c r="X823" s="70"/>
    </row>
    <row r="824" spans="1:24">
      <c r="A824" s="7">
        <f t="shared" si="36"/>
        <v>819</v>
      </c>
      <c r="B824" s="26"/>
      <c r="C824" s="8"/>
      <c r="D824" s="7"/>
      <c r="E824" s="7"/>
      <c r="F824" s="7"/>
      <c r="G824" s="7"/>
      <c r="H824" s="7"/>
      <c r="I824" s="7"/>
      <c r="J824" s="7"/>
      <c r="K824" s="38" t="str">
        <f t="shared" si="37"/>
        <v/>
      </c>
      <c r="L824" s="37" t="str">
        <f t="shared" ca="1" si="38"/>
        <v/>
      </c>
      <c r="M824" s="7"/>
      <c r="P824" s="67"/>
      <c r="X824" s="70"/>
    </row>
    <row r="825" spans="1:24">
      <c r="A825" s="7">
        <f t="shared" si="36"/>
        <v>820</v>
      </c>
      <c r="B825" s="26"/>
      <c r="C825" s="8"/>
      <c r="D825" s="7"/>
      <c r="E825" s="7"/>
      <c r="F825" s="7"/>
      <c r="G825" s="7"/>
      <c r="H825" s="7"/>
      <c r="I825" s="7"/>
      <c r="J825" s="7"/>
      <c r="K825" s="38" t="str">
        <f t="shared" si="37"/>
        <v/>
      </c>
      <c r="L825" s="37" t="str">
        <f t="shared" ca="1" si="38"/>
        <v/>
      </c>
      <c r="M825" s="7"/>
      <c r="P825" s="67"/>
      <c r="X825" s="70"/>
    </row>
    <row r="826" spans="1:24">
      <c r="A826" s="7">
        <f t="shared" si="36"/>
        <v>821</v>
      </c>
      <c r="B826" s="26"/>
      <c r="C826" s="8"/>
      <c r="D826" s="7"/>
      <c r="E826" s="7"/>
      <c r="F826" s="7"/>
      <c r="G826" s="7"/>
      <c r="H826" s="7"/>
      <c r="I826" s="7"/>
      <c r="J826" s="7"/>
      <c r="K826" s="38" t="str">
        <f t="shared" si="37"/>
        <v/>
      </c>
      <c r="L826" s="37" t="str">
        <f t="shared" ca="1" si="38"/>
        <v/>
      </c>
      <c r="M826" s="7"/>
      <c r="P826" s="67"/>
      <c r="X826" s="70"/>
    </row>
    <row r="827" spans="1:24">
      <c r="A827" s="7">
        <f t="shared" si="36"/>
        <v>822</v>
      </c>
      <c r="B827" s="26"/>
      <c r="C827" s="8"/>
      <c r="D827" s="7"/>
      <c r="E827" s="7"/>
      <c r="F827" s="7"/>
      <c r="G827" s="7"/>
      <c r="H827" s="7"/>
      <c r="I827" s="7"/>
      <c r="J827" s="7"/>
      <c r="K827" s="38" t="str">
        <f t="shared" si="37"/>
        <v/>
      </c>
      <c r="L827" s="37" t="str">
        <f t="shared" ca="1" si="38"/>
        <v/>
      </c>
      <c r="M827" s="7"/>
      <c r="P827" s="67"/>
      <c r="X827" s="70"/>
    </row>
    <row r="828" spans="1:24">
      <c r="A828" s="7">
        <f t="shared" si="36"/>
        <v>823</v>
      </c>
      <c r="B828" s="26"/>
      <c r="C828" s="8"/>
      <c r="D828" s="7"/>
      <c r="E828" s="7"/>
      <c r="F828" s="7"/>
      <c r="G828" s="7"/>
      <c r="H828" s="7"/>
      <c r="I828" s="7"/>
      <c r="J828" s="7"/>
      <c r="K828" s="38" t="str">
        <f t="shared" si="37"/>
        <v/>
      </c>
      <c r="L828" s="37" t="str">
        <f t="shared" ca="1" si="38"/>
        <v/>
      </c>
      <c r="M828" s="7"/>
      <c r="P828" s="67"/>
      <c r="X828" s="70"/>
    </row>
    <row r="829" spans="1:24">
      <c r="A829" s="7">
        <f t="shared" si="36"/>
        <v>824</v>
      </c>
      <c r="B829" s="26"/>
      <c r="C829" s="8"/>
      <c r="D829" s="7"/>
      <c r="E829" s="7"/>
      <c r="F829" s="7"/>
      <c r="G829" s="7"/>
      <c r="H829" s="7"/>
      <c r="I829" s="7"/>
      <c r="J829" s="7"/>
      <c r="K829" s="38" t="str">
        <f t="shared" si="37"/>
        <v/>
      </c>
      <c r="L829" s="37" t="str">
        <f t="shared" ca="1" si="38"/>
        <v/>
      </c>
      <c r="M829" s="7"/>
      <c r="P829" s="67"/>
      <c r="X829" s="70"/>
    </row>
    <row r="830" spans="1:24">
      <c r="A830" s="7">
        <f t="shared" si="36"/>
        <v>825</v>
      </c>
      <c r="B830" s="26"/>
      <c r="C830" s="8"/>
      <c r="D830" s="7"/>
      <c r="E830" s="7"/>
      <c r="F830" s="7"/>
      <c r="G830" s="7"/>
      <c r="H830" s="7"/>
      <c r="I830" s="7"/>
      <c r="J830" s="7"/>
      <c r="K830" s="38" t="str">
        <f t="shared" si="37"/>
        <v/>
      </c>
      <c r="L830" s="37" t="str">
        <f t="shared" ca="1" si="38"/>
        <v/>
      </c>
      <c r="M830" s="7"/>
      <c r="P830" s="67"/>
      <c r="X830" s="70"/>
    </row>
    <row r="831" spans="1:24">
      <c r="A831" s="7">
        <f t="shared" si="36"/>
        <v>826</v>
      </c>
      <c r="B831" s="26"/>
      <c r="C831" s="8"/>
      <c r="D831" s="7"/>
      <c r="E831" s="7"/>
      <c r="F831" s="7"/>
      <c r="G831" s="7"/>
      <c r="H831" s="7"/>
      <c r="I831" s="7"/>
      <c r="J831" s="7"/>
      <c r="K831" s="38" t="str">
        <f t="shared" si="37"/>
        <v/>
      </c>
      <c r="L831" s="37" t="str">
        <f t="shared" ca="1" si="38"/>
        <v/>
      </c>
      <c r="M831" s="7"/>
      <c r="P831" s="67"/>
      <c r="X831" s="70"/>
    </row>
    <row r="832" spans="1:24">
      <c r="A832" s="7">
        <f t="shared" si="36"/>
        <v>827</v>
      </c>
      <c r="B832" s="26"/>
      <c r="C832" s="8"/>
      <c r="D832" s="7"/>
      <c r="E832" s="7"/>
      <c r="F832" s="7"/>
      <c r="G832" s="7"/>
      <c r="H832" s="7"/>
      <c r="I832" s="7"/>
      <c r="J832" s="7"/>
      <c r="K832" s="38" t="str">
        <f t="shared" si="37"/>
        <v/>
      </c>
      <c r="L832" s="37" t="str">
        <f t="shared" ca="1" si="38"/>
        <v/>
      </c>
      <c r="M832" s="7"/>
      <c r="P832" s="67"/>
      <c r="X832" s="70"/>
    </row>
    <row r="833" spans="1:24">
      <c r="A833" s="7">
        <f t="shared" si="36"/>
        <v>828</v>
      </c>
      <c r="B833" s="26"/>
      <c r="C833" s="8"/>
      <c r="D833" s="7"/>
      <c r="E833" s="7"/>
      <c r="F833" s="7"/>
      <c r="G833" s="7"/>
      <c r="H833" s="7"/>
      <c r="I833" s="7"/>
      <c r="J833" s="7"/>
      <c r="K833" s="38" t="str">
        <f t="shared" si="37"/>
        <v/>
      </c>
      <c r="L833" s="37" t="str">
        <f t="shared" ca="1" si="38"/>
        <v/>
      </c>
      <c r="M833" s="7"/>
      <c r="P833" s="67"/>
      <c r="X833" s="70"/>
    </row>
    <row r="834" spans="1:24">
      <c r="A834" s="7">
        <f t="shared" si="36"/>
        <v>829</v>
      </c>
      <c r="B834" s="26"/>
      <c r="C834" s="8"/>
      <c r="D834" s="7"/>
      <c r="E834" s="7"/>
      <c r="F834" s="7"/>
      <c r="G834" s="7"/>
      <c r="H834" s="7"/>
      <c r="I834" s="7"/>
      <c r="J834" s="7"/>
      <c r="K834" s="38" t="str">
        <f t="shared" si="37"/>
        <v/>
      </c>
      <c r="L834" s="37" t="str">
        <f t="shared" ca="1" si="38"/>
        <v/>
      </c>
      <c r="M834" s="7"/>
      <c r="P834" s="67"/>
      <c r="X834" s="70"/>
    </row>
    <row r="835" spans="1:24">
      <c r="A835" s="7">
        <f t="shared" si="36"/>
        <v>830</v>
      </c>
      <c r="B835" s="26"/>
      <c r="C835" s="8"/>
      <c r="D835" s="7"/>
      <c r="E835" s="7"/>
      <c r="F835" s="7"/>
      <c r="G835" s="7"/>
      <c r="H835" s="7"/>
      <c r="I835" s="7"/>
      <c r="J835" s="7"/>
      <c r="K835" s="38" t="str">
        <f t="shared" si="37"/>
        <v/>
      </c>
      <c r="L835" s="37" t="str">
        <f t="shared" ca="1" si="38"/>
        <v/>
      </c>
      <c r="M835" s="7"/>
      <c r="P835" s="67"/>
      <c r="X835" s="70"/>
    </row>
    <row r="836" spans="1:24">
      <c r="A836" s="7">
        <f t="shared" si="36"/>
        <v>831</v>
      </c>
      <c r="B836" s="26"/>
      <c r="C836" s="8"/>
      <c r="D836" s="7"/>
      <c r="E836" s="7"/>
      <c r="F836" s="7"/>
      <c r="G836" s="7"/>
      <c r="H836" s="7"/>
      <c r="I836" s="7"/>
      <c r="J836" s="7"/>
      <c r="K836" s="38" t="str">
        <f t="shared" si="37"/>
        <v/>
      </c>
      <c r="L836" s="37" t="str">
        <f t="shared" ca="1" si="38"/>
        <v/>
      </c>
      <c r="M836" s="7"/>
      <c r="P836" s="67"/>
      <c r="X836" s="70"/>
    </row>
    <row r="837" spans="1:24">
      <c r="A837" s="7">
        <f t="shared" si="36"/>
        <v>832</v>
      </c>
      <c r="B837" s="26"/>
      <c r="C837" s="8"/>
      <c r="D837" s="7"/>
      <c r="E837" s="7"/>
      <c r="F837" s="7"/>
      <c r="G837" s="7"/>
      <c r="H837" s="7"/>
      <c r="I837" s="7"/>
      <c r="J837" s="7"/>
      <c r="K837" s="38" t="str">
        <f t="shared" si="37"/>
        <v/>
      </c>
      <c r="L837" s="37" t="str">
        <f t="shared" ca="1" si="38"/>
        <v/>
      </c>
      <c r="M837" s="7"/>
      <c r="P837" s="67"/>
      <c r="X837" s="70"/>
    </row>
    <row r="838" spans="1:24">
      <c r="A838" s="7">
        <f t="shared" si="36"/>
        <v>833</v>
      </c>
      <c r="B838" s="26"/>
      <c r="C838" s="8"/>
      <c r="D838" s="7"/>
      <c r="E838" s="7"/>
      <c r="F838" s="7"/>
      <c r="G838" s="7"/>
      <c r="H838" s="7"/>
      <c r="I838" s="7"/>
      <c r="J838" s="7"/>
      <c r="K838" s="38" t="str">
        <f t="shared" si="37"/>
        <v/>
      </c>
      <c r="L838" s="37" t="str">
        <f t="shared" ca="1" si="38"/>
        <v/>
      </c>
      <c r="M838" s="7"/>
      <c r="P838" s="67"/>
      <c r="X838" s="70"/>
    </row>
    <row r="839" spans="1:24">
      <c r="A839" s="7">
        <f t="shared" ref="A839:A902" si="39">ROW(A834)</f>
        <v>834</v>
      </c>
      <c r="B839" s="26"/>
      <c r="C839" s="8"/>
      <c r="D839" s="7"/>
      <c r="E839" s="7"/>
      <c r="F839" s="7"/>
      <c r="G839" s="7"/>
      <c r="H839" s="7"/>
      <c r="I839" s="7"/>
      <c r="J839" s="7"/>
      <c r="K839" s="38" t="str">
        <f t="shared" ref="K839:K902" si="40">IF(C839&gt;0,C839+J839-1,"")</f>
        <v/>
      </c>
      <c r="L839" s="37" t="str">
        <f t="shared" ref="L839:L902" ca="1" si="41">IF(K839="","",IF(TODAY()&gt;K839,"YES","No"))</f>
        <v/>
      </c>
      <c r="M839" s="7"/>
      <c r="P839" s="67"/>
      <c r="X839" s="70"/>
    </row>
    <row r="840" spans="1:24">
      <c r="A840" s="7">
        <f t="shared" si="39"/>
        <v>835</v>
      </c>
      <c r="B840" s="26"/>
      <c r="C840" s="8"/>
      <c r="D840" s="7"/>
      <c r="E840" s="7"/>
      <c r="F840" s="7"/>
      <c r="G840" s="7"/>
      <c r="H840" s="7"/>
      <c r="I840" s="7"/>
      <c r="J840" s="7"/>
      <c r="K840" s="38" t="str">
        <f t="shared" si="40"/>
        <v/>
      </c>
      <c r="L840" s="37" t="str">
        <f t="shared" ca="1" si="41"/>
        <v/>
      </c>
      <c r="M840" s="7"/>
      <c r="P840" s="67"/>
      <c r="X840" s="70"/>
    </row>
    <row r="841" spans="1:24">
      <c r="A841" s="7">
        <f t="shared" si="39"/>
        <v>836</v>
      </c>
      <c r="B841" s="26"/>
      <c r="C841" s="8"/>
      <c r="D841" s="7"/>
      <c r="E841" s="7"/>
      <c r="F841" s="7"/>
      <c r="G841" s="7"/>
      <c r="H841" s="7"/>
      <c r="I841" s="7"/>
      <c r="J841" s="7"/>
      <c r="K841" s="38" t="str">
        <f t="shared" si="40"/>
        <v/>
      </c>
      <c r="L841" s="37" t="str">
        <f t="shared" ca="1" si="41"/>
        <v/>
      </c>
      <c r="M841" s="7"/>
      <c r="P841" s="67"/>
      <c r="X841" s="70"/>
    </row>
    <row r="842" spans="1:24">
      <c r="A842" s="7">
        <f t="shared" si="39"/>
        <v>837</v>
      </c>
      <c r="B842" s="26"/>
      <c r="C842" s="8"/>
      <c r="D842" s="7"/>
      <c r="E842" s="7"/>
      <c r="F842" s="7"/>
      <c r="G842" s="7"/>
      <c r="H842" s="7"/>
      <c r="I842" s="7"/>
      <c r="J842" s="7"/>
      <c r="K842" s="38" t="str">
        <f t="shared" si="40"/>
        <v/>
      </c>
      <c r="L842" s="37" t="str">
        <f t="shared" ca="1" si="41"/>
        <v/>
      </c>
      <c r="M842" s="7"/>
      <c r="P842" s="67"/>
      <c r="X842" s="70"/>
    </row>
    <row r="843" spans="1:24">
      <c r="A843" s="7">
        <f t="shared" si="39"/>
        <v>838</v>
      </c>
      <c r="B843" s="26"/>
      <c r="C843" s="8"/>
      <c r="D843" s="7"/>
      <c r="E843" s="7"/>
      <c r="F843" s="7"/>
      <c r="G843" s="7"/>
      <c r="H843" s="7"/>
      <c r="I843" s="7"/>
      <c r="J843" s="7"/>
      <c r="K843" s="38" t="str">
        <f t="shared" si="40"/>
        <v/>
      </c>
      <c r="L843" s="37" t="str">
        <f t="shared" ca="1" si="41"/>
        <v/>
      </c>
      <c r="M843" s="7"/>
      <c r="P843" s="67"/>
      <c r="X843" s="70"/>
    </row>
    <row r="844" spans="1:24">
      <c r="A844" s="7">
        <f t="shared" si="39"/>
        <v>839</v>
      </c>
      <c r="B844" s="26"/>
      <c r="C844" s="8"/>
      <c r="D844" s="7"/>
      <c r="E844" s="7"/>
      <c r="F844" s="7"/>
      <c r="G844" s="7"/>
      <c r="H844" s="7"/>
      <c r="I844" s="7"/>
      <c r="J844" s="7"/>
      <c r="K844" s="38" t="str">
        <f t="shared" si="40"/>
        <v/>
      </c>
      <c r="L844" s="37" t="str">
        <f t="shared" ca="1" si="41"/>
        <v/>
      </c>
      <c r="M844" s="7"/>
      <c r="P844" s="67"/>
      <c r="X844" s="70"/>
    </row>
    <row r="845" spans="1:24">
      <c r="A845" s="7">
        <f t="shared" si="39"/>
        <v>840</v>
      </c>
      <c r="B845" s="26"/>
      <c r="C845" s="8"/>
      <c r="D845" s="7"/>
      <c r="E845" s="7"/>
      <c r="F845" s="7"/>
      <c r="G845" s="7"/>
      <c r="H845" s="7"/>
      <c r="I845" s="7"/>
      <c r="J845" s="7"/>
      <c r="K845" s="38" t="str">
        <f t="shared" si="40"/>
        <v/>
      </c>
      <c r="L845" s="37" t="str">
        <f t="shared" ca="1" si="41"/>
        <v/>
      </c>
      <c r="M845" s="7"/>
      <c r="P845" s="67"/>
      <c r="X845" s="70"/>
    </row>
    <row r="846" spans="1:24">
      <c r="A846" s="7">
        <f t="shared" si="39"/>
        <v>841</v>
      </c>
      <c r="B846" s="26"/>
      <c r="C846" s="8"/>
      <c r="D846" s="7"/>
      <c r="E846" s="7"/>
      <c r="F846" s="7"/>
      <c r="G846" s="7"/>
      <c r="H846" s="7"/>
      <c r="I846" s="7"/>
      <c r="J846" s="7"/>
      <c r="K846" s="38" t="str">
        <f t="shared" si="40"/>
        <v/>
      </c>
      <c r="L846" s="37" t="str">
        <f t="shared" ca="1" si="41"/>
        <v/>
      </c>
      <c r="M846" s="7"/>
      <c r="P846" s="67"/>
      <c r="X846" s="70"/>
    </row>
    <row r="847" spans="1:24">
      <c r="A847" s="7">
        <f t="shared" si="39"/>
        <v>842</v>
      </c>
      <c r="B847" s="26"/>
      <c r="C847" s="8"/>
      <c r="D847" s="7"/>
      <c r="E847" s="7"/>
      <c r="F847" s="7"/>
      <c r="G847" s="7"/>
      <c r="H847" s="7"/>
      <c r="I847" s="7"/>
      <c r="J847" s="7"/>
      <c r="K847" s="38" t="str">
        <f t="shared" si="40"/>
        <v/>
      </c>
      <c r="L847" s="37" t="str">
        <f t="shared" ca="1" si="41"/>
        <v/>
      </c>
      <c r="M847" s="7"/>
      <c r="P847" s="67"/>
      <c r="X847" s="70"/>
    </row>
    <row r="848" spans="1:24">
      <c r="A848" s="7">
        <f t="shared" si="39"/>
        <v>843</v>
      </c>
      <c r="B848" s="26"/>
      <c r="C848" s="8"/>
      <c r="D848" s="7"/>
      <c r="E848" s="7"/>
      <c r="F848" s="7"/>
      <c r="G848" s="7"/>
      <c r="H848" s="7"/>
      <c r="I848" s="7"/>
      <c r="J848" s="7"/>
      <c r="K848" s="38" t="str">
        <f t="shared" si="40"/>
        <v/>
      </c>
      <c r="L848" s="37" t="str">
        <f t="shared" ca="1" si="41"/>
        <v/>
      </c>
      <c r="M848" s="7"/>
      <c r="P848" s="67"/>
      <c r="X848" s="70"/>
    </row>
    <row r="849" spans="1:24">
      <c r="A849" s="7">
        <f t="shared" si="39"/>
        <v>844</v>
      </c>
      <c r="B849" s="26"/>
      <c r="C849" s="8"/>
      <c r="D849" s="7"/>
      <c r="E849" s="7"/>
      <c r="F849" s="7"/>
      <c r="G849" s="7"/>
      <c r="H849" s="7"/>
      <c r="I849" s="7"/>
      <c r="J849" s="7"/>
      <c r="K849" s="38" t="str">
        <f t="shared" si="40"/>
        <v/>
      </c>
      <c r="L849" s="37" t="str">
        <f t="shared" ca="1" si="41"/>
        <v/>
      </c>
      <c r="M849" s="7"/>
      <c r="P849" s="67"/>
      <c r="X849" s="70"/>
    </row>
    <row r="850" spans="1:24">
      <c r="A850" s="7">
        <f t="shared" si="39"/>
        <v>845</v>
      </c>
      <c r="B850" s="26"/>
      <c r="C850" s="8"/>
      <c r="D850" s="7"/>
      <c r="E850" s="7"/>
      <c r="F850" s="7"/>
      <c r="G850" s="7"/>
      <c r="H850" s="7"/>
      <c r="I850" s="7"/>
      <c r="J850" s="7"/>
      <c r="K850" s="38" t="str">
        <f t="shared" si="40"/>
        <v/>
      </c>
      <c r="L850" s="37" t="str">
        <f t="shared" ca="1" si="41"/>
        <v/>
      </c>
      <c r="M850" s="7"/>
      <c r="P850" s="67"/>
      <c r="X850" s="70"/>
    </row>
    <row r="851" spans="1:24">
      <c r="A851" s="7">
        <f t="shared" si="39"/>
        <v>846</v>
      </c>
      <c r="B851" s="26"/>
      <c r="C851" s="8"/>
      <c r="D851" s="7"/>
      <c r="E851" s="7"/>
      <c r="F851" s="7"/>
      <c r="G851" s="7"/>
      <c r="H851" s="7"/>
      <c r="I851" s="7"/>
      <c r="J851" s="7"/>
      <c r="K851" s="38" t="str">
        <f t="shared" si="40"/>
        <v/>
      </c>
      <c r="L851" s="37" t="str">
        <f t="shared" ca="1" si="41"/>
        <v/>
      </c>
      <c r="M851" s="7"/>
      <c r="P851" s="67"/>
      <c r="X851" s="70"/>
    </row>
    <row r="852" spans="1:24">
      <c r="A852" s="7">
        <f t="shared" si="39"/>
        <v>847</v>
      </c>
      <c r="B852" s="26"/>
      <c r="C852" s="8"/>
      <c r="D852" s="7"/>
      <c r="E852" s="7"/>
      <c r="F852" s="7"/>
      <c r="G852" s="7"/>
      <c r="H852" s="7"/>
      <c r="I852" s="7"/>
      <c r="J852" s="7"/>
      <c r="K852" s="38" t="str">
        <f t="shared" si="40"/>
        <v/>
      </c>
      <c r="L852" s="37" t="str">
        <f t="shared" ca="1" si="41"/>
        <v/>
      </c>
      <c r="M852" s="7"/>
      <c r="P852" s="67"/>
      <c r="X852" s="70"/>
    </row>
    <row r="853" spans="1:24">
      <c r="A853" s="7">
        <f t="shared" si="39"/>
        <v>848</v>
      </c>
      <c r="B853" s="26"/>
      <c r="C853" s="8"/>
      <c r="D853" s="7"/>
      <c r="E853" s="7"/>
      <c r="F853" s="7"/>
      <c r="G853" s="7"/>
      <c r="H853" s="7"/>
      <c r="I853" s="7"/>
      <c r="J853" s="7"/>
      <c r="K853" s="38" t="str">
        <f t="shared" si="40"/>
        <v/>
      </c>
      <c r="L853" s="37" t="str">
        <f t="shared" ca="1" si="41"/>
        <v/>
      </c>
      <c r="M853" s="7"/>
      <c r="P853" s="67"/>
      <c r="X853" s="70"/>
    </row>
    <row r="854" spans="1:24">
      <c r="A854" s="7">
        <f t="shared" si="39"/>
        <v>849</v>
      </c>
      <c r="B854" s="26"/>
      <c r="C854" s="8"/>
      <c r="D854" s="7"/>
      <c r="E854" s="7"/>
      <c r="F854" s="7"/>
      <c r="G854" s="7"/>
      <c r="H854" s="7"/>
      <c r="I854" s="7"/>
      <c r="J854" s="7"/>
      <c r="K854" s="38" t="str">
        <f t="shared" si="40"/>
        <v/>
      </c>
      <c r="L854" s="37" t="str">
        <f t="shared" ca="1" si="41"/>
        <v/>
      </c>
      <c r="M854" s="7"/>
      <c r="P854" s="67"/>
      <c r="X854" s="70"/>
    </row>
    <row r="855" spans="1:24">
      <c r="A855" s="7">
        <f t="shared" si="39"/>
        <v>850</v>
      </c>
      <c r="B855" s="26"/>
      <c r="C855" s="8"/>
      <c r="D855" s="7"/>
      <c r="E855" s="7"/>
      <c r="F855" s="7"/>
      <c r="G855" s="7"/>
      <c r="H855" s="7"/>
      <c r="I855" s="7"/>
      <c r="J855" s="7"/>
      <c r="K855" s="38" t="str">
        <f t="shared" si="40"/>
        <v/>
      </c>
      <c r="L855" s="37" t="str">
        <f t="shared" ca="1" si="41"/>
        <v/>
      </c>
      <c r="M855" s="7"/>
      <c r="P855" s="67"/>
      <c r="X855" s="70"/>
    </row>
    <row r="856" spans="1:24">
      <c r="A856" s="7">
        <f t="shared" si="39"/>
        <v>851</v>
      </c>
      <c r="B856" s="26"/>
      <c r="C856" s="8"/>
      <c r="D856" s="7"/>
      <c r="E856" s="7"/>
      <c r="F856" s="7"/>
      <c r="G856" s="7"/>
      <c r="H856" s="7"/>
      <c r="I856" s="7"/>
      <c r="J856" s="7"/>
      <c r="K856" s="38" t="str">
        <f t="shared" si="40"/>
        <v/>
      </c>
      <c r="L856" s="37" t="str">
        <f t="shared" ca="1" si="41"/>
        <v/>
      </c>
      <c r="M856" s="7"/>
      <c r="P856" s="67"/>
      <c r="X856" s="70"/>
    </row>
    <row r="857" spans="1:24">
      <c r="A857" s="7">
        <f t="shared" si="39"/>
        <v>852</v>
      </c>
      <c r="B857" s="26"/>
      <c r="C857" s="8"/>
      <c r="D857" s="7"/>
      <c r="E857" s="7"/>
      <c r="F857" s="7"/>
      <c r="G857" s="7"/>
      <c r="H857" s="7"/>
      <c r="I857" s="7"/>
      <c r="J857" s="7"/>
      <c r="K857" s="38" t="str">
        <f t="shared" si="40"/>
        <v/>
      </c>
      <c r="L857" s="37" t="str">
        <f t="shared" ca="1" si="41"/>
        <v/>
      </c>
      <c r="M857" s="7"/>
      <c r="P857" s="67"/>
      <c r="X857" s="70"/>
    </row>
    <row r="858" spans="1:24">
      <c r="A858" s="7">
        <f t="shared" si="39"/>
        <v>853</v>
      </c>
      <c r="B858" s="26"/>
      <c r="C858" s="8"/>
      <c r="D858" s="7"/>
      <c r="E858" s="7"/>
      <c r="F858" s="7"/>
      <c r="G858" s="7"/>
      <c r="H858" s="7"/>
      <c r="I858" s="7"/>
      <c r="J858" s="7"/>
      <c r="K858" s="38" t="str">
        <f t="shared" si="40"/>
        <v/>
      </c>
      <c r="L858" s="37" t="str">
        <f t="shared" ca="1" si="41"/>
        <v/>
      </c>
      <c r="M858" s="7"/>
      <c r="P858" s="67"/>
      <c r="X858" s="70"/>
    </row>
    <row r="859" spans="1:24">
      <c r="A859" s="7">
        <f t="shared" si="39"/>
        <v>854</v>
      </c>
      <c r="B859" s="26"/>
      <c r="C859" s="8"/>
      <c r="D859" s="7"/>
      <c r="E859" s="7"/>
      <c r="F859" s="7"/>
      <c r="G859" s="7"/>
      <c r="H859" s="7"/>
      <c r="I859" s="7"/>
      <c r="J859" s="7"/>
      <c r="K859" s="38" t="str">
        <f t="shared" si="40"/>
        <v/>
      </c>
      <c r="L859" s="37" t="str">
        <f t="shared" ca="1" si="41"/>
        <v/>
      </c>
      <c r="M859" s="7"/>
      <c r="P859" s="67"/>
      <c r="X859" s="70"/>
    </row>
    <row r="860" spans="1:24">
      <c r="A860" s="7">
        <f t="shared" si="39"/>
        <v>855</v>
      </c>
      <c r="B860" s="26"/>
      <c r="C860" s="8"/>
      <c r="D860" s="7"/>
      <c r="E860" s="7"/>
      <c r="F860" s="7"/>
      <c r="G860" s="7"/>
      <c r="H860" s="7"/>
      <c r="I860" s="7"/>
      <c r="J860" s="7"/>
      <c r="K860" s="38" t="str">
        <f t="shared" si="40"/>
        <v/>
      </c>
      <c r="L860" s="37" t="str">
        <f t="shared" ca="1" si="41"/>
        <v/>
      </c>
      <c r="M860" s="7"/>
      <c r="P860" s="67"/>
      <c r="X860" s="70"/>
    </row>
    <row r="861" spans="1:24">
      <c r="A861" s="7">
        <f t="shared" si="39"/>
        <v>856</v>
      </c>
      <c r="B861" s="26"/>
      <c r="C861" s="8"/>
      <c r="D861" s="7"/>
      <c r="E861" s="7"/>
      <c r="F861" s="7"/>
      <c r="G861" s="7"/>
      <c r="H861" s="7"/>
      <c r="I861" s="7"/>
      <c r="J861" s="7"/>
      <c r="K861" s="38" t="str">
        <f t="shared" si="40"/>
        <v/>
      </c>
      <c r="L861" s="37" t="str">
        <f t="shared" ca="1" si="41"/>
        <v/>
      </c>
      <c r="M861" s="7"/>
      <c r="P861" s="67"/>
      <c r="X861" s="70"/>
    </row>
    <row r="862" spans="1:24">
      <c r="A862" s="7">
        <f t="shared" si="39"/>
        <v>857</v>
      </c>
      <c r="B862" s="26"/>
      <c r="C862" s="8"/>
      <c r="D862" s="7"/>
      <c r="E862" s="7"/>
      <c r="F862" s="7"/>
      <c r="G862" s="7"/>
      <c r="H862" s="7"/>
      <c r="I862" s="7"/>
      <c r="J862" s="7"/>
      <c r="K862" s="38" t="str">
        <f t="shared" si="40"/>
        <v/>
      </c>
      <c r="L862" s="37" t="str">
        <f t="shared" ca="1" si="41"/>
        <v/>
      </c>
      <c r="M862" s="7"/>
      <c r="P862" s="67"/>
      <c r="X862" s="70"/>
    </row>
    <row r="863" spans="1:24">
      <c r="A863" s="7">
        <f t="shared" si="39"/>
        <v>858</v>
      </c>
      <c r="B863" s="26"/>
      <c r="C863" s="8"/>
      <c r="D863" s="7"/>
      <c r="E863" s="7"/>
      <c r="F863" s="7"/>
      <c r="G863" s="7"/>
      <c r="H863" s="7"/>
      <c r="I863" s="7"/>
      <c r="J863" s="7"/>
      <c r="K863" s="38" t="str">
        <f t="shared" si="40"/>
        <v/>
      </c>
      <c r="L863" s="37" t="str">
        <f t="shared" ca="1" si="41"/>
        <v/>
      </c>
      <c r="M863" s="7"/>
      <c r="P863" s="67"/>
      <c r="X863" s="70"/>
    </row>
    <row r="864" spans="1:24">
      <c r="A864" s="7">
        <f t="shared" si="39"/>
        <v>859</v>
      </c>
      <c r="B864" s="26"/>
      <c r="C864" s="8"/>
      <c r="D864" s="7"/>
      <c r="E864" s="7"/>
      <c r="F864" s="7"/>
      <c r="G864" s="7"/>
      <c r="H864" s="7"/>
      <c r="I864" s="7"/>
      <c r="J864" s="7"/>
      <c r="K864" s="38" t="str">
        <f t="shared" si="40"/>
        <v/>
      </c>
      <c r="L864" s="37" t="str">
        <f t="shared" ca="1" si="41"/>
        <v/>
      </c>
      <c r="M864" s="7"/>
      <c r="P864" s="67"/>
      <c r="X864" s="70"/>
    </row>
    <row r="865" spans="1:24">
      <c r="A865" s="7">
        <f t="shared" si="39"/>
        <v>860</v>
      </c>
      <c r="B865" s="26"/>
      <c r="C865" s="8"/>
      <c r="D865" s="7"/>
      <c r="E865" s="7"/>
      <c r="F865" s="7"/>
      <c r="G865" s="7"/>
      <c r="H865" s="7"/>
      <c r="I865" s="7"/>
      <c r="J865" s="7"/>
      <c r="K865" s="38" t="str">
        <f t="shared" si="40"/>
        <v/>
      </c>
      <c r="L865" s="37" t="str">
        <f t="shared" ca="1" si="41"/>
        <v/>
      </c>
      <c r="M865" s="7"/>
      <c r="P865" s="67"/>
      <c r="X865" s="70"/>
    </row>
    <row r="866" spans="1:24">
      <c r="A866" s="7">
        <f t="shared" si="39"/>
        <v>861</v>
      </c>
      <c r="B866" s="26"/>
      <c r="C866" s="8"/>
      <c r="D866" s="7"/>
      <c r="E866" s="7"/>
      <c r="F866" s="7"/>
      <c r="G866" s="7"/>
      <c r="H866" s="7"/>
      <c r="I866" s="7"/>
      <c r="J866" s="7"/>
      <c r="K866" s="38" t="str">
        <f t="shared" si="40"/>
        <v/>
      </c>
      <c r="L866" s="37" t="str">
        <f t="shared" ca="1" si="41"/>
        <v/>
      </c>
      <c r="M866" s="7"/>
      <c r="P866" s="67"/>
      <c r="X866" s="70"/>
    </row>
    <row r="867" spans="1:24">
      <c r="A867" s="7">
        <f t="shared" si="39"/>
        <v>862</v>
      </c>
      <c r="B867" s="26"/>
      <c r="C867" s="8"/>
      <c r="D867" s="7"/>
      <c r="E867" s="7"/>
      <c r="F867" s="7"/>
      <c r="G867" s="7"/>
      <c r="H867" s="7"/>
      <c r="I867" s="7"/>
      <c r="J867" s="7"/>
      <c r="K867" s="38" t="str">
        <f t="shared" si="40"/>
        <v/>
      </c>
      <c r="L867" s="37" t="str">
        <f t="shared" ca="1" si="41"/>
        <v/>
      </c>
      <c r="M867" s="7"/>
      <c r="P867" s="67"/>
      <c r="X867" s="70"/>
    </row>
    <row r="868" spans="1:24">
      <c r="A868" s="7">
        <f t="shared" si="39"/>
        <v>863</v>
      </c>
      <c r="B868" s="26"/>
      <c r="C868" s="8"/>
      <c r="D868" s="7"/>
      <c r="E868" s="7"/>
      <c r="F868" s="7"/>
      <c r="G868" s="7"/>
      <c r="H868" s="7"/>
      <c r="I868" s="7"/>
      <c r="J868" s="7"/>
      <c r="K868" s="38" t="str">
        <f t="shared" si="40"/>
        <v/>
      </c>
      <c r="L868" s="37" t="str">
        <f t="shared" ca="1" si="41"/>
        <v/>
      </c>
      <c r="M868" s="7"/>
      <c r="P868" s="67"/>
      <c r="X868" s="70"/>
    </row>
    <row r="869" spans="1:24">
      <c r="A869" s="7">
        <f t="shared" si="39"/>
        <v>864</v>
      </c>
      <c r="B869" s="26"/>
      <c r="C869" s="8"/>
      <c r="D869" s="7"/>
      <c r="E869" s="7"/>
      <c r="F869" s="7"/>
      <c r="G869" s="7"/>
      <c r="H869" s="7"/>
      <c r="I869" s="7"/>
      <c r="J869" s="7"/>
      <c r="K869" s="38" t="str">
        <f t="shared" si="40"/>
        <v/>
      </c>
      <c r="L869" s="37" t="str">
        <f t="shared" ca="1" si="41"/>
        <v/>
      </c>
      <c r="M869" s="7"/>
      <c r="P869" s="67"/>
      <c r="X869" s="70"/>
    </row>
    <row r="870" spans="1:24">
      <c r="A870" s="7">
        <f t="shared" si="39"/>
        <v>865</v>
      </c>
      <c r="B870" s="26"/>
      <c r="C870" s="8"/>
      <c r="D870" s="7"/>
      <c r="E870" s="7"/>
      <c r="F870" s="7"/>
      <c r="G870" s="7"/>
      <c r="H870" s="7"/>
      <c r="I870" s="7"/>
      <c r="J870" s="7"/>
      <c r="K870" s="38" t="str">
        <f t="shared" si="40"/>
        <v/>
      </c>
      <c r="L870" s="37" t="str">
        <f t="shared" ca="1" si="41"/>
        <v/>
      </c>
      <c r="M870" s="7"/>
      <c r="P870" s="67"/>
      <c r="X870" s="70"/>
    </row>
    <row r="871" spans="1:24">
      <c r="A871" s="7">
        <f t="shared" si="39"/>
        <v>866</v>
      </c>
      <c r="B871" s="26"/>
      <c r="C871" s="8"/>
      <c r="D871" s="7"/>
      <c r="E871" s="7"/>
      <c r="F871" s="7"/>
      <c r="G871" s="7"/>
      <c r="H871" s="7"/>
      <c r="I871" s="7"/>
      <c r="J871" s="7"/>
      <c r="K871" s="38" t="str">
        <f t="shared" si="40"/>
        <v/>
      </c>
      <c r="L871" s="37" t="str">
        <f t="shared" ca="1" si="41"/>
        <v/>
      </c>
      <c r="M871" s="7"/>
      <c r="P871" s="67"/>
      <c r="X871" s="70"/>
    </row>
    <row r="872" spans="1:24">
      <c r="A872" s="7">
        <f t="shared" si="39"/>
        <v>867</v>
      </c>
      <c r="B872" s="26"/>
      <c r="C872" s="8"/>
      <c r="D872" s="7"/>
      <c r="E872" s="7"/>
      <c r="F872" s="7"/>
      <c r="G872" s="7"/>
      <c r="H872" s="7"/>
      <c r="I872" s="7"/>
      <c r="J872" s="7"/>
      <c r="K872" s="38" t="str">
        <f t="shared" si="40"/>
        <v/>
      </c>
      <c r="L872" s="37" t="str">
        <f t="shared" ca="1" si="41"/>
        <v/>
      </c>
      <c r="M872" s="7"/>
      <c r="P872" s="67"/>
      <c r="X872" s="70"/>
    </row>
    <row r="873" spans="1:24">
      <c r="A873" s="7">
        <f t="shared" si="39"/>
        <v>868</v>
      </c>
      <c r="B873" s="26"/>
      <c r="C873" s="8"/>
      <c r="D873" s="7"/>
      <c r="E873" s="7"/>
      <c r="F873" s="7"/>
      <c r="G873" s="7"/>
      <c r="H873" s="7"/>
      <c r="I873" s="7"/>
      <c r="J873" s="7"/>
      <c r="K873" s="38" t="str">
        <f t="shared" si="40"/>
        <v/>
      </c>
      <c r="L873" s="37" t="str">
        <f t="shared" ca="1" si="41"/>
        <v/>
      </c>
      <c r="M873" s="7"/>
      <c r="P873" s="67"/>
      <c r="X873" s="70"/>
    </row>
    <row r="874" spans="1:24">
      <c r="A874" s="7">
        <f t="shared" si="39"/>
        <v>869</v>
      </c>
      <c r="B874" s="26"/>
      <c r="C874" s="8"/>
      <c r="D874" s="7"/>
      <c r="E874" s="7"/>
      <c r="F874" s="7"/>
      <c r="G874" s="7"/>
      <c r="H874" s="7"/>
      <c r="I874" s="7"/>
      <c r="J874" s="7"/>
      <c r="K874" s="38" t="str">
        <f t="shared" si="40"/>
        <v/>
      </c>
      <c r="L874" s="37" t="str">
        <f t="shared" ca="1" si="41"/>
        <v/>
      </c>
      <c r="M874" s="7"/>
      <c r="P874" s="67"/>
      <c r="X874" s="70"/>
    </row>
    <row r="875" spans="1:24">
      <c r="A875" s="7">
        <f t="shared" si="39"/>
        <v>870</v>
      </c>
      <c r="B875" s="26"/>
      <c r="C875" s="8"/>
      <c r="D875" s="7"/>
      <c r="E875" s="7"/>
      <c r="F875" s="7"/>
      <c r="G875" s="7"/>
      <c r="H875" s="7"/>
      <c r="I875" s="7"/>
      <c r="J875" s="7"/>
      <c r="K875" s="38" t="str">
        <f t="shared" si="40"/>
        <v/>
      </c>
      <c r="L875" s="37" t="str">
        <f t="shared" ca="1" si="41"/>
        <v/>
      </c>
      <c r="M875" s="7"/>
      <c r="P875" s="67"/>
      <c r="X875" s="70"/>
    </row>
    <row r="876" spans="1:24">
      <c r="A876" s="7">
        <f t="shared" si="39"/>
        <v>871</v>
      </c>
      <c r="B876" s="26"/>
      <c r="C876" s="8"/>
      <c r="D876" s="7"/>
      <c r="E876" s="7"/>
      <c r="F876" s="7"/>
      <c r="G876" s="7"/>
      <c r="H876" s="7"/>
      <c r="I876" s="7"/>
      <c r="J876" s="7"/>
      <c r="K876" s="38" t="str">
        <f t="shared" si="40"/>
        <v/>
      </c>
      <c r="L876" s="37" t="str">
        <f t="shared" ca="1" si="41"/>
        <v/>
      </c>
      <c r="M876" s="7"/>
      <c r="P876" s="67"/>
      <c r="X876" s="70"/>
    </row>
    <row r="877" spans="1:24">
      <c r="A877" s="7">
        <f t="shared" si="39"/>
        <v>872</v>
      </c>
      <c r="B877" s="26"/>
      <c r="C877" s="8"/>
      <c r="D877" s="7"/>
      <c r="E877" s="7"/>
      <c r="F877" s="7"/>
      <c r="G877" s="7"/>
      <c r="H877" s="7"/>
      <c r="I877" s="7"/>
      <c r="J877" s="7"/>
      <c r="K877" s="38" t="str">
        <f t="shared" si="40"/>
        <v/>
      </c>
      <c r="L877" s="37" t="str">
        <f t="shared" ca="1" si="41"/>
        <v/>
      </c>
      <c r="M877" s="7"/>
      <c r="P877" s="67"/>
      <c r="X877" s="70"/>
    </row>
    <row r="878" spans="1:24">
      <c r="A878" s="7">
        <f t="shared" si="39"/>
        <v>873</v>
      </c>
      <c r="B878" s="26"/>
      <c r="C878" s="8"/>
      <c r="D878" s="7"/>
      <c r="E878" s="7"/>
      <c r="F878" s="7"/>
      <c r="G878" s="7"/>
      <c r="H878" s="7"/>
      <c r="I878" s="7"/>
      <c r="J878" s="7"/>
      <c r="K878" s="38" t="str">
        <f t="shared" si="40"/>
        <v/>
      </c>
      <c r="L878" s="37" t="str">
        <f t="shared" ca="1" si="41"/>
        <v/>
      </c>
      <c r="M878" s="7"/>
      <c r="P878" s="67"/>
      <c r="X878" s="70"/>
    </row>
    <row r="879" spans="1:24">
      <c r="A879" s="7">
        <f t="shared" si="39"/>
        <v>874</v>
      </c>
      <c r="B879" s="26"/>
      <c r="C879" s="8"/>
      <c r="D879" s="7"/>
      <c r="E879" s="7"/>
      <c r="F879" s="7"/>
      <c r="G879" s="7"/>
      <c r="H879" s="7"/>
      <c r="I879" s="7"/>
      <c r="J879" s="7"/>
      <c r="K879" s="38" t="str">
        <f t="shared" si="40"/>
        <v/>
      </c>
      <c r="L879" s="37" t="str">
        <f t="shared" ca="1" si="41"/>
        <v/>
      </c>
      <c r="M879" s="7"/>
      <c r="P879" s="67"/>
      <c r="X879" s="70"/>
    </row>
    <row r="880" spans="1:24">
      <c r="A880" s="7">
        <f t="shared" si="39"/>
        <v>875</v>
      </c>
      <c r="B880" s="26"/>
      <c r="C880" s="8"/>
      <c r="D880" s="7"/>
      <c r="E880" s="7"/>
      <c r="F880" s="7"/>
      <c r="G880" s="7"/>
      <c r="H880" s="7"/>
      <c r="I880" s="7"/>
      <c r="J880" s="7"/>
      <c r="K880" s="38" t="str">
        <f t="shared" si="40"/>
        <v/>
      </c>
      <c r="L880" s="37" t="str">
        <f t="shared" ca="1" si="41"/>
        <v/>
      </c>
      <c r="M880" s="7"/>
      <c r="P880" s="67"/>
      <c r="X880" s="70"/>
    </row>
    <row r="881" spans="1:24">
      <c r="A881" s="7">
        <f t="shared" si="39"/>
        <v>876</v>
      </c>
      <c r="B881" s="26"/>
      <c r="C881" s="8"/>
      <c r="D881" s="7"/>
      <c r="E881" s="7"/>
      <c r="F881" s="7"/>
      <c r="G881" s="7"/>
      <c r="H881" s="7"/>
      <c r="I881" s="7"/>
      <c r="J881" s="7"/>
      <c r="K881" s="38" t="str">
        <f t="shared" si="40"/>
        <v/>
      </c>
      <c r="L881" s="37" t="str">
        <f t="shared" ca="1" si="41"/>
        <v/>
      </c>
      <c r="M881" s="7"/>
      <c r="P881" s="67"/>
      <c r="X881" s="70"/>
    </row>
    <row r="882" spans="1:24">
      <c r="A882" s="7">
        <f t="shared" si="39"/>
        <v>877</v>
      </c>
      <c r="B882" s="26"/>
      <c r="C882" s="8"/>
      <c r="D882" s="7"/>
      <c r="E882" s="7"/>
      <c r="F882" s="7"/>
      <c r="G882" s="7"/>
      <c r="H882" s="7"/>
      <c r="I882" s="7"/>
      <c r="J882" s="7"/>
      <c r="K882" s="38" t="str">
        <f t="shared" si="40"/>
        <v/>
      </c>
      <c r="L882" s="37" t="str">
        <f t="shared" ca="1" si="41"/>
        <v/>
      </c>
      <c r="M882" s="7"/>
      <c r="P882" s="67"/>
      <c r="X882" s="70"/>
    </row>
    <row r="883" spans="1:24">
      <c r="A883" s="7">
        <f t="shared" si="39"/>
        <v>878</v>
      </c>
      <c r="B883" s="26"/>
      <c r="C883" s="8"/>
      <c r="D883" s="7"/>
      <c r="E883" s="7"/>
      <c r="F883" s="7"/>
      <c r="G883" s="7"/>
      <c r="H883" s="7"/>
      <c r="I883" s="7"/>
      <c r="J883" s="7"/>
      <c r="K883" s="38" t="str">
        <f t="shared" si="40"/>
        <v/>
      </c>
      <c r="L883" s="37" t="str">
        <f t="shared" ca="1" si="41"/>
        <v/>
      </c>
      <c r="M883" s="7"/>
      <c r="P883" s="67"/>
      <c r="X883" s="70"/>
    </row>
    <row r="884" spans="1:24">
      <c r="A884" s="7">
        <f t="shared" si="39"/>
        <v>879</v>
      </c>
      <c r="B884" s="26"/>
      <c r="C884" s="8"/>
      <c r="D884" s="7"/>
      <c r="E884" s="7"/>
      <c r="F884" s="7"/>
      <c r="G884" s="7"/>
      <c r="H884" s="7"/>
      <c r="I884" s="7"/>
      <c r="J884" s="7"/>
      <c r="K884" s="38" t="str">
        <f t="shared" si="40"/>
        <v/>
      </c>
      <c r="L884" s="37" t="str">
        <f t="shared" ca="1" si="41"/>
        <v/>
      </c>
      <c r="M884" s="7"/>
      <c r="P884" s="67"/>
      <c r="X884" s="70"/>
    </row>
    <row r="885" spans="1:24">
      <c r="A885" s="7">
        <f t="shared" si="39"/>
        <v>880</v>
      </c>
      <c r="B885" s="26"/>
      <c r="C885" s="8"/>
      <c r="D885" s="7"/>
      <c r="E885" s="7"/>
      <c r="F885" s="7"/>
      <c r="G885" s="7"/>
      <c r="H885" s="7"/>
      <c r="I885" s="7"/>
      <c r="J885" s="7"/>
      <c r="K885" s="38" t="str">
        <f t="shared" si="40"/>
        <v/>
      </c>
      <c r="L885" s="37" t="str">
        <f t="shared" ca="1" si="41"/>
        <v/>
      </c>
      <c r="M885" s="7"/>
      <c r="P885" s="67"/>
      <c r="X885" s="70"/>
    </row>
    <row r="886" spans="1:24">
      <c r="A886" s="7">
        <f t="shared" si="39"/>
        <v>881</v>
      </c>
      <c r="B886" s="26"/>
      <c r="C886" s="8"/>
      <c r="D886" s="7"/>
      <c r="E886" s="7"/>
      <c r="F886" s="7"/>
      <c r="G886" s="7"/>
      <c r="H886" s="7"/>
      <c r="I886" s="7"/>
      <c r="J886" s="7"/>
      <c r="K886" s="38" t="str">
        <f t="shared" si="40"/>
        <v/>
      </c>
      <c r="L886" s="37" t="str">
        <f t="shared" ca="1" si="41"/>
        <v/>
      </c>
      <c r="M886" s="7"/>
      <c r="P886" s="67"/>
      <c r="X886" s="70"/>
    </row>
    <row r="887" spans="1:24">
      <c r="A887" s="7">
        <f t="shared" si="39"/>
        <v>882</v>
      </c>
      <c r="B887" s="26"/>
      <c r="C887" s="8"/>
      <c r="D887" s="7"/>
      <c r="E887" s="7"/>
      <c r="F887" s="7"/>
      <c r="G887" s="7"/>
      <c r="H887" s="7"/>
      <c r="I887" s="7"/>
      <c r="J887" s="7"/>
      <c r="K887" s="38" t="str">
        <f t="shared" si="40"/>
        <v/>
      </c>
      <c r="L887" s="37" t="str">
        <f t="shared" ca="1" si="41"/>
        <v/>
      </c>
      <c r="M887" s="7"/>
      <c r="P887" s="67"/>
      <c r="X887" s="70"/>
    </row>
    <row r="888" spans="1:24">
      <c r="A888" s="7">
        <f t="shared" si="39"/>
        <v>883</v>
      </c>
      <c r="B888" s="26"/>
      <c r="C888" s="8"/>
      <c r="D888" s="7"/>
      <c r="E888" s="7"/>
      <c r="F888" s="7"/>
      <c r="G888" s="7"/>
      <c r="H888" s="7"/>
      <c r="I888" s="7"/>
      <c r="J888" s="7"/>
      <c r="K888" s="38" t="str">
        <f t="shared" si="40"/>
        <v/>
      </c>
      <c r="L888" s="37" t="str">
        <f t="shared" ca="1" si="41"/>
        <v/>
      </c>
      <c r="M888" s="7"/>
      <c r="P888" s="67"/>
      <c r="X888" s="70"/>
    </row>
    <row r="889" spans="1:24">
      <c r="A889" s="7">
        <f t="shared" si="39"/>
        <v>884</v>
      </c>
      <c r="B889" s="26"/>
      <c r="C889" s="8"/>
      <c r="D889" s="7"/>
      <c r="E889" s="7"/>
      <c r="F889" s="7"/>
      <c r="G889" s="7"/>
      <c r="H889" s="7"/>
      <c r="I889" s="7"/>
      <c r="J889" s="7"/>
      <c r="K889" s="38" t="str">
        <f t="shared" si="40"/>
        <v/>
      </c>
      <c r="L889" s="37" t="str">
        <f t="shared" ca="1" si="41"/>
        <v/>
      </c>
      <c r="M889" s="7"/>
      <c r="P889" s="67"/>
      <c r="X889" s="70"/>
    </row>
    <row r="890" spans="1:24">
      <c r="A890" s="7">
        <f t="shared" si="39"/>
        <v>885</v>
      </c>
      <c r="B890" s="26"/>
      <c r="C890" s="8"/>
      <c r="D890" s="7"/>
      <c r="E890" s="7"/>
      <c r="F890" s="7"/>
      <c r="G890" s="7"/>
      <c r="H890" s="7"/>
      <c r="I890" s="7"/>
      <c r="J890" s="7"/>
      <c r="K890" s="38" t="str">
        <f t="shared" si="40"/>
        <v/>
      </c>
      <c r="L890" s="37" t="str">
        <f t="shared" ca="1" si="41"/>
        <v/>
      </c>
      <c r="M890" s="7"/>
      <c r="P890" s="67"/>
      <c r="X890" s="70"/>
    </row>
    <row r="891" spans="1:24">
      <c r="A891" s="7">
        <f t="shared" si="39"/>
        <v>886</v>
      </c>
      <c r="B891" s="26"/>
      <c r="C891" s="8"/>
      <c r="D891" s="7"/>
      <c r="E891" s="7"/>
      <c r="F891" s="7"/>
      <c r="G891" s="7"/>
      <c r="H891" s="7"/>
      <c r="I891" s="7"/>
      <c r="J891" s="7"/>
      <c r="K891" s="38" t="str">
        <f t="shared" si="40"/>
        <v/>
      </c>
      <c r="L891" s="37" t="str">
        <f t="shared" ca="1" si="41"/>
        <v/>
      </c>
      <c r="M891" s="7"/>
      <c r="P891" s="67"/>
      <c r="X891" s="70"/>
    </row>
    <row r="892" spans="1:24">
      <c r="A892" s="7">
        <f t="shared" si="39"/>
        <v>887</v>
      </c>
      <c r="B892" s="26"/>
      <c r="C892" s="8"/>
      <c r="D892" s="7"/>
      <c r="E892" s="7"/>
      <c r="F892" s="7"/>
      <c r="G892" s="7"/>
      <c r="H892" s="7"/>
      <c r="I892" s="7"/>
      <c r="J892" s="7"/>
      <c r="K892" s="38" t="str">
        <f t="shared" si="40"/>
        <v/>
      </c>
      <c r="L892" s="37" t="str">
        <f t="shared" ca="1" si="41"/>
        <v/>
      </c>
      <c r="M892" s="7"/>
      <c r="P892" s="67"/>
      <c r="X892" s="70"/>
    </row>
    <row r="893" spans="1:24">
      <c r="A893" s="7">
        <f t="shared" si="39"/>
        <v>888</v>
      </c>
      <c r="B893" s="26"/>
      <c r="C893" s="8"/>
      <c r="D893" s="7"/>
      <c r="E893" s="7"/>
      <c r="F893" s="7"/>
      <c r="G893" s="7"/>
      <c r="H893" s="7"/>
      <c r="I893" s="7"/>
      <c r="J893" s="7"/>
      <c r="K893" s="38" t="str">
        <f t="shared" si="40"/>
        <v/>
      </c>
      <c r="L893" s="37" t="str">
        <f t="shared" ca="1" si="41"/>
        <v/>
      </c>
      <c r="M893" s="7"/>
      <c r="P893" s="67"/>
      <c r="X893" s="70"/>
    </row>
    <row r="894" spans="1:24">
      <c r="A894" s="7">
        <f t="shared" si="39"/>
        <v>889</v>
      </c>
      <c r="B894" s="26"/>
      <c r="C894" s="8"/>
      <c r="D894" s="7"/>
      <c r="E894" s="7"/>
      <c r="F894" s="7"/>
      <c r="G894" s="7"/>
      <c r="H894" s="7"/>
      <c r="I894" s="7"/>
      <c r="J894" s="7"/>
      <c r="K894" s="38" t="str">
        <f t="shared" si="40"/>
        <v/>
      </c>
      <c r="L894" s="37" t="str">
        <f t="shared" ca="1" si="41"/>
        <v/>
      </c>
      <c r="M894" s="7"/>
      <c r="P894" s="67"/>
      <c r="X894" s="70"/>
    </row>
    <row r="895" spans="1:24">
      <c r="A895" s="7">
        <f t="shared" si="39"/>
        <v>890</v>
      </c>
      <c r="B895" s="26"/>
      <c r="C895" s="8"/>
      <c r="D895" s="7"/>
      <c r="E895" s="7"/>
      <c r="F895" s="7"/>
      <c r="G895" s="7"/>
      <c r="H895" s="7"/>
      <c r="I895" s="7"/>
      <c r="J895" s="7"/>
      <c r="K895" s="38" t="str">
        <f t="shared" si="40"/>
        <v/>
      </c>
      <c r="L895" s="37" t="str">
        <f t="shared" ca="1" si="41"/>
        <v/>
      </c>
      <c r="M895" s="7"/>
      <c r="P895" s="67"/>
      <c r="X895" s="70"/>
    </row>
    <row r="896" spans="1:24">
      <c r="A896" s="7">
        <f t="shared" si="39"/>
        <v>891</v>
      </c>
      <c r="B896" s="26"/>
      <c r="C896" s="8"/>
      <c r="D896" s="7"/>
      <c r="E896" s="7"/>
      <c r="F896" s="7"/>
      <c r="G896" s="7"/>
      <c r="H896" s="7"/>
      <c r="I896" s="7"/>
      <c r="J896" s="7"/>
      <c r="K896" s="38" t="str">
        <f t="shared" si="40"/>
        <v/>
      </c>
      <c r="L896" s="37" t="str">
        <f t="shared" ca="1" si="41"/>
        <v/>
      </c>
      <c r="M896" s="7"/>
      <c r="P896" s="67"/>
      <c r="X896" s="70"/>
    </row>
    <row r="897" spans="1:24">
      <c r="A897" s="7">
        <f t="shared" si="39"/>
        <v>892</v>
      </c>
      <c r="B897" s="26"/>
      <c r="C897" s="8"/>
      <c r="D897" s="7"/>
      <c r="E897" s="7"/>
      <c r="F897" s="7"/>
      <c r="G897" s="7"/>
      <c r="H897" s="7"/>
      <c r="I897" s="7"/>
      <c r="J897" s="7"/>
      <c r="K897" s="38" t="str">
        <f t="shared" si="40"/>
        <v/>
      </c>
      <c r="L897" s="37" t="str">
        <f t="shared" ca="1" si="41"/>
        <v/>
      </c>
      <c r="M897" s="7"/>
      <c r="P897" s="67"/>
      <c r="X897" s="70"/>
    </row>
    <row r="898" spans="1:24">
      <c r="A898" s="7">
        <f t="shared" si="39"/>
        <v>893</v>
      </c>
      <c r="B898" s="26"/>
      <c r="C898" s="8"/>
      <c r="D898" s="7"/>
      <c r="E898" s="7"/>
      <c r="F898" s="7"/>
      <c r="G898" s="7"/>
      <c r="H898" s="7"/>
      <c r="I898" s="7"/>
      <c r="J898" s="7"/>
      <c r="K898" s="38" t="str">
        <f t="shared" si="40"/>
        <v/>
      </c>
      <c r="L898" s="37" t="str">
        <f t="shared" ca="1" si="41"/>
        <v/>
      </c>
      <c r="M898" s="7"/>
      <c r="P898" s="67"/>
      <c r="X898" s="70"/>
    </row>
    <row r="899" spans="1:24">
      <c r="A899" s="7">
        <f t="shared" si="39"/>
        <v>894</v>
      </c>
      <c r="B899" s="26"/>
      <c r="C899" s="8"/>
      <c r="D899" s="7"/>
      <c r="E899" s="7"/>
      <c r="F899" s="7"/>
      <c r="G899" s="7"/>
      <c r="H899" s="7"/>
      <c r="I899" s="7"/>
      <c r="J899" s="7"/>
      <c r="K899" s="38" t="str">
        <f t="shared" si="40"/>
        <v/>
      </c>
      <c r="L899" s="37" t="str">
        <f t="shared" ca="1" si="41"/>
        <v/>
      </c>
      <c r="M899" s="7"/>
      <c r="P899" s="67"/>
      <c r="X899" s="70"/>
    </row>
    <row r="900" spans="1:24">
      <c r="A900" s="7">
        <f t="shared" si="39"/>
        <v>895</v>
      </c>
      <c r="B900" s="26"/>
      <c r="C900" s="8"/>
      <c r="D900" s="7"/>
      <c r="E900" s="7"/>
      <c r="F900" s="7"/>
      <c r="G900" s="7"/>
      <c r="H900" s="7"/>
      <c r="I900" s="7"/>
      <c r="J900" s="7"/>
      <c r="K900" s="38" t="str">
        <f t="shared" si="40"/>
        <v/>
      </c>
      <c r="L900" s="37" t="str">
        <f t="shared" ca="1" si="41"/>
        <v/>
      </c>
      <c r="M900" s="7"/>
      <c r="P900" s="67"/>
      <c r="X900" s="70"/>
    </row>
    <row r="901" spans="1:24">
      <c r="A901" s="7">
        <f t="shared" si="39"/>
        <v>896</v>
      </c>
      <c r="B901" s="26"/>
      <c r="C901" s="8"/>
      <c r="D901" s="7"/>
      <c r="E901" s="7"/>
      <c r="F901" s="7"/>
      <c r="G901" s="7"/>
      <c r="H901" s="7"/>
      <c r="I901" s="7"/>
      <c r="J901" s="7"/>
      <c r="K901" s="38" t="str">
        <f t="shared" si="40"/>
        <v/>
      </c>
      <c r="L901" s="37" t="str">
        <f t="shared" ca="1" si="41"/>
        <v/>
      </c>
      <c r="M901" s="7"/>
      <c r="P901" s="67"/>
      <c r="X901" s="70"/>
    </row>
    <row r="902" spans="1:24">
      <c r="A902" s="7">
        <f t="shared" si="39"/>
        <v>897</v>
      </c>
      <c r="B902" s="26"/>
      <c r="C902" s="8"/>
      <c r="D902" s="7"/>
      <c r="E902" s="7"/>
      <c r="F902" s="7"/>
      <c r="G902" s="7"/>
      <c r="H902" s="7"/>
      <c r="I902" s="7"/>
      <c r="J902" s="7"/>
      <c r="K902" s="38" t="str">
        <f t="shared" si="40"/>
        <v/>
      </c>
      <c r="L902" s="37" t="str">
        <f t="shared" ca="1" si="41"/>
        <v/>
      </c>
      <c r="M902" s="7"/>
      <c r="P902" s="67"/>
      <c r="X902" s="70"/>
    </row>
    <row r="903" spans="1:24">
      <c r="A903" s="7">
        <f t="shared" ref="A903:A927" si="42">ROW(A898)</f>
        <v>898</v>
      </c>
      <c r="B903" s="26"/>
      <c r="C903" s="8"/>
      <c r="D903" s="7"/>
      <c r="E903" s="7"/>
      <c r="F903" s="7"/>
      <c r="G903" s="7"/>
      <c r="H903" s="7"/>
      <c r="I903" s="7"/>
      <c r="J903" s="7"/>
      <c r="K903" s="38" t="str">
        <f t="shared" ref="K903:K927" si="43">IF(C903&gt;0,C903+J903-1,"")</f>
        <v/>
      </c>
      <c r="L903" s="37" t="str">
        <f t="shared" ref="L903:L927" ca="1" si="44">IF(K903="","",IF(TODAY()&gt;K903,"YES","No"))</f>
        <v/>
      </c>
      <c r="M903" s="7"/>
      <c r="P903" s="67"/>
      <c r="X903" s="70"/>
    </row>
    <row r="904" spans="1:24">
      <c r="A904" s="7">
        <f t="shared" si="42"/>
        <v>899</v>
      </c>
      <c r="B904" s="26"/>
      <c r="C904" s="8"/>
      <c r="D904" s="7"/>
      <c r="E904" s="7"/>
      <c r="F904" s="7"/>
      <c r="G904" s="7"/>
      <c r="H904" s="7"/>
      <c r="I904" s="7"/>
      <c r="J904" s="7"/>
      <c r="K904" s="38" t="str">
        <f t="shared" si="43"/>
        <v/>
      </c>
      <c r="L904" s="37" t="str">
        <f t="shared" ca="1" si="44"/>
        <v/>
      </c>
      <c r="M904" s="7"/>
      <c r="P904" s="67"/>
      <c r="X904" s="70"/>
    </row>
    <row r="905" spans="1:24">
      <c r="A905" s="7">
        <f t="shared" si="42"/>
        <v>900</v>
      </c>
      <c r="B905" s="26"/>
      <c r="C905" s="8"/>
      <c r="D905" s="7"/>
      <c r="E905" s="7"/>
      <c r="F905" s="7"/>
      <c r="G905" s="7"/>
      <c r="H905" s="7"/>
      <c r="I905" s="7"/>
      <c r="J905" s="7"/>
      <c r="K905" s="38" t="str">
        <f t="shared" si="43"/>
        <v/>
      </c>
      <c r="L905" s="37" t="str">
        <f t="shared" ca="1" si="44"/>
        <v/>
      </c>
      <c r="M905" s="7"/>
      <c r="P905" s="67"/>
      <c r="X905" s="70"/>
    </row>
    <row r="906" spans="1:24">
      <c r="A906" s="7">
        <f t="shared" si="42"/>
        <v>901</v>
      </c>
      <c r="B906" s="26"/>
      <c r="C906" s="8"/>
      <c r="D906" s="7"/>
      <c r="E906" s="7"/>
      <c r="F906" s="7"/>
      <c r="G906" s="7"/>
      <c r="H906" s="7"/>
      <c r="I906" s="7"/>
      <c r="J906" s="7"/>
      <c r="K906" s="38" t="str">
        <f t="shared" si="43"/>
        <v/>
      </c>
      <c r="L906" s="37" t="str">
        <f t="shared" ca="1" si="44"/>
        <v/>
      </c>
      <c r="M906" s="7"/>
      <c r="P906" s="67"/>
      <c r="X906" s="70"/>
    </row>
    <row r="907" spans="1:24">
      <c r="A907" s="7">
        <f t="shared" si="42"/>
        <v>902</v>
      </c>
      <c r="B907" s="26"/>
      <c r="C907" s="8"/>
      <c r="D907" s="7"/>
      <c r="E907" s="7"/>
      <c r="F907" s="7"/>
      <c r="G907" s="7"/>
      <c r="H907" s="7"/>
      <c r="I907" s="7"/>
      <c r="J907" s="7"/>
      <c r="K907" s="38" t="str">
        <f t="shared" si="43"/>
        <v/>
      </c>
      <c r="L907" s="37" t="str">
        <f t="shared" ca="1" si="44"/>
        <v/>
      </c>
      <c r="M907" s="7"/>
      <c r="P907" s="67"/>
      <c r="X907" s="70"/>
    </row>
    <row r="908" spans="1:24">
      <c r="A908" s="7">
        <f t="shared" si="42"/>
        <v>903</v>
      </c>
      <c r="B908" s="26"/>
      <c r="C908" s="8"/>
      <c r="D908" s="7"/>
      <c r="E908" s="7"/>
      <c r="F908" s="7"/>
      <c r="G908" s="7"/>
      <c r="H908" s="7"/>
      <c r="I908" s="7"/>
      <c r="J908" s="7"/>
      <c r="K908" s="38" t="str">
        <f t="shared" si="43"/>
        <v/>
      </c>
      <c r="L908" s="37" t="str">
        <f t="shared" ca="1" si="44"/>
        <v/>
      </c>
      <c r="M908" s="7"/>
      <c r="P908" s="67"/>
      <c r="X908" s="70"/>
    </row>
    <row r="909" spans="1:24">
      <c r="A909" s="7">
        <f t="shared" si="42"/>
        <v>904</v>
      </c>
      <c r="B909" s="26"/>
      <c r="C909" s="8"/>
      <c r="D909" s="7"/>
      <c r="E909" s="7"/>
      <c r="F909" s="7"/>
      <c r="G909" s="7"/>
      <c r="H909" s="7"/>
      <c r="I909" s="7"/>
      <c r="J909" s="7"/>
      <c r="K909" s="38" t="str">
        <f t="shared" si="43"/>
        <v/>
      </c>
      <c r="L909" s="37" t="str">
        <f t="shared" ca="1" si="44"/>
        <v/>
      </c>
      <c r="M909" s="7"/>
      <c r="P909" s="67"/>
      <c r="X909" s="70"/>
    </row>
    <row r="910" spans="1:24">
      <c r="A910" s="7">
        <f t="shared" si="42"/>
        <v>905</v>
      </c>
      <c r="B910" s="26"/>
      <c r="C910" s="8"/>
      <c r="D910" s="7"/>
      <c r="E910" s="7"/>
      <c r="F910" s="7"/>
      <c r="G910" s="7"/>
      <c r="H910" s="7"/>
      <c r="I910" s="7"/>
      <c r="J910" s="7"/>
      <c r="K910" s="38" t="str">
        <f t="shared" si="43"/>
        <v/>
      </c>
      <c r="L910" s="37" t="str">
        <f t="shared" ca="1" si="44"/>
        <v/>
      </c>
      <c r="M910" s="7"/>
      <c r="P910" s="67"/>
      <c r="X910" s="70"/>
    </row>
    <row r="911" spans="1:24">
      <c r="A911" s="7">
        <f t="shared" si="42"/>
        <v>906</v>
      </c>
      <c r="B911" s="26"/>
      <c r="C911" s="8"/>
      <c r="D911" s="7"/>
      <c r="E911" s="7"/>
      <c r="F911" s="7"/>
      <c r="G911" s="7"/>
      <c r="H911" s="7"/>
      <c r="I911" s="7"/>
      <c r="J911" s="7"/>
      <c r="K911" s="38" t="str">
        <f t="shared" si="43"/>
        <v/>
      </c>
      <c r="L911" s="37" t="str">
        <f t="shared" ca="1" si="44"/>
        <v/>
      </c>
      <c r="M911" s="7"/>
      <c r="P911" s="67"/>
      <c r="X911" s="70"/>
    </row>
    <row r="912" spans="1:24">
      <c r="A912" s="7">
        <f t="shared" si="42"/>
        <v>907</v>
      </c>
      <c r="B912" s="26"/>
      <c r="C912" s="8"/>
      <c r="D912" s="7"/>
      <c r="E912" s="7"/>
      <c r="F912" s="7"/>
      <c r="G912" s="7"/>
      <c r="H912" s="7"/>
      <c r="I912" s="7"/>
      <c r="J912" s="7"/>
      <c r="K912" s="38" t="str">
        <f t="shared" si="43"/>
        <v/>
      </c>
      <c r="L912" s="37" t="str">
        <f t="shared" ca="1" si="44"/>
        <v/>
      </c>
      <c r="M912" s="7"/>
      <c r="P912" s="67"/>
      <c r="X912" s="70"/>
    </row>
    <row r="913" spans="1:24">
      <c r="A913" s="7">
        <f t="shared" si="42"/>
        <v>908</v>
      </c>
      <c r="B913" s="26"/>
      <c r="C913" s="8"/>
      <c r="D913" s="7"/>
      <c r="E913" s="7"/>
      <c r="F913" s="7"/>
      <c r="G913" s="7"/>
      <c r="H913" s="7"/>
      <c r="I913" s="7"/>
      <c r="J913" s="7"/>
      <c r="K913" s="38" t="str">
        <f t="shared" si="43"/>
        <v/>
      </c>
      <c r="L913" s="37" t="str">
        <f t="shared" ca="1" si="44"/>
        <v/>
      </c>
      <c r="M913" s="7"/>
      <c r="P913" s="67"/>
      <c r="X913" s="70"/>
    </row>
    <row r="914" spans="1:24">
      <c r="A914" s="7">
        <f t="shared" si="42"/>
        <v>909</v>
      </c>
      <c r="B914" s="26"/>
      <c r="C914" s="8"/>
      <c r="D914" s="7"/>
      <c r="E914" s="7"/>
      <c r="F914" s="7"/>
      <c r="G914" s="7"/>
      <c r="H914" s="7"/>
      <c r="I914" s="7"/>
      <c r="J914" s="7"/>
      <c r="K914" s="38" t="str">
        <f t="shared" si="43"/>
        <v/>
      </c>
      <c r="L914" s="37" t="str">
        <f t="shared" ca="1" si="44"/>
        <v/>
      </c>
      <c r="M914" s="7"/>
      <c r="P914" s="67"/>
      <c r="X914" s="70"/>
    </row>
    <row r="915" spans="1:24">
      <c r="A915" s="7">
        <f t="shared" si="42"/>
        <v>910</v>
      </c>
      <c r="B915" s="26"/>
      <c r="C915" s="8"/>
      <c r="D915" s="7"/>
      <c r="E915" s="7"/>
      <c r="F915" s="7"/>
      <c r="G915" s="7"/>
      <c r="H915" s="7"/>
      <c r="I915" s="7"/>
      <c r="J915" s="7"/>
      <c r="K915" s="38" t="str">
        <f t="shared" si="43"/>
        <v/>
      </c>
      <c r="L915" s="37" t="str">
        <f t="shared" ca="1" si="44"/>
        <v/>
      </c>
      <c r="M915" s="7"/>
      <c r="P915" s="67"/>
      <c r="X915" s="70"/>
    </row>
    <row r="916" spans="1:24">
      <c r="A916" s="7">
        <f t="shared" si="42"/>
        <v>911</v>
      </c>
      <c r="B916" s="26"/>
      <c r="C916" s="8"/>
      <c r="D916" s="7"/>
      <c r="E916" s="7"/>
      <c r="F916" s="7"/>
      <c r="G916" s="7"/>
      <c r="H916" s="7"/>
      <c r="I916" s="7"/>
      <c r="J916" s="7"/>
      <c r="K916" s="38" t="str">
        <f t="shared" si="43"/>
        <v/>
      </c>
      <c r="L916" s="37" t="str">
        <f t="shared" ca="1" si="44"/>
        <v/>
      </c>
      <c r="M916" s="7"/>
      <c r="P916" s="67"/>
      <c r="X916" s="70"/>
    </row>
    <row r="917" spans="1:24">
      <c r="A917" s="7">
        <f t="shared" si="42"/>
        <v>912</v>
      </c>
      <c r="B917" s="26"/>
      <c r="C917" s="8"/>
      <c r="D917" s="7"/>
      <c r="E917" s="7"/>
      <c r="F917" s="7"/>
      <c r="G917" s="7"/>
      <c r="H917" s="7"/>
      <c r="I917" s="7"/>
      <c r="J917" s="7"/>
      <c r="K917" s="38" t="str">
        <f t="shared" si="43"/>
        <v/>
      </c>
      <c r="L917" s="37" t="str">
        <f t="shared" ca="1" si="44"/>
        <v/>
      </c>
      <c r="M917" s="7"/>
      <c r="P917" s="67"/>
      <c r="X917" s="70"/>
    </row>
    <row r="918" spans="1:24">
      <c r="A918" s="7">
        <f t="shared" si="42"/>
        <v>913</v>
      </c>
      <c r="B918" s="26"/>
      <c r="C918" s="8"/>
      <c r="D918" s="7"/>
      <c r="E918" s="7"/>
      <c r="F918" s="7"/>
      <c r="G918" s="7"/>
      <c r="H918" s="7"/>
      <c r="I918" s="7"/>
      <c r="J918" s="7"/>
      <c r="K918" s="38" t="str">
        <f t="shared" si="43"/>
        <v/>
      </c>
      <c r="L918" s="37" t="str">
        <f t="shared" ca="1" si="44"/>
        <v/>
      </c>
      <c r="M918" s="7"/>
      <c r="P918" s="67"/>
      <c r="X918" s="70"/>
    </row>
    <row r="919" spans="1:24">
      <c r="A919" s="7">
        <f t="shared" si="42"/>
        <v>914</v>
      </c>
      <c r="B919" s="26"/>
      <c r="C919" s="8"/>
      <c r="D919" s="7"/>
      <c r="E919" s="7"/>
      <c r="F919" s="7"/>
      <c r="G919" s="7"/>
      <c r="H919" s="7"/>
      <c r="I919" s="7"/>
      <c r="J919" s="7"/>
      <c r="K919" s="38" t="str">
        <f t="shared" si="43"/>
        <v/>
      </c>
      <c r="L919" s="37" t="str">
        <f t="shared" ca="1" si="44"/>
        <v/>
      </c>
      <c r="M919" s="7"/>
      <c r="P919" s="67"/>
      <c r="X919" s="70"/>
    </row>
    <row r="920" spans="1:24">
      <c r="A920" s="7">
        <f t="shared" si="42"/>
        <v>915</v>
      </c>
      <c r="B920" s="26"/>
      <c r="C920" s="8"/>
      <c r="D920" s="7"/>
      <c r="E920" s="7"/>
      <c r="F920" s="7"/>
      <c r="G920" s="7"/>
      <c r="H920" s="7"/>
      <c r="I920" s="7"/>
      <c r="J920" s="7"/>
      <c r="K920" s="38" t="str">
        <f t="shared" si="43"/>
        <v/>
      </c>
      <c r="L920" s="37" t="str">
        <f t="shared" ca="1" si="44"/>
        <v/>
      </c>
      <c r="M920" s="7"/>
      <c r="P920" s="67"/>
      <c r="X920" s="70"/>
    </row>
    <row r="921" spans="1:24">
      <c r="A921" s="7">
        <f t="shared" si="42"/>
        <v>916</v>
      </c>
      <c r="B921" s="26"/>
      <c r="C921" s="8"/>
      <c r="D921" s="7"/>
      <c r="E921" s="7"/>
      <c r="F921" s="7"/>
      <c r="G921" s="7"/>
      <c r="H921" s="7"/>
      <c r="I921" s="7"/>
      <c r="J921" s="7"/>
      <c r="K921" s="38" t="str">
        <f t="shared" si="43"/>
        <v/>
      </c>
      <c r="L921" s="37" t="str">
        <f t="shared" ca="1" si="44"/>
        <v/>
      </c>
      <c r="M921" s="7"/>
      <c r="P921" s="67"/>
      <c r="X921" s="70"/>
    </row>
    <row r="922" spans="1:24">
      <c r="A922" s="7">
        <f t="shared" si="42"/>
        <v>917</v>
      </c>
      <c r="B922" s="26"/>
      <c r="C922" s="8"/>
      <c r="D922" s="7"/>
      <c r="E922" s="7"/>
      <c r="F922" s="7"/>
      <c r="G922" s="7"/>
      <c r="H922" s="7"/>
      <c r="I922" s="7"/>
      <c r="J922" s="7"/>
      <c r="K922" s="38" t="str">
        <f t="shared" si="43"/>
        <v/>
      </c>
      <c r="L922" s="37" t="str">
        <f t="shared" ca="1" si="44"/>
        <v/>
      </c>
      <c r="M922" s="7"/>
      <c r="P922" s="67"/>
      <c r="X922" s="70"/>
    </row>
    <row r="923" spans="1:24">
      <c r="A923" s="7">
        <f t="shared" si="42"/>
        <v>918</v>
      </c>
      <c r="B923" s="26"/>
      <c r="C923" s="8"/>
      <c r="D923" s="7"/>
      <c r="E923" s="7"/>
      <c r="F923" s="7"/>
      <c r="G923" s="7"/>
      <c r="H923" s="7"/>
      <c r="I923" s="7"/>
      <c r="J923" s="7"/>
      <c r="K923" s="38" t="str">
        <f t="shared" si="43"/>
        <v/>
      </c>
      <c r="L923" s="37" t="str">
        <f t="shared" ca="1" si="44"/>
        <v/>
      </c>
      <c r="M923" s="7"/>
      <c r="P923" s="67"/>
      <c r="X923" s="70"/>
    </row>
    <row r="924" spans="1:24">
      <c r="A924" s="7">
        <f t="shared" si="42"/>
        <v>919</v>
      </c>
      <c r="B924" s="26"/>
      <c r="C924" s="8"/>
      <c r="D924" s="7"/>
      <c r="E924" s="7"/>
      <c r="F924" s="7"/>
      <c r="G924" s="7"/>
      <c r="H924" s="7"/>
      <c r="I924" s="7"/>
      <c r="J924" s="7"/>
      <c r="K924" s="38" t="str">
        <f t="shared" si="43"/>
        <v/>
      </c>
      <c r="L924" s="37" t="str">
        <f t="shared" ca="1" si="44"/>
        <v/>
      </c>
      <c r="M924" s="7"/>
      <c r="P924" s="67"/>
      <c r="X924" s="70"/>
    </row>
    <row r="925" spans="1:24">
      <c r="A925" s="7">
        <f t="shared" si="42"/>
        <v>920</v>
      </c>
      <c r="B925" s="26"/>
      <c r="C925" s="8"/>
      <c r="D925" s="7"/>
      <c r="E925" s="7"/>
      <c r="F925" s="7"/>
      <c r="G925" s="7"/>
      <c r="H925" s="7"/>
      <c r="I925" s="7"/>
      <c r="J925" s="7"/>
      <c r="K925" s="38" t="str">
        <f t="shared" si="43"/>
        <v/>
      </c>
      <c r="L925" s="37" t="str">
        <f t="shared" ca="1" si="44"/>
        <v/>
      </c>
      <c r="M925" s="7"/>
      <c r="P925" s="67"/>
      <c r="X925" s="70"/>
    </row>
    <row r="926" spans="1:24">
      <c r="A926" s="7">
        <f t="shared" si="42"/>
        <v>921</v>
      </c>
      <c r="B926" s="26"/>
      <c r="C926" s="8"/>
      <c r="D926" s="7"/>
      <c r="E926" s="7"/>
      <c r="F926" s="7"/>
      <c r="G926" s="7"/>
      <c r="H926" s="7"/>
      <c r="I926" s="7"/>
      <c r="J926" s="7"/>
      <c r="K926" s="38" t="str">
        <f t="shared" si="43"/>
        <v/>
      </c>
      <c r="L926" s="37" t="str">
        <f t="shared" ca="1" si="44"/>
        <v/>
      </c>
      <c r="M926" s="7"/>
      <c r="P926" s="67"/>
      <c r="X926" s="70"/>
    </row>
    <row r="927" spans="1:24">
      <c r="A927" s="7">
        <f t="shared" si="42"/>
        <v>922</v>
      </c>
      <c r="B927" s="26"/>
      <c r="C927" s="8"/>
      <c r="D927" s="7"/>
      <c r="E927" s="7"/>
      <c r="F927" s="7"/>
      <c r="G927" s="7"/>
      <c r="H927" s="7"/>
      <c r="I927" s="7"/>
      <c r="J927" s="7"/>
      <c r="K927" s="38" t="str">
        <f t="shared" si="43"/>
        <v/>
      </c>
      <c r="L927" s="37" t="str">
        <f t="shared" ca="1" si="44"/>
        <v/>
      </c>
      <c r="M927" s="7"/>
      <c r="P927" s="67"/>
      <c r="X927" s="70"/>
    </row>
    <row r="928" spans="1:24">
      <c r="P928" s="67"/>
      <c r="X928" s="70"/>
    </row>
    <row r="929" spans="16:24">
      <c r="P929" s="67"/>
      <c r="X929" s="70"/>
    </row>
  </sheetData>
  <mergeCells count="2">
    <mergeCell ref="A1:M2"/>
    <mergeCell ref="A4:M4"/>
  </mergeCells>
  <phoneticPr fontId="11" type="noConversion"/>
  <dataValidations count="1">
    <dataValidation type="list" allowBlank="1" showInputMessage="1" showErrorMessage="1" sqref="H6:H927 U7:U8" xr:uid="{CB1A4C64-7165-D547-8C5A-14D39BA00001}">
      <formula1>$BI$6:$BI$10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7D27A9B-0186-9F40-B5DC-D66E2F9EAB2E}">
          <x14:formula1>
            <xm:f>'MASTER RECORD'!$B$6:$B$504</xm:f>
          </x14:formula1>
          <xm:sqref>B6:B927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EDA1F-CB2B-4F45-ADD4-3A28D0CECCB9}">
  <sheetPr codeName="Sheet7">
    <tabColor theme="0" tint="-0.14999847407452621"/>
  </sheetPr>
  <dimension ref="A1:BF927"/>
  <sheetViews>
    <sheetView showGridLines="0" topLeftCell="A5" workbookViewId="0">
      <selection activeCell="I6" sqref="I6"/>
    </sheetView>
  </sheetViews>
  <sheetFormatPr baseColWidth="10" defaultColWidth="10.83203125" defaultRowHeight="16"/>
  <cols>
    <col min="1" max="1" width="4.1640625" style="1" bestFit="1" customWidth="1"/>
    <col min="2" max="3" width="10.83203125" customWidth="1"/>
    <col min="4" max="4" width="14.83203125" customWidth="1"/>
    <col min="5" max="5" width="13.6640625" customWidth="1"/>
    <col min="6" max="6" width="12.5" customWidth="1"/>
    <col min="7" max="7" width="13.33203125" customWidth="1"/>
    <col min="8" max="8" width="10.83203125" customWidth="1"/>
    <col min="9" max="9" width="12.5" customWidth="1"/>
    <col min="10" max="10" width="31.5" customWidth="1"/>
  </cols>
  <sheetData>
    <row r="1" spans="1:58">
      <c r="A1" s="150" t="s">
        <v>21</v>
      </c>
      <c r="B1" s="151"/>
      <c r="C1" s="151"/>
      <c r="D1" s="151"/>
      <c r="E1" s="151"/>
      <c r="F1" s="151"/>
      <c r="G1" s="151"/>
      <c r="H1" s="151"/>
      <c r="I1" s="151"/>
      <c r="J1" s="151"/>
    </row>
    <row r="2" spans="1:58">
      <c r="A2" s="152"/>
      <c r="B2" s="153"/>
      <c r="C2" s="153"/>
      <c r="D2" s="153"/>
      <c r="E2" s="153"/>
      <c r="F2" s="153"/>
      <c r="G2" s="153"/>
      <c r="H2" s="153"/>
      <c r="I2" s="153"/>
      <c r="J2" s="153"/>
    </row>
    <row r="3" spans="1:58" ht="4" customHeight="1">
      <c r="A3" s="55"/>
      <c r="B3" s="12"/>
      <c r="C3" s="12"/>
      <c r="D3" s="12"/>
      <c r="E3" s="12"/>
      <c r="F3" s="12"/>
      <c r="G3" s="12"/>
      <c r="H3" s="12"/>
      <c r="I3" s="12"/>
      <c r="J3" s="12"/>
    </row>
    <row r="4" spans="1:58">
      <c r="A4" s="154" t="s">
        <v>115</v>
      </c>
      <c r="B4" s="155"/>
      <c r="C4" s="155"/>
      <c r="D4" s="155"/>
      <c r="E4" s="155"/>
      <c r="F4" s="155"/>
      <c r="G4" s="155"/>
      <c r="H4" s="155"/>
      <c r="I4" s="155"/>
      <c r="J4" s="155"/>
    </row>
    <row r="5" spans="1:58">
      <c r="A5" s="22" t="s">
        <v>13</v>
      </c>
      <c r="B5" s="22" t="s">
        <v>0</v>
      </c>
      <c r="C5" s="22" t="s">
        <v>97</v>
      </c>
      <c r="D5" s="19" t="s">
        <v>98</v>
      </c>
      <c r="E5" s="19" t="s">
        <v>105</v>
      </c>
      <c r="F5" s="19" t="s">
        <v>99</v>
      </c>
      <c r="G5" s="19" t="s">
        <v>100</v>
      </c>
      <c r="H5" s="44" t="s">
        <v>101</v>
      </c>
      <c r="I5" s="44" t="s">
        <v>106</v>
      </c>
      <c r="J5" s="44" t="s">
        <v>104</v>
      </c>
    </row>
    <row r="6" spans="1:58">
      <c r="A6" s="6">
        <f>ROW(A1)</f>
        <v>1</v>
      </c>
      <c r="B6" s="49"/>
      <c r="C6" s="18"/>
      <c r="D6" s="56"/>
      <c r="E6" s="17"/>
      <c r="F6" s="17"/>
      <c r="G6" s="17"/>
      <c r="H6" s="17"/>
      <c r="I6" s="17"/>
      <c r="J6" s="17"/>
      <c r="BF6" s="41" t="s">
        <v>109</v>
      </c>
    </row>
    <row r="7" spans="1:58">
      <c r="A7" s="6">
        <f t="shared" ref="A7:A70" si="0">ROW(A2)</f>
        <v>2</v>
      </c>
      <c r="B7" s="49"/>
      <c r="C7" s="18"/>
      <c r="D7" s="17"/>
      <c r="E7" s="17"/>
      <c r="F7" s="17"/>
      <c r="G7" s="17"/>
      <c r="H7" s="17"/>
      <c r="I7" s="17"/>
      <c r="J7" s="17"/>
      <c r="BF7" s="41" t="s">
        <v>110</v>
      </c>
    </row>
    <row r="8" spans="1:58">
      <c r="A8" s="6">
        <f t="shared" si="0"/>
        <v>3</v>
      </c>
      <c r="B8" s="49"/>
      <c r="C8" s="18"/>
      <c r="D8" s="17"/>
      <c r="E8" s="17"/>
      <c r="F8" s="17"/>
      <c r="G8" s="17"/>
      <c r="H8" s="17"/>
      <c r="I8" s="17"/>
      <c r="J8" s="17"/>
      <c r="BF8" s="41" t="s">
        <v>111</v>
      </c>
    </row>
    <row r="9" spans="1:58">
      <c r="A9" s="6">
        <f t="shared" si="0"/>
        <v>4</v>
      </c>
      <c r="B9" s="49"/>
      <c r="C9" s="18"/>
      <c r="D9" s="17"/>
      <c r="E9" s="17"/>
      <c r="F9" s="17"/>
      <c r="G9" s="17"/>
      <c r="H9" s="17"/>
      <c r="I9" s="17"/>
      <c r="J9" s="17"/>
      <c r="BF9" s="42" t="s">
        <v>112</v>
      </c>
    </row>
    <row r="10" spans="1:58">
      <c r="A10" s="6">
        <f t="shared" si="0"/>
        <v>5</v>
      </c>
      <c r="B10" s="49"/>
      <c r="C10" s="18"/>
      <c r="D10" s="17"/>
      <c r="E10" s="17"/>
      <c r="F10" s="17"/>
      <c r="G10" s="17"/>
      <c r="H10" s="17"/>
      <c r="I10" s="17"/>
      <c r="J10" s="17"/>
    </row>
    <row r="11" spans="1:58">
      <c r="A11" s="6">
        <f t="shared" si="0"/>
        <v>6</v>
      </c>
      <c r="B11" s="49"/>
      <c r="C11" s="18"/>
      <c r="D11" s="17"/>
      <c r="E11" s="17"/>
      <c r="F11" s="17"/>
      <c r="G11" s="17"/>
      <c r="H11" s="17"/>
      <c r="I11" s="17"/>
      <c r="J11" s="17"/>
    </row>
    <row r="12" spans="1:58">
      <c r="A12" s="6">
        <f t="shared" si="0"/>
        <v>7</v>
      </c>
      <c r="B12" s="49"/>
      <c r="C12" s="18"/>
      <c r="D12" s="17"/>
      <c r="E12" s="17"/>
      <c r="F12" s="17"/>
      <c r="G12" s="17"/>
      <c r="H12" s="17"/>
      <c r="I12" s="17"/>
      <c r="J12" s="17"/>
    </row>
    <row r="13" spans="1:58">
      <c r="A13" s="6">
        <f t="shared" si="0"/>
        <v>8</v>
      </c>
      <c r="B13" s="49"/>
      <c r="C13" s="18"/>
      <c r="D13" s="17"/>
      <c r="E13" s="17"/>
      <c r="F13" s="17"/>
      <c r="G13" s="17"/>
      <c r="H13" s="17"/>
      <c r="I13" s="17"/>
      <c r="J13" s="17"/>
    </row>
    <row r="14" spans="1:58">
      <c r="A14" s="6">
        <f t="shared" si="0"/>
        <v>9</v>
      </c>
      <c r="B14" s="49"/>
      <c r="C14" s="18"/>
      <c r="D14" s="17"/>
      <c r="E14" s="17"/>
      <c r="F14" s="17"/>
      <c r="G14" s="17"/>
      <c r="H14" s="17"/>
      <c r="I14" s="17"/>
      <c r="J14" s="17"/>
    </row>
    <row r="15" spans="1:58">
      <c r="A15" s="6">
        <f t="shared" si="0"/>
        <v>10</v>
      </c>
      <c r="B15" s="49"/>
      <c r="C15" s="18"/>
      <c r="D15" s="17"/>
      <c r="E15" s="17"/>
      <c r="F15" s="17"/>
      <c r="G15" s="17"/>
      <c r="H15" s="17"/>
      <c r="I15" s="17"/>
      <c r="J15" s="17"/>
    </row>
    <row r="16" spans="1:58">
      <c r="A16" s="6">
        <f t="shared" si="0"/>
        <v>11</v>
      </c>
      <c r="B16" s="49"/>
      <c r="C16" s="18"/>
      <c r="D16" s="17"/>
      <c r="E16" s="17"/>
      <c r="F16" s="17"/>
      <c r="G16" s="17"/>
      <c r="H16" s="17"/>
      <c r="I16" s="17"/>
      <c r="J16" s="17"/>
    </row>
    <row r="17" spans="1:10">
      <c r="A17" s="6">
        <f t="shared" si="0"/>
        <v>12</v>
      </c>
      <c r="B17" s="49"/>
      <c r="C17" s="18"/>
      <c r="D17" s="17"/>
      <c r="E17" s="17"/>
      <c r="F17" s="17"/>
      <c r="G17" s="17"/>
      <c r="H17" s="17"/>
      <c r="I17" s="17"/>
      <c r="J17" s="17"/>
    </row>
    <row r="18" spans="1:10">
      <c r="A18" s="6">
        <f t="shared" si="0"/>
        <v>13</v>
      </c>
      <c r="B18" s="49"/>
      <c r="C18" s="18"/>
      <c r="D18" s="17"/>
      <c r="E18" s="17"/>
      <c r="F18" s="17"/>
      <c r="G18" s="17"/>
      <c r="H18" s="17"/>
      <c r="I18" s="17"/>
      <c r="J18" s="17"/>
    </row>
    <row r="19" spans="1:10">
      <c r="A19" s="6">
        <f t="shared" si="0"/>
        <v>14</v>
      </c>
      <c r="B19" s="49"/>
      <c r="C19" s="18"/>
      <c r="D19" s="17"/>
      <c r="E19" s="17"/>
      <c r="F19" s="17"/>
      <c r="G19" s="17"/>
      <c r="H19" s="17"/>
      <c r="I19" s="17"/>
      <c r="J19" s="17"/>
    </row>
    <row r="20" spans="1:10">
      <c r="A20" s="6">
        <f t="shared" si="0"/>
        <v>15</v>
      </c>
      <c r="B20" s="49"/>
      <c r="C20" s="18"/>
      <c r="D20" s="17"/>
      <c r="E20" s="17"/>
      <c r="F20" s="17"/>
      <c r="G20" s="17"/>
      <c r="H20" s="17"/>
      <c r="I20" s="17"/>
      <c r="J20" s="17"/>
    </row>
    <row r="21" spans="1:10">
      <c r="A21" s="6">
        <f t="shared" si="0"/>
        <v>16</v>
      </c>
      <c r="B21" s="49"/>
      <c r="C21" s="18"/>
      <c r="D21" s="17"/>
      <c r="E21" s="17"/>
      <c r="F21" s="17"/>
      <c r="G21" s="17"/>
      <c r="H21" s="17"/>
      <c r="I21" s="17"/>
      <c r="J21" s="17"/>
    </row>
    <row r="22" spans="1:10">
      <c r="A22" s="6">
        <f t="shared" si="0"/>
        <v>17</v>
      </c>
      <c r="B22" s="49"/>
      <c r="C22" s="18"/>
      <c r="D22" s="17"/>
      <c r="E22" s="17"/>
      <c r="F22" s="17"/>
      <c r="G22" s="17"/>
      <c r="H22" s="17"/>
      <c r="I22" s="17"/>
      <c r="J22" s="17"/>
    </row>
    <row r="23" spans="1:10">
      <c r="A23" s="6">
        <f t="shared" si="0"/>
        <v>18</v>
      </c>
      <c r="B23" s="49"/>
      <c r="C23" s="18"/>
      <c r="D23" s="17"/>
      <c r="E23" s="17"/>
      <c r="F23" s="17"/>
      <c r="G23" s="17"/>
      <c r="H23" s="17"/>
      <c r="I23" s="17"/>
      <c r="J23" s="17"/>
    </row>
    <row r="24" spans="1:10">
      <c r="A24" s="6">
        <f t="shared" si="0"/>
        <v>19</v>
      </c>
      <c r="B24" s="49"/>
      <c r="C24" s="18"/>
      <c r="D24" s="17"/>
      <c r="E24" s="17"/>
      <c r="F24" s="17"/>
      <c r="G24" s="17"/>
      <c r="H24" s="17"/>
      <c r="I24" s="17"/>
      <c r="J24" s="17"/>
    </row>
    <row r="25" spans="1:10">
      <c r="A25" s="6">
        <f t="shared" si="0"/>
        <v>20</v>
      </c>
      <c r="B25" s="49"/>
      <c r="C25" s="18"/>
      <c r="D25" s="17"/>
      <c r="E25" s="17"/>
      <c r="F25" s="17"/>
      <c r="G25" s="17"/>
      <c r="H25" s="17"/>
      <c r="I25" s="17"/>
      <c r="J25" s="17"/>
    </row>
    <row r="26" spans="1:10">
      <c r="A26" s="6">
        <f t="shared" si="0"/>
        <v>21</v>
      </c>
      <c r="B26" s="49"/>
      <c r="C26" s="18"/>
      <c r="D26" s="17"/>
      <c r="E26" s="17"/>
      <c r="F26" s="17"/>
      <c r="G26" s="17"/>
      <c r="H26" s="17"/>
      <c r="I26" s="17"/>
      <c r="J26" s="17"/>
    </row>
    <row r="27" spans="1:10">
      <c r="A27" s="6">
        <f t="shared" si="0"/>
        <v>22</v>
      </c>
      <c r="B27" s="49"/>
      <c r="C27" s="18"/>
      <c r="D27" s="17"/>
      <c r="E27" s="17"/>
      <c r="F27" s="17"/>
      <c r="G27" s="17"/>
      <c r="H27" s="17"/>
      <c r="I27" s="17"/>
      <c r="J27" s="17"/>
    </row>
    <row r="28" spans="1:10">
      <c r="A28" s="6">
        <f t="shared" si="0"/>
        <v>23</v>
      </c>
      <c r="B28" s="49"/>
      <c r="C28" s="18"/>
      <c r="D28" s="17"/>
      <c r="E28" s="17"/>
      <c r="F28" s="17"/>
      <c r="G28" s="17"/>
      <c r="H28" s="17"/>
      <c r="I28" s="17"/>
      <c r="J28" s="17"/>
    </row>
    <row r="29" spans="1:10">
      <c r="A29" s="6">
        <f t="shared" si="0"/>
        <v>24</v>
      </c>
      <c r="B29" s="49"/>
      <c r="C29" s="18"/>
      <c r="D29" s="17"/>
      <c r="E29" s="17"/>
      <c r="F29" s="17"/>
      <c r="G29" s="17"/>
      <c r="H29" s="17"/>
      <c r="I29" s="17"/>
      <c r="J29" s="17"/>
    </row>
    <row r="30" spans="1:10">
      <c r="A30" s="6">
        <f t="shared" si="0"/>
        <v>25</v>
      </c>
      <c r="B30" s="49"/>
      <c r="C30" s="18"/>
      <c r="D30" s="17"/>
      <c r="E30" s="17"/>
      <c r="F30" s="17"/>
      <c r="G30" s="17"/>
      <c r="H30" s="17"/>
      <c r="I30" s="17"/>
      <c r="J30" s="17"/>
    </row>
    <row r="31" spans="1:10">
      <c r="A31" s="6">
        <f t="shared" si="0"/>
        <v>26</v>
      </c>
      <c r="B31" s="49"/>
      <c r="C31" s="18"/>
      <c r="D31" s="17"/>
      <c r="E31" s="17"/>
      <c r="F31" s="17"/>
      <c r="G31" s="17"/>
      <c r="H31" s="17"/>
      <c r="I31" s="17"/>
      <c r="J31" s="17"/>
    </row>
    <row r="32" spans="1:10">
      <c r="A32" s="6">
        <f t="shared" si="0"/>
        <v>27</v>
      </c>
      <c r="B32" s="49"/>
      <c r="C32" s="18"/>
      <c r="D32" s="17"/>
      <c r="E32" s="17"/>
      <c r="F32" s="17"/>
      <c r="G32" s="17"/>
      <c r="H32" s="17"/>
      <c r="I32" s="17"/>
      <c r="J32" s="17"/>
    </row>
    <row r="33" spans="1:10">
      <c r="A33" s="6">
        <f t="shared" si="0"/>
        <v>28</v>
      </c>
      <c r="B33" s="49"/>
      <c r="C33" s="18"/>
      <c r="D33" s="17"/>
      <c r="E33" s="17"/>
      <c r="F33" s="17"/>
      <c r="G33" s="17"/>
      <c r="H33" s="17"/>
      <c r="I33" s="17"/>
      <c r="J33" s="17"/>
    </row>
    <row r="34" spans="1:10">
      <c r="A34" s="6">
        <f t="shared" si="0"/>
        <v>29</v>
      </c>
      <c r="B34" s="49"/>
      <c r="C34" s="18"/>
      <c r="D34" s="17"/>
      <c r="E34" s="17"/>
      <c r="F34" s="17"/>
      <c r="G34" s="17"/>
      <c r="H34" s="17"/>
      <c r="I34" s="17"/>
      <c r="J34" s="17"/>
    </row>
    <row r="35" spans="1:10">
      <c r="A35" s="6">
        <f t="shared" si="0"/>
        <v>30</v>
      </c>
      <c r="B35" s="49"/>
      <c r="C35" s="18"/>
      <c r="D35" s="17"/>
      <c r="E35" s="17"/>
      <c r="F35" s="17"/>
      <c r="G35" s="17"/>
      <c r="H35" s="17"/>
      <c r="I35" s="17"/>
      <c r="J35" s="17"/>
    </row>
    <row r="36" spans="1:10">
      <c r="A36" s="6">
        <f t="shared" si="0"/>
        <v>31</v>
      </c>
      <c r="B36" s="49"/>
      <c r="C36" s="18"/>
      <c r="D36" s="17"/>
      <c r="E36" s="17"/>
      <c r="F36" s="17"/>
      <c r="G36" s="17"/>
      <c r="H36" s="17"/>
      <c r="I36" s="17"/>
      <c r="J36" s="17"/>
    </row>
    <row r="37" spans="1:10">
      <c r="A37" s="6">
        <f t="shared" si="0"/>
        <v>32</v>
      </c>
      <c r="B37" s="49"/>
      <c r="C37" s="18"/>
      <c r="D37" s="17"/>
      <c r="E37" s="17"/>
      <c r="F37" s="17"/>
      <c r="G37" s="17"/>
      <c r="H37" s="17"/>
      <c r="I37" s="17"/>
      <c r="J37" s="17"/>
    </row>
    <row r="38" spans="1:10">
      <c r="A38" s="6">
        <f t="shared" si="0"/>
        <v>33</v>
      </c>
      <c r="B38" s="49"/>
      <c r="C38" s="18"/>
      <c r="D38" s="17"/>
      <c r="E38" s="17"/>
      <c r="F38" s="17"/>
      <c r="G38" s="17"/>
      <c r="H38" s="17"/>
      <c r="I38" s="17"/>
      <c r="J38" s="17"/>
    </row>
    <row r="39" spans="1:10">
      <c r="A39" s="6">
        <f t="shared" si="0"/>
        <v>34</v>
      </c>
      <c r="B39" s="49"/>
      <c r="C39" s="18"/>
      <c r="D39" s="17"/>
      <c r="E39" s="17"/>
      <c r="F39" s="17"/>
      <c r="G39" s="17"/>
      <c r="H39" s="17"/>
      <c r="I39" s="17"/>
      <c r="J39" s="17"/>
    </row>
    <row r="40" spans="1:10">
      <c r="A40" s="6">
        <f t="shared" si="0"/>
        <v>35</v>
      </c>
      <c r="B40" s="49"/>
      <c r="C40" s="18"/>
      <c r="D40" s="17"/>
      <c r="E40" s="17"/>
      <c r="F40" s="17"/>
      <c r="G40" s="17"/>
      <c r="H40" s="17"/>
      <c r="I40" s="17"/>
      <c r="J40" s="17"/>
    </row>
    <row r="41" spans="1:10">
      <c r="A41" s="6">
        <f t="shared" si="0"/>
        <v>36</v>
      </c>
      <c r="B41" s="49"/>
      <c r="C41" s="18"/>
      <c r="D41" s="17"/>
      <c r="E41" s="17"/>
      <c r="F41" s="17"/>
      <c r="G41" s="17"/>
      <c r="H41" s="17"/>
      <c r="I41" s="17"/>
      <c r="J41" s="17"/>
    </row>
    <row r="42" spans="1:10">
      <c r="A42" s="6">
        <f t="shared" si="0"/>
        <v>37</v>
      </c>
      <c r="B42" s="49"/>
      <c r="C42" s="18"/>
      <c r="D42" s="17"/>
      <c r="E42" s="17"/>
      <c r="F42" s="17"/>
      <c r="G42" s="17"/>
      <c r="H42" s="17"/>
      <c r="I42" s="17"/>
      <c r="J42" s="17"/>
    </row>
    <row r="43" spans="1:10">
      <c r="A43" s="6">
        <f t="shared" si="0"/>
        <v>38</v>
      </c>
      <c r="B43" s="49"/>
      <c r="C43" s="18"/>
      <c r="D43" s="17"/>
      <c r="E43" s="17"/>
      <c r="F43" s="17"/>
      <c r="G43" s="17"/>
      <c r="H43" s="17"/>
      <c r="I43" s="17"/>
      <c r="J43" s="17"/>
    </row>
    <row r="44" spans="1:10">
      <c r="A44" s="6">
        <f t="shared" si="0"/>
        <v>39</v>
      </c>
      <c r="B44" s="49"/>
      <c r="C44" s="18"/>
      <c r="D44" s="17"/>
      <c r="E44" s="17"/>
      <c r="F44" s="17"/>
      <c r="G44" s="17"/>
      <c r="H44" s="17"/>
      <c r="I44" s="17"/>
      <c r="J44" s="17"/>
    </row>
    <row r="45" spans="1:10">
      <c r="A45" s="6">
        <f t="shared" si="0"/>
        <v>40</v>
      </c>
      <c r="B45" s="49"/>
      <c r="C45" s="18"/>
      <c r="D45" s="17"/>
      <c r="E45" s="17"/>
      <c r="F45" s="17"/>
      <c r="G45" s="17"/>
      <c r="H45" s="17"/>
      <c r="I45" s="17"/>
      <c r="J45" s="17"/>
    </row>
    <row r="46" spans="1:10">
      <c r="A46" s="6">
        <f t="shared" si="0"/>
        <v>41</v>
      </c>
      <c r="B46" s="49"/>
      <c r="C46" s="18"/>
      <c r="D46" s="17"/>
      <c r="E46" s="17"/>
      <c r="F46" s="17"/>
      <c r="G46" s="17"/>
      <c r="H46" s="17"/>
      <c r="I46" s="17"/>
      <c r="J46" s="17"/>
    </row>
    <row r="47" spans="1:10">
      <c r="A47" s="6">
        <f t="shared" si="0"/>
        <v>42</v>
      </c>
      <c r="B47" s="49"/>
      <c r="C47" s="18"/>
      <c r="D47" s="17"/>
      <c r="E47" s="17"/>
      <c r="F47" s="17"/>
      <c r="G47" s="17"/>
      <c r="H47" s="17"/>
      <c r="I47" s="17"/>
      <c r="J47" s="17"/>
    </row>
    <row r="48" spans="1:10">
      <c r="A48" s="6">
        <f t="shared" si="0"/>
        <v>43</v>
      </c>
      <c r="B48" s="49"/>
      <c r="C48" s="18"/>
      <c r="D48" s="17"/>
      <c r="E48" s="17"/>
      <c r="F48" s="17"/>
      <c r="G48" s="17"/>
      <c r="H48" s="17"/>
      <c r="I48" s="17"/>
      <c r="J48" s="17"/>
    </row>
    <row r="49" spans="1:10">
      <c r="A49" s="6">
        <f t="shared" si="0"/>
        <v>44</v>
      </c>
      <c r="B49" s="49"/>
      <c r="C49" s="18"/>
      <c r="D49" s="17"/>
      <c r="E49" s="17"/>
      <c r="F49" s="17"/>
      <c r="G49" s="17"/>
      <c r="H49" s="17"/>
      <c r="I49" s="17"/>
      <c r="J49" s="17"/>
    </row>
    <row r="50" spans="1:10">
      <c r="A50" s="6">
        <f t="shared" si="0"/>
        <v>45</v>
      </c>
      <c r="B50" s="49"/>
      <c r="C50" s="18"/>
      <c r="D50" s="17"/>
      <c r="E50" s="17"/>
      <c r="F50" s="17"/>
      <c r="G50" s="17"/>
      <c r="H50" s="17"/>
      <c r="I50" s="17"/>
      <c r="J50" s="17"/>
    </row>
    <row r="51" spans="1:10">
      <c r="A51" s="6">
        <f t="shared" si="0"/>
        <v>46</v>
      </c>
      <c r="B51" s="49"/>
      <c r="C51" s="18"/>
      <c r="D51" s="17"/>
      <c r="E51" s="17"/>
      <c r="F51" s="17"/>
      <c r="G51" s="17"/>
      <c r="H51" s="17"/>
      <c r="I51" s="17"/>
      <c r="J51" s="17"/>
    </row>
    <row r="52" spans="1:10">
      <c r="A52" s="6">
        <f t="shared" si="0"/>
        <v>47</v>
      </c>
      <c r="B52" s="49"/>
      <c r="C52" s="18"/>
      <c r="D52" s="17"/>
      <c r="E52" s="17"/>
      <c r="F52" s="17"/>
      <c r="G52" s="17"/>
      <c r="H52" s="17"/>
      <c r="I52" s="17"/>
      <c r="J52" s="17"/>
    </row>
    <row r="53" spans="1:10">
      <c r="A53" s="6">
        <f t="shared" si="0"/>
        <v>48</v>
      </c>
      <c r="B53" s="49"/>
      <c r="C53" s="18"/>
      <c r="D53" s="17"/>
      <c r="E53" s="17"/>
      <c r="F53" s="17"/>
      <c r="G53" s="17"/>
      <c r="H53" s="17"/>
      <c r="I53" s="17"/>
      <c r="J53" s="17"/>
    </row>
    <row r="54" spans="1:10">
      <c r="A54" s="6">
        <f t="shared" si="0"/>
        <v>49</v>
      </c>
      <c r="B54" s="49"/>
      <c r="C54" s="18"/>
      <c r="D54" s="17"/>
      <c r="E54" s="17"/>
      <c r="F54" s="17"/>
      <c r="G54" s="17"/>
      <c r="H54" s="17"/>
      <c r="I54" s="17"/>
      <c r="J54" s="17"/>
    </row>
    <row r="55" spans="1:10">
      <c r="A55" s="6">
        <f t="shared" si="0"/>
        <v>50</v>
      </c>
      <c r="B55" s="49"/>
      <c r="C55" s="18"/>
      <c r="D55" s="17"/>
      <c r="E55" s="17"/>
      <c r="F55" s="17"/>
      <c r="G55" s="17"/>
      <c r="H55" s="17"/>
      <c r="I55" s="17"/>
      <c r="J55" s="17"/>
    </row>
    <row r="56" spans="1:10">
      <c r="A56" s="6">
        <f t="shared" si="0"/>
        <v>51</v>
      </c>
      <c r="B56" s="49"/>
      <c r="C56" s="18"/>
      <c r="D56" s="17"/>
      <c r="E56" s="17"/>
      <c r="F56" s="17"/>
      <c r="G56" s="17"/>
      <c r="H56" s="17"/>
      <c r="I56" s="17"/>
      <c r="J56" s="17"/>
    </row>
    <row r="57" spans="1:10">
      <c r="A57" s="6">
        <f t="shared" si="0"/>
        <v>52</v>
      </c>
      <c r="B57" s="49"/>
      <c r="C57" s="18"/>
      <c r="D57" s="17"/>
      <c r="E57" s="17"/>
      <c r="F57" s="17"/>
      <c r="G57" s="17"/>
      <c r="H57" s="17"/>
      <c r="I57" s="17"/>
      <c r="J57" s="17"/>
    </row>
    <row r="58" spans="1:10">
      <c r="A58" s="6">
        <f t="shared" si="0"/>
        <v>53</v>
      </c>
      <c r="B58" s="49"/>
      <c r="C58" s="18"/>
      <c r="D58" s="17"/>
      <c r="E58" s="17"/>
      <c r="F58" s="17"/>
      <c r="G58" s="17"/>
      <c r="H58" s="17"/>
      <c r="I58" s="17"/>
      <c r="J58" s="17"/>
    </row>
    <row r="59" spans="1:10">
      <c r="A59" s="6">
        <f t="shared" si="0"/>
        <v>54</v>
      </c>
      <c r="B59" s="49"/>
      <c r="C59" s="18"/>
      <c r="D59" s="17"/>
      <c r="E59" s="17"/>
      <c r="F59" s="17"/>
      <c r="G59" s="17"/>
      <c r="H59" s="17"/>
      <c r="I59" s="17"/>
      <c r="J59" s="17"/>
    </row>
    <row r="60" spans="1:10">
      <c r="A60" s="6">
        <f t="shared" si="0"/>
        <v>55</v>
      </c>
      <c r="B60" s="49"/>
      <c r="C60" s="18"/>
      <c r="D60" s="17"/>
      <c r="E60" s="17"/>
      <c r="F60" s="17"/>
      <c r="G60" s="17"/>
      <c r="H60" s="17"/>
      <c r="I60" s="17"/>
      <c r="J60" s="17"/>
    </row>
    <row r="61" spans="1:10">
      <c r="A61" s="6">
        <f t="shared" si="0"/>
        <v>56</v>
      </c>
      <c r="B61" s="49"/>
      <c r="C61" s="18"/>
      <c r="D61" s="17"/>
      <c r="E61" s="17"/>
      <c r="F61" s="17"/>
      <c r="G61" s="17"/>
      <c r="H61" s="17"/>
      <c r="I61" s="17"/>
      <c r="J61" s="17"/>
    </row>
    <row r="62" spans="1:10">
      <c r="A62" s="6">
        <f t="shared" si="0"/>
        <v>57</v>
      </c>
      <c r="B62" s="49"/>
      <c r="C62" s="18"/>
      <c r="D62" s="17"/>
      <c r="E62" s="17"/>
      <c r="F62" s="17"/>
      <c r="G62" s="17"/>
      <c r="H62" s="17"/>
      <c r="I62" s="17"/>
      <c r="J62" s="17"/>
    </row>
    <row r="63" spans="1:10">
      <c r="A63" s="6">
        <f t="shared" si="0"/>
        <v>58</v>
      </c>
      <c r="B63" s="49"/>
      <c r="C63" s="18"/>
      <c r="D63" s="17"/>
      <c r="E63" s="17"/>
      <c r="F63" s="17"/>
      <c r="G63" s="17"/>
      <c r="H63" s="17"/>
      <c r="I63" s="17"/>
      <c r="J63" s="17"/>
    </row>
    <row r="64" spans="1:10">
      <c r="A64" s="6">
        <f t="shared" si="0"/>
        <v>59</v>
      </c>
      <c r="B64" s="49"/>
      <c r="C64" s="18"/>
      <c r="D64" s="17"/>
      <c r="E64" s="17"/>
      <c r="F64" s="17"/>
      <c r="G64" s="17"/>
      <c r="H64" s="17"/>
      <c r="I64" s="17"/>
      <c r="J64" s="17"/>
    </row>
    <row r="65" spans="1:10">
      <c r="A65" s="6">
        <f t="shared" si="0"/>
        <v>60</v>
      </c>
      <c r="B65" s="49"/>
      <c r="C65" s="18"/>
      <c r="D65" s="17"/>
      <c r="E65" s="17"/>
      <c r="F65" s="17"/>
      <c r="G65" s="17"/>
      <c r="H65" s="17"/>
      <c r="I65" s="17"/>
      <c r="J65" s="17"/>
    </row>
    <row r="66" spans="1:10">
      <c r="A66" s="6">
        <f t="shared" si="0"/>
        <v>61</v>
      </c>
      <c r="B66" s="49"/>
      <c r="C66" s="18"/>
      <c r="D66" s="17"/>
      <c r="E66" s="17"/>
      <c r="F66" s="17"/>
      <c r="G66" s="17"/>
      <c r="H66" s="17"/>
      <c r="I66" s="17"/>
      <c r="J66" s="17"/>
    </row>
    <row r="67" spans="1:10">
      <c r="A67" s="6">
        <f t="shared" si="0"/>
        <v>62</v>
      </c>
      <c r="B67" s="49"/>
      <c r="C67" s="18"/>
      <c r="D67" s="17"/>
      <c r="E67" s="17"/>
      <c r="F67" s="17"/>
      <c r="G67" s="17"/>
      <c r="H67" s="17"/>
      <c r="I67" s="17"/>
      <c r="J67" s="17"/>
    </row>
    <row r="68" spans="1:10">
      <c r="A68" s="6">
        <f t="shared" si="0"/>
        <v>63</v>
      </c>
      <c r="B68" s="49"/>
      <c r="C68" s="18"/>
      <c r="D68" s="17"/>
      <c r="E68" s="17"/>
      <c r="F68" s="17"/>
      <c r="G68" s="17"/>
      <c r="H68" s="17"/>
      <c r="I68" s="17"/>
      <c r="J68" s="17"/>
    </row>
    <row r="69" spans="1:10">
      <c r="A69" s="6">
        <f t="shared" si="0"/>
        <v>64</v>
      </c>
      <c r="B69" s="49"/>
      <c r="C69" s="18"/>
      <c r="D69" s="17"/>
      <c r="E69" s="17"/>
      <c r="F69" s="17"/>
      <c r="G69" s="17"/>
      <c r="H69" s="17"/>
      <c r="I69" s="17"/>
      <c r="J69" s="17"/>
    </row>
    <row r="70" spans="1:10">
      <c r="A70" s="6">
        <f t="shared" si="0"/>
        <v>65</v>
      </c>
      <c r="B70" s="49"/>
      <c r="C70" s="18"/>
      <c r="D70" s="17"/>
      <c r="E70" s="17"/>
      <c r="F70" s="17"/>
      <c r="G70" s="17"/>
      <c r="H70" s="17"/>
      <c r="I70" s="17"/>
      <c r="J70" s="17"/>
    </row>
    <row r="71" spans="1:10">
      <c r="A71" s="6">
        <f t="shared" ref="A71:A134" si="1">ROW(A66)</f>
        <v>66</v>
      </c>
      <c r="B71" s="49"/>
      <c r="C71" s="18"/>
      <c r="D71" s="17"/>
      <c r="E71" s="17"/>
      <c r="F71" s="17"/>
      <c r="G71" s="17"/>
      <c r="H71" s="17"/>
      <c r="I71" s="17"/>
      <c r="J71" s="17"/>
    </row>
    <row r="72" spans="1:10">
      <c r="A72" s="6">
        <f t="shared" si="1"/>
        <v>67</v>
      </c>
      <c r="B72" s="49"/>
      <c r="C72" s="18"/>
      <c r="D72" s="17"/>
      <c r="E72" s="17"/>
      <c r="F72" s="17"/>
      <c r="G72" s="17"/>
      <c r="H72" s="17"/>
      <c r="I72" s="17"/>
      <c r="J72" s="17"/>
    </row>
    <row r="73" spans="1:10">
      <c r="A73" s="6">
        <f t="shared" si="1"/>
        <v>68</v>
      </c>
      <c r="B73" s="49"/>
      <c r="C73" s="18"/>
      <c r="D73" s="17"/>
      <c r="E73" s="17"/>
      <c r="F73" s="17"/>
      <c r="G73" s="17"/>
      <c r="H73" s="17"/>
      <c r="I73" s="17"/>
      <c r="J73" s="17"/>
    </row>
    <row r="74" spans="1:10">
      <c r="A74" s="6">
        <f t="shared" si="1"/>
        <v>69</v>
      </c>
      <c r="B74" s="49"/>
      <c r="C74" s="18"/>
      <c r="D74" s="17"/>
      <c r="E74" s="17"/>
      <c r="F74" s="17"/>
      <c r="G74" s="17"/>
      <c r="H74" s="17"/>
      <c r="I74" s="17"/>
      <c r="J74" s="17"/>
    </row>
    <row r="75" spans="1:10">
      <c r="A75" s="6">
        <f t="shared" si="1"/>
        <v>70</v>
      </c>
      <c r="B75" s="49"/>
      <c r="C75" s="18"/>
      <c r="D75" s="17"/>
      <c r="E75" s="17"/>
      <c r="F75" s="17"/>
      <c r="G75" s="17"/>
      <c r="H75" s="17"/>
      <c r="I75" s="17"/>
      <c r="J75" s="17"/>
    </row>
    <row r="76" spans="1:10">
      <c r="A76" s="6">
        <f t="shared" si="1"/>
        <v>71</v>
      </c>
      <c r="B76" s="49"/>
      <c r="C76" s="18"/>
      <c r="D76" s="17"/>
      <c r="E76" s="17"/>
      <c r="F76" s="17"/>
      <c r="G76" s="17"/>
      <c r="H76" s="17"/>
      <c r="I76" s="17"/>
      <c r="J76" s="17"/>
    </row>
    <row r="77" spans="1:10">
      <c r="A77" s="6">
        <f t="shared" si="1"/>
        <v>72</v>
      </c>
      <c r="B77" s="49"/>
      <c r="C77" s="18"/>
      <c r="D77" s="17"/>
      <c r="E77" s="17"/>
      <c r="F77" s="17"/>
      <c r="G77" s="17"/>
      <c r="H77" s="17"/>
      <c r="I77" s="17"/>
      <c r="J77" s="17"/>
    </row>
    <row r="78" spans="1:10">
      <c r="A78" s="6">
        <f t="shared" si="1"/>
        <v>73</v>
      </c>
      <c r="B78" s="49"/>
      <c r="C78" s="18"/>
      <c r="D78" s="17"/>
      <c r="E78" s="17"/>
      <c r="F78" s="17"/>
      <c r="G78" s="17"/>
      <c r="H78" s="17"/>
      <c r="I78" s="17"/>
      <c r="J78" s="17"/>
    </row>
    <row r="79" spans="1:10">
      <c r="A79" s="6">
        <f t="shared" si="1"/>
        <v>74</v>
      </c>
      <c r="B79" s="49"/>
      <c r="C79" s="18"/>
      <c r="D79" s="17"/>
      <c r="E79" s="17"/>
      <c r="F79" s="17"/>
      <c r="G79" s="17"/>
      <c r="H79" s="17"/>
      <c r="I79" s="17"/>
      <c r="J79" s="17"/>
    </row>
    <row r="80" spans="1:10">
      <c r="A80" s="6">
        <f t="shared" si="1"/>
        <v>75</v>
      </c>
      <c r="B80" s="49"/>
      <c r="C80" s="18"/>
      <c r="D80" s="17"/>
      <c r="E80" s="17"/>
      <c r="F80" s="17"/>
      <c r="G80" s="17"/>
      <c r="H80" s="17"/>
      <c r="I80" s="17"/>
      <c r="J80" s="17"/>
    </row>
    <row r="81" spans="1:10">
      <c r="A81" s="6">
        <f t="shared" si="1"/>
        <v>76</v>
      </c>
      <c r="B81" s="49"/>
      <c r="C81" s="18"/>
      <c r="D81" s="17"/>
      <c r="E81" s="17"/>
      <c r="F81" s="17"/>
      <c r="G81" s="17"/>
      <c r="H81" s="17"/>
      <c r="I81" s="17"/>
      <c r="J81" s="17"/>
    </row>
    <row r="82" spans="1:10">
      <c r="A82" s="6">
        <f t="shared" si="1"/>
        <v>77</v>
      </c>
      <c r="B82" s="49"/>
      <c r="C82" s="18"/>
      <c r="D82" s="17"/>
      <c r="E82" s="17"/>
      <c r="F82" s="17"/>
      <c r="G82" s="17"/>
      <c r="H82" s="17"/>
      <c r="I82" s="17"/>
      <c r="J82" s="17"/>
    </row>
    <row r="83" spans="1:10">
      <c r="A83" s="6">
        <f t="shared" si="1"/>
        <v>78</v>
      </c>
      <c r="B83" s="49"/>
      <c r="C83" s="18"/>
      <c r="D83" s="17"/>
      <c r="E83" s="17"/>
      <c r="F83" s="17"/>
      <c r="G83" s="17"/>
      <c r="H83" s="17"/>
      <c r="I83" s="17"/>
      <c r="J83" s="17"/>
    </row>
    <row r="84" spans="1:10">
      <c r="A84" s="6">
        <f t="shared" si="1"/>
        <v>79</v>
      </c>
      <c r="B84" s="49"/>
      <c r="C84" s="18"/>
      <c r="D84" s="17"/>
      <c r="E84" s="17"/>
      <c r="F84" s="17"/>
      <c r="G84" s="17"/>
      <c r="H84" s="17"/>
      <c r="I84" s="17"/>
      <c r="J84" s="17"/>
    </row>
    <row r="85" spans="1:10">
      <c r="A85" s="6">
        <f t="shared" si="1"/>
        <v>80</v>
      </c>
      <c r="B85" s="49"/>
      <c r="C85" s="18"/>
      <c r="D85" s="17"/>
      <c r="E85" s="17"/>
      <c r="F85" s="17"/>
      <c r="G85" s="17"/>
      <c r="H85" s="17"/>
      <c r="I85" s="17"/>
      <c r="J85" s="17"/>
    </row>
    <row r="86" spans="1:10">
      <c r="A86" s="6">
        <f t="shared" si="1"/>
        <v>81</v>
      </c>
      <c r="B86" s="49"/>
      <c r="C86" s="18"/>
      <c r="D86" s="17"/>
      <c r="E86" s="17"/>
      <c r="F86" s="17"/>
      <c r="G86" s="17"/>
      <c r="H86" s="17"/>
      <c r="I86" s="17"/>
      <c r="J86" s="17"/>
    </row>
    <row r="87" spans="1:10">
      <c r="A87" s="6">
        <f t="shared" si="1"/>
        <v>82</v>
      </c>
      <c r="B87" s="49"/>
      <c r="C87" s="18"/>
      <c r="D87" s="17"/>
      <c r="E87" s="17"/>
      <c r="F87" s="17"/>
      <c r="G87" s="17"/>
      <c r="H87" s="17"/>
      <c r="I87" s="17"/>
      <c r="J87" s="17"/>
    </row>
    <row r="88" spans="1:10">
      <c r="A88" s="6">
        <f t="shared" si="1"/>
        <v>83</v>
      </c>
      <c r="B88" s="49"/>
      <c r="C88" s="18"/>
      <c r="D88" s="17"/>
      <c r="E88" s="17"/>
      <c r="F88" s="17"/>
      <c r="G88" s="17"/>
      <c r="H88" s="17"/>
      <c r="I88" s="17"/>
      <c r="J88" s="17"/>
    </row>
    <row r="89" spans="1:10">
      <c r="A89" s="6">
        <f t="shared" si="1"/>
        <v>84</v>
      </c>
      <c r="B89" s="49"/>
      <c r="C89" s="18"/>
      <c r="D89" s="17"/>
      <c r="E89" s="17"/>
      <c r="F89" s="17"/>
      <c r="G89" s="17"/>
      <c r="H89" s="17"/>
      <c r="I89" s="17"/>
      <c r="J89" s="17"/>
    </row>
    <row r="90" spans="1:10">
      <c r="A90" s="6">
        <f t="shared" si="1"/>
        <v>85</v>
      </c>
      <c r="B90" s="49"/>
      <c r="C90" s="18"/>
      <c r="D90" s="17"/>
      <c r="E90" s="17"/>
      <c r="F90" s="17"/>
      <c r="G90" s="17"/>
      <c r="H90" s="17"/>
      <c r="I90" s="17"/>
      <c r="J90" s="17"/>
    </row>
    <row r="91" spans="1:10">
      <c r="A91" s="6">
        <f t="shared" si="1"/>
        <v>86</v>
      </c>
      <c r="B91" s="49"/>
      <c r="C91" s="18"/>
      <c r="D91" s="17"/>
      <c r="E91" s="17"/>
      <c r="F91" s="17"/>
      <c r="G91" s="17"/>
      <c r="H91" s="17"/>
      <c r="I91" s="17"/>
      <c r="J91" s="17"/>
    </row>
    <row r="92" spans="1:10">
      <c r="A92" s="6">
        <f t="shared" si="1"/>
        <v>87</v>
      </c>
      <c r="B92" s="49"/>
      <c r="C92" s="18"/>
      <c r="D92" s="17"/>
      <c r="E92" s="17"/>
      <c r="F92" s="17"/>
      <c r="G92" s="17"/>
      <c r="H92" s="17"/>
      <c r="I92" s="17"/>
      <c r="J92" s="17"/>
    </row>
    <row r="93" spans="1:10">
      <c r="A93" s="6">
        <f t="shared" si="1"/>
        <v>88</v>
      </c>
      <c r="B93" s="49"/>
      <c r="C93" s="18"/>
      <c r="D93" s="17"/>
      <c r="E93" s="17"/>
      <c r="F93" s="17"/>
      <c r="G93" s="17"/>
      <c r="H93" s="17"/>
      <c r="I93" s="17"/>
      <c r="J93" s="17"/>
    </row>
    <row r="94" spans="1:10">
      <c r="A94" s="6">
        <f t="shared" si="1"/>
        <v>89</v>
      </c>
      <c r="B94" s="49"/>
      <c r="C94" s="18"/>
      <c r="D94" s="17"/>
      <c r="E94" s="17"/>
      <c r="F94" s="17"/>
      <c r="G94" s="17"/>
      <c r="H94" s="17"/>
      <c r="I94" s="17"/>
      <c r="J94" s="17"/>
    </row>
    <row r="95" spans="1:10">
      <c r="A95" s="6">
        <f t="shared" si="1"/>
        <v>90</v>
      </c>
      <c r="B95" s="49"/>
      <c r="C95" s="18"/>
      <c r="D95" s="17"/>
      <c r="E95" s="17"/>
      <c r="F95" s="17"/>
      <c r="G95" s="17"/>
      <c r="H95" s="17"/>
      <c r="I95" s="17"/>
      <c r="J95" s="17"/>
    </row>
    <row r="96" spans="1:10">
      <c r="A96" s="6">
        <f t="shared" si="1"/>
        <v>91</v>
      </c>
      <c r="B96" s="49"/>
      <c r="C96" s="18"/>
      <c r="D96" s="17"/>
      <c r="E96" s="17"/>
      <c r="F96" s="17"/>
      <c r="G96" s="17"/>
      <c r="H96" s="17"/>
      <c r="I96" s="17"/>
      <c r="J96" s="17"/>
    </row>
    <row r="97" spans="1:10">
      <c r="A97" s="6">
        <f t="shared" si="1"/>
        <v>92</v>
      </c>
      <c r="B97" s="49"/>
      <c r="C97" s="18"/>
      <c r="D97" s="17"/>
      <c r="E97" s="17"/>
      <c r="F97" s="17"/>
      <c r="G97" s="17"/>
      <c r="H97" s="17"/>
      <c r="I97" s="17"/>
      <c r="J97" s="17"/>
    </row>
    <row r="98" spans="1:10">
      <c r="A98" s="6">
        <f t="shared" si="1"/>
        <v>93</v>
      </c>
      <c r="B98" s="49"/>
      <c r="C98" s="18"/>
      <c r="D98" s="17"/>
      <c r="E98" s="17"/>
      <c r="F98" s="17"/>
      <c r="G98" s="17"/>
      <c r="H98" s="17"/>
      <c r="I98" s="17"/>
      <c r="J98" s="17"/>
    </row>
    <row r="99" spans="1:10">
      <c r="A99" s="6">
        <f t="shared" si="1"/>
        <v>94</v>
      </c>
      <c r="B99" s="49"/>
      <c r="C99" s="18"/>
      <c r="D99" s="17"/>
      <c r="E99" s="17"/>
      <c r="F99" s="17"/>
      <c r="G99" s="17"/>
      <c r="H99" s="17"/>
      <c r="I99" s="17"/>
      <c r="J99" s="17"/>
    </row>
    <row r="100" spans="1:10">
      <c r="A100" s="6">
        <f t="shared" si="1"/>
        <v>95</v>
      </c>
      <c r="B100" s="49"/>
      <c r="C100" s="18"/>
      <c r="D100" s="17"/>
      <c r="E100" s="17"/>
      <c r="F100" s="17"/>
      <c r="G100" s="17"/>
      <c r="H100" s="17"/>
      <c r="I100" s="17"/>
      <c r="J100" s="17"/>
    </row>
    <row r="101" spans="1:10">
      <c r="A101" s="6">
        <f t="shared" si="1"/>
        <v>96</v>
      </c>
      <c r="B101" s="49"/>
      <c r="C101" s="18"/>
      <c r="D101" s="17"/>
      <c r="E101" s="17"/>
      <c r="F101" s="17"/>
      <c r="G101" s="17"/>
      <c r="H101" s="17"/>
      <c r="I101" s="17"/>
      <c r="J101" s="17"/>
    </row>
    <row r="102" spans="1:10">
      <c r="A102" s="6">
        <f t="shared" si="1"/>
        <v>97</v>
      </c>
      <c r="B102" s="49"/>
      <c r="C102" s="18"/>
      <c r="D102" s="17"/>
      <c r="E102" s="17"/>
      <c r="F102" s="17"/>
      <c r="G102" s="17"/>
      <c r="H102" s="17"/>
      <c r="I102" s="17"/>
      <c r="J102" s="17"/>
    </row>
    <row r="103" spans="1:10">
      <c r="A103" s="6">
        <f t="shared" si="1"/>
        <v>98</v>
      </c>
      <c r="B103" s="49"/>
      <c r="C103" s="18"/>
      <c r="D103" s="17"/>
      <c r="E103" s="17"/>
      <c r="F103" s="17"/>
      <c r="G103" s="17"/>
      <c r="H103" s="17"/>
      <c r="I103" s="17"/>
      <c r="J103" s="17"/>
    </row>
    <row r="104" spans="1:10">
      <c r="A104" s="6">
        <f t="shared" si="1"/>
        <v>99</v>
      </c>
      <c r="B104" s="49"/>
      <c r="C104" s="18"/>
      <c r="D104" s="17"/>
      <c r="E104" s="17"/>
      <c r="F104" s="17"/>
      <c r="G104" s="17"/>
      <c r="H104" s="17"/>
      <c r="I104" s="17"/>
      <c r="J104" s="17"/>
    </row>
    <row r="105" spans="1:10">
      <c r="A105" s="6">
        <f t="shared" si="1"/>
        <v>100</v>
      </c>
      <c r="B105" s="49"/>
      <c r="C105" s="18"/>
      <c r="D105" s="17"/>
      <c r="E105" s="17"/>
      <c r="F105" s="17"/>
      <c r="G105" s="17"/>
      <c r="H105" s="17"/>
      <c r="I105" s="17"/>
      <c r="J105" s="17"/>
    </row>
    <row r="106" spans="1:10">
      <c r="A106" s="6">
        <f t="shared" si="1"/>
        <v>101</v>
      </c>
      <c r="B106" s="49"/>
      <c r="C106" s="18"/>
      <c r="D106" s="17"/>
      <c r="E106" s="17"/>
      <c r="F106" s="17"/>
      <c r="G106" s="17"/>
      <c r="H106" s="17"/>
      <c r="I106" s="17"/>
      <c r="J106" s="17"/>
    </row>
    <row r="107" spans="1:10">
      <c r="A107" s="6">
        <f t="shared" si="1"/>
        <v>102</v>
      </c>
      <c r="B107" s="49"/>
      <c r="C107" s="18"/>
      <c r="D107" s="17"/>
      <c r="E107" s="17"/>
      <c r="F107" s="17"/>
      <c r="G107" s="17"/>
      <c r="H107" s="17"/>
      <c r="I107" s="17"/>
      <c r="J107" s="17"/>
    </row>
    <row r="108" spans="1:10">
      <c r="A108" s="6">
        <f t="shared" si="1"/>
        <v>103</v>
      </c>
      <c r="B108" s="49"/>
      <c r="C108" s="18"/>
      <c r="D108" s="17"/>
      <c r="E108" s="17"/>
      <c r="F108" s="17"/>
      <c r="G108" s="17"/>
      <c r="H108" s="17"/>
      <c r="I108" s="17"/>
      <c r="J108" s="17"/>
    </row>
    <row r="109" spans="1:10">
      <c r="A109" s="6">
        <f t="shared" si="1"/>
        <v>104</v>
      </c>
      <c r="B109" s="49"/>
      <c r="C109" s="18"/>
      <c r="D109" s="17"/>
      <c r="E109" s="17"/>
      <c r="F109" s="17"/>
      <c r="G109" s="17"/>
      <c r="H109" s="17"/>
      <c r="I109" s="17"/>
      <c r="J109" s="17"/>
    </row>
    <row r="110" spans="1:10">
      <c r="A110" s="6">
        <f t="shared" si="1"/>
        <v>105</v>
      </c>
      <c r="B110" s="49"/>
      <c r="C110" s="18"/>
      <c r="D110" s="17"/>
      <c r="E110" s="17"/>
      <c r="F110" s="17"/>
      <c r="G110" s="17"/>
      <c r="H110" s="17"/>
      <c r="I110" s="17"/>
      <c r="J110" s="17"/>
    </row>
    <row r="111" spans="1:10">
      <c r="A111" s="6">
        <f t="shared" si="1"/>
        <v>106</v>
      </c>
      <c r="B111" s="49"/>
      <c r="C111" s="18"/>
      <c r="D111" s="17"/>
      <c r="E111" s="17"/>
      <c r="F111" s="17"/>
      <c r="G111" s="17"/>
      <c r="H111" s="17"/>
      <c r="I111" s="17"/>
      <c r="J111" s="17"/>
    </row>
    <row r="112" spans="1:10">
      <c r="A112" s="6">
        <f t="shared" si="1"/>
        <v>107</v>
      </c>
      <c r="B112" s="49"/>
      <c r="C112" s="18"/>
      <c r="D112" s="17"/>
      <c r="E112" s="17"/>
      <c r="F112" s="17"/>
      <c r="G112" s="17"/>
      <c r="H112" s="17"/>
      <c r="I112" s="17"/>
      <c r="J112" s="17"/>
    </row>
    <row r="113" spans="1:10">
      <c r="A113" s="6">
        <f t="shared" si="1"/>
        <v>108</v>
      </c>
      <c r="B113" s="49"/>
      <c r="C113" s="18"/>
      <c r="D113" s="17"/>
      <c r="E113" s="17"/>
      <c r="F113" s="17"/>
      <c r="G113" s="17"/>
      <c r="H113" s="17"/>
      <c r="I113" s="17"/>
      <c r="J113" s="17"/>
    </row>
    <row r="114" spans="1:10">
      <c r="A114" s="6">
        <f t="shared" si="1"/>
        <v>109</v>
      </c>
      <c r="B114" s="49"/>
      <c r="C114" s="18"/>
      <c r="D114" s="17"/>
      <c r="E114" s="17"/>
      <c r="F114" s="17"/>
      <c r="G114" s="17"/>
      <c r="H114" s="17"/>
      <c r="I114" s="17"/>
      <c r="J114" s="17"/>
    </row>
    <row r="115" spans="1:10">
      <c r="A115" s="6">
        <f t="shared" si="1"/>
        <v>110</v>
      </c>
      <c r="B115" s="49"/>
      <c r="C115" s="18"/>
      <c r="D115" s="17"/>
      <c r="E115" s="17"/>
      <c r="F115" s="17"/>
      <c r="G115" s="17"/>
      <c r="H115" s="17"/>
      <c r="I115" s="17"/>
      <c r="J115" s="17"/>
    </row>
    <row r="116" spans="1:10">
      <c r="A116" s="6">
        <f t="shared" si="1"/>
        <v>111</v>
      </c>
      <c r="B116" s="49"/>
      <c r="C116" s="18"/>
      <c r="D116" s="17"/>
      <c r="E116" s="17"/>
      <c r="F116" s="17"/>
      <c r="G116" s="17"/>
      <c r="H116" s="17"/>
      <c r="I116" s="17"/>
      <c r="J116" s="17"/>
    </row>
    <row r="117" spans="1:10">
      <c r="A117" s="6">
        <f t="shared" si="1"/>
        <v>112</v>
      </c>
      <c r="B117" s="49"/>
      <c r="C117" s="18"/>
      <c r="D117" s="17"/>
      <c r="E117" s="17"/>
      <c r="F117" s="17"/>
      <c r="G117" s="17"/>
      <c r="H117" s="17"/>
      <c r="I117" s="17"/>
      <c r="J117" s="17"/>
    </row>
    <row r="118" spans="1:10">
      <c r="A118" s="6">
        <f t="shared" si="1"/>
        <v>113</v>
      </c>
      <c r="B118" s="49"/>
      <c r="C118" s="18"/>
      <c r="D118" s="17"/>
      <c r="E118" s="17"/>
      <c r="F118" s="17"/>
      <c r="G118" s="17"/>
      <c r="H118" s="17"/>
      <c r="I118" s="17"/>
      <c r="J118" s="17"/>
    </row>
    <row r="119" spans="1:10">
      <c r="A119" s="6">
        <f t="shared" si="1"/>
        <v>114</v>
      </c>
      <c r="B119" s="49"/>
      <c r="C119" s="18"/>
      <c r="D119" s="17"/>
      <c r="E119" s="17"/>
      <c r="F119" s="17"/>
      <c r="G119" s="17"/>
      <c r="H119" s="17"/>
      <c r="I119" s="17"/>
      <c r="J119" s="17"/>
    </row>
    <row r="120" spans="1:10">
      <c r="A120" s="6">
        <f t="shared" si="1"/>
        <v>115</v>
      </c>
      <c r="B120" s="49"/>
      <c r="C120" s="18"/>
      <c r="D120" s="17"/>
      <c r="E120" s="17"/>
      <c r="F120" s="17"/>
      <c r="G120" s="17"/>
      <c r="H120" s="17"/>
      <c r="I120" s="17"/>
      <c r="J120" s="17"/>
    </row>
    <row r="121" spans="1:10">
      <c r="A121" s="6">
        <f t="shared" si="1"/>
        <v>116</v>
      </c>
      <c r="B121" s="49"/>
      <c r="C121" s="18"/>
      <c r="D121" s="17"/>
      <c r="E121" s="17"/>
      <c r="F121" s="17"/>
      <c r="G121" s="17"/>
      <c r="H121" s="17"/>
      <c r="I121" s="17"/>
      <c r="J121" s="17"/>
    </row>
    <row r="122" spans="1:10">
      <c r="A122" s="6">
        <f t="shared" si="1"/>
        <v>117</v>
      </c>
      <c r="B122" s="49"/>
      <c r="C122" s="18"/>
      <c r="D122" s="17"/>
      <c r="E122" s="17"/>
      <c r="F122" s="17"/>
      <c r="G122" s="17"/>
      <c r="H122" s="17"/>
      <c r="I122" s="17"/>
      <c r="J122" s="17"/>
    </row>
    <row r="123" spans="1:10">
      <c r="A123" s="6">
        <f t="shared" si="1"/>
        <v>118</v>
      </c>
      <c r="B123" s="49"/>
      <c r="C123" s="18"/>
      <c r="D123" s="17"/>
      <c r="E123" s="17"/>
      <c r="F123" s="17"/>
      <c r="G123" s="17"/>
      <c r="H123" s="17"/>
      <c r="I123" s="17"/>
      <c r="J123" s="17"/>
    </row>
    <row r="124" spans="1:10">
      <c r="A124" s="6">
        <f t="shared" si="1"/>
        <v>119</v>
      </c>
      <c r="B124" s="49"/>
      <c r="C124" s="18"/>
      <c r="D124" s="17"/>
      <c r="E124" s="17"/>
      <c r="F124" s="17"/>
      <c r="G124" s="17"/>
      <c r="H124" s="17"/>
      <c r="I124" s="17"/>
      <c r="J124" s="17"/>
    </row>
    <row r="125" spans="1:10">
      <c r="A125" s="6">
        <f t="shared" si="1"/>
        <v>120</v>
      </c>
      <c r="B125" s="49"/>
      <c r="C125" s="18"/>
      <c r="D125" s="17"/>
      <c r="E125" s="17"/>
      <c r="F125" s="17"/>
      <c r="G125" s="17"/>
      <c r="H125" s="17"/>
      <c r="I125" s="17"/>
      <c r="J125" s="17"/>
    </row>
    <row r="126" spans="1:10">
      <c r="A126" s="6">
        <f t="shared" si="1"/>
        <v>121</v>
      </c>
      <c r="B126" s="49"/>
      <c r="C126" s="18"/>
      <c r="D126" s="17"/>
      <c r="E126" s="17"/>
      <c r="F126" s="17"/>
      <c r="G126" s="17"/>
      <c r="H126" s="17"/>
      <c r="I126" s="17"/>
      <c r="J126" s="17"/>
    </row>
    <row r="127" spans="1:10">
      <c r="A127" s="6">
        <f t="shared" si="1"/>
        <v>122</v>
      </c>
      <c r="B127" s="49"/>
      <c r="C127" s="18"/>
      <c r="D127" s="17"/>
      <c r="E127" s="17"/>
      <c r="F127" s="17"/>
      <c r="G127" s="17"/>
      <c r="H127" s="17"/>
      <c r="I127" s="17"/>
      <c r="J127" s="17"/>
    </row>
    <row r="128" spans="1:10">
      <c r="A128" s="6">
        <f t="shared" si="1"/>
        <v>123</v>
      </c>
      <c r="B128" s="49"/>
      <c r="C128" s="18"/>
      <c r="D128" s="17"/>
      <c r="E128" s="17"/>
      <c r="F128" s="17"/>
      <c r="G128" s="17"/>
      <c r="H128" s="17"/>
      <c r="I128" s="17"/>
      <c r="J128" s="17"/>
    </row>
    <row r="129" spans="1:10">
      <c r="A129" s="6">
        <f t="shared" si="1"/>
        <v>124</v>
      </c>
      <c r="B129" s="49"/>
      <c r="C129" s="18"/>
      <c r="D129" s="17"/>
      <c r="E129" s="17"/>
      <c r="F129" s="17"/>
      <c r="G129" s="17"/>
      <c r="H129" s="17"/>
      <c r="I129" s="17"/>
      <c r="J129" s="17"/>
    </row>
    <row r="130" spans="1:10">
      <c r="A130" s="6">
        <f t="shared" si="1"/>
        <v>125</v>
      </c>
      <c r="B130" s="49"/>
      <c r="C130" s="18"/>
      <c r="D130" s="17"/>
      <c r="E130" s="17"/>
      <c r="F130" s="17"/>
      <c r="G130" s="17"/>
      <c r="H130" s="17"/>
      <c r="I130" s="17"/>
      <c r="J130" s="17"/>
    </row>
    <row r="131" spans="1:10">
      <c r="A131" s="6">
        <f t="shared" si="1"/>
        <v>126</v>
      </c>
      <c r="B131" s="49"/>
      <c r="C131" s="18"/>
      <c r="D131" s="17"/>
      <c r="E131" s="17"/>
      <c r="F131" s="17"/>
      <c r="G131" s="17"/>
      <c r="H131" s="17"/>
      <c r="I131" s="17"/>
      <c r="J131" s="17"/>
    </row>
    <row r="132" spans="1:10">
      <c r="A132" s="6">
        <f t="shared" si="1"/>
        <v>127</v>
      </c>
      <c r="B132" s="49"/>
      <c r="C132" s="18"/>
      <c r="D132" s="17"/>
      <c r="E132" s="17"/>
      <c r="F132" s="17"/>
      <c r="G132" s="17"/>
      <c r="H132" s="17"/>
      <c r="I132" s="17"/>
      <c r="J132" s="17"/>
    </row>
    <row r="133" spans="1:10">
      <c r="A133" s="6">
        <f t="shared" si="1"/>
        <v>128</v>
      </c>
      <c r="B133" s="49"/>
      <c r="C133" s="18"/>
      <c r="D133" s="17"/>
      <c r="E133" s="17"/>
      <c r="F133" s="17"/>
      <c r="G133" s="17"/>
      <c r="H133" s="17"/>
      <c r="I133" s="17"/>
      <c r="J133" s="17"/>
    </row>
    <row r="134" spans="1:10">
      <c r="A134" s="6">
        <f t="shared" si="1"/>
        <v>129</v>
      </c>
      <c r="B134" s="49"/>
      <c r="C134" s="18"/>
      <c r="D134" s="17"/>
      <c r="E134" s="17"/>
      <c r="F134" s="17"/>
      <c r="G134" s="17"/>
      <c r="H134" s="17"/>
      <c r="I134" s="17"/>
      <c r="J134" s="17"/>
    </row>
    <row r="135" spans="1:10">
      <c r="A135" s="6">
        <f t="shared" ref="A135:A198" si="2">ROW(A130)</f>
        <v>130</v>
      </c>
      <c r="B135" s="49"/>
      <c r="C135" s="18"/>
      <c r="D135" s="17"/>
      <c r="E135" s="17"/>
      <c r="F135" s="17"/>
      <c r="G135" s="17"/>
      <c r="H135" s="17"/>
      <c r="I135" s="17"/>
      <c r="J135" s="17"/>
    </row>
    <row r="136" spans="1:10">
      <c r="A136" s="6">
        <f t="shared" si="2"/>
        <v>131</v>
      </c>
      <c r="B136" s="49"/>
      <c r="C136" s="18"/>
      <c r="D136" s="17"/>
      <c r="E136" s="17"/>
      <c r="F136" s="17"/>
      <c r="G136" s="17"/>
      <c r="H136" s="17"/>
      <c r="I136" s="17"/>
      <c r="J136" s="17"/>
    </row>
    <row r="137" spans="1:10">
      <c r="A137" s="6">
        <f t="shared" si="2"/>
        <v>132</v>
      </c>
      <c r="B137" s="49"/>
      <c r="C137" s="18"/>
      <c r="D137" s="17"/>
      <c r="E137" s="17"/>
      <c r="F137" s="17"/>
      <c r="G137" s="17"/>
      <c r="H137" s="17"/>
      <c r="I137" s="17"/>
      <c r="J137" s="17"/>
    </row>
    <row r="138" spans="1:10">
      <c r="A138" s="6">
        <f t="shared" si="2"/>
        <v>133</v>
      </c>
      <c r="B138" s="49"/>
      <c r="C138" s="18"/>
      <c r="D138" s="17"/>
      <c r="E138" s="17"/>
      <c r="F138" s="17"/>
      <c r="G138" s="17"/>
      <c r="H138" s="17"/>
      <c r="I138" s="17"/>
      <c r="J138" s="17"/>
    </row>
    <row r="139" spans="1:10">
      <c r="A139" s="6">
        <f t="shared" si="2"/>
        <v>134</v>
      </c>
      <c r="B139" s="49"/>
      <c r="C139" s="18"/>
      <c r="D139" s="17"/>
      <c r="E139" s="17"/>
      <c r="F139" s="17"/>
      <c r="G139" s="17"/>
      <c r="H139" s="17"/>
      <c r="I139" s="17"/>
      <c r="J139" s="17"/>
    </row>
    <row r="140" spans="1:10">
      <c r="A140" s="6">
        <f t="shared" si="2"/>
        <v>135</v>
      </c>
      <c r="B140" s="49"/>
      <c r="C140" s="18"/>
      <c r="D140" s="17"/>
      <c r="E140" s="17"/>
      <c r="F140" s="17"/>
      <c r="G140" s="17"/>
      <c r="H140" s="17"/>
      <c r="I140" s="17"/>
      <c r="J140" s="17"/>
    </row>
    <row r="141" spans="1:10">
      <c r="A141" s="6">
        <f t="shared" si="2"/>
        <v>136</v>
      </c>
      <c r="B141" s="49"/>
      <c r="C141" s="18"/>
      <c r="D141" s="17"/>
      <c r="E141" s="17"/>
      <c r="F141" s="17"/>
      <c r="G141" s="17"/>
      <c r="H141" s="17"/>
      <c r="I141" s="17"/>
      <c r="J141" s="17"/>
    </row>
    <row r="142" spans="1:10">
      <c r="A142" s="6">
        <f t="shared" si="2"/>
        <v>137</v>
      </c>
      <c r="B142" s="49"/>
      <c r="C142" s="18"/>
      <c r="D142" s="17"/>
      <c r="E142" s="17"/>
      <c r="F142" s="17"/>
      <c r="G142" s="17"/>
      <c r="H142" s="17"/>
      <c r="I142" s="17"/>
      <c r="J142" s="17"/>
    </row>
    <row r="143" spans="1:10">
      <c r="A143" s="6">
        <f t="shared" si="2"/>
        <v>138</v>
      </c>
      <c r="B143" s="49"/>
      <c r="C143" s="18"/>
      <c r="D143" s="17"/>
      <c r="E143" s="17"/>
      <c r="F143" s="17"/>
      <c r="G143" s="17"/>
      <c r="H143" s="17"/>
      <c r="I143" s="17"/>
      <c r="J143" s="17"/>
    </row>
    <row r="144" spans="1:10">
      <c r="A144" s="6">
        <f t="shared" si="2"/>
        <v>139</v>
      </c>
      <c r="B144" s="49"/>
      <c r="C144" s="18"/>
      <c r="D144" s="17"/>
      <c r="E144" s="17"/>
      <c r="F144" s="17"/>
      <c r="G144" s="17"/>
      <c r="H144" s="17"/>
      <c r="I144" s="17"/>
      <c r="J144" s="17"/>
    </row>
    <row r="145" spans="1:10">
      <c r="A145" s="6">
        <f t="shared" si="2"/>
        <v>140</v>
      </c>
      <c r="B145" s="49"/>
      <c r="C145" s="18"/>
      <c r="D145" s="17"/>
      <c r="E145" s="17"/>
      <c r="F145" s="17"/>
      <c r="G145" s="17"/>
      <c r="H145" s="17"/>
      <c r="I145" s="17"/>
      <c r="J145" s="17"/>
    </row>
    <row r="146" spans="1:10">
      <c r="A146" s="6">
        <f t="shared" si="2"/>
        <v>141</v>
      </c>
      <c r="B146" s="49"/>
      <c r="C146" s="18"/>
      <c r="D146" s="17"/>
      <c r="E146" s="17"/>
      <c r="F146" s="17"/>
      <c r="G146" s="17"/>
      <c r="H146" s="17"/>
      <c r="I146" s="17"/>
      <c r="J146" s="17"/>
    </row>
    <row r="147" spans="1:10">
      <c r="A147" s="6">
        <f t="shared" si="2"/>
        <v>142</v>
      </c>
      <c r="B147" s="49"/>
      <c r="C147" s="18"/>
      <c r="D147" s="17"/>
      <c r="E147" s="17"/>
      <c r="F147" s="17"/>
      <c r="G147" s="17"/>
      <c r="H147" s="17"/>
      <c r="I147" s="17"/>
      <c r="J147" s="17"/>
    </row>
    <row r="148" spans="1:10">
      <c r="A148" s="6">
        <f t="shared" si="2"/>
        <v>143</v>
      </c>
      <c r="B148" s="49"/>
      <c r="C148" s="18"/>
      <c r="D148" s="17"/>
      <c r="E148" s="17"/>
      <c r="F148" s="17"/>
      <c r="G148" s="17"/>
      <c r="H148" s="17"/>
      <c r="I148" s="17"/>
      <c r="J148" s="17"/>
    </row>
    <row r="149" spans="1:10">
      <c r="A149" s="6">
        <f t="shared" si="2"/>
        <v>144</v>
      </c>
      <c r="B149" s="49"/>
      <c r="C149" s="18"/>
      <c r="D149" s="17"/>
      <c r="E149" s="17"/>
      <c r="F149" s="17"/>
      <c r="G149" s="17"/>
      <c r="H149" s="17"/>
      <c r="I149" s="17"/>
      <c r="J149" s="17"/>
    </row>
    <row r="150" spans="1:10">
      <c r="A150" s="6">
        <f t="shared" si="2"/>
        <v>145</v>
      </c>
      <c r="B150" s="49"/>
      <c r="C150" s="18"/>
      <c r="D150" s="17"/>
      <c r="E150" s="17"/>
      <c r="F150" s="17"/>
      <c r="G150" s="17"/>
      <c r="H150" s="17"/>
      <c r="I150" s="17"/>
      <c r="J150" s="17"/>
    </row>
    <row r="151" spans="1:10">
      <c r="A151" s="6">
        <f t="shared" si="2"/>
        <v>146</v>
      </c>
      <c r="B151" s="49"/>
      <c r="C151" s="18"/>
      <c r="D151" s="17"/>
      <c r="E151" s="17"/>
      <c r="F151" s="17"/>
      <c r="G151" s="17"/>
      <c r="H151" s="17"/>
      <c r="I151" s="17"/>
      <c r="J151" s="17"/>
    </row>
    <row r="152" spans="1:10">
      <c r="A152" s="6">
        <f t="shared" si="2"/>
        <v>147</v>
      </c>
      <c r="B152" s="49"/>
      <c r="C152" s="18"/>
      <c r="D152" s="17"/>
      <c r="E152" s="17"/>
      <c r="F152" s="17"/>
      <c r="G152" s="17"/>
      <c r="H152" s="17"/>
      <c r="I152" s="17"/>
      <c r="J152" s="17"/>
    </row>
    <row r="153" spans="1:10">
      <c r="A153" s="6">
        <f t="shared" si="2"/>
        <v>148</v>
      </c>
      <c r="B153" s="49"/>
      <c r="C153" s="18"/>
      <c r="D153" s="17"/>
      <c r="E153" s="17"/>
      <c r="F153" s="17"/>
      <c r="G153" s="17"/>
      <c r="H153" s="17"/>
      <c r="I153" s="17"/>
      <c r="J153" s="17"/>
    </row>
    <row r="154" spans="1:10">
      <c r="A154" s="6">
        <f t="shared" si="2"/>
        <v>149</v>
      </c>
      <c r="B154" s="49"/>
      <c r="C154" s="18"/>
      <c r="D154" s="17"/>
      <c r="E154" s="17"/>
      <c r="F154" s="17"/>
      <c r="G154" s="17"/>
      <c r="H154" s="17"/>
      <c r="I154" s="17"/>
      <c r="J154" s="17"/>
    </row>
    <row r="155" spans="1:10">
      <c r="A155" s="6">
        <f t="shared" si="2"/>
        <v>150</v>
      </c>
      <c r="B155" s="49"/>
      <c r="C155" s="18"/>
      <c r="D155" s="17"/>
      <c r="E155" s="17"/>
      <c r="F155" s="17"/>
      <c r="G155" s="17"/>
      <c r="H155" s="17"/>
      <c r="I155" s="17"/>
      <c r="J155" s="17"/>
    </row>
    <row r="156" spans="1:10">
      <c r="A156" s="6">
        <f t="shared" si="2"/>
        <v>151</v>
      </c>
      <c r="B156" s="49"/>
      <c r="C156" s="18"/>
      <c r="D156" s="17"/>
      <c r="E156" s="17"/>
      <c r="F156" s="17"/>
      <c r="G156" s="17"/>
      <c r="H156" s="17"/>
      <c r="I156" s="17"/>
      <c r="J156" s="17"/>
    </row>
    <row r="157" spans="1:10">
      <c r="A157" s="6">
        <f t="shared" si="2"/>
        <v>152</v>
      </c>
      <c r="B157" s="49"/>
      <c r="C157" s="18"/>
      <c r="D157" s="17"/>
      <c r="E157" s="17"/>
      <c r="F157" s="17"/>
      <c r="G157" s="17"/>
      <c r="H157" s="17"/>
      <c r="I157" s="17"/>
      <c r="J157" s="17"/>
    </row>
    <row r="158" spans="1:10">
      <c r="A158" s="6">
        <f t="shared" si="2"/>
        <v>153</v>
      </c>
      <c r="B158" s="49"/>
      <c r="C158" s="18"/>
      <c r="D158" s="17"/>
      <c r="E158" s="17"/>
      <c r="F158" s="17"/>
      <c r="G158" s="17"/>
      <c r="H158" s="17"/>
      <c r="I158" s="17"/>
      <c r="J158" s="17"/>
    </row>
    <row r="159" spans="1:10">
      <c r="A159" s="6">
        <f t="shared" si="2"/>
        <v>154</v>
      </c>
      <c r="B159" s="49"/>
      <c r="C159" s="18"/>
      <c r="D159" s="17"/>
      <c r="E159" s="17"/>
      <c r="F159" s="17"/>
      <c r="G159" s="17"/>
      <c r="H159" s="17"/>
      <c r="I159" s="17"/>
      <c r="J159" s="17"/>
    </row>
    <row r="160" spans="1:10">
      <c r="A160" s="6">
        <f t="shared" si="2"/>
        <v>155</v>
      </c>
      <c r="B160" s="49"/>
      <c r="C160" s="18"/>
      <c r="D160" s="17"/>
      <c r="E160" s="17"/>
      <c r="F160" s="17"/>
      <c r="G160" s="17"/>
      <c r="H160" s="17"/>
      <c r="I160" s="17"/>
      <c r="J160" s="17"/>
    </row>
    <row r="161" spans="1:10">
      <c r="A161" s="6">
        <f t="shared" si="2"/>
        <v>156</v>
      </c>
      <c r="B161" s="49"/>
      <c r="C161" s="18"/>
      <c r="D161" s="17"/>
      <c r="E161" s="17"/>
      <c r="F161" s="17"/>
      <c r="G161" s="17"/>
      <c r="H161" s="17"/>
      <c r="I161" s="17"/>
      <c r="J161" s="17"/>
    </row>
    <row r="162" spans="1:10">
      <c r="A162" s="6">
        <f t="shared" si="2"/>
        <v>157</v>
      </c>
      <c r="B162" s="49"/>
      <c r="C162" s="18"/>
      <c r="D162" s="17"/>
      <c r="E162" s="17"/>
      <c r="F162" s="17"/>
      <c r="G162" s="17"/>
      <c r="H162" s="17"/>
      <c r="I162" s="17"/>
      <c r="J162" s="17"/>
    </row>
    <row r="163" spans="1:10">
      <c r="A163" s="6">
        <f t="shared" si="2"/>
        <v>158</v>
      </c>
      <c r="B163" s="49"/>
      <c r="C163" s="18"/>
      <c r="D163" s="17"/>
      <c r="E163" s="17"/>
      <c r="F163" s="17"/>
      <c r="G163" s="17"/>
      <c r="H163" s="17"/>
      <c r="I163" s="17"/>
      <c r="J163" s="17"/>
    </row>
    <row r="164" spans="1:10">
      <c r="A164" s="6">
        <f t="shared" si="2"/>
        <v>159</v>
      </c>
      <c r="B164" s="49"/>
      <c r="C164" s="18"/>
      <c r="D164" s="17"/>
      <c r="E164" s="17"/>
      <c r="F164" s="17"/>
      <c r="G164" s="17"/>
      <c r="H164" s="17"/>
      <c r="I164" s="17"/>
      <c r="J164" s="17"/>
    </row>
    <row r="165" spans="1:10">
      <c r="A165" s="6">
        <f t="shared" si="2"/>
        <v>160</v>
      </c>
      <c r="B165" s="49"/>
      <c r="C165" s="18"/>
      <c r="D165" s="17"/>
      <c r="E165" s="17"/>
      <c r="F165" s="17"/>
      <c r="G165" s="17"/>
      <c r="H165" s="17"/>
      <c r="I165" s="17"/>
      <c r="J165" s="17"/>
    </row>
    <row r="166" spans="1:10">
      <c r="A166" s="6">
        <f t="shared" si="2"/>
        <v>161</v>
      </c>
      <c r="B166" s="49"/>
      <c r="C166" s="18"/>
      <c r="D166" s="17"/>
      <c r="E166" s="17"/>
      <c r="F166" s="17"/>
      <c r="G166" s="17"/>
      <c r="H166" s="17"/>
      <c r="I166" s="17"/>
      <c r="J166" s="17"/>
    </row>
    <row r="167" spans="1:10">
      <c r="A167" s="6">
        <f t="shared" si="2"/>
        <v>162</v>
      </c>
      <c r="B167" s="49"/>
      <c r="C167" s="18"/>
      <c r="D167" s="17"/>
      <c r="E167" s="17"/>
      <c r="F167" s="17"/>
      <c r="G167" s="17"/>
      <c r="H167" s="17"/>
      <c r="I167" s="17"/>
      <c r="J167" s="17"/>
    </row>
    <row r="168" spans="1:10">
      <c r="A168" s="6">
        <f t="shared" si="2"/>
        <v>163</v>
      </c>
      <c r="B168" s="49"/>
      <c r="C168" s="18"/>
      <c r="D168" s="17"/>
      <c r="E168" s="17"/>
      <c r="F168" s="17"/>
      <c r="G168" s="17"/>
      <c r="H168" s="17"/>
      <c r="I168" s="17"/>
      <c r="J168" s="17"/>
    </row>
    <row r="169" spans="1:10">
      <c r="A169" s="6">
        <f t="shared" si="2"/>
        <v>164</v>
      </c>
      <c r="B169" s="49"/>
      <c r="C169" s="18"/>
      <c r="D169" s="17"/>
      <c r="E169" s="17"/>
      <c r="F169" s="17"/>
      <c r="G169" s="17"/>
      <c r="H169" s="17"/>
      <c r="I169" s="17"/>
      <c r="J169" s="17"/>
    </row>
    <row r="170" spans="1:10">
      <c r="A170" s="6">
        <f t="shared" si="2"/>
        <v>165</v>
      </c>
      <c r="B170" s="49"/>
      <c r="C170" s="18"/>
      <c r="D170" s="17"/>
      <c r="E170" s="17"/>
      <c r="F170" s="17"/>
      <c r="G170" s="17"/>
      <c r="H170" s="17"/>
      <c r="I170" s="17"/>
      <c r="J170" s="17"/>
    </row>
    <row r="171" spans="1:10">
      <c r="A171" s="6">
        <f t="shared" si="2"/>
        <v>166</v>
      </c>
      <c r="B171" s="49"/>
      <c r="C171" s="18"/>
      <c r="D171" s="17"/>
      <c r="E171" s="17"/>
      <c r="F171" s="17"/>
      <c r="G171" s="17"/>
      <c r="H171" s="17"/>
      <c r="I171" s="17"/>
      <c r="J171" s="17"/>
    </row>
    <row r="172" spans="1:10">
      <c r="A172" s="6">
        <f t="shared" si="2"/>
        <v>167</v>
      </c>
      <c r="B172" s="49"/>
      <c r="C172" s="18"/>
      <c r="D172" s="17"/>
      <c r="E172" s="17"/>
      <c r="F172" s="17"/>
      <c r="G172" s="17"/>
      <c r="H172" s="17"/>
      <c r="I172" s="17"/>
      <c r="J172" s="17"/>
    </row>
    <row r="173" spans="1:10">
      <c r="A173" s="6">
        <f t="shared" si="2"/>
        <v>168</v>
      </c>
      <c r="B173" s="49"/>
      <c r="C173" s="18"/>
      <c r="D173" s="17"/>
      <c r="E173" s="17"/>
      <c r="F173" s="17"/>
      <c r="G173" s="17"/>
      <c r="H173" s="17"/>
      <c r="I173" s="17"/>
      <c r="J173" s="17"/>
    </row>
    <row r="174" spans="1:10">
      <c r="A174" s="6">
        <f t="shared" si="2"/>
        <v>169</v>
      </c>
      <c r="B174" s="49"/>
      <c r="C174" s="18"/>
      <c r="D174" s="17"/>
      <c r="E174" s="17"/>
      <c r="F174" s="17"/>
      <c r="G174" s="17"/>
      <c r="H174" s="17"/>
      <c r="I174" s="17"/>
      <c r="J174" s="17"/>
    </row>
    <row r="175" spans="1:10">
      <c r="A175" s="6">
        <f t="shared" si="2"/>
        <v>170</v>
      </c>
      <c r="B175" s="49"/>
      <c r="C175" s="18"/>
      <c r="D175" s="17"/>
      <c r="E175" s="17"/>
      <c r="F175" s="17"/>
      <c r="G175" s="17"/>
      <c r="H175" s="17"/>
      <c r="I175" s="17"/>
      <c r="J175" s="17"/>
    </row>
    <row r="176" spans="1:10">
      <c r="A176" s="6">
        <f t="shared" si="2"/>
        <v>171</v>
      </c>
      <c r="B176" s="49"/>
      <c r="C176" s="18"/>
      <c r="D176" s="17"/>
      <c r="E176" s="17"/>
      <c r="F176" s="17"/>
      <c r="G176" s="17"/>
      <c r="H176" s="17"/>
      <c r="I176" s="17"/>
      <c r="J176" s="17"/>
    </row>
    <row r="177" spans="1:10">
      <c r="A177" s="6">
        <f t="shared" si="2"/>
        <v>172</v>
      </c>
      <c r="B177" s="49"/>
      <c r="C177" s="18"/>
      <c r="D177" s="17"/>
      <c r="E177" s="17"/>
      <c r="F177" s="17"/>
      <c r="G177" s="17"/>
      <c r="H177" s="17"/>
      <c r="I177" s="17"/>
      <c r="J177" s="17"/>
    </row>
    <row r="178" spans="1:10">
      <c r="A178" s="6">
        <f t="shared" si="2"/>
        <v>173</v>
      </c>
      <c r="B178" s="49"/>
      <c r="C178" s="18"/>
      <c r="D178" s="17"/>
      <c r="E178" s="17"/>
      <c r="F178" s="17"/>
      <c r="G178" s="17"/>
      <c r="H178" s="17"/>
      <c r="I178" s="17"/>
      <c r="J178" s="17"/>
    </row>
    <row r="179" spans="1:10">
      <c r="A179" s="6">
        <f t="shared" si="2"/>
        <v>174</v>
      </c>
      <c r="B179" s="49"/>
      <c r="C179" s="18"/>
      <c r="D179" s="17"/>
      <c r="E179" s="17"/>
      <c r="F179" s="17"/>
      <c r="G179" s="17"/>
      <c r="H179" s="17"/>
      <c r="I179" s="17"/>
      <c r="J179" s="17"/>
    </row>
    <row r="180" spans="1:10">
      <c r="A180" s="6">
        <f t="shared" si="2"/>
        <v>175</v>
      </c>
      <c r="B180" s="49"/>
      <c r="C180" s="18"/>
      <c r="D180" s="17"/>
      <c r="E180" s="17"/>
      <c r="F180" s="17"/>
      <c r="G180" s="17"/>
      <c r="H180" s="17"/>
      <c r="I180" s="17"/>
      <c r="J180" s="17"/>
    </row>
    <row r="181" spans="1:10">
      <c r="A181" s="6">
        <f t="shared" si="2"/>
        <v>176</v>
      </c>
      <c r="B181" s="49"/>
      <c r="C181" s="18"/>
      <c r="D181" s="17"/>
      <c r="E181" s="17"/>
      <c r="F181" s="17"/>
      <c r="G181" s="17"/>
      <c r="H181" s="17"/>
      <c r="I181" s="17"/>
      <c r="J181" s="17"/>
    </row>
    <row r="182" spans="1:10">
      <c r="A182" s="6">
        <f t="shared" si="2"/>
        <v>177</v>
      </c>
      <c r="B182" s="49"/>
      <c r="C182" s="18"/>
      <c r="D182" s="17"/>
      <c r="E182" s="17"/>
      <c r="F182" s="17"/>
      <c r="G182" s="17"/>
      <c r="H182" s="17"/>
      <c r="I182" s="17"/>
      <c r="J182" s="17"/>
    </row>
    <row r="183" spans="1:10">
      <c r="A183" s="6">
        <f t="shared" si="2"/>
        <v>178</v>
      </c>
      <c r="B183" s="49"/>
      <c r="C183" s="18"/>
      <c r="D183" s="17"/>
      <c r="E183" s="17"/>
      <c r="F183" s="17"/>
      <c r="G183" s="17"/>
      <c r="H183" s="17"/>
      <c r="I183" s="17"/>
      <c r="J183" s="17"/>
    </row>
    <row r="184" spans="1:10">
      <c r="A184" s="6">
        <f t="shared" si="2"/>
        <v>179</v>
      </c>
      <c r="B184" s="49"/>
      <c r="C184" s="18"/>
      <c r="D184" s="17"/>
      <c r="E184" s="17"/>
      <c r="F184" s="17"/>
      <c r="G184" s="17"/>
      <c r="H184" s="17"/>
      <c r="I184" s="17"/>
      <c r="J184" s="17"/>
    </row>
    <row r="185" spans="1:10">
      <c r="A185" s="6">
        <f t="shared" si="2"/>
        <v>180</v>
      </c>
      <c r="B185" s="49"/>
      <c r="C185" s="18"/>
      <c r="D185" s="17"/>
      <c r="E185" s="17"/>
      <c r="F185" s="17"/>
      <c r="G185" s="17"/>
      <c r="H185" s="17"/>
      <c r="I185" s="17"/>
      <c r="J185" s="17"/>
    </row>
    <row r="186" spans="1:10">
      <c r="A186" s="6">
        <f t="shared" si="2"/>
        <v>181</v>
      </c>
      <c r="B186" s="49"/>
      <c r="C186" s="18"/>
      <c r="D186" s="17"/>
      <c r="E186" s="17"/>
      <c r="F186" s="17"/>
      <c r="G186" s="17"/>
      <c r="H186" s="17"/>
      <c r="I186" s="17"/>
      <c r="J186" s="17"/>
    </row>
    <row r="187" spans="1:10">
      <c r="A187" s="6">
        <f t="shared" si="2"/>
        <v>182</v>
      </c>
      <c r="B187" s="49"/>
      <c r="C187" s="18"/>
      <c r="D187" s="17"/>
      <c r="E187" s="17"/>
      <c r="F187" s="17"/>
      <c r="G187" s="17"/>
      <c r="H187" s="17"/>
      <c r="I187" s="17"/>
      <c r="J187" s="17"/>
    </row>
    <row r="188" spans="1:10">
      <c r="A188" s="6">
        <f t="shared" si="2"/>
        <v>183</v>
      </c>
      <c r="B188" s="49"/>
      <c r="C188" s="18"/>
      <c r="D188" s="17"/>
      <c r="E188" s="17"/>
      <c r="F188" s="17"/>
      <c r="G188" s="17"/>
      <c r="H188" s="17"/>
      <c r="I188" s="17"/>
      <c r="J188" s="17"/>
    </row>
    <row r="189" spans="1:10">
      <c r="A189" s="6">
        <f t="shared" si="2"/>
        <v>184</v>
      </c>
      <c r="B189" s="49"/>
      <c r="C189" s="18"/>
      <c r="D189" s="17"/>
      <c r="E189" s="17"/>
      <c r="F189" s="17"/>
      <c r="G189" s="17"/>
      <c r="H189" s="17"/>
      <c r="I189" s="17"/>
      <c r="J189" s="17"/>
    </row>
    <row r="190" spans="1:10">
      <c r="A190" s="6">
        <f t="shared" si="2"/>
        <v>185</v>
      </c>
      <c r="B190" s="49"/>
      <c r="C190" s="18"/>
      <c r="D190" s="17"/>
      <c r="E190" s="17"/>
      <c r="F190" s="17"/>
      <c r="G190" s="17"/>
      <c r="H190" s="17"/>
      <c r="I190" s="17"/>
      <c r="J190" s="17"/>
    </row>
    <row r="191" spans="1:10">
      <c r="A191" s="6">
        <f t="shared" si="2"/>
        <v>186</v>
      </c>
      <c r="B191" s="49"/>
      <c r="C191" s="18"/>
      <c r="D191" s="17"/>
      <c r="E191" s="17"/>
      <c r="F191" s="17"/>
      <c r="G191" s="17"/>
      <c r="H191" s="17"/>
      <c r="I191" s="17"/>
      <c r="J191" s="17"/>
    </row>
    <row r="192" spans="1:10">
      <c r="A192" s="6">
        <f t="shared" si="2"/>
        <v>187</v>
      </c>
      <c r="B192" s="49"/>
      <c r="C192" s="18"/>
      <c r="D192" s="17"/>
      <c r="E192" s="17"/>
      <c r="F192" s="17"/>
      <c r="G192" s="17"/>
      <c r="H192" s="17"/>
      <c r="I192" s="17"/>
      <c r="J192" s="17"/>
    </row>
    <row r="193" spans="1:10">
      <c r="A193" s="6">
        <f t="shared" si="2"/>
        <v>188</v>
      </c>
      <c r="B193" s="49"/>
      <c r="C193" s="18"/>
      <c r="D193" s="17"/>
      <c r="E193" s="17"/>
      <c r="F193" s="17"/>
      <c r="G193" s="17"/>
      <c r="H193" s="17"/>
      <c r="I193" s="17"/>
      <c r="J193" s="17"/>
    </row>
    <row r="194" spans="1:10">
      <c r="A194" s="6">
        <f t="shared" si="2"/>
        <v>189</v>
      </c>
      <c r="B194" s="49"/>
      <c r="C194" s="18"/>
      <c r="D194" s="17"/>
      <c r="E194" s="17"/>
      <c r="F194" s="17"/>
      <c r="G194" s="17"/>
      <c r="H194" s="17"/>
      <c r="I194" s="17"/>
      <c r="J194" s="17"/>
    </row>
    <row r="195" spans="1:10">
      <c r="A195" s="6">
        <f t="shared" si="2"/>
        <v>190</v>
      </c>
      <c r="B195" s="49"/>
      <c r="C195" s="18"/>
      <c r="D195" s="17"/>
      <c r="E195" s="17"/>
      <c r="F195" s="17"/>
      <c r="G195" s="17"/>
      <c r="H195" s="17"/>
      <c r="I195" s="17"/>
      <c r="J195" s="17"/>
    </row>
    <row r="196" spans="1:10">
      <c r="A196" s="6">
        <f t="shared" si="2"/>
        <v>191</v>
      </c>
      <c r="B196" s="49"/>
      <c r="C196" s="18"/>
      <c r="D196" s="17"/>
      <c r="E196" s="17"/>
      <c r="F196" s="17"/>
      <c r="G196" s="17"/>
      <c r="H196" s="17"/>
      <c r="I196" s="17"/>
      <c r="J196" s="17"/>
    </row>
    <row r="197" spans="1:10">
      <c r="A197" s="6">
        <f t="shared" si="2"/>
        <v>192</v>
      </c>
      <c r="B197" s="49"/>
      <c r="C197" s="18"/>
      <c r="D197" s="17"/>
      <c r="E197" s="17"/>
      <c r="F197" s="17"/>
      <c r="G197" s="17"/>
      <c r="H197" s="17"/>
      <c r="I197" s="17"/>
      <c r="J197" s="17"/>
    </row>
    <row r="198" spans="1:10">
      <c r="A198" s="6">
        <f t="shared" si="2"/>
        <v>193</v>
      </c>
      <c r="B198" s="49"/>
      <c r="C198" s="18"/>
      <c r="D198" s="17"/>
      <c r="E198" s="17"/>
      <c r="F198" s="17"/>
      <c r="G198" s="17"/>
      <c r="H198" s="17"/>
      <c r="I198" s="17"/>
      <c r="J198" s="17"/>
    </row>
    <row r="199" spans="1:10">
      <c r="A199" s="6">
        <f t="shared" ref="A199:A262" si="3">ROW(A194)</f>
        <v>194</v>
      </c>
      <c r="B199" s="49"/>
      <c r="C199" s="18"/>
      <c r="D199" s="17"/>
      <c r="E199" s="17"/>
      <c r="F199" s="17"/>
      <c r="G199" s="17"/>
      <c r="H199" s="17"/>
      <c r="I199" s="17"/>
      <c r="J199" s="17"/>
    </row>
    <row r="200" spans="1:10">
      <c r="A200" s="6">
        <f t="shared" si="3"/>
        <v>195</v>
      </c>
      <c r="B200" s="49"/>
      <c r="C200" s="18"/>
      <c r="D200" s="17"/>
      <c r="E200" s="17"/>
      <c r="F200" s="17"/>
      <c r="G200" s="17"/>
      <c r="H200" s="17"/>
      <c r="I200" s="17"/>
      <c r="J200" s="17"/>
    </row>
    <row r="201" spans="1:10">
      <c r="A201" s="6">
        <f t="shared" si="3"/>
        <v>196</v>
      </c>
      <c r="B201" s="49"/>
      <c r="C201" s="18"/>
      <c r="D201" s="17"/>
      <c r="E201" s="17"/>
      <c r="F201" s="17"/>
      <c r="G201" s="17"/>
      <c r="H201" s="17"/>
      <c r="I201" s="17"/>
      <c r="J201" s="17"/>
    </row>
    <row r="202" spans="1:10">
      <c r="A202" s="6">
        <f t="shared" si="3"/>
        <v>197</v>
      </c>
      <c r="B202" s="49"/>
      <c r="C202" s="18"/>
      <c r="D202" s="17"/>
      <c r="E202" s="17"/>
      <c r="F202" s="17"/>
      <c r="G202" s="17"/>
      <c r="H202" s="17"/>
      <c r="I202" s="17"/>
      <c r="J202" s="17"/>
    </row>
    <row r="203" spans="1:10">
      <c r="A203" s="6">
        <f t="shared" si="3"/>
        <v>198</v>
      </c>
      <c r="B203" s="49"/>
      <c r="C203" s="18"/>
      <c r="D203" s="17"/>
      <c r="E203" s="17"/>
      <c r="F203" s="17"/>
      <c r="G203" s="17"/>
      <c r="H203" s="17"/>
      <c r="I203" s="17"/>
      <c r="J203" s="17"/>
    </row>
    <row r="204" spans="1:10">
      <c r="A204" s="6">
        <f t="shared" si="3"/>
        <v>199</v>
      </c>
      <c r="B204" s="49"/>
      <c r="C204" s="18"/>
      <c r="D204" s="17"/>
      <c r="E204" s="17"/>
      <c r="F204" s="17"/>
      <c r="G204" s="17"/>
      <c r="H204" s="17"/>
      <c r="I204" s="17"/>
      <c r="J204" s="17"/>
    </row>
    <row r="205" spans="1:10">
      <c r="A205" s="6">
        <f t="shared" si="3"/>
        <v>200</v>
      </c>
      <c r="B205" s="49"/>
      <c r="C205" s="18"/>
      <c r="D205" s="17"/>
      <c r="E205" s="17"/>
      <c r="F205" s="17"/>
      <c r="G205" s="17"/>
      <c r="H205" s="17"/>
      <c r="I205" s="17"/>
      <c r="J205" s="17"/>
    </row>
    <row r="206" spans="1:10">
      <c r="A206" s="6">
        <f t="shared" si="3"/>
        <v>201</v>
      </c>
      <c r="B206" s="49"/>
      <c r="C206" s="18"/>
      <c r="D206" s="17"/>
      <c r="E206" s="17"/>
      <c r="F206" s="17"/>
      <c r="G206" s="17"/>
      <c r="H206" s="17"/>
      <c r="I206" s="17"/>
      <c r="J206" s="17"/>
    </row>
    <row r="207" spans="1:10">
      <c r="A207" s="6">
        <f t="shared" si="3"/>
        <v>202</v>
      </c>
      <c r="B207" s="49"/>
      <c r="C207" s="18"/>
      <c r="D207" s="17"/>
      <c r="E207" s="17"/>
      <c r="F207" s="17"/>
      <c r="G207" s="17"/>
      <c r="H207" s="17"/>
      <c r="I207" s="17"/>
      <c r="J207" s="17"/>
    </row>
    <row r="208" spans="1:10">
      <c r="A208" s="6">
        <f t="shared" si="3"/>
        <v>203</v>
      </c>
      <c r="B208" s="49"/>
      <c r="C208" s="18"/>
      <c r="D208" s="17"/>
      <c r="E208" s="17"/>
      <c r="F208" s="17"/>
      <c r="G208" s="17"/>
      <c r="H208" s="17"/>
      <c r="I208" s="17"/>
      <c r="J208" s="17"/>
    </row>
    <row r="209" spans="1:10">
      <c r="A209" s="6">
        <f t="shared" si="3"/>
        <v>204</v>
      </c>
      <c r="B209" s="49"/>
      <c r="C209" s="18"/>
      <c r="D209" s="17"/>
      <c r="E209" s="17"/>
      <c r="F209" s="17"/>
      <c r="G209" s="17"/>
      <c r="H209" s="17"/>
      <c r="I209" s="17"/>
      <c r="J209" s="17"/>
    </row>
    <row r="210" spans="1:10">
      <c r="A210" s="6">
        <f t="shared" si="3"/>
        <v>205</v>
      </c>
      <c r="B210" s="49"/>
      <c r="C210" s="18"/>
      <c r="D210" s="17"/>
      <c r="E210" s="17"/>
      <c r="F210" s="17"/>
      <c r="G210" s="17"/>
      <c r="H210" s="17"/>
      <c r="I210" s="17"/>
      <c r="J210" s="17"/>
    </row>
    <row r="211" spans="1:10">
      <c r="A211" s="6">
        <f t="shared" si="3"/>
        <v>206</v>
      </c>
      <c r="B211" s="49"/>
      <c r="C211" s="18"/>
      <c r="D211" s="17"/>
      <c r="E211" s="17"/>
      <c r="F211" s="17"/>
      <c r="G211" s="17"/>
      <c r="H211" s="17"/>
      <c r="I211" s="17"/>
      <c r="J211" s="17"/>
    </row>
    <row r="212" spans="1:10">
      <c r="A212" s="6">
        <f t="shared" si="3"/>
        <v>207</v>
      </c>
      <c r="B212" s="49"/>
      <c r="C212" s="18"/>
      <c r="D212" s="17"/>
      <c r="E212" s="17"/>
      <c r="F212" s="17"/>
      <c r="G212" s="17"/>
      <c r="H212" s="17"/>
      <c r="I212" s="17"/>
      <c r="J212" s="17"/>
    </row>
    <row r="213" spans="1:10">
      <c r="A213" s="6">
        <f t="shared" si="3"/>
        <v>208</v>
      </c>
      <c r="B213" s="49"/>
      <c r="C213" s="18"/>
      <c r="D213" s="17"/>
      <c r="E213" s="17"/>
      <c r="F213" s="17"/>
      <c r="G213" s="17"/>
      <c r="H213" s="17"/>
      <c r="I213" s="17"/>
      <c r="J213" s="17"/>
    </row>
    <row r="214" spans="1:10">
      <c r="A214" s="6">
        <f t="shared" si="3"/>
        <v>209</v>
      </c>
      <c r="B214" s="49"/>
      <c r="C214" s="18"/>
      <c r="D214" s="17"/>
      <c r="E214" s="17"/>
      <c r="F214" s="17"/>
      <c r="G214" s="17"/>
      <c r="H214" s="17"/>
      <c r="I214" s="17"/>
      <c r="J214" s="17"/>
    </row>
    <row r="215" spans="1:10">
      <c r="A215" s="6">
        <f t="shared" si="3"/>
        <v>210</v>
      </c>
      <c r="B215" s="49"/>
      <c r="C215" s="18"/>
      <c r="D215" s="17"/>
      <c r="E215" s="17"/>
      <c r="F215" s="17"/>
      <c r="G215" s="17"/>
      <c r="H215" s="17"/>
      <c r="I215" s="17"/>
      <c r="J215" s="17"/>
    </row>
    <row r="216" spans="1:10">
      <c r="A216" s="6">
        <f t="shared" si="3"/>
        <v>211</v>
      </c>
      <c r="B216" s="49"/>
      <c r="C216" s="18"/>
      <c r="D216" s="17"/>
      <c r="E216" s="17"/>
      <c r="F216" s="17"/>
      <c r="G216" s="17"/>
      <c r="H216" s="17"/>
      <c r="I216" s="17"/>
      <c r="J216" s="17"/>
    </row>
    <row r="217" spans="1:10">
      <c r="A217" s="6">
        <f t="shared" si="3"/>
        <v>212</v>
      </c>
      <c r="B217" s="49"/>
      <c r="C217" s="18"/>
      <c r="D217" s="17"/>
      <c r="E217" s="17"/>
      <c r="F217" s="17"/>
      <c r="G217" s="17"/>
      <c r="H217" s="17"/>
      <c r="I217" s="17"/>
      <c r="J217" s="17"/>
    </row>
    <row r="218" spans="1:10">
      <c r="A218" s="6">
        <f t="shared" si="3"/>
        <v>213</v>
      </c>
      <c r="B218" s="49"/>
      <c r="C218" s="18"/>
      <c r="D218" s="17"/>
      <c r="E218" s="17"/>
      <c r="F218" s="17"/>
      <c r="G218" s="17"/>
      <c r="H218" s="17"/>
      <c r="I218" s="17"/>
      <c r="J218" s="17"/>
    </row>
    <row r="219" spans="1:10">
      <c r="A219" s="6">
        <f t="shared" si="3"/>
        <v>214</v>
      </c>
      <c r="B219" s="49"/>
      <c r="C219" s="18"/>
      <c r="D219" s="17"/>
      <c r="E219" s="17"/>
      <c r="F219" s="17"/>
      <c r="G219" s="17"/>
      <c r="H219" s="17"/>
      <c r="I219" s="17"/>
      <c r="J219" s="17"/>
    </row>
    <row r="220" spans="1:10">
      <c r="A220" s="6">
        <f t="shared" si="3"/>
        <v>215</v>
      </c>
      <c r="B220" s="49"/>
      <c r="C220" s="18"/>
      <c r="D220" s="17"/>
      <c r="E220" s="17"/>
      <c r="F220" s="17"/>
      <c r="G220" s="17"/>
      <c r="H220" s="17"/>
      <c r="I220" s="17"/>
      <c r="J220" s="17"/>
    </row>
    <row r="221" spans="1:10">
      <c r="A221" s="6">
        <f t="shared" si="3"/>
        <v>216</v>
      </c>
      <c r="B221" s="49"/>
      <c r="C221" s="18"/>
      <c r="D221" s="17"/>
      <c r="E221" s="17"/>
      <c r="F221" s="17"/>
      <c r="G221" s="17"/>
      <c r="H221" s="17"/>
      <c r="I221" s="17"/>
      <c r="J221" s="17"/>
    </row>
    <row r="222" spans="1:10">
      <c r="A222" s="6">
        <f t="shared" si="3"/>
        <v>217</v>
      </c>
      <c r="B222" s="49"/>
      <c r="C222" s="18"/>
      <c r="D222" s="17"/>
      <c r="E222" s="17"/>
      <c r="F222" s="17"/>
      <c r="G222" s="17"/>
      <c r="H222" s="17"/>
      <c r="I222" s="17"/>
      <c r="J222" s="17"/>
    </row>
    <row r="223" spans="1:10">
      <c r="A223" s="6">
        <f t="shared" si="3"/>
        <v>218</v>
      </c>
      <c r="B223" s="49"/>
      <c r="C223" s="18"/>
      <c r="D223" s="17"/>
      <c r="E223" s="17"/>
      <c r="F223" s="17"/>
      <c r="G223" s="17"/>
      <c r="H223" s="17"/>
      <c r="I223" s="17"/>
      <c r="J223" s="17"/>
    </row>
    <row r="224" spans="1:10">
      <c r="A224" s="6">
        <f t="shared" si="3"/>
        <v>219</v>
      </c>
      <c r="B224" s="49"/>
      <c r="C224" s="18"/>
      <c r="D224" s="17"/>
      <c r="E224" s="17"/>
      <c r="F224" s="17"/>
      <c r="G224" s="17"/>
      <c r="H224" s="17"/>
      <c r="I224" s="17"/>
      <c r="J224" s="17"/>
    </row>
    <row r="225" spans="1:10">
      <c r="A225" s="6">
        <f t="shared" si="3"/>
        <v>220</v>
      </c>
      <c r="B225" s="49"/>
      <c r="C225" s="18"/>
      <c r="D225" s="17"/>
      <c r="E225" s="17"/>
      <c r="F225" s="17"/>
      <c r="G225" s="17"/>
      <c r="H225" s="17"/>
      <c r="I225" s="17"/>
      <c r="J225" s="17"/>
    </row>
    <row r="226" spans="1:10">
      <c r="A226" s="6">
        <f t="shared" si="3"/>
        <v>221</v>
      </c>
      <c r="B226" s="49"/>
      <c r="C226" s="18"/>
      <c r="D226" s="17"/>
      <c r="E226" s="17"/>
      <c r="F226" s="17"/>
      <c r="G226" s="17"/>
      <c r="H226" s="17"/>
      <c r="I226" s="17"/>
      <c r="J226" s="17"/>
    </row>
    <row r="227" spans="1:10">
      <c r="A227" s="6">
        <f t="shared" si="3"/>
        <v>222</v>
      </c>
      <c r="B227" s="49"/>
      <c r="C227" s="18"/>
      <c r="D227" s="17"/>
      <c r="E227" s="17"/>
      <c r="F227" s="17"/>
      <c r="G227" s="17"/>
      <c r="H227" s="17"/>
      <c r="I227" s="17"/>
      <c r="J227" s="17"/>
    </row>
    <row r="228" spans="1:10">
      <c r="A228" s="6">
        <f t="shared" si="3"/>
        <v>223</v>
      </c>
      <c r="B228" s="49"/>
      <c r="C228" s="18"/>
      <c r="D228" s="17"/>
      <c r="E228" s="17"/>
      <c r="F228" s="17"/>
      <c r="G228" s="17"/>
      <c r="H228" s="17"/>
      <c r="I228" s="17"/>
      <c r="J228" s="17"/>
    </row>
    <row r="229" spans="1:10">
      <c r="A229" s="6">
        <f t="shared" si="3"/>
        <v>224</v>
      </c>
      <c r="B229" s="49"/>
      <c r="C229" s="18">
        <v>45882</v>
      </c>
      <c r="D229" s="17"/>
      <c r="E229" s="17"/>
      <c r="F229" s="17"/>
      <c r="G229" s="17"/>
      <c r="H229" s="17"/>
      <c r="I229" s="17"/>
      <c r="J229" s="17"/>
    </row>
    <row r="230" spans="1:10">
      <c r="A230" s="6">
        <f t="shared" si="3"/>
        <v>225</v>
      </c>
      <c r="B230" s="49"/>
      <c r="C230" s="18"/>
      <c r="D230" s="17"/>
      <c r="E230" s="17"/>
      <c r="F230" s="17"/>
      <c r="G230" s="17"/>
      <c r="H230" s="17"/>
      <c r="I230" s="17"/>
      <c r="J230" s="17"/>
    </row>
    <row r="231" spans="1:10">
      <c r="A231" s="6">
        <f t="shared" si="3"/>
        <v>226</v>
      </c>
      <c r="B231" s="49"/>
      <c r="C231" s="18"/>
      <c r="D231" s="17"/>
      <c r="E231" s="17"/>
      <c r="F231" s="17"/>
      <c r="G231" s="17"/>
      <c r="H231" s="17"/>
      <c r="I231" s="17"/>
      <c r="J231" s="17"/>
    </row>
    <row r="232" spans="1:10">
      <c r="A232" s="6">
        <f t="shared" si="3"/>
        <v>227</v>
      </c>
      <c r="B232" s="49"/>
      <c r="C232" s="18"/>
      <c r="D232" s="17"/>
      <c r="E232" s="17"/>
      <c r="F232" s="17"/>
      <c r="G232" s="17"/>
      <c r="H232" s="17"/>
      <c r="I232" s="17"/>
      <c r="J232" s="17"/>
    </row>
    <row r="233" spans="1:10">
      <c r="A233" s="6">
        <f t="shared" si="3"/>
        <v>228</v>
      </c>
      <c r="B233" s="49"/>
      <c r="C233" s="18"/>
      <c r="D233" s="17"/>
      <c r="E233" s="17"/>
      <c r="F233" s="17"/>
      <c r="G233" s="17"/>
      <c r="H233" s="17"/>
      <c r="I233" s="17"/>
      <c r="J233" s="17"/>
    </row>
    <row r="234" spans="1:10">
      <c r="A234" s="6">
        <f t="shared" si="3"/>
        <v>229</v>
      </c>
      <c r="B234" s="49"/>
      <c r="C234" s="18"/>
      <c r="D234" s="17"/>
      <c r="E234" s="17"/>
      <c r="F234" s="17"/>
      <c r="G234" s="17"/>
      <c r="H234" s="17"/>
      <c r="I234" s="17"/>
      <c r="J234" s="17"/>
    </row>
    <row r="235" spans="1:10">
      <c r="A235" s="6">
        <f t="shared" si="3"/>
        <v>230</v>
      </c>
      <c r="B235" s="49"/>
      <c r="C235" s="18"/>
      <c r="D235" s="17"/>
      <c r="E235" s="17"/>
      <c r="F235" s="17"/>
      <c r="G235" s="17"/>
      <c r="H235" s="17"/>
      <c r="I235" s="17"/>
      <c r="J235" s="17"/>
    </row>
    <row r="236" spans="1:10">
      <c r="A236" s="6">
        <f t="shared" si="3"/>
        <v>231</v>
      </c>
      <c r="B236" s="49"/>
      <c r="C236" s="18"/>
      <c r="D236" s="17"/>
      <c r="E236" s="17"/>
      <c r="F236" s="17"/>
      <c r="G236" s="17"/>
      <c r="H236" s="17"/>
      <c r="I236" s="17"/>
      <c r="J236" s="17"/>
    </row>
    <row r="237" spans="1:10">
      <c r="A237" s="6">
        <f t="shared" si="3"/>
        <v>232</v>
      </c>
      <c r="B237" s="49"/>
      <c r="C237" s="18"/>
      <c r="D237" s="17"/>
      <c r="E237" s="17"/>
      <c r="F237" s="17"/>
      <c r="G237" s="17"/>
      <c r="H237" s="17"/>
      <c r="I237" s="17"/>
      <c r="J237" s="17"/>
    </row>
    <row r="238" spans="1:10">
      <c r="A238" s="6">
        <f t="shared" si="3"/>
        <v>233</v>
      </c>
      <c r="B238" s="49"/>
      <c r="C238" s="18"/>
      <c r="D238" s="17"/>
      <c r="E238" s="17"/>
      <c r="F238" s="17"/>
      <c r="G238" s="17"/>
      <c r="H238" s="17"/>
      <c r="I238" s="17"/>
      <c r="J238" s="17"/>
    </row>
    <row r="239" spans="1:10">
      <c r="A239" s="6">
        <f t="shared" si="3"/>
        <v>234</v>
      </c>
      <c r="B239" s="49"/>
      <c r="C239" s="18"/>
      <c r="D239" s="17"/>
      <c r="E239" s="17"/>
      <c r="F239" s="17"/>
      <c r="G239" s="17"/>
      <c r="H239" s="17"/>
      <c r="I239" s="17"/>
      <c r="J239" s="17"/>
    </row>
    <row r="240" spans="1:10">
      <c r="A240" s="6">
        <f t="shared" si="3"/>
        <v>235</v>
      </c>
      <c r="B240" s="49"/>
      <c r="C240" s="18"/>
      <c r="D240" s="17"/>
      <c r="E240" s="17"/>
      <c r="F240" s="17"/>
      <c r="G240" s="17"/>
      <c r="H240" s="17"/>
      <c r="I240" s="17"/>
      <c r="J240" s="17"/>
    </row>
    <row r="241" spans="1:10">
      <c r="A241" s="6">
        <f t="shared" si="3"/>
        <v>236</v>
      </c>
      <c r="B241" s="49"/>
      <c r="C241" s="18"/>
      <c r="D241" s="17"/>
      <c r="E241" s="17"/>
      <c r="F241" s="17"/>
      <c r="G241" s="17"/>
      <c r="H241" s="17"/>
      <c r="I241" s="17"/>
      <c r="J241" s="17"/>
    </row>
    <row r="242" spans="1:10">
      <c r="A242" s="6">
        <f t="shared" si="3"/>
        <v>237</v>
      </c>
      <c r="B242" s="49"/>
      <c r="C242" s="18"/>
      <c r="D242" s="17"/>
      <c r="E242" s="17"/>
      <c r="F242" s="17"/>
      <c r="G242" s="17"/>
      <c r="H242" s="17"/>
      <c r="I242" s="17"/>
      <c r="J242" s="17"/>
    </row>
    <row r="243" spans="1:10">
      <c r="A243" s="6">
        <f t="shared" si="3"/>
        <v>238</v>
      </c>
      <c r="B243" s="49"/>
      <c r="C243" s="18"/>
      <c r="D243" s="17"/>
      <c r="E243" s="17"/>
      <c r="F243" s="17"/>
      <c r="G243" s="17"/>
      <c r="H243" s="17"/>
      <c r="I243" s="17"/>
      <c r="J243" s="17"/>
    </row>
    <row r="244" spans="1:10">
      <c r="A244" s="6">
        <f t="shared" si="3"/>
        <v>239</v>
      </c>
      <c r="B244" s="49"/>
      <c r="C244" s="18"/>
      <c r="D244" s="17"/>
      <c r="E244" s="17"/>
      <c r="F244" s="17"/>
      <c r="G244" s="17"/>
      <c r="H244" s="17"/>
      <c r="I244" s="17"/>
      <c r="J244" s="17"/>
    </row>
    <row r="245" spans="1:10">
      <c r="A245" s="6">
        <f t="shared" si="3"/>
        <v>240</v>
      </c>
      <c r="B245" s="49"/>
      <c r="C245" s="18"/>
      <c r="D245" s="17"/>
      <c r="E245" s="17"/>
      <c r="F245" s="17"/>
      <c r="G245" s="17"/>
      <c r="H245" s="17"/>
      <c r="I245" s="17"/>
      <c r="J245" s="17"/>
    </row>
    <row r="246" spans="1:10">
      <c r="A246" s="6">
        <f t="shared" si="3"/>
        <v>241</v>
      </c>
      <c r="B246" s="49"/>
      <c r="C246" s="18"/>
      <c r="D246" s="17"/>
      <c r="E246" s="17"/>
      <c r="F246" s="17"/>
      <c r="G246" s="17"/>
      <c r="H246" s="17"/>
      <c r="I246" s="17"/>
      <c r="J246" s="17"/>
    </row>
    <row r="247" spans="1:10">
      <c r="A247" s="6">
        <f t="shared" si="3"/>
        <v>242</v>
      </c>
      <c r="B247" s="49"/>
      <c r="C247" s="18"/>
      <c r="D247" s="17"/>
      <c r="E247" s="17"/>
      <c r="F247" s="17"/>
      <c r="G247" s="17"/>
      <c r="H247" s="17"/>
      <c r="I247" s="17"/>
      <c r="J247" s="17"/>
    </row>
    <row r="248" spans="1:10">
      <c r="A248" s="6">
        <f t="shared" si="3"/>
        <v>243</v>
      </c>
      <c r="B248" s="49"/>
      <c r="C248" s="18"/>
      <c r="D248" s="17"/>
      <c r="E248" s="17"/>
      <c r="F248" s="17"/>
      <c r="G248" s="17"/>
      <c r="H248" s="17"/>
      <c r="I248" s="17"/>
      <c r="J248" s="17"/>
    </row>
    <row r="249" spans="1:10">
      <c r="A249" s="6">
        <f t="shared" si="3"/>
        <v>244</v>
      </c>
      <c r="B249" s="49"/>
      <c r="C249" s="18"/>
      <c r="D249" s="17"/>
      <c r="E249" s="17"/>
      <c r="F249" s="17"/>
      <c r="G249" s="17"/>
      <c r="H249" s="17"/>
      <c r="I249" s="17"/>
      <c r="J249" s="17"/>
    </row>
    <row r="250" spans="1:10">
      <c r="A250" s="6">
        <f t="shared" si="3"/>
        <v>245</v>
      </c>
      <c r="B250" s="49"/>
      <c r="C250" s="18"/>
      <c r="D250" s="17"/>
      <c r="E250" s="17"/>
      <c r="F250" s="17"/>
      <c r="G250" s="17"/>
      <c r="H250" s="17"/>
      <c r="I250" s="17"/>
      <c r="J250" s="17"/>
    </row>
    <row r="251" spans="1:10">
      <c r="A251" s="6">
        <f t="shared" si="3"/>
        <v>246</v>
      </c>
      <c r="B251" s="49"/>
      <c r="C251" s="18"/>
      <c r="D251" s="17"/>
      <c r="E251" s="17"/>
      <c r="F251" s="17"/>
      <c r="G251" s="17"/>
      <c r="H251" s="17"/>
      <c r="I251" s="17"/>
      <c r="J251" s="17"/>
    </row>
    <row r="252" spans="1:10">
      <c r="A252" s="6">
        <f t="shared" si="3"/>
        <v>247</v>
      </c>
      <c r="B252" s="49"/>
      <c r="C252" s="18"/>
      <c r="D252" s="17"/>
      <c r="E252" s="17"/>
      <c r="F252" s="17"/>
      <c r="G252" s="17"/>
      <c r="H252" s="17"/>
      <c r="I252" s="17"/>
      <c r="J252" s="17"/>
    </row>
    <row r="253" spans="1:10">
      <c r="A253" s="6">
        <f t="shared" si="3"/>
        <v>248</v>
      </c>
      <c r="B253" s="49"/>
      <c r="C253" s="18"/>
      <c r="D253" s="17"/>
      <c r="E253" s="17"/>
      <c r="F253" s="17"/>
      <c r="G253" s="17"/>
      <c r="H253" s="17"/>
      <c r="I253" s="17"/>
      <c r="J253" s="17"/>
    </row>
    <row r="254" spans="1:10">
      <c r="A254" s="6">
        <f t="shared" si="3"/>
        <v>249</v>
      </c>
      <c r="B254" s="49"/>
      <c r="C254" s="18"/>
      <c r="D254" s="17"/>
      <c r="E254" s="17"/>
      <c r="F254" s="17"/>
      <c r="G254" s="17"/>
      <c r="H254" s="17"/>
      <c r="I254" s="17"/>
      <c r="J254" s="17"/>
    </row>
    <row r="255" spans="1:10">
      <c r="A255" s="6">
        <f t="shared" si="3"/>
        <v>250</v>
      </c>
      <c r="B255" s="49"/>
      <c r="C255" s="18"/>
      <c r="D255" s="17"/>
      <c r="E255" s="17"/>
      <c r="F255" s="17"/>
      <c r="G255" s="17"/>
      <c r="H255" s="17"/>
      <c r="I255" s="17"/>
      <c r="J255" s="17"/>
    </row>
    <row r="256" spans="1:10">
      <c r="A256" s="6">
        <f t="shared" si="3"/>
        <v>251</v>
      </c>
      <c r="B256" s="49"/>
      <c r="C256" s="18"/>
      <c r="D256" s="17"/>
      <c r="E256" s="17"/>
      <c r="F256" s="17"/>
      <c r="G256" s="17"/>
      <c r="H256" s="17"/>
      <c r="I256" s="17"/>
      <c r="J256" s="17"/>
    </row>
    <row r="257" spans="1:10">
      <c r="A257" s="6">
        <f t="shared" si="3"/>
        <v>252</v>
      </c>
      <c r="B257" s="49"/>
      <c r="C257" s="18"/>
      <c r="D257" s="17"/>
      <c r="E257" s="17"/>
      <c r="F257" s="17"/>
      <c r="G257" s="17"/>
      <c r="H257" s="17"/>
      <c r="I257" s="17"/>
      <c r="J257" s="17"/>
    </row>
    <row r="258" spans="1:10">
      <c r="A258" s="6">
        <f t="shared" si="3"/>
        <v>253</v>
      </c>
      <c r="B258" s="49"/>
      <c r="C258" s="18"/>
      <c r="D258" s="17"/>
      <c r="E258" s="17"/>
      <c r="F258" s="17"/>
      <c r="G258" s="17"/>
      <c r="H258" s="17"/>
      <c r="I258" s="17"/>
      <c r="J258" s="17"/>
    </row>
    <row r="259" spans="1:10">
      <c r="A259" s="6">
        <f t="shared" si="3"/>
        <v>254</v>
      </c>
      <c r="B259" s="49"/>
      <c r="C259" s="18"/>
      <c r="D259" s="17"/>
      <c r="E259" s="17"/>
      <c r="F259" s="17"/>
      <c r="G259" s="17"/>
      <c r="H259" s="17"/>
      <c r="I259" s="17"/>
      <c r="J259" s="17"/>
    </row>
    <row r="260" spans="1:10">
      <c r="A260" s="6">
        <f t="shared" si="3"/>
        <v>255</v>
      </c>
      <c r="B260" s="49"/>
      <c r="C260" s="18"/>
      <c r="D260" s="17"/>
      <c r="E260" s="17"/>
      <c r="F260" s="17"/>
      <c r="G260" s="17"/>
      <c r="H260" s="17"/>
      <c r="I260" s="17"/>
      <c r="J260" s="17"/>
    </row>
    <row r="261" spans="1:10">
      <c r="A261" s="6">
        <f t="shared" si="3"/>
        <v>256</v>
      </c>
      <c r="B261" s="49"/>
      <c r="C261" s="18"/>
      <c r="D261" s="17"/>
      <c r="E261" s="17"/>
      <c r="F261" s="17"/>
      <c r="G261" s="17"/>
      <c r="H261" s="17"/>
      <c r="I261" s="17"/>
      <c r="J261" s="17"/>
    </row>
    <row r="262" spans="1:10">
      <c r="A262" s="6">
        <f t="shared" si="3"/>
        <v>257</v>
      </c>
      <c r="B262" s="49"/>
      <c r="C262" s="18"/>
      <c r="D262" s="17"/>
      <c r="E262" s="17"/>
      <c r="F262" s="17"/>
      <c r="G262" s="17"/>
      <c r="H262" s="17"/>
      <c r="I262" s="17"/>
      <c r="J262" s="17"/>
    </row>
    <row r="263" spans="1:10">
      <c r="A263" s="6">
        <f t="shared" ref="A263:A326" si="4">ROW(A258)</f>
        <v>258</v>
      </c>
      <c r="B263" s="49"/>
      <c r="C263" s="18"/>
      <c r="D263" s="17"/>
      <c r="E263" s="17"/>
      <c r="F263" s="17"/>
      <c r="G263" s="17"/>
      <c r="H263" s="17"/>
      <c r="I263" s="17"/>
      <c r="J263" s="17"/>
    </row>
    <row r="264" spans="1:10">
      <c r="A264" s="6">
        <f t="shared" si="4"/>
        <v>259</v>
      </c>
      <c r="B264" s="49"/>
      <c r="C264" s="18"/>
      <c r="D264" s="17"/>
      <c r="E264" s="17"/>
      <c r="F264" s="17"/>
      <c r="G264" s="17"/>
      <c r="H264" s="17"/>
      <c r="I264" s="17"/>
      <c r="J264" s="17"/>
    </row>
    <row r="265" spans="1:10">
      <c r="A265" s="6">
        <f t="shared" si="4"/>
        <v>260</v>
      </c>
      <c r="B265" s="49"/>
      <c r="C265" s="18"/>
      <c r="D265" s="17"/>
      <c r="E265" s="17"/>
      <c r="F265" s="17"/>
      <c r="G265" s="17"/>
      <c r="H265" s="17"/>
      <c r="I265" s="17"/>
      <c r="J265" s="17"/>
    </row>
    <row r="266" spans="1:10">
      <c r="A266" s="6">
        <f t="shared" si="4"/>
        <v>261</v>
      </c>
      <c r="B266" s="49"/>
      <c r="C266" s="18"/>
      <c r="D266" s="17"/>
      <c r="E266" s="17"/>
      <c r="F266" s="17"/>
      <c r="G266" s="17"/>
      <c r="H266" s="17"/>
      <c r="I266" s="17"/>
      <c r="J266" s="17"/>
    </row>
    <row r="267" spans="1:10">
      <c r="A267" s="6">
        <f t="shared" si="4"/>
        <v>262</v>
      </c>
      <c r="B267" s="49"/>
      <c r="C267" s="18"/>
      <c r="D267" s="17"/>
      <c r="E267" s="17"/>
      <c r="F267" s="17"/>
      <c r="G267" s="17"/>
      <c r="H267" s="17"/>
      <c r="I267" s="17"/>
      <c r="J267" s="17"/>
    </row>
    <row r="268" spans="1:10">
      <c r="A268" s="6">
        <f t="shared" si="4"/>
        <v>263</v>
      </c>
      <c r="B268" s="49"/>
      <c r="C268" s="18"/>
      <c r="D268" s="17"/>
      <c r="E268" s="17"/>
      <c r="F268" s="17"/>
      <c r="G268" s="17"/>
      <c r="H268" s="17"/>
      <c r="I268" s="17"/>
      <c r="J268" s="17"/>
    </row>
    <row r="269" spans="1:10">
      <c r="A269" s="6">
        <f t="shared" si="4"/>
        <v>264</v>
      </c>
      <c r="B269" s="49"/>
      <c r="C269" s="18"/>
      <c r="D269" s="17"/>
      <c r="E269" s="17"/>
      <c r="F269" s="17"/>
      <c r="G269" s="17"/>
      <c r="H269" s="17"/>
      <c r="I269" s="17"/>
      <c r="J269" s="17"/>
    </row>
    <row r="270" spans="1:10">
      <c r="A270" s="6">
        <f t="shared" si="4"/>
        <v>265</v>
      </c>
      <c r="B270" s="49"/>
      <c r="C270" s="18"/>
      <c r="D270" s="17"/>
      <c r="E270" s="17"/>
      <c r="F270" s="17"/>
      <c r="G270" s="17"/>
      <c r="H270" s="17"/>
      <c r="I270" s="17"/>
      <c r="J270" s="17"/>
    </row>
    <row r="271" spans="1:10">
      <c r="A271" s="6">
        <f t="shared" si="4"/>
        <v>266</v>
      </c>
      <c r="B271" s="49"/>
      <c r="C271" s="18"/>
      <c r="D271" s="17"/>
      <c r="E271" s="17"/>
      <c r="F271" s="17"/>
      <c r="G271" s="17"/>
      <c r="H271" s="17"/>
      <c r="I271" s="17"/>
      <c r="J271" s="17"/>
    </row>
    <row r="272" spans="1:10">
      <c r="A272" s="6">
        <f t="shared" si="4"/>
        <v>267</v>
      </c>
      <c r="B272" s="49"/>
      <c r="C272" s="18"/>
      <c r="D272" s="17"/>
      <c r="E272" s="17"/>
      <c r="F272" s="17"/>
      <c r="G272" s="17"/>
      <c r="H272" s="17"/>
      <c r="I272" s="17"/>
      <c r="J272" s="17"/>
    </row>
    <row r="273" spans="1:10">
      <c r="A273" s="6">
        <f t="shared" si="4"/>
        <v>268</v>
      </c>
      <c r="B273" s="49"/>
      <c r="C273" s="18"/>
      <c r="D273" s="17"/>
      <c r="E273" s="17"/>
      <c r="F273" s="17"/>
      <c r="G273" s="17"/>
      <c r="H273" s="17"/>
      <c r="I273" s="17"/>
      <c r="J273" s="17"/>
    </row>
    <row r="274" spans="1:10">
      <c r="A274" s="6">
        <f t="shared" si="4"/>
        <v>269</v>
      </c>
      <c r="B274" s="49"/>
      <c r="C274" s="18"/>
      <c r="D274" s="17"/>
      <c r="E274" s="17"/>
      <c r="F274" s="17"/>
      <c r="G274" s="17"/>
      <c r="H274" s="17"/>
      <c r="I274" s="17"/>
      <c r="J274" s="17"/>
    </row>
    <row r="275" spans="1:10">
      <c r="A275" s="6">
        <f t="shared" si="4"/>
        <v>270</v>
      </c>
      <c r="B275" s="49"/>
      <c r="C275" s="18"/>
      <c r="D275" s="17"/>
      <c r="E275" s="17"/>
      <c r="F275" s="17"/>
      <c r="G275" s="17"/>
      <c r="H275" s="17"/>
      <c r="I275" s="17"/>
      <c r="J275" s="17"/>
    </row>
    <row r="276" spans="1:10">
      <c r="A276" s="6">
        <f t="shared" si="4"/>
        <v>271</v>
      </c>
      <c r="B276" s="49"/>
      <c r="C276" s="18"/>
      <c r="D276" s="17"/>
      <c r="E276" s="17"/>
      <c r="F276" s="17"/>
      <c r="G276" s="17"/>
      <c r="H276" s="17"/>
      <c r="I276" s="17"/>
      <c r="J276" s="17"/>
    </row>
    <row r="277" spans="1:10">
      <c r="A277" s="6">
        <f t="shared" si="4"/>
        <v>272</v>
      </c>
      <c r="B277" s="49"/>
      <c r="C277" s="18"/>
      <c r="D277" s="17"/>
      <c r="E277" s="17"/>
      <c r="F277" s="17"/>
      <c r="G277" s="17"/>
      <c r="H277" s="17"/>
      <c r="I277" s="17"/>
      <c r="J277" s="17"/>
    </row>
    <row r="278" spans="1:10">
      <c r="A278" s="6">
        <f t="shared" si="4"/>
        <v>273</v>
      </c>
      <c r="B278" s="49"/>
      <c r="C278" s="18"/>
      <c r="D278" s="17"/>
      <c r="E278" s="17"/>
      <c r="F278" s="17"/>
      <c r="G278" s="17"/>
      <c r="H278" s="17"/>
      <c r="I278" s="17"/>
      <c r="J278" s="17"/>
    </row>
    <row r="279" spans="1:10">
      <c r="A279" s="6">
        <f t="shared" si="4"/>
        <v>274</v>
      </c>
      <c r="B279" s="49"/>
      <c r="C279" s="18"/>
      <c r="D279" s="17"/>
      <c r="E279" s="17"/>
      <c r="F279" s="17"/>
      <c r="G279" s="17"/>
      <c r="H279" s="17"/>
      <c r="I279" s="17"/>
      <c r="J279" s="17"/>
    </row>
    <row r="280" spans="1:10">
      <c r="A280" s="6">
        <f t="shared" si="4"/>
        <v>275</v>
      </c>
      <c r="B280" s="49"/>
      <c r="C280" s="18"/>
      <c r="D280" s="17"/>
      <c r="E280" s="17"/>
      <c r="F280" s="17"/>
      <c r="G280" s="17"/>
      <c r="H280" s="17"/>
      <c r="I280" s="17"/>
      <c r="J280" s="17"/>
    </row>
    <row r="281" spans="1:10">
      <c r="A281" s="6">
        <f t="shared" si="4"/>
        <v>276</v>
      </c>
      <c r="B281" s="49"/>
      <c r="C281" s="18"/>
      <c r="D281" s="17"/>
      <c r="E281" s="17"/>
      <c r="F281" s="17"/>
      <c r="G281" s="17"/>
      <c r="H281" s="17"/>
      <c r="I281" s="17"/>
      <c r="J281" s="17"/>
    </row>
    <row r="282" spans="1:10">
      <c r="A282" s="6">
        <f t="shared" si="4"/>
        <v>277</v>
      </c>
      <c r="B282" s="49"/>
      <c r="C282" s="18"/>
      <c r="D282" s="17"/>
      <c r="E282" s="17"/>
      <c r="F282" s="17"/>
      <c r="G282" s="17"/>
      <c r="H282" s="17"/>
      <c r="I282" s="17"/>
      <c r="J282" s="17"/>
    </row>
    <row r="283" spans="1:10">
      <c r="A283" s="6">
        <f t="shared" si="4"/>
        <v>278</v>
      </c>
      <c r="B283" s="49"/>
      <c r="C283" s="18"/>
      <c r="D283" s="17"/>
      <c r="E283" s="17"/>
      <c r="F283" s="17"/>
      <c r="G283" s="17"/>
      <c r="H283" s="17"/>
      <c r="I283" s="17"/>
      <c r="J283" s="17"/>
    </row>
    <row r="284" spans="1:10">
      <c r="A284" s="6">
        <f t="shared" si="4"/>
        <v>279</v>
      </c>
      <c r="B284" s="49"/>
      <c r="C284" s="18"/>
      <c r="D284" s="17"/>
      <c r="E284" s="17"/>
      <c r="F284" s="17"/>
      <c r="G284" s="17"/>
      <c r="H284" s="17"/>
      <c r="I284" s="17"/>
      <c r="J284" s="17"/>
    </row>
    <row r="285" spans="1:10">
      <c r="A285" s="6">
        <f t="shared" si="4"/>
        <v>280</v>
      </c>
      <c r="B285" s="49"/>
      <c r="C285" s="18"/>
      <c r="D285" s="17"/>
      <c r="E285" s="17"/>
      <c r="F285" s="17"/>
      <c r="G285" s="17"/>
      <c r="H285" s="17"/>
      <c r="I285" s="17"/>
      <c r="J285" s="17"/>
    </row>
    <row r="286" spans="1:10">
      <c r="A286" s="6">
        <f t="shared" si="4"/>
        <v>281</v>
      </c>
      <c r="B286" s="49"/>
      <c r="C286" s="18"/>
      <c r="D286" s="17"/>
      <c r="E286" s="17"/>
      <c r="F286" s="17"/>
      <c r="G286" s="17"/>
      <c r="H286" s="17"/>
      <c r="I286" s="17"/>
      <c r="J286" s="17"/>
    </row>
    <row r="287" spans="1:10">
      <c r="A287" s="6">
        <f t="shared" si="4"/>
        <v>282</v>
      </c>
      <c r="B287" s="49"/>
      <c r="C287" s="18"/>
      <c r="D287" s="17"/>
      <c r="E287" s="17"/>
      <c r="F287" s="17"/>
      <c r="G287" s="17"/>
      <c r="H287" s="17"/>
      <c r="I287" s="17"/>
      <c r="J287" s="17"/>
    </row>
    <row r="288" spans="1:10">
      <c r="A288" s="6">
        <f t="shared" si="4"/>
        <v>283</v>
      </c>
      <c r="B288" s="49"/>
      <c r="C288" s="18"/>
      <c r="D288" s="17"/>
      <c r="E288" s="17"/>
      <c r="F288" s="17"/>
      <c r="G288" s="17"/>
      <c r="H288" s="17"/>
      <c r="I288" s="17"/>
      <c r="J288" s="17"/>
    </row>
    <row r="289" spans="1:10">
      <c r="A289" s="6">
        <f t="shared" si="4"/>
        <v>284</v>
      </c>
      <c r="B289" s="49"/>
      <c r="C289" s="18"/>
      <c r="D289" s="17"/>
      <c r="E289" s="17"/>
      <c r="F289" s="17"/>
      <c r="G289" s="17"/>
      <c r="H289" s="17"/>
      <c r="I289" s="17"/>
      <c r="J289" s="17"/>
    </row>
    <row r="290" spans="1:10">
      <c r="A290" s="6">
        <f t="shared" si="4"/>
        <v>285</v>
      </c>
      <c r="B290" s="49"/>
      <c r="C290" s="18"/>
      <c r="D290" s="17"/>
      <c r="E290" s="17"/>
      <c r="F290" s="17"/>
      <c r="G290" s="17"/>
      <c r="H290" s="17"/>
      <c r="I290" s="17"/>
      <c r="J290" s="17"/>
    </row>
    <row r="291" spans="1:10">
      <c r="A291" s="6">
        <f t="shared" si="4"/>
        <v>286</v>
      </c>
      <c r="B291" s="49"/>
      <c r="C291" s="18"/>
      <c r="D291" s="17"/>
      <c r="E291" s="17"/>
      <c r="F291" s="17"/>
      <c r="G291" s="17"/>
      <c r="H291" s="17"/>
      <c r="I291" s="17"/>
      <c r="J291" s="17"/>
    </row>
    <row r="292" spans="1:10">
      <c r="A292" s="6">
        <f t="shared" si="4"/>
        <v>287</v>
      </c>
      <c r="B292" s="49"/>
      <c r="C292" s="18"/>
      <c r="D292" s="17"/>
      <c r="E292" s="17"/>
      <c r="F292" s="17"/>
      <c r="G292" s="17"/>
      <c r="H292" s="17"/>
      <c r="I292" s="17"/>
      <c r="J292" s="17"/>
    </row>
    <row r="293" spans="1:10">
      <c r="A293" s="6">
        <f t="shared" si="4"/>
        <v>288</v>
      </c>
      <c r="B293" s="49"/>
      <c r="C293" s="18"/>
      <c r="D293" s="17"/>
      <c r="E293" s="17"/>
      <c r="F293" s="17"/>
      <c r="G293" s="17"/>
      <c r="H293" s="17"/>
      <c r="I293" s="17"/>
      <c r="J293" s="17"/>
    </row>
    <row r="294" spans="1:10">
      <c r="A294" s="6">
        <f t="shared" si="4"/>
        <v>289</v>
      </c>
      <c r="B294" s="49"/>
      <c r="C294" s="18"/>
      <c r="D294" s="17"/>
      <c r="E294" s="17"/>
      <c r="F294" s="17"/>
      <c r="G294" s="17"/>
      <c r="H294" s="17"/>
      <c r="I294" s="17"/>
      <c r="J294" s="17"/>
    </row>
    <row r="295" spans="1:10">
      <c r="A295" s="6">
        <f t="shared" si="4"/>
        <v>290</v>
      </c>
      <c r="B295" s="49"/>
      <c r="C295" s="18"/>
      <c r="D295" s="17"/>
      <c r="E295" s="17"/>
      <c r="F295" s="17"/>
      <c r="G295" s="17"/>
      <c r="H295" s="17"/>
      <c r="I295" s="17"/>
      <c r="J295" s="17"/>
    </row>
    <row r="296" spans="1:10">
      <c r="A296" s="6">
        <f t="shared" si="4"/>
        <v>291</v>
      </c>
      <c r="B296" s="49"/>
      <c r="C296" s="18"/>
      <c r="D296" s="17"/>
      <c r="E296" s="17"/>
      <c r="F296" s="17"/>
      <c r="G296" s="17"/>
      <c r="H296" s="17"/>
      <c r="I296" s="17"/>
      <c r="J296" s="17"/>
    </row>
    <row r="297" spans="1:10">
      <c r="A297" s="6">
        <f t="shared" si="4"/>
        <v>292</v>
      </c>
      <c r="B297" s="49"/>
      <c r="C297" s="18"/>
      <c r="D297" s="17"/>
      <c r="E297" s="17"/>
      <c r="F297" s="17"/>
      <c r="G297" s="17"/>
      <c r="H297" s="17"/>
      <c r="I297" s="17"/>
      <c r="J297" s="17"/>
    </row>
    <row r="298" spans="1:10">
      <c r="A298" s="6">
        <f t="shared" si="4"/>
        <v>293</v>
      </c>
      <c r="B298" s="49"/>
      <c r="C298" s="18"/>
      <c r="D298" s="17"/>
      <c r="E298" s="17"/>
      <c r="F298" s="17"/>
      <c r="G298" s="17"/>
      <c r="H298" s="17"/>
      <c r="I298" s="17"/>
      <c r="J298" s="17"/>
    </row>
    <row r="299" spans="1:10">
      <c r="A299" s="6">
        <f t="shared" si="4"/>
        <v>294</v>
      </c>
      <c r="B299" s="49"/>
      <c r="C299" s="18"/>
      <c r="D299" s="17"/>
      <c r="E299" s="17"/>
      <c r="F299" s="17"/>
      <c r="G299" s="17"/>
      <c r="H299" s="17"/>
      <c r="I299" s="17"/>
      <c r="J299" s="17"/>
    </row>
    <row r="300" spans="1:10">
      <c r="A300" s="6">
        <f t="shared" si="4"/>
        <v>295</v>
      </c>
      <c r="B300" s="49"/>
      <c r="C300" s="18"/>
      <c r="D300" s="17"/>
      <c r="E300" s="17"/>
      <c r="F300" s="17"/>
      <c r="G300" s="17"/>
      <c r="H300" s="17"/>
      <c r="I300" s="17"/>
      <c r="J300" s="17"/>
    </row>
    <row r="301" spans="1:10">
      <c r="A301" s="6">
        <f t="shared" si="4"/>
        <v>296</v>
      </c>
      <c r="B301" s="49"/>
      <c r="C301" s="18"/>
      <c r="D301" s="17"/>
      <c r="E301" s="17"/>
      <c r="F301" s="17"/>
      <c r="G301" s="17"/>
      <c r="H301" s="17"/>
      <c r="I301" s="17"/>
      <c r="J301" s="17"/>
    </row>
    <row r="302" spans="1:10">
      <c r="A302" s="6">
        <f t="shared" si="4"/>
        <v>297</v>
      </c>
      <c r="B302" s="49"/>
      <c r="C302" s="18"/>
      <c r="D302" s="17"/>
      <c r="E302" s="17"/>
      <c r="F302" s="17"/>
      <c r="G302" s="17"/>
      <c r="H302" s="17"/>
      <c r="I302" s="17"/>
      <c r="J302" s="17"/>
    </row>
    <row r="303" spans="1:10">
      <c r="A303" s="6">
        <f t="shared" si="4"/>
        <v>298</v>
      </c>
      <c r="B303" s="49"/>
      <c r="C303" s="18"/>
      <c r="D303" s="17"/>
      <c r="E303" s="17"/>
      <c r="F303" s="17"/>
      <c r="G303" s="17"/>
      <c r="H303" s="17"/>
      <c r="I303" s="17"/>
      <c r="J303" s="17"/>
    </row>
    <row r="304" spans="1:10">
      <c r="A304" s="6">
        <f t="shared" si="4"/>
        <v>299</v>
      </c>
      <c r="B304" s="49"/>
      <c r="C304" s="18"/>
      <c r="D304" s="17"/>
      <c r="E304" s="17"/>
      <c r="F304" s="17"/>
      <c r="G304" s="17"/>
      <c r="H304" s="17"/>
      <c r="I304" s="17"/>
      <c r="J304" s="17"/>
    </row>
    <row r="305" spans="1:10">
      <c r="A305" s="6">
        <f t="shared" si="4"/>
        <v>300</v>
      </c>
      <c r="B305" s="49"/>
      <c r="C305" s="18"/>
      <c r="D305" s="17"/>
      <c r="E305" s="17"/>
      <c r="F305" s="17"/>
      <c r="G305" s="17"/>
      <c r="H305" s="17"/>
      <c r="I305" s="17"/>
      <c r="J305" s="17"/>
    </row>
    <row r="306" spans="1:10">
      <c r="A306" s="6">
        <f t="shared" si="4"/>
        <v>301</v>
      </c>
      <c r="B306" s="49"/>
      <c r="C306" s="18"/>
      <c r="D306" s="17"/>
      <c r="E306" s="17"/>
      <c r="F306" s="17"/>
      <c r="G306" s="17"/>
      <c r="H306" s="17"/>
      <c r="I306" s="17"/>
      <c r="J306" s="17"/>
    </row>
    <row r="307" spans="1:10">
      <c r="A307" s="6">
        <f t="shared" si="4"/>
        <v>302</v>
      </c>
      <c r="B307" s="49"/>
      <c r="C307" s="18"/>
      <c r="D307" s="17"/>
      <c r="E307" s="17"/>
      <c r="F307" s="17"/>
      <c r="G307" s="17"/>
      <c r="H307" s="17"/>
      <c r="I307" s="17"/>
      <c r="J307" s="17"/>
    </row>
    <row r="308" spans="1:10">
      <c r="A308" s="6">
        <f t="shared" si="4"/>
        <v>303</v>
      </c>
      <c r="B308" s="49"/>
      <c r="C308" s="18"/>
      <c r="D308" s="17"/>
      <c r="E308" s="17"/>
      <c r="F308" s="17"/>
      <c r="G308" s="17"/>
      <c r="H308" s="17"/>
      <c r="I308" s="17"/>
      <c r="J308" s="17"/>
    </row>
    <row r="309" spans="1:10">
      <c r="A309" s="6">
        <f t="shared" si="4"/>
        <v>304</v>
      </c>
      <c r="B309" s="49"/>
      <c r="C309" s="18"/>
      <c r="D309" s="17"/>
      <c r="E309" s="17"/>
      <c r="F309" s="17"/>
      <c r="G309" s="17"/>
      <c r="H309" s="17"/>
      <c r="I309" s="17"/>
      <c r="J309" s="17"/>
    </row>
    <row r="310" spans="1:10">
      <c r="A310" s="6">
        <f t="shared" si="4"/>
        <v>305</v>
      </c>
      <c r="B310" s="49"/>
      <c r="C310" s="18"/>
      <c r="D310" s="17"/>
      <c r="E310" s="17"/>
      <c r="F310" s="17"/>
      <c r="G310" s="17"/>
      <c r="H310" s="17"/>
      <c r="I310" s="17"/>
      <c r="J310" s="17"/>
    </row>
    <row r="311" spans="1:10">
      <c r="A311" s="6">
        <f t="shared" si="4"/>
        <v>306</v>
      </c>
      <c r="B311" s="49"/>
      <c r="C311" s="18"/>
      <c r="D311" s="17"/>
      <c r="E311" s="17"/>
      <c r="F311" s="17"/>
      <c r="G311" s="17"/>
      <c r="H311" s="17"/>
      <c r="I311" s="17"/>
      <c r="J311" s="17"/>
    </row>
    <row r="312" spans="1:10">
      <c r="A312" s="6">
        <f t="shared" si="4"/>
        <v>307</v>
      </c>
      <c r="B312" s="49"/>
      <c r="C312" s="18"/>
      <c r="D312" s="17"/>
      <c r="E312" s="17"/>
      <c r="F312" s="17"/>
      <c r="G312" s="17"/>
      <c r="H312" s="17"/>
      <c r="I312" s="17"/>
      <c r="J312" s="17"/>
    </row>
    <row r="313" spans="1:10">
      <c r="A313" s="6">
        <f t="shared" si="4"/>
        <v>308</v>
      </c>
      <c r="B313" s="49"/>
      <c r="C313" s="18"/>
      <c r="D313" s="17"/>
      <c r="E313" s="17"/>
      <c r="F313" s="17"/>
      <c r="G313" s="17"/>
      <c r="H313" s="17"/>
      <c r="I313" s="17"/>
      <c r="J313" s="17"/>
    </row>
    <row r="314" spans="1:10">
      <c r="A314" s="6">
        <f t="shared" si="4"/>
        <v>309</v>
      </c>
      <c r="B314" s="49"/>
      <c r="C314" s="18"/>
      <c r="D314" s="17"/>
      <c r="E314" s="17"/>
      <c r="F314" s="17"/>
      <c r="G314" s="17"/>
      <c r="H314" s="17"/>
      <c r="I314" s="17"/>
      <c r="J314" s="17"/>
    </row>
    <row r="315" spans="1:10">
      <c r="A315" s="6">
        <f t="shared" si="4"/>
        <v>310</v>
      </c>
      <c r="B315" s="49"/>
      <c r="C315" s="18"/>
      <c r="D315" s="17"/>
      <c r="E315" s="17"/>
      <c r="F315" s="17"/>
      <c r="G315" s="17"/>
      <c r="H315" s="17"/>
      <c r="I315" s="17"/>
      <c r="J315" s="17"/>
    </row>
    <row r="316" spans="1:10">
      <c r="A316" s="6">
        <f t="shared" si="4"/>
        <v>311</v>
      </c>
      <c r="B316" s="49"/>
      <c r="C316" s="18"/>
      <c r="D316" s="17"/>
      <c r="E316" s="17"/>
      <c r="F316" s="17"/>
      <c r="G316" s="17"/>
      <c r="H316" s="17"/>
      <c r="I316" s="17"/>
      <c r="J316" s="17"/>
    </row>
    <row r="317" spans="1:10">
      <c r="A317" s="6">
        <f t="shared" si="4"/>
        <v>312</v>
      </c>
      <c r="B317" s="49"/>
      <c r="C317" s="18"/>
      <c r="D317" s="17"/>
      <c r="E317" s="17"/>
      <c r="F317" s="17"/>
      <c r="G317" s="17"/>
      <c r="H317" s="17"/>
      <c r="I317" s="17"/>
      <c r="J317" s="17"/>
    </row>
    <row r="318" spans="1:10">
      <c r="A318" s="6">
        <f t="shared" si="4"/>
        <v>313</v>
      </c>
      <c r="B318" s="49"/>
      <c r="C318" s="18"/>
      <c r="D318" s="17"/>
      <c r="E318" s="17"/>
      <c r="F318" s="17"/>
      <c r="G318" s="17"/>
      <c r="H318" s="17"/>
      <c r="I318" s="17"/>
      <c r="J318" s="17"/>
    </row>
    <row r="319" spans="1:10">
      <c r="A319" s="6">
        <f t="shared" si="4"/>
        <v>314</v>
      </c>
      <c r="B319" s="49"/>
      <c r="C319" s="18"/>
      <c r="D319" s="17"/>
      <c r="E319" s="17"/>
      <c r="F319" s="17"/>
      <c r="G319" s="17"/>
      <c r="H319" s="17"/>
      <c r="I319" s="17"/>
      <c r="J319" s="17"/>
    </row>
    <row r="320" spans="1:10">
      <c r="A320" s="6">
        <f t="shared" si="4"/>
        <v>315</v>
      </c>
      <c r="B320" s="49"/>
      <c r="C320" s="18"/>
      <c r="D320" s="17"/>
      <c r="E320" s="17"/>
      <c r="F320" s="17"/>
      <c r="G320" s="17"/>
      <c r="H320" s="17"/>
      <c r="I320" s="17"/>
      <c r="J320" s="17"/>
    </row>
    <row r="321" spans="1:10">
      <c r="A321" s="6">
        <f t="shared" si="4"/>
        <v>316</v>
      </c>
      <c r="B321" s="49"/>
      <c r="C321" s="18"/>
      <c r="D321" s="17"/>
      <c r="E321" s="17"/>
      <c r="F321" s="17"/>
      <c r="G321" s="17"/>
      <c r="H321" s="17"/>
      <c r="I321" s="17"/>
      <c r="J321" s="17"/>
    </row>
    <row r="322" spans="1:10">
      <c r="A322" s="6">
        <f t="shared" si="4"/>
        <v>317</v>
      </c>
      <c r="B322" s="49"/>
      <c r="C322" s="18"/>
      <c r="D322" s="17"/>
      <c r="E322" s="17"/>
      <c r="F322" s="17"/>
      <c r="G322" s="17"/>
      <c r="H322" s="17"/>
      <c r="I322" s="17"/>
      <c r="J322" s="17"/>
    </row>
    <row r="323" spans="1:10">
      <c r="A323" s="6">
        <f t="shared" si="4"/>
        <v>318</v>
      </c>
      <c r="B323" s="49"/>
      <c r="C323" s="18"/>
      <c r="D323" s="17"/>
      <c r="E323" s="17"/>
      <c r="F323" s="17"/>
      <c r="G323" s="17"/>
      <c r="H323" s="17"/>
      <c r="I323" s="17"/>
      <c r="J323" s="17"/>
    </row>
    <row r="324" spans="1:10">
      <c r="A324" s="6">
        <f t="shared" si="4"/>
        <v>319</v>
      </c>
      <c r="B324" s="49"/>
      <c r="C324" s="18"/>
      <c r="D324" s="17"/>
      <c r="E324" s="17"/>
      <c r="F324" s="17"/>
      <c r="G324" s="17"/>
      <c r="H324" s="17"/>
      <c r="I324" s="17"/>
      <c r="J324" s="17"/>
    </row>
    <row r="325" spans="1:10">
      <c r="A325" s="6">
        <f t="shared" si="4"/>
        <v>320</v>
      </c>
      <c r="B325" s="49"/>
      <c r="C325" s="18"/>
      <c r="D325" s="17"/>
      <c r="E325" s="17"/>
      <c r="F325" s="17"/>
      <c r="G325" s="17"/>
      <c r="H325" s="17"/>
      <c r="I325" s="17"/>
      <c r="J325" s="17"/>
    </row>
    <row r="326" spans="1:10">
      <c r="A326" s="6">
        <f t="shared" si="4"/>
        <v>321</v>
      </c>
      <c r="B326" s="49"/>
      <c r="C326" s="18"/>
      <c r="D326" s="17"/>
      <c r="E326" s="17"/>
      <c r="F326" s="17"/>
      <c r="G326" s="17"/>
      <c r="H326" s="17"/>
      <c r="I326" s="17"/>
      <c r="J326" s="17"/>
    </row>
    <row r="327" spans="1:10">
      <c r="A327" s="6">
        <f t="shared" ref="A327:A390" si="5">ROW(A322)</f>
        <v>322</v>
      </c>
      <c r="B327" s="49"/>
      <c r="C327" s="18"/>
      <c r="D327" s="17"/>
      <c r="E327" s="17"/>
      <c r="F327" s="17"/>
      <c r="G327" s="17"/>
      <c r="H327" s="17"/>
      <c r="I327" s="17"/>
      <c r="J327" s="17"/>
    </row>
    <row r="328" spans="1:10">
      <c r="A328" s="6">
        <f t="shared" si="5"/>
        <v>323</v>
      </c>
      <c r="B328" s="49"/>
      <c r="C328" s="18"/>
      <c r="D328" s="17"/>
      <c r="E328" s="17"/>
      <c r="F328" s="17"/>
      <c r="G328" s="17"/>
      <c r="H328" s="17"/>
      <c r="I328" s="17"/>
      <c r="J328" s="17"/>
    </row>
    <row r="329" spans="1:10">
      <c r="A329" s="6">
        <f t="shared" si="5"/>
        <v>324</v>
      </c>
      <c r="B329" s="49"/>
      <c r="C329" s="18"/>
      <c r="D329" s="17"/>
      <c r="E329" s="17"/>
      <c r="F329" s="17"/>
      <c r="G329" s="17"/>
      <c r="H329" s="17"/>
      <c r="I329" s="17"/>
      <c r="J329" s="17"/>
    </row>
    <row r="330" spans="1:10">
      <c r="A330" s="6">
        <f t="shared" si="5"/>
        <v>325</v>
      </c>
      <c r="B330" s="49"/>
      <c r="C330" s="18"/>
      <c r="D330" s="17"/>
      <c r="E330" s="17"/>
      <c r="F330" s="17"/>
      <c r="G330" s="17"/>
      <c r="H330" s="17"/>
      <c r="I330" s="17"/>
      <c r="J330" s="17"/>
    </row>
    <row r="331" spans="1:10">
      <c r="A331" s="6">
        <f t="shared" si="5"/>
        <v>326</v>
      </c>
      <c r="B331" s="49"/>
      <c r="C331" s="18"/>
      <c r="D331" s="17"/>
      <c r="E331" s="17"/>
      <c r="F331" s="17"/>
      <c r="G331" s="17"/>
      <c r="H331" s="17"/>
      <c r="I331" s="17"/>
      <c r="J331" s="17"/>
    </row>
    <row r="332" spans="1:10">
      <c r="A332" s="6">
        <f t="shared" si="5"/>
        <v>327</v>
      </c>
      <c r="B332" s="49"/>
      <c r="C332" s="18"/>
      <c r="D332" s="17"/>
      <c r="E332" s="17"/>
      <c r="F332" s="17"/>
      <c r="G332" s="17"/>
      <c r="H332" s="17"/>
      <c r="I332" s="17"/>
      <c r="J332" s="17"/>
    </row>
    <row r="333" spans="1:10">
      <c r="A333" s="6">
        <f t="shared" si="5"/>
        <v>328</v>
      </c>
      <c r="B333" s="49"/>
      <c r="C333" s="18"/>
      <c r="D333" s="17"/>
      <c r="E333" s="17"/>
      <c r="F333" s="17"/>
      <c r="G333" s="17"/>
      <c r="H333" s="17"/>
      <c r="I333" s="17"/>
      <c r="J333" s="17"/>
    </row>
    <row r="334" spans="1:10">
      <c r="A334" s="6">
        <f t="shared" si="5"/>
        <v>329</v>
      </c>
      <c r="B334" s="49"/>
      <c r="C334" s="18"/>
      <c r="D334" s="17"/>
      <c r="E334" s="17"/>
      <c r="F334" s="17"/>
      <c r="G334" s="17"/>
      <c r="H334" s="17"/>
      <c r="I334" s="17"/>
      <c r="J334" s="17"/>
    </row>
    <row r="335" spans="1:10">
      <c r="A335" s="6">
        <f t="shared" si="5"/>
        <v>330</v>
      </c>
      <c r="B335" s="49"/>
      <c r="C335" s="18"/>
      <c r="D335" s="17"/>
      <c r="E335" s="17"/>
      <c r="F335" s="17"/>
      <c r="G335" s="17"/>
      <c r="H335" s="17"/>
      <c r="I335" s="17"/>
      <c r="J335" s="17"/>
    </row>
    <row r="336" spans="1:10">
      <c r="A336" s="6">
        <f t="shared" si="5"/>
        <v>331</v>
      </c>
      <c r="B336" s="49"/>
      <c r="C336" s="18"/>
      <c r="D336" s="17"/>
      <c r="E336" s="17"/>
      <c r="F336" s="17"/>
      <c r="G336" s="17"/>
      <c r="H336" s="17"/>
      <c r="I336" s="17"/>
      <c r="J336" s="17"/>
    </row>
    <row r="337" spans="1:10">
      <c r="A337" s="6">
        <f t="shared" si="5"/>
        <v>332</v>
      </c>
      <c r="B337" s="49"/>
      <c r="C337" s="18"/>
      <c r="D337" s="17"/>
      <c r="E337" s="17"/>
      <c r="F337" s="17"/>
      <c r="G337" s="17"/>
      <c r="H337" s="17"/>
      <c r="I337" s="17"/>
      <c r="J337" s="17"/>
    </row>
    <row r="338" spans="1:10">
      <c r="A338" s="6">
        <f t="shared" si="5"/>
        <v>333</v>
      </c>
      <c r="B338" s="49"/>
      <c r="C338" s="18"/>
      <c r="D338" s="17"/>
      <c r="E338" s="17"/>
      <c r="F338" s="17"/>
      <c r="G338" s="17"/>
      <c r="H338" s="17"/>
      <c r="I338" s="17"/>
      <c r="J338" s="17"/>
    </row>
    <row r="339" spans="1:10">
      <c r="A339" s="6">
        <f t="shared" si="5"/>
        <v>334</v>
      </c>
      <c r="B339" s="49"/>
      <c r="C339" s="18"/>
      <c r="D339" s="17"/>
      <c r="E339" s="17"/>
      <c r="F339" s="17"/>
      <c r="G339" s="17"/>
      <c r="H339" s="17"/>
      <c r="I339" s="17"/>
      <c r="J339" s="17"/>
    </row>
    <row r="340" spans="1:10">
      <c r="A340" s="6">
        <f t="shared" si="5"/>
        <v>335</v>
      </c>
      <c r="B340" s="49"/>
      <c r="C340" s="18"/>
      <c r="D340" s="17"/>
      <c r="E340" s="17"/>
      <c r="F340" s="17"/>
      <c r="G340" s="17"/>
      <c r="H340" s="17"/>
      <c r="I340" s="17"/>
      <c r="J340" s="17"/>
    </row>
    <row r="341" spans="1:10">
      <c r="A341" s="6">
        <f t="shared" si="5"/>
        <v>336</v>
      </c>
      <c r="B341" s="49"/>
      <c r="C341" s="18"/>
      <c r="D341" s="17"/>
      <c r="E341" s="17"/>
      <c r="F341" s="17"/>
      <c r="G341" s="17"/>
      <c r="H341" s="17"/>
      <c r="I341" s="17"/>
      <c r="J341" s="17"/>
    </row>
    <row r="342" spans="1:10">
      <c r="A342" s="6">
        <f t="shared" si="5"/>
        <v>337</v>
      </c>
      <c r="B342" s="49"/>
      <c r="C342" s="18"/>
      <c r="D342" s="17"/>
      <c r="E342" s="17"/>
      <c r="F342" s="17"/>
      <c r="G342" s="17"/>
      <c r="H342" s="17"/>
      <c r="I342" s="17"/>
      <c r="J342" s="17"/>
    </row>
    <row r="343" spans="1:10">
      <c r="A343" s="6">
        <f t="shared" si="5"/>
        <v>338</v>
      </c>
      <c r="B343" s="49"/>
      <c r="C343" s="18"/>
      <c r="D343" s="17"/>
      <c r="E343" s="17"/>
      <c r="F343" s="17"/>
      <c r="G343" s="17"/>
      <c r="H343" s="17"/>
      <c r="I343" s="17"/>
      <c r="J343" s="17"/>
    </row>
    <row r="344" spans="1:10">
      <c r="A344" s="6">
        <f t="shared" si="5"/>
        <v>339</v>
      </c>
      <c r="B344" s="49"/>
      <c r="C344" s="18"/>
      <c r="D344" s="17"/>
      <c r="E344" s="17"/>
      <c r="F344" s="17"/>
      <c r="G344" s="17"/>
      <c r="H344" s="17"/>
      <c r="I344" s="17"/>
      <c r="J344" s="17"/>
    </row>
    <row r="345" spans="1:10">
      <c r="A345" s="6">
        <f t="shared" si="5"/>
        <v>340</v>
      </c>
      <c r="B345" s="49"/>
      <c r="C345" s="18"/>
      <c r="D345" s="17"/>
      <c r="E345" s="17"/>
      <c r="F345" s="17"/>
      <c r="G345" s="17"/>
      <c r="H345" s="17"/>
      <c r="I345" s="17"/>
      <c r="J345" s="17"/>
    </row>
    <row r="346" spans="1:10">
      <c r="A346" s="6">
        <f t="shared" si="5"/>
        <v>341</v>
      </c>
      <c r="B346" s="49"/>
      <c r="C346" s="18"/>
      <c r="D346" s="17"/>
      <c r="E346" s="17"/>
      <c r="F346" s="17"/>
      <c r="G346" s="17"/>
      <c r="H346" s="17"/>
      <c r="I346" s="17"/>
      <c r="J346" s="17"/>
    </row>
    <row r="347" spans="1:10">
      <c r="A347" s="6">
        <f t="shared" si="5"/>
        <v>342</v>
      </c>
      <c r="B347" s="49"/>
      <c r="C347" s="18"/>
      <c r="D347" s="17"/>
      <c r="E347" s="17"/>
      <c r="F347" s="17"/>
      <c r="G347" s="17"/>
      <c r="H347" s="17"/>
      <c r="I347" s="17"/>
      <c r="J347" s="17"/>
    </row>
    <row r="348" spans="1:10">
      <c r="A348" s="6">
        <f t="shared" si="5"/>
        <v>343</v>
      </c>
      <c r="B348" s="49"/>
      <c r="C348" s="18"/>
      <c r="D348" s="17"/>
      <c r="E348" s="17"/>
      <c r="F348" s="17"/>
      <c r="G348" s="17"/>
      <c r="H348" s="17"/>
      <c r="I348" s="17"/>
      <c r="J348" s="17"/>
    </row>
    <row r="349" spans="1:10">
      <c r="A349" s="6">
        <f t="shared" si="5"/>
        <v>344</v>
      </c>
      <c r="B349" s="49"/>
      <c r="C349" s="18"/>
      <c r="D349" s="17"/>
      <c r="E349" s="17"/>
      <c r="F349" s="17"/>
      <c r="G349" s="17"/>
      <c r="H349" s="17"/>
      <c r="I349" s="17"/>
      <c r="J349" s="17"/>
    </row>
    <row r="350" spans="1:10">
      <c r="A350" s="6">
        <f t="shared" si="5"/>
        <v>345</v>
      </c>
      <c r="B350" s="49"/>
      <c r="C350" s="18"/>
      <c r="D350" s="17"/>
      <c r="E350" s="17"/>
      <c r="F350" s="17"/>
      <c r="G350" s="17"/>
      <c r="H350" s="17"/>
      <c r="I350" s="17"/>
      <c r="J350" s="17"/>
    </row>
    <row r="351" spans="1:10">
      <c r="A351" s="6">
        <f t="shared" si="5"/>
        <v>346</v>
      </c>
      <c r="B351" s="49"/>
      <c r="C351" s="18"/>
      <c r="D351" s="17"/>
      <c r="E351" s="17"/>
      <c r="F351" s="17"/>
      <c r="G351" s="17"/>
      <c r="H351" s="17"/>
      <c r="I351" s="17"/>
      <c r="J351" s="17"/>
    </row>
    <row r="352" spans="1:10">
      <c r="A352" s="6">
        <f t="shared" si="5"/>
        <v>347</v>
      </c>
      <c r="B352" s="49"/>
      <c r="C352" s="18"/>
      <c r="D352" s="17"/>
      <c r="E352" s="17"/>
      <c r="F352" s="17"/>
      <c r="G352" s="17"/>
      <c r="H352" s="17"/>
      <c r="I352" s="17"/>
      <c r="J352" s="17"/>
    </row>
    <row r="353" spans="1:10">
      <c r="A353" s="6">
        <f t="shared" si="5"/>
        <v>348</v>
      </c>
      <c r="B353" s="49"/>
      <c r="C353" s="18"/>
      <c r="D353" s="17"/>
      <c r="E353" s="17"/>
      <c r="F353" s="17"/>
      <c r="G353" s="17"/>
      <c r="H353" s="17"/>
      <c r="I353" s="17"/>
      <c r="J353" s="17"/>
    </row>
    <row r="354" spans="1:10">
      <c r="A354" s="6">
        <f t="shared" si="5"/>
        <v>349</v>
      </c>
      <c r="B354" s="49"/>
      <c r="C354" s="18"/>
      <c r="D354" s="17"/>
      <c r="E354" s="17"/>
      <c r="F354" s="17"/>
      <c r="G354" s="17"/>
      <c r="H354" s="17"/>
      <c r="I354" s="17"/>
      <c r="J354" s="17"/>
    </row>
    <row r="355" spans="1:10">
      <c r="A355" s="6">
        <f t="shared" si="5"/>
        <v>350</v>
      </c>
      <c r="B355" s="49"/>
      <c r="C355" s="18"/>
      <c r="D355" s="17"/>
      <c r="E355" s="17"/>
      <c r="F355" s="17"/>
      <c r="G355" s="17"/>
      <c r="H355" s="17"/>
      <c r="I355" s="17"/>
      <c r="J355" s="17"/>
    </row>
    <row r="356" spans="1:10">
      <c r="A356" s="6">
        <f t="shared" si="5"/>
        <v>351</v>
      </c>
      <c r="B356" s="49"/>
      <c r="C356" s="18"/>
      <c r="D356" s="17"/>
      <c r="E356" s="17"/>
      <c r="F356" s="17"/>
      <c r="G356" s="17"/>
      <c r="H356" s="17"/>
      <c r="I356" s="17"/>
      <c r="J356" s="17"/>
    </row>
    <row r="357" spans="1:10">
      <c r="A357" s="6">
        <f t="shared" si="5"/>
        <v>352</v>
      </c>
      <c r="B357" s="49"/>
      <c r="C357" s="18"/>
      <c r="D357" s="17"/>
      <c r="E357" s="17"/>
      <c r="F357" s="17"/>
      <c r="G357" s="17"/>
      <c r="H357" s="17"/>
      <c r="I357" s="17"/>
      <c r="J357" s="17"/>
    </row>
    <row r="358" spans="1:10">
      <c r="A358" s="6">
        <f t="shared" si="5"/>
        <v>353</v>
      </c>
      <c r="B358" s="49"/>
      <c r="C358" s="18"/>
      <c r="D358" s="17"/>
      <c r="E358" s="17"/>
      <c r="F358" s="17"/>
      <c r="G358" s="17"/>
      <c r="H358" s="17"/>
      <c r="I358" s="17"/>
      <c r="J358" s="17"/>
    </row>
    <row r="359" spans="1:10">
      <c r="A359" s="6">
        <f t="shared" si="5"/>
        <v>354</v>
      </c>
      <c r="B359" s="49"/>
      <c r="C359" s="18"/>
      <c r="D359" s="17"/>
      <c r="E359" s="17"/>
      <c r="F359" s="17"/>
      <c r="G359" s="17"/>
      <c r="H359" s="17"/>
      <c r="I359" s="17"/>
      <c r="J359" s="17"/>
    </row>
    <row r="360" spans="1:10">
      <c r="A360" s="6">
        <f t="shared" si="5"/>
        <v>355</v>
      </c>
      <c r="B360" s="49"/>
      <c r="C360" s="18"/>
      <c r="D360" s="17"/>
      <c r="E360" s="17"/>
      <c r="F360" s="17"/>
      <c r="G360" s="17"/>
      <c r="H360" s="17"/>
      <c r="I360" s="17"/>
      <c r="J360" s="17"/>
    </row>
    <row r="361" spans="1:10">
      <c r="A361" s="6">
        <f t="shared" si="5"/>
        <v>356</v>
      </c>
      <c r="B361" s="49"/>
      <c r="C361" s="18"/>
      <c r="D361" s="17"/>
      <c r="E361" s="17"/>
      <c r="F361" s="17"/>
      <c r="G361" s="17"/>
      <c r="H361" s="17"/>
      <c r="I361" s="17"/>
      <c r="J361" s="17"/>
    </row>
    <row r="362" spans="1:10">
      <c r="A362" s="6">
        <f t="shared" si="5"/>
        <v>357</v>
      </c>
      <c r="B362" s="49"/>
      <c r="C362" s="18"/>
      <c r="D362" s="17"/>
      <c r="E362" s="17"/>
      <c r="F362" s="17"/>
      <c r="G362" s="17"/>
      <c r="H362" s="17"/>
      <c r="I362" s="17"/>
      <c r="J362" s="17"/>
    </row>
    <row r="363" spans="1:10">
      <c r="A363" s="6">
        <f t="shared" si="5"/>
        <v>358</v>
      </c>
      <c r="B363" s="49"/>
      <c r="C363" s="18"/>
      <c r="D363" s="17"/>
      <c r="E363" s="17"/>
      <c r="F363" s="17"/>
      <c r="G363" s="17"/>
      <c r="H363" s="17"/>
      <c r="I363" s="17"/>
      <c r="J363" s="17"/>
    </row>
    <row r="364" spans="1:10">
      <c r="A364" s="6">
        <f t="shared" si="5"/>
        <v>359</v>
      </c>
      <c r="B364" s="49"/>
      <c r="C364" s="18"/>
      <c r="D364" s="17"/>
      <c r="E364" s="17"/>
      <c r="F364" s="17"/>
      <c r="G364" s="17"/>
      <c r="H364" s="17"/>
      <c r="I364" s="17"/>
      <c r="J364" s="17"/>
    </row>
    <row r="365" spans="1:10">
      <c r="A365" s="6">
        <f t="shared" si="5"/>
        <v>360</v>
      </c>
      <c r="B365" s="49"/>
      <c r="C365" s="18"/>
      <c r="D365" s="17"/>
      <c r="E365" s="17"/>
      <c r="F365" s="17"/>
      <c r="G365" s="17"/>
      <c r="H365" s="17"/>
      <c r="I365" s="17"/>
      <c r="J365" s="17"/>
    </row>
    <row r="366" spans="1:10">
      <c r="A366" s="6">
        <f t="shared" si="5"/>
        <v>361</v>
      </c>
      <c r="B366" s="49"/>
      <c r="C366" s="18"/>
      <c r="D366" s="17"/>
      <c r="E366" s="17"/>
      <c r="F366" s="17"/>
      <c r="G366" s="17"/>
      <c r="H366" s="17"/>
      <c r="I366" s="17"/>
      <c r="J366" s="17"/>
    </row>
    <row r="367" spans="1:10">
      <c r="A367" s="6">
        <f t="shared" si="5"/>
        <v>362</v>
      </c>
      <c r="B367" s="49"/>
      <c r="C367" s="18"/>
      <c r="D367" s="17"/>
      <c r="E367" s="17"/>
      <c r="F367" s="17"/>
      <c r="G367" s="17"/>
      <c r="H367" s="17"/>
      <c r="I367" s="17"/>
      <c r="J367" s="17"/>
    </row>
    <row r="368" spans="1:10">
      <c r="A368" s="6">
        <f t="shared" si="5"/>
        <v>363</v>
      </c>
      <c r="B368" s="49"/>
      <c r="C368" s="18"/>
      <c r="D368" s="17"/>
      <c r="E368" s="17"/>
      <c r="F368" s="17"/>
      <c r="G368" s="17"/>
      <c r="H368" s="17"/>
      <c r="I368" s="17"/>
      <c r="J368" s="17"/>
    </row>
    <row r="369" spans="1:10">
      <c r="A369" s="6">
        <f t="shared" si="5"/>
        <v>364</v>
      </c>
      <c r="B369" s="49"/>
      <c r="C369" s="18"/>
      <c r="D369" s="17"/>
      <c r="E369" s="17"/>
      <c r="F369" s="17"/>
      <c r="G369" s="17"/>
      <c r="H369" s="17"/>
      <c r="I369" s="17"/>
      <c r="J369" s="17"/>
    </row>
    <row r="370" spans="1:10">
      <c r="A370" s="6">
        <f t="shared" si="5"/>
        <v>365</v>
      </c>
      <c r="B370" s="49"/>
      <c r="C370" s="18"/>
      <c r="D370" s="17"/>
      <c r="E370" s="17"/>
      <c r="F370" s="17"/>
      <c r="G370" s="17"/>
      <c r="H370" s="17"/>
      <c r="I370" s="17"/>
      <c r="J370" s="17"/>
    </row>
    <row r="371" spans="1:10">
      <c r="A371" s="6">
        <f t="shared" si="5"/>
        <v>366</v>
      </c>
      <c r="B371" s="49"/>
      <c r="C371" s="18"/>
      <c r="D371" s="17"/>
      <c r="E371" s="17"/>
      <c r="F371" s="17"/>
      <c r="G371" s="17"/>
      <c r="H371" s="17"/>
      <c r="I371" s="17"/>
      <c r="J371" s="17"/>
    </row>
    <row r="372" spans="1:10">
      <c r="A372" s="6">
        <f t="shared" si="5"/>
        <v>367</v>
      </c>
      <c r="B372" s="49"/>
      <c r="C372" s="18"/>
      <c r="D372" s="17"/>
      <c r="E372" s="17"/>
      <c r="F372" s="17"/>
      <c r="G372" s="17"/>
      <c r="H372" s="17"/>
      <c r="I372" s="17"/>
      <c r="J372" s="17"/>
    </row>
    <row r="373" spans="1:10">
      <c r="A373" s="6">
        <f t="shared" si="5"/>
        <v>368</v>
      </c>
      <c r="B373" s="49"/>
      <c r="C373" s="18"/>
      <c r="D373" s="17"/>
      <c r="E373" s="17"/>
      <c r="F373" s="17"/>
      <c r="G373" s="17"/>
      <c r="H373" s="17"/>
      <c r="I373" s="17"/>
      <c r="J373" s="17"/>
    </row>
    <row r="374" spans="1:10">
      <c r="A374" s="6">
        <f t="shared" si="5"/>
        <v>369</v>
      </c>
      <c r="B374" s="49"/>
      <c r="C374" s="18"/>
      <c r="D374" s="17"/>
      <c r="E374" s="17"/>
      <c r="F374" s="17"/>
      <c r="G374" s="17"/>
      <c r="H374" s="17"/>
      <c r="I374" s="17"/>
      <c r="J374" s="17"/>
    </row>
    <row r="375" spans="1:10">
      <c r="A375" s="6">
        <f t="shared" si="5"/>
        <v>370</v>
      </c>
      <c r="B375" s="49"/>
      <c r="C375" s="18"/>
      <c r="D375" s="17"/>
      <c r="E375" s="17"/>
      <c r="F375" s="17"/>
      <c r="G375" s="17"/>
      <c r="H375" s="17"/>
      <c r="I375" s="17"/>
      <c r="J375" s="17"/>
    </row>
    <row r="376" spans="1:10">
      <c r="A376" s="6">
        <f t="shared" si="5"/>
        <v>371</v>
      </c>
      <c r="B376" s="49"/>
      <c r="C376" s="18"/>
      <c r="D376" s="17"/>
      <c r="E376" s="17"/>
      <c r="F376" s="17"/>
      <c r="G376" s="17"/>
      <c r="H376" s="17"/>
      <c r="I376" s="17"/>
      <c r="J376" s="17"/>
    </row>
    <row r="377" spans="1:10">
      <c r="A377" s="6">
        <f t="shared" si="5"/>
        <v>372</v>
      </c>
      <c r="B377" s="49"/>
      <c r="C377" s="18"/>
      <c r="D377" s="17"/>
      <c r="E377" s="17"/>
      <c r="F377" s="17"/>
      <c r="G377" s="17"/>
      <c r="H377" s="17"/>
      <c r="I377" s="17"/>
      <c r="J377" s="17"/>
    </row>
    <row r="378" spans="1:10">
      <c r="A378" s="6">
        <f t="shared" si="5"/>
        <v>373</v>
      </c>
      <c r="B378" s="49"/>
      <c r="C378" s="18"/>
      <c r="D378" s="17"/>
      <c r="E378" s="17"/>
      <c r="F378" s="17"/>
      <c r="G378" s="17"/>
      <c r="H378" s="17"/>
      <c r="I378" s="17"/>
      <c r="J378" s="17"/>
    </row>
    <row r="379" spans="1:10">
      <c r="A379" s="6">
        <f t="shared" si="5"/>
        <v>374</v>
      </c>
      <c r="B379" s="49"/>
      <c r="C379" s="18"/>
      <c r="D379" s="17"/>
      <c r="E379" s="17"/>
      <c r="F379" s="17"/>
      <c r="G379" s="17"/>
      <c r="H379" s="17"/>
      <c r="I379" s="17"/>
      <c r="J379" s="17"/>
    </row>
    <row r="380" spans="1:10">
      <c r="A380" s="6">
        <f t="shared" si="5"/>
        <v>375</v>
      </c>
      <c r="B380" s="49"/>
      <c r="C380" s="18"/>
      <c r="D380" s="17"/>
      <c r="E380" s="17"/>
      <c r="F380" s="17"/>
      <c r="G380" s="17"/>
      <c r="H380" s="17"/>
      <c r="I380" s="17"/>
      <c r="J380" s="17"/>
    </row>
    <row r="381" spans="1:10">
      <c r="A381" s="6">
        <f t="shared" si="5"/>
        <v>376</v>
      </c>
      <c r="B381" s="49"/>
      <c r="C381" s="18"/>
      <c r="D381" s="17"/>
      <c r="E381" s="17"/>
      <c r="F381" s="17"/>
      <c r="G381" s="17"/>
      <c r="H381" s="17"/>
      <c r="I381" s="17"/>
      <c r="J381" s="17"/>
    </row>
    <row r="382" spans="1:10">
      <c r="A382" s="6">
        <f t="shared" si="5"/>
        <v>377</v>
      </c>
      <c r="B382" s="49"/>
      <c r="C382" s="18"/>
      <c r="D382" s="17"/>
      <c r="E382" s="17"/>
      <c r="F382" s="17"/>
      <c r="G382" s="17"/>
      <c r="H382" s="17"/>
      <c r="I382" s="17"/>
      <c r="J382" s="17"/>
    </row>
    <row r="383" spans="1:10">
      <c r="A383" s="6">
        <f t="shared" si="5"/>
        <v>378</v>
      </c>
      <c r="B383" s="49"/>
      <c r="C383" s="18"/>
      <c r="D383" s="17"/>
      <c r="E383" s="17"/>
      <c r="F383" s="17"/>
      <c r="G383" s="17"/>
      <c r="H383" s="17"/>
      <c r="I383" s="17"/>
      <c r="J383" s="17"/>
    </row>
    <row r="384" spans="1:10">
      <c r="A384" s="6">
        <f t="shared" si="5"/>
        <v>379</v>
      </c>
      <c r="B384" s="49"/>
      <c r="C384" s="18"/>
      <c r="D384" s="17"/>
      <c r="E384" s="17"/>
      <c r="F384" s="17"/>
      <c r="G384" s="17"/>
      <c r="H384" s="17"/>
      <c r="I384" s="17"/>
      <c r="J384" s="17"/>
    </row>
    <row r="385" spans="1:10">
      <c r="A385" s="6">
        <f t="shared" si="5"/>
        <v>380</v>
      </c>
      <c r="B385" s="49"/>
      <c r="C385" s="18"/>
      <c r="D385" s="17"/>
      <c r="E385" s="17"/>
      <c r="F385" s="17"/>
      <c r="G385" s="17"/>
      <c r="H385" s="17"/>
      <c r="I385" s="17"/>
      <c r="J385" s="17"/>
    </row>
    <row r="386" spans="1:10">
      <c r="A386" s="6">
        <f t="shared" si="5"/>
        <v>381</v>
      </c>
      <c r="B386" s="49"/>
      <c r="C386" s="18"/>
      <c r="D386" s="17"/>
      <c r="E386" s="17"/>
      <c r="F386" s="17"/>
      <c r="G386" s="17"/>
      <c r="H386" s="17"/>
      <c r="I386" s="17"/>
      <c r="J386" s="17"/>
    </row>
    <row r="387" spans="1:10">
      <c r="A387" s="6">
        <f t="shared" si="5"/>
        <v>382</v>
      </c>
      <c r="B387" s="49"/>
      <c r="C387" s="18"/>
      <c r="D387" s="17"/>
      <c r="E387" s="17"/>
      <c r="F387" s="17"/>
      <c r="G387" s="17"/>
      <c r="H387" s="17"/>
      <c r="I387" s="17"/>
      <c r="J387" s="17"/>
    </row>
    <row r="388" spans="1:10">
      <c r="A388" s="6">
        <f t="shared" si="5"/>
        <v>383</v>
      </c>
      <c r="B388" s="49"/>
      <c r="C388" s="18"/>
      <c r="D388" s="17"/>
      <c r="E388" s="17"/>
      <c r="F388" s="17"/>
      <c r="G388" s="17"/>
      <c r="H388" s="17"/>
      <c r="I388" s="17"/>
      <c r="J388" s="17"/>
    </row>
    <row r="389" spans="1:10">
      <c r="A389" s="6">
        <f t="shared" si="5"/>
        <v>384</v>
      </c>
      <c r="B389" s="49"/>
      <c r="C389" s="18"/>
      <c r="D389" s="17"/>
      <c r="E389" s="17"/>
      <c r="F389" s="17"/>
      <c r="G389" s="17"/>
      <c r="H389" s="17"/>
      <c r="I389" s="17"/>
      <c r="J389" s="17"/>
    </row>
    <row r="390" spans="1:10">
      <c r="A390" s="6">
        <f t="shared" si="5"/>
        <v>385</v>
      </c>
      <c r="B390" s="49"/>
      <c r="C390" s="18"/>
      <c r="D390" s="17"/>
      <c r="E390" s="17"/>
      <c r="F390" s="17"/>
      <c r="G390" s="17"/>
      <c r="H390" s="17"/>
      <c r="I390" s="17"/>
      <c r="J390" s="17"/>
    </row>
    <row r="391" spans="1:10">
      <c r="A391" s="6">
        <f t="shared" ref="A391:A454" si="6">ROW(A386)</f>
        <v>386</v>
      </c>
      <c r="B391" s="49"/>
      <c r="C391" s="18"/>
      <c r="D391" s="17"/>
      <c r="E391" s="17"/>
      <c r="F391" s="17"/>
      <c r="G391" s="17"/>
      <c r="H391" s="17"/>
      <c r="I391" s="17"/>
      <c r="J391" s="17"/>
    </row>
    <row r="392" spans="1:10">
      <c r="A392" s="6">
        <f t="shared" si="6"/>
        <v>387</v>
      </c>
      <c r="B392" s="49"/>
      <c r="C392" s="18"/>
      <c r="D392" s="17"/>
      <c r="E392" s="17"/>
      <c r="F392" s="17"/>
      <c r="G392" s="17"/>
      <c r="H392" s="17"/>
      <c r="I392" s="17"/>
      <c r="J392" s="17"/>
    </row>
    <row r="393" spans="1:10">
      <c r="A393" s="6">
        <f t="shared" si="6"/>
        <v>388</v>
      </c>
      <c r="B393" s="49"/>
      <c r="C393" s="18"/>
      <c r="D393" s="17"/>
      <c r="E393" s="17"/>
      <c r="F393" s="17"/>
      <c r="G393" s="17"/>
      <c r="H393" s="17"/>
      <c r="I393" s="17"/>
      <c r="J393" s="17"/>
    </row>
    <row r="394" spans="1:10">
      <c r="A394" s="6">
        <f t="shared" si="6"/>
        <v>389</v>
      </c>
      <c r="B394" s="49"/>
      <c r="C394" s="18"/>
      <c r="D394" s="17"/>
      <c r="E394" s="17"/>
      <c r="F394" s="17"/>
      <c r="G394" s="17"/>
      <c r="H394" s="17"/>
      <c r="I394" s="17"/>
      <c r="J394" s="17"/>
    </row>
    <row r="395" spans="1:10">
      <c r="A395" s="6">
        <f t="shared" si="6"/>
        <v>390</v>
      </c>
      <c r="B395" s="49"/>
      <c r="C395" s="18"/>
      <c r="D395" s="17"/>
      <c r="E395" s="17"/>
      <c r="F395" s="17"/>
      <c r="G395" s="17"/>
      <c r="H395" s="17"/>
      <c r="I395" s="17"/>
      <c r="J395" s="17"/>
    </row>
    <row r="396" spans="1:10">
      <c r="A396" s="6">
        <f t="shared" si="6"/>
        <v>391</v>
      </c>
      <c r="B396" s="49"/>
      <c r="C396" s="18"/>
      <c r="D396" s="17"/>
      <c r="E396" s="17"/>
      <c r="F396" s="17"/>
      <c r="G396" s="17"/>
      <c r="H396" s="17"/>
      <c r="I396" s="17"/>
      <c r="J396" s="17"/>
    </row>
    <row r="397" spans="1:10">
      <c r="A397" s="6">
        <f t="shared" si="6"/>
        <v>392</v>
      </c>
      <c r="B397" s="49"/>
      <c r="C397" s="18"/>
      <c r="D397" s="17"/>
      <c r="E397" s="17"/>
      <c r="F397" s="17"/>
      <c r="G397" s="17"/>
      <c r="H397" s="17"/>
      <c r="I397" s="17"/>
      <c r="J397" s="17"/>
    </row>
    <row r="398" spans="1:10">
      <c r="A398" s="6">
        <f t="shared" si="6"/>
        <v>393</v>
      </c>
      <c r="B398" s="49"/>
      <c r="C398" s="18"/>
      <c r="D398" s="17"/>
      <c r="E398" s="17"/>
      <c r="F398" s="17"/>
      <c r="G398" s="17"/>
      <c r="H398" s="17"/>
      <c r="I398" s="17"/>
      <c r="J398" s="17"/>
    </row>
    <row r="399" spans="1:10">
      <c r="A399" s="6">
        <f t="shared" si="6"/>
        <v>394</v>
      </c>
      <c r="B399" s="49"/>
      <c r="C399" s="18"/>
      <c r="D399" s="17"/>
      <c r="E399" s="17"/>
      <c r="F399" s="17"/>
      <c r="G399" s="17"/>
      <c r="H399" s="17"/>
      <c r="I399" s="17"/>
      <c r="J399" s="17"/>
    </row>
    <row r="400" spans="1:10">
      <c r="A400" s="6">
        <f t="shared" si="6"/>
        <v>395</v>
      </c>
      <c r="B400" s="49"/>
      <c r="C400" s="18"/>
      <c r="D400" s="17"/>
      <c r="E400" s="17"/>
      <c r="F400" s="17"/>
      <c r="G400" s="17"/>
      <c r="H400" s="17"/>
      <c r="I400" s="17"/>
      <c r="J400" s="17"/>
    </row>
    <row r="401" spans="1:10">
      <c r="A401" s="6">
        <f t="shared" si="6"/>
        <v>396</v>
      </c>
      <c r="B401" s="49"/>
      <c r="C401" s="18"/>
      <c r="D401" s="17"/>
      <c r="E401" s="17"/>
      <c r="F401" s="17"/>
      <c r="G401" s="17"/>
      <c r="H401" s="17"/>
      <c r="I401" s="17"/>
      <c r="J401" s="17"/>
    </row>
    <row r="402" spans="1:10">
      <c r="A402" s="6">
        <f t="shared" si="6"/>
        <v>397</v>
      </c>
      <c r="B402" s="49"/>
      <c r="C402" s="18"/>
      <c r="D402" s="17"/>
      <c r="E402" s="17"/>
      <c r="F402" s="17"/>
      <c r="G402" s="17"/>
      <c r="H402" s="17"/>
      <c r="I402" s="17"/>
      <c r="J402" s="17"/>
    </row>
    <row r="403" spans="1:10">
      <c r="A403" s="6">
        <f t="shared" si="6"/>
        <v>398</v>
      </c>
      <c r="B403" s="49"/>
      <c r="C403" s="18"/>
      <c r="D403" s="17"/>
      <c r="E403" s="17"/>
      <c r="F403" s="17"/>
      <c r="G403" s="17"/>
      <c r="H403" s="17"/>
      <c r="I403" s="17"/>
      <c r="J403" s="17"/>
    </row>
    <row r="404" spans="1:10">
      <c r="A404" s="6">
        <f t="shared" si="6"/>
        <v>399</v>
      </c>
      <c r="B404" s="49"/>
      <c r="C404" s="18"/>
      <c r="D404" s="17"/>
      <c r="E404" s="17"/>
      <c r="F404" s="17"/>
      <c r="G404" s="17"/>
      <c r="H404" s="17"/>
      <c r="I404" s="17"/>
      <c r="J404" s="17"/>
    </row>
    <row r="405" spans="1:10">
      <c r="A405" s="6">
        <f t="shared" si="6"/>
        <v>400</v>
      </c>
      <c r="B405" s="49"/>
      <c r="C405" s="18"/>
      <c r="D405" s="17"/>
      <c r="E405" s="17"/>
      <c r="F405" s="17"/>
      <c r="G405" s="17"/>
      <c r="H405" s="17"/>
      <c r="I405" s="17"/>
      <c r="J405" s="17"/>
    </row>
    <row r="406" spans="1:10">
      <c r="A406" s="6">
        <f t="shared" si="6"/>
        <v>401</v>
      </c>
      <c r="B406" s="49"/>
      <c r="C406" s="18"/>
      <c r="D406" s="17"/>
      <c r="E406" s="17"/>
      <c r="F406" s="17"/>
      <c r="G406" s="17"/>
      <c r="H406" s="17"/>
      <c r="I406" s="17"/>
      <c r="J406" s="17"/>
    </row>
    <row r="407" spans="1:10">
      <c r="A407" s="6">
        <f t="shared" si="6"/>
        <v>402</v>
      </c>
      <c r="B407" s="49"/>
      <c r="C407" s="18"/>
      <c r="D407" s="17"/>
      <c r="E407" s="17"/>
      <c r="F407" s="17"/>
      <c r="G407" s="17"/>
      <c r="H407" s="17"/>
      <c r="I407" s="17"/>
      <c r="J407" s="17"/>
    </row>
    <row r="408" spans="1:10">
      <c r="A408" s="6">
        <f t="shared" si="6"/>
        <v>403</v>
      </c>
      <c r="B408" s="49"/>
      <c r="C408" s="18"/>
      <c r="D408" s="17"/>
      <c r="E408" s="17"/>
      <c r="F408" s="17"/>
      <c r="G408" s="17"/>
      <c r="H408" s="17"/>
      <c r="I408" s="17"/>
      <c r="J408" s="17"/>
    </row>
    <row r="409" spans="1:10">
      <c r="A409" s="6">
        <f t="shared" si="6"/>
        <v>404</v>
      </c>
      <c r="B409" s="49"/>
      <c r="C409" s="18"/>
      <c r="D409" s="17"/>
      <c r="E409" s="17"/>
      <c r="F409" s="17"/>
      <c r="G409" s="17"/>
      <c r="H409" s="17"/>
      <c r="I409" s="17"/>
      <c r="J409" s="17"/>
    </row>
    <row r="410" spans="1:10">
      <c r="A410" s="6">
        <f t="shared" si="6"/>
        <v>405</v>
      </c>
      <c r="B410" s="49"/>
      <c r="C410" s="18"/>
      <c r="D410" s="17"/>
      <c r="E410" s="17"/>
      <c r="F410" s="17"/>
      <c r="G410" s="17"/>
      <c r="H410" s="17"/>
      <c r="I410" s="17"/>
      <c r="J410" s="17"/>
    </row>
    <row r="411" spans="1:10">
      <c r="A411" s="6">
        <f t="shared" si="6"/>
        <v>406</v>
      </c>
      <c r="B411" s="49"/>
      <c r="C411" s="18"/>
      <c r="D411" s="17"/>
      <c r="E411" s="17"/>
      <c r="F411" s="17"/>
      <c r="G411" s="17"/>
      <c r="H411" s="17"/>
      <c r="I411" s="17"/>
      <c r="J411" s="17"/>
    </row>
    <row r="412" spans="1:10">
      <c r="A412" s="6">
        <f t="shared" si="6"/>
        <v>407</v>
      </c>
      <c r="B412" s="49"/>
      <c r="C412" s="18"/>
      <c r="D412" s="17"/>
      <c r="E412" s="17"/>
      <c r="F412" s="17"/>
      <c r="G412" s="17"/>
      <c r="H412" s="17"/>
      <c r="I412" s="17"/>
      <c r="J412" s="17"/>
    </row>
    <row r="413" spans="1:10">
      <c r="A413" s="6">
        <f t="shared" si="6"/>
        <v>408</v>
      </c>
      <c r="B413" s="49"/>
      <c r="C413" s="18"/>
      <c r="D413" s="17"/>
      <c r="E413" s="17"/>
      <c r="F413" s="17"/>
      <c r="G413" s="17"/>
      <c r="H413" s="17"/>
      <c r="I413" s="17"/>
      <c r="J413" s="17"/>
    </row>
    <row r="414" spans="1:10">
      <c r="A414" s="6">
        <f t="shared" si="6"/>
        <v>409</v>
      </c>
      <c r="B414" s="49"/>
      <c r="C414" s="18"/>
      <c r="D414" s="17"/>
      <c r="E414" s="17"/>
      <c r="F414" s="17"/>
      <c r="G414" s="17"/>
      <c r="H414" s="17"/>
      <c r="I414" s="17"/>
      <c r="J414" s="17"/>
    </row>
    <row r="415" spans="1:10">
      <c r="A415" s="6">
        <f t="shared" si="6"/>
        <v>410</v>
      </c>
      <c r="B415" s="49"/>
      <c r="C415" s="18"/>
      <c r="D415" s="17"/>
      <c r="E415" s="17"/>
      <c r="F415" s="17"/>
      <c r="G415" s="17"/>
      <c r="H415" s="17"/>
      <c r="I415" s="17"/>
      <c r="J415" s="17"/>
    </row>
    <row r="416" spans="1:10">
      <c r="A416" s="6">
        <f t="shared" si="6"/>
        <v>411</v>
      </c>
      <c r="B416" s="49"/>
      <c r="C416" s="18"/>
      <c r="D416" s="17"/>
      <c r="E416" s="17"/>
      <c r="F416" s="17"/>
      <c r="G416" s="17"/>
      <c r="H416" s="17"/>
      <c r="I416" s="17"/>
      <c r="J416" s="17"/>
    </row>
    <row r="417" spans="1:10">
      <c r="A417" s="6">
        <f t="shared" si="6"/>
        <v>412</v>
      </c>
      <c r="B417" s="49"/>
      <c r="C417" s="18"/>
      <c r="D417" s="17"/>
      <c r="E417" s="17"/>
      <c r="F417" s="17"/>
      <c r="G417" s="17"/>
      <c r="H417" s="17"/>
      <c r="I417" s="17"/>
      <c r="J417" s="17"/>
    </row>
    <row r="418" spans="1:10">
      <c r="A418" s="6">
        <f t="shared" si="6"/>
        <v>413</v>
      </c>
      <c r="B418" s="49"/>
      <c r="C418" s="18"/>
      <c r="D418" s="17"/>
      <c r="E418" s="17"/>
      <c r="F418" s="17"/>
      <c r="G418" s="17"/>
      <c r="H418" s="17"/>
      <c r="I418" s="17"/>
      <c r="J418" s="17"/>
    </row>
    <row r="419" spans="1:10">
      <c r="A419" s="6">
        <f t="shared" si="6"/>
        <v>414</v>
      </c>
      <c r="B419" s="49"/>
      <c r="C419" s="18"/>
      <c r="D419" s="17"/>
      <c r="E419" s="17"/>
      <c r="F419" s="17"/>
      <c r="G419" s="17"/>
      <c r="H419" s="17"/>
      <c r="I419" s="17"/>
      <c r="J419" s="17"/>
    </row>
    <row r="420" spans="1:10">
      <c r="A420" s="6">
        <f t="shared" si="6"/>
        <v>415</v>
      </c>
      <c r="B420" s="49"/>
      <c r="C420" s="18"/>
      <c r="D420" s="17"/>
      <c r="E420" s="17"/>
      <c r="F420" s="17"/>
      <c r="G420" s="17"/>
      <c r="H420" s="17"/>
      <c r="I420" s="17"/>
      <c r="J420" s="17"/>
    </row>
    <row r="421" spans="1:10">
      <c r="A421" s="6">
        <f t="shared" si="6"/>
        <v>416</v>
      </c>
      <c r="B421" s="49"/>
      <c r="C421" s="18"/>
      <c r="D421" s="17"/>
      <c r="E421" s="17"/>
      <c r="F421" s="17"/>
      <c r="G421" s="17"/>
      <c r="H421" s="17"/>
      <c r="I421" s="17"/>
      <c r="J421" s="17"/>
    </row>
    <row r="422" spans="1:10">
      <c r="A422" s="6">
        <f t="shared" si="6"/>
        <v>417</v>
      </c>
      <c r="B422" s="49"/>
      <c r="C422" s="18"/>
      <c r="D422" s="17"/>
      <c r="E422" s="17"/>
      <c r="F422" s="17"/>
      <c r="G422" s="17"/>
      <c r="H422" s="17"/>
      <c r="I422" s="17"/>
      <c r="J422" s="17"/>
    </row>
    <row r="423" spans="1:10">
      <c r="A423" s="6">
        <f t="shared" si="6"/>
        <v>418</v>
      </c>
      <c r="B423" s="49"/>
      <c r="C423" s="18"/>
      <c r="D423" s="17"/>
      <c r="E423" s="17"/>
      <c r="F423" s="17"/>
      <c r="G423" s="17"/>
      <c r="H423" s="17"/>
      <c r="I423" s="17"/>
      <c r="J423" s="17"/>
    </row>
    <row r="424" spans="1:10">
      <c r="A424" s="6">
        <f t="shared" si="6"/>
        <v>419</v>
      </c>
      <c r="B424" s="49"/>
      <c r="C424" s="18"/>
      <c r="D424" s="17"/>
      <c r="E424" s="17"/>
      <c r="F424" s="17"/>
      <c r="G424" s="17"/>
      <c r="H424" s="17"/>
      <c r="I424" s="17"/>
      <c r="J424" s="17"/>
    </row>
    <row r="425" spans="1:10">
      <c r="A425" s="6">
        <f t="shared" si="6"/>
        <v>420</v>
      </c>
      <c r="B425" s="49"/>
      <c r="C425" s="18"/>
      <c r="D425" s="17"/>
      <c r="E425" s="17"/>
      <c r="F425" s="17"/>
      <c r="G425" s="17"/>
      <c r="H425" s="17"/>
      <c r="I425" s="17"/>
      <c r="J425" s="17"/>
    </row>
    <row r="426" spans="1:10">
      <c r="A426" s="6">
        <f t="shared" si="6"/>
        <v>421</v>
      </c>
      <c r="B426" s="49"/>
      <c r="C426" s="18"/>
      <c r="D426" s="17"/>
      <c r="E426" s="17"/>
      <c r="F426" s="17"/>
      <c r="G426" s="17"/>
      <c r="H426" s="17"/>
      <c r="I426" s="17"/>
      <c r="J426" s="17"/>
    </row>
    <row r="427" spans="1:10">
      <c r="A427" s="6">
        <f t="shared" si="6"/>
        <v>422</v>
      </c>
      <c r="B427" s="49"/>
      <c r="C427" s="18"/>
      <c r="D427" s="17"/>
      <c r="E427" s="17"/>
      <c r="F427" s="17"/>
      <c r="G427" s="17"/>
      <c r="H427" s="17"/>
      <c r="I427" s="17"/>
      <c r="J427" s="17"/>
    </row>
    <row r="428" spans="1:10">
      <c r="A428" s="6">
        <f t="shared" si="6"/>
        <v>423</v>
      </c>
      <c r="B428" s="49"/>
      <c r="C428" s="18"/>
      <c r="D428" s="17"/>
      <c r="E428" s="17"/>
      <c r="F428" s="17"/>
      <c r="G428" s="17"/>
      <c r="H428" s="17"/>
      <c r="I428" s="17"/>
      <c r="J428" s="17"/>
    </row>
    <row r="429" spans="1:10">
      <c r="A429" s="6">
        <f t="shared" si="6"/>
        <v>424</v>
      </c>
      <c r="B429" s="49"/>
      <c r="C429" s="18"/>
      <c r="D429" s="17"/>
      <c r="E429" s="17"/>
      <c r="F429" s="17"/>
      <c r="G429" s="17"/>
      <c r="H429" s="17"/>
      <c r="I429" s="17"/>
      <c r="J429" s="17"/>
    </row>
    <row r="430" spans="1:10">
      <c r="A430" s="6">
        <f t="shared" si="6"/>
        <v>425</v>
      </c>
      <c r="B430" s="49"/>
      <c r="C430" s="18"/>
      <c r="D430" s="17"/>
      <c r="E430" s="17"/>
      <c r="F430" s="17"/>
      <c r="G430" s="17"/>
      <c r="H430" s="17"/>
      <c r="I430" s="17"/>
      <c r="J430" s="17"/>
    </row>
    <row r="431" spans="1:10">
      <c r="A431" s="6">
        <f t="shared" si="6"/>
        <v>426</v>
      </c>
      <c r="B431" s="49"/>
      <c r="C431" s="18"/>
      <c r="D431" s="17"/>
      <c r="E431" s="17"/>
      <c r="F431" s="17"/>
      <c r="G431" s="17"/>
      <c r="H431" s="17"/>
      <c r="I431" s="17"/>
      <c r="J431" s="17"/>
    </row>
    <row r="432" spans="1:10">
      <c r="A432" s="6">
        <f t="shared" si="6"/>
        <v>427</v>
      </c>
      <c r="B432" s="49"/>
      <c r="C432" s="18"/>
      <c r="D432" s="17"/>
      <c r="E432" s="17"/>
      <c r="F432" s="17"/>
      <c r="G432" s="17"/>
      <c r="H432" s="17"/>
      <c r="I432" s="17"/>
      <c r="J432" s="17"/>
    </row>
    <row r="433" spans="1:10">
      <c r="A433" s="6">
        <f t="shared" si="6"/>
        <v>428</v>
      </c>
      <c r="B433" s="49"/>
      <c r="C433" s="18"/>
      <c r="D433" s="17"/>
      <c r="E433" s="17"/>
      <c r="F433" s="17"/>
      <c r="G433" s="17"/>
      <c r="H433" s="17"/>
      <c r="I433" s="17"/>
      <c r="J433" s="17"/>
    </row>
    <row r="434" spans="1:10">
      <c r="A434" s="6">
        <f t="shared" si="6"/>
        <v>429</v>
      </c>
      <c r="B434" s="49"/>
      <c r="C434" s="18"/>
      <c r="D434" s="17"/>
      <c r="E434" s="17"/>
      <c r="F434" s="17"/>
      <c r="G434" s="17"/>
      <c r="H434" s="17"/>
      <c r="I434" s="17"/>
      <c r="J434" s="17"/>
    </row>
    <row r="435" spans="1:10">
      <c r="A435" s="6">
        <f t="shared" si="6"/>
        <v>430</v>
      </c>
      <c r="B435" s="49"/>
      <c r="C435" s="18"/>
      <c r="D435" s="17"/>
      <c r="E435" s="17"/>
      <c r="F435" s="17"/>
      <c r="G435" s="17"/>
      <c r="H435" s="17"/>
      <c r="I435" s="17"/>
      <c r="J435" s="17"/>
    </row>
    <row r="436" spans="1:10">
      <c r="A436" s="6">
        <f t="shared" si="6"/>
        <v>431</v>
      </c>
      <c r="B436" s="49"/>
      <c r="C436" s="18"/>
      <c r="D436" s="17"/>
      <c r="E436" s="17"/>
      <c r="F436" s="17"/>
      <c r="G436" s="17"/>
      <c r="H436" s="17"/>
      <c r="I436" s="17"/>
      <c r="J436" s="17"/>
    </row>
    <row r="437" spans="1:10">
      <c r="A437" s="6">
        <f t="shared" si="6"/>
        <v>432</v>
      </c>
      <c r="B437" s="49"/>
      <c r="C437" s="18"/>
      <c r="D437" s="17"/>
      <c r="E437" s="17"/>
      <c r="F437" s="17"/>
      <c r="G437" s="17"/>
      <c r="H437" s="17"/>
      <c r="I437" s="17"/>
      <c r="J437" s="17"/>
    </row>
    <row r="438" spans="1:10">
      <c r="A438" s="6">
        <f t="shared" si="6"/>
        <v>433</v>
      </c>
      <c r="B438" s="49"/>
      <c r="C438" s="18"/>
      <c r="D438" s="17"/>
      <c r="E438" s="17"/>
      <c r="F438" s="17"/>
      <c r="G438" s="17"/>
      <c r="H438" s="17"/>
      <c r="I438" s="17"/>
      <c r="J438" s="17"/>
    </row>
    <row r="439" spans="1:10">
      <c r="A439" s="6">
        <f t="shared" si="6"/>
        <v>434</v>
      </c>
      <c r="B439" s="49"/>
      <c r="C439" s="18"/>
      <c r="D439" s="17"/>
      <c r="E439" s="17"/>
      <c r="F439" s="17"/>
      <c r="G439" s="17"/>
      <c r="H439" s="17"/>
      <c r="I439" s="17"/>
      <c r="J439" s="17"/>
    </row>
    <row r="440" spans="1:10">
      <c r="A440" s="6">
        <f t="shared" si="6"/>
        <v>435</v>
      </c>
      <c r="B440" s="49"/>
      <c r="C440" s="18"/>
      <c r="D440" s="17"/>
      <c r="E440" s="17"/>
      <c r="F440" s="17"/>
      <c r="G440" s="17"/>
      <c r="H440" s="17"/>
      <c r="I440" s="17"/>
      <c r="J440" s="17"/>
    </row>
    <row r="441" spans="1:10">
      <c r="A441" s="6">
        <f t="shared" si="6"/>
        <v>436</v>
      </c>
      <c r="B441" s="49"/>
      <c r="C441" s="18"/>
      <c r="D441" s="17"/>
      <c r="E441" s="17"/>
      <c r="F441" s="17"/>
      <c r="G441" s="17"/>
      <c r="H441" s="17"/>
      <c r="I441" s="17"/>
      <c r="J441" s="17"/>
    </row>
    <row r="442" spans="1:10">
      <c r="A442" s="6">
        <f t="shared" si="6"/>
        <v>437</v>
      </c>
      <c r="B442" s="49"/>
      <c r="C442" s="18"/>
      <c r="D442" s="17"/>
      <c r="E442" s="17"/>
      <c r="F442" s="17"/>
      <c r="G442" s="17"/>
      <c r="H442" s="17"/>
      <c r="I442" s="17"/>
      <c r="J442" s="17"/>
    </row>
    <row r="443" spans="1:10">
      <c r="A443" s="6">
        <f t="shared" si="6"/>
        <v>438</v>
      </c>
      <c r="B443" s="49"/>
      <c r="C443" s="18"/>
      <c r="D443" s="17"/>
      <c r="E443" s="17"/>
      <c r="F443" s="17"/>
      <c r="G443" s="17"/>
      <c r="H443" s="17"/>
      <c r="I443" s="17"/>
      <c r="J443" s="17"/>
    </row>
    <row r="444" spans="1:10">
      <c r="A444" s="6">
        <f t="shared" si="6"/>
        <v>439</v>
      </c>
      <c r="B444" s="49"/>
      <c r="C444" s="18"/>
      <c r="D444" s="17"/>
      <c r="E444" s="17"/>
      <c r="F444" s="17"/>
      <c r="G444" s="17"/>
      <c r="H444" s="17"/>
      <c r="I444" s="17"/>
      <c r="J444" s="17"/>
    </row>
    <row r="445" spans="1:10">
      <c r="A445" s="6">
        <f t="shared" si="6"/>
        <v>440</v>
      </c>
      <c r="B445" s="49"/>
      <c r="C445" s="18"/>
      <c r="D445" s="17"/>
      <c r="E445" s="17"/>
      <c r="F445" s="17"/>
      <c r="G445" s="17"/>
      <c r="H445" s="17"/>
      <c r="I445" s="17"/>
      <c r="J445" s="17"/>
    </row>
    <row r="446" spans="1:10">
      <c r="A446" s="6">
        <f t="shared" si="6"/>
        <v>441</v>
      </c>
      <c r="B446" s="49"/>
      <c r="C446" s="18"/>
      <c r="D446" s="17"/>
      <c r="E446" s="17"/>
      <c r="F446" s="17"/>
      <c r="G446" s="17"/>
      <c r="H446" s="17"/>
      <c r="I446" s="17"/>
      <c r="J446" s="17"/>
    </row>
    <row r="447" spans="1:10">
      <c r="A447" s="6">
        <f t="shared" si="6"/>
        <v>442</v>
      </c>
      <c r="B447" s="49"/>
      <c r="C447" s="18"/>
      <c r="D447" s="17"/>
      <c r="E447" s="17"/>
      <c r="F447" s="17"/>
      <c r="G447" s="17"/>
      <c r="H447" s="17"/>
      <c r="I447" s="17"/>
      <c r="J447" s="17"/>
    </row>
    <row r="448" spans="1:10">
      <c r="A448" s="6">
        <f t="shared" si="6"/>
        <v>443</v>
      </c>
      <c r="B448" s="49"/>
      <c r="C448" s="18"/>
      <c r="D448" s="17"/>
      <c r="E448" s="17"/>
      <c r="F448" s="17"/>
      <c r="G448" s="17"/>
      <c r="H448" s="17"/>
      <c r="I448" s="17"/>
      <c r="J448" s="17"/>
    </row>
    <row r="449" spans="1:10">
      <c r="A449" s="6">
        <f t="shared" si="6"/>
        <v>444</v>
      </c>
      <c r="B449" s="49"/>
      <c r="C449" s="18"/>
      <c r="D449" s="17"/>
      <c r="E449" s="17"/>
      <c r="F449" s="17"/>
      <c r="G449" s="17"/>
      <c r="H449" s="17"/>
      <c r="I449" s="17"/>
      <c r="J449" s="17"/>
    </row>
    <row r="450" spans="1:10">
      <c r="A450" s="6">
        <f t="shared" si="6"/>
        <v>445</v>
      </c>
      <c r="B450" s="49"/>
      <c r="C450" s="18"/>
      <c r="D450" s="17"/>
      <c r="E450" s="17"/>
      <c r="F450" s="17"/>
      <c r="G450" s="17"/>
      <c r="H450" s="17"/>
      <c r="I450" s="17"/>
      <c r="J450" s="17"/>
    </row>
    <row r="451" spans="1:10">
      <c r="A451" s="6">
        <f t="shared" si="6"/>
        <v>446</v>
      </c>
      <c r="B451" s="49"/>
      <c r="C451" s="18"/>
      <c r="D451" s="17"/>
      <c r="E451" s="17"/>
      <c r="F451" s="17"/>
      <c r="G451" s="17"/>
      <c r="H451" s="17"/>
      <c r="I451" s="17"/>
      <c r="J451" s="17"/>
    </row>
    <row r="452" spans="1:10">
      <c r="A452" s="6">
        <f t="shared" si="6"/>
        <v>447</v>
      </c>
      <c r="B452" s="49"/>
      <c r="C452" s="18"/>
      <c r="D452" s="17"/>
      <c r="E452" s="17"/>
      <c r="F452" s="17"/>
      <c r="G452" s="17"/>
      <c r="H452" s="17"/>
      <c r="I452" s="17"/>
      <c r="J452" s="17"/>
    </row>
    <row r="453" spans="1:10">
      <c r="A453" s="6">
        <f t="shared" si="6"/>
        <v>448</v>
      </c>
      <c r="B453" s="49"/>
      <c r="C453" s="18"/>
      <c r="D453" s="17"/>
      <c r="E453" s="17"/>
      <c r="F453" s="17"/>
      <c r="G453" s="17"/>
      <c r="H453" s="17"/>
      <c r="I453" s="17"/>
      <c r="J453" s="17"/>
    </row>
    <row r="454" spans="1:10">
      <c r="A454" s="6">
        <f t="shared" si="6"/>
        <v>449</v>
      </c>
      <c r="B454" s="49"/>
      <c r="C454" s="18"/>
      <c r="D454" s="17"/>
      <c r="E454" s="17"/>
      <c r="F454" s="17"/>
      <c r="G454" s="17"/>
      <c r="H454" s="17"/>
      <c r="I454" s="17"/>
      <c r="J454" s="17"/>
    </row>
    <row r="455" spans="1:10">
      <c r="A455" s="6">
        <f t="shared" ref="A455:A518" si="7">ROW(A450)</f>
        <v>450</v>
      </c>
      <c r="B455" s="49"/>
      <c r="C455" s="18"/>
      <c r="D455" s="17"/>
      <c r="E455" s="17"/>
      <c r="F455" s="17"/>
      <c r="G455" s="17"/>
      <c r="H455" s="17"/>
      <c r="I455" s="17"/>
      <c r="J455" s="17"/>
    </row>
    <row r="456" spans="1:10">
      <c r="A456" s="6">
        <f t="shared" si="7"/>
        <v>451</v>
      </c>
      <c r="B456" s="49"/>
      <c r="C456" s="18"/>
      <c r="D456" s="17"/>
      <c r="E456" s="17"/>
      <c r="F456" s="17"/>
      <c r="G456" s="17"/>
      <c r="H456" s="17"/>
      <c r="I456" s="17"/>
      <c r="J456" s="17"/>
    </row>
    <row r="457" spans="1:10">
      <c r="A457" s="6">
        <f t="shared" si="7"/>
        <v>452</v>
      </c>
      <c r="B457" s="49"/>
      <c r="C457" s="18"/>
      <c r="D457" s="17"/>
      <c r="E457" s="17"/>
      <c r="F457" s="17"/>
      <c r="G457" s="17"/>
      <c r="H457" s="17"/>
      <c r="I457" s="17"/>
      <c r="J457" s="17"/>
    </row>
    <row r="458" spans="1:10">
      <c r="A458" s="6">
        <f t="shared" si="7"/>
        <v>453</v>
      </c>
      <c r="B458" s="49"/>
      <c r="C458" s="18"/>
      <c r="D458" s="17"/>
      <c r="E458" s="17"/>
      <c r="F458" s="17"/>
      <c r="G458" s="17"/>
      <c r="H458" s="17"/>
      <c r="I458" s="17"/>
      <c r="J458" s="17"/>
    </row>
    <row r="459" spans="1:10">
      <c r="A459" s="6">
        <f t="shared" si="7"/>
        <v>454</v>
      </c>
      <c r="B459" s="49"/>
      <c r="C459" s="18"/>
      <c r="D459" s="17"/>
      <c r="E459" s="17"/>
      <c r="F459" s="17"/>
      <c r="G459" s="17"/>
      <c r="H459" s="17"/>
      <c r="I459" s="17"/>
      <c r="J459" s="17"/>
    </row>
    <row r="460" spans="1:10">
      <c r="A460" s="6">
        <f t="shared" si="7"/>
        <v>455</v>
      </c>
      <c r="B460" s="49"/>
      <c r="C460" s="18"/>
      <c r="D460" s="17"/>
      <c r="E460" s="17"/>
      <c r="F460" s="17"/>
      <c r="G460" s="17"/>
      <c r="H460" s="17"/>
      <c r="I460" s="17"/>
      <c r="J460" s="17"/>
    </row>
    <row r="461" spans="1:10">
      <c r="A461" s="6">
        <f t="shared" si="7"/>
        <v>456</v>
      </c>
      <c r="B461" s="49"/>
      <c r="C461" s="18"/>
      <c r="D461" s="17"/>
      <c r="E461" s="17"/>
      <c r="F461" s="17"/>
      <c r="G461" s="17"/>
      <c r="H461" s="17"/>
      <c r="I461" s="17"/>
      <c r="J461" s="17"/>
    </row>
    <row r="462" spans="1:10">
      <c r="A462" s="6">
        <f t="shared" si="7"/>
        <v>457</v>
      </c>
      <c r="B462" s="49"/>
      <c r="C462" s="18"/>
      <c r="D462" s="17"/>
      <c r="E462" s="17"/>
      <c r="F462" s="17"/>
      <c r="G462" s="17"/>
      <c r="H462" s="17"/>
      <c r="I462" s="17"/>
      <c r="J462" s="17"/>
    </row>
    <row r="463" spans="1:10">
      <c r="A463" s="6">
        <f t="shared" si="7"/>
        <v>458</v>
      </c>
      <c r="B463" s="49"/>
      <c r="C463" s="18"/>
      <c r="D463" s="17"/>
      <c r="E463" s="17"/>
      <c r="F463" s="17"/>
      <c r="G463" s="17"/>
      <c r="H463" s="17"/>
      <c r="I463" s="17"/>
      <c r="J463" s="17"/>
    </row>
    <row r="464" spans="1:10">
      <c r="A464" s="6">
        <f t="shared" si="7"/>
        <v>459</v>
      </c>
      <c r="B464" s="49"/>
      <c r="C464" s="18"/>
      <c r="D464" s="17"/>
      <c r="E464" s="17"/>
      <c r="F464" s="17"/>
      <c r="G464" s="17"/>
      <c r="H464" s="17"/>
      <c r="I464" s="17"/>
      <c r="J464" s="17"/>
    </row>
    <row r="465" spans="1:10">
      <c r="A465" s="6">
        <f t="shared" si="7"/>
        <v>460</v>
      </c>
      <c r="B465" s="49"/>
      <c r="C465" s="18"/>
      <c r="D465" s="17"/>
      <c r="E465" s="17"/>
      <c r="F465" s="17"/>
      <c r="G465" s="17"/>
      <c r="H465" s="17"/>
      <c r="I465" s="17"/>
      <c r="J465" s="17"/>
    </row>
    <row r="466" spans="1:10">
      <c r="A466" s="6">
        <f t="shared" si="7"/>
        <v>461</v>
      </c>
      <c r="B466" s="49"/>
      <c r="C466" s="18"/>
      <c r="D466" s="17"/>
      <c r="E466" s="17"/>
      <c r="F466" s="17"/>
      <c r="G466" s="17"/>
      <c r="H466" s="17"/>
      <c r="I466" s="17"/>
      <c r="J466" s="17"/>
    </row>
    <row r="467" spans="1:10">
      <c r="A467" s="6">
        <f t="shared" si="7"/>
        <v>462</v>
      </c>
      <c r="B467" s="49"/>
      <c r="C467" s="18"/>
      <c r="D467" s="17"/>
      <c r="E467" s="17"/>
      <c r="F467" s="17"/>
      <c r="G467" s="17"/>
      <c r="H467" s="17"/>
      <c r="I467" s="17"/>
      <c r="J467" s="17"/>
    </row>
    <row r="468" spans="1:10">
      <c r="A468" s="6">
        <f t="shared" si="7"/>
        <v>463</v>
      </c>
      <c r="B468" s="49"/>
      <c r="C468" s="18"/>
      <c r="D468" s="17"/>
      <c r="E468" s="17"/>
      <c r="F468" s="17"/>
      <c r="G468" s="17"/>
      <c r="H468" s="17"/>
      <c r="I468" s="17"/>
      <c r="J468" s="17"/>
    </row>
    <row r="469" spans="1:10">
      <c r="A469" s="6">
        <f t="shared" si="7"/>
        <v>464</v>
      </c>
      <c r="B469" s="49"/>
      <c r="C469" s="18"/>
      <c r="D469" s="17"/>
      <c r="E469" s="17"/>
      <c r="F469" s="17"/>
      <c r="G469" s="17"/>
      <c r="H469" s="17"/>
      <c r="I469" s="17"/>
      <c r="J469" s="17"/>
    </row>
    <row r="470" spans="1:10">
      <c r="A470" s="6">
        <f t="shared" si="7"/>
        <v>465</v>
      </c>
      <c r="B470" s="49"/>
      <c r="C470" s="18"/>
      <c r="D470" s="17"/>
      <c r="E470" s="17"/>
      <c r="F470" s="17"/>
      <c r="G470" s="17"/>
      <c r="H470" s="17"/>
      <c r="I470" s="17"/>
      <c r="J470" s="17"/>
    </row>
    <row r="471" spans="1:10">
      <c r="A471" s="6">
        <f t="shared" si="7"/>
        <v>466</v>
      </c>
      <c r="B471" s="49"/>
      <c r="C471" s="18"/>
      <c r="D471" s="17"/>
      <c r="E471" s="17"/>
      <c r="F471" s="17"/>
      <c r="G471" s="17"/>
      <c r="H471" s="17"/>
      <c r="I471" s="17"/>
      <c r="J471" s="17"/>
    </row>
    <row r="472" spans="1:10">
      <c r="A472" s="6">
        <f t="shared" si="7"/>
        <v>467</v>
      </c>
      <c r="B472" s="49"/>
      <c r="C472" s="18"/>
      <c r="D472" s="17"/>
      <c r="E472" s="17"/>
      <c r="F472" s="17"/>
      <c r="G472" s="17"/>
      <c r="H472" s="17"/>
      <c r="I472" s="17"/>
      <c r="J472" s="17"/>
    </row>
    <row r="473" spans="1:10">
      <c r="A473" s="6">
        <f t="shared" si="7"/>
        <v>468</v>
      </c>
      <c r="B473" s="49"/>
      <c r="C473" s="18"/>
      <c r="D473" s="17"/>
      <c r="E473" s="17"/>
      <c r="F473" s="17"/>
      <c r="G473" s="17"/>
      <c r="H473" s="17"/>
      <c r="I473" s="17"/>
      <c r="J473" s="17"/>
    </row>
    <row r="474" spans="1:10">
      <c r="A474" s="6">
        <f t="shared" si="7"/>
        <v>469</v>
      </c>
      <c r="B474" s="49"/>
      <c r="C474" s="18"/>
      <c r="D474" s="17"/>
      <c r="E474" s="17"/>
      <c r="F474" s="17"/>
      <c r="G474" s="17"/>
      <c r="H474" s="17"/>
      <c r="I474" s="17"/>
      <c r="J474" s="17"/>
    </row>
    <row r="475" spans="1:10">
      <c r="A475" s="6">
        <f t="shared" si="7"/>
        <v>470</v>
      </c>
      <c r="B475" s="49"/>
      <c r="C475" s="18"/>
      <c r="D475" s="17"/>
      <c r="E475" s="17"/>
      <c r="F475" s="17"/>
      <c r="G475" s="17"/>
      <c r="H475" s="17"/>
      <c r="I475" s="17"/>
      <c r="J475" s="17"/>
    </row>
    <row r="476" spans="1:10">
      <c r="A476" s="6">
        <f t="shared" si="7"/>
        <v>471</v>
      </c>
      <c r="B476" s="49"/>
      <c r="C476" s="18"/>
      <c r="D476" s="17"/>
      <c r="E476" s="17"/>
      <c r="F476" s="17"/>
      <c r="G476" s="17"/>
      <c r="H476" s="17"/>
      <c r="I476" s="17"/>
      <c r="J476" s="17"/>
    </row>
    <row r="477" spans="1:10">
      <c r="A477" s="6">
        <f t="shared" si="7"/>
        <v>472</v>
      </c>
      <c r="B477" s="49"/>
      <c r="C477" s="18"/>
      <c r="D477" s="17"/>
      <c r="E477" s="17"/>
      <c r="F477" s="17"/>
      <c r="G477" s="17"/>
      <c r="H477" s="17"/>
      <c r="I477" s="17"/>
      <c r="J477" s="17"/>
    </row>
    <row r="478" spans="1:10">
      <c r="A478" s="6">
        <f t="shared" si="7"/>
        <v>473</v>
      </c>
      <c r="B478" s="49"/>
      <c r="C478" s="18"/>
      <c r="D478" s="17"/>
      <c r="E478" s="17"/>
      <c r="F478" s="17"/>
      <c r="G478" s="17"/>
      <c r="H478" s="17"/>
      <c r="I478" s="17"/>
      <c r="J478" s="17"/>
    </row>
    <row r="479" spans="1:10">
      <c r="A479" s="6">
        <f t="shared" si="7"/>
        <v>474</v>
      </c>
      <c r="B479" s="49"/>
      <c r="C479" s="18"/>
      <c r="D479" s="17"/>
      <c r="E479" s="17"/>
      <c r="F479" s="17"/>
      <c r="G479" s="17"/>
      <c r="H479" s="17"/>
      <c r="I479" s="17"/>
      <c r="J479" s="17"/>
    </row>
    <row r="480" spans="1:10">
      <c r="A480" s="6">
        <f t="shared" si="7"/>
        <v>475</v>
      </c>
      <c r="B480" s="49"/>
      <c r="C480" s="18"/>
      <c r="D480" s="17"/>
      <c r="E480" s="17"/>
      <c r="F480" s="17"/>
      <c r="G480" s="17"/>
      <c r="H480" s="17"/>
      <c r="I480" s="17"/>
      <c r="J480" s="17"/>
    </row>
    <row r="481" spans="1:10">
      <c r="A481" s="6">
        <f t="shared" si="7"/>
        <v>476</v>
      </c>
      <c r="B481" s="49"/>
      <c r="C481" s="18"/>
      <c r="D481" s="17"/>
      <c r="E481" s="17"/>
      <c r="F481" s="17"/>
      <c r="G481" s="17"/>
      <c r="H481" s="17"/>
      <c r="I481" s="17"/>
      <c r="J481" s="17"/>
    </row>
    <row r="482" spans="1:10">
      <c r="A482" s="6">
        <f t="shared" si="7"/>
        <v>477</v>
      </c>
      <c r="B482" s="49"/>
      <c r="C482" s="18"/>
      <c r="D482" s="17"/>
      <c r="E482" s="17"/>
      <c r="F482" s="17"/>
      <c r="G482" s="17"/>
      <c r="H482" s="17"/>
      <c r="I482" s="17"/>
      <c r="J482" s="17"/>
    </row>
    <row r="483" spans="1:10">
      <c r="A483" s="6">
        <f t="shared" si="7"/>
        <v>478</v>
      </c>
      <c r="B483" s="49"/>
      <c r="C483" s="18"/>
      <c r="D483" s="17"/>
      <c r="E483" s="17"/>
      <c r="F483" s="17"/>
      <c r="G483" s="17"/>
      <c r="H483" s="17"/>
      <c r="I483" s="17"/>
      <c r="J483" s="17"/>
    </row>
    <row r="484" spans="1:10">
      <c r="A484" s="6">
        <f t="shared" si="7"/>
        <v>479</v>
      </c>
      <c r="B484" s="49"/>
      <c r="C484" s="18"/>
      <c r="D484" s="17"/>
      <c r="E484" s="17"/>
      <c r="F484" s="17"/>
      <c r="G484" s="17"/>
      <c r="H484" s="17"/>
      <c r="I484" s="17"/>
      <c r="J484" s="17"/>
    </row>
    <row r="485" spans="1:10">
      <c r="A485" s="6">
        <f t="shared" si="7"/>
        <v>480</v>
      </c>
      <c r="B485" s="49"/>
      <c r="C485" s="18"/>
      <c r="D485" s="17"/>
      <c r="E485" s="17"/>
      <c r="F485" s="17"/>
      <c r="G485" s="17"/>
      <c r="H485" s="17"/>
      <c r="I485" s="17"/>
      <c r="J485" s="17"/>
    </row>
    <row r="486" spans="1:10">
      <c r="A486" s="6">
        <f t="shared" si="7"/>
        <v>481</v>
      </c>
      <c r="B486" s="49"/>
      <c r="C486" s="18"/>
      <c r="D486" s="17"/>
      <c r="E486" s="17"/>
      <c r="F486" s="17"/>
      <c r="G486" s="17"/>
      <c r="H486" s="17"/>
      <c r="I486" s="17"/>
      <c r="J486" s="17"/>
    </row>
    <row r="487" spans="1:10">
      <c r="A487" s="6">
        <f t="shared" si="7"/>
        <v>482</v>
      </c>
      <c r="B487" s="49"/>
      <c r="C487" s="18"/>
      <c r="D487" s="17"/>
      <c r="E487" s="17"/>
      <c r="F487" s="17"/>
      <c r="G487" s="17"/>
      <c r="H487" s="17"/>
      <c r="I487" s="17"/>
      <c r="J487" s="17"/>
    </row>
    <row r="488" spans="1:10">
      <c r="A488" s="6">
        <f t="shared" si="7"/>
        <v>483</v>
      </c>
      <c r="B488" s="49"/>
      <c r="C488" s="18"/>
      <c r="D488" s="17"/>
      <c r="E488" s="17"/>
      <c r="F488" s="17"/>
      <c r="G488" s="17"/>
      <c r="H488" s="17"/>
      <c r="I488" s="17"/>
      <c r="J488" s="17"/>
    </row>
    <row r="489" spans="1:10">
      <c r="A489" s="6">
        <f t="shared" si="7"/>
        <v>484</v>
      </c>
      <c r="B489" s="49"/>
      <c r="C489" s="18"/>
      <c r="D489" s="17"/>
      <c r="E489" s="17"/>
      <c r="F489" s="17"/>
      <c r="G489" s="17"/>
      <c r="H489" s="17"/>
      <c r="I489" s="17"/>
      <c r="J489" s="17"/>
    </row>
    <row r="490" spans="1:10">
      <c r="A490" s="6">
        <f t="shared" si="7"/>
        <v>485</v>
      </c>
      <c r="B490" s="49"/>
      <c r="C490" s="18"/>
      <c r="D490" s="17"/>
      <c r="E490" s="17"/>
      <c r="F490" s="17"/>
      <c r="G490" s="17"/>
      <c r="H490" s="17"/>
      <c r="I490" s="17"/>
      <c r="J490" s="17"/>
    </row>
    <row r="491" spans="1:10">
      <c r="A491" s="6">
        <f t="shared" si="7"/>
        <v>486</v>
      </c>
      <c r="B491" s="49"/>
      <c r="C491" s="18"/>
      <c r="D491" s="17"/>
      <c r="E491" s="17"/>
      <c r="F491" s="17"/>
      <c r="G491" s="17"/>
      <c r="H491" s="17"/>
      <c r="I491" s="17"/>
      <c r="J491" s="17"/>
    </row>
    <row r="492" spans="1:10">
      <c r="A492" s="6">
        <f t="shared" si="7"/>
        <v>487</v>
      </c>
      <c r="B492" s="49"/>
      <c r="C492" s="18"/>
      <c r="D492" s="17"/>
      <c r="E492" s="17"/>
      <c r="F492" s="17"/>
      <c r="G492" s="17"/>
      <c r="H492" s="17"/>
      <c r="I492" s="17"/>
      <c r="J492" s="17"/>
    </row>
    <row r="493" spans="1:10">
      <c r="A493" s="6">
        <f t="shared" si="7"/>
        <v>488</v>
      </c>
      <c r="B493" s="49"/>
      <c r="C493" s="18"/>
      <c r="D493" s="17"/>
      <c r="E493" s="17"/>
      <c r="F493" s="17"/>
      <c r="G493" s="17"/>
      <c r="H493" s="17"/>
      <c r="I493" s="17"/>
      <c r="J493" s="17"/>
    </row>
    <row r="494" spans="1:10">
      <c r="A494" s="6">
        <f t="shared" si="7"/>
        <v>489</v>
      </c>
      <c r="B494" s="49"/>
      <c r="C494" s="18"/>
      <c r="D494" s="17"/>
      <c r="E494" s="17"/>
      <c r="F494" s="17"/>
      <c r="G494" s="17"/>
      <c r="H494" s="17"/>
      <c r="I494" s="17"/>
      <c r="J494" s="17"/>
    </row>
    <row r="495" spans="1:10">
      <c r="A495" s="6">
        <f t="shared" si="7"/>
        <v>490</v>
      </c>
      <c r="B495" s="49"/>
      <c r="C495" s="18"/>
      <c r="D495" s="17"/>
      <c r="E495" s="17"/>
      <c r="F495" s="17"/>
      <c r="G495" s="17"/>
      <c r="H495" s="17"/>
      <c r="I495" s="17"/>
      <c r="J495" s="17"/>
    </row>
    <row r="496" spans="1:10">
      <c r="A496" s="6">
        <f t="shared" si="7"/>
        <v>491</v>
      </c>
      <c r="B496" s="49"/>
      <c r="C496" s="18"/>
      <c r="D496" s="17"/>
      <c r="E496" s="17"/>
      <c r="F496" s="17"/>
      <c r="G496" s="17"/>
      <c r="H496" s="17"/>
      <c r="I496" s="17"/>
      <c r="J496" s="17"/>
    </row>
    <row r="497" spans="1:10">
      <c r="A497" s="6">
        <f t="shared" si="7"/>
        <v>492</v>
      </c>
      <c r="B497" s="49"/>
      <c r="C497" s="18"/>
      <c r="D497" s="17"/>
      <c r="E497" s="17"/>
      <c r="F497" s="17"/>
      <c r="G497" s="17"/>
      <c r="H497" s="17"/>
      <c r="I497" s="17"/>
      <c r="J497" s="17"/>
    </row>
    <row r="498" spans="1:10">
      <c r="A498" s="6">
        <f t="shared" si="7"/>
        <v>493</v>
      </c>
      <c r="B498" s="49"/>
      <c r="C498" s="18"/>
      <c r="D498" s="17"/>
      <c r="E498" s="17"/>
      <c r="F498" s="17"/>
      <c r="G498" s="17"/>
      <c r="H498" s="17"/>
      <c r="I498" s="17"/>
      <c r="J498" s="17"/>
    </row>
    <row r="499" spans="1:10">
      <c r="A499" s="6">
        <f t="shared" si="7"/>
        <v>494</v>
      </c>
      <c r="B499" s="49"/>
      <c r="C499" s="18"/>
      <c r="D499" s="17"/>
      <c r="E499" s="17"/>
      <c r="F499" s="17"/>
      <c r="G499" s="17"/>
      <c r="H499" s="17"/>
      <c r="I499" s="17"/>
      <c r="J499" s="17"/>
    </row>
    <row r="500" spans="1:10">
      <c r="A500" s="6">
        <f t="shared" si="7"/>
        <v>495</v>
      </c>
      <c r="B500" s="49"/>
      <c r="C500" s="18"/>
      <c r="D500" s="17"/>
      <c r="E500" s="17"/>
      <c r="F500" s="17"/>
      <c r="G500" s="17"/>
      <c r="H500" s="17"/>
      <c r="I500" s="17"/>
      <c r="J500" s="17"/>
    </row>
    <row r="501" spans="1:10">
      <c r="A501" s="6">
        <f t="shared" si="7"/>
        <v>496</v>
      </c>
      <c r="B501" s="49"/>
      <c r="C501" s="18"/>
      <c r="D501" s="17"/>
      <c r="E501" s="17"/>
      <c r="F501" s="17"/>
      <c r="G501" s="17"/>
      <c r="H501" s="17"/>
      <c r="I501" s="17"/>
      <c r="J501" s="17"/>
    </row>
    <row r="502" spans="1:10">
      <c r="A502" s="6">
        <f t="shared" si="7"/>
        <v>497</v>
      </c>
      <c r="B502" s="49"/>
      <c r="C502" s="18"/>
      <c r="D502" s="17"/>
      <c r="E502" s="17"/>
      <c r="F502" s="17"/>
      <c r="G502" s="17"/>
      <c r="H502" s="17"/>
      <c r="I502" s="17"/>
      <c r="J502" s="17"/>
    </row>
    <row r="503" spans="1:10">
      <c r="A503" s="6">
        <f t="shared" si="7"/>
        <v>498</v>
      </c>
      <c r="B503" s="49"/>
      <c r="C503" s="18"/>
      <c r="D503" s="17"/>
      <c r="E503" s="17"/>
      <c r="F503" s="17"/>
      <c r="G503" s="17"/>
      <c r="H503" s="17"/>
      <c r="I503" s="17"/>
      <c r="J503" s="17"/>
    </row>
    <row r="504" spans="1:10">
      <c r="A504" s="6">
        <f t="shared" si="7"/>
        <v>499</v>
      </c>
      <c r="B504" s="49"/>
      <c r="C504" s="18"/>
      <c r="D504" s="17"/>
      <c r="E504" s="17"/>
      <c r="F504" s="17"/>
      <c r="G504" s="17"/>
      <c r="H504" s="17"/>
      <c r="I504" s="17"/>
      <c r="J504" s="17"/>
    </row>
    <row r="505" spans="1:10">
      <c r="A505" s="6">
        <f t="shared" si="7"/>
        <v>500</v>
      </c>
      <c r="B505" s="49"/>
      <c r="C505" s="18"/>
      <c r="D505" s="17"/>
      <c r="E505" s="17"/>
      <c r="F505" s="17"/>
      <c r="G505" s="17"/>
      <c r="H505" s="17"/>
      <c r="I505" s="17"/>
      <c r="J505" s="17"/>
    </row>
    <row r="506" spans="1:10">
      <c r="A506" s="6">
        <f t="shared" si="7"/>
        <v>501</v>
      </c>
      <c r="B506" s="49"/>
      <c r="C506" s="18"/>
      <c r="D506" s="17"/>
      <c r="E506" s="17"/>
      <c r="F506" s="17"/>
      <c r="G506" s="17"/>
      <c r="H506" s="17"/>
      <c r="I506" s="17"/>
      <c r="J506" s="17"/>
    </row>
    <row r="507" spans="1:10">
      <c r="A507" s="6">
        <f t="shared" si="7"/>
        <v>502</v>
      </c>
      <c r="B507" s="49"/>
      <c r="C507" s="18"/>
      <c r="D507" s="17"/>
      <c r="E507" s="17"/>
      <c r="F507" s="17"/>
      <c r="G507" s="17"/>
      <c r="H507" s="17"/>
      <c r="I507" s="17"/>
      <c r="J507" s="17"/>
    </row>
    <row r="508" spans="1:10">
      <c r="A508" s="6">
        <f t="shared" si="7"/>
        <v>503</v>
      </c>
      <c r="B508" s="49"/>
      <c r="C508" s="18"/>
      <c r="D508" s="17"/>
      <c r="E508" s="17"/>
      <c r="F508" s="17"/>
      <c r="G508" s="17"/>
      <c r="H508" s="17"/>
      <c r="I508" s="17"/>
      <c r="J508" s="17"/>
    </row>
    <row r="509" spans="1:10">
      <c r="A509" s="6">
        <f t="shared" si="7"/>
        <v>504</v>
      </c>
      <c r="B509" s="49"/>
      <c r="C509" s="18"/>
      <c r="D509" s="17"/>
      <c r="E509" s="17"/>
      <c r="F509" s="17"/>
      <c r="G509" s="17"/>
      <c r="H509" s="17"/>
      <c r="I509" s="17"/>
      <c r="J509" s="17"/>
    </row>
    <row r="510" spans="1:10">
      <c r="A510" s="6">
        <f t="shared" si="7"/>
        <v>505</v>
      </c>
      <c r="B510" s="49"/>
      <c r="C510" s="18"/>
      <c r="D510" s="17"/>
      <c r="E510" s="17"/>
      <c r="F510" s="17"/>
      <c r="G510" s="17"/>
      <c r="H510" s="17"/>
      <c r="I510" s="17"/>
      <c r="J510" s="17"/>
    </row>
    <row r="511" spans="1:10">
      <c r="A511" s="6">
        <f t="shared" si="7"/>
        <v>506</v>
      </c>
      <c r="B511" s="49"/>
      <c r="C511" s="18"/>
      <c r="D511" s="17"/>
      <c r="E511" s="17"/>
      <c r="F511" s="17"/>
      <c r="G511" s="17"/>
      <c r="H511" s="17"/>
      <c r="I511" s="17"/>
      <c r="J511" s="17"/>
    </row>
    <row r="512" spans="1:10">
      <c r="A512" s="6">
        <f t="shared" si="7"/>
        <v>507</v>
      </c>
      <c r="B512" s="49"/>
      <c r="C512" s="18"/>
      <c r="D512" s="17"/>
      <c r="E512" s="17"/>
      <c r="F512" s="17"/>
      <c r="G512" s="17"/>
      <c r="H512" s="17"/>
      <c r="I512" s="17"/>
      <c r="J512" s="17"/>
    </row>
    <row r="513" spans="1:10">
      <c r="A513" s="6">
        <f t="shared" si="7"/>
        <v>508</v>
      </c>
      <c r="B513" s="49"/>
      <c r="C513" s="18"/>
      <c r="D513" s="17"/>
      <c r="E513" s="17"/>
      <c r="F513" s="17"/>
      <c r="G513" s="17"/>
      <c r="H513" s="17"/>
      <c r="I513" s="17"/>
      <c r="J513" s="17"/>
    </row>
    <row r="514" spans="1:10">
      <c r="A514" s="6">
        <f t="shared" si="7"/>
        <v>509</v>
      </c>
      <c r="B514" s="49"/>
      <c r="C514" s="18"/>
      <c r="D514" s="17"/>
      <c r="E514" s="17"/>
      <c r="F514" s="17"/>
      <c r="G514" s="17"/>
      <c r="H514" s="17"/>
      <c r="I514" s="17"/>
      <c r="J514" s="17"/>
    </row>
    <row r="515" spans="1:10">
      <c r="A515" s="6">
        <f t="shared" si="7"/>
        <v>510</v>
      </c>
      <c r="B515" s="49"/>
      <c r="C515" s="18"/>
      <c r="D515" s="17"/>
      <c r="E515" s="17"/>
      <c r="F515" s="17"/>
      <c r="G515" s="17"/>
      <c r="H515" s="17"/>
      <c r="I515" s="17"/>
      <c r="J515" s="17"/>
    </row>
    <row r="516" spans="1:10">
      <c r="A516" s="6">
        <f t="shared" si="7"/>
        <v>511</v>
      </c>
      <c r="B516" s="49"/>
      <c r="C516" s="18"/>
      <c r="D516" s="17"/>
      <c r="E516" s="17"/>
      <c r="F516" s="17"/>
      <c r="G516" s="17"/>
      <c r="H516" s="17"/>
      <c r="I516" s="17"/>
      <c r="J516" s="17"/>
    </row>
    <row r="517" spans="1:10">
      <c r="A517" s="6">
        <f t="shared" si="7"/>
        <v>512</v>
      </c>
      <c r="B517" s="49"/>
      <c r="C517" s="18"/>
      <c r="D517" s="17"/>
      <c r="E517" s="17"/>
      <c r="F517" s="17"/>
      <c r="G517" s="17"/>
      <c r="H517" s="17"/>
      <c r="I517" s="17"/>
      <c r="J517" s="17"/>
    </row>
    <row r="518" spans="1:10">
      <c r="A518" s="6">
        <f t="shared" si="7"/>
        <v>513</v>
      </c>
      <c r="B518" s="49"/>
      <c r="C518" s="18"/>
      <c r="D518" s="17"/>
      <c r="E518" s="17"/>
      <c r="F518" s="17"/>
      <c r="G518" s="17"/>
      <c r="H518" s="17"/>
      <c r="I518" s="17"/>
      <c r="J518" s="17"/>
    </row>
    <row r="519" spans="1:10">
      <c r="A519" s="6">
        <f t="shared" ref="A519:A582" si="8">ROW(A514)</f>
        <v>514</v>
      </c>
      <c r="B519" s="49"/>
      <c r="C519" s="18"/>
      <c r="D519" s="17"/>
      <c r="E519" s="17"/>
      <c r="F519" s="17"/>
      <c r="G519" s="17"/>
      <c r="H519" s="17"/>
      <c r="I519" s="17"/>
      <c r="J519" s="17"/>
    </row>
    <row r="520" spans="1:10">
      <c r="A520" s="6">
        <f t="shared" si="8"/>
        <v>515</v>
      </c>
      <c r="B520" s="49"/>
      <c r="C520" s="18"/>
      <c r="D520" s="17"/>
      <c r="E520" s="17"/>
      <c r="F520" s="17"/>
      <c r="G520" s="17"/>
      <c r="H520" s="17"/>
      <c r="I520" s="17"/>
      <c r="J520" s="17"/>
    </row>
    <row r="521" spans="1:10">
      <c r="A521" s="6">
        <f t="shared" si="8"/>
        <v>516</v>
      </c>
      <c r="B521" s="49"/>
      <c r="C521" s="18"/>
      <c r="D521" s="17"/>
      <c r="E521" s="17"/>
      <c r="F521" s="17"/>
      <c r="G521" s="17"/>
      <c r="H521" s="17"/>
      <c r="I521" s="17"/>
      <c r="J521" s="17"/>
    </row>
    <row r="522" spans="1:10">
      <c r="A522" s="6">
        <f t="shared" si="8"/>
        <v>517</v>
      </c>
      <c r="B522" s="49"/>
      <c r="C522" s="18"/>
      <c r="D522" s="17"/>
      <c r="E522" s="17"/>
      <c r="F522" s="17"/>
      <c r="G522" s="17"/>
      <c r="H522" s="17"/>
      <c r="I522" s="17"/>
      <c r="J522" s="17"/>
    </row>
    <row r="523" spans="1:10">
      <c r="A523" s="6">
        <f t="shared" si="8"/>
        <v>518</v>
      </c>
      <c r="B523" s="49"/>
      <c r="C523" s="18"/>
      <c r="D523" s="17"/>
      <c r="E523" s="17"/>
      <c r="F523" s="17"/>
      <c r="G523" s="17"/>
      <c r="H523" s="17"/>
      <c r="I523" s="17"/>
      <c r="J523" s="17"/>
    </row>
    <row r="524" spans="1:10">
      <c r="A524" s="6">
        <f t="shared" si="8"/>
        <v>519</v>
      </c>
      <c r="B524" s="49"/>
      <c r="C524" s="18"/>
      <c r="D524" s="17"/>
      <c r="E524" s="17"/>
      <c r="F524" s="17"/>
      <c r="G524" s="17"/>
      <c r="H524" s="17"/>
      <c r="I524" s="17"/>
      <c r="J524" s="17"/>
    </row>
    <row r="525" spans="1:10">
      <c r="A525" s="6">
        <f t="shared" si="8"/>
        <v>520</v>
      </c>
      <c r="B525" s="49"/>
      <c r="C525" s="18"/>
      <c r="D525" s="17"/>
      <c r="E525" s="17"/>
      <c r="F525" s="17"/>
      <c r="G525" s="17"/>
      <c r="H525" s="17"/>
      <c r="I525" s="17"/>
      <c r="J525" s="17"/>
    </row>
    <row r="526" spans="1:10">
      <c r="A526" s="6">
        <f t="shared" si="8"/>
        <v>521</v>
      </c>
      <c r="B526" s="49"/>
      <c r="C526" s="18"/>
      <c r="D526" s="17"/>
      <c r="E526" s="17"/>
      <c r="F526" s="17"/>
      <c r="G526" s="17"/>
      <c r="H526" s="17"/>
      <c r="I526" s="17"/>
      <c r="J526" s="17"/>
    </row>
    <row r="527" spans="1:10">
      <c r="A527" s="6">
        <f t="shared" si="8"/>
        <v>522</v>
      </c>
      <c r="B527" s="49"/>
      <c r="C527" s="18"/>
      <c r="D527" s="17"/>
      <c r="E527" s="17"/>
      <c r="F527" s="17"/>
      <c r="G527" s="17"/>
      <c r="H527" s="17"/>
      <c r="I527" s="17"/>
      <c r="J527" s="17"/>
    </row>
    <row r="528" spans="1:10">
      <c r="A528" s="6">
        <f t="shared" si="8"/>
        <v>523</v>
      </c>
      <c r="B528" s="49"/>
      <c r="C528" s="18"/>
      <c r="D528" s="17"/>
      <c r="E528" s="17"/>
      <c r="F528" s="17"/>
      <c r="G528" s="17"/>
      <c r="H528" s="17"/>
      <c r="I528" s="17"/>
      <c r="J528" s="17"/>
    </row>
    <row r="529" spans="1:10">
      <c r="A529" s="6">
        <f t="shared" si="8"/>
        <v>524</v>
      </c>
      <c r="B529" s="49"/>
      <c r="C529" s="18"/>
      <c r="D529" s="17"/>
      <c r="E529" s="17"/>
      <c r="F529" s="17"/>
      <c r="G529" s="17"/>
      <c r="H529" s="17"/>
      <c r="I529" s="17"/>
      <c r="J529" s="17"/>
    </row>
    <row r="530" spans="1:10">
      <c r="A530" s="6">
        <f t="shared" si="8"/>
        <v>525</v>
      </c>
      <c r="B530" s="49"/>
      <c r="C530" s="18"/>
      <c r="D530" s="17"/>
      <c r="E530" s="17"/>
      <c r="F530" s="17"/>
      <c r="G530" s="17"/>
      <c r="H530" s="17"/>
      <c r="I530" s="17"/>
      <c r="J530" s="17"/>
    </row>
    <row r="531" spans="1:10">
      <c r="A531" s="6">
        <f t="shared" si="8"/>
        <v>526</v>
      </c>
      <c r="B531" s="49"/>
      <c r="C531" s="18"/>
      <c r="D531" s="17"/>
      <c r="E531" s="17"/>
      <c r="F531" s="17"/>
      <c r="G531" s="17"/>
      <c r="H531" s="17"/>
      <c r="I531" s="17"/>
      <c r="J531" s="17"/>
    </row>
    <row r="532" spans="1:10">
      <c r="A532" s="6">
        <f t="shared" si="8"/>
        <v>527</v>
      </c>
      <c r="B532" s="49"/>
      <c r="C532" s="18"/>
      <c r="D532" s="17"/>
      <c r="E532" s="17"/>
      <c r="F532" s="17"/>
      <c r="G532" s="17"/>
      <c r="H532" s="17"/>
      <c r="I532" s="17"/>
      <c r="J532" s="17"/>
    </row>
    <row r="533" spans="1:10">
      <c r="A533" s="6">
        <f t="shared" si="8"/>
        <v>528</v>
      </c>
      <c r="B533" s="49"/>
      <c r="C533" s="18"/>
      <c r="D533" s="17"/>
      <c r="E533" s="17"/>
      <c r="F533" s="17"/>
      <c r="G533" s="17"/>
      <c r="H533" s="17"/>
      <c r="I533" s="17"/>
      <c r="J533" s="17"/>
    </row>
    <row r="534" spans="1:10">
      <c r="A534" s="6">
        <f t="shared" si="8"/>
        <v>529</v>
      </c>
      <c r="B534" s="49"/>
      <c r="C534" s="18"/>
      <c r="D534" s="17"/>
      <c r="E534" s="17"/>
      <c r="F534" s="17"/>
      <c r="G534" s="17"/>
      <c r="H534" s="17"/>
      <c r="I534" s="17"/>
      <c r="J534" s="17"/>
    </row>
    <row r="535" spans="1:10">
      <c r="A535" s="6">
        <f t="shared" si="8"/>
        <v>530</v>
      </c>
      <c r="B535" s="49"/>
      <c r="C535" s="18"/>
      <c r="D535" s="17"/>
      <c r="E535" s="17"/>
      <c r="F535" s="17"/>
      <c r="G535" s="17"/>
      <c r="H535" s="17"/>
      <c r="I535" s="17"/>
      <c r="J535" s="17"/>
    </row>
    <row r="536" spans="1:10">
      <c r="A536" s="6">
        <f t="shared" si="8"/>
        <v>531</v>
      </c>
      <c r="B536" s="49"/>
      <c r="C536" s="18"/>
      <c r="D536" s="17"/>
      <c r="E536" s="17"/>
      <c r="F536" s="17"/>
      <c r="G536" s="17"/>
      <c r="H536" s="17"/>
      <c r="I536" s="17"/>
      <c r="J536" s="17"/>
    </row>
    <row r="537" spans="1:10">
      <c r="A537" s="6">
        <f t="shared" si="8"/>
        <v>532</v>
      </c>
      <c r="B537" s="49"/>
      <c r="C537" s="18"/>
      <c r="D537" s="17"/>
      <c r="E537" s="17"/>
      <c r="F537" s="17"/>
      <c r="G537" s="17"/>
      <c r="H537" s="17"/>
      <c r="I537" s="17"/>
      <c r="J537" s="17"/>
    </row>
    <row r="538" spans="1:10">
      <c r="A538" s="6">
        <f t="shared" si="8"/>
        <v>533</v>
      </c>
      <c r="B538" s="49"/>
      <c r="C538" s="18"/>
      <c r="D538" s="17"/>
      <c r="E538" s="17"/>
      <c r="F538" s="17"/>
      <c r="G538" s="17"/>
      <c r="H538" s="17"/>
      <c r="I538" s="17"/>
      <c r="J538" s="17"/>
    </row>
    <row r="539" spans="1:10">
      <c r="A539" s="6">
        <f t="shared" si="8"/>
        <v>534</v>
      </c>
      <c r="B539" s="49"/>
      <c r="C539" s="18"/>
      <c r="D539" s="17"/>
      <c r="E539" s="17"/>
      <c r="F539" s="17"/>
      <c r="G539" s="17"/>
      <c r="H539" s="17"/>
      <c r="I539" s="17"/>
      <c r="J539" s="17"/>
    </row>
    <row r="540" spans="1:10">
      <c r="A540" s="6">
        <f t="shared" si="8"/>
        <v>535</v>
      </c>
      <c r="B540" s="49"/>
      <c r="C540" s="18"/>
      <c r="D540" s="17"/>
      <c r="E540" s="17"/>
      <c r="F540" s="17"/>
      <c r="G540" s="17"/>
      <c r="H540" s="17"/>
      <c r="I540" s="17"/>
      <c r="J540" s="17"/>
    </row>
    <row r="541" spans="1:10">
      <c r="A541" s="6">
        <f t="shared" si="8"/>
        <v>536</v>
      </c>
      <c r="B541" s="49"/>
      <c r="C541" s="18"/>
      <c r="D541" s="17"/>
      <c r="E541" s="17"/>
      <c r="F541" s="17"/>
      <c r="G541" s="17"/>
      <c r="H541" s="17"/>
      <c r="I541" s="17"/>
      <c r="J541" s="17"/>
    </row>
    <row r="542" spans="1:10">
      <c r="A542" s="6">
        <f t="shared" si="8"/>
        <v>537</v>
      </c>
      <c r="B542" s="49"/>
      <c r="C542" s="18"/>
      <c r="D542" s="17"/>
      <c r="E542" s="17"/>
      <c r="F542" s="17"/>
      <c r="G542" s="17"/>
      <c r="H542" s="17"/>
      <c r="I542" s="17"/>
      <c r="J542" s="17"/>
    </row>
    <row r="543" spans="1:10">
      <c r="A543" s="6">
        <f t="shared" si="8"/>
        <v>538</v>
      </c>
      <c r="B543" s="49"/>
      <c r="C543" s="18"/>
      <c r="D543" s="17"/>
      <c r="E543" s="17"/>
      <c r="F543" s="17"/>
      <c r="G543" s="17"/>
      <c r="H543" s="17"/>
      <c r="I543" s="17"/>
      <c r="J543" s="17"/>
    </row>
    <row r="544" spans="1:10">
      <c r="A544" s="6">
        <f t="shared" si="8"/>
        <v>539</v>
      </c>
      <c r="B544" s="49"/>
      <c r="C544" s="18"/>
      <c r="D544" s="17"/>
      <c r="E544" s="17"/>
      <c r="F544" s="17"/>
      <c r="G544" s="17"/>
      <c r="H544" s="17"/>
      <c r="I544" s="17"/>
      <c r="J544" s="17"/>
    </row>
    <row r="545" spans="1:10">
      <c r="A545" s="6">
        <f t="shared" si="8"/>
        <v>540</v>
      </c>
      <c r="B545" s="49"/>
      <c r="C545" s="18"/>
      <c r="D545" s="17"/>
      <c r="E545" s="17"/>
      <c r="F545" s="17"/>
      <c r="G545" s="17"/>
      <c r="H545" s="17"/>
      <c r="I545" s="17"/>
      <c r="J545" s="17"/>
    </row>
    <row r="546" spans="1:10">
      <c r="A546" s="6">
        <f t="shared" si="8"/>
        <v>541</v>
      </c>
      <c r="B546" s="49"/>
      <c r="C546" s="18"/>
      <c r="D546" s="17"/>
      <c r="E546" s="17"/>
      <c r="F546" s="17"/>
      <c r="G546" s="17"/>
      <c r="H546" s="17"/>
      <c r="I546" s="17"/>
      <c r="J546" s="17"/>
    </row>
    <row r="547" spans="1:10">
      <c r="A547" s="6">
        <f t="shared" si="8"/>
        <v>542</v>
      </c>
      <c r="B547" s="49"/>
      <c r="C547" s="18"/>
      <c r="D547" s="17"/>
      <c r="E547" s="17"/>
      <c r="F547" s="17"/>
      <c r="G547" s="17"/>
      <c r="H547" s="17"/>
      <c r="I547" s="17"/>
      <c r="J547" s="17"/>
    </row>
    <row r="548" spans="1:10">
      <c r="A548" s="6">
        <f t="shared" si="8"/>
        <v>543</v>
      </c>
      <c r="B548" s="49"/>
      <c r="C548" s="18"/>
      <c r="D548" s="17"/>
      <c r="E548" s="17"/>
      <c r="F548" s="17"/>
      <c r="G548" s="17"/>
      <c r="H548" s="17"/>
      <c r="I548" s="17"/>
      <c r="J548" s="17"/>
    </row>
    <row r="549" spans="1:10">
      <c r="A549" s="6">
        <f t="shared" si="8"/>
        <v>544</v>
      </c>
      <c r="B549" s="49"/>
      <c r="C549" s="18"/>
      <c r="D549" s="17"/>
      <c r="E549" s="17"/>
      <c r="F549" s="17"/>
      <c r="G549" s="17"/>
      <c r="H549" s="17"/>
      <c r="I549" s="17"/>
      <c r="J549" s="17"/>
    </row>
    <row r="550" spans="1:10">
      <c r="A550" s="6">
        <f t="shared" si="8"/>
        <v>545</v>
      </c>
      <c r="B550" s="49"/>
      <c r="C550" s="18"/>
      <c r="D550" s="17"/>
      <c r="E550" s="17"/>
      <c r="F550" s="17"/>
      <c r="G550" s="17"/>
      <c r="H550" s="17"/>
      <c r="I550" s="17"/>
      <c r="J550" s="17"/>
    </row>
    <row r="551" spans="1:10">
      <c r="A551" s="6">
        <f t="shared" si="8"/>
        <v>546</v>
      </c>
      <c r="B551" s="49"/>
      <c r="C551" s="18"/>
      <c r="D551" s="17"/>
      <c r="E551" s="17"/>
      <c r="F551" s="17"/>
      <c r="G551" s="17"/>
      <c r="H551" s="17"/>
      <c r="I551" s="17"/>
      <c r="J551" s="17"/>
    </row>
    <row r="552" spans="1:10">
      <c r="A552" s="6">
        <f t="shared" si="8"/>
        <v>547</v>
      </c>
      <c r="B552" s="49"/>
      <c r="C552" s="18"/>
      <c r="D552" s="17"/>
      <c r="E552" s="17"/>
      <c r="F552" s="17"/>
      <c r="G552" s="17"/>
      <c r="H552" s="17"/>
      <c r="I552" s="17"/>
      <c r="J552" s="17"/>
    </row>
    <row r="553" spans="1:10">
      <c r="A553" s="6">
        <f t="shared" si="8"/>
        <v>548</v>
      </c>
      <c r="B553" s="49"/>
      <c r="C553" s="18"/>
      <c r="D553" s="17"/>
      <c r="E553" s="17"/>
      <c r="F553" s="17"/>
      <c r="G553" s="17"/>
      <c r="H553" s="17"/>
      <c r="I553" s="17"/>
      <c r="J553" s="17"/>
    </row>
    <row r="554" spans="1:10">
      <c r="A554" s="6">
        <f t="shared" si="8"/>
        <v>549</v>
      </c>
      <c r="B554" s="49"/>
      <c r="C554" s="18"/>
      <c r="D554" s="17"/>
      <c r="E554" s="17"/>
      <c r="F554" s="17"/>
      <c r="G554" s="17"/>
      <c r="H554" s="17"/>
      <c r="I554" s="17"/>
      <c r="J554" s="17"/>
    </row>
    <row r="555" spans="1:10">
      <c r="A555" s="6">
        <f t="shared" si="8"/>
        <v>550</v>
      </c>
      <c r="B555" s="49"/>
      <c r="C555" s="18"/>
      <c r="D555" s="17"/>
      <c r="E555" s="17"/>
      <c r="F555" s="17"/>
      <c r="G555" s="17"/>
      <c r="H555" s="17"/>
      <c r="I555" s="17"/>
      <c r="J555" s="17"/>
    </row>
    <row r="556" spans="1:10">
      <c r="A556" s="6">
        <f t="shared" si="8"/>
        <v>551</v>
      </c>
      <c r="B556" s="49"/>
      <c r="C556" s="18"/>
      <c r="D556" s="17"/>
      <c r="E556" s="17"/>
      <c r="F556" s="17"/>
      <c r="G556" s="17"/>
      <c r="H556" s="17"/>
      <c r="I556" s="17"/>
      <c r="J556" s="17"/>
    </row>
    <row r="557" spans="1:10">
      <c r="A557" s="6">
        <f t="shared" si="8"/>
        <v>552</v>
      </c>
      <c r="B557" s="49"/>
      <c r="C557" s="18"/>
      <c r="D557" s="17"/>
      <c r="E557" s="17"/>
      <c r="F557" s="17"/>
      <c r="G557" s="17"/>
      <c r="H557" s="17"/>
      <c r="I557" s="17"/>
      <c r="J557" s="17"/>
    </row>
    <row r="558" spans="1:10">
      <c r="A558" s="6">
        <f t="shared" si="8"/>
        <v>553</v>
      </c>
      <c r="B558" s="49"/>
      <c r="C558" s="18"/>
      <c r="D558" s="17"/>
      <c r="E558" s="17"/>
      <c r="F558" s="17"/>
      <c r="G558" s="17"/>
      <c r="H558" s="17"/>
      <c r="I558" s="17"/>
      <c r="J558" s="17"/>
    </row>
    <row r="559" spans="1:10">
      <c r="A559" s="6">
        <f t="shared" si="8"/>
        <v>554</v>
      </c>
      <c r="B559" s="49"/>
      <c r="C559" s="18"/>
      <c r="D559" s="17"/>
      <c r="E559" s="17"/>
      <c r="F559" s="17"/>
      <c r="G559" s="17"/>
      <c r="H559" s="17"/>
      <c r="I559" s="17"/>
      <c r="J559" s="17"/>
    </row>
    <row r="560" spans="1:10">
      <c r="A560" s="6">
        <f t="shared" si="8"/>
        <v>555</v>
      </c>
      <c r="B560" s="49"/>
      <c r="C560" s="18"/>
      <c r="D560" s="17"/>
      <c r="E560" s="17"/>
      <c r="F560" s="17"/>
      <c r="G560" s="17"/>
      <c r="H560" s="17"/>
      <c r="I560" s="17"/>
      <c r="J560" s="17"/>
    </row>
    <row r="561" spans="1:10">
      <c r="A561" s="6">
        <f t="shared" si="8"/>
        <v>556</v>
      </c>
      <c r="B561" s="49"/>
      <c r="C561" s="18"/>
      <c r="D561" s="17"/>
      <c r="E561" s="17"/>
      <c r="F561" s="17"/>
      <c r="G561" s="17"/>
      <c r="H561" s="17"/>
      <c r="I561" s="17"/>
      <c r="J561" s="17"/>
    </row>
    <row r="562" spans="1:10">
      <c r="A562" s="6">
        <f t="shared" si="8"/>
        <v>557</v>
      </c>
      <c r="B562" s="49"/>
      <c r="C562" s="18"/>
      <c r="D562" s="17"/>
      <c r="E562" s="17"/>
      <c r="F562" s="17"/>
      <c r="G562" s="17"/>
      <c r="H562" s="17"/>
      <c r="I562" s="17"/>
      <c r="J562" s="17"/>
    </row>
    <row r="563" spans="1:10">
      <c r="A563" s="6">
        <f t="shared" si="8"/>
        <v>558</v>
      </c>
      <c r="B563" s="49"/>
      <c r="C563" s="18"/>
      <c r="D563" s="17"/>
      <c r="E563" s="17"/>
      <c r="F563" s="17"/>
      <c r="G563" s="17"/>
      <c r="H563" s="17"/>
      <c r="I563" s="17"/>
      <c r="J563" s="17"/>
    </row>
    <row r="564" spans="1:10">
      <c r="A564" s="6">
        <f t="shared" si="8"/>
        <v>559</v>
      </c>
      <c r="B564" s="49"/>
      <c r="C564" s="18"/>
      <c r="D564" s="17"/>
      <c r="E564" s="17"/>
      <c r="F564" s="17"/>
      <c r="G564" s="17"/>
      <c r="H564" s="17"/>
      <c r="I564" s="17"/>
      <c r="J564" s="17"/>
    </row>
    <row r="565" spans="1:10">
      <c r="A565" s="6">
        <f t="shared" si="8"/>
        <v>560</v>
      </c>
      <c r="B565" s="49"/>
      <c r="C565" s="18"/>
      <c r="D565" s="17"/>
      <c r="E565" s="17"/>
      <c r="F565" s="17"/>
      <c r="G565" s="17"/>
      <c r="H565" s="17"/>
      <c r="I565" s="17"/>
      <c r="J565" s="17"/>
    </row>
    <row r="566" spans="1:10">
      <c r="A566" s="6">
        <f t="shared" si="8"/>
        <v>561</v>
      </c>
      <c r="B566" s="49"/>
      <c r="C566" s="18"/>
      <c r="D566" s="17"/>
      <c r="E566" s="17"/>
      <c r="F566" s="17"/>
      <c r="G566" s="17"/>
      <c r="H566" s="17"/>
      <c r="I566" s="17"/>
      <c r="J566" s="17"/>
    </row>
    <row r="567" spans="1:10">
      <c r="A567" s="6">
        <f t="shared" si="8"/>
        <v>562</v>
      </c>
      <c r="B567" s="49"/>
      <c r="C567" s="18"/>
      <c r="D567" s="17"/>
      <c r="E567" s="17"/>
      <c r="F567" s="17"/>
      <c r="G567" s="17"/>
      <c r="H567" s="17"/>
      <c r="I567" s="17"/>
      <c r="J567" s="17"/>
    </row>
    <row r="568" spans="1:10">
      <c r="A568" s="6">
        <f t="shared" si="8"/>
        <v>563</v>
      </c>
      <c r="B568" s="49"/>
      <c r="C568" s="18"/>
      <c r="D568" s="17"/>
      <c r="E568" s="17"/>
      <c r="F568" s="17"/>
      <c r="G568" s="17"/>
      <c r="H568" s="17"/>
      <c r="I568" s="17"/>
      <c r="J568" s="17"/>
    </row>
    <row r="569" spans="1:10">
      <c r="A569" s="6">
        <f t="shared" si="8"/>
        <v>564</v>
      </c>
      <c r="B569" s="49"/>
      <c r="C569" s="18"/>
      <c r="D569" s="17"/>
      <c r="E569" s="17"/>
      <c r="F569" s="17"/>
      <c r="G569" s="17"/>
      <c r="H569" s="17"/>
      <c r="I569" s="17"/>
      <c r="J569" s="17"/>
    </row>
    <row r="570" spans="1:10">
      <c r="A570" s="6">
        <f t="shared" si="8"/>
        <v>565</v>
      </c>
      <c r="B570" s="49"/>
      <c r="C570" s="18"/>
      <c r="D570" s="17"/>
      <c r="E570" s="17"/>
      <c r="F570" s="17"/>
      <c r="G570" s="17"/>
      <c r="H570" s="17"/>
      <c r="I570" s="17"/>
      <c r="J570" s="17"/>
    </row>
    <row r="571" spans="1:10">
      <c r="A571" s="6">
        <f t="shared" si="8"/>
        <v>566</v>
      </c>
      <c r="B571" s="49"/>
      <c r="C571" s="18"/>
      <c r="D571" s="17"/>
      <c r="E571" s="17"/>
      <c r="F571" s="17"/>
      <c r="G571" s="17"/>
      <c r="H571" s="17"/>
      <c r="I571" s="17"/>
      <c r="J571" s="17"/>
    </row>
    <row r="572" spans="1:10">
      <c r="A572" s="6">
        <f t="shared" si="8"/>
        <v>567</v>
      </c>
      <c r="B572" s="49"/>
      <c r="C572" s="18"/>
      <c r="D572" s="17"/>
      <c r="E572" s="17"/>
      <c r="F572" s="17"/>
      <c r="G572" s="17"/>
      <c r="H572" s="17"/>
      <c r="I572" s="17"/>
      <c r="J572" s="17"/>
    </row>
    <row r="573" spans="1:10">
      <c r="A573" s="6">
        <f t="shared" si="8"/>
        <v>568</v>
      </c>
      <c r="B573" s="49"/>
      <c r="C573" s="18"/>
      <c r="D573" s="17"/>
      <c r="E573" s="17"/>
      <c r="F573" s="17"/>
      <c r="G573" s="17"/>
      <c r="H573" s="17"/>
      <c r="I573" s="17"/>
      <c r="J573" s="17"/>
    </row>
    <row r="574" spans="1:10">
      <c r="A574" s="6">
        <f t="shared" si="8"/>
        <v>569</v>
      </c>
      <c r="B574" s="49"/>
      <c r="C574" s="18"/>
      <c r="D574" s="17"/>
      <c r="E574" s="17"/>
      <c r="F574" s="17"/>
      <c r="G574" s="17"/>
      <c r="H574" s="17"/>
      <c r="I574" s="17"/>
      <c r="J574" s="17"/>
    </row>
    <row r="575" spans="1:10">
      <c r="A575" s="6">
        <f t="shared" si="8"/>
        <v>570</v>
      </c>
      <c r="B575" s="49"/>
      <c r="C575" s="18"/>
      <c r="D575" s="17"/>
      <c r="E575" s="17"/>
      <c r="F575" s="17"/>
      <c r="G575" s="17"/>
      <c r="H575" s="17"/>
      <c r="I575" s="17"/>
      <c r="J575" s="17"/>
    </row>
    <row r="576" spans="1:10">
      <c r="A576" s="6">
        <f t="shared" si="8"/>
        <v>571</v>
      </c>
      <c r="B576" s="49"/>
      <c r="C576" s="18"/>
      <c r="D576" s="17"/>
      <c r="E576" s="17"/>
      <c r="F576" s="17"/>
      <c r="G576" s="17"/>
      <c r="H576" s="17"/>
      <c r="I576" s="17"/>
      <c r="J576" s="17"/>
    </row>
    <row r="577" spans="1:10">
      <c r="A577" s="6">
        <f t="shared" si="8"/>
        <v>572</v>
      </c>
      <c r="B577" s="49"/>
      <c r="C577" s="18"/>
      <c r="D577" s="17"/>
      <c r="E577" s="17"/>
      <c r="F577" s="17"/>
      <c r="G577" s="17"/>
      <c r="H577" s="17"/>
      <c r="I577" s="17"/>
      <c r="J577" s="17"/>
    </row>
    <row r="578" spans="1:10">
      <c r="A578" s="6">
        <f t="shared" si="8"/>
        <v>573</v>
      </c>
      <c r="B578" s="49"/>
      <c r="C578" s="18"/>
      <c r="D578" s="17"/>
      <c r="E578" s="17"/>
      <c r="F578" s="17"/>
      <c r="G578" s="17"/>
      <c r="H578" s="17"/>
      <c r="I578" s="17"/>
      <c r="J578" s="17"/>
    </row>
    <row r="579" spans="1:10">
      <c r="A579" s="6">
        <f t="shared" si="8"/>
        <v>574</v>
      </c>
      <c r="B579" s="49"/>
      <c r="C579" s="18"/>
      <c r="D579" s="17"/>
      <c r="E579" s="17"/>
      <c r="F579" s="17"/>
      <c r="G579" s="17"/>
      <c r="H579" s="17"/>
      <c r="I579" s="17"/>
      <c r="J579" s="17"/>
    </row>
    <row r="580" spans="1:10">
      <c r="A580" s="6">
        <f t="shared" si="8"/>
        <v>575</v>
      </c>
      <c r="B580" s="49"/>
      <c r="C580" s="18"/>
      <c r="D580" s="17"/>
      <c r="E580" s="17"/>
      <c r="F580" s="17"/>
      <c r="G580" s="17"/>
      <c r="H580" s="17"/>
      <c r="I580" s="17"/>
      <c r="J580" s="17"/>
    </row>
    <row r="581" spans="1:10">
      <c r="A581" s="6">
        <f t="shared" si="8"/>
        <v>576</v>
      </c>
      <c r="B581" s="49"/>
      <c r="C581" s="18"/>
      <c r="D581" s="17"/>
      <c r="E581" s="17"/>
      <c r="F581" s="17"/>
      <c r="G581" s="17"/>
      <c r="H581" s="17"/>
      <c r="I581" s="17"/>
      <c r="J581" s="17"/>
    </row>
    <row r="582" spans="1:10">
      <c r="A582" s="6">
        <f t="shared" si="8"/>
        <v>577</v>
      </c>
      <c r="B582" s="49"/>
      <c r="C582" s="18"/>
      <c r="D582" s="17"/>
      <c r="E582" s="17"/>
      <c r="F582" s="17"/>
      <c r="G582" s="17"/>
      <c r="H582" s="17"/>
      <c r="I582" s="17"/>
      <c r="J582" s="17"/>
    </row>
    <row r="583" spans="1:10">
      <c r="A583" s="6">
        <f t="shared" ref="A583:A646" si="9">ROW(A578)</f>
        <v>578</v>
      </c>
      <c r="B583" s="49"/>
      <c r="C583" s="18"/>
      <c r="D583" s="17"/>
      <c r="E583" s="17"/>
      <c r="F583" s="17"/>
      <c r="G583" s="17"/>
      <c r="H583" s="17"/>
      <c r="I583" s="17"/>
      <c r="J583" s="17"/>
    </row>
    <row r="584" spans="1:10">
      <c r="A584" s="6">
        <f t="shared" si="9"/>
        <v>579</v>
      </c>
      <c r="B584" s="49"/>
      <c r="C584" s="18"/>
      <c r="D584" s="17"/>
      <c r="E584" s="17"/>
      <c r="F584" s="17"/>
      <c r="G584" s="17"/>
      <c r="H584" s="17"/>
      <c r="I584" s="17"/>
      <c r="J584" s="17"/>
    </row>
    <row r="585" spans="1:10">
      <c r="A585" s="6">
        <f t="shared" si="9"/>
        <v>580</v>
      </c>
      <c r="B585" s="49"/>
      <c r="C585" s="18"/>
      <c r="D585" s="17"/>
      <c r="E585" s="17"/>
      <c r="F585" s="17"/>
      <c r="G585" s="17"/>
      <c r="H585" s="17"/>
      <c r="I585" s="17"/>
      <c r="J585" s="17"/>
    </row>
    <row r="586" spans="1:10">
      <c r="A586" s="6">
        <f t="shared" si="9"/>
        <v>581</v>
      </c>
      <c r="B586" s="49"/>
      <c r="C586" s="18"/>
      <c r="D586" s="17"/>
      <c r="E586" s="17"/>
      <c r="F586" s="17"/>
      <c r="G586" s="17"/>
      <c r="H586" s="17"/>
      <c r="I586" s="17"/>
      <c r="J586" s="17"/>
    </row>
    <row r="587" spans="1:10">
      <c r="A587" s="6">
        <f t="shared" si="9"/>
        <v>582</v>
      </c>
      <c r="B587" s="49"/>
      <c r="C587" s="18"/>
      <c r="D587" s="17"/>
      <c r="E587" s="17"/>
      <c r="F587" s="17"/>
      <c r="G587" s="17"/>
      <c r="H587" s="17"/>
      <c r="I587" s="17"/>
      <c r="J587" s="17"/>
    </row>
    <row r="588" spans="1:10">
      <c r="A588" s="6">
        <f t="shared" si="9"/>
        <v>583</v>
      </c>
      <c r="B588" s="49"/>
      <c r="C588" s="18"/>
      <c r="D588" s="17"/>
      <c r="E588" s="17"/>
      <c r="F588" s="17"/>
      <c r="G588" s="17"/>
      <c r="H588" s="17"/>
      <c r="I588" s="17"/>
      <c r="J588" s="17"/>
    </row>
    <row r="589" spans="1:10">
      <c r="A589" s="6">
        <f t="shared" si="9"/>
        <v>584</v>
      </c>
      <c r="B589" s="49"/>
      <c r="C589" s="18"/>
      <c r="D589" s="17"/>
      <c r="E589" s="17"/>
      <c r="F589" s="17"/>
      <c r="G589" s="17"/>
      <c r="H589" s="17"/>
      <c r="I589" s="17"/>
      <c r="J589" s="17"/>
    </row>
    <row r="590" spans="1:10">
      <c r="A590" s="6">
        <f t="shared" si="9"/>
        <v>585</v>
      </c>
      <c r="B590" s="49"/>
      <c r="C590" s="18"/>
      <c r="D590" s="17"/>
      <c r="E590" s="17"/>
      <c r="F590" s="17"/>
      <c r="G590" s="17"/>
      <c r="H590" s="17"/>
      <c r="I590" s="17"/>
      <c r="J590" s="17"/>
    </row>
    <row r="591" spans="1:10">
      <c r="A591" s="6">
        <f t="shared" si="9"/>
        <v>586</v>
      </c>
      <c r="B591" s="49"/>
      <c r="C591" s="18"/>
      <c r="D591" s="17"/>
      <c r="E591" s="17"/>
      <c r="F591" s="17"/>
      <c r="G591" s="17"/>
      <c r="H591" s="17"/>
      <c r="I591" s="17"/>
      <c r="J591" s="17"/>
    </row>
    <row r="592" spans="1:10">
      <c r="A592" s="6">
        <f t="shared" si="9"/>
        <v>587</v>
      </c>
      <c r="B592" s="49"/>
      <c r="C592" s="18"/>
      <c r="D592" s="17"/>
      <c r="E592" s="17"/>
      <c r="F592" s="17"/>
      <c r="G592" s="17"/>
      <c r="H592" s="17"/>
      <c r="I592" s="17"/>
      <c r="J592" s="17"/>
    </row>
    <row r="593" spans="1:10">
      <c r="A593" s="6">
        <f t="shared" si="9"/>
        <v>588</v>
      </c>
      <c r="B593" s="49"/>
      <c r="C593" s="18"/>
      <c r="D593" s="17"/>
      <c r="E593" s="17"/>
      <c r="F593" s="17"/>
      <c r="G593" s="17"/>
      <c r="H593" s="17"/>
      <c r="I593" s="17"/>
      <c r="J593" s="17"/>
    </row>
    <row r="594" spans="1:10">
      <c r="A594" s="6">
        <f t="shared" si="9"/>
        <v>589</v>
      </c>
      <c r="B594" s="49"/>
      <c r="C594" s="18"/>
      <c r="D594" s="17"/>
      <c r="E594" s="17"/>
      <c r="F594" s="17"/>
      <c r="G594" s="17"/>
      <c r="H594" s="17"/>
      <c r="I594" s="17"/>
      <c r="J594" s="17"/>
    </row>
    <row r="595" spans="1:10">
      <c r="A595" s="6">
        <f t="shared" si="9"/>
        <v>590</v>
      </c>
      <c r="B595" s="49"/>
      <c r="C595" s="18"/>
      <c r="D595" s="17"/>
      <c r="E595" s="17"/>
      <c r="F595" s="17"/>
      <c r="G595" s="17"/>
      <c r="H595" s="17"/>
      <c r="I595" s="17"/>
      <c r="J595" s="17"/>
    </row>
    <row r="596" spans="1:10">
      <c r="A596" s="6">
        <f t="shared" si="9"/>
        <v>591</v>
      </c>
      <c r="B596" s="49"/>
      <c r="C596" s="18"/>
      <c r="D596" s="17"/>
      <c r="E596" s="17"/>
      <c r="F596" s="17"/>
      <c r="G596" s="17"/>
      <c r="H596" s="17"/>
      <c r="I596" s="17"/>
      <c r="J596" s="17"/>
    </row>
    <row r="597" spans="1:10">
      <c r="A597" s="6">
        <f t="shared" si="9"/>
        <v>592</v>
      </c>
      <c r="B597" s="49"/>
      <c r="C597" s="18"/>
      <c r="D597" s="17"/>
      <c r="E597" s="17"/>
      <c r="F597" s="17"/>
      <c r="G597" s="17"/>
      <c r="H597" s="17"/>
      <c r="I597" s="17"/>
      <c r="J597" s="17"/>
    </row>
    <row r="598" spans="1:10">
      <c r="A598" s="6">
        <f t="shared" si="9"/>
        <v>593</v>
      </c>
      <c r="B598" s="49"/>
      <c r="C598" s="18"/>
      <c r="D598" s="17"/>
      <c r="E598" s="17"/>
      <c r="F598" s="17"/>
      <c r="G598" s="17"/>
      <c r="H598" s="17"/>
      <c r="I598" s="17"/>
      <c r="J598" s="17"/>
    </row>
    <row r="599" spans="1:10">
      <c r="A599" s="6">
        <f t="shared" si="9"/>
        <v>594</v>
      </c>
      <c r="B599" s="49"/>
      <c r="C599" s="18"/>
      <c r="D599" s="17"/>
      <c r="E599" s="17"/>
      <c r="F599" s="17"/>
      <c r="G599" s="17"/>
      <c r="H599" s="17"/>
      <c r="I599" s="17"/>
      <c r="J599" s="17"/>
    </row>
    <row r="600" spans="1:10">
      <c r="A600" s="6">
        <f t="shared" si="9"/>
        <v>595</v>
      </c>
      <c r="B600" s="49"/>
      <c r="C600" s="18"/>
      <c r="D600" s="17"/>
      <c r="E600" s="17"/>
      <c r="F600" s="17"/>
      <c r="G600" s="17"/>
      <c r="H600" s="17"/>
      <c r="I600" s="17"/>
      <c r="J600" s="17"/>
    </row>
    <row r="601" spans="1:10">
      <c r="A601" s="6">
        <f t="shared" si="9"/>
        <v>596</v>
      </c>
      <c r="B601" s="49"/>
      <c r="C601" s="18"/>
      <c r="D601" s="17"/>
      <c r="E601" s="17"/>
      <c r="F601" s="17"/>
      <c r="G601" s="17"/>
      <c r="H601" s="17"/>
      <c r="I601" s="17"/>
      <c r="J601" s="17"/>
    </row>
    <row r="602" spans="1:10">
      <c r="A602" s="6">
        <f t="shared" si="9"/>
        <v>597</v>
      </c>
      <c r="B602" s="49"/>
      <c r="C602" s="18"/>
      <c r="D602" s="17"/>
      <c r="E602" s="17"/>
      <c r="F602" s="17"/>
      <c r="G602" s="17"/>
      <c r="H602" s="17"/>
      <c r="I602" s="17"/>
      <c r="J602" s="17"/>
    </row>
    <row r="603" spans="1:10">
      <c r="A603" s="6">
        <f t="shared" si="9"/>
        <v>598</v>
      </c>
      <c r="B603" s="49"/>
      <c r="C603" s="18"/>
      <c r="D603" s="17"/>
      <c r="E603" s="17"/>
      <c r="F603" s="17"/>
      <c r="G603" s="17"/>
      <c r="H603" s="17"/>
      <c r="I603" s="17"/>
      <c r="J603" s="17"/>
    </row>
    <row r="604" spans="1:10">
      <c r="A604" s="6">
        <f t="shared" si="9"/>
        <v>599</v>
      </c>
      <c r="B604" s="49"/>
      <c r="C604" s="18"/>
      <c r="D604" s="17"/>
      <c r="E604" s="17"/>
      <c r="F604" s="17"/>
      <c r="G604" s="17"/>
      <c r="H604" s="17"/>
      <c r="I604" s="17"/>
      <c r="J604" s="17"/>
    </row>
    <row r="605" spans="1:10">
      <c r="A605" s="6">
        <f t="shared" si="9"/>
        <v>600</v>
      </c>
      <c r="B605" s="49"/>
      <c r="C605" s="18"/>
      <c r="D605" s="17"/>
      <c r="E605" s="17"/>
      <c r="F605" s="17"/>
      <c r="G605" s="17"/>
      <c r="H605" s="17"/>
      <c r="I605" s="17"/>
      <c r="J605" s="17"/>
    </row>
    <row r="606" spans="1:10">
      <c r="A606" s="6">
        <f t="shared" si="9"/>
        <v>601</v>
      </c>
      <c r="B606" s="49"/>
      <c r="C606" s="18"/>
      <c r="D606" s="17"/>
      <c r="E606" s="17"/>
      <c r="F606" s="17"/>
      <c r="G606" s="17"/>
      <c r="H606" s="17"/>
      <c r="I606" s="17"/>
      <c r="J606" s="17"/>
    </row>
    <row r="607" spans="1:10">
      <c r="A607" s="6">
        <f t="shared" si="9"/>
        <v>602</v>
      </c>
      <c r="B607" s="49"/>
      <c r="C607" s="18"/>
      <c r="D607" s="17"/>
      <c r="E607" s="17"/>
      <c r="F607" s="17"/>
      <c r="G607" s="17"/>
      <c r="H607" s="17"/>
      <c r="I607" s="17"/>
      <c r="J607" s="17"/>
    </row>
    <row r="608" spans="1:10">
      <c r="A608" s="6">
        <f t="shared" si="9"/>
        <v>603</v>
      </c>
      <c r="B608" s="49"/>
      <c r="C608" s="18"/>
      <c r="D608" s="17"/>
      <c r="E608" s="17"/>
      <c r="F608" s="17"/>
      <c r="G608" s="17"/>
      <c r="H608" s="17"/>
      <c r="I608" s="17"/>
      <c r="J608" s="17"/>
    </row>
    <row r="609" spans="1:10">
      <c r="A609" s="6">
        <f t="shared" si="9"/>
        <v>604</v>
      </c>
      <c r="B609" s="49"/>
      <c r="C609" s="18"/>
      <c r="D609" s="17"/>
      <c r="E609" s="17"/>
      <c r="F609" s="17"/>
      <c r="G609" s="17"/>
      <c r="H609" s="17"/>
      <c r="I609" s="17"/>
      <c r="J609" s="17"/>
    </row>
    <row r="610" spans="1:10">
      <c r="A610" s="6">
        <f t="shared" si="9"/>
        <v>605</v>
      </c>
      <c r="B610" s="49"/>
      <c r="C610" s="18"/>
      <c r="D610" s="17"/>
      <c r="E610" s="17"/>
      <c r="F610" s="17"/>
      <c r="G610" s="17"/>
      <c r="H610" s="17"/>
      <c r="I610" s="17"/>
      <c r="J610" s="17"/>
    </row>
    <row r="611" spans="1:10">
      <c r="A611" s="6">
        <f t="shared" si="9"/>
        <v>606</v>
      </c>
      <c r="B611" s="49"/>
      <c r="C611" s="18"/>
      <c r="D611" s="17"/>
      <c r="E611" s="17"/>
      <c r="F611" s="17"/>
      <c r="G611" s="17"/>
      <c r="H611" s="17"/>
      <c r="I611" s="17"/>
      <c r="J611" s="17"/>
    </row>
    <row r="612" spans="1:10">
      <c r="A612" s="6">
        <f t="shared" si="9"/>
        <v>607</v>
      </c>
      <c r="B612" s="49"/>
      <c r="C612" s="18"/>
      <c r="D612" s="17"/>
      <c r="E612" s="17"/>
      <c r="F612" s="17"/>
      <c r="G612" s="17"/>
      <c r="H612" s="17"/>
      <c r="I612" s="17"/>
      <c r="J612" s="17"/>
    </row>
    <row r="613" spans="1:10">
      <c r="A613" s="6">
        <f t="shared" si="9"/>
        <v>608</v>
      </c>
      <c r="B613" s="49"/>
      <c r="C613" s="18"/>
      <c r="D613" s="17"/>
      <c r="E613" s="17"/>
      <c r="F613" s="17"/>
      <c r="G613" s="17"/>
      <c r="H613" s="17"/>
      <c r="I613" s="17"/>
      <c r="J613" s="17"/>
    </row>
    <row r="614" spans="1:10">
      <c r="A614" s="6">
        <f t="shared" si="9"/>
        <v>609</v>
      </c>
      <c r="B614" s="49"/>
      <c r="C614" s="18"/>
      <c r="D614" s="17"/>
      <c r="E614" s="17"/>
      <c r="F614" s="17"/>
      <c r="G614" s="17"/>
      <c r="H614" s="17"/>
      <c r="I614" s="17"/>
      <c r="J614" s="17"/>
    </row>
    <row r="615" spans="1:10">
      <c r="A615" s="6">
        <f t="shared" si="9"/>
        <v>610</v>
      </c>
      <c r="B615" s="49"/>
      <c r="C615" s="18"/>
      <c r="D615" s="17"/>
      <c r="E615" s="17"/>
      <c r="F615" s="17"/>
      <c r="G615" s="17"/>
      <c r="H615" s="17"/>
      <c r="I615" s="17"/>
      <c r="J615" s="17"/>
    </row>
    <row r="616" spans="1:10">
      <c r="A616" s="6">
        <f t="shared" si="9"/>
        <v>611</v>
      </c>
      <c r="B616" s="49"/>
      <c r="C616" s="18"/>
      <c r="D616" s="17"/>
      <c r="E616" s="17"/>
      <c r="F616" s="17"/>
      <c r="G616" s="17"/>
      <c r="H616" s="17"/>
      <c r="I616" s="17"/>
      <c r="J616" s="17"/>
    </row>
    <row r="617" spans="1:10">
      <c r="A617" s="6">
        <f t="shared" si="9"/>
        <v>612</v>
      </c>
      <c r="B617" s="49"/>
      <c r="C617" s="18"/>
      <c r="D617" s="17"/>
      <c r="E617" s="17"/>
      <c r="F617" s="17"/>
      <c r="G617" s="17"/>
      <c r="H617" s="17"/>
      <c r="I617" s="17"/>
      <c r="J617" s="17"/>
    </row>
    <row r="618" spans="1:10">
      <c r="A618" s="6">
        <f t="shared" si="9"/>
        <v>613</v>
      </c>
      <c r="B618" s="49"/>
      <c r="C618" s="18"/>
      <c r="D618" s="17"/>
      <c r="E618" s="17"/>
      <c r="F618" s="17"/>
      <c r="G618" s="17"/>
      <c r="H618" s="17"/>
      <c r="I618" s="17"/>
      <c r="J618" s="17"/>
    </row>
    <row r="619" spans="1:10">
      <c r="A619" s="6">
        <f t="shared" si="9"/>
        <v>614</v>
      </c>
      <c r="B619" s="49"/>
      <c r="C619" s="18"/>
      <c r="D619" s="17"/>
      <c r="E619" s="17"/>
      <c r="F619" s="17"/>
      <c r="G619" s="17"/>
      <c r="H619" s="17"/>
      <c r="I619" s="17"/>
      <c r="J619" s="17"/>
    </row>
    <row r="620" spans="1:10">
      <c r="A620" s="6">
        <f t="shared" si="9"/>
        <v>615</v>
      </c>
      <c r="B620" s="49"/>
      <c r="C620" s="18"/>
      <c r="D620" s="17"/>
      <c r="E620" s="17"/>
      <c r="F620" s="17"/>
      <c r="G620" s="17"/>
      <c r="H620" s="17"/>
      <c r="I620" s="17"/>
      <c r="J620" s="17"/>
    </row>
    <row r="621" spans="1:10">
      <c r="A621" s="6">
        <f t="shared" si="9"/>
        <v>616</v>
      </c>
      <c r="B621" s="49"/>
      <c r="C621" s="18"/>
      <c r="D621" s="17"/>
      <c r="E621" s="17"/>
      <c r="F621" s="17"/>
      <c r="G621" s="17"/>
      <c r="H621" s="17"/>
      <c r="I621" s="17"/>
      <c r="J621" s="17"/>
    </row>
    <row r="622" spans="1:10">
      <c r="A622" s="6">
        <f t="shared" si="9"/>
        <v>617</v>
      </c>
      <c r="B622" s="49"/>
      <c r="C622" s="18"/>
      <c r="D622" s="17"/>
      <c r="E622" s="17"/>
      <c r="F622" s="17"/>
      <c r="G622" s="17"/>
      <c r="H622" s="17"/>
      <c r="I622" s="17"/>
      <c r="J622" s="17"/>
    </row>
    <row r="623" spans="1:10">
      <c r="A623" s="6">
        <f t="shared" si="9"/>
        <v>618</v>
      </c>
      <c r="B623" s="49"/>
      <c r="C623" s="18"/>
      <c r="D623" s="17"/>
      <c r="E623" s="17"/>
      <c r="F623" s="17"/>
      <c r="G623" s="17"/>
      <c r="H623" s="17"/>
      <c r="I623" s="17"/>
      <c r="J623" s="17"/>
    </row>
    <row r="624" spans="1:10">
      <c r="A624" s="6">
        <f t="shared" si="9"/>
        <v>619</v>
      </c>
      <c r="B624" s="49"/>
      <c r="C624" s="18"/>
      <c r="D624" s="17"/>
      <c r="E624" s="17"/>
      <c r="F624" s="17"/>
      <c r="G624" s="17"/>
      <c r="H624" s="17"/>
      <c r="I624" s="17"/>
      <c r="J624" s="17"/>
    </row>
    <row r="625" spans="1:10">
      <c r="A625" s="6">
        <f t="shared" si="9"/>
        <v>620</v>
      </c>
      <c r="B625" s="49"/>
      <c r="C625" s="18"/>
      <c r="D625" s="17"/>
      <c r="E625" s="17"/>
      <c r="F625" s="17"/>
      <c r="G625" s="17"/>
      <c r="H625" s="17"/>
      <c r="I625" s="17"/>
      <c r="J625" s="17"/>
    </row>
    <row r="626" spans="1:10">
      <c r="A626" s="6">
        <f t="shared" si="9"/>
        <v>621</v>
      </c>
      <c r="B626" s="49"/>
      <c r="C626" s="18"/>
      <c r="D626" s="17"/>
      <c r="E626" s="17"/>
      <c r="F626" s="17"/>
      <c r="G626" s="17"/>
      <c r="H626" s="17"/>
      <c r="I626" s="17"/>
      <c r="J626" s="17"/>
    </row>
    <row r="627" spans="1:10">
      <c r="A627" s="6">
        <f t="shared" si="9"/>
        <v>622</v>
      </c>
      <c r="B627" s="49"/>
      <c r="C627" s="18"/>
      <c r="D627" s="17"/>
      <c r="E627" s="17"/>
      <c r="F627" s="17"/>
      <c r="G627" s="17"/>
      <c r="H627" s="17"/>
      <c r="I627" s="17"/>
      <c r="J627" s="17"/>
    </row>
    <row r="628" spans="1:10">
      <c r="A628" s="6">
        <f t="shared" si="9"/>
        <v>623</v>
      </c>
      <c r="B628" s="49"/>
      <c r="C628" s="18"/>
      <c r="D628" s="17"/>
      <c r="E628" s="17"/>
      <c r="F628" s="17"/>
      <c r="G628" s="17"/>
      <c r="H628" s="17"/>
      <c r="I628" s="17"/>
      <c r="J628" s="17"/>
    </row>
    <row r="629" spans="1:10">
      <c r="A629" s="6">
        <f t="shared" si="9"/>
        <v>624</v>
      </c>
      <c r="B629" s="49"/>
      <c r="C629" s="18"/>
      <c r="D629" s="17"/>
      <c r="E629" s="17"/>
      <c r="F629" s="17"/>
      <c r="G629" s="17"/>
      <c r="H629" s="17"/>
      <c r="I629" s="17"/>
      <c r="J629" s="17"/>
    </row>
    <row r="630" spans="1:10">
      <c r="A630" s="6">
        <f t="shared" si="9"/>
        <v>625</v>
      </c>
      <c r="B630" s="49"/>
      <c r="C630" s="18"/>
      <c r="D630" s="17"/>
      <c r="E630" s="17"/>
      <c r="F630" s="17"/>
      <c r="G630" s="17"/>
      <c r="H630" s="17"/>
      <c r="I630" s="17"/>
      <c r="J630" s="17"/>
    </row>
    <row r="631" spans="1:10">
      <c r="A631" s="6">
        <f t="shared" si="9"/>
        <v>626</v>
      </c>
      <c r="B631" s="49"/>
      <c r="C631" s="18"/>
      <c r="D631" s="17"/>
      <c r="E631" s="17"/>
      <c r="F631" s="17"/>
      <c r="G631" s="17"/>
      <c r="H631" s="17"/>
      <c r="I631" s="17"/>
      <c r="J631" s="17"/>
    </row>
    <row r="632" spans="1:10">
      <c r="A632" s="6">
        <f t="shared" si="9"/>
        <v>627</v>
      </c>
      <c r="B632" s="49"/>
      <c r="C632" s="18"/>
      <c r="D632" s="17"/>
      <c r="E632" s="17"/>
      <c r="F632" s="17"/>
      <c r="G632" s="17"/>
      <c r="H632" s="17"/>
      <c r="I632" s="17"/>
      <c r="J632" s="17"/>
    </row>
    <row r="633" spans="1:10">
      <c r="A633" s="6">
        <f t="shared" si="9"/>
        <v>628</v>
      </c>
      <c r="B633" s="49"/>
      <c r="C633" s="18"/>
      <c r="D633" s="17"/>
      <c r="E633" s="17"/>
      <c r="F633" s="17"/>
      <c r="G633" s="17"/>
      <c r="H633" s="17"/>
      <c r="I633" s="17"/>
      <c r="J633" s="17"/>
    </row>
    <row r="634" spans="1:10">
      <c r="A634" s="6">
        <f t="shared" si="9"/>
        <v>629</v>
      </c>
      <c r="B634" s="49"/>
      <c r="C634" s="18"/>
      <c r="D634" s="17"/>
      <c r="E634" s="17"/>
      <c r="F634" s="17"/>
      <c r="G634" s="17"/>
      <c r="H634" s="17"/>
      <c r="I634" s="17"/>
      <c r="J634" s="17"/>
    </row>
    <row r="635" spans="1:10">
      <c r="A635" s="6">
        <f t="shared" si="9"/>
        <v>630</v>
      </c>
      <c r="B635" s="49"/>
      <c r="C635" s="18"/>
      <c r="D635" s="17"/>
      <c r="E635" s="17"/>
      <c r="F635" s="17"/>
      <c r="G635" s="17"/>
      <c r="H635" s="17"/>
      <c r="I635" s="17"/>
      <c r="J635" s="17"/>
    </row>
    <row r="636" spans="1:10">
      <c r="A636" s="6">
        <f t="shared" si="9"/>
        <v>631</v>
      </c>
      <c r="B636" s="49"/>
      <c r="C636" s="18"/>
      <c r="D636" s="17"/>
      <c r="E636" s="17"/>
      <c r="F636" s="17"/>
      <c r="G636" s="17"/>
      <c r="H636" s="17"/>
      <c r="I636" s="17"/>
      <c r="J636" s="17"/>
    </row>
    <row r="637" spans="1:10">
      <c r="A637" s="6">
        <f t="shared" si="9"/>
        <v>632</v>
      </c>
      <c r="B637" s="49"/>
      <c r="C637" s="18"/>
      <c r="D637" s="17"/>
      <c r="E637" s="17"/>
      <c r="F637" s="17"/>
      <c r="G637" s="17"/>
      <c r="H637" s="17"/>
      <c r="I637" s="17"/>
      <c r="J637" s="17"/>
    </row>
    <row r="638" spans="1:10">
      <c r="A638" s="6">
        <f t="shared" si="9"/>
        <v>633</v>
      </c>
      <c r="B638" s="49"/>
      <c r="C638" s="18"/>
      <c r="D638" s="17"/>
      <c r="E638" s="17"/>
      <c r="F638" s="17"/>
      <c r="G638" s="17"/>
      <c r="H638" s="17"/>
      <c r="I638" s="17"/>
      <c r="J638" s="17"/>
    </row>
    <row r="639" spans="1:10">
      <c r="A639" s="6">
        <f t="shared" si="9"/>
        <v>634</v>
      </c>
      <c r="B639" s="49"/>
      <c r="C639" s="18"/>
      <c r="D639" s="17"/>
      <c r="E639" s="17"/>
      <c r="F639" s="17"/>
      <c r="G639" s="17"/>
      <c r="H639" s="17"/>
      <c r="I639" s="17"/>
      <c r="J639" s="17"/>
    </row>
    <row r="640" spans="1:10">
      <c r="A640" s="6">
        <f t="shared" si="9"/>
        <v>635</v>
      </c>
      <c r="B640" s="49"/>
      <c r="C640" s="18"/>
      <c r="D640" s="17"/>
      <c r="E640" s="17"/>
      <c r="F640" s="17"/>
      <c r="G640" s="17"/>
      <c r="H640" s="17"/>
      <c r="I640" s="17"/>
      <c r="J640" s="17"/>
    </row>
    <row r="641" spans="1:10">
      <c r="A641" s="6">
        <f t="shared" si="9"/>
        <v>636</v>
      </c>
      <c r="B641" s="49"/>
      <c r="C641" s="18"/>
      <c r="D641" s="17"/>
      <c r="E641" s="17"/>
      <c r="F641" s="17"/>
      <c r="G641" s="17"/>
      <c r="H641" s="17"/>
      <c r="I641" s="17"/>
      <c r="J641" s="17"/>
    </row>
    <row r="642" spans="1:10">
      <c r="A642" s="6">
        <f t="shared" si="9"/>
        <v>637</v>
      </c>
      <c r="B642" s="49"/>
      <c r="C642" s="18"/>
      <c r="D642" s="17"/>
      <c r="E642" s="17"/>
      <c r="F642" s="17"/>
      <c r="G642" s="17"/>
      <c r="H642" s="17"/>
      <c r="I642" s="17"/>
      <c r="J642" s="17"/>
    </row>
    <row r="643" spans="1:10">
      <c r="A643" s="6">
        <f t="shared" si="9"/>
        <v>638</v>
      </c>
      <c r="B643" s="49"/>
      <c r="C643" s="18"/>
      <c r="D643" s="17"/>
      <c r="E643" s="17"/>
      <c r="F643" s="17"/>
      <c r="G643" s="17"/>
      <c r="H643" s="17"/>
      <c r="I643" s="17"/>
      <c r="J643" s="17"/>
    </row>
    <row r="644" spans="1:10">
      <c r="A644" s="6">
        <f t="shared" si="9"/>
        <v>639</v>
      </c>
      <c r="B644" s="49"/>
      <c r="C644" s="18"/>
      <c r="D644" s="17"/>
      <c r="E644" s="17"/>
      <c r="F644" s="17"/>
      <c r="G644" s="17"/>
      <c r="H644" s="17"/>
      <c r="I644" s="17"/>
      <c r="J644" s="17"/>
    </row>
    <row r="645" spans="1:10">
      <c r="A645" s="6">
        <f t="shared" si="9"/>
        <v>640</v>
      </c>
      <c r="B645" s="49"/>
      <c r="C645" s="18"/>
      <c r="D645" s="17"/>
      <c r="E645" s="17"/>
      <c r="F645" s="17"/>
      <c r="G645" s="17"/>
      <c r="H645" s="17"/>
      <c r="I645" s="17"/>
      <c r="J645" s="17"/>
    </row>
    <row r="646" spans="1:10">
      <c r="A646" s="6">
        <f t="shared" si="9"/>
        <v>641</v>
      </c>
      <c r="B646" s="49"/>
      <c r="C646" s="18"/>
      <c r="D646" s="17"/>
      <c r="E646" s="17"/>
      <c r="F646" s="17"/>
      <c r="G646" s="17"/>
      <c r="H646" s="17"/>
      <c r="I646" s="17"/>
      <c r="J646" s="17"/>
    </row>
    <row r="647" spans="1:10">
      <c r="A647" s="6">
        <f t="shared" ref="A647:A710" si="10">ROW(A642)</f>
        <v>642</v>
      </c>
      <c r="B647" s="49"/>
      <c r="C647" s="18"/>
      <c r="D647" s="17"/>
      <c r="E647" s="17"/>
      <c r="F647" s="17"/>
      <c r="G647" s="17"/>
      <c r="H647" s="17"/>
      <c r="I647" s="17"/>
      <c r="J647" s="17"/>
    </row>
    <row r="648" spans="1:10">
      <c r="A648" s="6">
        <f t="shared" si="10"/>
        <v>643</v>
      </c>
      <c r="B648" s="49"/>
      <c r="C648" s="18"/>
      <c r="D648" s="17"/>
      <c r="E648" s="17"/>
      <c r="F648" s="17"/>
      <c r="G648" s="17"/>
      <c r="H648" s="17"/>
      <c r="I648" s="17"/>
      <c r="J648" s="17"/>
    </row>
    <row r="649" spans="1:10">
      <c r="A649" s="6">
        <f t="shared" si="10"/>
        <v>644</v>
      </c>
      <c r="B649" s="49"/>
      <c r="C649" s="18"/>
      <c r="D649" s="17"/>
      <c r="E649" s="17"/>
      <c r="F649" s="17"/>
      <c r="G649" s="17"/>
      <c r="H649" s="17"/>
      <c r="I649" s="17"/>
      <c r="J649" s="17"/>
    </row>
    <row r="650" spans="1:10">
      <c r="A650" s="6">
        <f t="shared" si="10"/>
        <v>645</v>
      </c>
      <c r="B650" s="49"/>
      <c r="C650" s="18"/>
      <c r="D650" s="17"/>
      <c r="E650" s="17"/>
      <c r="F650" s="17"/>
      <c r="G650" s="17"/>
      <c r="H650" s="17"/>
      <c r="I650" s="17"/>
      <c r="J650" s="17"/>
    </row>
    <row r="651" spans="1:10">
      <c r="A651" s="6">
        <f t="shared" si="10"/>
        <v>646</v>
      </c>
      <c r="B651" s="49"/>
      <c r="C651" s="18"/>
      <c r="D651" s="17"/>
      <c r="E651" s="17"/>
      <c r="F651" s="17"/>
      <c r="G651" s="17"/>
      <c r="H651" s="17"/>
      <c r="I651" s="17"/>
      <c r="J651" s="17"/>
    </row>
    <row r="652" spans="1:10">
      <c r="A652" s="6">
        <f t="shared" si="10"/>
        <v>647</v>
      </c>
      <c r="B652" s="49"/>
      <c r="C652" s="18"/>
      <c r="D652" s="17"/>
      <c r="E652" s="17"/>
      <c r="F652" s="17"/>
      <c r="G652" s="17"/>
      <c r="H652" s="17"/>
      <c r="I652" s="17"/>
      <c r="J652" s="17"/>
    </row>
    <row r="653" spans="1:10">
      <c r="A653" s="6">
        <f t="shared" si="10"/>
        <v>648</v>
      </c>
      <c r="B653" s="49"/>
      <c r="C653" s="18"/>
      <c r="D653" s="17"/>
      <c r="E653" s="17"/>
      <c r="F653" s="17"/>
      <c r="G653" s="17"/>
      <c r="H653" s="17"/>
      <c r="I653" s="17"/>
      <c r="J653" s="17"/>
    </row>
    <row r="654" spans="1:10">
      <c r="A654" s="6">
        <f t="shared" si="10"/>
        <v>649</v>
      </c>
      <c r="B654" s="49"/>
      <c r="C654" s="18"/>
      <c r="D654" s="17"/>
      <c r="E654" s="17"/>
      <c r="F654" s="17"/>
      <c r="G654" s="17"/>
      <c r="H654" s="17"/>
      <c r="I654" s="17"/>
      <c r="J654" s="17"/>
    </row>
    <row r="655" spans="1:10">
      <c r="A655" s="6">
        <f t="shared" si="10"/>
        <v>650</v>
      </c>
      <c r="B655" s="49"/>
      <c r="C655" s="18"/>
      <c r="D655" s="17"/>
      <c r="E655" s="17"/>
      <c r="F655" s="17"/>
      <c r="G655" s="17"/>
      <c r="H655" s="17"/>
      <c r="I655" s="17"/>
      <c r="J655" s="17"/>
    </row>
    <row r="656" spans="1:10">
      <c r="A656" s="6">
        <f t="shared" si="10"/>
        <v>651</v>
      </c>
      <c r="B656" s="49"/>
      <c r="C656" s="18"/>
      <c r="D656" s="17"/>
      <c r="E656" s="17"/>
      <c r="F656" s="17"/>
      <c r="G656" s="17"/>
      <c r="H656" s="17"/>
      <c r="I656" s="17"/>
      <c r="J656" s="17"/>
    </row>
    <row r="657" spans="1:10">
      <c r="A657" s="6">
        <f t="shared" si="10"/>
        <v>652</v>
      </c>
      <c r="B657" s="49"/>
      <c r="C657" s="18"/>
      <c r="D657" s="17"/>
      <c r="E657" s="17"/>
      <c r="F657" s="17"/>
      <c r="G657" s="17"/>
      <c r="H657" s="17"/>
      <c r="I657" s="17"/>
      <c r="J657" s="17"/>
    </row>
    <row r="658" spans="1:10">
      <c r="A658" s="6">
        <f t="shared" si="10"/>
        <v>653</v>
      </c>
      <c r="B658" s="49"/>
      <c r="C658" s="18"/>
      <c r="D658" s="17"/>
      <c r="E658" s="17"/>
      <c r="F658" s="17"/>
      <c r="G658" s="17"/>
      <c r="H658" s="17"/>
      <c r="I658" s="17"/>
      <c r="J658" s="17"/>
    </row>
    <row r="659" spans="1:10">
      <c r="A659" s="6">
        <f t="shared" si="10"/>
        <v>654</v>
      </c>
      <c r="B659" s="49"/>
      <c r="C659" s="18"/>
      <c r="D659" s="17"/>
      <c r="E659" s="17"/>
      <c r="F659" s="17"/>
      <c r="G659" s="17"/>
      <c r="H659" s="17"/>
      <c r="I659" s="17"/>
      <c r="J659" s="17"/>
    </row>
    <row r="660" spans="1:10">
      <c r="A660" s="6">
        <f t="shared" si="10"/>
        <v>655</v>
      </c>
      <c r="B660" s="49"/>
      <c r="C660" s="18"/>
      <c r="D660" s="17"/>
      <c r="E660" s="17"/>
      <c r="F660" s="17"/>
      <c r="G660" s="17"/>
      <c r="H660" s="17"/>
      <c r="I660" s="17"/>
      <c r="J660" s="17"/>
    </row>
    <row r="661" spans="1:10">
      <c r="A661" s="6">
        <f t="shared" si="10"/>
        <v>656</v>
      </c>
      <c r="B661" s="49"/>
      <c r="C661" s="18"/>
      <c r="D661" s="17"/>
      <c r="E661" s="17"/>
      <c r="F661" s="17"/>
      <c r="G661" s="17"/>
      <c r="H661" s="17"/>
      <c r="I661" s="17"/>
      <c r="J661" s="17"/>
    </row>
    <row r="662" spans="1:10">
      <c r="A662" s="6">
        <f t="shared" si="10"/>
        <v>657</v>
      </c>
      <c r="B662" s="49"/>
      <c r="C662" s="18"/>
      <c r="D662" s="17"/>
      <c r="E662" s="17"/>
      <c r="F662" s="17"/>
      <c r="G662" s="17"/>
      <c r="H662" s="17"/>
      <c r="I662" s="17"/>
      <c r="J662" s="17"/>
    </row>
    <row r="663" spans="1:10">
      <c r="A663" s="6">
        <f t="shared" si="10"/>
        <v>658</v>
      </c>
      <c r="B663" s="49"/>
      <c r="C663" s="18"/>
      <c r="D663" s="17"/>
      <c r="E663" s="17"/>
      <c r="F663" s="17"/>
      <c r="G663" s="17"/>
      <c r="H663" s="17"/>
      <c r="I663" s="17"/>
      <c r="J663" s="17"/>
    </row>
    <row r="664" spans="1:10">
      <c r="A664" s="6">
        <f t="shared" si="10"/>
        <v>659</v>
      </c>
      <c r="B664" s="49"/>
      <c r="C664" s="18"/>
      <c r="D664" s="17"/>
      <c r="E664" s="17"/>
      <c r="F664" s="17"/>
      <c r="G664" s="17"/>
      <c r="H664" s="17"/>
      <c r="I664" s="17"/>
      <c r="J664" s="17"/>
    </row>
    <row r="665" spans="1:10">
      <c r="A665" s="6">
        <f t="shared" si="10"/>
        <v>660</v>
      </c>
      <c r="B665" s="49"/>
      <c r="C665" s="18"/>
      <c r="D665" s="17"/>
      <c r="E665" s="17"/>
      <c r="F665" s="17"/>
      <c r="G665" s="17"/>
      <c r="H665" s="17"/>
      <c r="I665" s="17"/>
      <c r="J665" s="17"/>
    </row>
    <row r="666" spans="1:10">
      <c r="A666" s="6">
        <f t="shared" si="10"/>
        <v>661</v>
      </c>
      <c r="B666" s="49"/>
      <c r="C666" s="18"/>
      <c r="D666" s="17"/>
      <c r="E666" s="17"/>
      <c r="F666" s="17"/>
      <c r="G666" s="17"/>
      <c r="H666" s="17"/>
      <c r="I666" s="17"/>
      <c r="J666" s="17"/>
    </row>
    <row r="667" spans="1:10">
      <c r="A667" s="6">
        <f t="shared" si="10"/>
        <v>662</v>
      </c>
      <c r="B667" s="49"/>
      <c r="C667" s="18"/>
      <c r="D667" s="17"/>
      <c r="E667" s="17"/>
      <c r="F667" s="17"/>
      <c r="G667" s="17"/>
      <c r="H667" s="17"/>
      <c r="I667" s="17"/>
      <c r="J667" s="17"/>
    </row>
    <row r="668" spans="1:10">
      <c r="A668" s="6">
        <f t="shared" si="10"/>
        <v>663</v>
      </c>
      <c r="B668" s="49"/>
      <c r="C668" s="18"/>
      <c r="D668" s="17"/>
      <c r="E668" s="17"/>
      <c r="F668" s="17"/>
      <c r="G668" s="17"/>
      <c r="H668" s="17"/>
      <c r="I668" s="17"/>
      <c r="J668" s="17"/>
    </row>
    <row r="669" spans="1:10">
      <c r="A669" s="6">
        <f t="shared" si="10"/>
        <v>664</v>
      </c>
      <c r="B669" s="49"/>
      <c r="C669" s="18"/>
      <c r="D669" s="17"/>
      <c r="E669" s="17"/>
      <c r="F669" s="17"/>
      <c r="G669" s="17"/>
      <c r="H669" s="17"/>
      <c r="I669" s="17"/>
      <c r="J669" s="17"/>
    </row>
    <row r="670" spans="1:10">
      <c r="A670" s="6">
        <f t="shared" si="10"/>
        <v>665</v>
      </c>
      <c r="B670" s="49"/>
      <c r="C670" s="18"/>
      <c r="D670" s="17"/>
      <c r="E670" s="17"/>
      <c r="F670" s="17"/>
      <c r="G670" s="17"/>
      <c r="H670" s="17"/>
      <c r="I670" s="17"/>
      <c r="J670" s="17"/>
    </row>
    <row r="671" spans="1:10">
      <c r="A671" s="6">
        <f t="shared" si="10"/>
        <v>666</v>
      </c>
      <c r="B671" s="49"/>
      <c r="C671" s="18"/>
      <c r="D671" s="17"/>
      <c r="E671" s="17"/>
      <c r="F671" s="17"/>
      <c r="G671" s="17"/>
      <c r="H671" s="17"/>
      <c r="I671" s="17"/>
      <c r="J671" s="17"/>
    </row>
    <row r="672" spans="1:10">
      <c r="A672" s="6">
        <f t="shared" si="10"/>
        <v>667</v>
      </c>
      <c r="B672" s="49"/>
      <c r="C672" s="18"/>
      <c r="D672" s="17"/>
      <c r="E672" s="17"/>
      <c r="F672" s="17"/>
      <c r="G672" s="17"/>
      <c r="H672" s="17"/>
      <c r="I672" s="17"/>
      <c r="J672" s="17"/>
    </row>
    <row r="673" spans="1:10">
      <c r="A673" s="6">
        <f t="shared" si="10"/>
        <v>668</v>
      </c>
      <c r="B673" s="49"/>
      <c r="C673" s="18"/>
      <c r="D673" s="17"/>
      <c r="E673" s="17"/>
      <c r="F673" s="17"/>
      <c r="G673" s="17"/>
      <c r="H673" s="17"/>
      <c r="I673" s="17"/>
      <c r="J673" s="17"/>
    </row>
    <row r="674" spans="1:10">
      <c r="A674" s="6">
        <f t="shared" si="10"/>
        <v>669</v>
      </c>
      <c r="B674" s="49"/>
      <c r="C674" s="18"/>
      <c r="D674" s="17"/>
      <c r="E674" s="17"/>
      <c r="F674" s="17"/>
      <c r="G674" s="17"/>
      <c r="H674" s="17"/>
      <c r="I674" s="17"/>
      <c r="J674" s="17"/>
    </row>
    <row r="675" spans="1:10">
      <c r="A675" s="6">
        <f t="shared" si="10"/>
        <v>670</v>
      </c>
      <c r="B675" s="49"/>
      <c r="C675" s="18"/>
      <c r="D675" s="17"/>
      <c r="E675" s="17"/>
      <c r="F675" s="17"/>
      <c r="G675" s="17"/>
      <c r="H675" s="17"/>
      <c r="I675" s="17"/>
      <c r="J675" s="17"/>
    </row>
    <row r="676" spans="1:10">
      <c r="A676" s="6">
        <f t="shared" si="10"/>
        <v>671</v>
      </c>
      <c r="B676" s="49"/>
      <c r="C676" s="18"/>
      <c r="D676" s="17"/>
      <c r="E676" s="17"/>
      <c r="F676" s="17"/>
      <c r="G676" s="17"/>
      <c r="H676" s="17"/>
      <c r="I676" s="17"/>
      <c r="J676" s="17"/>
    </row>
    <row r="677" spans="1:10">
      <c r="A677" s="6">
        <f t="shared" si="10"/>
        <v>672</v>
      </c>
      <c r="B677" s="49"/>
      <c r="C677" s="18"/>
      <c r="D677" s="17"/>
      <c r="E677" s="17"/>
      <c r="F677" s="17"/>
      <c r="G677" s="17"/>
      <c r="H677" s="17"/>
      <c r="I677" s="17"/>
      <c r="J677" s="17"/>
    </row>
    <row r="678" spans="1:10">
      <c r="A678" s="6">
        <f t="shared" si="10"/>
        <v>673</v>
      </c>
      <c r="B678" s="49"/>
      <c r="C678" s="18"/>
      <c r="D678" s="17"/>
      <c r="E678" s="17"/>
      <c r="F678" s="17"/>
      <c r="G678" s="17"/>
      <c r="H678" s="17"/>
      <c r="I678" s="17"/>
      <c r="J678" s="17"/>
    </row>
    <row r="679" spans="1:10">
      <c r="A679" s="6">
        <f t="shared" si="10"/>
        <v>674</v>
      </c>
      <c r="B679" s="49"/>
      <c r="C679" s="18"/>
      <c r="D679" s="17"/>
      <c r="E679" s="17"/>
      <c r="F679" s="17"/>
      <c r="G679" s="17"/>
      <c r="H679" s="17"/>
      <c r="I679" s="17"/>
      <c r="J679" s="17"/>
    </row>
    <row r="680" spans="1:10">
      <c r="A680" s="6">
        <f t="shared" si="10"/>
        <v>675</v>
      </c>
      <c r="B680" s="49"/>
      <c r="C680" s="18"/>
      <c r="D680" s="17"/>
      <c r="E680" s="17"/>
      <c r="F680" s="17"/>
      <c r="G680" s="17"/>
      <c r="H680" s="17"/>
      <c r="I680" s="17"/>
      <c r="J680" s="17"/>
    </row>
    <row r="681" spans="1:10">
      <c r="A681" s="6">
        <f t="shared" si="10"/>
        <v>676</v>
      </c>
      <c r="B681" s="49"/>
      <c r="C681" s="18"/>
      <c r="D681" s="17"/>
      <c r="E681" s="17"/>
      <c r="F681" s="17"/>
      <c r="G681" s="17"/>
      <c r="H681" s="17"/>
      <c r="I681" s="17"/>
      <c r="J681" s="17"/>
    </row>
    <row r="682" spans="1:10">
      <c r="A682" s="6">
        <f t="shared" si="10"/>
        <v>677</v>
      </c>
      <c r="B682" s="49"/>
      <c r="C682" s="18"/>
      <c r="D682" s="17"/>
      <c r="E682" s="17"/>
      <c r="F682" s="17"/>
      <c r="G682" s="17"/>
      <c r="H682" s="17"/>
      <c r="I682" s="17"/>
      <c r="J682" s="17"/>
    </row>
    <row r="683" spans="1:10">
      <c r="A683" s="6">
        <f t="shared" si="10"/>
        <v>678</v>
      </c>
      <c r="B683" s="49"/>
      <c r="C683" s="18"/>
      <c r="D683" s="17"/>
      <c r="E683" s="17"/>
      <c r="F683" s="17"/>
      <c r="G683" s="17"/>
      <c r="H683" s="17"/>
      <c r="I683" s="17"/>
      <c r="J683" s="17"/>
    </row>
    <row r="684" spans="1:10">
      <c r="A684" s="6">
        <f t="shared" si="10"/>
        <v>679</v>
      </c>
      <c r="B684" s="49"/>
      <c r="C684" s="18"/>
      <c r="D684" s="17"/>
      <c r="E684" s="17"/>
      <c r="F684" s="17"/>
      <c r="G684" s="17"/>
      <c r="H684" s="17"/>
      <c r="I684" s="17"/>
      <c r="J684" s="17"/>
    </row>
    <row r="685" spans="1:10">
      <c r="A685" s="6">
        <f t="shared" si="10"/>
        <v>680</v>
      </c>
      <c r="B685" s="49"/>
      <c r="C685" s="18"/>
      <c r="D685" s="17"/>
      <c r="E685" s="17"/>
      <c r="F685" s="17"/>
      <c r="G685" s="17"/>
      <c r="H685" s="17"/>
      <c r="I685" s="17"/>
      <c r="J685" s="17"/>
    </row>
    <row r="686" spans="1:10">
      <c r="A686" s="6">
        <f t="shared" si="10"/>
        <v>681</v>
      </c>
      <c r="B686" s="49"/>
      <c r="C686" s="18"/>
      <c r="D686" s="17"/>
      <c r="E686" s="17"/>
      <c r="F686" s="17"/>
      <c r="G686" s="17"/>
      <c r="H686" s="17"/>
      <c r="I686" s="17"/>
      <c r="J686" s="17"/>
    </row>
    <row r="687" spans="1:10">
      <c r="A687" s="6">
        <f t="shared" si="10"/>
        <v>682</v>
      </c>
      <c r="B687" s="49"/>
      <c r="C687" s="18"/>
      <c r="D687" s="17"/>
      <c r="E687" s="17"/>
      <c r="F687" s="17"/>
      <c r="G687" s="17"/>
      <c r="H687" s="17"/>
      <c r="I687" s="17"/>
      <c r="J687" s="17"/>
    </row>
    <row r="688" spans="1:10">
      <c r="A688" s="6">
        <f t="shared" si="10"/>
        <v>683</v>
      </c>
      <c r="B688" s="49"/>
      <c r="C688" s="18"/>
      <c r="D688" s="17"/>
      <c r="E688" s="17"/>
      <c r="F688" s="17"/>
      <c r="G688" s="17"/>
      <c r="H688" s="17"/>
      <c r="I688" s="17"/>
      <c r="J688" s="17"/>
    </row>
    <row r="689" spans="1:10">
      <c r="A689" s="6">
        <f t="shared" si="10"/>
        <v>684</v>
      </c>
      <c r="B689" s="49"/>
      <c r="C689" s="18"/>
      <c r="D689" s="17"/>
      <c r="E689" s="17"/>
      <c r="F689" s="17"/>
      <c r="G689" s="17"/>
      <c r="H689" s="17"/>
      <c r="I689" s="17"/>
      <c r="J689" s="17"/>
    </row>
    <row r="690" spans="1:10">
      <c r="A690" s="6">
        <f t="shared" si="10"/>
        <v>685</v>
      </c>
      <c r="B690" s="49"/>
      <c r="C690" s="18"/>
      <c r="D690" s="17"/>
      <c r="E690" s="17"/>
      <c r="F690" s="17"/>
      <c r="G690" s="17"/>
      <c r="H690" s="17"/>
      <c r="I690" s="17"/>
      <c r="J690" s="17"/>
    </row>
    <row r="691" spans="1:10">
      <c r="A691" s="6">
        <f t="shared" si="10"/>
        <v>686</v>
      </c>
      <c r="B691" s="49"/>
      <c r="C691" s="18"/>
      <c r="D691" s="17"/>
      <c r="E691" s="17"/>
      <c r="F691" s="17"/>
      <c r="G691" s="17"/>
      <c r="H691" s="17"/>
      <c r="I691" s="17"/>
      <c r="J691" s="17"/>
    </row>
    <row r="692" spans="1:10">
      <c r="A692" s="6">
        <f t="shared" si="10"/>
        <v>687</v>
      </c>
      <c r="B692" s="49"/>
      <c r="C692" s="18"/>
      <c r="D692" s="17"/>
      <c r="E692" s="17"/>
      <c r="F692" s="17"/>
      <c r="G692" s="17"/>
      <c r="H692" s="17"/>
      <c r="I692" s="17"/>
      <c r="J692" s="17"/>
    </row>
    <row r="693" spans="1:10">
      <c r="A693" s="6">
        <f t="shared" si="10"/>
        <v>688</v>
      </c>
      <c r="B693" s="49"/>
      <c r="C693" s="18"/>
      <c r="D693" s="17"/>
      <c r="E693" s="17"/>
      <c r="F693" s="17"/>
      <c r="G693" s="17"/>
      <c r="H693" s="17"/>
      <c r="I693" s="17"/>
      <c r="J693" s="17"/>
    </row>
    <row r="694" spans="1:10">
      <c r="A694" s="6">
        <f t="shared" si="10"/>
        <v>689</v>
      </c>
      <c r="B694" s="49"/>
      <c r="C694" s="18"/>
      <c r="D694" s="17"/>
      <c r="E694" s="17"/>
      <c r="F694" s="17"/>
      <c r="G694" s="17"/>
      <c r="H694" s="17"/>
      <c r="I694" s="17"/>
      <c r="J694" s="17"/>
    </row>
    <row r="695" spans="1:10">
      <c r="A695" s="6">
        <f t="shared" si="10"/>
        <v>690</v>
      </c>
      <c r="B695" s="49"/>
      <c r="C695" s="18"/>
      <c r="D695" s="17"/>
      <c r="E695" s="17"/>
      <c r="F695" s="17"/>
      <c r="G695" s="17"/>
      <c r="H695" s="17"/>
      <c r="I695" s="17"/>
      <c r="J695" s="17"/>
    </row>
    <row r="696" spans="1:10">
      <c r="A696" s="6">
        <f t="shared" si="10"/>
        <v>691</v>
      </c>
      <c r="B696" s="49"/>
      <c r="C696" s="18"/>
      <c r="D696" s="17"/>
      <c r="E696" s="17"/>
      <c r="F696" s="17"/>
      <c r="G696" s="17"/>
      <c r="H696" s="17"/>
      <c r="I696" s="17"/>
      <c r="J696" s="17"/>
    </row>
    <row r="697" spans="1:10">
      <c r="A697" s="6">
        <f t="shared" si="10"/>
        <v>692</v>
      </c>
      <c r="B697" s="49"/>
      <c r="C697" s="18"/>
      <c r="D697" s="17"/>
      <c r="E697" s="17"/>
      <c r="F697" s="17"/>
      <c r="G697" s="17"/>
      <c r="H697" s="17"/>
      <c r="I697" s="17"/>
      <c r="J697" s="17"/>
    </row>
    <row r="698" spans="1:10">
      <c r="A698" s="6">
        <f t="shared" si="10"/>
        <v>693</v>
      </c>
      <c r="B698" s="49"/>
      <c r="C698" s="18"/>
      <c r="D698" s="17"/>
      <c r="E698" s="17"/>
      <c r="F698" s="17"/>
      <c r="G698" s="17"/>
      <c r="H698" s="17"/>
      <c r="I698" s="17"/>
      <c r="J698" s="17"/>
    </row>
    <row r="699" spans="1:10">
      <c r="A699" s="6">
        <f t="shared" si="10"/>
        <v>694</v>
      </c>
      <c r="B699" s="49"/>
      <c r="C699" s="18"/>
      <c r="D699" s="17"/>
      <c r="E699" s="17"/>
      <c r="F699" s="17"/>
      <c r="G699" s="17"/>
      <c r="H699" s="17"/>
      <c r="I699" s="17"/>
      <c r="J699" s="17"/>
    </row>
    <row r="700" spans="1:10">
      <c r="A700" s="6">
        <f t="shared" si="10"/>
        <v>695</v>
      </c>
      <c r="B700" s="49"/>
      <c r="C700" s="18"/>
      <c r="D700" s="17"/>
      <c r="E700" s="17"/>
      <c r="F700" s="17"/>
      <c r="G700" s="17"/>
      <c r="H700" s="17"/>
      <c r="I700" s="17"/>
      <c r="J700" s="17"/>
    </row>
    <row r="701" spans="1:10">
      <c r="A701" s="6">
        <f t="shared" si="10"/>
        <v>696</v>
      </c>
      <c r="B701" s="49"/>
      <c r="C701" s="18"/>
      <c r="D701" s="17"/>
      <c r="E701" s="17"/>
      <c r="F701" s="17"/>
      <c r="G701" s="17"/>
      <c r="H701" s="17"/>
      <c r="I701" s="17"/>
      <c r="J701" s="17"/>
    </row>
    <row r="702" spans="1:10">
      <c r="A702" s="6">
        <f t="shared" si="10"/>
        <v>697</v>
      </c>
      <c r="B702" s="49"/>
      <c r="C702" s="18"/>
      <c r="D702" s="17"/>
      <c r="E702" s="17"/>
      <c r="F702" s="17"/>
      <c r="G702" s="17"/>
      <c r="H702" s="17"/>
      <c r="I702" s="17"/>
      <c r="J702" s="17"/>
    </row>
    <row r="703" spans="1:10">
      <c r="A703" s="6">
        <f t="shared" si="10"/>
        <v>698</v>
      </c>
      <c r="B703" s="49"/>
      <c r="C703" s="18"/>
      <c r="D703" s="17"/>
      <c r="E703" s="17"/>
      <c r="F703" s="17"/>
      <c r="G703" s="17"/>
      <c r="H703" s="17"/>
      <c r="I703" s="17"/>
      <c r="J703" s="17"/>
    </row>
    <row r="704" spans="1:10">
      <c r="A704" s="6">
        <f t="shared" si="10"/>
        <v>699</v>
      </c>
      <c r="B704" s="49"/>
      <c r="C704" s="18"/>
      <c r="D704" s="17"/>
      <c r="E704" s="17"/>
      <c r="F704" s="17"/>
      <c r="G704" s="17"/>
      <c r="H704" s="17"/>
      <c r="I704" s="17"/>
      <c r="J704" s="17"/>
    </row>
    <row r="705" spans="1:10">
      <c r="A705" s="6">
        <f t="shared" si="10"/>
        <v>700</v>
      </c>
      <c r="B705" s="49"/>
      <c r="C705" s="18"/>
      <c r="D705" s="17"/>
      <c r="E705" s="17"/>
      <c r="F705" s="17"/>
      <c r="G705" s="17"/>
      <c r="H705" s="17"/>
      <c r="I705" s="17"/>
      <c r="J705" s="17"/>
    </row>
    <row r="706" spans="1:10">
      <c r="A706" s="6">
        <f t="shared" si="10"/>
        <v>701</v>
      </c>
      <c r="B706" s="49"/>
      <c r="C706" s="18"/>
      <c r="D706" s="17"/>
      <c r="E706" s="17"/>
      <c r="F706" s="17"/>
      <c r="G706" s="17"/>
      <c r="H706" s="17"/>
      <c r="I706" s="17"/>
      <c r="J706" s="17"/>
    </row>
    <row r="707" spans="1:10">
      <c r="A707" s="6">
        <f t="shared" si="10"/>
        <v>702</v>
      </c>
      <c r="B707" s="49"/>
      <c r="C707" s="18"/>
      <c r="D707" s="17"/>
      <c r="E707" s="17"/>
      <c r="F707" s="17"/>
      <c r="G707" s="17"/>
      <c r="H707" s="17"/>
      <c r="I707" s="17"/>
      <c r="J707" s="17"/>
    </row>
    <row r="708" spans="1:10">
      <c r="A708" s="6">
        <f t="shared" si="10"/>
        <v>703</v>
      </c>
      <c r="B708" s="49"/>
      <c r="C708" s="18"/>
      <c r="D708" s="17"/>
      <c r="E708" s="17"/>
      <c r="F708" s="17"/>
      <c r="G708" s="17"/>
      <c r="H708" s="17"/>
      <c r="I708" s="17"/>
      <c r="J708" s="17"/>
    </row>
    <row r="709" spans="1:10">
      <c r="A709" s="6">
        <f t="shared" si="10"/>
        <v>704</v>
      </c>
      <c r="B709" s="49"/>
      <c r="C709" s="18"/>
      <c r="D709" s="17"/>
      <c r="E709" s="17"/>
      <c r="F709" s="17"/>
      <c r="G709" s="17"/>
      <c r="H709" s="17"/>
      <c r="I709" s="17"/>
      <c r="J709" s="17"/>
    </row>
    <row r="710" spans="1:10">
      <c r="A710" s="6">
        <f t="shared" si="10"/>
        <v>705</v>
      </c>
      <c r="B710" s="49"/>
      <c r="C710" s="18"/>
      <c r="D710" s="17"/>
      <c r="E710" s="17"/>
      <c r="F710" s="17"/>
      <c r="G710" s="17"/>
      <c r="H710" s="17"/>
      <c r="I710" s="17"/>
      <c r="J710" s="17"/>
    </row>
    <row r="711" spans="1:10">
      <c r="A711" s="6">
        <f t="shared" ref="A711:A774" si="11">ROW(A706)</f>
        <v>706</v>
      </c>
      <c r="B711" s="49"/>
      <c r="C711" s="18"/>
      <c r="D711" s="17"/>
      <c r="E711" s="17"/>
      <c r="F711" s="17"/>
      <c r="G711" s="17"/>
      <c r="H711" s="17"/>
      <c r="I711" s="17"/>
      <c r="J711" s="17"/>
    </row>
    <row r="712" spans="1:10">
      <c r="A712" s="6">
        <f t="shared" si="11"/>
        <v>707</v>
      </c>
      <c r="B712" s="49"/>
      <c r="C712" s="18"/>
      <c r="D712" s="17"/>
      <c r="E712" s="17"/>
      <c r="F712" s="17"/>
      <c r="G712" s="17"/>
      <c r="H712" s="17"/>
      <c r="I712" s="17"/>
      <c r="J712" s="17"/>
    </row>
    <row r="713" spans="1:10">
      <c r="A713" s="6">
        <f t="shared" si="11"/>
        <v>708</v>
      </c>
      <c r="B713" s="49"/>
      <c r="C713" s="18"/>
      <c r="D713" s="17"/>
      <c r="E713" s="17"/>
      <c r="F713" s="17"/>
      <c r="G713" s="17"/>
      <c r="H713" s="17"/>
      <c r="I713" s="17"/>
      <c r="J713" s="17"/>
    </row>
    <row r="714" spans="1:10">
      <c r="A714" s="6">
        <f t="shared" si="11"/>
        <v>709</v>
      </c>
      <c r="B714" s="49"/>
      <c r="C714" s="18"/>
      <c r="D714" s="17"/>
      <c r="E714" s="17"/>
      <c r="F714" s="17"/>
      <c r="G714" s="17"/>
      <c r="H714" s="17"/>
      <c r="I714" s="17"/>
      <c r="J714" s="17"/>
    </row>
    <row r="715" spans="1:10">
      <c r="A715" s="6">
        <f t="shared" si="11"/>
        <v>710</v>
      </c>
      <c r="B715" s="49"/>
      <c r="C715" s="18"/>
      <c r="D715" s="17"/>
      <c r="E715" s="17"/>
      <c r="F715" s="17"/>
      <c r="G715" s="17"/>
      <c r="H715" s="17"/>
      <c r="I715" s="17"/>
      <c r="J715" s="17"/>
    </row>
    <row r="716" spans="1:10">
      <c r="A716" s="6">
        <f t="shared" si="11"/>
        <v>711</v>
      </c>
      <c r="B716" s="49"/>
      <c r="C716" s="18"/>
      <c r="D716" s="17"/>
      <c r="E716" s="17"/>
      <c r="F716" s="17"/>
      <c r="G716" s="17"/>
      <c r="H716" s="17"/>
      <c r="I716" s="17"/>
      <c r="J716" s="17"/>
    </row>
    <row r="717" spans="1:10">
      <c r="A717" s="6">
        <f t="shared" si="11"/>
        <v>712</v>
      </c>
      <c r="B717" s="49"/>
      <c r="C717" s="18"/>
      <c r="D717" s="17"/>
      <c r="E717" s="17"/>
      <c r="F717" s="17"/>
      <c r="G717" s="17"/>
      <c r="H717" s="17"/>
      <c r="I717" s="17"/>
      <c r="J717" s="17"/>
    </row>
    <row r="718" spans="1:10">
      <c r="A718" s="6">
        <f t="shared" si="11"/>
        <v>713</v>
      </c>
      <c r="B718" s="49"/>
      <c r="C718" s="18"/>
      <c r="D718" s="17"/>
      <c r="E718" s="17"/>
      <c r="F718" s="17"/>
      <c r="G718" s="17"/>
      <c r="H718" s="17"/>
      <c r="I718" s="17"/>
      <c r="J718" s="17"/>
    </row>
    <row r="719" spans="1:10">
      <c r="A719" s="6">
        <f t="shared" si="11"/>
        <v>714</v>
      </c>
      <c r="B719" s="49"/>
      <c r="C719" s="18"/>
      <c r="D719" s="17"/>
      <c r="E719" s="17"/>
      <c r="F719" s="17"/>
      <c r="G719" s="17"/>
      <c r="H719" s="17"/>
      <c r="I719" s="17"/>
      <c r="J719" s="17"/>
    </row>
    <row r="720" spans="1:10">
      <c r="A720" s="6">
        <f t="shared" si="11"/>
        <v>715</v>
      </c>
      <c r="B720" s="49"/>
      <c r="C720" s="18"/>
      <c r="D720" s="17"/>
      <c r="E720" s="17"/>
      <c r="F720" s="17"/>
      <c r="G720" s="17"/>
      <c r="H720" s="17"/>
      <c r="I720" s="17"/>
      <c r="J720" s="17"/>
    </row>
    <row r="721" spans="1:10">
      <c r="A721" s="6">
        <f t="shared" si="11"/>
        <v>716</v>
      </c>
      <c r="B721" s="49"/>
      <c r="C721" s="18"/>
      <c r="D721" s="17"/>
      <c r="E721" s="17"/>
      <c r="F721" s="17"/>
      <c r="G721" s="17"/>
      <c r="H721" s="17"/>
      <c r="I721" s="17"/>
      <c r="J721" s="17"/>
    </row>
    <row r="722" spans="1:10">
      <c r="A722" s="6">
        <f t="shared" si="11"/>
        <v>717</v>
      </c>
      <c r="B722" s="49"/>
      <c r="C722" s="18"/>
      <c r="D722" s="17"/>
      <c r="E722" s="17"/>
      <c r="F722" s="17"/>
      <c r="G722" s="17"/>
      <c r="H722" s="17"/>
      <c r="I722" s="17"/>
      <c r="J722" s="17"/>
    </row>
    <row r="723" spans="1:10">
      <c r="A723" s="6">
        <f t="shared" si="11"/>
        <v>718</v>
      </c>
      <c r="B723" s="49"/>
      <c r="C723" s="18"/>
      <c r="D723" s="17"/>
      <c r="E723" s="17"/>
      <c r="F723" s="17"/>
      <c r="G723" s="17"/>
      <c r="H723" s="17"/>
      <c r="I723" s="17"/>
      <c r="J723" s="17"/>
    </row>
    <row r="724" spans="1:10">
      <c r="A724" s="6">
        <f t="shared" si="11"/>
        <v>719</v>
      </c>
      <c r="B724" s="49"/>
      <c r="C724" s="18"/>
      <c r="D724" s="17"/>
      <c r="E724" s="17"/>
      <c r="F724" s="17"/>
      <c r="G724" s="17"/>
      <c r="H724" s="17"/>
      <c r="I724" s="17"/>
      <c r="J724" s="17"/>
    </row>
    <row r="725" spans="1:10">
      <c r="A725" s="6">
        <f t="shared" si="11"/>
        <v>720</v>
      </c>
      <c r="B725" s="49"/>
      <c r="C725" s="18"/>
      <c r="D725" s="17"/>
      <c r="E725" s="17"/>
      <c r="F725" s="17"/>
      <c r="G725" s="17"/>
      <c r="H725" s="17"/>
      <c r="I725" s="17"/>
      <c r="J725" s="17"/>
    </row>
    <row r="726" spans="1:10">
      <c r="A726" s="6">
        <f t="shared" si="11"/>
        <v>721</v>
      </c>
      <c r="B726" s="49"/>
      <c r="C726" s="18"/>
      <c r="D726" s="17"/>
      <c r="E726" s="17"/>
      <c r="F726" s="17"/>
      <c r="G726" s="17"/>
      <c r="H726" s="17"/>
      <c r="I726" s="17"/>
      <c r="J726" s="17"/>
    </row>
    <row r="727" spans="1:10">
      <c r="A727" s="6">
        <f t="shared" si="11"/>
        <v>722</v>
      </c>
      <c r="B727" s="49"/>
      <c r="C727" s="18"/>
      <c r="D727" s="17"/>
      <c r="E727" s="17"/>
      <c r="F727" s="17"/>
      <c r="G727" s="17"/>
      <c r="H727" s="17"/>
      <c r="I727" s="17"/>
      <c r="J727" s="17"/>
    </row>
    <row r="728" spans="1:10">
      <c r="A728" s="6">
        <f t="shared" si="11"/>
        <v>723</v>
      </c>
      <c r="B728" s="49"/>
      <c r="C728" s="18"/>
      <c r="D728" s="17"/>
      <c r="E728" s="17"/>
      <c r="F728" s="17"/>
      <c r="G728" s="17"/>
      <c r="H728" s="17"/>
      <c r="I728" s="17"/>
      <c r="J728" s="17"/>
    </row>
    <row r="729" spans="1:10">
      <c r="A729" s="6">
        <f t="shared" si="11"/>
        <v>724</v>
      </c>
      <c r="B729" s="49"/>
      <c r="C729" s="18"/>
      <c r="D729" s="17"/>
      <c r="E729" s="17"/>
      <c r="F729" s="17"/>
      <c r="G729" s="17"/>
      <c r="H729" s="17"/>
      <c r="I729" s="17"/>
      <c r="J729" s="17"/>
    </row>
    <row r="730" spans="1:10">
      <c r="A730" s="6">
        <f t="shared" si="11"/>
        <v>725</v>
      </c>
      <c r="B730" s="49"/>
      <c r="C730" s="18"/>
      <c r="D730" s="17"/>
      <c r="E730" s="17"/>
      <c r="F730" s="17"/>
      <c r="G730" s="17"/>
      <c r="H730" s="17"/>
      <c r="I730" s="17"/>
      <c r="J730" s="17"/>
    </row>
    <row r="731" spans="1:10">
      <c r="A731" s="6">
        <f t="shared" si="11"/>
        <v>726</v>
      </c>
      <c r="B731" s="49"/>
      <c r="C731" s="18"/>
      <c r="D731" s="17"/>
      <c r="E731" s="17"/>
      <c r="F731" s="17"/>
      <c r="G731" s="17"/>
      <c r="H731" s="17"/>
      <c r="I731" s="17"/>
      <c r="J731" s="17"/>
    </row>
    <row r="732" spans="1:10">
      <c r="A732" s="6">
        <f t="shared" si="11"/>
        <v>727</v>
      </c>
      <c r="B732" s="49"/>
      <c r="C732" s="18"/>
      <c r="D732" s="17"/>
      <c r="E732" s="17"/>
      <c r="F732" s="17"/>
      <c r="G732" s="17"/>
      <c r="H732" s="17"/>
      <c r="I732" s="17"/>
      <c r="J732" s="17"/>
    </row>
    <row r="733" spans="1:10">
      <c r="A733" s="6">
        <f t="shared" si="11"/>
        <v>728</v>
      </c>
      <c r="B733" s="49"/>
      <c r="C733" s="18"/>
      <c r="D733" s="17"/>
      <c r="E733" s="17"/>
      <c r="F733" s="17"/>
      <c r="G733" s="17"/>
      <c r="H733" s="17"/>
      <c r="I733" s="17"/>
      <c r="J733" s="17"/>
    </row>
    <row r="734" spans="1:10">
      <c r="A734" s="6">
        <f t="shared" si="11"/>
        <v>729</v>
      </c>
      <c r="B734" s="49"/>
      <c r="C734" s="18"/>
      <c r="D734" s="17"/>
      <c r="E734" s="17"/>
      <c r="F734" s="17"/>
      <c r="G734" s="17"/>
      <c r="H734" s="17"/>
      <c r="I734" s="17"/>
      <c r="J734" s="17"/>
    </row>
    <row r="735" spans="1:10">
      <c r="A735" s="6">
        <f t="shared" si="11"/>
        <v>730</v>
      </c>
      <c r="B735" s="49"/>
      <c r="C735" s="18"/>
      <c r="D735" s="17"/>
      <c r="E735" s="17"/>
      <c r="F735" s="17"/>
      <c r="G735" s="17"/>
      <c r="H735" s="17"/>
      <c r="I735" s="17"/>
      <c r="J735" s="17"/>
    </row>
    <row r="736" spans="1:10">
      <c r="A736" s="6">
        <f t="shared" si="11"/>
        <v>731</v>
      </c>
      <c r="B736" s="49"/>
      <c r="C736" s="18"/>
      <c r="D736" s="17"/>
      <c r="E736" s="17"/>
      <c r="F736" s="17"/>
      <c r="G736" s="17"/>
      <c r="H736" s="17"/>
      <c r="I736" s="17"/>
      <c r="J736" s="17"/>
    </row>
    <row r="737" spans="1:10">
      <c r="A737" s="6">
        <f t="shared" si="11"/>
        <v>732</v>
      </c>
      <c r="B737" s="49"/>
      <c r="C737" s="18"/>
      <c r="D737" s="17"/>
      <c r="E737" s="17"/>
      <c r="F737" s="17"/>
      <c r="G737" s="17"/>
      <c r="H737" s="17"/>
      <c r="I737" s="17"/>
      <c r="J737" s="17"/>
    </row>
    <row r="738" spans="1:10">
      <c r="A738" s="6">
        <f t="shared" si="11"/>
        <v>733</v>
      </c>
      <c r="B738" s="49"/>
      <c r="C738" s="18"/>
      <c r="D738" s="17"/>
      <c r="E738" s="17"/>
      <c r="F738" s="17"/>
      <c r="G738" s="17"/>
      <c r="H738" s="17"/>
      <c r="I738" s="17"/>
      <c r="J738" s="17"/>
    </row>
    <row r="739" spans="1:10">
      <c r="A739" s="6">
        <f t="shared" si="11"/>
        <v>734</v>
      </c>
      <c r="B739" s="49"/>
      <c r="C739" s="18"/>
      <c r="D739" s="17"/>
      <c r="E739" s="17"/>
      <c r="F739" s="17"/>
      <c r="G739" s="17"/>
      <c r="H739" s="17"/>
      <c r="I739" s="17"/>
      <c r="J739" s="17"/>
    </row>
    <row r="740" spans="1:10">
      <c r="A740" s="6">
        <f t="shared" si="11"/>
        <v>735</v>
      </c>
      <c r="B740" s="49"/>
      <c r="C740" s="18"/>
      <c r="D740" s="17"/>
      <c r="E740" s="17"/>
      <c r="F740" s="17"/>
      <c r="G740" s="17"/>
      <c r="H740" s="17"/>
      <c r="I740" s="17"/>
      <c r="J740" s="17"/>
    </row>
    <row r="741" spans="1:10">
      <c r="A741" s="6">
        <f t="shared" si="11"/>
        <v>736</v>
      </c>
      <c r="B741" s="49"/>
      <c r="C741" s="18"/>
      <c r="D741" s="17"/>
      <c r="E741" s="17"/>
      <c r="F741" s="17"/>
      <c r="G741" s="17"/>
      <c r="H741" s="17"/>
      <c r="I741" s="17"/>
      <c r="J741" s="17"/>
    </row>
    <row r="742" spans="1:10">
      <c r="A742" s="6">
        <f t="shared" si="11"/>
        <v>737</v>
      </c>
      <c r="B742" s="49"/>
      <c r="C742" s="18"/>
      <c r="D742" s="17"/>
      <c r="E742" s="17"/>
      <c r="F742" s="17"/>
      <c r="G742" s="17"/>
      <c r="H742" s="17"/>
      <c r="I742" s="17"/>
      <c r="J742" s="17"/>
    </row>
    <row r="743" spans="1:10">
      <c r="A743" s="6">
        <f t="shared" si="11"/>
        <v>738</v>
      </c>
      <c r="B743" s="49"/>
      <c r="C743" s="18"/>
      <c r="D743" s="17"/>
      <c r="E743" s="17"/>
      <c r="F743" s="17"/>
      <c r="G743" s="17"/>
      <c r="H743" s="17"/>
      <c r="I743" s="17"/>
      <c r="J743" s="17"/>
    </row>
    <row r="744" spans="1:10">
      <c r="A744" s="6">
        <f t="shared" si="11"/>
        <v>739</v>
      </c>
      <c r="B744" s="49"/>
      <c r="C744" s="18"/>
      <c r="D744" s="17"/>
      <c r="E744" s="17"/>
      <c r="F744" s="17"/>
      <c r="G744" s="17"/>
      <c r="H744" s="17"/>
      <c r="I744" s="17"/>
      <c r="J744" s="17"/>
    </row>
    <row r="745" spans="1:10">
      <c r="A745" s="6">
        <f t="shared" si="11"/>
        <v>740</v>
      </c>
      <c r="B745" s="49"/>
      <c r="C745" s="18"/>
      <c r="D745" s="17"/>
      <c r="E745" s="17"/>
      <c r="F745" s="17"/>
      <c r="G745" s="17"/>
      <c r="H745" s="17"/>
      <c r="I745" s="17"/>
      <c r="J745" s="17"/>
    </row>
    <row r="746" spans="1:10">
      <c r="A746" s="6">
        <f t="shared" si="11"/>
        <v>741</v>
      </c>
      <c r="B746" s="49"/>
      <c r="C746" s="18"/>
      <c r="D746" s="17"/>
      <c r="E746" s="17"/>
      <c r="F746" s="17"/>
      <c r="G746" s="17"/>
      <c r="H746" s="17"/>
      <c r="I746" s="17"/>
      <c r="J746" s="17"/>
    </row>
    <row r="747" spans="1:10">
      <c r="A747" s="6">
        <f t="shared" si="11"/>
        <v>742</v>
      </c>
      <c r="B747" s="49"/>
      <c r="C747" s="18"/>
      <c r="D747" s="17"/>
      <c r="E747" s="17"/>
      <c r="F747" s="17"/>
      <c r="G747" s="17"/>
      <c r="H747" s="17"/>
      <c r="I747" s="17"/>
      <c r="J747" s="17"/>
    </row>
    <row r="748" spans="1:10">
      <c r="A748" s="6">
        <f t="shared" si="11"/>
        <v>743</v>
      </c>
      <c r="B748" s="49"/>
      <c r="C748" s="18"/>
      <c r="D748" s="17"/>
      <c r="E748" s="17"/>
      <c r="F748" s="17"/>
      <c r="G748" s="17"/>
      <c r="H748" s="17"/>
      <c r="I748" s="17"/>
      <c r="J748" s="17"/>
    </row>
    <row r="749" spans="1:10">
      <c r="A749" s="6">
        <f t="shared" si="11"/>
        <v>744</v>
      </c>
      <c r="B749" s="49"/>
      <c r="C749" s="18"/>
      <c r="D749" s="17"/>
      <c r="E749" s="17"/>
      <c r="F749" s="17"/>
      <c r="G749" s="17"/>
      <c r="H749" s="17"/>
      <c r="I749" s="17"/>
      <c r="J749" s="17"/>
    </row>
    <row r="750" spans="1:10">
      <c r="A750" s="6">
        <f t="shared" si="11"/>
        <v>745</v>
      </c>
      <c r="B750" s="49"/>
      <c r="C750" s="18"/>
      <c r="D750" s="17"/>
      <c r="E750" s="17"/>
      <c r="F750" s="17"/>
      <c r="G750" s="17"/>
      <c r="H750" s="17"/>
      <c r="I750" s="17"/>
      <c r="J750" s="17"/>
    </row>
    <row r="751" spans="1:10">
      <c r="A751" s="6">
        <f t="shared" si="11"/>
        <v>746</v>
      </c>
      <c r="B751" s="49"/>
      <c r="C751" s="18"/>
      <c r="D751" s="17"/>
      <c r="E751" s="17"/>
      <c r="F751" s="17"/>
      <c r="G751" s="17"/>
      <c r="H751" s="17"/>
      <c r="I751" s="17"/>
      <c r="J751" s="17"/>
    </row>
    <row r="752" spans="1:10">
      <c r="A752" s="6">
        <f t="shared" si="11"/>
        <v>747</v>
      </c>
      <c r="B752" s="49"/>
      <c r="C752" s="18"/>
      <c r="D752" s="17"/>
      <c r="E752" s="17"/>
      <c r="F752" s="17"/>
      <c r="G752" s="17"/>
      <c r="H752" s="17"/>
      <c r="I752" s="17"/>
      <c r="J752" s="17"/>
    </row>
    <row r="753" spans="1:10">
      <c r="A753" s="6">
        <f t="shared" si="11"/>
        <v>748</v>
      </c>
      <c r="B753" s="49"/>
      <c r="C753" s="18"/>
      <c r="D753" s="17"/>
      <c r="E753" s="17"/>
      <c r="F753" s="17"/>
      <c r="G753" s="17"/>
      <c r="H753" s="17"/>
      <c r="I753" s="17"/>
      <c r="J753" s="17"/>
    </row>
    <row r="754" spans="1:10">
      <c r="A754" s="6">
        <f t="shared" si="11"/>
        <v>749</v>
      </c>
      <c r="B754" s="49"/>
      <c r="C754" s="18"/>
      <c r="D754" s="17"/>
      <c r="E754" s="17"/>
      <c r="F754" s="17"/>
      <c r="G754" s="17"/>
      <c r="H754" s="17"/>
      <c r="I754" s="17"/>
      <c r="J754" s="17"/>
    </row>
    <row r="755" spans="1:10">
      <c r="A755" s="6">
        <f t="shared" si="11"/>
        <v>750</v>
      </c>
      <c r="B755" s="49"/>
      <c r="C755" s="18"/>
      <c r="D755" s="17"/>
      <c r="E755" s="17"/>
      <c r="F755" s="17"/>
      <c r="G755" s="17"/>
      <c r="H755" s="17"/>
      <c r="I755" s="17"/>
      <c r="J755" s="17"/>
    </row>
    <row r="756" spans="1:10">
      <c r="A756" s="6">
        <f t="shared" si="11"/>
        <v>751</v>
      </c>
      <c r="B756" s="49"/>
      <c r="C756" s="18"/>
      <c r="D756" s="17"/>
      <c r="E756" s="17"/>
      <c r="F756" s="17"/>
      <c r="G756" s="17"/>
      <c r="H756" s="17"/>
      <c r="I756" s="17"/>
      <c r="J756" s="17"/>
    </row>
    <row r="757" spans="1:10">
      <c r="A757" s="6">
        <f t="shared" si="11"/>
        <v>752</v>
      </c>
      <c r="B757" s="49"/>
      <c r="C757" s="18"/>
      <c r="D757" s="17"/>
      <c r="E757" s="17"/>
      <c r="F757" s="17"/>
      <c r="G757" s="17"/>
      <c r="H757" s="17"/>
      <c r="I757" s="17"/>
      <c r="J757" s="17"/>
    </row>
    <row r="758" spans="1:10">
      <c r="A758" s="6">
        <f t="shared" si="11"/>
        <v>753</v>
      </c>
      <c r="B758" s="49"/>
      <c r="C758" s="18"/>
      <c r="D758" s="17"/>
      <c r="E758" s="17"/>
      <c r="F758" s="17"/>
      <c r="G758" s="17"/>
      <c r="H758" s="17"/>
      <c r="I758" s="17"/>
      <c r="J758" s="17"/>
    </row>
    <row r="759" spans="1:10">
      <c r="A759" s="6">
        <f t="shared" si="11"/>
        <v>754</v>
      </c>
      <c r="B759" s="49"/>
      <c r="C759" s="18"/>
      <c r="D759" s="17"/>
      <c r="E759" s="17"/>
      <c r="F759" s="17"/>
      <c r="G759" s="17"/>
      <c r="H759" s="17"/>
      <c r="I759" s="17"/>
      <c r="J759" s="17"/>
    </row>
    <row r="760" spans="1:10">
      <c r="A760" s="6">
        <f t="shared" si="11"/>
        <v>755</v>
      </c>
      <c r="B760" s="49"/>
      <c r="C760" s="18"/>
      <c r="D760" s="17"/>
      <c r="E760" s="17"/>
      <c r="F760" s="17"/>
      <c r="G760" s="17"/>
      <c r="H760" s="17"/>
      <c r="I760" s="17"/>
      <c r="J760" s="17"/>
    </row>
    <row r="761" spans="1:10">
      <c r="A761" s="6">
        <f t="shared" si="11"/>
        <v>756</v>
      </c>
      <c r="B761" s="49"/>
      <c r="C761" s="18"/>
      <c r="D761" s="17"/>
      <c r="E761" s="17"/>
      <c r="F761" s="17"/>
      <c r="G761" s="17"/>
      <c r="H761" s="17"/>
      <c r="I761" s="17"/>
      <c r="J761" s="17"/>
    </row>
    <row r="762" spans="1:10">
      <c r="A762" s="6">
        <f t="shared" si="11"/>
        <v>757</v>
      </c>
      <c r="B762" s="49"/>
      <c r="C762" s="18"/>
      <c r="D762" s="17"/>
      <c r="E762" s="17"/>
      <c r="F762" s="17"/>
      <c r="G762" s="17"/>
      <c r="H762" s="17"/>
      <c r="I762" s="17"/>
      <c r="J762" s="17"/>
    </row>
    <row r="763" spans="1:10">
      <c r="A763" s="6">
        <f t="shared" si="11"/>
        <v>758</v>
      </c>
      <c r="B763" s="49"/>
      <c r="C763" s="18"/>
      <c r="D763" s="17"/>
      <c r="E763" s="17"/>
      <c r="F763" s="17"/>
      <c r="G763" s="17"/>
      <c r="H763" s="17"/>
      <c r="I763" s="17"/>
      <c r="J763" s="17"/>
    </row>
    <row r="764" spans="1:10">
      <c r="A764" s="6">
        <f t="shared" si="11"/>
        <v>759</v>
      </c>
      <c r="B764" s="49"/>
      <c r="C764" s="18"/>
      <c r="D764" s="17"/>
      <c r="E764" s="17"/>
      <c r="F764" s="17"/>
      <c r="G764" s="17"/>
      <c r="H764" s="17"/>
      <c r="I764" s="17"/>
      <c r="J764" s="17"/>
    </row>
    <row r="765" spans="1:10">
      <c r="A765" s="6">
        <f t="shared" si="11"/>
        <v>760</v>
      </c>
      <c r="B765" s="49"/>
      <c r="C765" s="18"/>
      <c r="D765" s="17"/>
      <c r="E765" s="17"/>
      <c r="F765" s="17"/>
      <c r="G765" s="17"/>
      <c r="H765" s="17"/>
      <c r="I765" s="17"/>
      <c r="J765" s="17"/>
    </row>
    <row r="766" spans="1:10">
      <c r="A766" s="6">
        <f t="shared" si="11"/>
        <v>761</v>
      </c>
      <c r="B766" s="49"/>
      <c r="C766" s="18"/>
      <c r="D766" s="17"/>
      <c r="E766" s="17"/>
      <c r="F766" s="17"/>
      <c r="G766" s="17"/>
      <c r="H766" s="17"/>
      <c r="I766" s="17"/>
      <c r="J766" s="17"/>
    </row>
    <row r="767" spans="1:10">
      <c r="A767" s="6">
        <f t="shared" si="11"/>
        <v>762</v>
      </c>
      <c r="B767" s="49"/>
      <c r="C767" s="18"/>
      <c r="D767" s="17"/>
      <c r="E767" s="17"/>
      <c r="F767" s="17"/>
      <c r="G767" s="17"/>
      <c r="H767" s="17"/>
      <c r="I767" s="17"/>
      <c r="J767" s="17"/>
    </row>
    <row r="768" spans="1:10">
      <c r="A768" s="6">
        <f t="shared" si="11"/>
        <v>763</v>
      </c>
      <c r="B768" s="49"/>
      <c r="C768" s="18"/>
      <c r="D768" s="17"/>
      <c r="E768" s="17"/>
      <c r="F768" s="17"/>
      <c r="G768" s="17"/>
      <c r="H768" s="17"/>
      <c r="I768" s="17"/>
      <c r="J768" s="17"/>
    </row>
    <row r="769" spans="1:10">
      <c r="A769" s="6">
        <f t="shared" si="11"/>
        <v>764</v>
      </c>
      <c r="B769" s="49"/>
      <c r="C769" s="18"/>
      <c r="D769" s="17"/>
      <c r="E769" s="17"/>
      <c r="F769" s="17"/>
      <c r="G769" s="17"/>
      <c r="H769" s="17"/>
      <c r="I769" s="17"/>
      <c r="J769" s="17"/>
    </row>
    <row r="770" spans="1:10">
      <c r="A770" s="6">
        <f t="shared" si="11"/>
        <v>765</v>
      </c>
      <c r="B770" s="49"/>
      <c r="C770" s="18"/>
      <c r="D770" s="17"/>
      <c r="E770" s="17"/>
      <c r="F770" s="17"/>
      <c r="G770" s="17"/>
      <c r="H770" s="17"/>
      <c r="I770" s="17"/>
      <c r="J770" s="17"/>
    </row>
    <row r="771" spans="1:10">
      <c r="A771" s="6">
        <f t="shared" si="11"/>
        <v>766</v>
      </c>
      <c r="B771" s="49"/>
      <c r="C771" s="18"/>
      <c r="D771" s="17"/>
      <c r="E771" s="17"/>
      <c r="F771" s="17"/>
      <c r="G771" s="17"/>
      <c r="H771" s="17"/>
      <c r="I771" s="17"/>
      <c r="J771" s="17"/>
    </row>
    <row r="772" spans="1:10">
      <c r="A772" s="6">
        <f t="shared" si="11"/>
        <v>767</v>
      </c>
      <c r="B772" s="49"/>
      <c r="C772" s="18"/>
      <c r="D772" s="17"/>
      <c r="E772" s="17"/>
      <c r="F772" s="17"/>
      <c r="G772" s="17"/>
      <c r="H772" s="17"/>
      <c r="I772" s="17"/>
      <c r="J772" s="17"/>
    </row>
    <row r="773" spans="1:10">
      <c r="A773" s="6">
        <f t="shared" si="11"/>
        <v>768</v>
      </c>
      <c r="B773" s="49"/>
      <c r="C773" s="18"/>
      <c r="D773" s="17"/>
      <c r="E773" s="17"/>
      <c r="F773" s="17"/>
      <c r="G773" s="17"/>
      <c r="H773" s="17"/>
      <c r="I773" s="17"/>
      <c r="J773" s="17"/>
    </row>
    <row r="774" spans="1:10">
      <c r="A774" s="6">
        <f t="shared" si="11"/>
        <v>769</v>
      </c>
      <c r="B774" s="49"/>
      <c r="C774" s="18"/>
      <c r="D774" s="17"/>
      <c r="E774" s="17"/>
      <c r="F774" s="17"/>
      <c r="G774" s="17"/>
      <c r="H774" s="17"/>
      <c r="I774" s="17"/>
      <c r="J774" s="17"/>
    </row>
    <row r="775" spans="1:10">
      <c r="A775" s="6">
        <f t="shared" ref="A775:A838" si="12">ROW(A770)</f>
        <v>770</v>
      </c>
      <c r="B775" s="49"/>
      <c r="C775" s="18"/>
      <c r="D775" s="17"/>
      <c r="E775" s="17"/>
      <c r="F775" s="17"/>
      <c r="G775" s="17"/>
      <c r="H775" s="17"/>
      <c r="I775" s="17"/>
      <c r="J775" s="17"/>
    </row>
    <row r="776" spans="1:10">
      <c r="A776" s="6">
        <f t="shared" si="12"/>
        <v>771</v>
      </c>
      <c r="B776" s="49"/>
      <c r="C776" s="18"/>
      <c r="D776" s="17"/>
      <c r="E776" s="17"/>
      <c r="F776" s="17"/>
      <c r="G776" s="17"/>
      <c r="H776" s="17"/>
      <c r="I776" s="17"/>
      <c r="J776" s="17"/>
    </row>
    <row r="777" spans="1:10">
      <c r="A777" s="6">
        <f t="shared" si="12"/>
        <v>772</v>
      </c>
      <c r="B777" s="49"/>
      <c r="C777" s="18"/>
      <c r="D777" s="17"/>
      <c r="E777" s="17"/>
      <c r="F777" s="17"/>
      <c r="G777" s="17"/>
      <c r="H777" s="17"/>
      <c r="I777" s="17"/>
      <c r="J777" s="17"/>
    </row>
    <row r="778" spans="1:10">
      <c r="A778" s="6">
        <f t="shared" si="12"/>
        <v>773</v>
      </c>
      <c r="B778" s="49"/>
      <c r="C778" s="18"/>
      <c r="D778" s="17"/>
      <c r="E778" s="17"/>
      <c r="F778" s="17"/>
      <c r="G778" s="17"/>
      <c r="H778" s="17"/>
      <c r="I778" s="17"/>
      <c r="J778" s="17"/>
    </row>
    <row r="779" spans="1:10">
      <c r="A779" s="6">
        <f t="shared" si="12"/>
        <v>774</v>
      </c>
      <c r="B779" s="49"/>
      <c r="C779" s="18"/>
      <c r="D779" s="17"/>
      <c r="E779" s="17"/>
      <c r="F779" s="17"/>
      <c r="G779" s="17"/>
      <c r="H779" s="17"/>
      <c r="I779" s="17"/>
      <c r="J779" s="17"/>
    </row>
    <row r="780" spans="1:10">
      <c r="A780" s="6">
        <f t="shared" si="12"/>
        <v>775</v>
      </c>
      <c r="B780" s="49"/>
      <c r="C780" s="18"/>
      <c r="D780" s="17"/>
      <c r="E780" s="17"/>
      <c r="F780" s="17"/>
      <c r="G780" s="17"/>
      <c r="H780" s="17"/>
      <c r="I780" s="17"/>
      <c r="J780" s="17"/>
    </row>
    <row r="781" spans="1:10">
      <c r="A781" s="6">
        <f t="shared" si="12"/>
        <v>776</v>
      </c>
      <c r="B781" s="49"/>
      <c r="C781" s="18"/>
      <c r="D781" s="17"/>
      <c r="E781" s="17"/>
      <c r="F781" s="17"/>
      <c r="G781" s="17"/>
      <c r="H781" s="17"/>
      <c r="I781" s="17"/>
      <c r="J781" s="17"/>
    </row>
    <row r="782" spans="1:10">
      <c r="A782" s="6">
        <f t="shared" si="12"/>
        <v>777</v>
      </c>
      <c r="B782" s="49"/>
      <c r="C782" s="18"/>
      <c r="D782" s="17"/>
      <c r="E782" s="17"/>
      <c r="F782" s="17"/>
      <c r="G782" s="17"/>
      <c r="H782" s="17"/>
      <c r="I782" s="17"/>
      <c r="J782" s="17"/>
    </row>
    <row r="783" spans="1:10">
      <c r="A783" s="6">
        <f t="shared" si="12"/>
        <v>778</v>
      </c>
      <c r="B783" s="49"/>
      <c r="C783" s="18"/>
      <c r="D783" s="17"/>
      <c r="E783" s="17"/>
      <c r="F783" s="17"/>
      <c r="G783" s="17"/>
      <c r="H783" s="17"/>
      <c r="I783" s="17"/>
      <c r="J783" s="17"/>
    </row>
    <row r="784" spans="1:10">
      <c r="A784" s="6">
        <f t="shared" si="12"/>
        <v>779</v>
      </c>
      <c r="B784" s="49"/>
      <c r="C784" s="18"/>
      <c r="D784" s="17"/>
      <c r="E784" s="17"/>
      <c r="F784" s="17"/>
      <c r="G784" s="17"/>
      <c r="H784" s="17"/>
      <c r="I784" s="17"/>
      <c r="J784" s="17"/>
    </row>
    <row r="785" spans="1:10">
      <c r="A785" s="6">
        <f t="shared" si="12"/>
        <v>780</v>
      </c>
      <c r="B785" s="49"/>
      <c r="C785" s="18"/>
      <c r="D785" s="17"/>
      <c r="E785" s="17"/>
      <c r="F785" s="17"/>
      <c r="G785" s="17"/>
      <c r="H785" s="17"/>
      <c r="I785" s="17"/>
      <c r="J785" s="17"/>
    </row>
    <row r="786" spans="1:10">
      <c r="A786" s="6">
        <f t="shared" si="12"/>
        <v>781</v>
      </c>
      <c r="B786" s="49"/>
      <c r="C786" s="18"/>
      <c r="D786" s="17"/>
      <c r="E786" s="17"/>
      <c r="F786" s="17"/>
      <c r="G786" s="17"/>
      <c r="H786" s="17"/>
      <c r="I786" s="17"/>
      <c r="J786" s="17"/>
    </row>
    <row r="787" spans="1:10">
      <c r="A787" s="6">
        <f t="shared" si="12"/>
        <v>782</v>
      </c>
      <c r="B787" s="49"/>
      <c r="C787" s="18"/>
      <c r="D787" s="17"/>
      <c r="E787" s="17"/>
      <c r="F787" s="17"/>
      <c r="G787" s="17"/>
      <c r="H787" s="17"/>
      <c r="I787" s="17"/>
      <c r="J787" s="17"/>
    </row>
    <row r="788" spans="1:10">
      <c r="A788" s="6">
        <f t="shared" si="12"/>
        <v>783</v>
      </c>
      <c r="B788" s="49"/>
      <c r="C788" s="18"/>
      <c r="D788" s="17"/>
      <c r="E788" s="17"/>
      <c r="F788" s="17"/>
      <c r="G788" s="17"/>
      <c r="H788" s="17"/>
      <c r="I788" s="17"/>
      <c r="J788" s="17"/>
    </row>
    <row r="789" spans="1:10">
      <c r="A789" s="6">
        <f t="shared" si="12"/>
        <v>784</v>
      </c>
      <c r="B789" s="49"/>
      <c r="C789" s="18"/>
      <c r="D789" s="17"/>
      <c r="E789" s="17"/>
      <c r="F789" s="17"/>
      <c r="G789" s="17"/>
      <c r="H789" s="17"/>
      <c r="I789" s="17"/>
      <c r="J789" s="17"/>
    </row>
    <row r="790" spans="1:10">
      <c r="A790" s="6">
        <f t="shared" si="12"/>
        <v>785</v>
      </c>
      <c r="B790" s="49"/>
      <c r="C790" s="18"/>
      <c r="D790" s="17"/>
      <c r="E790" s="17"/>
      <c r="F790" s="17"/>
      <c r="G790" s="17"/>
      <c r="H790" s="17"/>
      <c r="I790" s="17"/>
      <c r="J790" s="17"/>
    </row>
    <row r="791" spans="1:10">
      <c r="A791" s="6">
        <f t="shared" si="12"/>
        <v>786</v>
      </c>
      <c r="B791" s="49"/>
      <c r="C791" s="18"/>
      <c r="D791" s="17"/>
      <c r="E791" s="17"/>
      <c r="F791" s="17"/>
      <c r="G791" s="17"/>
      <c r="H791" s="17"/>
      <c r="I791" s="17"/>
      <c r="J791" s="17"/>
    </row>
    <row r="792" spans="1:10">
      <c r="A792" s="6">
        <f t="shared" si="12"/>
        <v>787</v>
      </c>
      <c r="B792" s="49"/>
      <c r="C792" s="18"/>
      <c r="D792" s="17"/>
      <c r="E792" s="17"/>
      <c r="F792" s="17"/>
      <c r="G792" s="17"/>
      <c r="H792" s="17"/>
      <c r="I792" s="17"/>
      <c r="J792" s="17"/>
    </row>
    <row r="793" spans="1:10">
      <c r="A793" s="6">
        <f t="shared" si="12"/>
        <v>788</v>
      </c>
      <c r="B793" s="49"/>
      <c r="C793" s="18"/>
      <c r="D793" s="17"/>
      <c r="E793" s="17"/>
      <c r="F793" s="17"/>
      <c r="G793" s="17"/>
      <c r="H793" s="17"/>
      <c r="I793" s="17"/>
      <c r="J793" s="17"/>
    </row>
    <row r="794" spans="1:10">
      <c r="A794" s="6">
        <f t="shared" si="12"/>
        <v>789</v>
      </c>
      <c r="B794" s="49"/>
      <c r="C794" s="18"/>
      <c r="D794" s="17"/>
      <c r="E794" s="17"/>
      <c r="F794" s="17"/>
      <c r="G794" s="17"/>
      <c r="H794" s="17"/>
      <c r="I794" s="17"/>
      <c r="J794" s="17"/>
    </row>
    <row r="795" spans="1:10">
      <c r="A795" s="6">
        <f t="shared" si="12"/>
        <v>790</v>
      </c>
      <c r="B795" s="49"/>
      <c r="C795" s="18"/>
      <c r="D795" s="17"/>
      <c r="E795" s="17"/>
      <c r="F795" s="17"/>
      <c r="G795" s="17"/>
      <c r="H795" s="17"/>
      <c r="I795" s="17"/>
      <c r="J795" s="17"/>
    </row>
    <row r="796" spans="1:10">
      <c r="A796" s="6">
        <f t="shared" si="12"/>
        <v>791</v>
      </c>
      <c r="B796" s="49"/>
      <c r="C796" s="18"/>
      <c r="D796" s="17"/>
      <c r="E796" s="17"/>
      <c r="F796" s="17"/>
      <c r="G796" s="17"/>
      <c r="H796" s="17"/>
      <c r="I796" s="17"/>
      <c r="J796" s="17"/>
    </row>
    <row r="797" spans="1:10">
      <c r="A797" s="6">
        <f t="shared" si="12"/>
        <v>792</v>
      </c>
      <c r="B797" s="49"/>
      <c r="C797" s="18"/>
      <c r="D797" s="17"/>
      <c r="E797" s="17"/>
      <c r="F797" s="17"/>
      <c r="G797" s="17"/>
      <c r="H797" s="17"/>
      <c r="I797" s="17"/>
      <c r="J797" s="17"/>
    </row>
    <row r="798" spans="1:10">
      <c r="A798" s="6">
        <f t="shared" si="12"/>
        <v>793</v>
      </c>
      <c r="B798" s="49"/>
      <c r="C798" s="18"/>
      <c r="D798" s="17"/>
      <c r="E798" s="17"/>
      <c r="F798" s="17"/>
      <c r="G798" s="17"/>
      <c r="H798" s="17"/>
      <c r="I798" s="17"/>
      <c r="J798" s="17"/>
    </row>
    <row r="799" spans="1:10">
      <c r="A799" s="6">
        <f t="shared" si="12"/>
        <v>794</v>
      </c>
      <c r="B799" s="49"/>
      <c r="C799" s="18"/>
      <c r="D799" s="17"/>
      <c r="E799" s="17"/>
      <c r="F799" s="17"/>
      <c r="G799" s="17"/>
      <c r="H799" s="17"/>
      <c r="I799" s="17"/>
      <c r="J799" s="17"/>
    </row>
    <row r="800" spans="1:10">
      <c r="A800" s="6">
        <f t="shared" si="12"/>
        <v>795</v>
      </c>
      <c r="B800" s="49"/>
      <c r="C800" s="18"/>
      <c r="D800" s="17"/>
      <c r="E800" s="17"/>
      <c r="F800" s="17"/>
      <c r="G800" s="17"/>
      <c r="H800" s="17"/>
      <c r="I800" s="17"/>
      <c r="J800" s="17"/>
    </row>
    <row r="801" spans="1:10">
      <c r="A801" s="6">
        <f t="shared" si="12"/>
        <v>796</v>
      </c>
      <c r="B801" s="49"/>
      <c r="C801" s="18"/>
      <c r="D801" s="17"/>
      <c r="E801" s="17"/>
      <c r="F801" s="17"/>
      <c r="G801" s="17"/>
      <c r="H801" s="17"/>
      <c r="I801" s="17"/>
      <c r="J801" s="17"/>
    </row>
    <row r="802" spans="1:10">
      <c r="A802" s="6">
        <f t="shared" si="12"/>
        <v>797</v>
      </c>
      <c r="B802" s="49"/>
      <c r="C802" s="18"/>
      <c r="D802" s="17"/>
      <c r="E802" s="17"/>
      <c r="F802" s="17"/>
      <c r="G802" s="17"/>
      <c r="H802" s="17"/>
      <c r="I802" s="17"/>
      <c r="J802" s="17"/>
    </row>
    <row r="803" spans="1:10">
      <c r="A803" s="6">
        <f t="shared" si="12"/>
        <v>798</v>
      </c>
      <c r="B803" s="49"/>
      <c r="C803" s="18"/>
      <c r="D803" s="17"/>
      <c r="E803" s="17"/>
      <c r="F803" s="17"/>
      <c r="G803" s="17"/>
      <c r="H803" s="17"/>
      <c r="I803" s="17"/>
      <c r="J803" s="17"/>
    </row>
    <row r="804" spans="1:10">
      <c r="A804" s="6">
        <f t="shared" si="12"/>
        <v>799</v>
      </c>
      <c r="B804" s="49"/>
      <c r="C804" s="18"/>
      <c r="D804" s="17"/>
      <c r="E804" s="17"/>
      <c r="F804" s="17"/>
      <c r="G804" s="17"/>
      <c r="H804" s="17"/>
      <c r="I804" s="17"/>
      <c r="J804" s="17"/>
    </row>
    <row r="805" spans="1:10">
      <c r="A805" s="6">
        <f t="shared" si="12"/>
        <v>800</v>
      </c>
      <c r="B805" s="49"/>
      <c r="C805" s="18"/>
      <c r="D805" s="17"/>
      <c r="E805" s="17"/>
      <c r="F805" s="17"/>
      <c r="G805" s="17"/>
      <c r="H805" s="17"/>
      <c r="I805" s="17"/>
      <c r="J805" s="17"/>
    </row>
    <row r="806" spans="1:10">
      <c r="A806" s="6">
        <f t="shared" si="12"/>
        <v>801</v>
      </c>
      <c r="B806" s="49"/>
      <c r="C806" s="18"/>
      <c r="D806" s="17"/>
      <c r="E806" s="17"/>
      <c r="F806" s="17"/>
      <c r="G806" s="17"/>
      <c r="H806" s="17"/>
      <c r="I806" s="17"/>
      <c r="J806" s="17"/>
    </row>
    <row r="807" spans="1:10">
      <c r="A807" s="6">
        <f t="shared" si="12"/>
        <v>802</v>
      </c>
      <c r="B807" s="49"/>
      <c r="C807" s="18"/>
      <c r="D807" s="17"/>
      <c r="E807" s="17"/>
      <c r="F807" s="17"/>
      <c r="G807" s="17"/>
      <c r="H807" s="17"/>
      <c r="I807" s="17"/>
      <c r="J807" s="17"/>
    </row>
    <row r="808" spans="1:10">
      <c r="A808" s="6">
        <f t="shared" si="12"/>
        <v>803</v>
      </c>
      <c r="B808" s="49"/>
      <c r="C808" s="18"/>
      <c r="D808" s="17"/>
      <c r="E808" s="17"/>
      <c r="F808" s="17"/>
      <c r="G808" s="17"/>
      <c r="H808" s="17"/>
      <c r="I808" s="17"/>
      <c r="J808" s="17"/>
    </row>
    <row r="809" spans="1:10">
      <c r="A809" s="6">
        <f t="shared" si="12"/>
        <v>804</v>
      </c>
      <c r="B809" s="49"/>
      <c r="C809" s="18"/>
      <c r="D809" s="17"/>
      <c r="E809" s="17"/>
      <c r="F809" s="17"/>
      <c r="G809" s="17"/>
      <c r="H809" s="17"/>
      <c r="I809" s="17"/>
      <c r="J809" s="17"/>
    </row>
    <row r="810" spans="1:10">
      <c r="A810" s="6">
        <f t="shared" si="12"/>
        <v>805</v>
      </c>
      <c r="B810" s="49"/>
      <c r="C810" s="18"/>
      <c r="D810" s="17"/>
      <c r="E810" s="17"/>
      <c r="F810" s="17"/>
      <c r="G810" s="17"/>
      <c r="H810" s="17"/>
      <c r="I810" s="17"/>
      <c r="J810" s="17"/>
    </row>
    <row r="811" spans="1:10">
      <c r="A811" s="6">
        <f t="shared" si="12"/>
        <v>806</v>
      </c>
      <c r="B811" s="49"/>
      <c r="C811" s="18"/>
      <c r="D811" s="17"/>
      <c r="E811" s="17"/>
      <c r="F811" s="17"/>
      <c r="G811" s="17"/>
      <c r="H811" s="17"/>
      <c r="I811" s="17"/>
      <c r="J811" s="17"/>
    </row>
    <row r="812" spans="1:10">
      <c r="A812" s="6">
        <f t="shared" si="12"/>
        <v>807</v>
      </c>
      <c r="B812" s="49"/>
      <c r="C812" s="18"/>
      <c r="D812" s="17"/>
      <c r="E812" s="17"/>
      <c r="F812" s="17"/>
      <c r="G812" s="17"/>
      <c r="H812" s="17"/>
      <c r="I812" s="17"/>
      <c r="J812" s="17"/>
    </row>
    <row r="813" spans="1:10">
      <c r="A813" s="6">
        <f t="shared" si="12"/>
        <v>808</v>
      </c>
      <c r="B813" s="49"/>
      <c r="C813" s="18"/>
      <c r="D813" s="17"/>
      <c r="E813" s="17"/>
      <c r="F813" s="17"/>
      <c r="G813" s="17"/>
      <c r="H813" s="17"/>
      <c r="I813" s="17"/>
      <c r="J813" s="17"/>
    </row>
    <row r="814" spans="1:10">
      <c r="A814" s="6">
        <f t="shared" si="12"/>
        <v>809</v>
      </c>
      <c r="B814" s="49"/>
      <c r="C814" s="18"/>
      <c r="D814" s="17"/>
      <c r="E814" s="17"/>
      <c r="F814" s="17"/>
      <c r="G814" s="17"/>
      <c r="H814" s="17"/>
      <c r="I814" s="17"/>
      <c r="J814" s="17"/>
    </row>
    <row r="815" spans="1:10">
      <c r="A815" s="6">
        <f t="shared" si="12"/>
        <v>810</v>
      </c>
      <c r="B815" s="49"/>
      <c r="C815" s="18"/>
      <c r="D815" s="17"/>
      <c r="E815" s="17"/>
      <c r="F815" s="17"/>
      <c r="G815" s="17"/>
      <c r="H815" s="17"/>
      <c r="I815" s="17"/>
      <c r="J815" s="17"/>
    </row>
    <row r="816" spans="1:10">
      <c r="A816" s="6">
        <f t="shared" si="12"/>
        <v>811</v>
      </c>
      <c r="B816" s="49"/>
      <c r="C816" s="18"/>
      <c r="D816" s="17"/>
      <c r="E816" s="17"/>
      <c r="F816" s="17"/>
      <c r="G816" s="17"/>
      <c r="H816" s="17"/>
      <c r="I816" s="17"/>
      <c r="J816" s="17"/>
    </row>
    <row r="817" spans="1:10">
      <c r="A817" s="6">
        <f t="shared" si="12"/>
        <v>812</v>
      </c>
      <c r="B817" s="49"/>
      <c r="C817" s="18"/>
      <c r="D817" s="17"/>
      <c r="E817" s="17"/>
      <c r="F817" s="17"/>
      <c r="G817" s="17"/>
      <c r="H817" s="17"/>
      <c r="I817" s="17"/>
      <c r="J817" s="17"/>
    </row>
    <row r="818" spans="1:10">
      <c r="A818" s="6">
        <f t="shared" si="12"/>
        <v>813</v>
      </c>
      <c r="B818" s="49"/>
      <c r="C818" s="18"/>
      <c r="D818" s="17"/>
      <c r="E818" s="17"/>
      <c r="F818" s="17"/>
      <c r="G818" s="17"/>
      <c r="H818" s="17"/>
      <c r="I818" s="17"/>
      <c r="J818" s="17"/>
    </row>
    <row r="819" spans="1:10">
      <c r="A819" s="6">
        <f t="shared" si="12"/>
        <v>814</v>
      </c>
      <c r="B819" s="49"/>
      <c r="C819" s="18"/>
      <c r="D819" s="17"/>
      <c r="E819" s="17"/>
      <c r="F819" s="17"/>
      <c r="G819" s="17"/>
      <c r="H819" s="17"/>
      <c r="I819" s="17"/>
      <c r="J819" s="17"/>
    </row>
    <row r="820" spans="1:10">
      <c r="A820" s="6">
        <f t="shared" si="12"/>
        <v>815</v>
      </c>
      <c r="B820" s="49"/>
      <c r="C820" s="18"/>
      <c r="D820" s="17"/>
      <c r="E820" s="17"/>
      <c r="F820" s="17"/>
      <c r="G820" s="17"/>
      <c r="H820" s="17"/>
      <c r="I820" s="17"/>
      <c r="J820" s="17"/>
    </row>
    <row r="821" spans="1:10">
      <c r="A821" s="6">
        <f t="shared" si="12"/>
        <v>816</v>
      </c>
      <c r="B821" s="49"/>
      <c r="C821" s="18"/>
      <c r="D821" s="17"/>
      <c r="E821" s="17"/>
      <c r="F821" s="17"/>
      <c r="G821" s="17"/>
      <c r="H821" s="17"/>
      <c r="I821" s="17"/>
      <c r="J821" s="17"/>
    </row>
    <row r="822" spans="1:10">
      <c r="A822" s="6">
        <f t="shared" si="12"/>
        <v>817</v>
      </c>
      <c r="B822" s="49"/>
      <c r="C822" s="18"/>
      <c r="D822" s="17"/>
      <c r="E822" s="17"/>
      <c r="F822" s="17"/>
      <c r="G822" s="17"/>
      <c r="H822" s="17"/>
      <c r="I822" s="17"/>
      <c r="J822" s="17"/>
    </row>
    <row r="823" spans="1:10">
      <c r="A823" s="6">
        <f t="shared" si="12"/>
        <v>818</v>
      </c>
      <c r="B823" s="49"/>
      <c r="C823" s="18"/>
      <c r="D823" s="17"/>
      <c r="E823" s="17"/>
      <c r="F823" s="17"/>
      <c r="G823" s="17"/>
      <c r="H823" s="17"/>
      <c r="I823" s="17"/>
      <c r="J823" s="17"/>
    </row>
    <row r="824" spans="1:10">
      <c r="A824" s="6">
        <f t="shared" si="12"/>
        <v>819</v>
      </c>
      <c r="B824" s="49"/>
      <c r="C824" s="18"/>
      <c r="D824" s="17"/>
      <c r="E824" s="17"/>
      <c r="F824" s="17"/>
      <c r="G824" s="17"/>
      <c r="H824" s="17"/>
      <c r="I824" s="17"/>
      <c r="J824" s="17"/>
    </row>
    <row r="825" spans="1:10">
      <c r="A825" s="6">
        <f t="shared" si="12"/>
        <v>820</v>
      </c>
      <c r="B825" s="49"/>
      <c r="C825" s="18"/>
      <c r="D825" s="17"/>
      <c r="E825" s="17"/>
      <c r="F825" s="17"/>
      <c r="G825" s="17"/>
      <c r="H825" s="17"/>
      <c r="I825" s="17"/>
      <c r="J825" s="17"/>
    </row>
    <row r="826" spans="1:10">
      <c r="A826" s="6">
        <f t="shared" si="12"/>
        <v>821</v>
      </c>
      <c r="B826" s="49"/>
      <c r="C826" s="18"/>
      <c r="D826" s="17"/>
      <c r="E826" s="17"/>
      <c r="F826" s="17"/>
      <c r="G826" s="17"/>
      <c r="H826" s="17"/>
      <c r="I826" s="17"/>
      <c r="J826" s="17"/>
    </row>
    <row r="827" spans="1:10">
      <c r="A827" s="6">
        <f t="shared" si="12"/>
        <v>822</v>
      </c>
      <c r="B827" s="49"/>
      <c r="C827" s="18"/>
      <c r="D827" s="17"/>
      <c r="E827" s="17"/>
      <c r="F827" s="17"/>
      <c r="G827" s="17"/>
      <c r="H827" s="17"/>
      <c r="I827" s="17"/>
      <c r="J827" s="17"/>
    </row>
    <row r="828" spans="1:10">
      <c r="A828" s="6">
        <f t="shared" si="12"/>
        <v>823</v>
      </c>
      <c r="B828" s="49"/>
      <c r="C828" s="18"/>
      <c r="D828" s="17"/>
      <c r="E828" s="17"/>
      <c r="F828" s="17"/>
      <c r="G828" s="17"/>
      <c r="H828" s="17"/>
      <c r="I828" s="17"/>
      <c r="J828" s="17"/>
    </row>
    <row r="829" spans="1:10">
      <c r="A829" s="6">
        <f t="shared" si="12"/>
        <v>824</v>
      </c>
      <c r="B829" s="49"/>
      <c r="C829" s="18"/>
      <c r="D829" s="17"/>
      <c r="E829" s="17"/>
      <c r="F829" s="17"/>
      <c r="G829" s="17"/>
      <c r="H829" s="17"/>
      <c r="I829" s="17"/>
      <c r="J829" s="17"/>
    </row>
    <row r="830" spans="1:10">
      <c r="A830" s="6">
        <f t="shared" si="12"/>
        <v>825</v>
      </c>
      <c r="B830" s="49"/>
      <c r="C830" s="18"/>
      <c r="D830" s="17"/>
      <c r="E830" s="17"/>
      <c r="F830" s="17"/>
      <c r="G830" s="17"/>
      <c r="H830" s="17"/>
      <c r="I830" s="17"/>
      <c r="J830" s="17"/>
    </row>
    <row r="831" spans="1:10">
      <c r="A831" s="6">
        <f t="shared" si="12"/>
        <v>826</v>
      </c>
      <c r="B831" s="49"/>
      <c r="C831" s="18"/>
      <c r="D831" s="17"/>
      <c r="E831" s="17"/>
      <c r="F831" s="17"/>
      <c r="G831" s="17"/>
      <c r="H831" s="17"/>
      <c r="I831" s="17"/>
      <c r="J831" s="17"/>
    </row>
    <row r="832" spans="1:10">
      <c r="A832" s="6">
        <f t="shared" si="12"/>
        <v>827</v>
      </c>
      <c r="B832" s="49"/>
      <c r="C832" s="18"/>
      <c r="D832" s="17"/>
      <c r="E832" s="17"/>
      <c r="F832" s="17"/>
      <c r="G832" s="17"/>
      <c r="H832" s="17"/>
      <c r="I832" s="17"/>
      <c r="J832" s="17"/>
    </row>
    <row r="833" spans="1:10">
      <c r="A833" s="6">
        <f t="shared" si="12"/>
        <v>828</v>
      </c>
      <c r="B833" s="49"/>
      <c r="C833" s="18"/>
      <c r="D833" s="17"/>
      <c r="E833" s="17"/>
      <c r="F833" s="17"/>
      <c r="G833" s="17"/>
      <c r="H833" s="17"/>
      <c r="I833" s="17"/>
      <c r="J833" s="17"/>
    </row>
    <row r="834" spans="1:10">
      <c r="A834" s="6">
        <f t="shared" si="12"/>
        <v>829</v>
      </c>
      <c r="B834" s="49"/>
      <c r="C834" s="18"/>
      <c r="D834" s="17"/>
      <c r="E834" s="17"/>
      <c r="F834" s="17"/>
      <c r="G834" s="17"/>
      <c r="H834" s="17"/>
      <c r="I834" s="17"/>
      <c r="J834" s="17"/>
    </row>
    <row r="835" spans="1:10">
      <c r="A835" s="6">
        <f t="shared" si="12"/>
        <v>830</v>
      </c>
      <c r="B835" s="49"/>
      <c r="C835" s="18"/>
      <c r="D835" s="17"/>
      <c r="E835" s="17"/>
      <c r="F835" s="17"/>
      <c r="G835" s="17"/>
      <c r="H835" s="17"/>
      <c r="I835" s="17"/>
      <c r="J835" s="17"/>
    </row>
    <row r="836" spans="1:10">
      <c r="A836" s="6">
        <f t="shared" si="12"/>
        <v>831</v>
      </c>
      <c r="B836" s="49"/>
      <c r="C836" s="18"/>
      <c r="D836" s="17"/>
      <c r="E836" s="17"/>
      <c r="F836" s="17"/>
      <c r="G836" s="17"/>
      <c r="H836" s="17"/>
      <c r="I836" s="17"/>
      <c r="J836" s="17"/>
    </row>
    <row r="837" spans="1:10">
      <c r="A837" s="6">
        <f t="shared" si="12"/>
        <v>832</v>
      </c>
      <c r="B837" s="49"/>
      <c r="C837" s="18"/>
      <c r="D837" s="17"/>
      <c r="E837" s="17"/>
      <c r="F837" s="17"/>
      <c r="G837" s="17"/>
      <c r="H837" s="17"/>
      <c r="I837" s="17"/>
      <c r="J837" s="17"/>
    </row>
    <row r="838" spans="1:10">
      <c r="A838" s="6">
        <f t="shared" si="12"/>
        <v>833</v>
      </c>
      <c r="B838" s="49"/>
      <c r="C838" s="18"/>
      <c r="D838" s="17"/>
      <c r="E838" s="17"/>
      <c r="F838" s="17"/>
      <c r="G838" s="17"/>
      <c r="H838" s="17"/>
      <c r="I838" s="17"/>
      <c r="J838" s="17"/>
    </row>
    <row r="839" spans="1:10">
      <c r="A839" s="6">
        <f t="shared" ref="A839:A902" si="13">ROW(A834)</f>
        <v>834</v>
      </c>
      <c r="B839" s="49"/>
      <c r="C839" s="18"/>
      <c r="D839" s="17"/>
      <c r="E839" s="17"/>
      <c r="F839" s="17"/>
      <c r="G839" s="17"/>
      <c r="H839" s="17"/>
      <c r="I839" s="17"/>
      <c r="J839" s="17"/>
    </row>
    <row r="840" spans="1:10">
      <c r="A840" s="6">
        <f t="shared" si="13"/>
        <v>835</v>
      </c>
      <c r="B840" s="49"/>
      <c r="C840" s="18"/>
      <c r="D840" s="17"/>
      <c r="E840" s="17"/>
      <c r="F840" s="17"/>
      <c r="G840" s="17"/>
      <c r="H840" s="17"/>
      <c r="I840" s="17"/>
      <c r="J840" s="17"/>
    </row>
    <row r="841" spans="1:10">
      <c r="A841" s="6">
        <f t="shared" si="13"/>
        <v>836</v>
      </c>
      <c r="B841" s="49"/>
      <c r="C841" s="18"/>
      <c r="D841" s="17"/>
      <c r="E841" s="17"/>
      <c r="F841" s="17"/>
      <c r="G841" s="17"/>
      <c r="H841" s="17"/>
      <c r="I841" s="17"/>
      <c r="J841" s="17"/>
    </row>
    <row r="842" spans="1:10">
      <c r="A842" s="6">
        <f t="shared" si="13"/>
        <v>837</v>
      </c>
      <c r="B842" s="49"/>
      <c r="C842" s="18"/>
      <c r="D842" s="17"/>
      <c r="E842" s="17"/>
      <c r="F842" s="17"/>
      <c r="G842" s="17"/>
      <c r="H842" s="17"/>
      <c r="I842" s="17"/>
      <c r="J842" s="17"/>
    </row>
    <row r="843" spans="1:10">
      <c r="A843" s="6">
        <f t="shared" si="13"/>
        <v>838</v>
      </c>
      <c r="B843" s="49"/>
      <c r="C843" s="18"/>
      <c r="D843" s="17"/>
      <c r="E843" s="17"/>
      <c r="F843" s="17"/>
      <c r="G843" s="17"/>
      <c r="H843" s="17"/>
      <c r="I843" s="17"/>
      <c r="J843" s="17"/>
    </row>
    <row r="844" spans="1:10">
      <c r="A844" s="6">
        <f t="shared" si="13"/>
        <v>839</v>
      </c>
      <c r="B844" s="49"/>
      <c r="C844" s="18"/>
      <c r="D844" s="17"/>
      <c r="E844" s="17"/>
      <c r="F844" s="17"/>
      <c r="G844" s="17"/>
      <c r="H844" s="17"/>
      <c r="I844" s="17"/>
      <c r="J844" s="17"/>
    </row>
    <row r="845" spans="1:10">
      <c r="A845" s="6">
        <f t="shared" si="13"/>
        <v>840</v>
      </c>
      <c r="B845" s="49"/>
      <c r="C845" s="18"/>
      <c r="D845" s="17"/>
      <c r="E845" s="17"/>
      <c r="F845" s="17"/>
      <c r="G845" s="17"/>
      <c r="H845" s="17"/>
      <c r="I845" s="17"/>
      <c r="J845" s="17"/>
    </row>
    <row r="846" spans="1:10">
      <c r="A846" s="6">
        <f t="shared" si="13"/>
        <v>841</v>
      </c>
      <c r="B846" s="49"/>
      <c r="C846" s="18"/>
      <c r="D846" s="17"/>
      <c r="E846" s="17"/>
      <c r="F846" s="17"/>
      <c r="G846" s="17"/>
      <c r="H846" s="17"/>
      <c r="I846" s="17"/>
      <c r="J846" s="17"/>
    </row>
    <row r="847" spans="1:10">
      <c r="A847" s="6">
        <f t="shared" si="13"/>
        <v>842</v>
      </c>
      <c r="B847" s="49"/>
      <c r="C847" s="18"/>
      <c r="D847" s="17"/>
      <c r="E847" s="17"/>
      <c r="F847" s="17"/>
      <c r="G847" s="17"/>
      <c r="H847" s="17"/>
      <c r="I847" s="17"/>
      <c r="J847" s="17"/>
    </row>
    <row r="848" spans="1:10">
      <c r="A848" s="6">
        <f t="shared" si="13"/>
        <v>843</v>
      </c>
      <c r="B848" s="49"/>
      <c r="C848" s="18"/>
      <c r="D848" s="17"/>
      <c r="E848" s="17"/>
      <c r="F848" s="17"/>
      <c r="G848" s="17"/>
      <c r="H848" s="17"/>
      <c r="I848" s="17"/>
      <c r="J848" s="17"/>
    </row>
    <row r="849" spans="1:10">
      <c r="A849" s="6">
        <f t="shared" si="13"/>
        <v>844</v>
      </c>
      <c r="B849" s="49"/>
      <c r="C849" s="18"/>
      <c r="D849" s="17"/>
      <c r="E849" s="17"/>
      <c r="F849" s="17"/>
      <c r="G849" s="17"/>
      <c r="H849" s="17"/>
      <c r="I849" s="17"/>
      <c r="J849" s="17"/>
    </row>
    <row r="850" spans="1:10">
      <c r="A850" s="6">
        <f t="shared" si="13"/>
        <v>845</v>
      </c>
      <c r="B850" s="49"/>
      <c r="C850" s="18"/>
      <c r="D850" s="17"/>
      <c r="E850" s="17"/>
      <c r="F850" s="17"/>
      <c r="G850" s="17"/>
      <c r="H850" s="17"/>
      <c r="I850" s="17"/>
      <c r="J850" s="17"/>
    </row>
    <row r="851" spans="1:10">
      <c r="A851" s="6">
        <f t="shared" si="13"/>
        <v>846</v>
      </c>
      <c r="B851" s="49"/>
      <c r="C851" s="18"/>
      <c r="D851" s="17"/>
      <c r="E851" s="17"/>
      <c r="F851" s="17"/>
      <c r="G851" s="17"/>
      <c r="H851" s="17"/>
      <c r="I851" s="17"/>
      <c r="J851" s="17"/>
    </row>
    <row r="852" spans="1:10">
      <c r="A852" s="6">
        <f t="shared" si="13"/>
        <v>847</v>
      </c>
      <c r="B852" s="49"/>
      <c r="C852" s="18"/>
      <c r="D852" s="17"/>
      <c r="E852" s="17"/>
      <c r="F852" s="17"/>
      <c r="G852" s="17"/>
      <c r="H852" s="17"/>
      <c r="I852" s="17"/>
      <c r="J852" s="17"/>
    </row>
    <row r="853" spans="1:10">
      <c r="A853" s="6">
        <f t="shared" si="13"/>
        <v>848</v>
      </c>
      <c r="B853" s="49"/>
      <c r="C853" s="18"/>
      <c r="D853" s="17"/>
      <c r="E853" s="17"/>
      <c r="F853" s="17"/>
      <c r="G853" s="17"/>
      <c r="H853" s="17"/>
      <c r="I853" s="17"/>
      <c r="J853" s="17"/>
    </row>
    <row r="854" spans="1:10">
      <c r="A854" s="6">
        <f t="shared" si="13"/>
        <v>849</v>
      </c>
      <c r="B854" s="49"/>
      <c r="C854" s="18"/>
      <c r="D854" s="17"/>
      <c r="E854" s="17"/>
      <c r="F854" s="17"/>
      <c r="G854" s="17"/>
      <c r="H854" s="17"/>
      <c r="I854" s="17"/>
      <c r="J854" s="17"/>
    </row>
    <row r="855" spans="1:10">
      <c r="A855" s="6">
        <f t="shared" si="13"/>
        <v>850</v>
      </c>
      <c r="B855" s="49"/>
      <c r="C855" s="18"/>
      <c r="D855" s="17"/>
      <c r="E855" s="17"/>
      <c r="F855" s="17"/>
      <c r="G855" s="17"/>
      <c r="H855" s="17"/>
      <c r="I855" s="17"/>
      <c r="J855" s="17"/>
    </row>
    <row r="856" spans="1:10">
      <c r="A856" s="6">
        <f t="shared" si="13"/>
        <v>851</v>
      </c>
      <c r="B856" s="49"/>
      <c r="C856" s="18"/>
      <c r="D856" s="17"/>
      <c r="E856" s="17"/>
      <c r="F856" s="17"/>
      <c r="G856" s="17"/>
      <c r="H856" s="17"/>
      <c r="I856" s="17"/>
      <c r="J856" s="17"/>
    </row>
    <row r="857" spans="1:10">
      <c r="A857" s="6">
        <f t="shared" si="13"/>
        <v>852</v>
      </c>
      <c r="B857" s="49"/>
      <c r="C857" s="18"/>
      <c r="D857" s="17"/>
      <c r="E857" s="17"/>
      <c r="F857" s="17"/>
      <c r="G857" s="17"/>
      <c r="H857" s="17"/>
      <c r="I857" s="17"/>
      <c r="J857" s="17"/>
    </row>
    <row r="858" spans="1:10">
      <c r="A858" s="6">
        <f t="shared" si="13"/>
        <v>853</v>
      </c>
      <c r="B858" s="49"/>
      <c r="C858" s="18"/>
      <c r="D858" s="17"/>
      <c r="E858" s="17"/>
      <c r="F858" s="17"/>
      <c r="G858" s="17"/>
      <c r="H858" s="17"/>
      <c r="I858" s="17"/>
      <c r="J858" s="17"/>
    </row>
    <row r="859" spans="1:10">
      <c r="A859" s="6">
        <f t="shared" si="13"/>
        <v>854</v>
      </c>
      <c r="B859" s="49"/>
      <c r="C859" s="18"/>
      <c r="D859" s="17"/>
      <c r="E859" s="17"/>
      <c r="F859" s="17"/>
      <c r="G859" s="17"/>
      <c r="H859" s="17"/>
      <c r="I859" s="17"/>
      <c r="J859" s="17"/>
    </row>
    <row r="860" spans="1:10">
      <c r="A860" s="6">
        <f t="shared" si="13"/>
        <v>855</v>
      </c>
      <c r="B860" s="49"/>
      <c r="C860" s="18"/>
      <c r="D860" s="17"/>
      <c r="E860" s="17"/>
      <c r="F860" s="17"/>
      <c r="G860" s="17"/>
      <c r="H860" s="17"/>
      <c r="I860" s="17"/>
      <c r="J860" s="17"/>
    </row>
    <row r="861" spans="1:10">
      <c r="A861" s="6">
        <f t="shared" si="13"/>
        <v>856</v>
      </c>
      <c r="B861" s="49"/>
      <c r="C861" s="18"/>
      <c r="D861" s="17"/>
      <c r="E861" s="17"/>
      <c r="F861" s="17"/>
      <c r="G861" s="17"/>
      <c r="H861" s="17"/>
      <c r="I861" s="17"/>
      <c r="J861" s="17"/>
    </row>
    <row r="862" spans="1:10">
      <c r="A862" s="6">
        <f t="shared" si="13"/>
        <v>857</v>
      </c>
      <c r="B862" s="49"/>
      <c r="C862" s="18"/>
      <c r="D862" s="17"/>
      <c r="E862" s="17"/>
      <c r="F862" s="17"/>
      <c r="G862" s="17"/>
      <c r="H862" s="17"/>
      <c r="I862" s="17"/>
      <c r="J862" s="17"/>
    </row>
    <row r="863" spans="1:10">
      <c r="A863" s="6">
        <f t="shared" si="13"/>
        <v>858</v>
      </c>
      <c r="B863" s="49"/>
      <c r="C863" s="18"/>
      <c r="D863" s="17"/>
      <c r="E863" s="17"/>
      <c r="F863" s="17"/>
      <c r="G863" s="17"/>
      <c r="H863" s="17"/>
      <c r="I863" s="17"/>
      <c r="J863" s="17"/>
    </row>
    <row r="864" spans="1:10">
      <c r="A864" s="6">
        <f t="shared" si="13"/>
        <v>859</v>
      </c>
      <c r="B864" s="49"/>
      <c r="C864" s="18"/>
      <c r="D864" s="17"/>
      <c r="E864" s="17"/>
      <c r="F864" s="17"/>
      <c r="G864" s="17"/>
      <c r="H864" s="17"/>
      <c r="I864" s="17"/>
      <c r="J864" s="17"/>
    </row>
    <row r="865" spans="1:10">
      <c r="A865" s="6">
        <f t="shared" si="13"/>
        <v>860</v>
      </c>
      <c r="B865" s="49"/>
      <c r="C865" s="18"/>
      <c r="D865" s="17"/>
      <c r="E865" s="17"/>
      <c r="F865" s="17"/>
      <c r="G865" s="17"/>
      <c r="H865" s="17"/>
      <c r="I865" s="17"/>
      <c r="J865" s="17"/>
    </row>
    <row r="866" spans="1:10">
      <c r="A866" s="6">
        <f t="shared" si="13"/>
        <v>861</v>
      </c>
      <c r="B866" s="49"/>
      <c r="C866" s="18"/>
      <c r="D866" s="17"/>
      <c r="E866" s="17"/>
      <c r="F866" s="17"/>
      <c r="G866" s="17"/>
      <c r="H866" s="17"/>
      <c r="I866" s="17"/>
      <c r="J866" s="17"/>
    </row>
    <row r="867" spans="1:10">
      <c r="A867" s="6">
        <f t="shared" si="13"/>
        <v>862</v>
      </c>
      <c r="B867" s="49"/>
      <c r="C867" s="18"/>
      <c r="D867" s="17"/>
      <c r="E867" s="17"/>
      <c r="F867" s="17"/>
      <c r="G867" s="17"/>
      <c r="H867" s="17"/>
      <c r="I867" s="17"/>
      <c r="J867" s="17"/>
    </row>
    <row r="868" spans="1:10">
      <c r="A868" s="6">
        <f t="shared" si="13"/>
        <v>863</v>
      </c>
      <c r="B868" s="49"/>
      <c r="C868" s="18"/>
      <c r="D868" s="17"/>
      <c r="E868" s="17"/>
      <c r="F868" s="17"/>
      <c r="G868" s="17"/>
      <c r="H868" s="17"/>
      <c r="I868" s="17"/>
      <c r="J868" s="17"/>
    </row>
    <row r="869" spans="1:10">
      <c r="A869" s="6">
        <f t="shared" si="13"/>
        <v>864</v>
      </c>
      <c r="B869" s="49"/>
      <c r="C869" s="18"/>
      <c r="D869" s="17"/>
      <c r="E869" s="17"/>
      <c r="F869" s="17"/>
      <c r="G869" s="17"/>
      <c r="H869" s="17"/>
      <c r="I869" s="17"/>
      <c r="J869" s="17"/>
    </row>
    <row r="870" spans="1:10">
      <c r="A870" s="6">
        <f t="shared" si="13"/>
        <v>865</v>
      </c>
      <c r="B870" s="49"/>
      <c r="C870" s="18"/>
      <c r="D870" s="17"/>
      <c r="E870" s="17"/>
      <c r="F870" s="17"/>
      <c r="G870" s="17"/>
      <c r="H870" s="17"/>
      <c r="I870" s="17"/>
      <c r="J870" s="17"/>
    </row>
    <row r="871" spans="1:10">
      <c r="A871" s="6">
        <f t="shared" si="13"/>
        <v>866</v>
      </c>
      <c r="B871" s="49"/>
      <c r="C871" s="18"/>
      <c r="D871" s="17"/>
      <c r="E871" s="17"/>
      <c r="F871" s="17"/>
      <c r="G871" s="17"/>
      <c r="H871" s="17"/>
      <c r="I871" s="17"/>
      <c r="J871" s="17"/>
    </row>
    <row r="872" spans="1:10">
      <c r="A872" s="6">
        <f t="shared" si="13"/>
        <v>867</v>
      </c>
      <c r="B872" s="49"/>
      <c r="C872" s="18"/>
      <c r="D872" s="17"/>
      <c r="E872" s="17"/>
      <c r="F872" s="17"/>
      <c r="G872" s="17"/>
      <c r="H872" s="17"/>
      <c r="I872" s="17"/>
      <c r="J872" s="17"/>
    </row>
    <row r="873" spans="1:10">
      <c r="A873" s="6">
        <f t="shared" si="13"/>
        <v>868</v>
      </c>
      <c r="B873" s="49"/>
      <c r="C873" s="18"/>
      <c r="D873" s="17"/>
      <c r="E873" s="17"/>
      <c r="F873" s="17"/>
      <c r="G873" s="17"/>
      <c r="H873" s="17"/>
      <c r="I873" s="17"/>
      <c r="J873" s="17"/>
    </row>
    <row r="874" spans="1:10">
      <c r="A874" s="6">
        <f t="shared" si="13"/>
        <v>869</v>
      </c>
      <c r="B874" s="49"/>
      <c r="C874" s="18"/>
      <c r="D874" s="17"/>
      <c r="E874" s="17"/>
      <c r="F874" s="17"/>
      <c r="G874" s="17"/>
      <c r="H874" s="17"/>
      <c r="I874" s="17"/>
      <c r="J874" s="17"/>
    </row>
    <row r="875" spans="1:10">
      <c r="A875" s="6">
        <f t="shared" si="13"/>
        <v>870</v>
      </c>
      <c r="B875" s="49"/>
      <c r="C875" s="18"/>
      <c r="D875" s="17"/>
      <c r="E875" s="17"/>
      <c r="F875" s="17"/>
      <c r="G875" s="17"/>
      <c r="H875" s="17"/>
      <c r="I875" s="17"/>
      <c r="J875" s="17"/>
    </row>
    <row r="876" spans="1:10">
      <c r="A876" s="6">
        <f t="shared" si="13"/>
        <v>871</v>
      </c>
      <c r="B876" s="49"/>
      <c r="C876" s="18"/>
      <c r="D876" s="17"/>
      <c r="E876" s="17"/>
      <c r="F876" s="17"/>
      <c r="G876" s="17"/>
      <c r="H876" s="17"/>
      <c r="I876" s="17"/>
      <c r="J876" s="17"/>
    </row>
    <row r="877" spans="1:10">
      <c r="A877" s="6">
        <f t="shared" si="13"/>
        <v>872</v>
      </c>
      <c r="B877" s="49"/>
      <c r="C877" s="18"/>
      <c r="D877" s="17"/>
      <c r="E877" s="17"/>
      <c r="F877" s="17"/>
      <c r="G877" s="17"/>
      <c r="H877" s="17"/>
      <c r="I877" s="17"/>
      <c r="J877" s="17"/>
    </row>
    <row r="878" spans="1:10">
      <c r="A878" s="6">
        <f t="shared" si="13"/>
        <v>873</v>
      </c>
      <c r="B878" s="49"/>
      <c r="C878" s="18"/>
      <c r="D878" s="17"/>
      <c r="E878" s="17"/>
      <c r="F878" s="17"/>
      <c r="G878" s="17"/>
      <c r="H878" s="17"/>
      <c r="I878" s="17"/>
      <c r="J878" s="17"/>
    </row>
    <row r="879" spans="1:10">
      <c r="A879" s="6">
        <f t="shared" si="13"/>
        <v>874</v>
      </c>
      <c r="B879" s="49"/>
      <c r="C879" s="18"/>
      <c r="D879" s="17"/>
      <c r="E879" s="17"/>
      <c r="F879" s="17"/>
      <c r="G879" s="17"/>
      <c r="H879" s="17"/>
      <c r="I879" s="17"/>
      <c r="J879" s="17"/>
    </row>
    <row r="880" spans="1:10">
      <c r="A880" s="6">
        <f t="shared" si="13"/>
        <v>875</v>
      </c>
      <c r="B880" s="49"/>
      <c r="C880" s="18"/>
      <c r="D880" s="17"/>
      <c r="E880" s="17"/>
      <c r="F880" s="17"/>
      <c r="G880" s="17"/>
      <c r="H880" s="17"/>
      <c r="I880" s="17"/>
      <c r="J880" s="17"/>
    </row>
    <row r="881" spans="1:10">
      <c r="A881" s="6">
        <f t="shared" si="13"/>
        <v>876</v>
      </c>
      <c r="B881" s="49"/>
      <c r="C881" s="18"/>
      <c r="D881" s="17"/>
      <c r="E881" s="17"/>
      <c r="F881" s="17"/>
      <c r="G881" s="17"/>
      <c r="H881" s="17"/>
      <c r="I881" s="17"/>
      <c r="J881" s="17"/>
    </row>
    <row r="882" spans="1:10">
      <c r="A882" s="6">
        <f t="shared" si="13"/>
        <v>877</v>
      </c>
      <c r="B882" s="49"/>
      <c r="C882" s="18"/>
      <c r="D882" s="17"/>
      <c r="E882" s="17"/>
      <c r="F882" s="17"/>
      <c r="G882" s="17"/>
      <c r="H882" s="17"/>
      <c r="I882" s="17"/>
      <c r="J882" s="17"/>
    </row>
    <row r="883" spans="1:10">
      <c r="A883" s="6">
        <f t="shared" si="13"/>
        <v>878</v>
      </c>
      <c r="B883" s="49"/>
      <c r="C883" s="18"/>
      <c r="D883" s="17"/>
      <c r="E883" s="17"/>
      <c r="F883" s="17"/>
      <c r="G883" s="17"/>
      <c r="H883" s="17"/>
      <c r="I883" s="17"/>
      <c r="J883" s="17"/>
    </row>
    <row r="884" spans="1:10">
      <c r="A884" s="6">
        <f t="shared" si="13"/>
        <v>879</v>
      </c>
      <c r="B884" s="49"/>
      <c r="C884" s="18"/>
      <c r="D884" s="17"/>
      <c r="E884" s="17"/>
      <c r="F884" s="17"/>
      <c r="G884" s="17"/>
      <c r="H884" s="17"/>
      <c r="I884" s="17"/>
      <c r="J884" s="17"/>
    </row>
    <row r="885" spans="1:10">
      <c r="A885" s="6">
        <f t="shared" si="13"/>
        <v>880</v>
      </c>
      <c r="B885" s="49"/>
      <c r="C885" s="18"/>
      <c r="D885" s="17"/>
      <c r="E885" s="17"/>
      <c r="F885" s="17"/>
      <c r="G885" s="17"/>
      <c r="H885" s="17"/>
      <c r="I885" s="17"/>
      <c r="J885" s="17"/>
    </row>
    <row r="886" spans="1:10">
      <c r="A886" s="6">
        <f t="shared" si="13"/>
        <v>881</v>
      </c>
      <c r="B886" s="49"/>
      <c r="C886" s="18"/>
      <c r="D886" s="17"/>
      <c r="E886" s="17"/>
      <c r="F886" s="17"/>
      <c r="G886" s="17"/>
      <c r="H886" s="17"/>
      <c r="I886" s="17"/>
      <c r="J886" s="17"/>
    </row>
    <row r="887" spans="1:10">
      <c r="A887" s="6">
        <f t="shared" si="13"/>
        <v>882</v>
      </c>
      <c r="B887" s="49"/>
      <c r="C887" s="18"/>
      <c r="D887" s="17"/>
      <c r="E887" s="17"/>
      <c r="F887" s="17"/>
      <c r="G887" s="17"/>
      <c r="H887" s="17"/>
      <c r="I887" s="17"/>
      <c r="J887" s="17"/>
    </row>
    <row r="888" spans="1:10">
      <c r="A888" s="6">
        <f t="shared" si="13"/>
        <v>883</v>
      </c>
      <c r="B888" s="49"/>
      <c r="C888" s="18"/>
      <c r="D888" s="17"/>
      <c r="E888" s="17"/>
      <c r="F888" s="17"/>
      <c r="G888" s="17"/>
      <c r="H888" s="17"/>
      <c r="I888" s="17"/>
      <c r="J888" s="17"/>
    </row>
    <row r="889" spans="1:10">
      <c r="A889" s="6">
        <f t="shared" si="13"/>
        <v>884</v>
      </c>
      <c r="B889" s="49"/>
      <c r="C889" s="18"/>
      <c r="D889" s="17"/>
      <c r="E889" s="17"/>
      <c r="F889" s="17"/>
      <c r="G889" s="17"/>
      <c r="H889" s="17"/>
      <c r="I889" s="17"/>
      <c r="J889" s="17"/>
    </row>
    <row r="890" spans="1:10">
      <c r="A890" s="6">
        <f t="shared" si="13"/>
        <v>885</v>
      </c>
      <c r="B890" s="49"/>
      <c r="C890" s="18"/>
      <c r="D890" s="17"/>
      <c r="E890" s="17"/>
      <c r="F890" s="17"/>
      <c r="G890" s="17"/>
      <c r="H890" s="17"/>
      <c r="I890" s="17"/>
      <c r="J890" s="17"/>
    </row>
    <row r="891" spans="1:10">
      <c r="A891" s="6">
        <f t="shared" si="13"/>
        <v>886</v>
      </c>
      <c r="B891" s="49"/>
      <c r="C891" s="18"/>
      <c r="D891" s="17"/>
      <c r="E891" s="17"/>
      <c r="F891" s="17"/>
      <c r="G891" s="17"/>
      <c r="H891" s="17"/>
      <c r="I891" s="17"/>
      <c r="J891" s="17"/>
    </row>
    <row r="892" spans="1:10">
      <c r="A892" s="6">
        <f t="shared" si="13"/>
        <v>887</v>
      </c>
      <c r="B892" s="49"/>
      <c r="C892" s="18"/>
      <c r="D892" s="17"/>
      <c r="E892" s="17"/>
      <c r="F892" s="17"/>
      <c r="G892" s="17"/>
      <c r="H892" s="17"/>
      <c r="I892" s="17"/>
      <c r="J892" s="17"/>
    </row>
    <row r="893" spans="1:10">
      <c r="A893" s="6">
        <f t="shared" si="13"/>
        <v>888</v>
      </c>
      <c r="B893" s="49"/>
      <c r="C893" s="18"/>
      <c r="D893" s="17"/>
      <c r="E893" s="17"/>
      <c r="F893" s="17"/>
      <c r="G893" s="17"/>
      <c r="H893" s="17"/>
      <c r="I893" s="17"/>
      <c r="J893" s="17"/>
    </row>
    <row r="894" spans="1:10">
      <c r="A894" s="6">
        <f t="shared" si="13"/>
        <v>889</v>
      </c>
      <c r="B894" s="49"/>
      <c r="C894" s="18"/>
      <c r="D894" s="17"/>
      <c r="E894" s="17"/>
      <c r="F894" s="17"/>
      <c r="G894" s="17"/>
      <c r="H894" s="17"/>
      <c r="I894" s="17"/>
      <c r="J894" s="17"/>
    </row>
    <row r="895" spans="1:10">
      <c r="A895" s="6">
        <f t="shared" si="13"/>
        <v>890</v>
      </c>
      <c r="B895" s="49"/>
      <c r="C895" s="18"/>
      <c r="D895" s="17"/>
      <c r="E895" s="17"/>
      <c r="F895" s="17"/>
      <c r="G895" s="17"/>
      <c r="H895" s="17"/>
      <c r="I895" s="17"/>
      <c r="J895" s="17"/>
    </row>
    <row r="896" spans="1:10">
      <c r="A896" s="6">
        <f t="shared" si="13"/>
        <v>891</v>
      </c>
      <c r="B896" s="49"/>
      <c r="C896" s="18"/>
      <c r="D896" s="17"/>
      <c r="E896" s="17"/>
      <c r="F896" s="17"/>
      <c r="G896" s="17"/>
      <c r="H896" s="17"/>
      <c r="I896" s="17"/>
      <c r="J896" s="17"/>
    </row>
    <row r="897" spans="1:10">
      <c r="A897" s="6">
        <f t="shared" si="13"/>
        <v>892</v>
      </c>
      <c r="B897" s="49"/>
      <c r="C897" s="18"/>
      <c r="D897" s="17"/>
      <c r="E897" s="17"/>
      <c r="F897" s="17"/>
      <c r="G897" s="17"/>
      <c r="H897" s="17"/>
      <c r="I897" s="17"/>
      <c r="J897" s="17"/>
    </row>
    <row r="898" spans="1:10">
      <c r="A898" s="6">
        <f t="shared" si="13"/>
        <v>893</v>
      </c>
      <c r="B898" s="49"/>
      <c r="C898" s="18"/>
      <c r="D898" s="17"/>
      <c r="E898" s="17"/>
      <c r="F898" s="17"/>
      <c r="G898" s="17"/>
      <c r="H898" s="17"/>
      <c r="I898" s="17"/>
      <c r="J898" s="17"/>
    </row>
    <row r="899" spans="1:10">
      <c r="A899" s="6">
        <f t="shared" si="13"/>
        <v>894</v>
      </c>
      <c r="B899" s="49"/>
      <c r="C899" s="18"/>
      <c r="D899" s="17"/>
      <c r="E899" s="17"/>
      <c r="F899" s="17"/>
      <c r="G899" s="17"/>
      <c r="H899" s="17"/>
      <c r="I899" s="17"/>
      <c r="J899" s="17"/>
    </row>
    <row r="900" spans="1:10">
      <c r="A900" s="6">
        <f t="shared" si="13"/>
        <v>895</v>
      </c>
      <c r="B900" s="49"/>
      <c r="C900" s="18"/>
      <c r="D900" s="17"/>
      <c r="E900" s="17"/>
      <c r="F900" s="17"/>
      <c r="G900" s="17"/>
      <c r="H900" s="17"/>
      <c r="I900" s="17"/>
      <c r="J900" s="17"/>
    </row>
    <row r="901" spans="1:10">
      <c r="A901" s="6">
        <f t="shared" si="13"/>
        <v>896</v>
      </c>
      <c r="B901" s="49"/>
      <c r="C901" s="18"/>
      <c r="D901" s="17"/>
      <c r="E901" s="17"/>
      <c r="F901" s="17"/>
      <c r="G901" s="17"/>
      <c r="H901" s="17"/>
      <c r="I901" s="17"/>
      <c r="J901" s="17"/>
    </row>
    <row r="902" spans="1:10">
      <c r="A902" s="6">
        <f t="shared" si="13"/>
        <v>897</v>
      </c>
      <c r="B902" s="49"/>
      <c r="C902" s="18"/>
      <c r="D902" s="17"/>
      <c r="E902" s="17"/>
      <c r="F902" s="17"/>
      <c r="G902" s="17"/>
      <c r="H902" s="17"/>
      <c r="I902" s="17"/>
      <c r="J902" s="17"/>
    </row>
    <row r="903" spans="1:10">
      <c r="A903" s="6">
        <f t="shared" ref="A903:A927" si="14">ROW(A898)</f>
        <v>898</v>
      </c>
      <c r="B903" s="49"/>
      <c r="C903" s="18"/>
      <c r="D903" s="17"/>
      <c r="E903" s="17"/>
      <c r="F903" s="17"/>
      <c r="G903" s="17"/>
      <c r="H903" s="17"/>
      <c r="I903" s="17"/>
      <c r="J903" s="17"/>
    </row>
    <row r="904" spans="1:10">
      <c r="A904" s="6">
        <f t="shared" si="14"/>
        <v>899</v>
      </c>
      <c r="B904" s="49"/>
      <c r="C904" s="18"/>
      <c r="D904" s="17"/>
      <c r="E904" s="17"/>
      <c r="F904" s="17"/>
      <c r="G904" s="17"/>
      <c r="H904" s="17"/>
      <c r="I904" s="17"/>
      <c r="J904" s="17"/>
    </row>
    <row r="905" spans="1:10">
      <c r="A905" s="6">
        <f t="shared" si="14"/>
        <v>900</v>
      </c>
      <c r="B905" s="49"/>
      <c r="C905" s="18"/>
      <c r="D905" s="17"/>
      <c r="E905" s="17"/>
      <c r="F905" s="17"/>
      <c r="G905" s="17"/>
      <c r="H905" s="17"/>
      <c r="I905" s="17"/>
      <c r="J905" s="17"/>
    </row>
    <row r="906" spans="1:10">
      <c r="A906" s="6">
        <f t="shared" si="14"/>
        <v>901</v>
      </c>
      <c r="B906" s="49"/>
      <c r="C906" s="18"/>
      <c r="D906" s="17"/>
      <c r="E906" s="17"/>
      <c r="F906" s="17"/>
      <c r="G906" s="17"/>
      <c r="H906" s="17"/>
      <c r="I906" s="17"/>
      <c r="J906" s="17"/>
    </row>
    <row r="907" spans="1:10">
      <c r="A907" s="6">
        <f t="shared" si="14"/>
        <v>902</v>
      </c>
      <c r="B907" s="49"/>
      <c r="C907" s="18"/>
      <c r="D907" s="17"/>
      <c r="E907" s="17"/>
      <c r="F907" s="17"/>
      <c r="G907" s="17"/>
      <c r="H907" s="17"/>
      <c r="I907" s="17"/>
      <c r="J907" s="17"/>
    </row>
    <row r="908" spans="1:10">
      <c r="A908" s="6">
        <f t="shared" si="14"/>
        <v>903</v>
      </c>
      <c r="B908" s="49"/>
      <c r="C908" s="18"/>
      <c r="D908" s="17"/>
      <c r="E908" s="17"/>
      <c r="F908" s="17"/>
      <c r="G908" s="17"/>
      <c r="H908" s="17"/>
      <c r="I908" s="17"/>
      <c r="J908" s="17"/>
    </row>
    <row r="909" spans="1:10">
      <c r="A909" s="6">
        <f t="shared" si="14"/>
        <v>904</v>
      </c>
      <c r="B909" s="49"/>
      <c r="C909" s="18"/>
      <c r="D909" s="17"/>
      <c r="E909" s="17"/>
      <c r="F909" s="17"/>
      <c r="G909" s="17"/>
      <c r="H909" s="17"/>
      <c r="I909" s="17"/>
      <c r="J909" s="17"/>
    </row>
    <row r="910" spans="1:10">
      <c r="A910" s="6">
        <f t="shared" si="14"/>
        <v>905</v>
      </c>
      <c r="B910" s="49"/>
      <c r="C910" s="18"/>
      <c r="D910" s="17"/>
      <c r="E910" s="17"/>
      <c r="F910" s="17"/>
      <c r="G910" s="17"/>
      <c r="H910" s="17"/>
      <c r="I910" s="17"/>
      <c r="J910" s="17"/>
    </row>
    <row r="911" spans="1:10">
      <c r="A911" s="6">
        <f t="shared" si="14"/>
        <v>906</v>
      </c>
      <c r="B911" s="49"/>
      <c r="C911" s="18"/>
      <c r="D911" s="17"/>
      <c r="E911" s="17"/>
      <c r="F911" s="17"/>
      <c r="G911" s="17"/>
      <c r="H911" s="17"/>
      <c r="I911" s="17"/>
      <c r="J911" s="17"/>
    </row>
    <row r="912" spans="1:10">
      <c r="A912" s="6">
        <f t="shared" si="14"/>
        <v>907</v>
      </c>
      <c r="B912" s="49"/>
      <c r="C912" s="18"/>
      <c r="D912" s="17"/>
      <c r="E912" s="17"/>
      <c r="F912" s="17"/>
      <c r="G912" s="17"/>
      <c r="H912" s="17"/>
      <c r="I912" s="17"/>
      <c r="J912" s="17"/>
    </row>
    <row r="913" spans="1:10">
      <c r="A913" s="6">
        <f t="shared" si="14"/>
        <v>908</v>
      </c>
      <c r="B913" s="49"/>
      <c r="C913" s="18"/>
      <c r="D913" s="17"/>
      <c r="E913" s="17"/>
      <c r="F913" s="17"/>
      <c r="G913" s="17"/>
      <c r="H913" s="17"/>
      <c r="I913" s="17"/>
      <c r="J913" s="17"/>
    </row>
    <row r="914" spans="1:10">
      <c r="A914" s="6">
        <f t="shared" si="14"/>
        <v>909</v>
      </c>
      <c r="B914" s="49"/>
      <c r="C914" s="18"/>
      <c r="D914" s="17"/>
      <c r="E914" s="17"/>
      <c r="F914" s="17"/>
      <c r="G914" s="17"/>
      <c r="H914" s="17"/>
      <c r="I914" s="17"/>
      <c r="J914" s="17"/>
    </row>
    <row r="915" spans="1:10">
      <c r="A915" s="6">
        <f t="shared" si="14"/>
        <v>910</v>
      </c>
      <c r="B915" s="49"/>
      <c r="C915" s="18"/>
      <c r="D915" s="17"/>
      <c r="E915" s="17"/>
      <c r="F915" s="17"/>
      <c r="G915" s="17"/>
      <c r="H915" s="17"/>
      <c r="I915" s="17"/>
      <c r="J915" s="17"/>
    </row>
    <row r="916" spans="1:10">
      <c r="A916" s="6">
        <f t="shared" si="14"/>
        <v>911</v>
      </c>
      <c r="B916" s="49"/>
      <c r="C916" s="18"/>
      <c r="D916" s="17"/>
      <c r="E916" s="17"/>
      <c r="F916" s="17"/>
      <c r="G916" s="17"/>
      <c r="H916" s="17"/>
      <c r="I916" s="17"/>
      <c r="J916" s="17"/>
    </row>
    <row r="917" spans="1:10">
      <c r="A917" s="6">
        <f t="shared" si="14"/>
        <v>912</v>
      </c>
      <c r="B917" s="49"/>
      <c r="C917" s="18"/>
      <c r="D917" s="17"/>
      <c r="E917" s="17"/>
      <c r="F917" s="17"/>
      <c r="G917" s="17"/>
      <c r="H917" s="17"/>
      <c r="I917" s="17"/>
      <c r="J917" s="17"/>
    </row>
    <row r="918" spans="1:10">
      <c r="A918" s="6">
        <f t="shared" si="14"/>
        <v>913</v>
      </c>
      <c r="B918" s="49"/>
      <c r="C918" s="18"/>
      <c r="D918" s="17"/>
      <c r="E918" s="17"/>
      <c r="F918" s="17"/>
      <c r="G918" s="17"/>
      <c r="H918" s="17"/>
      <c r="I918" s="17"/>
      <c r="J918" s="17"/>
    </row>
    <row r="919" spans="1:10">
      <c r="A919" s="6">
        <f t="shared" si="14"/>
        <v>914</v>
      </c>
      <c r="B919" s="49"/>
      <c r="C919" s="18"/>
      <c r="D919" s="17"/>
      <c r="E919" s="17"/>
      <c r="F919" s="17"/>
      <c r="G919" s="17"/>
      <c r="H919" s="17"/>
      <c r="I919" s="17"/>
      <c r="J919" s="17"/>
    </row>
    <row r="920" spans="1:10">
      <c r="A920" s="6">
        <f t="shared" si="14"/>
        <v>915</v>
      </c>
      <c r="B920" s="49"/>
      <c r="C920" s="18"/>
      <c r="D920" s="17"/>
      <c r="E920" s="17"/>
      <c r="F920" s="17"/>
      <c r="G920" s="17"/>
      <c r="H920" s="17"/>
      <c r="I920" s="17"/>
      <c r="J920" s="17"/>
    </row>
    <row r="921" spans="1:10">
      <c r="A921" s="6">
        <f t="shared" si="14"/>
        <v>916</v>
      </c>
      <c r="B921" s="49"/>
      <c r="C921" s="18"/>
      <c r="D921" s="17"/>
      <c r="E921" s="17"/>
      <c r="F921" s="17"/>
      <c r="G921" s="17"/>
      <c r="H921" s="17"/>
      <c r="I921" s="17"/>
      <c r="J921" s="17"/>
    </row>
    <row r="922" spans="1:10">
      <c r="A922" s="6">
        <f t="shared" si="14"/>
        <v>917</v>
      </c>
      <c r="B922" s="49"/>
      <c r="C922" s="18"/>
      <c r="D922" s="17"/>
      <c r="E922" s="17"/>
      <c r="F922" s="17"/>
      <c r="G922" s="17"/>
      <c r="H922" s="17"/>
      <c r="I922" s="17"/>
      <c r="J922" s="17"/>
    </row>
    <row r="923" spans="1:10">
      <c r="A923" s="6">
        <f t="shared" si="14"/>
        <v>918</v>
      </c>
      <c r="B923" s="49"/>
      <c r="C923" s="18"/>
      <c r="D923" s="17"/>
      <c r="E923" s="17"/>
      <c r="F923" s="17"/>
      <c r="G923" s="17"/>
      <c r="H923" s="17"/>
      <c r="I923" s="17"/>
      <c r="J923" s="17"/>
    </row>
    <row r="924" spans="1:10">
      <c r="A924" s="6">
        <f t="shared" si="14"/>
        <v>919</v>
      </c>
      <c r="B924" s="49"/>
      <c r="C924" s="18"/>
      <c r="D924" s="17"/>
      <c r="E924" s="17"/>
      <c r="F924" s="17"/>
      <c r="G924" s="17"/>
      <c r="H924" s="17"/>
      <c r="I924" s="17"/>
      <c r="J924" s="17"/>
    </row>
    <row r="925" spans="1:10">
      <c r="A925" s="6">
        <f t="shared" si="14"/>
        <v>920</v>
      </c>
      <c r="B925" s="49"/>
      <c r="C925" s="18"/>
      <c r="D925" s="17"/>
      <c r="E925" s="17"/>
      <c r="F925" s="17"/>
      <c r="G925" s="17"/>
      <c r="H925" s="17"/>
      <c r="I925" s="17"/>
      <c r="J925" s="17"/>
    </row>
    <row r="926" spans="1:10">
      <c r="A926" s="6">
        <f t="shared" si="14"/>
        <v>921</v>
      </c>
      <c r="B926" s="49"/>
      <c r="C926" s="18"/>
      <c r="D926" s="17"/>
      <c r="E926" s="17"/>
      <c r="F926" s="17"/>
      <c r="G926" s="17"/>
      <c r="H926" s="17"/>
      <c r="I926" s="17"/>
      <c r="J926" s="17"/>
    </row>
    <row r="927" spans="1:10">
      <c r="A927" s="6">
        <f t="shared" si="14"/>
        <v>922</v>
      </c>
      <c r="B927" s="49"/>
      <c r="C927" s="18"/>
      <c r="D927" s="17"/>
      <c r="E927" s="17"/>
      <c r="F927" s="17"/>
      <c r="G927" s="17"/>
      <c r="H927" s="17"/>
      <c r="I927" s="17"/>
      <c r="J927" s="17"/>
    </row>
  </sheetData>
  <mergeCells count="2">
    <mergeCell ref="A1:J2"/>
    <mergeCell ref="A4:J4"/>
  </mergeCells>
  <dataValidations count="1">
    <dataValidation type="list" allowBlank="1" showInputMessage="1" showErrorMessage="1" sqref="H6:H927" xr:uid="{671978BE-11FE-B24C-A130-648A1558A530}">
      <formula1>$BF$6:$BF$10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5DA2C23-BE13-A841-9481-AE4110788D42}">
          <x14:formula1>
            <xm:f>'MASTER RECORD'!$B$6:$B$504</xm:f>
          </x14:formula1>
          <xm:sqref>B6:B927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E3D2C-20E3-3740-9C8B-77AED4ACC354}">
  <sheetPr codeName="Sheet8">
    <tabColor theme="2" tint="-9.9978637043366805E-2"/>
  </sheetPr>
  <dimension ref="A1:K885"/>
  <sheetViews>
    <sheetView showGridLines="0" zoomScale="125" zoomScaleNormal="120" workbookViewId="0">
      <selection activeCell="K6" sqref="K6"/>
    </sheetView>
  </sheetViews>
  <sheetFormatPr baseColWidth="10" defaultRowHeight="16"/>
  <cols>
    <col min="1" max="1" width="4.1640625" bestFit="1" customWidth="1"/>
    <col min="2" max="2" width="12" style="2" customWidth="1"/>
    <col min="3" max="3" width="10.1640625" style="2" bestFit="1" customWidth="1"/>
    <col min="4" max="4" width="5.1640625" style="2" bestFit="1" customWidth="1"/>
    <col min="5" max="5" width="14.1640625" customWidth="1"/>
    <col min="6" max="6" width="14.1640625" style="3" customWidth="1"/>
    <col min="7" max="7" width="15.33203125" style="10" customWidth="1"/>
    <col min="8" max="8" width="16.5" style="10" customWidth="1"/>
    <col min="9" max="9" width="16.5" customWidth="1"/>
    <col min="10" max="10" width="33" customWidth="1"/>
  </cols>
  <sheetData>
    <row r="1" spans="1:11">
      <c r="A1" s="156" t="s">
        <v>21</v>
      </c>
      <c r="B1" s="157"/>
      <c r="C1" s="157"/>
      <c r="D1" s="157"/>
      <c r="E1" s="157"/>
      <c r="F1" s="157"/>
      <c r="G1" s="157"/>
      <c r="H1" s="157"/>
      <c r="I1" s="157"/>
      <c r="J1" s="157"/>
    </row>
    <row r="2" spans="1:11">
      <c r="A2" s="158"/>
      <c r="B2" s="159"/>
      <c r="C2" s="159"/>
      <c r="D2" s="159"/>
      <c r="E2" s="159"/>
      <c r="F2" s="159"/>
      <c r="G2" s="159"/>
      <c r="H2" s="159"/>
      <c r="I2" s="159"/>
      <c r="J2" s="159"/>
    </row>
    <row r="3" spans="1:11" ht="4" customHeight="1">
      <c r="A3" s="20"/>
      <c r="B3" s="4"/>
      <c r="C3" s="4"/>
      <c r="D3" s="4"/>
      <c r="E3" s="4"/>
      <c r="F3" s="4"/>
      <c r="G3" s="4"/>
      <c r="H3" s="4"/>
      <c r="I3" s="4"/>
      <c r="J3" s="4"/>
    </row>
    <row r="4" spans="1:11">
      <c r="A4" s="160" t="s">
        <v>122</v>
      </c>
      <c r="B4" s="161"/>
      <c r="C4" s="161"/>
      <c r="D4" s="161"/>
      <c r="E4" s="161"/>
      <c r="F4" s="161"/>
      <c r="G4" s="161"/>
      <c r="H4" s="161"/>
      <c r="I4" s="161"/>
      <c r="J4" s="161"/>
    </row>
    <row r="5" spans="1:11">
      <c r="A5" s="22" t="s">
        <v>14</v>
      </c>
      <c r="B5" s="22" t="s">
        <v>97</v>
      </c>
      <c r="C5" s="22" t="s">
        <v>169</v>
      </c>
      <c r="D5" s="22" t="s">
        <v>154</v>
      </c>
      <c r="E5" s="22" t="s">
        <v>116</v>
      </c>
      <c r="F5" s="61" t="s">
        <v>117</v>
      </c>
      <c r="G5" s="57" t="s">
        <v>118</v>
      </c>
      <c r="H5" s="58" t="s">
        <v>119</v>
      </c>
      <c r="I5" s="19" t="s">
        <v>121</v>
      </c>
      <c r="J5" s="19" t="s">
        <v>120</v>
      </c>
    </row>
    <row r="6" spans="1:11">
      <c r="A6" s="17">
        <f>ROW(A1)</f>
        <v>1</v>
      </c>
      <c r="B6" s="18">
        <v>45718</v>
      </c>
      <c r="C6" s="36" t="str">
        <f>IF(B6=0,"",TEXT(B6,"mmmm"))</f>
        <v>March</v>
      </c>
      <c r="D6" s="36" t="str">
        <f>IF(B6=0,"",TEXT(B6,"yyyy"))</f>
        <v>2025</v>
      </c>
      <c r="E6" s="17"/>
      <c r="F6" s="60">
        <v>40</v>
      </c>
      <c r="G6" s="50">
        <v>50</v>
      </c>
      <c r="H6" s="59">
        <f>IF(G6*F6=0,"",G6*F6)</f>
        <v>2000</v>
      </c>
      <c r="I6" s="17"/>
      <c r="J6" s="62"/>
      <c r="K6" s="10"/>
    </row>
    <row r="7" spans="1:11">
      <c r="A7" s="17">
        <f t="shared" ref="A7:A70" si="0">ROW(A2)</f>
        <v>2</v>
      </c>
      <c r="B7" s="18">
        <v>45781</v>
      </c>
      <c r="C7" s="36" t="str">
        <f t="shared" ref="C7:C70" si="1">IF(B7=0,"",TEXT(B7,"mmmm"))</f>
        <v>May</v>
      </c>
      <c r="D7" s="36" t="str">
        <f t="shared" ref="D7:D70" si="2">IF(B7=0,"",TEXT(B7,"yyyy"))</f>
        <v>2025</v>
      </c>
      <c r="E7" s="17"/>
      <c r="F7" s="60">
        <v>40</v>
      </c>
      <c r="G7" s="50">
        <v>40</v>
      </c>
      <c r="H7" s="59">
        <f>IF(G7*F7=0,"",G7*F7)</f>
        <v>1600</v>
      </c>
      <c r="I7" s="17"/>
      <c r="J7" s="17"/>
    </row>
    <row r="8" spans="1:11">
      <c r="A8" s="17">
        <f t="shared" si="0"/>
        <v>3</v>
      </c>
      <c r="B8" s="18">
        <v>45844</v>
      </c>
      <c r="C8" s="36" t="str">
        <f t="shared" si="1"/>
        <v>July</v>
      </c>
      <c r="D8" s="36" t="str">
        <f t="shared" si="2"/>
        <v>2025</v>
      </c>
      <c r="E8" s="17"/>
      <c r="F8" s="60">
        <v>60</v>
      </c>
      <c r="G8" s="50">
        <v>60</v>
      </c>
      <c r="H8" s="59">
        <f>IF(G8*F8=0,"",G8*F8)</f>
        <v>3600</v>
      </c>
      <c r="I8" s="17"/>
      <c r="J8" s="17"/>
    </row>
    <row r="9" spans="1:11">
      <c r="A9" s="17">
        <f t="shared" si="0"/>
        <v>4</v>
      </c>
      <c r="B9" s="18">
        <v>45907</v>
      </c>
      <c r="C9" s="36" t="str">
        <f t="shared" si="1"/>
        <v>September</v>
      </c>
      <c r="D9" s="36" t="str">
        <f t="shared" si="2"/>
        <v>2025</v>
      </c>
      <c r="E9" s="17"/>
      <c r="F9" s="60">
        <v>70</v>
      </c>
      <c r="G9" s="50">
        <v>500</v>
      </c>
      <c r="H9" s="59">
        <f t="shared" ref="H9:H70" si="3">IF(G9*F9=0,"",G9*F9)</f>
        <v>35000</v>
      </c>
      <c r="I9" s="17"/>
      <c r="J9" s="17"/>
    </row>
    <row r="10" spans="1:11">
      <c r="A10" s="17">
        <f t="shared" si="0"/>
        <v>5</v>
      </c>
      <c r="B10" s="18">
        <v>45970</v>
      </c>
      <c r="C10" s="36" t="str">
        <f t="shared" si="1"/>
        <v>November</v>
      </c>
      <c r="D10" s="36" t="str">
        <f t="shared" si="2"/>
        <v>2025</v>
      </c>
      <c r="E10" s="17"/>
      <c r="F10" s="60">
        <v>50</v>
      </c>
      <c r="G10" s="50">
        <v>200</v>
      </c>
      <c r="H10" s="59">
        <f t="shared" si="3"/>
        <v>10000</v>
      </c>
      <c r="I10" s="17"/>
      <c r="J10" s="17"/>
    </row>
    <row r="11" spans="1:11">
      <c r="A11" s="17">
        <f t="shared" si="0"/>
        <v>6</v>
      </c>
      <c r="B11" s="18"/>
      <c r="C11" s="36" t="str">
        <f t="shared" si="1"/>
        <v/>
      </c>
      <c r="D11" s="36" t="str">
        <f t="shared" si="2"/>
        <v/>
      </c>
      <c r="E11" s="17"/>
      <c r="F11" s="60"/>
      <c r="G11" s="50"/>
      <c r="H11" s="59" t="str">
        <f t="shared" si="3"/>
        <v/>
      </c>
      <c r="I11" s="17"/>
      <c r="J11" s="17"/>
    </row>
    <row r="12" spans="1:11">
      <c r="A12" s="17">
        <f t="shared" si="0"/>
        <v>7</v>
      </c>
      <c r="B12" s="18"/>
      <c r="C12" s="36" t="str">
        <f t="shared" si="1"/>
        <v/>
      </c>
      <c r="D12" s="36" t="str">
        <f t="shared" si="2"/>
        <v/>
      </c>
      <c r="E12" s="17"/>
      <c r="F12" s="60"/>
      <c r="G12" s="50"/>
      <c r="H12" s="59" t="str">
        <f t="shared" si="3"/>
        <v/>
      </c>
      <c r="I12" s="17"/>
      <c r="J12" s="17"/>
    </row>
    <row r="13" spans="1:11">
      <c r="A13" s="17">
        <f t="shared" si="0"/>
        <v>8</v>
      </c>
      <c r="B13" s="18"/>
      <c r="C13" s="36" t="str">
        <f t="shared" si="1"/>
        <v/>
      </c>
      <c r="D13" s="36" t="str">
        <f t="shared" si="2"/>
        <v/>
      </c>
      <c r="E13" s="17"/>
      <c r="F13" s="60"/>
      <c r="G13" s="50"/>
      <c r="H13" s="59" t="str">
        <f t="shared" si="3"/>
        <v/>
      </c>
      <c r="I13" s="17"/>
      <c r="J13" s="17"/>
    </row>
    <row r="14" spans="1:11">
      <c r="A14" s="17">
        <f t="shared" si="0"/>
        <v>9</v>
      </c>
      <c r="B14" s="18"/>
      <c r="C14" s="36" t="str">
        <f t="shared" si="1"/>
        <v/>
      </c>
      <c r="D14" s="36" t="str">
        <f t="shared" si="2"/>
        <v/>
      </c>
      <c r="E14" s="17"/>
      <c r="F14" s="60"/>
      <c r="G14" s="50"/>
      <c r="H14" s="59" t="str">
        <f t="shared" si="3"/>
        <v/>
      </c>
      <c r="I14" s="17"/>
      <c r="J14" s="17"/>
    </row>
    <row r="15" spans="1:11">
      <c r="A15" s="17">
        <f t="shared" si="0"/>
        <v>10</v>
      </c>
      <c r="B15" s="18"/>
      <c r="C15" s="36" t="str">
        <f t="shared" si="1"/>
        <v/>
      </c>
      <c r="D15" s="36" t="str">
        <f t="shared" si="2"/>
        <v/>
      </c>
      <c r="E15" s="17"/>
      <c r="F15" s="60"/>
      <c r="G15" s="50"/>
      <c r="H15" s="59" t="str">
        <f t="shared" si="3"/>
        <v/>
      </c>
      <c r="I15" s="17"/>
      <c r="J15" s="17"/>
    </row>
    <row r="16" spans="1:11">
      <c r="A16" s="17">
        <f t="shared" si="0"/>
        <v>11</v>
      </c>
      <c r="B16" s="18"/>
      <c r="C16" s="36" t="str">
        <f t="shared" si="1"/>
        <v/>
      </c>
      <c r="D16" s="36" t="str">
        <f t="shared" si="2"/>
        <v/>
      </c>
      <c r="E16" s="17"/>
      <c r="F16" s="60"/>
      <c r="G16" s="50"/>
      <c r="H16" s="59" t="str">
        <f t="shared" si="3"/>
        <v/>
      </c>
      <c r="I16" s="17"/>
      <c r="J16" s="17"/>
    </row>
    <row r="17" spans="1:10">
      <c r="A17" s="17">
        <f t="shared" si="0"/>
        <v>12</v>
      </c>
      <c r="B17" s="18"/>
      <c r="C17" s="36" t="str">
        <f t="shared" si="1"/>
        <v/>
      </c>
      <c r="D17" s="36" t="str">
        <f t="shared" si="2"/>
        <v/>
      </c>
      <c r="E17" s="17"/>
      <c r="F17" s="60"/>
      <c r="G17" s="50"/>
      <c r="H17" s="59" t="str">
        <f t="shared" si="3"/>
        <v/>
      </c>
      <c r="I17" s="17"/>
      <c r="J17" s="17"/>
    </row>
    <row r="18" spans="1:10">
      <c r="A18" s="17">
        <f t="shared" si="0"/>
        <v>13</v>
      </c>
      <c r="B18" s="18"/>
      <c r="C18" s="36" t="str">
        <f t="shared" si="1"/>
        <v/>
      </c>
      <c r="D18" s="36" t="str">
        <f t="shared" si="2"/>
        <v/>
      </c>
      <c r="E18" s="17"/>
      <c r="F18" s="60"/>
      <c r="G18" s="50"/>
      <c r="H18" s="59" t="str">
        <f t="shared" si="3"/>
        <v/>
      </c>
      <c r="I18" s="17"/>
      <c r="J18" s="17"/>
    </row>
    <row r="19" spans="1:10">
      <c r="A19" s="17">
        <f t="shared" si="0"/>
        <v>14</v>
      </c>
      <c r="B19" s="18"/>
      <c r="C19" s="36" t="str">
        <f t="shared" si="1"/>
        <v/>
      </c>
      <c r="D19" s="36" t="str">
        <f t="shared" si="2"/>
        <v/>
      </c>
      <c r="E19" s="17"/>
      <c r="F19" s="60"/>
      <c r="G19" s="50"/>
      <c r="H19" s="59" t="str">
        <f t="shared" si="3"/>
        <v/>
      </c>
      <c r="I19" s="17"/>
      <c r="J19" s="17"/>
    </row>
    <row r="20" spans="1:10">
      <c r="A20" s="17">
        <f t="shared" si="0"/>
        <v>15</v>
      </c>
      <c r="B20" s="18"/>
      <c r="C20" s="36" t="str">
        <f t="shared" si="1"/>
        <v/>
      </c>
      <c r="D20" s="36" t="str">
        <f t="shared" si="2"/>
        <v/>
      </c>
      <c r="E20" s="17"/>
      <c r="F20" s="60"/>
      <c r="G20" s="50"/>
      <c r="H20" s="59" t="str">
        <f t="shared" si="3"/>
        <v/>
      </c>
      <c r="I20" s="17"/>
      <c r="J20" s="17"/>
    </row>
    <row r="21" spans="1:10">
      <c r="A21" s="17">
        <f t="shared" si="0"/>
        <v>16</v>
      </c>
      <c r="B21" s="18"/>
      <c r="C21" s="36" t="str">
        <f t="shared" si="1"/>
        <v/>
      </c>
      <c r="D21" s="36" t="str">
        <f t="shared" si="2"/>
        <v/>
      </c>
      <c r="E21" s="17"/>
      <c r="F21" s="60"/>
      <c r="G21" s="50"/>
      <c r="H21" s="59" t="str">
        <f t="shared" si="3"/>
        <v/>
      </c>
      <c r="I21" s="17"/>
      <c r="J21" s="17"/>
    </row>
    <row r="22" spans="1:10">
      <c r="A22" s="17">
        <f t="shared" si="0"/>
        <v>17</v>
      </c>
      <c r="B22" s="18"/>
      <c r="C22" s="36" t="str">
        <f t="shared" si="1"/>
        <v/>
      </c>
      <c r="D22" s="36" t="str">
        <f t="shared" si="2"/>
        <v/>
      </c>
      <c r="E22" s="17"/>
      <c r="F22" s="60"/>
      <c r="G22" s="50"/>
      <c r="H22" s="59" t="str">
        <f t="shared" si="3"/>
        <v/>
      </c>
      <c r="I22" s="17"/>
      <c r="J22" s="17"/>
    </row>
    <row r="23" spans="1:10">
      <c r="A23" s="17">
        <f t="shared" si="0"/>
        <v>18</v>
      </c>
      <c r="B23" s="18"/>
      <c r="C23" s="36" t="str">
        <f t="shared" si="1"/>
        <v/>
      </c>
      <c r="D23" s="36" t="str">
        <f t="shared" si="2"/>
        <v/>
      </c>
      <c r="E23" s="17"/>
      <c r="F23" s="60"/>
      <c r="G23" s="50"/>
      <c r="H23" s="59" t="str">
        <f t="shared" si="3"/>
        <v/>
      </c>
      <c r="I23" s="17"/>
      <c r="J23" s="17"/>
    </row>
    <row r="24" spans="1:10">
      <c r="A24" s="17">
        <f t="shared" si="0"/>
        <v>19</v>
      </c>
      <c r="B24" s="18"/>
      <c r="C24" s="36" t="str">
        <f t="shared" si="1"/>
        <v/>
      </c>
      <c r="D24" s="36" t="str">
        <f t="shared" si="2"/>
        <v/>
      </c>
      <c r="E24" s="17"/>
      <c r="F24" s="60"/>
      <c r="G24" s="50"/>
      <c r="H24" s="59" t="str">
        <f t="shared" si="3"/>
        <v/>
      </c>
      <c r="I24" s="17"/>
      <c r="J24" s="17"/>
    </row>
    <row r="25" spans="1:10">
      <c r="A25" s="17">
        <f t="shared" si="0"/>
        <v>20</v>
      </c>
      <c r="B25" s="18"/>
      <c r="C25" s="36" t="str">
        <f t="shared" si="1"/>
        <v/>
      </c>
      <c r="D25" s="36" t="str">
        <f t="shared" si="2"/>
        <v/>
      </c>
      <c r="E25" s="17"/>
      <c r="F25" s="60"/>
      <c r="G25" s="50"/>
      <c r="H25" s="59" t="str">
        <f t="shared" si="3"/>
        <v/>
      </c>
      <c r="I25" s="17"/>
      <c r="J25" s="17"/>
    </row>
    <row r="26" spans="1:10">
      <c r="A26" s="17">
        <f t="shared" si="0"/>
        <v>21</v>
      </c>
      <c r="B26" s="18"/>
      <c r="C26" s="36" t="str">
        <f t="shared" si="1"/>
        <v/>
      </c>
      <c r="D26" s="36" t="str">
        <f t="shared" si="2"/>
        <v/>
      </c>
      <c r="E26" s="17"/>
      <c r="F26" s="60"/>
      <c r="G26" s="50"/>
      <c r="H26" s="59" t="str">
        <f t="shared" si="3"/>
        <v/>
      </c>
      <c r="I26" s="17"/>
      <c r="J26" s="17"/>
    </row>
    <row r="27" spans="1:10">
      <c r="A27" s="17">
        <f t="shared" si="0"/>
        <v>22</v>
      </c>
      <c r="B27" s="18"/>
      <c r="C27" s="36" t="str">
        <f t="shared" si="1"/>
        <v/>
      </c>
      <c r="D27" s="36" t="str">
        <f t="shared" si="2"/>
        <v/>
      </c>
      <c r="E27" s="17"/>
      <c r="F27" s="60"/>
      <c r="G27" s="50"/>
      <c r="H27" s="59" t="str">
        <f t="shared" si="3"/>
        <v/>
      </c>
      <c r="I27" s="17"/>
      <c r="J27" s="17"/>
    </row>
    <row r="28" spans="1:10">
      <c r="A28" s="17">
        <f t="shared" si="0"/>
        <v>23</v>
      </c>
      <c r="B28" s="18"/>
      <c r="C28" s="36" t="str">
        <f t="shared" si="1"/>
        <v/>
      </c>
      <c r="D28" s="36" t="str">
        <f t="shared" si="2"/>
        <v/>
      </c>
      <c r="E28" s="17"/>
      <c r="F28" s="60"/>
      <c r="G28" s="50"/>
      <c r="H28" s="59" t="str">
        <f t="shared" si="3"/>
        <v/>
      </c>
      <c r="I28" s="17"/>
      <c r="J28" s="17"/>
    </row>
    <row r="29" spans="1:10">
      <c r="A29" s="17">
        <f t="shared" si="0"/>
        <v>24</v>
      </c>
      <c r="B29" s="18"/>
      <c r="C29" s="36" t="str">
        <f t="shared" si="1"/>
        <v/>
      </c>
      <c r="D29" s="36" t="str">
        <f t="shared" si="2"/>
        <v/>
      </c>
      <c r="E29" s="17"/>
      <c r="F29" s="60"/>
      <c r="G29" s="50"/>
      <c r="H29" s="59" t="str">
        <f t="shared" si="3"/>
        <v/>
      </c>
      <c r="I29" s="17"/>
      <c r="J29" s="17"/>
    </row>
    <row r="30" spans="1:10">
      <c r="A30" s="17">
        <f t="shared" si="0"/>
        <v>25</v>
      </c>
      <c r="B30" s="18"/>
      <c r="C30" s="36" t="str">
        <f t="shared" si="1"/>
        <v/>
      </c>
      <c r="D30" s="36" t="str">
        <f t="shared" si="2"/>
        <v/>
      </c>
      <c r="E30" s="17"/>
      <c r="F30" s="60"/>
      <c r="G30" s="50"/>
      <c r="H30" s="59" t="str">
        <f t="shared" si="3"/>
        <v/>
      </c>
      <c r="I30" s="17"/>
      <c r="J30" s="17"/>
    </row>
    <row r="31" spans="1:10">
      <c r="A31" s="17">
        <f t="shared" si="0"/>
        <v>26</v>
      </c>
      <c r="B31" s="18"/>
      <c r="C31" s="36" t="str">
        <f t="shared" si="1"/>
        <v/>
      </c>
      <c r="D31" s="36" t="str">
        <f t="shared" si="2"/>
        <v/>
      </c>
      <c r="E31" s="17"/>
      <c r="F31" s="60"/>
      <c r="G31" s="50"/>
      <c r="H31" s="59" t="str">
        <f t="shared" si="3"/>
        <v/>
      </c>
      <c r="I31" s="17"/>
      <c r="J31" s="17"/>
    </row>
    <row r="32" spans="1:10">
      <c r="A32" s="17">
        <f t="shared" si="0"/>
        <v>27</v>
      </c>
      <c r="B32" s="18"/>
      <c r="C32" s="36" t="str">
        <f t="shared" si="1"/>
        <v/>
      </c>
      <c r="D32" s="36" t="str">
        <f t="shared" si="2"/>
        <v/>
      </c>
      <c r="E32" s="17"/>
      <c r="F32" s="60"/>
      <c r="G32" s="50"/>
      <c r="H32" s="59" t="str">
        <f t="shared" si="3"/>
        <v/>
      </c>
      <c r="I32" s="17"/>
      <c r="J32" s="17"/>
    </row>
    <row r="33" spans="1:10">
      <c r="A33" s="17">
        <f t="shared" si="0"/>
        <v>28</v>
      </c>
      <c r="B33" s="18"/>
      <c r="C33" s="36" t="str">
        <f t="shared" si="1"/>
        <v/>
      </c>
      <c r="D33" s="36" t="str">
        <f t="shared" si="2"/>
        <v/>
      </c>
      <c r="E33" s="17"/>
      <c r="F33" s="60"/>
      <c r="G33" s="50"/>
      <c r="H33" s="59" t="str">
        <f t="shared" si="3"/>
        <v/>
      </c>
      <c r="I33" s="17"/>
      <c r="J33" s="17"/>
    </row>
    <row r="34" spans="1:10">
      <c r="A34" s="17">
        <f t="shared" si="0"/>
        <v>29</v>
      </c>
      <c r="B34" s="18"/>
      <c r="C34" s="36" t="str">
        <f t="shared" si="1"/>
        <v/>
      </c>
      <c r="D34" s="36" t="str">
        <f t="shared" si="2"/>
        <v/>
      </c>
      <c r="E34" s="17"/>
      <c r="F34" s="60"/>
      <c r="G34" s="50"/>
      <c r="H34" s="59" t="str">
        <f t="shared" si="3"/>
        <v/>
      </c>
      <c r="I34" s="17"/>
      <c r="J34" s="17"/>
    </row>
    <row r="35" spans="1:10">
      <c r="A35" s="17">
        <f t="shared" si="0"/>
        <v>30</v>
      </c>
      <c r="B35" s="18"/>
      <c r="C35" s="36" t="str">
        <f t="shared" si="1"/>
        <v/>
      </c>
      <c r="D35" s="36" t="str">
        <f t="shared" si="2"/>
        <v/>
      </c>
      <c r="E35" s="17"/>
      <c r="F35" s="60"/>
      <c r="G35" s="50"/>
      <c r="H35" s="59" t="str">
        <f t="shared" si="3"/>
        <v/>
      </c>
      <c r="I35" s="17"/>
      <c r="J35" s="17"/>
    </row>
    <row r="36" spans="1:10">
      <c r="A36" s="17">
        <f t="shared" si="0"/>
        <v>31</v>
      </c>
      <c r="B36" s="18"/>
      <c r="C36" s="36" t="str">
        <f t="shared" si="1"/>
        <v/>
      </c>
      <c r="D36" s="36" t="str">
        <f t="shared" si="2"/>
        <v/>
      </c>
      <c r="E36" s="17"/>
      <c r="F36" s="60"/>
      <c r="G36" s="50"/>
      <c r="H36" s="59" t="str">
        <f t="shared" si="3"/>
        <v/>
      </c>
      <c r="I36" s="17"/>
      <c r="J36" s="17"/>
    </row>
    <row r="37" spans="1:10">
      <c r="A37" s="17">
        <f t="shared" si="0"/>
        <v>32</v>
      </c>
      <c r="B37" s="18"/>
      <c r="C37" s="36" t="str">
        <f t="shared" si="1"/>
        <v/>
      </c>
      <c r="D37" s="36" t="str">
        <f t="shared" si="2"/>
        <v/>
      </c>
      <c r="E37" s="17"/>
      <c r="F37" s="60"/>
      <c r="G37" s="50"/>
      <c r="H37" s="59" t="str">
        <f t="shared" si="3"/>
        <v/>
      </c>
      <c r="I37" s="17"/>
      <c r="J37" s="17"/>
    </row>
    <row r="38" spans="1:10">
      <c r="A38" s="17">
        <f t="shared" si="0"/>
        <v>33</v>
      </c>
      <c r="B38" s="18"/>
      <c r="C38" s="36" t="str">
        <f t="shared" si="1"/>
        <v/>
      </c>
      <c r="D38" s="36" t="str">
        <f t="shared" si="2"/>
        <v/>
      </c>
      <c r="E38" s="17"/>
      <c r="F38" s="60"/>
      <c r="G38" s="50"/>
      <c r="H38" s="59" t="str">
        <f t="shared" si="3"/>
        <v/>
      </c>
      <c r="I38" s="17"/>
      <c r="J38" s="17"/>
    </row>
    <row r="39" spans="1:10">
      <c r="A39" s="17">
        <f t="shared" si="0"/>
        <v>34</v>
      </c>
      <c r="B39" s="18"/>
      <c r="C39" s="36" t="str">
        <f t="shared" si="1"/>
        <v/>
      </c>
      <c r="D39" s="36" t="str">
        <f t="shared" si="2"/>
        <v/>
      </c>
      <c r="E39" s="17"/>
      <c r="F39" s="60"/>
      <c r="G39" s="50"/>
      <c r="H39" s="59" t="str">
        <f t="shared" si="3"/>
        <v/>
      </c>
      <c r="I39" s="17"/>
      <c r="J39" s="17"/>
    </row>
    <row r="40" spans="1:10">
      <c r="A40" s="17">
        <f t="shared" si="0"/>
        <v>35</v>
      </c>
      <c r="B40" s="18"/>
      <c r="C40" s="36" t="str">
        <f t="shared" si="1"/>
        <v/>
      </c>
      <c r="D40" s="36" t="str">
        <f t="shared" si="2"/>
        <v/>
      </c>
      <c r="E40" s="17"/>
      <c r="F40" s="60"/>
      <c r="G40" s="50"/>
      <c r="H40" s="59" t="str">
        <f t="shared" si="3"/>
        <v/>
      </c>
      <c r="I40" s="17"/>
      <c r="J40" s="17"/>
    </row>
    <row r="41" spans="1:10">
      <c r="A41" s="17">
        <f t="shared" si="0"/>
        <v>36</v>
      </c>
      <c r="B41" s="18"/>
      <c r="C41" s="36" t="str">
        <f t="shared" si="1"/>
        <v/>
      </c>
      <c r="D41" s="36" t="str">
        <f t="shared" si="2"/>
        <v/>
      </c>
      <c r="E41" s="17"/>
      <c r="F41" s="60"/>
      <c r="G41" s="50"/>
      <c r="H41" s="59" t="str">
        <f t="shared" si="3"/>
        <v/>
      </c>
      <c r="I41" s="17"/>
      <c r="J41" s="17"/>
    </row>
    <row r="42" spans="1:10">
      <c r="A42" s="17">
        <f t="shared" si="0"/>
        <v>37</v>
      </c>
      <c r="B42" s="18"/>
      <c r="C42" s="36" t="str">
        <f t="shared" si="1"/>
        <v/>
      </c>
      <c r="D42" s="36" t="str">
        <f t="shared" si="2"/>
        <v/>
      </c>
      <c r="E42" s="17"/>
      <c r="F42" s="60"/>
      <c r="G42" s="50"/>
      <c r="H42" s="59" t="str">
        <f t="shared" si="3"/>
        <v/>
      </c>
      <c r="I42" s="17"/>
      <c r="J42" s="17"/>
    </row>
    <row r="43" spans="1:10">
      <c r="A43" s="17">
        <f t="shared" si="0"/>
        <v>38</v>
      </c>
      <c r="B43" s="18"/>
      <c r="C43" s="36" t="str">
        <f t="shared" si="1"/>
        <v/>
      </c>
      <c r="D43" s="36" t="str">
        <f t="shared" si="2"/>
        <v/>
      </c>
      <c r="E43" s="17"/>
      <c r="F43" s="60"/>
      <c r="G43" s="50"/>
      <c r="H43" s="59" t="str">
        <f t="shared" si="3"/>
        <v/>
      </c>
      <c r="I43" s="17"/>
      <c r="J43" s="17"/>
    </row>
    <row r="44" spans="1:10">
      <c r="A44" s="17">
        <f t="shared" si="0"/>
        <v>39</v>
      </c>
      <c r="B44" s="18"/>
      <c r="C44" s="36" t="str">
        <f t="shared" si="1"/>
        <v/>
      </c>
      <c r="D44" s="36" t="str">
        <f t="shared" si="2"/>
        <v/>
      </c>
      <c r="E44" s="17"/>
      <c r="F44" s="60"/>
      <c r="G44" s="50"/>
      <c r="H44" s="59" t="str">
        <f t="shared" si="3"/>
        <v/>
      </c>
      <c r="I44" s="17"/>
      <c r="J44" s="17"/>
    </row>
    <row r="45" spans="1:10">
      <c r="A45" s="17">
        <f t="shared" si="0"/>
        <v>40</v>
      </c>
      <c r="B45" s="18"/>
      <c r="C45" s="36" t="str">
        <f t="shared" si="1"/>
        <v/>
      </c>
      <c r="D45" s="36" t="str">
        <f t="shared" si="2"/>
        <v/>
      </c>
      <c r="E45" s="17"/>
      <c r="F45" s="60"/>
      <c r="G45" s="50"/>
      <c r="H45" s="59" t="str">
        <f t="shared" si="3"/>
        <v/>
      </c>
      <c r="I45" s="17"/>
      <c r="J45" s="17"/>
    </row>
    <row r="46" spans="1:10">
      <c r="A46" s="17">
        <f t="shared" si="0"/>
        <v>41</v>
      </c>
      <c r="B46" s="18"/>
      <c r="C46" s="36" t="str">
        <f t="shared" si="1"/>
        <v/>
      </c>
      <c r="D46" s="36" t="str">
        <f t="shared" si="2"/>
        <v/>
      </c>
      <c r="E46" s="17"/>
      <c r="F46" s="60"/>
      <c r="G46" s="50"/>
      <c r="H46" s="59" t="str">
        <f t="shared" si="3"/>
        <v/>
      </c>
      <c r="I46" s="17"/>
      <c r="J46" s="17"/>
    </row>
    <row r="47" spans="1:10">
      <c r="A47" s="17">
        <f t="shared" si="0"/>
        <v>42</v>
      </c>
      <c r="B47" s="18"/>
      <c r="C47" s="36" t="str">
        <f t="shared" si="1"/>
        <v/>
      </c>
      <c r="D47" s="36" t="str">
        <f t="shared" si="2"/>
        <v/>
      </c>
      <c r="E47" s="17"/>
      <c r="F47" s="60"/>
      <c r="G47" s="50"/>
      <c r="H47" s="59" t="str">
        <f t="shared" si="3"/>
        <v/>
      </c>
      <c r="I47" s="17"/>
      <c r="J47" s="17"/>
    </row>
    <row r="48" spans="1:10">
      <c r="A48" s="17">
        <f t="shared" si="0"/>
        <v>43</v>
      </c>
      <c r="B48" s="18"/>
      <c r="C48" s="36" t="str">
        <f t="shared" si="1"/>
        <v/>
      </c>
      <c r="D48" s="36" t="str">
        <f t="shared" si="2"/>
        <v/>
      </c>
      <c r="E48" s="17"/>
      <c r="F48" s="60"/>
      <c r="G48" s="50"/>
      <c r="H48" s="59" t="str">
        <f t="shared" si="3"/>
        <v/>
      </c>
      <c r="I48" s="17"/>
      <c r="J48" s="17"/>
    </row>
    <row r="49" spans="1:10">
      <c r="A49" s="17">
        <f t="shared" si="0"/>
        <v>44</v>
      </c>
      <c r="B49" s="18"/>
      <c r="C49" s="36" t="str">
        <f t="shared" si="1"/>
        <v/>
      </c>
      <c r="D49" s="36" t="str">
        <f t="shared" si="2"/>
        <v/>
      </c>
      <c r="E49" s="17"/>
      <c r="F49" s="60"/>
      <c r="G49" s="50"/>
      <c r="H49" s="59" t="str">
        <f t="shared" si="3"/>
        <v/>
      </c>
      <c r="I49" s="17"/>
      <c r="J49" s="17"/>
    </row>
    <row r="50" spans="1:10">
      <c r="A50" s="17">
        <f t="shared" si="0"/>
        <v>45</v>
      </c>
      <c r="B50" s="18"/>
      <c r="C50" s="36" t="str">
        <f t="shared" si="1"/>
        <v/>
      </c>
      <c r="D50" s="36" t="str">
        <f t="shared" si="2"/>
        <v/>
      </c>
      <c r="E50" s="17"/>
      <c r="F50" s="60"/>
      <c r="G50" s="50"/>
      <c r="H50" s="59" t="str">
        <f t="shared" si="3"/>
        <v/>
      </c>
      <c r="I50" s="17"/>
      <c r="J50" s="17"/>
    </row>
    <row r="51" spans="1:10">
      <c r="A51" s="17">
        <f t="shared" si="0"/>
        <v>46</v>
      </c>
      <c r="B51" s="18"/>
      <c r="C51" s="36" t="str">
        <f t="shared" si="1"/>
        <v/>
      </c>
      <c r="D51" s="36" t="str">
        <f t="shared" si="2"/>
        <v/>
      </c>
      <c r="E51" s="17"/>
      <c r="F51" s="60"/>
      <c r="G51" s="50"/>
      <c r="H51" s="59" t="str">
        <f t="shared" si="3"/>
        <v/>
      </c>
      <c r="I51" s="17"/>
      <c r="J51" s="17"/>
    </row>
    <row r="52" spans="1:10">
      <c r="A52" s="17">
        <f t="shared" si="0"/>
        <v>47</v>
      </c>
      <c r="B52" s="18"/>
      <c r="C52" s="36" t="str">
        <f t="shared" si="1"/>
        <v/>
      </c>
      <c r="D52" s="36" t="str">
        <f t="shared" si="2"/>
        <v/>
      </c>
      <c r="E52" s="17"/>
      <c r="F52" s="60"/>
      <c r="G52" s="50"/>
      <c r="H52" s="59" t="str">
        <f t="shared" si="3"/>
        <v/>
      </c>
      <c r="I52" s="17"/>
      <c r="J52" s="17"/>
    </row>
    <row r="53" spans="1:10">
      <c r="A53" s="17">
        <f t="shared" si="0"/>
        <v>48</v>
      </c>
      <c r="B53" s="18"/>
      <c r="C53" s="36" t="str">
        <f t="shared" si="1"/>
        <v/>
      </c>
      <c r="D53" s="36" t="str">
        <f t="shared" si="2"/>
        <v/>
      </c>
      <c r="E53" s="17"/>
      <c r="F53" s="60"/>
      <c r="G53" s="50"/>
      <c r="H53" s="59" t="str">
        <f t="shared" si="3"/>
        <v/>
      </c>
      <c r="I53" s="17"/>
      <c r="J53" s="17"/>
    </row>
    <row r="54" spans="1:10">
      <c r="A54" s="17">
        <f t="shared" si="0"/>
        <v>49</v>
      </c>
      <c r="B54" s="18"/>
      <c r="C54" s="36" t="str">
        <f t="shared" si="1"/>
        <v/>
      </c>
      <c r="D54" s="36" t="str">
        <f t="shared" si="2"/>
        <v/>
      </c>
      <c r="E54" s="17"/>
      <c r="F54" s="60"/>
      <c r="G54" s="50"/>
      <c r="H54" s="59" t="str">
        <f t="shared" si="3"/>
        <v/>
      </c>
      <c r="I54" s="17"/>
      <c r="J54" s="17"/>
    </row>
    <row r="55" spans="1:10">
      <c r="A55" s="17">
        <f t="shared" si="0"/>
        <v>50</v>
      </c>
      <c r="B55" s="18"/>
      <c r="C55" s="36" t="str">
        <f t="shared" si="1"/>
        <v/>
      </c>
      <c r="D55" s="36" t="str">
        <f t="shared" si="2"/>
        <v/>
      </c>
      <c r="E55" s="17"/>
      <c r="F55" s="60"/>
      <c r="G55" s="50"/>
      <c r="H55" s="59" t="str">
        <f t="shared" si="3"/>
        <v/>
      </c>
      <c r="I55" s="17"/>
      <c r="J55" s="17"/>
    </row>
    <row r="56" spans="1:10">
      <c r="A56" s="17">
        <f t="shared" si="0"/>
        <v>51</v>
      </c>
      <c r="B56" s="18"/>
      <c r="C56" s="36" t="str">
        <f t="shared" si="1"/>
        <v/>
      </c>
      <c r="D56" s="36" t="str">
        <f t="shared" si="2"/>
        <v/>
      </c>
      <c r="E56" s="17"/>
      <c r="F56" s="60"/>
      <c r="G56" s="50"/>
      <c r="H56" s="59" t="str">
        <f t="shared" si="3"/>
        <v/>
      </c>
      <c r="I56" s="17"/>
      <c r="J56" s="17"/>
    </row>
    <row r="57" spans="1:10">
      <c r="A57" s="17">
        <f t="shared" si="0"/>
        <v>52</v>
      </c>
      <c r="B57" s="18"/>
      <c r="C57" s="36" t="str">
        <f t="shared" si="1"/>
        <v/>
      </c>
      <c r="D57" s="36" t="str">
        <f t="shared" si="2"/>
        <v/>
      </c>
      <c r="E57" s="17"/>
      <c r="F57" s="60"/>
      <c r="G57" s="50"/>
      <c r="H57" s="59" t="str">
        <f t="shared" si="3"/>
        <v/>
      </c>
      <c r="I57" s="17"/>
      <c r="J57" s="17"/>
    </row>
    <row r="58" spans="1:10">
      <c r="A58" s="17">
        <f t="shared" si="0"/>
        <v>53</v>
      </c>
      <c r="B58" s="18"/>
      <c r="C58" s="36" t="str">
        <f t="shared" si="1"/>
        <v/>
      </c>
      <c r="D58" s="36" t="str">
        <f t="shared" si="2"/>
        <v/>
      </c>
      <c r="E58" s="17"/>
      <c r="F58" s="60"/>
      <c r="G58" s="50"/>
      <c r="H58" s="59" t="str">
        <f t="shared" si="3"/>
        <v/>
      </c>
      <c r="I58" s="17"/>
      <c r="J58" s="17"/>
    </row>
    <row r="59" spans="1:10">
      <c r="A59" s="17">
        <f t="shared" si="0"/>
        <v>54</v>
      </c>
      <c r="B59" s="18"/>
      <c r="C59" s="36" t="str">
        <f t="shared" si="1"/>
        <v/>
      </c>
      <c r="D59" s="36" t="str">
        <f t="shared" si="2"/>
        <v/>
      </c>
      <c r="E59" s="17"/>
      <c r="F59" s="60"/>
      <c r="G59" s="50"/>
      <c r="H59" s="59" t="str">
        <f t="shared" si="3"/>
        <v/>
      </c>
      <c r="I59" s="17"/>
      <c r="J59" s="17"/>
    </row>
    <row r="60" spans="1:10">
      <c r="A60" s="17">
        <f t="shared" si="0"/>
        <v>55</v>
      </c>
      <c r="B60" s="18"/>
      <c r="C60" s="36" t="str">
        <f t="shared" si="1"/>
        <v/>
      </c>
      <c r="D60" s="36" t="str">
        <f t="shared" si="2"/>
        <v/>
      </c>
      <c r="E60" s="17"/>
      <c r="F60" s="60"/>
      <c r="G60" s="50"/>
      <c r="H60" s="59" t="str">
        <f t="shared" si="3"/>
        <v/>
      </c>
      <c r="I60" s="17"/>
      <c r="J60" s="17"/>
    </row>
    <row r="61" spans="1:10">
      <c r="A61" s="17">
        <f t="shared" si="0"/>
        <v>56</v>
      </c>
      <c r="B61" s="18"/>
      <c r="C61" s="36" t="str">
        <f t="shared" si="1"/>
        <v/>
      </c>
      <c r="D61" s="36" t="str">
        <f t="shared" si="2"/>
        <v/>
      </c>
      <c r="E61" s="17"/>
      <c r="F61" s="60"/>
      <c r="G61" s="50"/>
      <c r="H61" s="59" t="str">
        <f t="shared" si="3"/>
        <v/>
      </c>
      <c r="I61" s="17"/>
      <c r="J61" s="17"/>
    </row>
    <row r="62" spans="1:10">
      <c r="A62" s="17">
        <f t="shared" si="0"/>
        <v>57</v>
      </c>
      <c r="B62" s="18"/>
      <c r="C62" s="36" t="str">
        <f t="shared" si="1"/>
        <v/>
      </c>
      <c r="D62" s="36" t="str">
        <f t="shared" si="2"/>
        <v/>
      </c>
      <c r="E62" s="17"/>
      <c r="F62" s="60"/>
      <c r="G62" s="50"/>
      <c r="H62" s="59" t="str">
        <f t="shared" si="3"/>
        <v/>
      </c>
      <c r="I62" s="17"/>
      <c r="J62" s="17"/>
    </row>
    <row r="63" spans="1:10">
      <c r="A63" s="17">
        <f t="shared" si="0"/>
        <v>58</v>
      </c>
      <c r="B63" s="18"/>
      <c r="C63" s="36" t="str">
        <f t="shared" si="1"/>
        <v/>
      </c>
      <c r="D63" s="36" t="str">
        <f t="shared" si="2"/>
        <v/>
      </c>
      <c r="E63" s="17"/>
      <c r="F63" s="60"/>
      <c r="G63" s="50"/>
      <c r="H63" s="59" t="str">
        <f t="shared" si="3"/>
        <v/>
      </c>
      <c r="I63" s="17"/>
      <c r="J63" s="17"/>
    </row>
    <row r="64" spans="1:10">
      <c r="A64" s="17">
        <f t="shared" si="0"/>
        <v>59</v>
      </c>
      <c r="B64" s="18"/>
      <c r="C64" s="36" t="str">
        <f t="shared" si="1"/>
        <v/>
      </c>
      <c r="D64" s="36" t="str">
        <f t="shared" si="2"/>
        <v/>
      </c>
      <c r="E64" s="17"/>
      <c r="F64" s="60"/>
      <c r="G64" s="50"/>
      <c r="H64" s="59" t="str">
        <f t="shared" si="3"/>
        <v/>
      </c>
      <c r="I64" s="17"/>
      <c r="J64" s="17"/>
    </row>
    <row r="65" spans="1:10">
      <c r="A65" s="17">
        <f t="shared" si="0"/>
        <v>60</v>
      </c>
      <c r="B65" s="18"/>
      <c r="C65" s="36" t="str">
        <f t="shared" si="1"/>
        <v/>
      </c>
      <c r="D65" s="36" t="str">
        <f t="shared" si="2"/>
        <v/>
      </c>
      <c r="E65" s="17"/>
      <c r="F65" s="60"/>
      <c r="G65" s="50"/>
      <c r="H65" s="59" t="str">
        <f t="shared" si="3"/>
        <v/>
      </c>
      <c r="I65" s="17"/>
      <c r="J65" s="17"/>
    </row>
    <row r="66" spans="1:10">
      <c r="A66" s="17">
        <f t="shared" si="0"/>
        <v>61</v>
      </c>
      <c r="B66" s="18"/>
      <c r="C66" s="36" t="str">
        <f t="shared" si="1"/>
        <v/>
      </c>
      <c r="D66" s="36" t="str">
        <f t="shared" si="2"/>
        <v/>
      </c>
      <c r="E66" s="17"/>
      <c r="F66" s="60"/>
      <c r="G66" s="50"/>
      <c r="H66" s="59" t="str">
        <f t="shared" si="3"/>
        <v/>
      </c>
      <c r="I66" s="17"/>
      <c r="J66" s="17"/>
    </row>
    <row r="67" spans="1:10">
      <c r="A67" s="17">
        <f t="shared" si="0"/>
        <v>62</v>
      </c>
      <c r="B67" s="18"/>
      <c r="C67" s="36" t="str">
        <f t="shared" si="1"/>
        <v/>
      </c>
      <c r="D67" s="36" t="str">
        <f t="shared" si="2"/>
        <v/>
      </c>
      <c r="E67" s="17"/>
      <c r="F67" s="60"/>
      <c r="G67" s="50"/>
      <c r="H67" s="59" t="str">
        <f t="shared" si="3"/>
        <v/>
      </c>
      <c r="I67" s="17"/>
      <c r="J67" s="17"/>
    </row>
    <row r="68" spans="1:10">
      <c r="A68" s="17">
        <f t="shared" si="0"/>
        <v>63</v>
      </c>
      <c r="B68" s="18"/>
      <c r="C68" s="36" t="str">
        <f t="shared" si="1"/>
        <v/>
      </c>
      <c r="D68" s="36" t="str">
        <f t="shared" si="2"/>
        <v/>
      </c>
      <c r="E68" s="17"/>
      <c r="F68" s="60"/>
      <c r="G68" s="50"/>
      <c r="H68" s="59" t="str">
        <f t="shared" si="3"/>
        <v/>
      </c>
      <c r="I68" s="17"/>
      <c r="J68" s="17"/>
    </row>
    <row r="69" spans="1:10">
      <c r="A69" s="17">
        <f t="shared" si="0"/>
        <v>64</v>
      </c>
      <c r="B69" s="18"/>
      <c r="C69" s="36" t="str">
        <f t="shared" si="1"/>
        <v/>
      </c>
      <c r="D69" s="36" t="str">
        <f t="shared" si="2"/>
        <v/>
      </c>
      <c r="E69" s="17"/>
      <c r="F69" s="60"/>
      <c r="G69" s="50"/>
      <c r="H69" s="59" t="str">
        <f t="shared" si="3"/>
        <v/>
      </c>
      <c r="I69" s="17"/>
      <c r="J69" s="17"/>
    </row>
    <row r="70" spans="1:10">
      <c r="A70" s="17">
        <f t="shared" si="0"/>
        <v>65</v>
      </c>
      <c r="B70" s="18"/>
      <c r="C70" s="36" t="str">
        <f t="shared" si="1"/>
        <v/>
      </c>
      <c r="D70" s="36" t="str">
        <f t="shared" si="2"/>
        <v/>
      </c>
      <c r="E70" s="17"/>
      <c r="F70" s="60"/>
      <c r="G70" s="50"/>
      <c r="H70" s="59" t="str">
        <f t="shared" si="3"/>
        <v/>
      </c>
      <c r="I70" s="17"/>
      <c r="J70" s="17"/>
    </row>
    <row r="71" spans="1:10">
      <c r="A71" s="17">
        <f t="shared" ref="A71:A134" si="4">ROW(A66)</f>
        <v>66</v>
      </c>
      <c r="B71" s="18"/>
      <c r="C71" s="36" t="str">
        <f t="shared" ref="C71:C134" si="5">IF(B71=0,"",TEXT(B71,"mmmm"))</f>
        <v/>
      </c>
      <c r="D71" s="36" t="str">
        <f t="shared" ref="D71:D134" si="6">IF(B71=0,"",TEXT(B71,"yyyy"))</f>
        <v/>
      </c>
      <c r="E71" s="17"/>
      <c r="F71" s="60"/>
      <c r="G71" s="50"/>
      <c r="H71" s="59" t="str">
        <f t="shared" ref="H71:H134" si="7">IF(G71*F71=0,"",G71*F71)</f>
        <v/>
      </c>
      <c r="I71" s="17"/>
      <c r="J71" s="17"/>
    </row>
    <row r="72" spans="1:10">
      <c r="A72" s="17">
        <f t="shared" si="4"/>
        <v>67</v>
      </c>
      <c r="B72" s="18"/>
      <c r="C72" s="36" t="str">
        <f t="shared" si="5"/>
        <v/>
      </c>
      <c r="D72" s="36" t="str">
        <f t="shared" si="6"/>
        <v/>
      </c>
      <c r="E72" s="17"/>
      <c r="F72" s="60"/>
      <c r="G72" s="50"/>
      <c r="H72" s="59" t="str">
        <f t="shared" si="7"/>
        <v/>
      </c>
      <c r="I72" s="17"/>
      <c r="J72" s="17"/>
    </row>
    <row r="73" spans="1:10">
      <c r="A73" s="17">
        <f t="shared" si="4"/>
        <v>68</v>
      </c>
      <c r="B73" s="18"/>
      <c r="C73" s="36" t="str">
        <f t="shared" si="5"/>
        <v/>
      </c>
      <c r="D73" s="36" t="str">
        <f t="shared" si="6"/>
        <v/>
      </c>
      <c r="E73" s="17"/>
      <c r="F73" s="60"/>
      <c r="G73" s="50"/>
      <c r="H73" s="59" t="str">
        <f t="shared" si="7"/>
        <v/>
      </c>
      <c r="I73" s="17"/>
      <c r="J73" s="17"/>
    </row>
    <row r="74" spans="1:10">
      <c r="A74" s="17">
        <f t="shared" si="4"/>
        <v>69</v>
      </c>
      <c r="B74" s="18"/>
      <c r="C74" s="36" t="str">
        <f t="shared" si="5"/>
        <v/>
      </c>
      <c r="D74" s="36" t="str">
        <f t="shared" si="6"/>
        <v/>
      </c>
      <c r="E74" s="17"/>
      <c r="F74" s="60"/>
      <c r="G74" s="50"/>
      <c r="H74" s="59" t="str">
        <f t="shared" si="7"/>
        <v/>
      </c>
      <c r="I74" s="17"/>
      <c r="J74" s="17"/>
    </row>
    <row r="75" spans="1:10">
      <c r="A75" s="17">
        <f t="shared" si="4"/>
        <v>70</v>
      </c>
      <c r="B75" s="18"/>
      <c r="C75" s="36" t="str">
        <f t="shared" si="5"/>
        <v/>
      </c>
      <c r="D75" s="36" t="str">
        <f t="shared" si="6"/>
        <v/>
      </c>
      <c r="E75" s="17"/>
      <c r="F75" s="60"/>
      <c r="G75" s="50"/>
      <c r="H75" s="59" t="str">
        <f t="shared" si="7"/>
        <v/>
      </c>
      <c r="I75" s="17"/>
      <c r="J75" s="17"/>
    </row>
    <row r="76" spans="1:10">
      <c r="A76" s="17">
        <f t="shared" si="4"/>
        <v>71</v>
      </c>
      <c r="B76" s="18"/>
      <c r="C76" s="36" t="str">
        <f t="shared" si="5"/>
        <v/>
      </c>
      <c r="D76" s="36" t="str">
        <f t="shared" si="6"/>
        <v/>
      </c>
      <c r="E76" s="17"/>
      <c r="F76" s="60"/>
      <c r="G76" s="50"/>
      <c r="H76" s="59" t="str">
        <f t="shared" si="7"/>
        <v/>
      </c>
      <c r="I76" s="17"/>
      <c r="J76" s="17"/>
    </row>
    <row r="77" spans="1:10">
      <c r="A77" s="17">
        <f t="shared" si="4"/>
        <v>72</v>
      </c>
      <c r="B77" s="18"/>
      <c r="C77" s="36" t="str">
        <f t="shared" si="5"/>
        <v/>
      </c>
      <c r="D77" s="36" t="str">
        <f t="shared" si="6"/>
        <v/>
      </c>
      <c r="E77" s="17"/>
      <c r="F77" s="60"/>
      <c r="G77" s="50"/>
      <c r="H77" s="59" t="str">
        <f t="shared" si="7"/>
        <v/>
      </c>
      <c r="I77" s="17"/>
      <c r="J77" s="17"/>
    </row>
    <row r="78" spans="1:10">
      <c r="A78" s="17">
        <f t="shared" si="4"/>
        <v>73</v>
      </c>
      <c r="B78" s="18"/>
      <c r="C78" s="36" t="str">
        <f t="shared" si="5"/>
        <v/>
      </c>
      <c r="D78" s="36" t="str">
        <f t="shared" si="6"/>
        <v/>
      </c>
      <c r="E78" s="17"/>
      <c r="F78" s="60"/>
      <c r="G78" s="50"/>
      <c r="H78" s="59" t="str">
        <f t="shared" si="7"/>
        <v/>
      </c>
      <c r="I78" s="17"/>
      <c r="J78" s="17"/>
    </row>
    <row r="79" spans="1:10">
      <c r="A79" s="17">
        <f t="shared" si="4"/>
        <v>74</v>
      </c>
      <c r="B79" s="18"/>
      <c r="C79" s="36" t="str">
        <f t="shared" si="5"/>
        <v/>
      </c>
      <c r="D79" s="36" t="str">
        <f t="shared" si="6"/>
        <v/>
      </c>
      <c r="E79" s="17"/>
      <c r="F79" s="60"/>
      <c r="G79" s="50"/>
      <c r="H79" s="59" t="str">
        <f t="shared" si="7"/>
        <v/>
      </c>
      <c r="I79" s="17"/>
      <c r="J79" s="17"/>
    </row>
    <row r="80" spans="1:10">
      <c r="A80" s="17">
        <f t="shared" si="4"/>
        <v>75</v>
      </c>
      <c r="B80" s="18"/>
      <c r="C80" s="36" t="str">
        <f t="shared" si="5"/>
        <v/>
      </c>
      <c r="D80" s="36" t="str">
        <f t="shared" si="6"/>
        <v/>
      </c>
      <c r="E80" s="17"/>
      <c r="F80" s="60"/>
      <c r="G80" s="50"/>
      <c r="H80" s="59" t="str">
        <f t="shared" si="7"/>
        <v/>
      </c>
      <c r="I80" s="17"/>
      <c r="J80" s="17"/>
    </row>
    <row r="81" spans="1:10">
      <c r="A81" s="17">
        <f t="shared" si="4"/>
        <v>76</v>
      </c>
      <c r="B81" s="18"/>
      <c r="C81" s="36" t="str">
        <f t="shared" si="5"/>
        <v/>
      </c>
      <c r="D81" s="36" t="str">
        <f t="shared" si="6"/>
        <v/>
      </c>
      <c r="E81" s="17"/>
      <c r="F81" s="60"/>
      <c r="G81" s="50"/>
      <c r="H81" s="59" t="str">
        <f t="shared" si="7"/>
        <v/>
      </c>
      <c r="I81" s="17"/>
      <c r="J81" s="17"/>
    </row>
    <row r="82" spans="1:10">
      <c r="A82" s="17">
        <f t="shared" si="4"/>
        <v>77</v>
      </c>
      <c r="B82" s="18"/>
      <c r="C82" s="36" t="str">
        <f t="shared" si="5"/>
        <v/>
      </c>
      <c r="D82" s="36" t="str">
        <f t="shared" si="6"/>
        <v/>
      </c>
      <c r="E82" s="17"/>
      <c r="F82" s="60"/>
      <c r="G82" s="50"/>
      <c r="H82" s="59" t="str">
        <f t="shared" si="7"/>
        <v/>
      </c>
      <c r="I82" s="17"/>
      <c r="J82" s="17"/>
    </row>
    <row r="83" spans="1:10">
      <c r="A83" s="17">
        <f t="shared" si="4"/>
        <v>78</v>
      </c>
      <c r="B83" s="18"/>
      <c r="C83" s="36" t="str">
        <f t="shared" si="5"/>
        <v/>
      </c>
      <c r="D83" s="36" t="str">
        <f t="shared" si="6"/>
        <v/>
      </c>
      <c r="E83" s="17"/>
      <c r="F83" s="60"/>
      <c r="G83" s="50"/>
      <c r="H83" s="59" t="str">
        <f t="shared" si="7"/>
        <v/>
      </c>
      <c r="I83" s="17"/>
      <c r="J83" s="17"/>
    </row>
    <row r="84" spans="1:10">
      <c r="A84" s="17">
        <f t="shared" si="4"/>
        <v>79</v>
      </c>
      <c r="B84" s="18"/>
      <c r="C84" s="36" t="str">
        <f t="shared" si="5"/>
        <v/>
      </c>
      <c r="D84" s="36" t="str">
        <f t="shared" si="6"/>
        <v/>
      </c>
      <c r="E84" s="17"/>
      <c r="F84" s="60"/>
      <c r="G84" s="50"/>
      <c r="H84" s="59" t="str">
        <f t="shared" si="7"/>
        <v/>
      </c>
      <c r="I84" s="17"/>
      <c r="J84" s="17"/>
    </row>
    <row r="85" spans="1:10">
      <c r="A85" s="17">
        <f t="shared" si="4"/>
        <v>80</v>
      </c>
      <c r="B85" s="18"/>
      <c r="C85" s="36" t="str">
        <f t="shared" si="5"/>
        <v/>
      </c>
      <c r="D85" s="36" t="str">
        <f t="shared" si="6"/>
        <v/>
      </c>
      <c r="E85" s="17"/>
      <c r="F85" s="60"/>
      <c r="G85" s="50"/>
      <c r="H85" s="59" t="str">
        <f t="shared" si="7"/>
        <v/>
      </c>
      <c r="I85" s="17"/>
      <c r="J85" s="17"/>
    </row>
    <row r="86" spans="1:10">
      <c r="A86" s="17">
        <f t="shared" si="4"/>
        <v>81</v>
      </c>
      <c r="B86" s="18"/>
      <c r="C86" s="36" t="str">
        <f t="shared" si="5"/>
        <v/>
      </c>
      <c r="D86" s="36" t="str">
        <f t="shared" si="6"/>
        <v/>
      </c>
      <c r="E86" s="17"/>
      <c r="F86" s="60"/>
      <c r="G86" s="50"/>
      <c r="H86" s="59" t="str">
        <f t="shared" si="7"/>
        <v/>
      </c>
      <c r="I86" s="17"/>
      <c r="J86" s="17"/>
    </row>
    <row r="87" spans="1:10">
      <c r="A87" s="17">
        <f t="shared" si="4"/>
        <v>82</v>
      </c>
      <c r="B87" s="18"/>
      <c r="C87" s="36" t="str">
        <f t="shared" si="5"/>
        <v/>
      </c>
      <c r="D87" s="36" t="str">
        <f t="shared" si="6"/>
        <v/>
      </c>
      <c r="E87" s="17"/>
      <c r="F87" s="60"/>
      <c r="G87" s="50"/>
      <c r="H87" s="59" t="str">
        <f t="shared" si="7"/>
        <v/>
      </c>
      <c r="I87" s="17"/>
      <c r="J87" s="17"/>
    </row>
    <row r="88" spans="1:10">
      <c r="A88" s="17">
        <f t="shared" si="4"/>
        <v>83</v>
      </c>
      <c r="B88" s="18"/>
      <c r="C88" s="36" t="str">
        <f t="shared" si="5"/>
        <v/>
      </c>
      <c r="D88" s="36" t="str">
        <f t="shared" si="6"/>
        <v/>
      </c>
      <c r="E88" s="17"/>
      <c r="F88" s="60"/>
      <c r="G88" s="50"/>
      <c r="H88" s="59" t="str">
        <f t="shared" si="7"/>
        <v/>
      </c>
      <c r="I88" s="17"/>
      <c r="J88" s="17"/>
    </row>
    <row r="89" spans="1:10">
      <c r="A89" s="17">
        <f t="shared" si="4"/>
        <v>84</v>
      </c>
      <c r="B89" s="18"/>
      <c r="C89" s="36" t="str">
        <f t="shared" si="5"/>
        <v/>
      </c>
      <c r="D89" s="36" t="str">
        <f t="shared" si="6"/>
        <v/>
      </c>
      <c r="E89" s="17"/>
      <c r="F89" s="60"/>
      <c r="G89" s="50"/>
      <c r="H89" s="59" t="str">
        <f t="shared" si="7"/>
        <v/>
      </c>
      <c r="I89" s="17"/>
      <c r="J89" s="17"/>
    </row>
    <row r="90" spans="1:10">
      <c r="A90" s="17">
        <f t="shared" si="4"/>
        <v>85</v>
      </c>
      <c r="B90" s="18"/>
      <c r="C90" s="36" t="str">
        <f t="shared" si="5"/>
        <v/>
      </c>
      <c r="D90" s="36" t="str">
        <f t="shared" si="6"/>
        <v/>
      </c>
      <c r="E90" s="17"/>
      <c r="F90" s="60"/>
      <c r="G90" s="50"/>
      <c r="H90" s="59" t="str">
        <f t="shared" si="7"/>
        <v/>
      </c>
      <c r="I90" s="17"/>
      <c r="J90" s="17"/>
    </row>
    <row r="91" spans="1:10">
      <c r="A91" s="17">
        <f t="shared" si="4"/>
        <v>86</v>
      </c>
      <c r="B91" s="18"/>
      <c r="C91" s="36" t="str">
        <f t="shared" si="5"/>
        <v/>
      </c>
      <c r="D91" s="36" t="str">
        <f t="shared" si="6"/>
        <v/>
      </c>
      <c r="E91" s="17"/>
      <c r="F91" s="60"/>
      <c r="G91" s="50"/>
      <c r="H91" s="59" t="str">
        <f t="shared" si="7"/>
        <v/>
      </c>
      <c r="I91" s="17"/>
      <c r="J91" s="17"/>
    </row>
    <row r="92" spans="1:10">
      <c r="A92" s="17">
        <f t="shared" si="4"/>
        <v>87</v>
      </c>
      <c r="B92" s="18"/>
      <c r="C92" s="36" t="str">
        <f t="shared" si="5"/>
        <v/>
      </c>
      <c r="D92" s="36" t="str">
        <f t="shared" si="6"/>
        <v/>
      </c>
      <c r="E92" s="17"/>
      <c r="F92" s="60"/>
      <c r="G92" s="50"/>
      <c r="H92" s="59" t="str">
        <f t="shared" si="7"/>
        <v/>
      </c>
      <c r="I92" s="17"/>
      <c r="J92" s="17"/>
    </row>
    <row r="93" spans="1:10">
      <c r="A93" s="17">
        <f t="shared" si="4"/>
        <v>88</v>
      </c>
      <c r="B93" s="18"/>
      <c r="C93" s="36" t="str">
        <f t="shared" si="5"/>
        <v/>
      </c>
      <c r="D93" s="36" t="str">
        <f t="shared" si="6"/>
        <v/>
      </c>
      <c r="E93" s="17"/>
      <c r="F93" s="60"/>
      <c r="G93" s="50"/>
      <c r="H93" s="59" t="str">
        <f t="shared" si="7"/>
        <v/>
      </c>
      <c r="I93" s="17"/>
      <c r="J93" s="17"/>
    </row>
    <row r="94" spans="1:10">
      <c r="A94" s="17">
        <f t="shared" si="4"/>
        <v>89</v>
      </c>
      <c r="B94" s="18"/>
      <c r="C94" s="36" t="str">
        <f t="shared" si="5"/>
        <v/>
      </c>
      <c r="D94" s="36" t="str">
        <f t="shared" si="6"/>
        <v/>
      </c>
      <c r="E94" s="17"/>
      <c r="F94" s="60"/>
      <c r="G94" s="50"/>
      <c r="H94" s="59" t="str">
        <f t="shared" si="7"/>
        <v/>
      </c>
      <c r="I94" s="17"/>
      <c r="J94" s="17"/>
    </row>
    <row r="95" spans="1:10">
      <c r="A95" s="17">
        <f t="shared" si="4"/>
        <v>90</v>
      </c>
      <c r="B95" s="18"/>
      <c r="C95" s="36" t="str">
        <f t="shared" si="5"/>
        <v/>
      </c>
      <c r="D95" s="36" t="str">
        <f t="shared" si="6"/>
        <v/>
      </c>
      <c r="E95" s="17"/>
      <c r="F95" s="60"/>
      <c r="G95" s="50"/>
      <c r="H95" s="59" t="str">
        <f t="shared" si="7"/>
        <v/>
      </c>
      <c r="I95" s="17"/>
      <c r="J95" s="17"/>
    </row>
    <row r="96" spans="1:10">
      <c r="A96" s="17">
        <f t="shared" si="4"/>
        <v>91</v>
      </c>
      <c r="B96" s="18"/>
      <c r="C96" s="36" t="str">
        <f t="shared" si="5"/>
        <v/>
      </c>
      <c r="D96" s="36" t="str">
        <f t="shared" si="6"/>
        <v/>
      </c>
      <c r="E96" s="17"/>
      <c r="F96" s="60"/>
      <c r="G96" s="50"/>
      <c r="H96" s="59" t="str">
        <f t="shared" si="7"/>
        <v/>
      </c>
      <c r="I96" s="17"/>
      <c r="J96" s="17"/>
    </row>
    <row r="97" spans="1:10">
      <c r="A97" s="17">
        <f t="shared" si="4"/>
        <v>92</v>
      </c>
      <c r="B97" s="18"/>
      <c r="C97" s="36" t="str">
        <f t="shared" si="5"/>
        <v/>
      </c>
      <c r="D97" s="36" t="str">
        <f t="shared" si="6"/>
        <v/>
      </c>
      <c r="E97" s="17"/>
      <c r="F97" s="60"/>
      <c r="G97" s="50"/>
      <c r="H97" s="59" t="str">
        <f t="shared" si="7"/>
        <v/>
      </c>
      <c r="I97" s="17"/>
      <c r="J97" s="17"/>
    </row>
    <row r="98" spans="1:10">
      <c r="A98" s="17">
        <f t="shared" si="4"/>
        <v>93</v>
      </c>
      <c r="B98" s="18"/>
      <c r="C98" s="36" t="str">
        <f t="shared" si="5"/>
        <v/>
      </c>
      <c r="D98" s="36" t="str">
        <f t="shared" si="6"/>
        <v/>
      </c>
      <c r="E98" s="17"/>
      <c r="F98" s="60"/>
      <c r="G98" s="50"/>
      <c r="H98" s="59" t="str">
        <f t="shared" si="7"/>
        <v/>
      </c>
      <c r="I98" s="17"/>
      <c r="J98" s="17"/>
    </row>
    <row r="99" spans="1:10">
      <c r="A99" s="17">
        <f t="shared" si="4"/>
        <v>94</v>
      </c>
      <c r="B99" s="18"/>
      <c r="C99" s="36" t="str">
        <f t="shared" si="5"/>
        <v/>
      </c>
      <c r="D99" s="36" t="str">
        <f t="shared" si="6"/>
        <v/>
      </c>
      <c r="E99" s="17"/>
      <c r="F99" s="60"/>
      <c r="G99" s="50"/>
      <c r="H99" s="59" t="str">
        <f t="shared" si="7"/>
        <v/>
      </c>
      <c r="I99" s="17"/>
      <c r="J99" s="17"/>
    </row>
    <row r="100" spans="1:10">
      <c r="A100" s="17">
        <f t="shared" si="4"/>
        <v>95</v>
      </c>
      <c r="B100" s="18"/>
      <c r="C100" s="36" t="str">
        <f t="shared" si="5"/>
        <v/>
      </c>
      <c r="D100" s="36" t="str">
        <f t="shared" si="6"/>
        <v/>
      </c>
      <c r="E100" s="17"/>
      <c r="F100" s="60"/>
      <c r="G100" s="50"/>
      <c r="H100" s="59" t="str">
        <f t="shared" si="7"/>
        <v/>
      </c>
      <c r="I100" s="17"/>
      <c r="J100" s="17"/>
    </row>
    <row r="101" spans="1:10">
      <c r="A101" s="17">
        <f t="shared" si="4"/>
        <v>96</v>
      </c>
      <c r="B101" s="18"/>
      <c r="C101" s="36" t="str">
        <f t="shared" si="5"/>
        <v/>
      </c>
      <c r="D101" s="36" t="str">
        <f t="shared" si="6"/>
        <v/>
      </c>
      <c r="E101" s="17"/>
      <c r="F101" s="60"/>
      <c r="G101" s="50"/>
      <c r="H101" s="59" t="str">
        <f t="shared" si="7"/>
        <v/>
      </c>
      <c r="I101" s="17"/>
      <c r="J101" s="17"/>
    </row>
    <row r="102" spans="1:10">
      <c r="A102" s="17">
        <f t="shared" si="4"/>
        <v>97</v>
      </c>
      <c r="B102" s="18"/>
      <c r="C102" s="36" t="str">
        <f t="shared" si="5"/>
        <v/>
      </c>
      <c r="D102" s="36" t="str">
        <f t="shared" si="6"/>
        <v/>
      </c>
      <c r="E102" s="17"/>
      <c r="F102" s="60"/>
      <c r="G102" s="50"/>
      <c r="H102" s="59" t="str">
        <f t="shared" si="7"/>
        <v/>
      </c>
      <c r="I102" s="17"/>
      <c r="J102" s="17"/>
    </row>
    <row r="103" spans="1:10">
      <c r="A103" s="17">
        <f t="shared" si="4"/>
        <v>98</v>
      </c>
      <c r="B103" s="18"/>
      <c r="C103" s="36" t="str">
        <f t="shared" si="5"/>
        <v/>
      </c>
      <c r="D103" s="36" t="str">
        <f t="shared" si="6"/>
        <v/>
      </c>
      <c r="E103" s="17"/>
      <c r="F103" s="60"/>
      <c r="G103" s="50"/>
      <c r="H103" s="59" t="str">
        <f t="shared" si="7"/>
        <v/>
      </c>
      <c r="I103" s="17"/>
      <c r="J103" s="17"/>
    </row>
    <row r="104" spans="1:10">
      <c r="A104" s="17">
        <f t="shared" si="4"/>
        <v>99</v>
      </c>
      <c r="B104" s="18"/>
      <c r="C104" s="36" t="str">
        <f t="shared" si="5"/>
        <v/>
      </c>
      <c r="D104" s="36" t="str">
        <f t="shared" si="6"/>
        <v/>
      </c>
      <c r="E104" s="17"/>
      <c r="F104" s="60"/>
      <c r="G104" s="50"/>
      <c r="H104" s="59" t="str">
        <f t="shared" si="7"/>
        <v/>
      </c>
      <c r="I104" s="17"/>
      <c r="J104" s="17"/>
    </row>
    <row r="105" spans="1:10">
      <c r="A105" s="17">
        <f t="shared" si="4"/>
        <v>100</v>
      </c>
      <c r="B105" s="18"/>
      <c r="C105" s="36" t="str">
        <f t="shared" si="5"/>
        <v/>
      </c>
      <c r="D105" s="36" t="str">
        <f t="shared" si="6"/>
        <v/>
      </c>
      <c r="E105" s="17"/>
      <c r="F105" s="60"/>
      <c r="G105" s="50"/>
      <c r="H105" s="59" t="str">
        <f t="shared" si="7"/>
        <v/>
      </c>
      <c r="I105" s="17"/>
      <c r="J105" s="17"/>
    </row>
    <row r="106" spans="1:10">
      <c r="A106" s="17">
        <f t="shared" si="4"/>
        <v>101</v>
      </c>
      <c r="B106" s="18"/>
      <c r="C106" s="36" t="str">
        <f t="shared" si="5"/>
        <v/>
      </c>
      <c r="D106" s="36" t="str">
        <f t="shared" si="6"/>
        <v/>
      </c>
      <c r="E106" s="17"/>
      <c r="F106" s="60"/>
      <c r="G106" s="50"/>
      <c r="H106" s="59" t="str">
        <f t="shared" si="7"/>
        <v/>
      </c>
      <c r="I106" s="17"/>
      <c r="J106" s="17"/>
    </row>
    <row r="107" spans="1:10">
      <c r="A107" s="17">
        <f t="shared" si="4"/>
        <v>102</v>
      </c>
      <c r="B107" s="18"/>
      <c r="C107" s="36" t="str">
        <f t="shared" si="5"/>
        <v/>
      </c>
      <c r="D107" s="36" t="str">
        <f t="shared" si="6"/>
        <v/>
      </c>
      <c r="E107" s="17"/>
      <c r="F107" s="60"/>
      <c r="G107" s="50"/>
      <c r="H107" s="59" t="str">
        <f t="shared" si="7"/>
        <v/>
      </c>
      <c r="I107" s="17"/>
      <c r="J107" s="17"/>
    </row>
    <row r="108" spans="1:10">
      <c r="A108" s="17">
        <f t="shared" si="4"/>
        <v>103</v>
      </c>
      <c r="B108" s="18"/>
      <c r="C108" s="36" t="str">
        <f t="shared" si="5"/>
        <v/>
      </c>
      <c r="D108" s="36" t="str">
        <f t="shared" si="6"/>
        <v/>
      </c>
      <c r="E108" s="17"/>
      <c r="F108" s="60"/>
      <c r="G108" s="50"/>
      <c r="H108" s="59" t="str">
        <f t="shared" si="7"/>
        <v/>
      </c>
      <c r="I108" s="17"/>
      <c r="J108" s="17"/>
    </row>
    <row r="109" spans="1:10">
      <c r="A109" s="17">
        <f t="shared" si="4"/>
        <v>104</v>
      </c>
      <c r="B109" s="18"/>
      <c r="C109" s="36" t="str">
        <f t="shared" si="5"/>
        <v/>
      </c>
      <c r="D109" s="36" t="str">
        <f t="shared" si="6"/>
        <v/>
      </c>
      <c r="E109" s="17"/>
      <c r="F109" s="60"/>
      <c r="G109" s="50"/>
      <c r="H109" s="59" t="str">
        <f t="shared" si="7"/>
        <v/>
      </c>
      <c r="I109" s="17"/>
      <c r="J109" s="17"/>
    </row>
    <row r="110" spans="1:10">
      <c r="A110" s="17">
        <f t="shared" si="4"/>
        <v>105</v>
      </c>
      <c r="B110" s="18"/>
      <c r="C110" s="36" t="str">
        <f t="shared" si="5"/>
        <v/>
      </c>
      <c r="D110" s="36" t="str">
        <f t="shared" si="6"/>
        <v/>
      </c>
      <c r="E110" s="17"/>
      <c r="F110" s="60"/>
      <c r="G110" s="50"/>
      <c r="H110" s="59" t="str">
        <f t="shared" si="7"/>
        <v/>
      </c>
      <c r="I110" s="17"/>
      <c r="J110" s="17"/>
    </row>
    <row r="111" spans="1:10">
      <c r="A111" s="17">
        <f t="shared" si="4"/>
        <v>106</v>
      </c>
      <c r="B111" s="18"/>
      <c r="C111" s="36" t="str">
        <f t="shared" si="5"/>
        <v/>
      </c>
      <c r="D111" s="36" t="str">
        <f t="shared" si="6"/>
        <v/>
      </c>
      <c r="E111" s="17"/>
      <c r="F111" s="60"/>
      <c r="G111" s="50"/>
      <c r="H111" s="59" t="str">
        <f t="shared" si="7"/>
        <v/>
      </c>
      <c r="I111" s="17"/>
      <c r="J111" s="17"/>
    </row>
    <row r="112" spans="1:10">
      <c r="A112" s="17">
        <f t="shared" si="4"/>
        <v>107</v>
      </c>
      <c r="B112" s="18"/>
      <c r="C112" s="36" t="str">
        <f t="shared" si="5"/>
        <v/>
      </c>
      <c r="D112" s="36" t="str">
        <f t="shared" si="6"/>
        <v/>
      </c>
      <c r="E112" s="17"/>
      <c r="F112" s="60"/>
      <c r="G112" s="50"/>
      <c r="H112" s="59" t="str">
        <f t="shared" si="7"/>
        <v/>
      </c>
      <c r="I112" s="17"/>
      <c r="J112" s="17"/>
    </row>
    <row r="113" spans="1:10">
      <c r="A113" s="17">
        <f t="shared" si="4"/>
        <v>108</v>
      </c>
      <c r="B113" s="18"/>
      <c r="C113" s="36" t="str">
        <f t="shared" si="5"/>
        <v/>
      </c>
      <c r="D113" s="36" t="str">
        <f t="shared" si="6"/>
        <v/>
      </c>
      <c r="E113" s="17"/>
      <c r="F113" s="60"/>
      <c r="G113" s="50"/>
      <c r="H113" s="59" t="str">
        <f t="shared" si="7"/>
        <v/>
      </c>
      <c r="I113" s="17"/>
      <c r="J113" s="17"/>
    </row>
    <row r="114" spans="1:10">
      <c r="A114" s="17">
        <f t="shared" si="4"/>
        <v>109</v>
      </c>
      <c r="B114" s="18"/>
      <c r="C114" s="36" t="str">
        <f t="shared" si="5"/>
        <v/>
      </c>
      <c r="D114" s="36" t="str">
        <f t="shared" si="6"/>
        <v/>
      </c>
      <c r="E114" s="17"/>
      <c r="F114" s="60"/>
      <c r="G114" s="50"/>
      <c r="H114" s="59" t="str">
        <f t="shared" si="7"/>
        <v/>
      </c>
      <c r="I114" s="17"/>
      <c r="J114" s="17"/>
    </row>
    <row r="115" spans="1:10">
      <c r="A115" s="17">
        <f t="shared" si="4"/>
        <v>110</v>
      </c>
      <c r="B115" s="18"/>
      <c r="C115" s="36" t="str">
        <f t="shared" si="5"/>
        <v/>
      </c>
      <c r="D115" s="36" t="str">
        <f t="shared" si="6"/>
        <v/>
      </c>
      <c r="E115" s="17"/>
      <c r="F115" s="60"/>
      <c r="G115" s="50"/>
      <c r="H115" s="59" t="str">
        <f t="shared" si="7"/>
        <v/>
      </c>
      <c r="I115" s="17"/>
      <c r="J115" s="17"/>
    </row>
    <row r="116" spans="1:10">
      <c r="A116" s="17">
        <f t="shared" si="4"/>
        <v>111</v>
      </c>
      <c r="B116" s="18"/>
      <c r="C116" s="36" t="str">
        <f t="shared" si="5"/>
        <v/>
      </c>
      <c r="D116" s="36" t="str">
        <f t="shared" si="6"/>
        <v/>
      </c>
      <c r="E116" s="17"/>
      <c r="F116" s="60"/>
      <c r="G116" s="50"/>
      <c r="H116" s="59" t="str">
        <f t="shared" si="7"/>
        <v/>
      </c>
      <c r="I116" s="17"/>
      <c r="J116" s="17"/>
    </row>
    <row r="117" spans="1:10">
      <c r="A117" s="17">
        <f t="shared" si="4"/>
        <v>112</v>
      </c>
      <c r="B117" s="18"/>
      <c r="C117" s="36" t="str">
        <f t="shared" si="5"/>
        <v/>
      </c>
      <c r="D117" s="36" t="str">
        <f t="shared" si="6"/>
        <v/>
      </c>
      <c r="E117" s="17"/>
      <c r="F117" s="60"/>
      <c r="G117" s="50"/>
      <c r="H117" s="59" t="str">
        <f t="shared" si="7"/>
        <v/>
      </c>
      <c r="I117" s="17"/>
      <c r="J117" s="17"/>
    </row>
    <row r="118" spans="1:10">
      <c r="A118" s="17">
        <f t="shared" si="4"/>
        <v>113</v>
      </c>
      <c r="B118" s="18"/>
      <c r="C118" s="36" t="str">
        <f t="shared" si="5"/>
        <v/>
      </c>
      <c r="D118" s="36" t="str">
        <f t="shared" si="6"/>
        <v/>
      </c>
      <c r="E118" s="17"/>
      <c r="F118" s="60"/>
      <c r="G118" s="50"/>
      <c r="H118" s="59" t="str">
        <f t="shared" si="7"/>
        <v/>
      </c>
      <c r="I118" s="17"/>
      <c r="J118" s="17"/>
    </row>
    <row r="119" spans="1:10">
      <c r="A119" s="17">
        <f t="shared" si="4"/>
        <v>114</v>
      </c>
      <c r="B119" s="18"/>
      <c r="C119" s="36" t="str">
        <f t="shared" si="5"/>
        <v/>
      </c>
      <c r="D119" s="36" t="str">
        <f t="shared" si="6"/>
        <v/>
      </c>
      <c r="E119" s="17"/>
      <c r="F119" s="60"/>
      <c r="G119" s="50"/>
      <c r="H119" s="59" t="str">
        <f t="shared" si="7"/>
        <v/>
      </c>
      <c r="I119" s="17"/>
      <c r="J119" s="17"/>
    </row>
    <row r="120" spans="1:10">
      <c r="A120" s="17">
        <f t="shared" si="4"/>
        <v>115</v>
      </c>
      <c r="B120" s="18"/>
      <c r="C120" s="36" t="str">
        <f t="shared" si="5"/>
        <v/>
      </c>
      <c r="D120" s="36" t="str">
        <f t="shared" si="6"/>
        <v/>
      </c>
      <c r="E120" s="17"/>
      <c r="F120" s="60"/>
      <c r="G120" s="50"/>
      <c r="H120" s="59" t="str">
        <f t="shared" si="7"/>
        <v/>
      </c>
      <c r="I120" s="17"/>
      <c r="J120" s="17"/>
    </row>
    <row r="121" spans="1:10">
      <c r="A121" s="17">
        <f t="shared" si="4"/>
        <v>116</v>
      </c>
      <c r="B121" s="18"/>
      <c r="C121" s="36" t="str">
        <f t="shared" si="5"/>
        <v/>
      </c>
      <c r="D121" s="36" t="str">
        <f t="shared" si="6"/>
        <v/>
      </c>
      <c r="E121" s="17"/>
      <c r="F121" s="60"/>
      <c r="G121" s="50"/>
      <c r="H121" s="59" t="str">
        <f t="shared" si="7"/>
        <v/>
      </c>
      <c r="I121" s="17"/>
      <c r="J121" s="17"/>
    </row>
    <row r="122" spans="1:10">
      <c r="A122" s="17">
        <f t="shared" si="4"/>
        <v>117</v>
      </c>
      <c r="B122" s="18"/>
      <c r="C122" s="36" t="str">
        <f t="shared" si="5"/>
        <v/>
      </c>
      <c r="D122" s="36" t="str">
        <f t="shared" si="6"/>
        <v/>
      </c>
      <c r="E122" s="17"/>
      <c r="F122" s="60"/>
      <c r="G122" s="50"/>
      <c r="H122" s="59" t="str">
        <f t="shared" si="7"/>
        <v/>
      </c>
      <c r="I122" s="17"/>
      <c r="J122" s="17"/>
    </row>
    <row r="123" spans="1:10">
      <c r="A123" s="17">
        <f t="shared" si="4"/>
        <v>118</v>
      </c>
      <c r="B123" s="18"/>
      <c r="C123" s="36" t="str">
        <f t="shared" si="5"/>
        <v/>
      </c>
      <c r="D123" s="36" t="str">
        <f t="shared" si="6"/>
        <v/>
      </c>
      <c r="E123" s="17"/>
      <c r="F123" s="60"/>
      <c r="G123" s="50"/>
      <c r="H123" s="59" t="str">
        <f t="shared" si="7"/>
        <v/>
      </c>
      <c r="I123" s="17"/>
      <c r="J123" s="17"/>
    </row>
    <row r="124" spans="1:10">
      <c r="A124" s="17">
        <f t="shared" si="4"/>
        <v>119</v>
      </c>
      <c r="B124" s="18"/>
      <c r="C124" s="36" t="str">
        <f t="shared" si="5"/>
        <v/>
      </c>
      <c r="D124" s="36" t="str">
        <f t="shared" si="6"/>
        <v/>
      </c>
      <c r="E124" s="17"/>
      <c r="F124" s="60"/>
      <c r="G124" s="50"/>
      <c r="H124" s="59" t="str">
        <f t="shared" si="7"/>
        <v/>
      </c>
      <c r="I124" s="17"/>
      <c r="J124" s="17"/>
    </row>
    <row r="125" spans="1:10">
      <c r="A125" s="17">
        <f t="shared" si="4"/>
        <v>120</v>
      </c>
      <c r="B125" s="18"/>
      <c r="C125" s="36" t="str">
        <f t="shared" si="5"/>
        <v/>
      </c>
      <c r="D125" s="36" t="str">
        <f t="shared" si="6"/>
        <v/>
      </c>
      <c r="E125" s="17"/>
      <c r="F125" s="60"/>
      <c r="G125" s="50"/>
      <c r="H125" s="59" t="str">
        <f t="shared" si="7"/>
        <v/>
      </c>
      <c r="I125" s="17"/>
      <c r="J125" s="17"/>
    </row>
    <row r="126" spans="1:10">
      <c r="A126" s="17">
        <f t="shared" si="4"/>
        <v>121</v>
      </c>
      <c r="B126" s="18"/>
      <c r="C126" s="36" t="str">
        <f t="shared" si="5"/>
        <v/>
      </c>
      <c r="D126" s="36" t="str">
        <f t="shared" si="6"/>
        <v/>
      </c>
      <c r="E126" s="17"/>
      <c r="F126" s="60"/>
      <c r="G126" s="50"/>
      <c r="H126" s="59" t="str">
        <f t="shared" si="7"/>
        <v/>
      </c>
      <c r="I126" s="17"/>
      <c r="J126" s="17"/>
    </row>
    <row r="127" spans="1:10">
      <c r="A127" s="17">
        <f t="shared" si="4"/>
        <v>122</v>
      </c>
      <c r="B127" s="18"/>
      <c r="C127" s="36" t="str">
        <f t="shared" si="5"/>
        <v/>
      </c>
      <c r="D127" s="36" t="str">
        <f t="shared" si="6"/>
        <v/>
      </c>
      <c r="E127" s="17"/>
      <c r="F127" s="60"/>
      <c r="G127" s="50"/>
      <c r="H127" s="59" t="str">
        <f t="shared" si="7"/>
        <v/>
      </c>
      <c r="I127" s="17"/>
      <c r="J127" s="17"/>
    </row>
    <row r="128" spans="1:10">
      <c r="A128" s="17">
        <f t="shared" si="4"/>
        <v>123</v>
      </c>
      <c r="B128" s="18"/>
      <c r="C128" s="36" t="str">
        <f t="shared" si="5"/>
        <v/>
      </c>
      <c r="D128" s="36" t="str">
        <f t="shared" si="6"/>
        <v/>
      </c>
      <c r="E128" s="17"/>
      <c r="F128" s="60"/>
      <c r="G128" s="50"/>
      <c r="H128" s="59" t="str">
        <f t="shared" si="7"/>
        <v/>
      </c>
      <c r="I128" s="17"/>
      <c r="J128" s="17"/>
    </row>
    <row r="129" spans="1:10">
      <c r="A129" s="17">
        <f t="shared" si="4"/>
        <v>124</v>
      </c>
      <c r="B129" s="18"/>
      <c r="C129" s="36" t="str">
        <f t="shared" si="5"/>
        <v/>
      </c>
      <c r="D129" s="36" t="str">
        <f t="shared" si="6"/>
        <v/>
      </c>
      <c r="E129" s="17"/>
      <c r="F129" s="60"/>
      <c r="G129" s="50"/>
      <c r="H129" s="59" t="str">
        <f t="shared" si="7"/>
        <v/>
      </c>
      <c r="I129" s="17"/>
      <c r="J129" s="17"/>
    </row>
    <row r="130" spans="1:10">
      <c r="A130" s="17">
        <f t="shared" si="4"/>
        <v>125</v>
      </c>
      <c r="B130" s="18"/>
      <c r="C130" s="36" t="str">
        <f t="shared" si="5"/>
        <v/>
      </c>
      <c r="D130" s="36" t="str">
        <f t="shared" si="6"/>
        <v/>
      </c>
      <c r="E130" s="17"/>
      <c r="F130" s="60"/>
      <c r="G130" s="50"/>
      <c r="H130" s="59" t="str">
        <f t="shared" si="7"/>
        <v/>
      </c>
      <c r="I130" s="17"/>
      <c r="J130" s="17"/>
    </row>
    <row r="131" spans="1:10">
      <c r="A131" s="17">
        <f t="shared" si="4"/>
        <v>126</v>
      </c>
      <c r="B131" s="18"/>
      <c r="C131" s="36" t="str">
        <f t="shared" si="5"/>
        <v/>
      </c>
      <c r="D131" s="36" t="str">
        <f t="shared" si="6"/>
        <v/>
      </c>
      <c r="E131" s="17"/>
      <c r="F131" s="60"/>
      <c r="G131" s="50"/>
      <c r="H131" s="59" t="str">
        <f t="shared" si="7"/>
        <v/>
      </c>
      <c r="I131" s="17"/>
      <c r="J131" s="17"/>
    </row>
    <row r="132" spans="1:10">
      <c r="A132" s="17">
        <f t="shared" si="4"/>
        <v>127</v>
      </c>
      <c r="B132" s="18"/>
      <c r="C132" s="36" t="str">
        <f t="shared" si="5"/>
        <v/>
      </c>
      <c r="D132" s="36" t="str">
        <f t="shared" si="6"/>
        <v/>
      </c>
      <c r="E132" s="17"/>
      <c r="F132" s="60"/>
      <c r="G132" s="50"/>
      <c r="H132" s="59" t="str">
        <f t="shared" si="7"/>
        <v/>
      </c>
      <c r="I132" s="17"/>
      <c r="J132" s="17"/>
    </row>
    <row r="133" spans="1:10">
      <c r="A133" s="17">
        <f t="shared" si="4"/>
        <v>128</v>
      </c>
      <c r="B133" s="18"/>
      <c r="C133" s="36" t="str">
        <f t="shared" si="5"/>
        <v/>
      </c>
      <c r="D133" s="36" t="str">
        <f t="shared" si="6"/>
        <v/>
      </c>
      <c r="E133" s="17"/>
      <c r="F133" s="60"/>
      <c r="G133" s="50"/>
      <c r="H133" s="59" t="str">
        <f t="shared" si="7"/>
        <v/>
      </c>
      <c r="I133" s="17"/>
      <c r="J133" s="17"/>
    </row>
    <row r="134" spans="1:10">
      <c r="A134" s="17">
        <f t="shared" si="4"/>
        <v>129</v>
      </c>
      <c r="B134" s="18"/>
      <c r="C134" s="36" t="str">
        <f t="shared" si="5"/>
        <v/>
      </c>
      <c r="D134" s="36" t="str">
        <f t="shared" si="6"/>
        <v/>
      </c>
      <c r="E134" s="17"/>
      <c r="F134" s="60"/>
      <c r="G134" s="50"/>
      <c r="H134" s="59" t="str">
        <f t="shared" si="7"/>
        <v/>
      </c>
      <c r="I134" s="17"/>
      <c r="J134" s="17"/>
    </row>
    <row r="135" spans="1:10">
      <c r="A135" s="17">
        <f t="shared" ref="A135:A198" si="8">ROW(A130)</f>
        <v>130</v>
      </c>
      <c r="B135" s="18"/>
      <c r="C135" s="36" t="str">
        <f t="shared" ref="C135:C198" si="9">IF(B135=0,"",TEXT(B135,"mmmm"))</f>
        <v/>
      </c>
      <c r="D135" s="36" t="str">
        <f t="shared" ref="D135:D198" si="10">IF(B135=0,"",TEXT(B135,"yyyy"))</f>
        <v/>
      </c>
      <c r="E135" s="17"/>
      <c r="F135" s="60"/>
      <c r="G135" s="50"/>
      <c r="H135" s="59" t="str">
        <f t="shared" ref="H135:H198" si="11">IF(G135*F135=0,"",G135*F135)</f>
        <v/>
      </c>
      <c r="I135" s="17"/>
      <c r="J135" s="17"/>
    </row>
    <row r="136" spans="1:10">
      <c r="A136" s="17">
        <f t="shared" si="8"/>
        <v>131</v>
      </c>
      <c r="B136" s="18"/>
      <c r="C136" s="36" t="str">
        <f t="shared" si="9"/>
        <v/>
      </c>
      <c r="D136" s="36" t="str">
        <f t="shared" si="10"/>
        <v/>
      </c>
      <c r="E136" s="17"/>
      <c r="F136" s="60"/>
      <c r="G136" s="50"/>
      <c r="H136" s="59" t="str">
        <f t="shared" si="11"/>
        <v/>
      </c>
      <c r="I136" s="17"/>
      <c r="J136" s="17"/>
    </row>
    <row r="137" spans="1:10">
      <c r="A137" s="17">
        <f t="shared" si="8"/>
        <v>132</v>
      </c>
      <c r="B137" s="18"/>
      <c r="C137" s="36" t="str">
        <f t="shared" si="9"/>
        <v/>
      </c>
      <c r="D137" s="36" t="str">
        <f t="shared" si="10"/>
        <v/>
      </c>
      <c r="E137" s="17"/>
      <c r="F137" s="60"/>
      <c r="G137" s="50"/>
      <c r="H137" s="59" t="str">
        <f t="shared" si="11"/>
        <v/>
      </c>
      <c r="I137" s="17"/>
      <c r="J137" s="17"/>
    </row>
    <row r="138" spans="1:10">
      <c r="A138" s="17">
        <f t="shared" si="8"/>
        <v>133</v>
      </c>
      <c r="B138" s="18"/>
      <c r="C138" s="36" t="str">
        <f t="shared" si="9"/>
        <v/>
      </c>
      <c r="D138" s="36" t="str">
        <f t="shared" si="10"/>
        <v/>
      </c>
      <c r="E138" s="17"/>
      <c r="F138" s="60"/>
      <c r="G138" s="50"/>
      <c r="H138" s="59" t="str">
        <f t="shared" si="11"/>
        <v/>
      </c>
      <c r="I138" s="17"/>
      <c r="J138" s="17"/>
    </row>
    <row r="139" spans="1:10">
      <c r="A139" s="17">
        <f t="shared" si="8"/>
        <v>134</v>
      </c>
      <c r="B139" s="18"/>
      <c r="C139" s="36" t="str">
        <f t="shared" si="9"/>
        <v/>
      </c>
      <c r="D139" s="36" t="str">
        <f t="shared" si="10"/>
        <v/>
      </c>
      <c r="E139" s="17"/>
      <c r="F139" s="60"/>
      <c r="G139" s="50"/>
      <c r="H139" s="59" t="str">
        <f t="shared" si="11"/>
        <v/>
      </c>
      <c r="I139" s="17"/>
      <c r="J139" s="17"/>
    </row>
    <row r="140" spans="1:10">
      <c r="A140" s="17">
        <f t="shared" si="8"/>
        <v>135</v>
      </c>
      <c r="B140" s="18"/>
      <c r="C140" s="36" t="str">
        <f t="shared" si="9"/>
        <v/>
      </c>
      <c r="D140" s="36" t="str">
        <f t="shared" si="10"/>
        <v/>
      </c>
      <c r="E140" s="17"/>
      <c r="F140" s="60"/>
      <c r="G140" s="50"/>
      <c r="H140" s="59" t="str">
        <f t="shared" si="11"/>
        <v/>
      </c>
      <c r="I140" s="17"/>
      <c r="J140" s="17"/>
    </row>
    <row r="141" spans="1:10">
      <c r="A141" s="17">
        <f t="shared" si="8"/>
        <v>136</v>
      </c>
      <c r="B141" s="18"/>
      <c r="C141" s="36" t="str">
        <f t="shared" si="9"/>
        <v/>
      </c>
      <c r="D141" s="36" t="str">
        <f t="shared" si="10"/>
        <v/>
      </c>
      <c r="E141" s="17"/>
      <c r="F141" s="60"/>
      <c r="G141" s="50"/>
      <c r="H141" s="59" t="str">
        <f t="shared" si="11"/>
        <v/>
      </c>
      <c r="I141" s="17"/>
      <c r="J141" s="17"/>
    </row>
    <row r="142" spans="1:10">
      <c r="A142" s="17">
        <f t="shared" si="8"/>
        <v>137</v>
      </c>
      <c r="B142" s="18"/>
      <c r="C142" s="36" t="str">
        <f t="shared" si="9"/>
        <v/>
      </c>
      <c r="D142" s="36" t="str">
        <f t="shared" si="10"/>
        <v/>
      </c>
      <c r="E142" s="17"/>
      <c r="F142" s="60"/>
      <c r="G142" s="50"/>
      <c r="H142" s="59" t="str">
        <f t="shared" si="11"/>
        <v/>
      </c>
      <c r="I142" s="17"/>
      <c r="J142" s="17"/>
    </row>
    <row r="143" spans="1:10">
      <c r="A143" s="17">
        <f t="shared" si="8"/>
        <v>138</v>
      </c>
      <c r="B143" s="18"/>
      <c r="C143" s="36" t="str">
        <f t="shared" si="9"/>
        <v/>
      </c>
      <c r="D143" s="36" t="str">
        <f t="shared" si="10"/>
        <v/>
      </c>
      <c r="E143" s="17"/>
      <c r="F143" s="60"/>
      <c r="G143" s="50"/>
      <c r="H143" s="59" t="str">
        <f t="shared" si="11"/>
        <v/>
      </c>
      <c r="I143" s="17"/>
      <c r="J143" s="17"/>
    </row>
    <row r="144" spans="1:10">
      <c r="A144" s="17">
        <f t="shared" si="8"/>
        <v>139</v>
      </c>
      <c r="B144" s="18"/>
      <c r="C144" s="36" t="str">
        <f t="shared" si="9"/>
        <v/>
      </c>
      <c r="D144" s="36" t="str">
        <f t="shared" si="10"/>
        <v/>
      </c>
      <c r="E144" s="17"/>
      <c r="F144" s="60"/>
      <c r="G144" s="50"/>
      <c r="H144" s="59" t="str">
        <f t="shared" si="11"/>
        <v/>
      </c>
      <c r="I144" s="17"/>
      <c r="J144" s="17"/>
    </row>
    <row r="145" spans="1:10">
      <c r="A145" s="17">
        <f t="shared" si="8"/>
        <v>140</v>
      </c>
      <c r="B145" s="18"/>
      <c r="C145" s="36" t="str">
        <f t="shared" si="9"/>
        <v/>
      </c>
      <c r="D145" s="36" t="str">
        <f t="shared" si="10"/>
        <v/>
      </c>
      <c r="E145" s="17"/>
      <c r="F145" s="60"/>
      <c r="G145" s="50"/>
      <c r="H145" s="59" t="str">
        <f t="shared" si="11"/>
        <v/>
      </c>
      <c r="I145" s="17"/>
      <c r="J145" s="17"/>
    </row>
    <row r="146" spans="1:10">
      <c r="A146" s="17">
        <f t="shared" si="8"/>
        <v>141</v>
      </c>
      <c r="B146" s="18"/>
      <c r="C146" s="36" t="str">
        <f t="shared" si="9"/>
        <v/>
      </c>
      <c r="D146" s="36" t="str">
        <f t="shared" si="10"/>
        <v/>
      </c>
      <c r="E146" s="17"/>
      <c r="F146" s="60"/>
      <c r="G146" s="50"/>
      <c r="H146" s="59" t="str">
        <f t="shared" si="11"/>
        <v/>
      </c>
      <c r="I146" s="17"/>
      <c r="J146" s="17"/>
    </row>
    <row r="147" spans="1:10">
      <c r="A147" s="17">
        <f t="shared" si="8"/>
        <v>142</v>
      </c>
      <c r="B147" s="18"/>
      <c r="C147" s="36" t="str">
        <f t="shared" si="9"/>
        <v/>
      </c>
      <c r="D147" s="36" t="str">
        <f t="shared" si="10"/>
        <v/>
      </c>
      <c r="E147" s="17"/>
      <c r="F147" s="60"/>
      <c r="G147" s="50"/>
      <c r="H147" s="59" t="str">
        <f t="shared" si="11"/>
        <v/>
      </c>
      <c r="I147" s="17"/>
      <c r="J147" s="17"/>
    </row>
    <row r="148" spans="1:10">
      <c r="A148" s="17">
        <f t="shared" si="8"/>
        <v>143</v>
      </c>
      <c r="B148" s="18"/>
      <c r="C148" s="36" t="str">
        <f t="shared" si="9"/>
        <v/>
      </c>
      <c r="D148" s="36" t="str">
        <f t="shared" si="10"/>
        <v/>
      </c>
      <c r="E148" s="17"/>
      <c r="F148" s="60"/>
      <c r="G148" s="50"/>
      <c r="H148" s="59" t="str">
        <f t="shared" si="11"/>
        <v/>
      </c>
      <c r="I148" s="17"/>
      <c r="J148" s="17"/>
    </row>
    <row r="149" spans="1:10">
      <c r="A149" s="17">
        <f t="shared" si="8"/>
        <v>144</v>
      </c>
      <c r="B149" s="18"/>
      <c r="C149" s="36" t="str">
        <f t="shared" si="9"/>
        <v/>
      </c>
      <c r="D149" s="36" t="str">
        <f t="shared" si="10"/>
        <v/>
      </c>
      <c r="E149" s="17"/>
      <c r="F149" s="60"/>
      <c r="G149" s="50"/>
      <c r="H149" s="59" t="str">
        <f t="shared" si="11"/>
        <v/>
      </c>
      <c r="I149" s="17"/>
      <c r="J149" s="17"/>
    </row>
    <row r="150" spans="1:10">
      <c r="A150" s="17">
        <f t="shared" si="8"/>
        <v>145</v>
      </c>
      <c r="B150" s="18"/>
      <c r="C150" s="36" t="str">
        <f t="shared" si="9"/>
        <v/>
      </c>
      <c r="D150" s="36" t="str">
        <f t="shared" si="10"/>
        <v/>
      </c>
      <c r="E150" s="17"/>
      <c r="F150" s="60"/>
      <c r="G150" s="50"/>
      <c r="H150" s="59" t="str">
        <f t="shared" si="11"/>
        <v/>
      </c>
      <c r="I150" s="17"/>
      <c r="J150" s="17"/>
    </row>
    <row r="151" spans="1:10">
      <c r="A151" s="17">
        <f t="shared" si="8"/>
        <v>146</v>
      </c>
      <c r="B151" s="18"/>
      <c r="C151" s="36" t="str">
        <f t="shared" si="9"/>
        <v/>
      </c>
      <c r="D151" s="36" t="str">
        <f t="shared" si="10"/>
        <v/>
      </c>
      <c r="E151" s="17"/>
      <c r="F151" s="60"/>
      <c r="G151" s="50"/>
      <c r="H151" s="59" t="str">
        <f t="shared" si="11"/>
        <v/>
      </c>
      <c r="I151" s="17"/>
      <c r="J151" s="17"/>
    </row>
    <row r="152" spans="1:10">
      <c r="A152" s="17">
        <f t="shared" si="8"/>
        <v>147</v>
      </c>
      <c r="B152" s="18"/>
      <c r="C152" s="36" t="str">
        <f t="shared" si="9"/>
        <v/>
      </c>
      <c r="D152" s="36" t="str">
        <f t="shared" si="10"/>
        <v/>
      </c>
      <c r="E152" s="17"/>
      <c r="F152" s="60"/>
      <c r="G152" s="50"/>
      <c r="H152" s="59" t="str">
        <f t="shared" si="11"/>
        <v/>
      </c>
      <c r="I152" s="17"/>
      <c r="J152" s="17"/>
    </row>
    <row r="153" spans="1:10">
      <c r="A153" s="17">
        <f t="shared" si="8"/>
        <v>148</v>
      </c>
      <c r="B153" s="18"/>
      <c r="C153" s="36" t="str">
        <f t="shared" si="9"/>
        <v/>
      </c>
      <c r="D153" s="36" t="str">
        <f t="shared" si="10"/>
        <v/>
      </c>
      <c r="E153" s="17"/>
      <c r="F153" s="60"/>
      <c r="G153" s="50"/>
      <c r="H153" s="59" t="str">
        <f t="shared" si="11"/>
        <v/>
      </c>
      <c r="I153" s="17"/>
      <c r="J153" s="17"/>
    </row>
    <row r="154" spans="1:10">
      <c r="A154" s="17">
        <f t="shared" si="8"/>
        <v>149</v>
      </c>
      <c r="B154" s="18"/>
      <c r="C154" s="36" t="str">
        <f t="shared" si="9"/>
        <v/>
      </c>
      <c r="D154" s="36" t="str">
        <f t="shared" si="10"/>
        <v/>
      </c>
      <c r="E154" s="17"/>
      <c r="F154" s="60"/>
      <c r="G154" s="50"/>
      <c r="H154" s="59" t="str">
        <f t="shared" si="11"/>
        <v/>
      </c>
      <c r="I154" s="17"/>
      <c r="J154" s="17"/>
    </row>
    <row r="155" spans="1:10">
      <c r="A155" s="17">
        <f t="shared" si="8"/>
        <v>150</v>
      </c>
      <c r="B155" s="18"/>
      <c r="C155" s="36" t="str">
        <f t="shared" si="9"/>
        <v/>
      </c>
      <c r="D155" s="36" t="str">
        <f t="shared" si="10"/>
        <v/>
      </c>
      <c r="E155" s="17"/>
      <c r="F155" s="60"/>
      <c r="G155" s="50"/>
      <c r="H155" s="59" t="str">
        <f t="shared" si="11"/>
        <v/>
      </c>
      <c r="I155" s="17"/>
      <c r="J155" s="17"/>
    </row>
    <row r="156" spans="1:10">
      <c r="A156" s="17">
        <f t="shared" si="8"/>
        <v>151</v>
      </c>
      <c r="B156" s="18"/>
      <c r="C156" s="36" t="str">
        <f t="shared" si="9"/>
        <v/>
      </c>
      <c r="D156" s="36" t="str">
        <f t="shared" si="10"/>
        <v/>
      </c>
      <c r="E156" s="17"/>
      <c r="F156" s="60"/>
      <c r="G156" s="50"/>
      <c r="H156" s="59" t="str">
        <f t="shared" si="11"/>
        <v/>
      </c>
      <c r="I156" s="17"/>
      <c r="J156" s="17"/>
    </row>
    <row r="157" spans="1:10">
      <c r="A157" s="17">
        <f t="shared" si="8"/>
        <v>152</v>
      </c>
      <c r="B157" s="18"/>
      <c r="C157" s="36" t="str">
        <f t="shared" si="9"/>
        <v/>
      </c>
      <c r="D157" s="36" t="str">
        <f t="shared" si="10"/>
        <v/>
      </c>
      <c r="E157" s="17"/>
      <c r="F157" s="60"/>
      <c r="G157" s="50"/>
      <c r="H157" s="59" t="str">
        <f t="shared" si="11"/>
        <v/>
      </c>
      <c r="I157" s="17"/>
      <c r="J157" s="17"/>
    </row>
    <row r="158" spans="1:10">
      <c r="A158" s="17">
        <f t="shared" si="8"/>
        <v>153</v>
      </c>
      <c r="B158" s="18"/>
      <c r="C158" s="36" t="str">
        <f t="shared" si="9"/>
        <v/>
      </c>
      <c r="D158" s="36" t="str">
        <f t="shared" si="10"/>
        <v/>
      </c>
      <c r="E158" s="17"/>
      <c r="F158" s="60"/>
      <c r="G158" s="50"/>
      <c r="H158" s="59" t="str">
        <f t="shared" si="11"/>
        <v/>
      </c>
      <c r="I158" s="17"/>
      <c r="J158" s="17"/>
    </row>
    <row r="159" spans="1:10">
      <c r="A159" s="17">
        <f t="shared" si="8"/>
        <v>154</v>
      </c>
      <c r="B159" s="18"/>
      <c r="C159" s="36" t="str">
        <f t="shared" si="9"/>
        <v/>
      </c>
      <c r="D159" s="36" t="str">
        <f t="shared" si="10"/>
        <v/>
      </c>
      <c r="E159" s="17"/>
      <c r="F159" s="60"/>
      <c r="G159" s="50"/>
      <c r="H159" s="59" t="str">
        <f t="shared" si="11"/>
        <v/>
      </c>
      <c r="I159" s="17"/>
      <c r="J159" s="17"/>
    </row>
    <row r="160" spans="1:10">
      <c r="A160" s="17">
        <f t="shared" si="8"/>
        <v>155</v>
      </c>
      <c r="B160" s="18"/>
      <c r="C160" s="36" t="str">
        <f t="shared" si="9"/>
        <v/>
      </c>
      <c r="D160" s="36" t="str">
        <f t="shared" si="10"/>
        <v/>
      </c>
      <c r="E160" s="17"/>
      <c r="F160" s="60"/>
      <c r="G160" s="50"/>
      <c r="H160" s="59" t="str">
        <f t="shared" si="11"/>
        <v/>
      </c>
      <c r="I160" s="17"/>
      <c r="J160" s="17"/>
    </row>
    <row r="161" spans="1:10">
      <c r="A161" s="17">
        <f t="shared" si="8"/>
        <v>156</v>
      </c>
      <c r="B161" s="18"/>
      <c r="C161" s="36" t="str">
        <f t="shared" si="9"/>
        <v/>
      </c>
      <c r="D161" s="36" t="str">
        <f t="shared" si="10"/>
        <v/>
      </c>
      <c r="E161" s="17"/>
      <c r="F161" s="60"/>
      <c r="G161" s="50"/>
      <c r="H161" s="59" t="str">
        <f t="shared" si="11"/>
        <v/>
      </c>
      <c r="I161" s="17"/>
      <c r="J161" s="17"/>
    </row>
    <row r="162" spans="1:10">
      <c r="A162" s="17">
        <f t="shared" si="8"/>
        <v>157</v>
      </c>
      <c r="B162" s="18"/>
      <c r="C162" s="36" t="str">
        <f t="shared" si="9"/>
        <v/>
      </c>
      <c r="D162" s="36" t="str">
        <f t="shared" si="10"/>
        <v/>
      </c>
      <c r="E162" s="17"/>
      <c r="F162" s="60"/>
      <c r="G162" s="50"/>
      <c r="H162" s="59" t="str">
        <f t="shared" si="11"/>
        <v/>
      </c>
      <c r="I162" s="17"/>
      <c r="J162" s="17"/>
    </row>
    <row r="163" spans="1:10">
      <c r="A163" s="17">
        <f t="shared" si="8"/>
        <v>158</v>
      </c>
      <c r="B163" s="18"/>
      <c r="C163" s="36" t="str">
        <f t="shared" si="9"/>
        <v/>
      </c>
      <c r="D163" s="36" t="str">
        <f t="shared" si="10"/>
        <v/>
      </c>
      <c r="E163" s="17"/>
      <c r="F163" s="60"/>
      <c r="G163" s="50"/>
      <c r="H163" s="59" t="str">
        <f t="shared" si="11"/>
        <v/>
      </c>
      <c r="I163" s="17"/>
      <c r="J163" s="17"/>
    </row>
    <row r="164" spans="1:10">
      <c r="A164" s="17">
        <f t="shared" si="8"/>
        <v>159</v>
      </c>
      <c r="B164" s="18"/>
      <c r="C164" s="36" t="str">
        <f t="shared" si="9"/>
        <v/>
      </c>
      <c r="D164" s="36" t="str">
        <f t="shared" si="10"/>
        <v/>
      </c>
      <c r="E164" s="17"/>
      <c r="F164" s="60"/>
      <c r="G164" s="50"/>
      <c r="H164" s="59" t="str">
        <f t="shared" si="11"/>
        <v/>
      </c>
      <c r="I164" s="17"/>
      <c r="J164" s="17"/>
    </row>
    <row r="165" spans="1:10">
      <c r="A165" s="17">
        <f t="shared" si="8"/>
        <v>160</v>
      </c>
      <c r="B165" s="18"/>
      <c r="C165" s="36" t="str">
        <f t="shared" si="9"/>
        <v/>
      </c>
      <c r="D165" s="36" t="str">
        <f t="shared" si="10"/>
        <v/>
      </c>
      <c r="E165" s="17"/>
      <c r="F165" s="60"/>
      <c r="G165" s="50"/>
      <c r="H165" s="59" t="str">
        <f t="shared" si="11"/>
        <v/>
      </c>
      <c r="I165" s="17"/>
      <c r="J165" s="17"/>
    </row>
    <row r="166" spans="1:10">
      <c r="A166" s="17">
        <f t="shared" si="8"/>
        <v>161</v>
      </c>
      <c r="B166" s="18"/>
      <c r="C166" s="36" t="str">
        <f t="shared" si="9"/>
        <v/>
      </c>
      <c r="D166" s="36" t="str">
        <f t="shared" si="10"/>
        <v/>
      </c>
      <c r="E166" s="17"/>
      <c r="F166" s="60"/>
      <c r="G166" s="50"/>
      <c r="H166" s="59" t="str">
        <f t="shared" si="11"/>
        <v/>
      </c>
      <c r="I166" s="17"/>
      <c r="J166" s="17"/>
    </row>
    <row r="167" spans="1:10">
      <c r="A167" s="17">
        <f t="shared" si="8"/>
        <v>162</v>
      </c>
      <c r="B167" s="18"/>
      <c r="C167" s="36" t="str">
        <f t="shared" si="9"/>
        <v/>
      </c>
      <c r="D167" s="36" t="str">
        <f t="shared" si="10"/>
        <v/>
      </c>
      <c r="E167" s="17"/>
      <c r="F167" s="60"/>
      <c r="G167" s="50"/>
      <c r="H167" s="59" t="str">
        <f t="shared" si="11"/>
        <v/>
      </c>
      <c r="I167" s="17"/>
      <c r="J167" s="17"/>
    </row>
    <row r="168" spans="1:10">
      <c r="A168" s="17">
        <f t="shared" si="8"/>
        <v>163</v>
      </c>
      <c r="B168" s="18"/>
      <c r="C168" s="36" t="str">
        <f t="shared" si="9"/>
        <v/>
      </c>
      <c r="D168" s="36" t="str">
        <f t="shared" si="10"/>
        <v/>
      </c>
      <c r="E168" s="17"/>
      <c r="F168" s="60"/>
      <c r="G168" s="50"/>
      <c r="H168" s="59" t="str">
        <f t="shared" si="11"/>
        <v/>
      </c>
      <c r="I168" s="17"/>
      <c r="J168" s="17"/>
    </row>
    <row r="169" spans="1:10">
      <c r="A169" s="17">
        <f t="shared" si="8"/>
        <v>164</v>
      </c>
      <c r="B169" s="18"/>
      <c r="C169" s="36" t="str">
        <f t="shared" si="9"/>
        <v/>
      </c>
      <c r="D169" s="36" t="str">
        <f t="shared" si="10"/>
        <v/>
      </c>
      <c r="E169" s="17"/>
      <c r="F169" s="60"/>
      <c r="G169" s="50"/>
      <c r="H169" s="59" t="str">
        <f t="shared" si="11"/>
        <v/>
      </c>
      <c r="I169" s="17"/>
      <c r="J169" s="17"/>
    </row>
    <row r="170" spans="1:10">
      <c r="A170" s="17">
        <f t="shared" si="8"/>
        <v>165</v>
      </c>
      <c r="B170" s="18"/>
      <c r="C170" s="36" t="str">
        <f t="shared" si="9"/>
        <v/>
      </c>
      <c r="D170" s="36" t="str">
        <f t="shared" si="10"/>
        <v/>
      </c>
      <c r="E170" s="17"/>
      <c r="F170" s="60"/>
      <c r="G170" s="50"/>
      <c r="H170" s="59" t="str">
        <f t="shared" si="11"/>
        <v/>
      </c>
      <c r="I170" s="17"/>
      <c r="J170" s="17"/>
    </row>
    <row r="171" spans="1:10">
      <c r="A171" s="17">
        <f t="shared" si="8"/>
        <v>166</v>
      </c>
      <c r="B171" s="18"/>
      <c r="C171" s="36" t="str">
        <f t="shared" si="9"/>
        <v/>
      </c>
      <c r="D171" s="36" t="str">
        <f t="shared" si="10"/>
        <v/>
      </c>
      <c r="E171" s="17"/>
      <c r="F171" s="60"/>
      <c r="G171" s="50"/>
      <c r="H171" s="59" t="str">
        <f t="shared" si="11"/>
        <v/>
      </c>
      <c r="I171" s="17"/>
      <c r="J171" s="17"/>
    </row>
    <row r="172" spans="1:10">
      <c r="A172" s="17">
        <f t="shared" si="8"/>
        <v>167</v>
      </c>
      <c r="B172" s="18"/>
      <c r="C172" s="36" t="str">
        <f t="shared" si="9"/>
        <v/>
      </c>
      <c r="D172" s="36" t="str">
        <f t="shared" si="10"/>
        <v/>
      </c>
      <c r="E172" s="17"/>
      <c r="F172" s="60"/>
      <c r="G172" s="50"/>
      <c r="H172" s="59" t="str">
        <f t="shared" si="11"/>
        <v/>
      </c>
      <c r="I172" s="17"/>
      <c r="J172" s="17"/>
    </row>
    <row r="173" spans="1:10">
      <c r="A173" s="17">
        <f t="shared" si="8"/>
        <v>168</v>
      </c>
      <c r="B173" s="18"/>
      <c r="C173" s="36" t="str">
        <f t="shared" si="9"/>
        <v/>
      </c>
      <c r="D173" s="36" t="str">
        <f t="shared" si="10"/>
        <v/>
      </c>
      <c r="E173" s="17"/>
      <c r="F173" s="60"/>
      <c r="G173" s="50"/>
      <c r="H173" s="59" t="str">
        <f t="shared" si="11"/>
        <v/>
      </c>
      <c r="I173" s="17"/>
      <c r="J173" s="17"/>
    </row>
    <row r="174" spans="1:10">
      <c r="A174" s="17">
        <f t="shared" si="8"/>
        <v>169</v>
      </c>
      <c r="B174" s="18"/>
      <c r="C174" s="36" t="str">
        <f t="shared" si="9"/>
        <v/>
      </c>
      <c r="D174" s="36" t="str">
        <f t="shared" si="10"/>
        <v/>
      </c>
      <c r="E174" s="17"/>
      <c r="F174" s="60"/>
      <c r="G174" s="50"/>
      <c r="H174" s="59" t="str">
        <f t="shared" si="11"/>
        <v/>
      </c>
      <c r="I174" s="17"/>
      <c r="J174" s="17"/>
    </row>
    <row r="175" spans="1:10">
      <c r="A175" s="17">
        <f t="shared" si="8"/>
        <v>170</v>
      </c>
      <c r="B175" s="18"/>
      <c r="C175" s="36" t="str">
        <f t="shared" si="9"/>
        <v/>
      </c>
      <c r="D175" s="36" t="str">
        <f t="shared" si="10"/>
        <v/>
      </c>
      <c r="E175" s="17"/>
      <c r="F175" s="60"/>
      <c r="G175" s="50"/>
      <c r="H175" s="59" t="str">
        <f t="shared" si="11"/>
        <v/>
      </c>
      <c r="I175" s="17"/>
      <c r="J175" s="17"/>
    </row>
    <row r="176" spans="1:10">
      <c r="A176" s="17">
        <f t="shared" si="8"/>
        <v>171</v>
      </c>
      <c r="B176" s="18"/>
      <c r="C176" s="36" t="str">
        <f t="shared" si="9"/>
        <v/>
      </c>
      <c r="D176" s="36" t="str">
        <f t="shared" si="10"/>
        <v/>
      </c>
      <c r="E176" s="17"/>
      <c r="F176" s="60"/>
      <c r="G176" s="50"/>
      <c r="H176" s="59" t="str">
        <f t="shared" si="11"/>
        <v/>
      </c>
      <c r="I176" s="17"/>
      <c r="J176" s="17"/>
    </row>
    <row r="177" spans="1:10">
      <c r="A177" s="17">
        <f t="shared" si="8"/>
        <v>172</v>
      </c>
      <c r="B177" s="18"/>
      <c r="C177" s="36" t="str">
        <f t="shared" si="9"/>
        <v/>
      </c>
      <c r="D177" s="36" t="str">
        <f t="shared" si="10"/>
        <v/>
      </c>
      <c r="E177" s="17"/>
      <c r="F177" s="60"/>
      <c r="G177" s="50"/>
      <c r="H177" s="59" t="str">
        <f t="shared" si="11"/>
        <v/>
      </c>
      <c r="I177" s="17"/>
      <c r="J177" s="17"/>
    </row>
    <row r="178" spans="1:10">
      <c r="A178" s="17">
        <f t="shared" si="8"/>
        <v>173</v>
      </c>
      <c r="B178" s="18"/>
      <c r="C178" s="36" t="str">
        <f t="shared" si="9"/>
        <v/>
      </c>
      <c r="D178" s="36" t="str">
        <f t="shared" si="10"/>
        <v/>
      </c>
      <c r="E178" s="17"/>
      <c r="F178" s="60"/>
      <c r="G178" s="50"/>
      <c r="H178" s="59" t="str">
        <f t="shared" si="11"/>
        <v/>
      </c>
      <c r="I178" s="17"/>
      <c r="J178" s="17"/>
    </row>
    <row r="179" spans="1:10">
      <c r="A179" s="17">
        <f t="shared" si="8"/>
        <v>174</v>
      </c>
      <c r="B179" s="18"/>
      <c r="C179" s="36" t="str">
        <f t="shared" si="9"/>
        <v/>
      </c>
      <c r="D179" s="36" t="str">
        <f t="shared" si="10"/>
        <v/>
      </c>
      <c r="E179" s="17"/>
      <c r="F179" s="60"/>
      <c r="G179" s="50"/>
      <c r="H179" s="59" t="str">
        <f t="shared" si="11"/>
        <v/>
      </c>
      <c r="I179" s="17"/>
      <c r="J179" s="17"/>
    </row>
    <row r="180" spans="1:10">
      <c r="A180" s="17">
        <f t="shared" si="8"/>
        <v>175</v>
      </c>
      <c r="B180" s="18"/>
      <c r="C180" s="36" t="str">
        <f t="shared" si="9"/>
        <v/>
      </c>
      <c r="D180" s="36" t="str">
        <f t="shared" si="10"/>
        <v/>
      </c>
      <c r="E180" s="17"/>
      <c r="F180" s="60"/>
      <c r="G180" s="50"/>
      <c r="H180" s="59" t="str">
        <f t="shared" si="11"/>
        <v/>
      </c>
      <c r="I180" s="17"/>
      <c r="J180" s="17"/>
    </row>
    <row r="181" spans="1:10">
      <c r="A181" s="17">
        <f t="shared" si="8"/>
        <v>176</v>
      </c>
      <c r="B181" s="18"/>
      <c r="C181" s="36" t="str">
        <f t="shared" si="9"/>
        <v/>
      </c>
      <c r="D181" s="36" t="str">
        <f t="shared" si="10"/>
        <v/>
      </c>
      <c r="E181" s="17"/>
      <c r="F181" s="60"/>
      <c r="G181" s="50"/>
      <c r="H181" s="59" t="str">
        <f t="shared" si="11"/>
        <v/>
      </c>
      <c r="I181" s="17"/>
      <c r="J181" s="17"/>
    </row>
    <row r="182" spans="1:10">
      <c r="A182" s="17">
        <f t="shared" si="8"/>
        <v>177</v>
      </c>
      <c r="B182" s="18"/>
      <c r="C182" s="36" t="str">
        <f t="shared" si="9"/>
        <v/>
      </c>
      <c r="D182" s="36" t="str">
        <f t="shared" si="10"/>
        <v/>
      </c>
      <c r="E182" s="17"/>
      <c r="F182" s="60"/>
      <c r="G182" s="50"/>
      <c r="H182" s="59" t="str">
        <f t="shared" si="11"/>
        <v/>
      </c>
      <c r="I182" s="17"/>
      <c r="J182" s="17"/>
    </row>
    <row r="183" spans="1:10">
      <c r="A183" s="17">
        <f t="shared" si="8"/>
        <v>178</v>
      </c>
      <c r="B183" s="18"/>
      <c r="C183" s="36" t="str">
        <f t="shared" si="9"/>
        <v/>
      </c>
      <c r="D183" s="36" t="str">
        <f t="shared" si="10"/>
        <v/>
      </c>
      <c r="E183" s="17"/>
      <c r="F183" s="60"/>
      <c r="G183" s="50"/>
      <c r="H183" s="59" t="str">
        <f t="shared" si="11"/>
        <v/>
      </c>
      <c r="I183" s="17"/>
      <c r="J183" s="17"/>
    </row>
    <row r="184" spans="1:10">
      <c r="A184" s="17">
        <f t="shared" si="8"/>
        <v>179</v>
      </c>
      <c r="B184" s="18"/>
      <c r="C184" s="36" t="str">
        <f t="shared" si="9"/>
        <v/>
      </c>
      <c r="D184" s="36" t="str">
        <f t="shared" si="10"/>
        <v/>
      </c>
      <c r="E184" s="17"/>
      <c r="F184" s="60"/>
      <c r="G184" s="50"/>
      <c r="H184" s="59" t="str">
        <f t="shared" si="11"/>
        <v/>
      </c>
      <c r="I184" s="17"/>
      <c r="J184" s="17"/>
    </row>
    <row r="185" spans="1:10">
      <c r="A185" s="17">
        <f t="shared" si="8"/>
        <v>180</v>
      </c>
      <c r="B185" s="18"/>
      <c r="C185" s="36" t="str">
        <f t="shared" si="9"/>
        <v/>
      </c>
      <c r="D185" s="36" t="str">
        <f t="shared" si="10"/>
        <v/>
      </c>
      <c r="E185" s="17"/>
      <c r="F185" s="60"/>
      <c r="G185" s="50"/>
      <c r="H185" s="59" t="str">
        <f t="shared" si="11"/>
        <v/>
      </c>
      <c r="I185" s="17"/>
      <c r="J185" s="17"/>
    </row>
    <row r="186" spans="1:10">
      <c r="A186" s="17">
        <f t="shared" si="8"/>
        <v>181</v>
      </c>
      <c r="B186" s="18"/>
      <c r="C186" s="36" t="str">
        <f t="shared" si="9"/>
        <v/>
      </c>
      <c r="D186" s="36" t="str">
        <f t="shared" si="10"/>
        <v/>
      </c>
      <c r="E186" s="17"/>
      <c r="F186" s="60"/>
      <c r="G186" s="50"/>
      <c r="H186" s="59" t="str">
        <f t="shared" si="11"/>
        <v/>
      </c>
      <c r="I186" s="17"/>
      <c r="J186" s="17"/>
    </row>
    <row r="187" spans="1:10">
      <c r="A187" s="17">
        <f t="shared" si="8"/>
        <v>182</v>
      </c>
      <c r="B187" s="18"/>
      <c r="C187" s="36" t="str">
        <f t="shared" si="9"/>
        <v/>
      </c>
      <c r="D187" s="36" t="str">
        <f t="shared" si="10"/>
        <v/>
      </c>
      <c r="E187" s="17"/>
      <c r="F187" s="60"/>
      <c r="G187" s="50"/>
      <c r="H187" s="59" t="str">
        <f t="shared" si="11"/>
        <v/>
      </c>
      <c r="I187" s="17"/>
      <c r="J187" s="17"/>
    </row>
    <row r="188" spans="1:10">
      <c r="A188" s="17">
        <f t="shared" si="8"/>
        <v>183</v>
      </c>
      <c r="B188" s="18"/>
      <c r="C188" s="36" t="str">
        <f t="shared" si="9"/>
        <v/>
      </c>
      <c r="D188" s="36" t="str">
        <f t="shared" si="10"/>
        <v/>
      </c>
      <c r="E188" s="17"/>
      <c r="F188" s="60"/>
      <c r="G188" s="50"/>
      <c r="H188" s="59" t="str">
        <f t="shared" si="11"/>
        <v/>
      </c>
      <c r="I188" s="17"/>
      <c r="J188" s="17"/>
    </row>
    <row r="189" spans="1:10">
      <c r="A189" s="17">
        <f t="shared" si="8"/>
        <v>184</v>
      </c>
      <c r="B189" s="18"/>
      <c r="C189" s="36" t="str">
        <f t="shared" si="9"/>
        <v/>
      </c>
      <c r="D189" s="36" t="str">
        <f t="shared" si="10"/>
        <v/>
      </c>
      <c r="E189" s="17"/>
      <c r="F189" s="60"/>
      <c r="G189" s="50"/>
      <c r="H189" s="59" t="str">
        <f t="shared" si="11"/>
        <v/>
      </c>
      <c r="I189" s="17"/>
      <c r="J189" s="17"/>
    </row>
    <row r="190" spans="1:10">
      <c r="A190" s="17">
        <f t="shared" si="8"/>
        <v>185</v>
      </c>
      <c r="B190" s="18"/>
      <c r="C190" s="36" t="str">
        <f t="shared" si="9"/>
        <v/>
      </c>
      <c r="D190" s="36" t="str">
        <f t="shared" si="10"/>
        <v/>
      </c>
      <c r="E190" s="17"/>
      <c r="F190" s="60"/>
      <c r="G190" s="50"/>
      <c r="H190" s="59" t="str">
        <f t="shared" si="11"/>
        <v/>
      </c>
      <c r="I190" s="17"/>
      <c r="J190" s="17"/>
    </row>
    <row r="191" spans="1:10">
      <c r="A191" s="17">
        <f t="shared" si="8"/>
        <v>186</v>
      </c>
      <c r="B191" s="18"/>
      <c r="C191" s="36" t="str">
        <f t="shared" si="9"/>
        <v/>
      </c>
      <c r="D191" s="36" t="str">
        <f t="shared" si="10"/>
        <v/>
      </c>
      <c r="E191" s="17"/>
      <c r="F191" s="60"/>
      <c r="G191" s="50"/>
      <c r="H191" s="59" t="str">
        <f t="shared" si="11"/>
        <v/>
      </c>
      <c r="I191" s="17"/>
      <c r="J191" s="17"/>
    </row>
    <row r="192" spans="1:10">
      <c r="A192" s="17">
        <f t="shared" si="8"/>
        <v>187</v>
      </c>
      <c r="B192" s="18"/>
      <c r="C192" s="36" t="str">
        <f t="shared" si="9"/>
        <v/>
      </c>
      <c r="D192" s="36" t="str">
        <f t="shared" si="10"/>
        <v/>
      </c>
      <c r="E192" s="17"/>
      <c r="F192" s="60"/>
      <c r="G192" s="50"/>
      <c r="H192" s="59" t="str">
        <f t="shared" si="11"/>
        <v/>
      </c>
      <c r="I192" s="17"/>
      <c r="J192" s="17"/>
    </row>
    <row r="193" spans="1:10">
      <c r="A193" s="17">
        <f t="shared" si="8"/>
        <v>188</v>
      </c>
      <c r="B193" s="18"/>
      <c r="C193" s="36" t="str">
        <f t="shared" si="9"/>
        <v/>
      </c>
      <c r="D193" s="36" t="str">
        <f t="shared" si="10"/>
        <v/>
      </c>
      <c r="E193" s="17"/>
      <c r="F193" s="60"/>
      <c r="G193" s="50"/>
      <c r="H193" s="59" t="str">
        <f t="shared" si="11"/>
        <v/>
      </c>
      <c r="I193" s="17"/>
      <c r="J193" s="17"/>
    </row>
    <row r="194" spans="1:10">
      <c r="A194" s="17">
        <f t="shared" si="8"/>
        <v>189</v>
      </c>
      <c r="B194" s="18"/>
      <c r="C194" s="36" t="str">
        <f t="shared" si="9"/>
        <v/>
      </c>
      <c r="D194" s="36" t="str">
        <f t="shared" si="10"/>
        <v/>
      </c>
      <c r="E194" s="17"/>
      <c r="F194" s="60"/>
      <c r="G194" s="50"/>
      <c r="H194" s="59" t="str">
        <f t="shared" si="11"/>
        <v/>
      </c>
      <c r="I194" s="17"/>
      <c r="J194" s="17"/>
    </row>
    <row r="195" spans="1:10">
      <c r="A195" s="17">
        <f t="shared" si="8"/>
        <v>190</v>
      </c>
      <c r="B195" s="18"/>
      <c r="C195" s="36" t="str">
        <f t="shared" si="9"/>
        <v/>
      </c>
      <c r="D195" s="36" t="str">
        <f t="shared" si="10"/>
        <v/>
      </c>
      <c r="E195" s="17"/>
      <c r="F195" s="60"/>
      <c r="G195" s="50"/>
      <c r="H195" s="59" t="str">
        <f t="shared" si="11"/>
        <v/>
      </c>
      <c r="I195" s="17"/>
      <c r="J195" s="17"/>
    </row>
    <row r="196" spans="1:10">
      <c r="A196" s="17">
        <f t="shared" si="8"/>
        <v>191</v>
      </c>
      <c r="B196" s="18"/>
      <c r="C196" s="36" t="str">
        <f t="shared" si="9"/>
        <v/>
      </c>
      <c r="D196" s="36" t="str">
        <f t="shared" si="10"/>
        <v/>
      </c>
      <c r="E196" s="17"/>
      <c r="F196" s="60"/>
      <c r="G196" s="50"/>
      <c r="H196" s="59" t="str">
        <f t="shared" si="11"/>
        <v/>
      </c>
      <c r="I196" s="17"/>
      <c r="J196" s="17"/>
    </row>
    <row r="197" spans="1:10">
      <c r="A197" s="17">
        <f t="shared" si="8"/>
        <v>192</v>
      </c>
      <c r="B197" s="18"/>
      <c r="C197" s="36" t="str">
        <f t="shared" si="9"/>
        <v/>
      </c>
      <c r="D197" s="36" t="str">
        <f t="shared" si="10"/>
        <v/>
      </c>
      <c r="E197" s="17"/>
      <c r="F197" s="60"/>
      <c r="G197" s="50"/>
      <c r="H197" s="59" t="str">
        <f t="shared" si="11"/>
        <v/>
      </c>
      <c r="I197" s="17"/>
      <c r="J197" s="17"/>
    </row>
    <row r="198" spans="1:10">
      <c r="A198" s="17">
        <f t="shared" si="8"/>
        <v>193</v>
      </c>
      <c r="B198" s="18"/>
      <c r="C198" s="36" t="str">
        <f t="shared" si="9"/>
        <v/>
      </c>
      <c r="D198" s="36" t="str">
        <f t="shared" si="10"/>
        <v/>
      </c>
      <c r="E198" s="17"/>
      <c r="F198" s="60"/>
      <c r="G198" s="50"/>
      <c r="H198" s="59" t="str">
        <f t="shared" si="11"/>
        <v/>
      </c>
      <c r="I198" s="17"/>
      <c r="J198" s="17"/>
    </row>
    <row r="199" spans="1:10">
      <c r="A199" s="17">
        <f t="shared" ref="A199:A262" si="12">ROW(A194)</f>
        <v>194</v>
      </c>
      <c r="B199" s="18"/>
      <c r="C199" s="36" t="str">
        <f t="shared" ref="C199:C262" si="13">IF(B199=0,"",TEXT(B199,"mmmm"))</f>
        <v/>
      </c>
      <c r="D199" s="36" t="str">
        <f t="shared" ref="D199:D262" si="14">IF(B199=0,"",TEXT(B199,"yyyy"))</f>
        <v/>
      </c>
      <c r="E199" s="17"/>
      <c r="F199" s="60"/>
      <c r="G199" s="50"/>
      <c r="H199" s="59" t="str">
        <f t="shared" ref="H199:H262" si="15">IF(G199*F199=0,"",G199*F199)</f>
        <v/>
      </c>
      <c r="I199" s="17"/>
      <c r="J199" s="17"/>
    </row>
    <row r="200" spans="1:10">
      <c r="A200" s="17">
        <f t="shared" si="12"/>
        <v>195</v>
      </c>
      <c r="B200" s="18"/>
      <c r="C200" s="36" t="str">
        <f t="shared" si="13"/>
        <v/>
      </c>
      <c r="D200" s="36" t="str">
        <f t="shared" si="14"/>
        <v/>
      </c>
      <c r="E200" s="17"/>
      <c r="F200" s="60"/>
      <c r="G200" s="50"/>
      <c r="H200" s="59" t="str">
        <f t="shared" si="15"/>
        <v/>
      </c>
      <c r="I200" s="17"/>
      <c r="J200" s="17"/>
    </row>
    <row r="201" spans="1:10">
      <c r="A201" s="17">
        <f t="shared" si="12"/>
        <v>196</v>
      </c>
      <c r="B201" s="18"/>
      <c r="C201" s="36" t="str">
        <f t="shared" si="13"/>
        <v/>
      </c>
      <c r="D201" s="36" t="str">
        <f t="shared" si="14"/>
        <v/>
      </c>
      <c r="E201" s="17"/>
      <c r="F201" s="60"/>
      <c r="G201" s="50"/>
      <c r="H201" s="59" t="str">
        <f t="shared" si="15"/>
        <v/>
      </c>
      <c r="I201" s="17"/>
      <c r="J201" s="17"/>
    </row>
    <row r="202" spans="1:10">
      <c r="A202" s="17">
        <f t="shared" si="12"/>
        <v>197</v>
      </c>
      <c r="B202" s="18"/>
      <c r="C202" s="36" t="str">
        <f t="shared" si="13"/>
        <v/>
      </c>
      <c r="D202" s="36" t="str">
        <f t="shared" si="14"/>
        <v/>
      </c>
      <c r="E202" s="17"/>
      <c r="F202" s="60"/>
      <c r="G202" s="50"/>
      <c r="H202" s="59" t="str">
        <f t="shared" si="15"/>
        <v/>
      </c>
      <c r="I202" s="17"/>
      <c r="J202" s="17"/>
    </row>
    <row r="203" spans="1:10">
      <c r="A203" s="17">
        <f t="shared" si="12"/>
        <v>198</v>
      </c>
      <c r="B203" s="18"/>
      <c r="C203" s="36" t="str">
        <f t="shared" si="13"/>
        <v/>
      </c>
      <c r="D203" s="36" t="str">
        <f t="shared" si="14"/>
        <v/>
      </c>
      <c r="E203" s="17"/>
      <c r="F203" s="60"/>
      <c r="G203" s="50"/>
      <c r="H203" s="59" t="str">
        <f t="shared" si="15"/>
        <v/>
      </c>
      <c r="I203" s="17"/>
      <c r="J203" s="17"/>
    </row>
    <row r="204" spans="1:10">
      <c r="A204" s="17">
        <f t="shared" si="12"/>
        <v>199</v>
      </c>
      <c r="B204" s="18"/>
      <c r="C204" s="36" t="str">
        <f t="shared" si="13"/>
        <v/>
      </c>
      <c r="D204" s="36" t="str">
        <f t="shared" si="14"/>
        <v/>
      </c>
      <c r="E204" s="17"/>
      <c r="F204" s="60"/>
      <c r="G204" s="50"/>
      <c r="H204" s="59" t="str">
        <f t="shared" si="15"/>
        <v/>
      </c>
      <c r="I204" s="17"/>
      <c r="J204" s="17"/>
    </row>
    <row r="205" spans="1:10">
      <c r="A205" s="17">
        <f t="shared" si="12"/>
        <v>200</v>
      </c>
      <c r="B205" s="18"/>
      <c r="C205" s="36" t="str">
        <f t="shared" si="13"/>
        <v/>
      </c>
      <c r="D205" s="36" t="str">
        <f t="shared" si="14"/>
        <v/>
      </c>
      <c r="E205" s="17"/>
      <c r="F205" s="60"/>
      <c r="G205" s="50"/>
      <c r="H205" s="59" t="str">
        <f t="shared" si="15"/>
        <v/>
      </c>
      <c r="I205" s="17"/>
      <c r="J205" s="17"/>
    </row>
    <row r="206" spans="1:10">
      <c r="A206" s="17">
        <f t="shared" si="12"/>
        <v>201</v>
      </c>
      <c r="B206" s="18"/>
      <c r="C206" s="36" t="str">
        <f t="shared" si="13"/>
        <v/>
      </c>
      <c r="D206" s="36" t="str">
        <f t="shared" si="14"/>
        <v/>
      </c>
      <c r="E206" s="17"/>
      <c r="F206" s="60"/>
      <c r="G206" s="50"/>
      <c r="H206" s="59" t="str">
        <f t="shared" si="15"/>
        <v/>
      </c>
      <c r="I206" s="17"/>
      <c r="J206" s="17"/>
    </row>
    <row r="207" spans="1:10">
      <c r="A207" s="17">
        <f t="shared" si="12"/>
        <v>202</v>
      </c>
      <c r="B207" s="18"/>
      <c r="C207" s="36" t="str">
        <f t="shared" si="13"/>
        <v/>
      </c>
      <c r="D207" s="36" t="str">
        <f t="shared" si="14"/>
        <v/>
      </c>
      <c r="E207" s="17"/>
      <c r="F207" s="60"/>
      <c r="G207" s="50"/>
      <c r="H207" s="59" t="str">
        <f t="shared" si="15"/>
        <v/>
      </c>
      <c r="I207" s="17"/>
      <c r="J207" s="17"/>
    </row>
    <row r="208" spans="1:10">
      <c r="A208" s="17">
        <f t="shared" si="12"/>
        <v>203</v>
      </c>
      <c r="B208" s="18"/>
      <c r="C208" s="36" t="str">
        <f t="shared" si="13"/>
        <v/>
      </c>
      <c r="D208" s="36" t="str">
        <f t="shared" si="14"/>
        <v/>
      </c>
      <c r="E208" s="17"/>
      <c r="F208" s="60"/>
      <c r="G208" s="50"/>
      <c r="H208" s="59" t="str">
        <f t="shared" si="15"/>
        <v/>
      </c>
      <c r="I208" s="17"/>
      <c r="J208" s="17"/>
    </row>
    <row r="209" spans="1:10">
      <c r="A209" s="17">
        <f t="shared" si="12"/>
        <v>204</v>
      </c>
      <c r="B209" s="18"/>
      <c r="C209" s="36" t="str">
        <f t="shared" si="13"/>
        <v/>
      </c>
      <c r="D209" s="36" t="str">
        <f t="shared" si="14"/>
        <v/>
      </c>
      <c r="E209" s="17"/>
      <c r="F209" s="60"/>
      <c r="G209" s="50"/>
      <c r="H209" s="59" t="str">
        <f t="shared" si="15"/>
        <v/>
      </c>
      <c r="I209" s="17"/>
      <c r="J209" s="17"/>
    </row>
    <row r="210" spans="1:10">
      <c r="A210" s="17">
        <f t="shared" si="12"/>
        <v>205</v>
      </c>
      <c r="B210" s="18"/>
      <c r="C210" s="36" t="str">
        <f t="shared" si="13"/>
        <v/>
      </c>
      <c r="D210" s="36" t="str">
        <f t="shared" si="14"/>
        <v/>
      </c>
      <c r="E210" s="17"/>
      <c r="F210" s="60"/>
      <c r="G210" s="50"/>
      <c r="H210" s="59" t="str">
        <f t="shared" si="15"/>
        <v/>
      </c>
      <c r="I210" s="17"/>
      <c r="J210" s="17"/>
    </row>
    <row r="211" spans="1:10">
      <c r="A211" s="17">
        <f t="shared" si="12"/>
        <v>206</v>
      </c>
      <c r="B211" s="18"/>
      <c r="C211" s="36" t="str">
        <f t="shared" si="13"/>
        <v/>
      </c>
      <c r="D211" s="36" t="str">
        <f t="shared" si="14"/>
        <v/>
      </c>
      <c r="E211" s="17"/>
      <c r="F211" s="60"/>
      <c r="G211" s="50"/>
      <c r="H211" s="59" t="str">
        <f t="shared" si="15"/>
        <v/>
      </c>
      <c r="I211" s="17"/>
      <c r="J211" s="17"/>
    </row>
    <row r="212" spans="1:10">
      <c r="A212" s="17">
        <f t="shared" si="12"/>
        <v>207</v>
      </c>
      <c r="B212" s="18"/>
      <c r="C212" s="36" t="str">
        <f t="shared" si="13"/>
        <v/>
      </c>
      <c r="D212" s="36" t="str">
        <f t="shared" si="14"/>
        <v/>
      </c>
      <c r="E212" s="17"/>
      <c r="F212" s="60"/>
      <c r="G212" s="50"/>
      <c r="H212" s="59" t="str">
        <f t="shared" si="15"/>
        <v/>
      </c>
      <c r="I212" s="17"/>
      <c r="J212" s="17"/>
    </row>
    <row r="213" spans="1:10">
      <c r="A213" s="17">
        <f t="shared" si="12"/>
        <v>208</v>
      </c>
      <c r="B213" s="18"/>
      <c r="C213" s="36" t="str">
        <f t="shared" si="13"/>
        <v/>
      </c>
      <c r="D213" s="36" t="str">
        <f t="shared" si="14"/>
        <v/>
      </c>
      <c r="E213" s="17"/>
      <c r="F213" s="60"/>
      <c r="G213" s="50"/>
      <c r="H213" s="59" t="str">
        <f t="shared" si="15"/>
        <v/>
      </c>
      <c r="I213" s="17"/>
      <c r="J213" s="17"/>
    </row>
    <row r="214" spans="1:10">
      <c r="A214" s="17">
        <f t="shared" si="12"/>
        <v>209</v>
      </c>
      <c r="B214" s="18"/>
      <c r="C214" s="36" t="str">
        <f t="shared" si="13"/>
        <v/>
      </c>
      <c r="D214" s="36" t="str">
        <f t="shared" si="14"/>
        <v/>
      </c>
      <c r="E214" s="17"/>
      <c r="F214" s="60"/>
      <c r="G214" s="50"/>
      <c r="H214" s="59" t="str">
        <f t="shared" si="15"/>
        <v/>
      </c>
      <c r="I214" s="17"/>
      <c r="J214" s="17"/>
    </row>
    <row r="215" spans="1:10">
      <c r="A215" s="17">
        <f t="shared" si="12"/>
        <v>210</v>
      </c>
      <c r="B215" s="18"/>
      <c r="C215" s="36" t="str">
        <f t="shared" si="13"/>
        <v/>
      </c>
      <c r="D215" s="36" t="str">
        <f t="shared" si="14"/>
        <v/>
      </c>
      <c r="E215" s="17"/>
      <c r="F215" s="60"/>
      <c r="G215" s="50"/>
      <c r="H215" s="59" t="str">
        <f t="shared" si="15"/>
        <v/>
      </c>
      <c r="I215" s="17"/>
      <c r="J215" s="17"/>
    </row>
    <row r="216" spans="1:10">
      <c r="A216" s="17">
        <f t="shared" si="12"/>
        <v>211</v>
      </c>
      <c r="B216" s="18"/>
      <c r="C216" s="36" t="str">
        <f t="shared" si="13"/>
        <v/>
      </c>
      <c r="D216" s="36" t="str">
        <f t="shared" si="14"/>
        <v/>
      </c>
      <c r="E216" s="17"/>
      <c r="F216" s="60"/>
      <c r="G216" s="50"/>
      <c r="H216" s="59" t="str">
        <f t="shared" si="15"/>
        <v/>
      </c>
      <c r="I216" s="17"/>
      <c r="J216" s="17"/>
    </row>
    <row r="217" spans="1:10">
      <c r="A217" s="17">
        <f t="shared" si="12"/>
        <v>212</v>
      </c>
      <c r="B217" s="18"/>
      <c r="C217" s="36" t="str">
        <f t="shared" si="13"/>
        <v/>
      </c>
      <c r="D217" s="36" t="str">
        <f t="shared" si="14"/>
        <v/>
      </c>
      <c r="E217" s="17"/>
      <c r="F217" s="60"/>
      <c r="G217" s="50"/>
      <c r="H217" s="59" t="str">
        <f t="shared" si="15"/>
        <v/>
      </c>
      <c r="I217" s="17"/>
      <c r="J217" s="17"/>
    </row>
    <row r="218" spans="1:10">
      <c r="A218" s="17">
        <f t="shared" si="12"/>
        <v>213</v>
      </c>
      <c r="B218" s="18"/>
      <c r="C218" s="36" t="str">
        <f t="shared" si="13"/>
        <v/>
      </c>
      <c r="D218" s="36" t="str">
        <f t="shared" si="14"/>
        <v/>
      </c>
      <c r="E218" s="17"/>
      <c r="F218" s="60"/>
      <c r="G218" s="50"/>
      <c r="H218" s="59" t="str">
        <f t="shared" si="15"/>
        <v/>
      </c>
      <c r="I218" s="17"/>
      <c r="J218" s="17"/>
    </row>
    <row r="219" spans="1:10">
      <c r="A219" s="17">
        <f t="shared" si="12"/>
        <v>214</v>
      </c>
      <c r="B219" s="18"/>
      <c r="C219" s="36" t="str">
        <f t="shared" si="13"/>
        <v/>
      </c>
      <c r="D219" s="36" t="str">
        <f t="shared" si="14"/>
        <v/>
      </c>
      <c r="E219" s="17"/>
      <c r="F219" s="60"/>
      <c r="G219" s="50"/>
      <c r="H219" s="59" t="str">
        <f t="shared" si="15"/>
        <v/>
      </c>
      <c r="I219" s="17"/>
      <c r="J219" s="17"/>
    </row>
    <row r="220" spans="1:10">
      <c r="A220" s="17">
        <f t="shared" si="12"/>
        <v>215</v>
      </c>
      <c r="B220" s="18"/>
      <c r="C220" s="36" t="str">
        <f t="shared" si="13"/>
        <v/>
      </c>
      <c r="D220" s="36" t="str">
        <f t="shared" si="14"/>
        <v/>
      </c>
      <c r="E220" s="17"/>
      <c r="F220" s="60"/>
      <c r="G220" s="50"/>
      <c r="H220" s="59" t="str">
        <f t="shared" si="15"/>
        <v/>
      </c>
      <c r="I220" s="17"/>
      <c r="J220" s="17"/>
    </row>
    <row r="221" spans="1:10">
      <c r="A221" s="17">
        <f t="shared" si="12"/>
        <v>216</v>
      </c>
      <c r="B221" s="18"/>
      <c r="C221" s="36" t="str">
        <f t="shared" si="13"/>
        <v/>
      </c>
      <c r="D221" s="36" t="str">
        <f t="shared" si="14"/>
        <v/>
      </c>
      <c r="E221" s="17"/>
      <c r="F221" s="60"/>
      <c r="G221" s="50"/>
      <c r="H221" s="59" t="str">
        <f t="shared" si="15"/>
        <v/>
      </c>
      <c r="I221" s="17"/>
      <c r="J221" s="17"/>
    </row>
    <row r="222" spans="1:10">
      <c r="A222" s="17">
        <f t="shared" si="12"/>
        <v>217</v>
      </c>
      <c r="B222" s="18"/>
      <c r="C222" s="36" t="str">
        <f t="shared" si="13"/>
        <v/>
      </c>
      <c r="D222" s="36" t="str">
        <f t="shared" si="14"/>
        <v/>
      </c>
      <c r="E222" s="17"/>
      <c r="F222" s="60"/>
      <c r="G222" s="50"/>
      <c r="H222" s="59" t="str">
        <f t="shared" si="15"/>
        <v/>
      </c>
      <c r="I222" s="17"/>
      <c r="J222" s="17"/>
    </row>
    <row r="223" spans="1:10">
      <c r="A223" s="17">
        <f t="shared" si="12"/>
        <v>218</v>
      </c>
      <c r="B223" s="18"/>
      <c r="C223" s="36" t="str">
        <f t="shared" si="13"/>
        <v/>
      </c>
      <c r="D223" s="36" t="str">
        <f t="shared" si="14"/>
        <v/>
      </c>
      <c r="E223" s="17"/>
      <c r="F223" s="60"/>
      <c r="G223" s="50"/>
      <c r="H223" s="59" t="str">
        <f t="shared" si="15"/>
        <v/>
      </c>
      <c r="I223" s="17"/>
      <c r="J223" s="17"/>
    </row>
    <row r="224" spans="1:10">
      <c r="A224" s="17">
        <f t="shared" si="12"/>
        <v>219</v>
      </c>
      <c r="B224" s="18"/>
      <c r="C224" s="36" t="str">
        <f t="shared" si="13"/>
        <v/>
      </c>
      <c r="D224" s="36" t="str">
        <f t="shared" si="14"/>
        <v/>
      </c>
      <c r="E224" s="17"/>
      <c r="F224" s="60"/>
      <c r="G224" s="50"/>
      <c r="H224" s="59" t="str">
        <f t="shared" si="15"/>
        <v/>
      </c>
      <c r="I224" s="17"/>
      <c r="J224" s="17"/>
    </row>
    <row r="225" spans="1:10">
      <c r="A225" s="17">
        <f t="shared" si="12"/>
        <v>220</v>
      </c>
      <c r="B225" s="18"/>
      <c r="C225" s="36" t="str">
        <f t="shared" si="13"/>
        <v/>
      </c>
      <c r="D225" s="36" t="str">
        <f t="shared" si="14"/>
        <v/>
      </c>
      <c r="E225" s="17"/>
      <c r="F225" s="60"/>
      <c r="G225" s="50"/>
      <c r="H225" s="59" t="str">
        <f t="shared" si="15"/>
        <v/>
      </c>
      <c r="I225" s="17"/>
      <c r="J225" s="17"/>
    </row>
    <row r="226" spans="1:10">
      <c r="A226" s="17">
        <f t="shared" si="12"/>
        <v>221</v>
      </c>
      <c r="B226" s="18"/>
      <c r="C226" s="36" t="str">
        <f t="shared" si="13"/>
        <v/>
      </c>
      <c r="D226" s="36" t="str">
        <f t="shared" si="14"/>
        <v/>
      </c>
      <c r="E226" s="17"/>
      <c r="F226" s="60"/>
      <c r="G226" s="50"/>
      <c r="H226" s="59" t="str">
        <f t="shared" si="15"/>
        <v/>
      </c>
      <c r="I226" s="17"/>
      <c r="J226" s="17"/>
    </row>
    <row r="227" spans="1:10">
      <c r="A227" s="17">
        <f t="shared" si="12"/>
        <v>222</v>
      </c>
      <c r="B227" s="18"/>
      <c r="C227" s="36" t="str">
        <f t="shared" si="13"/>
        <v/>
      </c>
      <c r="D227" s="36" t="str">
        <f t="shared" si="14"/>
        <v/>
      </c>
      <c r="E227" s="17"/>
      <c r="F227" s="60"/>
      <c r="G227" s="50"/>
      <c r="H227" s="59" t="str">
        <f t="shared" si="15"/>
        <v/>
      </c>
      <c r="I227" s="17"/>
      <c r="J227" s="17"/>
    </row>
    <row r="228" spans="1:10">
      <c r="A228" s="17">
        <f t="shared" si="12"/>
        <v>223</v>
      </c>
      <c r="B228" s="18"/>
      <c r="C228" s="36" t="str">
        <f t="shared" si="13"/>
        <v/>
      </c>
      <c r="D228" s="36" t="str">
        <f t="shared" si="14"/>
        <v/>
      </c>
      <c r="E228" s="17"/>
      <c r="F228" s="60"/>
      <c r="G228" s="50"/>
      <c r="H228" s="59" t="str">
        <f t="shared" si="15"/>
        <v/>
      </c>
      <c r="I228" s="17"/>
      <c r="J228" s="17"/>
    </row>
    <row r="229" spans="1:10">
      <c r="A229" s="17">
        <f t="shared" si="12"/>
        <v>224</v>
      </c>
      <c r="B229" s="18"/>
      <c r="C229" s="36" t="str">
        <f t="shared" si="13"/>
        <v/>
      </c>
      <c r="D229" s="36" t="str">
        <f t="shared" si="14"/>
        <v/>
      </c>
      <c r="E229" s="17"/>
      <c r="F229" s="60"/>
      <c r="G229" s="50"/>
      <c r="H229" s="59" t="str">
        <f t="shared" si="15"/>
        <v/>
      </c>
      <c r="I229" s="17"/>
      <c r="J229" s="17"/>
    </row>
    <row r="230" spans="1:10">
      <c r="A230" s="17">
        <f t="shared" si="12"/>
        <v>225</v>
      </c>
      <c r="B230" s="18"/>
      <c r="C230" s="36" t="str">
        <f t="shared" si="13"/>
        <v/>
      </c>
      <c r="D230" s="36" t="str">
        <f t="shared" si="14"/>
        <v/>
      </c>
      <c r="E230" s="17"/>
      <c r="F230" s="60"/>
      <c r="G230" s="50"/>
      <c r="H230" s="59" t="str">
        <f t="shared" si="15"/>
        <v/>
      </c>
      <c r="I230" s="17"/>
      <c r="J230" s="17"/>
    </row>
    <row r="231" spans="1:10">
      <c r="A231" s="17">
        <f t="shared" si="12"/>
        <v>226</v>
      </c>
      <c r="B231" s="18"/>
      <c r="C231" s="36" t="str">
        <f t="shared" si="13"/>
        <v/>
      </c>
      <c r="D231" s="36" t="str">
        <f t="shared" si="14"/>
        <v/>
      </c>
      <c r="E231" s="17"/>
      <c r="F231" s="60"/>
      <c r="G231" s="50"/>
      <c r="H231" s="59" t="str">
        <f t="shared" si="15"/>
        <v/>
      </c>
      <c r="I231" s="17"/>
      <c r="J231" s="17"/>
    </row>
    <row r="232" spans="1:10">
      <c r="A232" s="17">
        <f t="shared" si="12"/>
        <v>227</v>
      </c>
      <c r="B232" s="18"/>
      <c r="C232" s="36" t="str">
        <f t="shared" si="13"/>
        <v/>
      </c>
      <c r="D232" s="36" t="str">
        <f t="shared" si="14"/>
        <v/>
      </c>
      <c r="E232" s="17"/>
      <c r="F232" s="60"/>
      <c r="G232" s="50"/>
      <c r="H232" s="59" t="str">
        <f t="shared" si="15"/>
        <v/>
      </c>
      <c r="I232" s="17"/>
      <c r="J232" s="17"/>
    </row>
    <row r="233" spans="1:10">
      <c r="A233" s="17">
        <f t="shared" si="12"/>
        <v>228</v>
      </c>
      <c r="B233" s="18"/>
      <c r="C233" s="36" t="str">
        <f t="shared" si="13"/>
        <v/>
      </c>
      <c r="D233" s="36" t="str">
        <f t="shared" si="14"/>
        <v/>
      </c>
      <c r="E233" s="17"/>
      <c r="F233" s="60"/>
      <c r="G233" s="50"/>
      <c r="H233" s="59" t="str">
        <f t="shared" si="15"/>
        <v/>
      </c>
      <c r="I233" s="17"/>
      <c r="J233" s="17"/>
    </row>
    <row r="234" spans="1:10">
      <c r="A234" s="17">
        <f t="shared" si="12"/>
        <v>229</v>
      </c>
      <c r="B234" s="18"/>
      <c r="C234" s="36" t="str">
        <f t="shared" si="13"/>
        <v/>
      </c>
      <c r="D234" s="36" t="str">
        <f t="shared" si="14"/>
        <v/>
      </c>
      <c r="E234" s="17"/>
      <c r="F234" s="60"/>
      <c r="G234" s="50"/>
      <c r="H234" s="59" t="str">
        <f t="shared" si="15"/>
        <v/>
      </c>
      <c r="I234" s="17"/>
      <c r="J234" s="17"/>
    </row>
    <row r="235" spans="1:10">
      <c r="A235" s="17">
        <f t="shared" si="12"/>
        <v>230</v>
      </c>
      <c r="B235" s="18"/>
      <c r="C235" s="36" t="str">
        <f t="shared" si="13"/>
        <v/>
      </c>
      <c r="D235" s="36" t="str">
        <f t="shared" si="14"/>
        <v/>
      </c>
      <c r="E235" s="17"/>
      <c r="F235" s="60"/>
      <c r="G235" s="50"/>
      <c r="H235" s="59" t="str">
        <f t="shared" si="15"/>
        <v/>
      </c>
      <c r="I235" s="17"/>
      <c r="J235" s="17"/>
    </row>
    <row r="236" spans="1:10">
      <c r="A236" s="17">
        <f t="shared" si="12"/>
        <v>231</v>
      </c>
      <c r="B236" s="18"/>
      <c r="C236" s="36" t="str">
        <f t="shared" si="13"/>
        <v/>
      </c>
      <c r="D236" s="36" t="str">
        <f t="shared" si="14"/>
        <v/>
      </c>
      <c r="E236" s="17"/>
      <c r="F236" s="60"/>
      <c r="G236" s="50"/>
      <c r="H236" s="59" t="str">
        <f t="shared" si="15"/>
        <v/>
      </c>
      <c r="I236" s="17"/>
      <c r="J236" s="17"/>
    </row>
    <row r="237" spans="1:10">
      <c r="A237" s="17">
        <f t="shared" si="12"/>
        <v>232</v>
      </c>
      <c r="B237" s="18"/>
      <c r="C237" s="36" t="str">
        <f t="shared" si="13"/>
        <v/>
      </c>
      <c r="D237" s="36" t="str">
        <f t="shared" si="14"/>
        <v/>
      </c>
      <c r="E237" s="17"/>
      <c r="F237" s="60"/>
      <c r="G237" s="50"/>
      <c r="H237" s="59" t="str">
        <f t="shared" si="15"/>
        <v/>
      </c>
      <c r="I237" s="17"/>
      <c r="J237" s="17"/>
    </row>
    <row r="238" spans="1:10">
      <c r="A238" s="17">
        <f t="shared" si="12"/>
        <v>233</v>
      </c>
      <c r="B238" s="18"/>
      <c r="C238" s="36" t="str">
        <f t="shared" si="13"/>
        <v/>
      </c>
      <c r="D238" s="36" t="str">
        <f t="shared" si="14"/>
        <v/>
      </c>
      <c r="E238" s="17"/>
      <c r="F238" s="60"/>
      <c r="G238" s="50"/>
      <c r="H238" s="59" t="str">
        <f t="shared" si="15"/>
        <v/>
      </c>
      <c r="I238" s="17"/>
      <c r="J238" s="17"/>
    </row>
    <row r="239" spans="1:10">
      <c r="A239" s="17">
        <f t="shared" si="12"/>
        <v>234</v>
      </c>
      <c r="B239" s="18"/>
      <c r="C239" s="36" t="str">
        <f t="shared" si="13"/>
        <v/>
      </c>
      <c r="D239" s="36" t="str">
        <f t="shared" si="14"/>
        <v/>
      </c>
      <c r="E239" s="17"/>
      <c r="F239" s="60"/>
      <c r="G239" s="50"/>
      <c r="H239" s="59" t="str">
        <f t="shared" si="15"/>
        <v/>
      </c>
      <c r="I239" s="17"/>
      <c r="J239" s="17"/>
    </row>
    <row r="240" spans="1:10">
      <c r="A240" s="17">
        <f t="shared" si="12"/>
        <v>235</v>
      </c>
      <c r="B240" s="18"/>
      <c r="C240" s="36" t="str">
        <f t="shared" si="13"/>
        <v/>
      </c>
      <c r="D240" s="36" t="str">
        <f t="shared" si="14"/>
        <v/>
      </c>
      <c r="E240" s="17"/>
      <c r="F240" s="60"/>
      <c r="G240" s="50"/>
      <c r="H240" s="59" t="str">
        <f t="shared" si="15"/>
        <v/>
      </c>
      <c r="I240" s="17"/>
      <c r="J240" s="17"/>
    </row>
    <row r="241" spans="1:10">
      <c r="A241" s="17">
        <f t="shared" si="12"/>
        <v>236</v>
      </c>
      <c r="B241" s="18"/>
      <c r="C241" s="36" t="str">
        <f t="shared" si="13"/>
        <v/>
      </c>
      <c r="D241" s="36" t="str">
        <f t="shared" si="14"/>
        <v/>
      </c>
      <c r="E241" s="17"/>
      <c r="F241" s="60"/>
      <c r="G241" s="50"/>
      <c r="H241" s="59" t="str">
        <f t="shared" si="15"/>
        <v/>
      </c>
      <c r="I241" s="17"/>
      <c r="J241" s="17"/>
    </row>
    <row r="242" spans="1:10">
      <c r="A242" s="17">
        <f t="shared" si="12"/>
        <v>237</v>
      </c>
      <c r="B242" s="18"/>
      <c r="C242" s="36" t="str">
        <f t="shared" si="13"/>
        <v/>
      </c>
      <c r="D242" s="36" t="str">
        <f t="shared" si="14"/>
        <v/>
      </c>
      <c r="E242" s="17"/>
      <c r="F242" s="60"/>
      <c r="G242" s="50"/>
      <c r="H242" s="59" t="str">
        <f t="shared" si="15"/>
        <v/>
      </c>
      <c r="I242" s="17"/>
      <c r="J242" s="17"/>
    </row>
    <row r="243" spans="1:10">
      <c r="A243" s="17">
        <f t="shared" si="12"/>
        <v>238</v>
      </c>
      <c r="B243" s="18"/>
      <c r="C243" s="36" t="str">
        <f t="shared" si="13"/>
        <v/>
      </c>
      <c r="D243" s="36" t="str">
        <f t="shared" si="14"/>
        <v/>
      </c>
      <c r="E243" s="17"/>
      <c r="F243" s="60"/>
      <c r="G243" s="50"/>
      <c r="H243" s="59" t="str">
        <f t="shared" si="15"/>
        <v/>
      </c>
      <c r="I243" s="17"/>
      <c r="J243" s="17"/>
    </row>
    <row r="244" spans="1:10">
      <c r="A244" s="17">
        <f t="shared" si="12"/>
        <v>239</v>
      </c>
      <c r="B244" s="18"/>
      <c r="C244" s="36" t="str">
        <f t="shared" si="13"/>
        <v/>
      </c>
      <c r="D244" s="36" t="str">
        <f t="shared" si="14"/>
        <v/>
      </c>
      <c r="E244" s="17"/>
      <c r="F244" s="60"/>
      <c r="G244" s="50"/>
      <c r="H244" s="59" t="str">
        <f t="shared" si="15"/>
        <v/>
      </c>
      <c r="I244" s="17"/>
      <c r="J244" s="17"/>
    </row>
    <row r="245" spans="1:10">
      <c r="A245" s="17">
        <f t="shared" si="12"/>
        <v>240</v>
      </c>
      <c r="B245" s="18"/>
      <c r="C245" s="36" t="str">
        <f t="shared" si="13"/>
        <v/>
      </c>
      <c r="D245" s="36" t="str">
        <f t="shared" si="14"/>
        <v/>
      </c>
      <c r="E245" s="17"/>
      <c r="F245" s="60"/>
      <c r="G245" s="50"/>
      <c r="H245" s="59" t="str">
        <f t="shared" si="15"/>
        <v/>
      </c>
      <c r="I245" s="17"/>
      <c r="J245" s="17"/>
    </row>
    <row r="246" spans="1:10">
      <c r="A246" s="17">
        <f t="shared" si="12"/>
        <v>241</v>
      </c>
      <c r="B246" s="18"/>
      <c r="C246" s="36" t="str">
        <f t="shared" si="13"/>
        <v/>
      </c>
      <c r="D246" s="36" t="str">
        <f t="shared" si="14"/>
        <v/>
      </c>
      <c r="E246" s="17"/>
      <c r="F246" s="60"/>
      <c r="G246" s="50"/>
      <c r="H246" s="59" t="str">
        <f t="shared" si="15"/>
        <v/>
      </c>
      <c r="I246" s="17"/>
      <c r="J246" s="17"/>
    </row>
    <row r="247" spans="1:10">
      <c r="A247" s="17">
        <f t="shared" si="12"/>
        <v>242</v>
      </c>
      <c r="B247" s="18"/>
      <c r="C247" s="36" t="str">
        <f t="shared" si="13"/>
        <v/>
      </c>
      <c r="D247" s="36" t="str">
        <f t="shared" si="14"/>
        <v/>
      </c>
      <c r="E247" s="17"/>
      <c r="F247" s="60"/>
      <c r="G247" s="50"/>
      <c r="H247" s="59" t="str">
        <f t="shared" si="15"/>
        <v/>
      </c>
      <c r="I247" s="17"/>
      <c r="J247" s="17"/>
    </row>
    <row r="248" spans="1:10">
      <c r="A248" s="17">
        <f t="shared" si="12"/>
        <v>243</v>
      </c>
      <c r="B248" s="18"/>
      <c r="C248" s="36" t="str">
        <f t="shared" si="13"/>
        <v/>
      </c>
      <c r="D248" s="36" t="str">
        <f t="shared" si="14"/>
        <v/>
      </c>
      <c r="E248" s="17"/>
      <c r="F248" s="60"/>
      <c r="G248" s="50"/>
      <c r="H248" s="59" t="str">
        <f t="shared" si="15"/>
        <v/>
      </c>
      <c r="I248" s="17"/>
      <c r="J248" s="17"/>
    </row>
    <row r="249" spans="1:10">
      <c r="A249" s="17">
        <f t="shared" si="12"/>
        <v>244</v>
      </c>
      <c r="B249" s="18"/>
      <c r="C249" s="36" t="str">
        <f t="shared" si="13"/>
        <v/>
      </c>
      <c r="D249" s="36" t="str">
        <f t="shared" si="14"/>
        <v/>
      </c>
      <c r="E249" s="17"/>
      <c r="F249" s="60"/>
      <c r="G249" s="50"/>
      <c r="H249" s="59" t="str">
        <f t="shared" si="15"/>
        <v/>
      </c>
      <c r="I249" s="17"/>
      <c r="J249" s="17"/>
    </row>
    <row r="250" spans="1:10">
      <c r="A250" s="17">
        <f t="shared" si="12"/>
        <v>245</v>
      </c>
      <c r="B250" s="18"/>
      <c r="C250" s="36" t="str">
        <f t="shared" si="13"/>
        <v/>
      </c>
      <c r="D250" s="36" t="str">
        <f t="shared" si="14"/>
        <v/>
      </c>
      <c r="E250" s="17"/>
      <c r="F250" s="60"/>
      <c r="G250" s="50"/>
      <c r="H250" s="59" t="str">
        <f t="shared" si="15"/>
        <v/>
      </c>
      <c r="I250" s="17"/>
      <c r="J250" s="17"/>
    </row>
    <row r="251" spans="1:10">
      <c r="A251" s="17">
        <f t="shared" si="12"/>
        <v>246</v>
      </c>
      <c r="B251" s="18"/>
      <c r="C251" s="36" t="str">
        <f t="shared" si="13"/>
        <v/>
      </c>
      <c r="D251" s="36" t="str">
        <f t="shared" si="14"/>
        <v/>
      </c>
      <c r="E251" s="17"/>
      <c r="F251" s="60"/>
      <c r="G251" s="50"/>
      <c r="H251" s="59" t="str">
        <f t="shared" si="15"/>
        <v/>
      </c>
      <c r="I251" s="17"/>
      <c r="J251" s="17"/>
    </row>
    <row r="252" spans="1:10">
      <c r="A252" s="17">
        <f t="shared" si="12"/>
        <v>247</v>
      </c>
      <c r="B252" s="18"/>
      <c r="C252" s="36" t="str">
        <f t="shared" si="13"/>
        <v/>
      </c>
      <c r="D252" s="36" t="str">
        <f t="shared" si="14"/>
        <v/>
      </c>
      <c r="E252" s="17"/>
      <c r="F252" s="60"/>
      <c r="G252" s="50"/>
      <c r="H252" s="59" t="str">
        <f t="shared" si="15"/>
        <v/>
      </c>
      <c r="I252" s="17"/>
      <c r="J252" s="17"/>
    </row>
    <row r="253" spans="1:10">
      <c r="A253" s="17">
        <f t="shared" si="12"/>
        <v>248</v>
      </c>
      <c r="B253" s="18"/>
      <c r="C253" s="36" t="str">
        <f t="shared" si="13"/>
        <v/>
      </c>
      <c r="D253" s="36" t="str">
        <f t="shared" si="14"/>
        <v/>
      </c>
      <c r="E253" s="17"/>
      <c r="F253" s="60"/>
      <c r="G253" s="50"/>
      <c r="H253" s="59" t="str">
        <f t="shared" si="15"/>
        <v/>
      </c>
      <c r="I253" s="17"/>
      <c r="J253" s="17"/>
    </row>
    <row r="254" spans="1:10">
      <c r="A254" s="17">
        <f t="shared" si="12"/>
        <v>249</v>
      </c>
      <c r="B254" s="18"/>
      <c r="C254" s="36" t="str">
        <f t="shared" si="13"/>
        <v/>
      </c>
      <c r="D254" s="36" t="str">
        <f t="shared" si="14"/>
        <v/>
      </c>
      <c r="E254" s="17"/>
      <c r="F254" s="60"/>
      <c r="G254" s="50"/>
      <c r="H254" s="59" t="str">
        <f t="shared" si="15"/>
        <v/>
      </c>
      <c r="I254" s="17"/>
      <c r="J254" s="17"/>
    </row>
    <row r="255" spans="1:10">
      <c r="A255" s="17">
        <f t="shared" si="12"/>
        <v>250</v>
      </c>
      <c r="B255" s="18"/>
      <c r="C255" s="36" t="str">
        <f t="shared" si="13"/>
        <v/>
      </c>
      <c r="D255" s="36" t="str">
        <f t="shared" si="14"/>
        <v/>
      </c>
      <c r="E255" s="17"/>
      <c r="F255" s="60"/>
      <c r="G255" s="50"/>
      <c r="H255" s="59" t="str">
        <f t="shared" si="15"/>
        <v/>
      </c>
      <c r="I255" s="17"/>
      <c r="J255" s="17"/>
    </row>
    <row r="256" spans="1:10">
      <c r="A256" s="17">
        <f t="shared" si="12"/>
        <v>251</v>
      </c>
      <c r="B256" s="18"/>
      <c r="C256" s="36" t="str">
        <f t="shared" si="13"/>
        <v/>
      </c>
      <c r="D256" s="36" t="str">
        <f t="shared" si="14"/>
        <v/>
      </c>
      <c r="E256" s="17"/>
      <c r="F256" s="60"/>
      <c r="G256" s="50"/>
      <c r="H256" s="59" t="str">
        <f t="shared" si="15"/>
        <v/>
      </c>
      <c r="I256" s="17"/>
      <c r="J256" s="17"/>
    </row>
    <row r="257" spans="1:10">
      <c r="A257" s="17">
        <f t="shared" si="12"/>
        <v>252</v>
      </c>
      <c r="B257" s="18"/>
      <c r="C257" s="36" t="str">
        <f t="shared" si="13"/>
        <v/>
      </c>
      <c r="D257" s="36" t="str">
        <f t="shared" si="14"/>
        <v/>
      </c>
      <c r="E257" s="17"/>
      <c r="F257" s="60"/>
      <c r="G257" s="50"/>
      <c r="H257" s="59" t="str">
        <f t="shared" si="15"/>
        <v/>
      </c>
      <c r="I257" s="17"/>
      <c r="J257" s="17"/>
    </row>
    <row r="258" spans="1:10">
      <c r="A258" s="17">
        <f t="shared" si="12"/>
        <v>253</v>
      </c>
      <c r="B258" s="18"/>
      <c r="C258" s="36" t="str">
        <f t="shared" si="13"/>
        <v/>
      </c>
      <c r="D258" s="36" t="str">
        <f t="shared" si="14"/>
        <v/>
      </c>
      <c r="E258" s="17"/>
      <c r="F258" s="60"/>
      <c r="G258" s="50"/>
      <c r="H258" s="59" t="str">
        <f t="shared" si="15"/>
        <v/>
      </c>
      <c r="I258" s="17"/>
      <c r="J258" s="17"/>
    </row>
    <row r="259" spans="1:10">
      <c r="A259" s="17">
        <f t="shared" si="12"/>
        <v>254</v>
      </c>
      <c r="B259" s="18"/>
      <c r="C259" s="36" t="str">
        <f t="shared" si="13"/>
        <v/>
      </c>
      <c r="D259" s="36" t="str">
        <f t="shared" si="14"/>
        <v/>
      </c>
      <c r="E259" s="17"/>
      <c r="F259" s="60"/>
      <c r="G259" s="50"/>
      <c r="H259" s="59" t="str">
        <f t="shared" si="15"/>
        <v/>
      </c>
      <c r="I259" s="17"/>
      <c r="J259" s="17"/>
    </row>
    <row r="260" spans="1:10">
      <c r="A260" s="17">
        <f t="shared" si="12"/>
        <v>255</v>
      </c>
      <c r="B260" s="18"/>
      <c r="C260" s="36" t="str">
        <f t="shared" si="13"/>
        <v/>
      </c>
      <c r="D260" s="36" t="str">
        <f t="shared" si="14"/>
        <v/>
      </c>
      <c r="E260" s="17"/>
      <c r="F260" s="60"/>
      <c r="G260" s="50"/>
      <c r="H260" s="59" t="str">
        <f t="shared" si="15"/>
        <v/>
      </c>
      <c r="I260" s="17"/>
      <c r="J260" s="17"/>
    </row>
    <row r="261" spans="1:10">
      <c r="A261" s="17">
        <f t="shared" si="12"/>
        <v>256</v>
      </c>
      <c r="B261" s="18"/>
      <c r="C261" s="36" t="str">
        <f t="shared" si="13"/>
        <v/>
      </c>
      <c r="D261" s="36" t="str">
        <f t="shared" si="14"/>
        <v/>
      </c>
      <c r="E261" s="17"/>
      <c r="F261" s="60"/>
      <c r="G261" s="50"/>
      <c r="H261" s="59" t="str">
        <f t="shared" si="15"/>
        <v/>
      </c>
      <c r="I261" s="17"/>
      <c r="J261" s="17"/>
    </row>
    <row r="262" spans="1:10">
      <c r="A262" s="17">
        <f t="shared" si="12"/>
        <v>257</v>
      </c>
      <c r="B262" s="18"/>
      <c r="C262" s="36" t="str">
        <f t="shared" si="13"/>
        <v/>
      </c>
      <c r="D262" s="36" t="str">
        <f t="shared" si="14"/>
        <v/>
      </c>
      <c r="E262" s="17"/>
      <c r="F262" s="60"/>
      <c r="G262" s="50"/>
      <c r="H262" s="59" t="str">
        <f t="shared" si="15"/>
        <v/>
      </c>
      <c r="I262" s="17"/>
      <c r="J262" s="17"/>
    </row>
    <row r="263" spans="1:10">
      <c r="A263" s="17">
        <f t="shared" ref="A263:A326" si="16">ROW(A258)</f>
        <v>258</v>
      </c>
      <c r="B263" s="18"/>
      <c r="C263" s="36" t="str">
        <f t="shared" ref="C263:C326" si="17">IF(B263=0,"",TEXT(B263,"mmmm"))</f>
        <v/>
      </c>
      <c r="D263" s="36" t="str">
        <f t="shared" ref="D263:D326" si="18">IF(B263=0,"",TEXT(B263,"yyyy"))</f>
        <v/>
      </c>
      <c r="E263" s="17"/>
      <c r="F263" s="60"/>
      <c r="G263" s="50"/>
      <c r="H263" s="59" t="str">
        <f t="shared" ref="H263:H326" si="19">IF(G263*F263=0,"",G263*F263)</f>
        <v/>
      </c>
      <c r="I263" s="17"/>
      <c r="J263" s="17"/>
    </row>
    <row r="264" spans="1:10">
      <c r="A264" s="17">
        <f t="shared" si="16"/>
        <v>259</v>
      </c>
      <c r="B264" s="18"/>
      <c r="C264" s="36" t="str">
        <f t="shared" si="17"/>
        <v/>
      </c>
      <c r="D264" s="36" t="str">
        <f t="shared" si="18"/>
        <v/>
      </c>
      <c r="E264" s="17"/>
      <c r="F264" s="60"/>
      <c r="G264" s="50"/>
      <c r="H264" s="59" t="str">
        <f t="shared" si="19"/>
        <v/>
      </c>
      <c r="I264" s="17"/>
      <c r="J264" s="17"/>
    </row>
    <row r="265" spans="1:10">
      <c r="A265" s="17">
        <f t="shared" si="16"/>
        <v>260</v>
      </c>
      <c r="B265" s="18"/>
      <c r="C265" s="36" t="str">
        <f t="shared" si="17"/>
        <v/>
      </c>
      <c r="D265" s="36" t="str">
        <f t="shared" si="18"/>
        <v/>
      </c>
      <c r="E265" s="17"/>
      <c r="F265" s="60"/>
      <c r="G265" s="50"/>
      <c r="H265" s="59" t="str">
        <f t="shared" si="19"/>
        <v/>
      </c>
      <c r="I265" s="17"/>
      <c r="J265" s="17"/>
    </row>
    <row r="266" spans="1:10">
      <c r="A266" s="17">
        <f t="shared" si="16"/>
        <v>261</v>
      </c>
      <c r="B266" s="18"/>
      <c r="C266" s="36" t="str">
        <f t="shared" si="17"/>
        <v/>
      </c>
      <c r="D266" s="36" t="str">
        <f t="shared" si="18"/>
        <v/>
      </c>
      <c r="E266" s="17"/>
      <c r="F266" s="60"/>
      <c r="G266" s="50"/>
      <c r="H266" s="59" t="str">
        <f t="shared" si="19"/>
        <v/>
      </c>
      <c r="I266" s="17"/>
      <c r="J266" s="17"/>
    </row>
    <row r="267" spans="1:10">
      <c r="A267" s="17">
        <f t="shared" si="16"/>
        <v>262</v>
      </c>
      <c r="B267" s="18"/>
      <c r="C267" s="36" t="str">
        <f t="shared" si="17"/>
        <v/>
      </c>
      <c r="D267" s="36" t="str">
        <f t="shared" si="18"/>
        <v/>
      </c>
      <c r="E267" s="17"/>
      <c r="F267" s="60"/>
      <c r="G267" s="50"/>
      <c r="H267" s="59" t="str">
        <f t="shared" si="19"/>
        <v/>
      </c>
      <c r="I267" s="17"/>
      <c r="J267" s="17"/>
    </row>
    <row r="268" spans="1:10">
      <c r="A268" s="17">
        <f t="shared" si="16"/>
        <v>263</v>
      </c>
      <c r="B268" s="18"/>
      <c r="C268" s="36" t="str">
        <f t="shared" si="17"/>
        <v/>
      </c>
      <c r="D268" s="36" t="str">
        <f t="shared" si="18"/>
        <v/>
      </c>
      <c r="E268" s="17"/>
      <c r="F268" s="60"/>
      <c r="G268" s="50"/>
      <c r="H268" s="59" t="str">
        <f t="shared" si="19"/>
        <v/>
      </c>
      <c r="I268" s="17"/>
      <c r="J268" s="17"/>
    </row>
    <row r="269" spans="1:10">
      <c r="A269" s="17">
        <f t="shared" si="16"/>
        <v>264</v>
      </c>
      <c r="B269" s="18"/>
      <c r="C269" s="36" t="str">
        <f t="shared" si="17"/>
        <v/>
      </c>
      <c r="D269" s="36" t="str">
        <f t="shared" si="18"/>
        <v/>
      </c>
      <c r="E269" s="17"/>
      <c r="F269" s="60"/>
      <c r="G269" s="50"/>
      <c r="H269" s="59" t="str">
        <f t="shared" si="19"/>
        <v/>
      </c>
      <c r="I269" s="17"/>
      <c r="J269" s="17"/>
    </row>
    <row r="270" spans="1:10">
      <c r="A270" s="17">
        <f t="shared" si="16"/>
        <v>265</v>
      </c>
      <c r="B270" s="18"/>
      <c r="C270" s="36" t="str">
        <f t="shared" si="17"/>
        <v/>
      </c>
      <c r="D270" s="36" t="str">
        <f t="shared" si="18"/>
        <v/>
      </c>
      <c r="E270" s="17"/>
      <c r="F270" s="60"/>
      <c r="G270" s="50"/>
      <c r="H270" s="59" t="str">
        <f t="shared" si="19"/>
        <v/>
      </c>
      <c r="I270" s="17"/>
      <c r="J270" s="17"/>
    </row>
    <row r="271" spans="1:10">
      <c r="A271" s="17">
        <f t="shared" si="16"/>
        <v>266</v>
      </c>
      <c r="B271" s="18"/>
      <c r="C271" s="36" t="str">
        <f t="shared" si="17"/>
        <v/>
      </c>
      <c r="D271" s="36" t="str">
        <f t="shared" si="18"/>
        <v/>
      </c>
      <c r="E271" s="17"/>
      <c r="F271" s="60"/>
      <c r="G271" s="50"/>
      <c r="H271" s="59" t="str">
        <f t="shared" si="19"/>
        <v/>
      </c>
      <c r="I271" s="17"/>
      <c r="J271" s="17"/>
    </row>
    <row r="272" spans="1:10">
      <c r="A272" s="17">
        <f t="shared" si="16"/>
        <v>267</v>
      </c>
      <c r="B272" s="18"/>
      <c r="C272" s="36" t="str">
        <f t="shared" si="17"/>
        <v/>
      </c>
      <c r="D272" s="36" t="str">
        <f t="shared" si="18"/>
        <v/>
      </c>
      <c r="E272" s="17"/>
      <c r="F272" s="60"/>
      <c r="G272" s="50"/>
      <c r="H272" s="59" t="str">
        <f t="shared" si="19"/>
        <v/>
      </c>
      <c r="I272" s="17"/>
      <c r="J272" s="17"/>
    </row>
    <row r="273" spans="1:10">
      <c r="A273" s="17">
        <f t="shared" si="16"/>
        <v>268</v>
      </c>
      <c r="B273" s="18"/>
      <c r="C273" s="36" t="str">
        <f t="shared" si="17"/>
        <v/>
      </c>
      <c r="D273" s="36" t="str">
        <f t="shared" si="18"/>
        <v/>
      </c>
      <c r="E273" s="17"/>
      <c r="F273" s="60"/>
      <c r="G273" s="50"/>
      <c r="H273" s="59" t="str">
        <f t="shared" si="19"/>
        <v/>
      </c>
      <c r="I273" s="17"/>
      <c r="J273" s="17"/>
    </row>
    <row r="274" spans="1:10">
      <c r="A274" s="17">
        <f t="shared" si="16"/>
        <v>269</v>
      </c>
      <c r="B274" s="18"/>
      <c r="C274" s="36" t="str">
        <f t="shared" si="17"/>
        <v/>
      </c>
      <c r="D274" s="36" t="str">
        <f t="shared" si="18"/>
        <v/>
      </c>
      <c r="E274" s="17"/>
      <c r="F274" s="60"/>
      <c r="G274" s="50"/>
      <c r="H274" s="59" t="str">
        <f t="shared" si="19"/>
        <v/>
      </c>
      <c r="I274" s="17"/>
      <c r="J274" s="17"/>
    </row>
    <row r="275" spans="1:10">
      <c r="A275" s="17">
        <f t="shared" si="16"/>
        <v>270</v>
      </c>
      <c r="B275" s="18"/>
      <c r="C275" s="36" t="str">
        <f t="shared" si="17"/>
        <v/>
      </c>
      <c r="D275" s="36" t="str">
        <f t="shared" si="18"/>
        <v/>
      </c>
      <c r="E275" s="17"/>
      <c r="F275" s="60"/>
      <c r="G275" s="50"/>
      <c r="H275" s="59" t="str">
        <f t="shared" si="19"/>
        <v/>
      </c>
      <c r="I275" s="17"/>
      <c r="J275" s="17"/>
    </row>
    <row r="276" spans="1:10">
      <c r="A276" s="17">
        <f t="shared" si="16"/>
        <v>271</v>
      </c>
      <c r="B276" s="18"/>
      <c r="C276" s="36" t="str">
        <f t="shared" si="17"/>
        <v/>
      </c>
      <c r="D276" s="36" t="str">
        <f t="shared" si="18"/>
        <v/>
      </c>
      <c r="E276" s="17"/>
      <c r="F276" s="60"/>
      <c r="G276" s="50"/>
      <c r="H276" s="59" t="str">
        <f t="shared" si="19"/>
        <v/>
      </c>
      <c r="I276" s="17"/>
      <c r="J276" s="17"/>
    </row>
    <row r="277" spans="1:10">
      <c r="A277" s="17">
        <f t="shared" si="16"/>
        <v>272</v>
      </c>
      <c r="B277" s="18"/>
      <c r="C277" s="36" t="str">
        <f t="shared" si="17"/>
        <v/>
      </c>
      <c r="D277" s="36" t="str">
        <f t="shared" si="18"/>
        <v/>
      </c>
      <c r="E277" s="17"/>
      <c r="F277" s="60"/>
      <c r="G277" s="50"/>
      <c r="H277" s="59" t="str">
        <f t="shared" si="19"/>
        <v/>
      </c>
      <c r="I277" s="17"/>
      <c r="J277" s="17"/>
    </row>
    <row r="278" spans="1:10">
      <c r="A278" s="17">
        <f t="shared" si="16"/>
        <v>273</v>
      </c>
      <c r="B278" s="18"/>
      <c r="C278" s="36" t="str">
        <f t="shared" si="17"/>
        <v/>
      </c>
      <c r="D278" s="36" t="str">
        <f t="shared" si="18"/>
        <v/>
      </c>
      <c r="E278" s="17"/>
      <c r="F278" s="60"/>
      <c r="G278" s="50"/>
      <c r="H278" s="59" t="str">
        <f t="shared" si="19"/>
        <v/>
      </c>
      <c r="I278" s="17"/>
      <c r="J278" s="17"/>
    </row>
    <row r="279" spans="1:10">
      <c r="A279" s="17">
        <f t="shared" si="16"/>
        <v>274</v>
      </c>
      <c r="B279" s="18"/>
      <c r="C279" s="36" t="str">
        <f t="shared" si="17"/>
        <v/>
      </c>
      <c r="D279" s="36" t="str">
        <f t="shared" si="18"/>
        <v/>
      </c>
      <c r="E279" s="17"/>
      <c r="F279" s="60"/>
      <c r="G279" s="50"/>
      <c r="H279" s="59" t="str">
        <f t="shared" si="19"/>
        <v/>
      </c>
      <c r="I279" s="17"/>
      <c r="J279" s="17"/>
    </row>
    <row r="280" spans="1:10">
      <c r="A280" s="17">
        <f t="shared" si="16"/>
        <v>275</v>
      </c>
      <c r="B280" s="18"/>
      <c r="C280" s="36" t="str">
        <f t="shared" si="17"/>
        <v/>
      </c>
      <c r="D280" s="36" t="str">
        <f t="shared" si="18"/>
        <v/>
      </c>
      <c r="E280" s="17"/>
      <c r="F280" s="60"/>
      <c r="G280" s="50"/>
      <c r="H280" s="59" t="str">
        <f t="shared" si="19"/>
        <v/>
      </c>
      <c r="I280" s="17"/>
      <c r="J280" s="17"/>
    </row>
    <row r="281" spans="1:10">
      <c r="A281" s="17">
        <f t="shared" si="16"/>
        <v>276</v>
      </c>
      <c r="B281" s="18"/>
      <c r="C281" s="36" t="str">
        <f t="shared" si="17"/>
        <v/>
      </c>
      <c r="D281" s="36" t="str">
        <f t="shared" si="18"/>
        <v/>
      </c>
      <c r="E281" s="17"/>
      <c r="F281" s="60"/>
      <c r="G281" s="50"/>
      <c r="H281" s="59" t="str">
        <f t="shared" si="19"/>
        <v/>
      </c>
      <c r="I281" s="17"/>
      <c r="J281" s="17"/>
    </row>
    <row r="282" spans="1:10">
      <c r="A282" s="17">
        <f t="shared" si="16"/>
        <v>277</v>
      </c>
      <c r="B282" s="18"/>
      <c r="C282" s="36" t="str">
        <f t="shared" si="17"/>
        <v/>
      </c>
      <c r="D282" s="36" t="str">
        <f t="shared" si="18"/>
        <v/>
      </c>
      <c r="E282" s="17"/>
      <c r="F282" s="60"/>
      <c r="G282" s="50"/>
      <c r="H282" s="59" t="str">
        <f t="shared" si="19"/>
        <v/>
      </c>
      <c r="I282" s="17"/>
      <c r="J282" s="17"/>
    </row>
    <row r="283" spans="1:10">
      <c r="A283" s="17">
        <f t="shared" si="16"/>
        <v>278</v>
      </c>
      <c r="B283" s="18"/>
      <c r="C283" s="36" t="str">
        <f t="shared" si="17"/>
        <v/>
      </c>
      <c r="D283" s="36" t="str">
        <f t="shared" si="18"/>
        <v/>
      </c>
      <c r="E283" s="17"/>
      <c r="F283" s="60"/>
      <c r="G283" s="50"/>
      <c r="H283" s="59" t="str">
        <f t="shared" si="19"/>
        <v/>
      </c>
      <c r="I283" s="17"/>
      <c r="J283" s="17"/>
    </row>
    <row r="284" spans="1:10">
      <c r="A284" s="17">
        <f t="shared" si="16"/>
        <v>279</v>
      </c>
      <c r="B284" s="18"/>
      <c r="C284" s="36" t="str">
        <f t="shared" si="17"/>
        <v/>
      </c>
      <c r="D284" s="36" t="str">
        <f t="shared" si="18"/>
        <v/>
      </c>
      <c r="E284" s="17"/>
      <c r="F284" s="60"/>
      <c r="G284" s="50"/>
      <c r="H284" s="59" t="str">
        <f t="shared" si="19"/>
        <v/>
      </c>
      <c r="I284" s="17"/>
      <c r="J284" s="17"/>
    </row>
    <row r="285" spans="1:10">
      <c r="A285" s="17">
        <f t="shared" si="16"/>
        <v>280</v>
      </c>
      <c r="B285" s="18"/>
      <c r="C285" s="36" t="str">
        <f t="shared" si="17"/>
        <v/>
      </c>
      <c r="D285" s="36" t="str">
        <f t="shared" si="18"/>
        <v/>
      </c>
      <c r="E285" s="17"/>
      <c r="F285" s="60"/>
      <c r="G285" s="50"/>
      <c r="H285" s="59" t="str">
        <f t="shared" si="19"/>
        <v/>
      </c>
      <c r="I285" s="17"/>
      <c r="J285" s="17"/>
    </row>
    <row r="286" spans="1:10">
      <c r="A286" s="17">
        <f t="shared" si="16"/>
        <v>281</v>
      </c>
      <c r="B286" s="18"/>
      <c r="C286" s="36" t="str">
        <f t="shared" si="17"/>
        <v/>
      </c>
      <c r="D286" s="36" t="str">
        <f t="shared" si="18"/>
        <v/>
      </c>
      <c r="E286" s="17"/>
      <c r="F286" s="60"/>
      <c r="G286" s="50"/>
      <c r="H286" s="59" t="str">
        <f t="shared" si="19"/>
        <v/>
      </c>
      <c r="I286" s="17"/>
      <c r="J286" s="17"/>
    </row>
    <row r="287" spans="1:10">
      <c r="A287" s="17">
        <f t="shared" si="16"/>
        <v>282</v>
      </c>
      <c r="B287" s="18"/>
      <c r="C287" s="36" t="str">
        <f t="shared" si="17"/>
        <v/>
      </c>
      <c r="D287" s="36" t="str">
        <f t="shared" si="18"/>
        <v/>
      </c>
      <c r="E287" s="17"/>
      <c r="F287" s="60"/>
      <c r="G287" s="50"/>
      <c r="H287" s="59" t="str">
        <f t="shared" si="19"/>
        <v/>
      </c>
      <c r="I287" s="17"/>
      <c r="J287" s="17"/>
    </row>
    <row r="288" spans="1:10">
      <c r="A288" s="17">
        <f t="shared" si="16"/>
        <v>283</v>
      </c>
      <c r="B288" s="18"/>
      <c r="C288" s="36" t="str">
        <f t="shared" si="17"/>
        <v/>
      </c>
      <c r="D288" s="36" t="str">
        <f t="shared" si="18"/>
        <v/>
      </c>
      <c r="E288" s="17"/>
      <c r="F288" s="60"/>
      <c r="G288" s="50"/>
      <c r="H288" s="59" t="str">
        <f t="shared" si="19"/>
        <v/>
      </c>
      <c r="I288" s="17"/>
      <c r="J288" s="17"/>
    </row>
    <row r="289" spans="1:10">
      <c r="A289" s="17">
        <f t="shared" si="16"/>
        <v>284</v>
      </c>
      <c r="B289" s="18"/>
      <c r="C289" s="36" t="str">
        <f t="shared" si="17"/>
        <v/>
      </c>
      <c r="D289" s="36" t="str">
        <f t="shared" si="18"/>
        <v/>
      </c>
      <c r="E289" s="17"/>
      <c r="F289" s="60"/>
      <c r="G289" s="50"/>
      <c r="H289" s="59" t="str">
        <f t="shared" si="19"/>
        <v/>
      </c>
      <c r="I289" s="17"/>
      <c r="J289" s="17"/>
    </row>
    <row r="290" spans="1:10">
      <c r="A290" s="17">
        <f t="shared" si="16"/>
        <v>285</v>
      </c>
      <c r="B290" s="18"/>
      <c r="C290" s="36" t="str">
        <f t="shared" si="17"/>
        <v/>
      </c>
      <c r="D290" s="36" t="str">
        <f t="shared" si="18"/>
        <v/>
      </c>
      <c r="E290" s="17"/>
      <c r="F290" s="60"/>
      <c r="G290" s="50"/>
      <c r="H290" s="59" t="str">
        <f t="shared" si="19"/>
        <v/>
      </c>
      <c r="I290" s="17"/>
      <c r="J290" s="17"/>
    </row>
    <row r="291" spans="1:10">
      <c r="A291" s="17">
        <f t="shared" si="16"/>
        <v>286</v>
      </c>
      <c r="B291" s="18"/>
      <c r="C291" s="36" t="str">
        <f t="shared" si="17"/>
        <v/>
      </c>
      <c r="D291" s="36" t="str">
        <f t="shared" si="18"/>
        <v/>
      </c>
      <c r="E291" s="17"/>
      <c r="F291" s="60"/>
      <c r="G291" s="50"/>
      <c r="H291" s="59" t="str">
        <f t="shared" si="19"/>
        <v/>
      </c>
      <c r="I291" s="17"/>
      <c r="J291" s="17"/>
    </row>
    <row r="292" spans="1:10">
      <c r="A292" s="17">
        <f t="shared" si="16"/>
        <v>287</v>
      </c>
      <c r="B292" s="18"/>
      <c r="C292" s="36" t="str">
        <f t="shared" si="17"/>
        <v/>
      </c>
      <c r="D292" s="36" t="str">
        <f t="shared" si="18"/>
        <v/>
      </c>
      <c r="E292" s="17"/>
      <c r="F292" s="60"/>
      <c r="G292" s="50"/>
      <c r="H292" s="59" t="str">
        <f t="shared" si="19"/>
        <v/>
      </c>
      <c r="I292" s="17"/>
      <c r="J292" s="17"/>
    </row>
    <row r="293" spans="1:10">
      <c r="A293" s="17">
        <f t="shared" si="16"/>
        <v>288</v>
      </c>
      <c r="B293" s="18"/>
      <c r="C293" s="36" t="str">
        <f t="shared" si="17"/>
        <v/>
      </c>
      <c r="D293" s="36" t="str">
        <f t="shared" si="18"/>
        <v/>
      </c>
      <c r="E293" s="17"/>
      <c r="F293" s="60"/>
      <c r="G293" s="50"/>
      <c r="H293" s="59" t="str">
        <f t="shared" si="19"/>
        <v/>
      </c>
      <c r="I293" s="17"/>
      <c r="J293" s="17"/>
    </row>
    <row r="294" spans="1:10">
      <c r="A294" s="17">
        <f t="shared" si="16"/>
        <v>289</v>
      </c>
      <c r="B294" s="18"/>
      <c r="C294" s="36" t="str">
        <f t="shared" si="17"/>
        <v/>
      </c>
      <c r="D294" s="36" t="str">
        <f t="shared" si="18"/>
        <v/>
      </c>
      <c r="E294" s="17"/>
      <c r="F294" s="60"/>
      <c r="G294" s="50"/>
      <c r="H294" s="59" t="str">
        <f t="shared" si="19"/>
        <v/>
      </c>
      <c r="I294" s="17"/>
      <c r="J294" s="17"/>
    </row>
    <row r="295" spans="1:10">
      <c r="A295" s="17">
        <f t="shared" si="16"/>
        <v>290</v>
      </c>
      <c r="B295" s="18"/>
      <c r="C295" s="36" t="str">
        <f t="shared" si="17"/>
        <v/>
      </c>
      <c r="D295" s="36" t="str">
        <f t="shared" si="18"/>
        <v/>
      </c>
      <c r="E295" s="17"/>
      <c r="F295" s="60"/>
      <c r="G295" s="50"/>
      <c r="H295" s="59" t="str">
        <f t="shared" si="19"/>
        <v/>
      </c>
      <c r="I295" s="17"/>
      <c r="J295" s="17"/>
    </row>
    <row r="296" spans="1:10">
      <c r="A296" s="17">
        <f t="shared" si="16"/>
        <v>291</v>
      </c>
      <c r="B296" s="18"/>
      <c r="C296" s="36" t="str">
        <f t="shared" si="17"/>
        <v/>
      </c>
      <c r="D296" s="36" t="str">
        <f t="shared" si="18"/>
        <v/>
      </c>
      <c r="E296" s="17"/>
      <c r="F296" s="60"/>
      <c r="G296" s="50"/>
      <c r="H296" s="59" t="str">
        <f t="shared" si="19"/>
        <v/>
      </c>
      <c r="I296" s="17"/>
      <c r="J296" s="17"/>
    </row>
    <row r="297" spans="1:10">
      <c r="A297" s="17">
        <f t="shared" si="16"/>
        <v>292</v>
      </c>
      <c r="B297" s="18"/>
      <c r="C297" s="36" t="str">
        <f t="shared" si="17"/>
        <v/>
      </c>
      <c r="D297" s="36" t="str">
        <f t="shared" si="18"/>
        <v/>
      </c>
      <c r="E297" s="17"/>
      <c r="F297" s="60"/>
      <c r="G297" s="50"/>
      <c r="H297" s="59" t="str">
        <f t="shared" si="19"/>
        <v/>
      </c>
      <c r="I297" s="17"/>
      <c r="J297" s="17"/>
    </row>
    <row r="298" spans="1:10">
      <c r="A298" s="17">
        <f t="shared" si="16"/>
        <v>293</v>
      </c>
      <c r="B298" s="18"/>
      <c r="C298" s="36" t="str">
        <f t="shared" si="17"/>
        <v/>
      </c>
      <c r="D298" s="36" t="str">
        <f t="shared" si="18"/>
        <v/>
      </c>
      <c r="E298" s="17"/>
      <c r="F298" s="60"/>
      <c r="G298" s="50"/>
      <c r="H298" s="59" t="str">
        <f t="shared" si="19"/>
        <v/>
      </c>
      <c r="I298" s="17"/>
      <c r="J298" s="17"/>
    </row>
    <row r="299" spans="1:10">
      <c r="A299" s="17">
        <f t="shared" si="16"/>
        <v>294</v>
      </c>
      <c r="B299" s="18"/>
      <c r="C299" s="36" t="str">
        <f t="shared" si="17"/>
        <v/>
      </c>
      <c r="D299" s="36" t="str">
        <f t="shared" si="18"/>
        <v/>
      </c>
      <c r="E299" s="17"/>
      <c r="F299" s="60"/>
      <c r="G299" s="50"/>
      <c r="H299" s="59" t="str">
        <f t="shared" si="19"/>
        <v/>
      </c>
      <c r="I299" s="17"/>
      <c r="J299" s="17"/>
    </row>
    <row r="300" spans="1:10">
      <c r="A300" s="17">
        <f t="shared" si="16"/>
        <v>295</v>
      </c>
      <c r="B300" s="18"/>
      <c r="C300" s="36" t="str">
        <f t="shared" si="17"/>
        <v/>
      </c>
      <c r="D300" s="36" t="str">
        <f t="shared" si="18"/>
        <v/>
      </c>
      <c r="E300" s="17"/>
      <c r="F300" s="60"/>
      <c r="G300" s="50"/>
      <c r="H300" s="59" t="str">
        <f t="shared" si="19"/>
        <v/>
      </c>
      <c r="I300" s="17"/>
      <c r="J300" s="17"/>
    </row>
    <row r="301" spans="1:10">
      <c r="A301" s="17">
        <f t="shared" si="16"/>
        <v>296</v>
      </c>
      <c r="B301" s="18"/>
      <c r="C301" s="36" t="str">
        <f t="shared" si="17"/>
        <v/>
      </c>
      <c r="D301" s="36" t="str">
        <f t="shared" si="18"/>
        <v/>
      </c>
      <c r="E301" s="17"/>
      <c r="F301" s="60"/>
      <c r="G301" s="50"/>
      <c r="H301" s="59" t="str">
        <f t="shared" si="19"/>
        <v/>
      </c>
      <c r="I301" s="17"/>
      <c r="J301" s="17"/>
    </row>
    <row r="302" spans="1:10">
      <c r="A302" s="17">
        <f t="shared" si="16"/>
        <v>297</v>
      </c>
      <c r="B302" s="18"/>
      <c r="C302" s="36" t="str">
        <f t="shared" si="17"/>
        <v/>
      </c>
      <c r="D302" s="36" t="str">
        <f t="shared" si="18"/>
        <v/>
      </c>
      <c r="E302" s="17"/>
      <c r="F302" s="60"/>
      <c r="G302" s="50"/>
      <c r="H302" s="59" t="str">
        <f t="shared" si="19"/>
        <v/>
      </c>
      <c r="I302" s="17"/>
      <c r="J302" s="17"/>
    </row>
    <row r="303" spans="1:10">
      <c r="A303" s="17">
        <f t="shared" si="16"/>
        <v>298</v>
      </c>
      <c r="B303" s="18"/>
      <c r="C303" s="36" t="str">
        <f t="shared" si="17"/>
        <v/>
      </c>
      <c r="D303" s="36" t="str">
        <f t="shared" si="18"/>
        <v/>
      </c>
      <c r="E303" s="17"/>
      <c r="F303" s="60"/>
      <c r="G303" s="50"/>
      <c r="H303" s="59" t="str">
        <f t="shared" si="19"/>
        <v/>
      </c>
      <c r="I303" s="17"/>
      <c r="J303" s="17"/>
    </row>
    <row r="304" spans="1:10">
      <c r="A304" s="17">
        <f t="shared" si="16"/>
        <v>299</v>
      </c>
      <c r="B304" s="18"/>
      <c r="C304" s="36" t="str">
        <f t="shared" si="17"/>
        <v/>
      </c>
      <c r="D304" s="36" t="str">
        <f t="shared" si="18"/>
        <v/>
      </c>
      <c r="E304" s="17"/>
      <c r="F304" s="60"/>
      <c r="G304" s="50"/>
      <c r="H304" s="59" t="str">
        <f t="shared" si="19"/>
        <v/>
      </c>
      <c r="I304" s="17"/>
      <c r="J304" s="17"/>
    </row>
    <row r="305" spans="1:10">
      <c r="A305" s="17">
        <f t="shared" si="16"/>
        <v>300</v>
      </c>
      <c r="B305" s="18"/>
      <c r="C305" s="36" t="str">
        <f t="shared" si="17"/>
        <v/>
      </c>
      <c r="D305" s="36" t="str">
        <f t="shared" si="18"/>
        <v/>
      </c>
      <c r="E305" s="17"/>
      <c r="F305" s="60"/>
      <c r="G305" s="50"/>
      <c r="H305" s="59" t="str">
        <f t="shared" si="19"/>
        <v/>
      </c>
      <c r="I305" s="17"/>
      <c r="J305" s="17"/>
    </row>
    <row r="306" spans="1:10">
      <c r="A306" s="17">
        <f t="shared" si="16"/>
        <v>301</v>
      </c>
      <c r="B306" s="18"/>
      <c r="C306" s="36" t="str">
        <f t="shared" si="17"/>
        <v/>
      </c>
      <c r="D306" s="36" t="str">
        <f t="shared" si="18"/>
        <v/>
      </c>
      <c r="E306" s="17"/>
      <c r="F306" s="60"/>
      <c r="G306" s="50"/>
      <c r="H306" s="59" t="str">
        <f t="shared" si="19"/>
        <v/>
      </c>
      <c r="I306" s="17"/>
      <c r="J306" s="17"/>
    </row>
    <row r="307" spans="1:10">
      <c r="A307" s="17">
        <f t="shared" si="16"/>
        <v>302</v>
      </c>
      <c r="B307" s="18"/>
      <c r="C307" s="36" t="str">
        <f t="shared" si="17"/>
        <v/>
      </c>
      <c r="D307" s="36" t="str">
        <f t="shared" si="18"/>
        <v/>
      </c>
      <c r="E307" s="17"/>
      <c r="F307" s="60"/>
      <c r="G307" s="50"/>
      <c r="H307" s="59" t="str">
        <f t="shared" si="19"/>
        <v/>
      </c>
      <c r="I307" s="17"/>
      <c r="J307" s="17"/>
    </row>
    <row r="308" spans="1:10">
      <c r="A308" s="17">
        <f t="shared" si="16"/>
        <v>303</v>
      </c>
      <c r="B308" s="18"/>
      <c r="C308" s="36" t="str">
        <f t="shared" si="17"/>
        <v/>
      </c>
      <c r="D308" s="36" t="str">
        <f t="shared" si="18"/>
        <v/>
      </c>
      <c r="E308" s="17"/>
      <c r="F308" s="60"/>
      <c r="G308" s="50"/>
      <c r="H308" s="59" t="str">
        <f t="shared" si="19"/>
        <v/>
      </c>
      <c r="I308" s="17"/>
      <c r="J308" s="17"/>
    </row>
    <row r="309" spans="1:10">
      <c r="A309" s="17">
        <f t="shared" si="16"/>
        <v>304</v>
      </c>
      <c r="B309" s="18"/>
      <c r="C309" s="36" t="str">
        <f t="shared" si="17"/>
        <v/>
      </c>
      <c r="D309" s="36" t="str">
        <f t="shared" si="18"/>
        <v/>
      </c>
      <c r="E309" s="17"/>
      <c r="F309" s="60"/>
      <c r="G309" s="50"/>
      <c r="H309" s="59" t="str">
        <f t="shared" si="19"/>
        <v/>
      </c>
      <c r="I309" s="17"/>
      <c r="J309" s="17"/>
    </row>
    <row r="310" spans="1:10">
      <c r="A310" s="17">
        <f t="shared" si="16"/>
        <v>305</v>
      </c>
      <c r="B310" s="18"/>
      <c r="C310" s="36" t="str">
        <f t="shared" si="17"/>
        <v/>
      </c>
      <c r="D310" s="36" t="str">
        <f t="shared" si="18"/>
        <v/>
      </c>
      <c r="E310" s="17"/>
      <c r="F310" s="60"/>
      <c r="G310" s="50"/>
      <c r="H310" s="59" t="str">
        <f t="shared" si="19"/>
        <v/>
      </c>
      <c r="I310" s="17"/>
      <c r="J310" s="17"/>
    </row>
    <row r="311" spans="1:10">
      <c r="A311" s="17">
        <f t="shared" si="16"/>
        <v>306</v>
      </c>
      <c r="B311" s="18"/>
      <c r="C311" s="36" t="str">
        <f t="shared" si="17"/>
        <v/>
      </c>
      <c r="D311" s="36" t="str">
        <f t="shared" si="18"/>
        <v/>
      </c>
      <c r="E311" s="17"/>
      <c r="F311" s="60"/>
      <c r="G311" s="50"/>
      <c r="H311" s="59" t="str">
        <f t="shared" si="19"/>
        <v/>
      </c>
      <c r="I311" s="17"/>
      <c r="J311" s="17"/>
    </row>
    <row r="312" spans="1:10">
      <c r="A312" s="17">
        <f t="shared" si="16"/>
        <v>307</v>
      </c>
      <c r="B312" s="18"/>
      <c r="C312" s="36" t="str">
        <f t="shared" si="17"/>
        <v/>
      </c>
      <c r="D312" s="36" t="str">
        <f t="shared" si="18"/>
        <v/>
      </c>
      <c r="E312" s="17"/>
      <c r="F312" s="60"/>
      <c r="G312" s="50"/>
      <c r="H312" s="59" t="str">
        <f t="shared" si="19"/>
        <v/>
      </c>
      <c r="I312" s="17"/>
      <c r="J312" s="17"/>
    </row>
    <row r="313" spans="1:10">
      <c r="A313" s="17">
        <f t="shared" si="16"/>
        <v>308</v>
      </c>
      <c r="B313" s="18"/>
      <c r="C313" s="36" t="str">
        <f t="shared" si="17"/>
        <v/>
      </c>
      <c r="D313" s="36" t="str">
        <f t="shared" si="18"/>
        <v/>
      </c>
      <c r="E313" s="17"/>
      <c r="F313" s="60"/>
      <c r="G313" s="50"/>
      <c r="H313" s="59" t="str">
        <f t="shared" si="19"/>
        <v/>
      </c>
      <c r="I313" s="17"/>
      <c r="J313" s="17"/>
    </row>
    <row r="314" spans="1:10">
      <c r="A314" s="17">
        <f t="shared" si="16"/>
        <v>309</v>
      </c>
      <c r="B314" s="18"/>
      <c r="C314" s="36" t="str">
        <f t="shared" si="17"/>
        <v/>
      </c>
      <c r="D314" s="36" t="str">
        <f t="shared" si="18"/>
        <v/>
      </c>
      <c r="E314" s="17"/>
      <c r="F314" s="60"/>
      <c r="G314" s="50"/>
      <c r="H314" s="59" t="str">
        <f t="shared" si="19"/>
        <v/>
      </c>
      <c r="I314" s="17"/>
      <c r="J314" s="17"/>
    </row>
    <row r="315" spans="1:10">
      <c r="A315" s="17">
        <f t="shared" si="16"/>
        <v>310</v>
      </c>
      <c r="B315" s="18"/>
      <c r="C315" s="36" t="str">
        <f t="shared" si="17"/>
        <v/>
      </c>
      <c r="D315" s="36" t="str">
        <f t="shared" si="18"/>
        <v/>
      </c>
      <c r="E315" s="17"/>
      <c r="F315" s="60"/>
      <c r="G315" s="50"/>
      <c r="H315" s="59" t="str">
        <f t="shared" si="19"/>
        <v/>
      </c>
      <c r="I315" s="17"/>
      <c r="J315" s="17"/>
    </row>
    <row r="316" spans="1:10">
      <c r="A316" s="17">
        <f t="shared" si="16"/>
        <v>311</v>
      </c>
      <c r="B316" s="18"/>
      <c r="C316" s="36" t="str">
        <f t="shared" si="17"/>
        <v/>
      </c>
      <c r="D316" s="36" t="str">
        <f t="shared" si="18"/>
        <v/>
      </c>
      <c r="E316" s="17"/>
      <c r="F316" s="60"/>
      <c r="G316" s="50"/>
      <c r="H316" s="59" t="str">
        <f t="shared" si="19"/>
        <v/>
      </c>
      <c r="I316" s="17"/>
      <c r="J316" s="17"/>
    </row>
    <row r="317" spans="1:10">
      <c r="A317" s="17">
        <f t="shared" si="16"/>
        <v>312</v>
      </c>
      <c r="B317" s="18"/>
      <c r="C317" s="36" t="str">
        <f t="shared" si="17"/>
        <v/>
      </c>
      <c r="D317" s="36" t="str">
        <f t="shared" si="18"/>
        <v/>
      </c>
      <c r="E317" s="17"/>
      <c r="F317" s="60"/>
      <c r="G317" s="50"/>
      <c r="H317" s="59" t="str">
        <f t="shared" si="19"/>
        <v/>
      </c>
      <c r="I317" s="17"/>
      <c r="J317" s="17"/>
    </row>
    <row r="318" spans="1:10">
      <c r="A318" s="17">
        <f t="shared" si="16"/>
        <v>313</v>
      </c>
      <c r="B318" s="18"/>
      <c r="C318" s="36" t="str">
        <f t="shared" si="17"/>
        <v/>
      </c>
      <c r="D318" s="36" t="str">
        <f t="shared" si="18"/>
        <v/>
      </c>
      <c r="E318" s="17"/>
      <c r="F318" s="60"/>
      <c r="G318" s="50"/>
      <c r="H318" s="59" t="str">
        <f t="shared" si="19"/>
        <v/>
      </c>
      <c r="I318" s="17"/>
      <c r="J318" s="17"/>
    </row>
    <row r="319" spans="1:10">
      <c r="A319" s="17">
        <f t="shared" si="16"/>
        <v>314</v>
      </c>
      <c r="B319" s="18"/>
      <c r="C319" s="36" t="str">
        <f t="shared" si="17"/>
        <v/>
      </c>
      <c r="D319" s="36" t="str">
        <f t="shared" si="18"/>
        <v/>
      </c>
      <c r="E319" s="17"/>
      <c r="F319" s="60"/>
      <c r="G319" s="50"/>
      <c r="H319" s="59" t="str">
        <f t="shared" si="19"/>
        <v/>
      </c>
      <c r="I319" s="17"/>
      <c r="J319" s="17"/>
    </row>
    <row r="320" spans="1:10">
      <c r="A320" s="17">
        <f t="shared" si="16"/>
        <v>315</v>
      </c>
      <c r="B320" s="18"/>
      <c r="C320" s="36" t="str">
        <f t="shared" si="17"/>
        <v/>
      </c>
      <c r="D320" s="36" t="str">
        <f t="shared" si="18"/>
        <v/>
      </c>
      <c r="E320" s="17"/>
      <c r="F320" s="60"/>
      <c r="G320" s="50"/>
      <c r="H320" s="59" t="str">
        <f t="shared" si="19"/>
        <v/>
      </c>
      <c r="I320" s="17"/>
      <c r="J320" s="17"/>
    </row>
    <row r="321" spans="1:10">
      <c r="A321" s="17">
        <f t="shared" si="16"/>
        <v>316</v>
      </c>
      <c r="B321" s="18"/>
      <c r="C321" s="36" t="str">
        <f t="shared" si="17"/>
        <v/>
      </c>
      <c r="D321" s="36" t="str">
        <f t="shared" si="18"/>
        <v/>
      </c>
      <c r="E321" s="17"/>
      <c r="F321" s="60"/>
      <c r="G321" s="50"/>
      <c r="H321" s="59" t="str">
        <f t="shared" si="19"/>
        <v/>
      </c>
      <c r="I321" s="17"/>
      <c r="J321" s="17"/>
    </row>
    <row r="322" spans="1:10">
      <c r="A322" s="17">
        <f t="shared" si="16"/>
        <v>317</v>
      </c>
      <c r="B322" s="18"/>
      <c r="C322" s="36" t="str">
        <f t="shared" si="17"/>
        <v/>
      </c>
      <c r="D322" s="36" t="str">
        <f t="shared" si="18"/>
        <v/>
      </c>
      <c r="E322" s="17"/>
      <c r="F322" s="60"/>
      <c r="G322" s="50"/>
      <c r="H322" s="59" t="str">
        <f t="shared" si="19"/>
        <v/>
      </c>
      <c r="I322" s="17"/>
      <c r="J322" s="17"/>
    </row>
    <row r="323" spans="1:10">
      <c r="A323" s="17">
        <f t="shared" si="16"/>
        <v>318</v>
      </c>
      <c r="B323" s="18"/>
      <c r="C323" s="36" t="str">
        <f t="shared" si="17"/>
        <v/>
      </c>
      <c r="D323" s="36" t="str">
        <f t="shared" si="18"/>
        <v/>
      </c>
      <c r="E323" s="17"/>
      <c r="F323" s="60"/>
      <c r="G323" s="50"/>
      <c r="H323" s="59" t="str">
        <f t="shared" si="19"/>
        <v/>
      </c>
      <c r="I323" s="17"/>
      <c r="J323" s="17"/>
    </row>
    <row r="324" spans="1:10">
      <c r="A324" s="17">
        <f t="shared" si="16"/>
        <v>319</v>
      </c>
      <c r="B324" s="18"/>
      <c r="C324" s="36" t="str">
        <f t="shared" si="17"/>
        <v/>
      </c>
      <c r="D324" s="36" t="str">
        <f t="shared" si="18"/>
        <v/>
      </c>
      <c r="E324" s="17"/>
      <c r="F324" s="60"/>
      <c r="G324" s="50"/>
      <c r="H324" s="59" t="str">
        <f t="shared" si="19"/>
        <v/>
      </c>
      <c r="I324" s="17"/>
      <c r="J324" s="17"/>
    </row>
    <row r="325" spans="1:10">
      <c r="A325" s="17">
        <f t="shared" si="16"/>
        <v>320</v>
      </c>
      <c r="B325" s="18"/>
      <c r="C325" s="36" t="str">
        <f t="shared" si="17"/>
        <v/>
      </c>
      <c r="D325" s="36" t="str">
        <f t="shared" si="18"/>
        <v/>
      </c>
      <c r="E325" s="17"/>
      <c r="F325" s="60"/>
      <c r="G325" s="50"/>
      <c r="H325" s="59" t="str">
        <f t="shared" si="19"/>
        <v/>
      </c>
      <c r="I325" s="17"/>
      <c r="J325" s="17"/>
    </row>
    <row r="326" spans="1:10">
      <c r="A326" s="17">
        <f t="shared" si="16"/>
        <v>321</v>
      </c>
      <c r="B326" s="18"/>
      <c r="C326" s="36" t="str">
        <f t="shared" si="17"/>
        <v/>
      </c>
      <c r="D326" s="36" t="str">
        <f t="shared" si="18"/>
        <v/>
      </c>
      <c r="E326" s="17"/>
      <c r="F326" s="60"/>
      <c r="G326" s="50"/>
      <c r="H326" s="59" t="str">
        <f t="shared" si="19"/>
        <v/>
      </c>
      <c r="I326" s="17"/>
      <c r="J326" s="17"/>
    </row>
    <row r="327" spans="1:10">
      <c r="A327" s="17">
        <f t="shared" ref="A327:A390" si="20">ROW(A322)</f>
        <v>322</v>
      </c>
      <c r="B327" s="18"/>
      <c r="C327" s="36" t="str">
        <f t="shared" ref="C327:C390" si="21">IF(B327=0,"",TEXT(B327,"mmmm"))</f>
        <v/>
      </c>
      <c r="D327" s="36" t="str">
        <f t="shared" ref="D327:D390" si="22">IF(B327=0,"",TEXT(B327,"yyyy"))</f>
        <v/>
      </c>
      <c r="E327" s="17"/>
      <c r="F327" s="60"/>
      <c r="G327" s="50"/>
      <c r="H327" s="59" t="str">
        <f t="shared" ref="H327:H390" si="23">IF(G327*F327=0,"",G327*F327)</f>
        <v/>
      </c>
      <c r="I327" s="17"/>
      <c r="J327" s="17"/>
    </row>
    <row r="328" spans="1:10">
      <c r="A328" s="17">
        <f t="shared" si="20"/>
        <v>323</v>
      </c>
      <c r="B328" s="18"/>
      <c r="C328" s="36" t="str">
        <f t="shared" si="21"/>
        <v/>
      </c>
      <c r="D328" s="36" t="str">
        <f t="shared" si="22"/>
        <v/>
      </c>
      <c r="E328" s="17"/>
      <c r="F328" s="60"/>
      <c r="G328" s="50"/>
      <c r="H328" s="59" t="str">
        <f t="shared" si="23"/>
        <v/>
      </c>
      <c r="I328" s="17"/>
      <c r="J328" s="17"/>
    </row>
    <row r="329" spans="1:10">
      <c r="A329" s="17">
        <f t="shared" si="20"/>
        <v>324</v>
      </c>
      <c r="B329" s="18"/>
      <c r="C329" s="36" t="str">
        <f t="shared" si="21"/>
        <v/>
      </c>
      <c r="D329" s="36" t="str">
        <f t="shared" si="22"/>
        <v/>
      </c>
      <c r="E329" s="17"/>
      <c r="F329" s="60"/>
      <c r="G329" s="50"/>
      <c r="H329" s="59" t="str">
        <f t="shared" si="23"/>
        <v/>
      </c>
      <c r="I329" s="17"/>
      <c r="J329" s="17"/>
    </row>
    <row r="330" spans="1:10">
      <c r="A330" s="17">
        <f t="shared" si="20"/>
        <v>325</v>
      </c>
      <c r="B330" s="18"/>
      <c r="C330" s="36" t="str">
        <f t="shared" si="21"/>
        <v/>
      </c>
      <c r="D330" s="36" t="str">
        <f t="shared" si="22"/>
        <v/>
      </c>
      <c r="E330" s="17"/>
      <c r="F330" s="60"/>
      <c r="G330" s="50"/>
      <c r="H330" s="59" t="str">
        <f t="shared" si="23"/>
        <v/>
      </c>
      <c r="I330" s="17"/>
      <c r="J330" s="17"/>
    </row>
    <row r="331" spans="1:10">
      <c r="A331" s="17">
        <f t="shared" si="20"/>
        <v>326</v>
      </c>
      <c r="B331" s="18"/>
      <c r="C331" s="36" t="str">
        <f t="shared" si="21"/>
        <v/>
      </c>
      <c r="D331" s="36" t="str">
        <f t="shared" si="22"/>
        <v/>
      </c>
      <c r="E331" s="17"/>
      <c r="F331" s="60"/>
      <c r="G331" s="50"/>
      <c r="H331" s="59" t="str">
        <f t="shared" si="23"/>
        <v/>
      </c>
      <c r="I331" s="17"/>
      <c r="J331" s="17"/>
    </row>
    <row r="332" spans="1:10">
      <c r="A332" s="17">
        <f t="shared" si="20"/>
        <v>327</v>
      </c>
      <c r="B332" s="18"/>
      <c r="C332" s="36" t="str">
        <f t="shared" si="21"/>
        <v/>
      </c>
      <c r="D332" s="36" t="str">
        <f t="shared" si="22"/>
        <v/>
      </c>
      <c r="E332" s="17"/>
      <c r="F332" s="60"/>
      <c r="G332" s="50"/>
      <c r="H332" s="59" t="str">
        <f t="shared" si="23"/>
        <v/>
      </c>
      <c r="I332" s="17"/>
      <c r="J332" s="17"/>
    </row>
    <row r="333" spans="1:10">
      <c r="A333" s="17">
        <f t="shared" si="20"/>
        <v>328</v>
      </c>
      <c r="B333" s="18"/>
      <c r="C333" s="36" t="str">
        <f t="shared" si="21"/>
        <v/>
      </c>
      <c r="D333" s="36" t="str">
        <f t="shared" si="22"/>
        <v/>
      </c>
      <c r="E333" s="17"/>
      <c r="F333" s="60"/>
      <c r="G333" s="50"/>
      <c r="H333" s="59" t="str">
        <f t="shared" si="23"/>
        <v/>
      </c>
      <c r="I333" s="17"/>
      <c r="J333" s="17"/>
    </row>
    <row r="334" spans="1:10">
      <c r="A334" s="17">
        <f t="shared" si="20"/>
        <v>329</v>
      </c>
      <c r="B334" s="18"/>
      <c r="C334" s="36" t="str">
        <f t="shared" si="21"/>
        <v/>
      </c>
      <c r="D334" s="36" t="str">
        <f t="shared" si="22"/>
        <v/>
      </c>
      <c r="E334" s="17"/>
      <c r="F334" s="60"/>
      <c r="G334" s="50"/>
      <c r="H334" s="59" t="str">
        <f t="shared" si="23"/>
        <v/>
      </c>
      <c r="I334" s="17"/>
      <c r="J334" s="17"/>
    </row>
    <row r="335" spans="1:10">
      <c r="A335" s="17">
        <f t="shared" si="20"/>
        <v>330</v>
      </c>
      <c r="B335" s="18"/>
      <c r="C335" s="36" t="str">
        <f t="shared" si="21"/>
        <v/>
      </c>
      <c r="D335" s="36" t="str">
        <f t="shared" si="22"/>
        <v/>
      </c>
      <c r="E335" s="17"/>
      <c r="F335" s="60"/>
      <c r="G335" s="50"/>
      <c r="H335" s="59" t="str">
        <f t="shared" si="23"/>
        <v/>
      </c>
      <c r="I335" s="17"/>
      <c r="J335" s="17"/>
    </row>
    <row r="336" spans="1:10">
      <c r="A336" s="17">
        <f t="shared" si="20"/>
        <v>331</v>
      </c>
      <c r="B336" s="18"/>
      <c r="C336" s="36" t="str">
        <f t="shared" si="21"/>
        <v/>
      </c>
      <c r="D336" s="36" t="str">
        <f t="shared" si="22"/>
        <v/>
      </c>
      <c r="E336" s="17"/>
      <c r="F336" s="60"/>
      <c r="G336" s="50"/>
      <c r="H336" s="59" t="str">
        <f t="shared" si="23"/>
        <v/>
      </c>
      <c r="I336" s="17"/>
      <c r="J336" s="17"/>
    </row>
    <row r="337" spans="1:10">
      <c r="A337" s="17">
        <f t="shared" si="20"/>
        <v>332</v>
      </c>
      <c r="B337" s="18"/>
      <c r="C337" s="36" t="str">
        <f t="shared" si="21"/>
        <v/>
      </c>
      <c r="D337" s="36" t="str">
        <f t="shared" si="22"/>
        <v/>
      </c>
      <c r="E337" s="17"/>
      <c r="F337" s="60"/>
      <c r="G337" s="50"/>
      <c r="H337" s="59" t="str">
        <f t="shared" si="23"/>
        <v/>
      </c>
      <c r="I337" s="17"/>
      <c r="J337" s="17"/>
    </row>
    <row r="338" spans="1:10">
      <c r="A338" s="17">
        <f t="shared" si="20"/>
        <v>333</v>
      </c>
      <c r="B338" s="18"/>
      <c r="C338" s="36" t="str">
        <f t="shared" si="21"/>
        <v/>
      </c>
      <c r="D338" s="36" t="str">
        <f t="shared" si="22"/>
        <v/>
      </c>
      <c r="E338" s="17"/>
      <c r="F338" s="60"/>
      <c r="G338" s="50"/>
      <c r="H338" s="59" t="str">
        <f t="shared" si="23"/>
        <v/>
      </c>
      <c r="I338" s="17"/>
      <c r="J338" s="17"/>
    </row>
    <row r="339" spans="1:10">
      <c r="A339" s="17">
        <f t="shared" si="20"/>
        <v>334</v>
      </c>
      <c r="B339" s="18"/>
      <c r="C339" s="36" t="str">
        <f t="shared" si="21"/>
        <v/>
      </c>
      <c r="D339" s="36" t="str">
        <f t="shared" si="22"/>
        <v/>
      </c>
      <c r="E339" s="17"/>
      <c r="F339" s="60"/>
      <c r="G339" s="50"/>
      <c r="H339" s="59" t="str">
        <f t="shared" si="23"/>
        <v/>
      </c>
      <c r="I339" s="17"/>
      <c r="J339" s="17"/>
    </row>
    <row r="340" spans="1:10">
      <c r="A340" s="17">
        <f t="shared" si="20"/>
        <v>335</v>
      </c>
      <c r="B340" s="18"/>
      <c r="C340" s="36" t="str">
        <f t="shared" si="21"/>
        <v/>
      </c>
      <c r="D340" s="36" t="str">
        <f t="shared" si="22"/>
        <v/>
      </c>
      <c r="E340" s="17"/>
      <c r="F340" s="60"/>
      <c r="G340" s="50"/>
      <c r="H340" s="59" t="str">
        <f t="shared" si="23"/>
        <v/>
      </c>
      <c r="I340" s="17"/>
      <c r="J340" s="17"/>
    </row>
    <row r="341" spans="1:10">
      <c r="A341" s="17">
        <f t="shared" si="20"/>
        <v>336</v>
      </c>
      <c r="B341" s="18"/>
      <c r="C341" s="36" t="str">
        <f t="shared" si="21"/>
        <v/>
      </c>
      <c r="D341" s="36" t="str">
        <f t="shared" si="22"/>
        <v/>
      </c>
      <c r="E341" s="17"/>
      <c r="F341" s="60"/>
      <c r="G341" s="50"/>
      <c r="H341" s="59" t="str">
        <f t="shared" si="23"/>
        <v/>
      </c>
      <c r="I341" s="17"/>
      <c r="J341" s="17"/>
    </row>
    <row r="342" spans="1:10">
      <c r="A342" s="17">
        <f t="shared" si="20"/>
        <v>337</v>
      </c>
      <c r="B342" s="18"/>
      <c r="C342" s="36" t="str">
        <f t="shared" si="21"/>
        <v/>
      </c>
      <c r="D342" s="36" t="str">
        <f t="shared" si="22"/>
        <v/>
      </c>
      <c r="E342" s="17"/>
      <c r="F342" s="60"/>
      <c r="G342" s="50"/>
      <c r="H342" s="59" t="str">
        <f t="shared" si="23"/>
        <v/>
      </c>
      <c r="I342" s="17"/>
      <c r="J342" s="17"/>
    </row>
    <row r="343" spans="1:10">
      <c r="A343" s="17">
        <f t="shared" si="20"/>
        <v>338</v>
      </c>
      <c r="B343" s="18"/>
      <c r="C343" s="36" t="str">
        <f t="shared" si="21"/>
        <v/>
      </c>
      <c r="D343" s="36" t="str">
        <f t="shared" si="22"/>
        <v/>
      </c>
      <c r="E343" s="17"/>
      <c r="F343" s="60"/>
      <c r="G343" s="50"/>
      <c r="H343" s="59" t="str">
        <f t="shared" si="23"/>
        <v/>
      </c>
      <c r="I343" s="17"/>
      <c r="J343" s="17"/>
    </row>
    <row r="344" spans="1:10">
      <c r="A344" s="17">
        <f t="shared" si="20"/>
        <v>339</v>
      </c>
      <c r="B344" s="18"/>
      <c r="C344" s="36" t="str">
        <f t="shared" si="21"/>
        <v/>
      </c>
      <c r="D344" s="36" t="str">
        <f t="shared" si="22"/>
        <v/>
      </c>
      <c r="E344" s="17"/>
      <c r="F344" s="60"/>
      <c r="G344" s="50"/>
      <c r="H344" s="59" t="str">
        <f t="shared" si="23"/>
        <v/>
      </c>
      <c r="I344" s="17"/>
      <c r="J344" s="17"/>
    </row>
    <row r="345" spans="1:10">
      <c r="A345" s="17">
        <f t="shared" si="20"/>
        <v>340</v>
      </c>
      <c r="B345" s="18"/>
      <c r="C345" s="36" t="str">
        <f t="shared" si="21"/>
        <v/>
      </c>
      <c r="D345" s="36" t="str">
        <f t="shared" si="22"/>
        <v/>
      </c>
      <c r="E345" s="17"/>
      <c r="F345" s="60"/>
      <c r="G345" s="50"/>
      <c r="H345" s="59" t="str">
        <f t="shared" si="23"/>
        <v/>
      </c>
      <c r="I345" s="17"/>
      <c r="J345" s="17"/>
    </row>
    <row r="346" spans="1:10">
      <c r="A346" s="17">
        <f t="shared" si="20"/>
        <v>341</v>
      </c>
      <c r="B346" s="18"/>
      <c r="C346" s="36" t="str">
        <f t="shared" si="21"/>
        <v/>
      </c>
      <c r="D346" s="36" t="str">
        <f t="shared" si="22"/>
        <v/>
      </c>
      <c r="E346" s="17"/>
      <c r="F346" s="60"/>
      <c r="G346" s="50"/>
      <c r="H346" s="59" t="str">
        <f t="shared" si="23"/>
        <v/>
      </c>
      <c r="I346" s="17"/>
      <c r="J346" s="17"/>
    </row>
    <row r="347" spans="1:10">
      <c r="A347" s="17">
        <f t="shared" si="20"/>
        <v>342</v>
      </c>
      <c r="B347" s="18"/>
      <c r="C347" s="36" t="str">
        <f t="shared" si="21"/>
        <v/>
      </c>
      <c r="D347" s="36" t="str">
        <f t="shared" si="22"/>
        <v/>
      </c>
      <c r="E347" s="17"/>
      <c r="F347" s="60"/>
      <c r="G347" s="50"/>
      <c r="H347" s="59" t="str">
        <f t="shared" si="23"/>
        <v/>
      </c>
      <c r="I347" s="17"/>
      <c r="J347" s="17"/>
    </row>
    <row r="348" spans="1:10">
      <c r="A348" s="17">
        <f t="shared" si="20"/>
        <v>343</v>
      </c>
      <c r="B348" s="18"/>
      <c r="C348" s="36" t="str">
        <f t="shared" si="21"/>
        <v/>
      </c>
      <c r="D348" s="36" t="str">
        <f t="shared" si="22"/>
        <v/>
      </c>
      <c r="E348" s="17"/>
      <c r="F348" s="60"/>
      <c r="G348" s="50"/>
      <c r="H348" s="59" t="str">
        <f t="shared" si="23"/>
        <v/>
      </c>
      <c r="I348" s="17"/>
      <c r="J348" s="17"/>
    </row>
    <row r="349" spans="1:10">
      <c r="A349" s="17">
        <f t="shared" si="20"/>
        <v>344</v>
      </c>
      <c r="B349" s="18"/>
      <c r="C349" s="36" t="str">
        <f t="shared" si="21"/>
        <v/>
      </c>
      <c r="D349" s="36" t="str">
        <f t="shared" si="22"/>
        <v/>
      </c>
      <c r="E349" s="17"/>
      <c r="F349" s="60"/>
      <c r="G349" s="50"/>
      <c r="H349" s="59" t="str">
        <f t="shared" si="23"/>
        <v/>
      </c>
      <c r="I349" s="17"/>
      <c r="J349" s="17"/>
    </row>
    <row r="350" spans="1:10">
      <c r="A350" s="17">
        <f t="shared" si="20"/>
        <v>345</v>
      </c>
      <c r="B350" s="18"/>
      <c r="C350" s="36" t="str">
        <f t="shared" si="21"/>
        <v/>
      </c>
      <c r="D350" s="36" t="str">
        <f t="shared" si="22"/>
        <v/>
      </c>
      <c r="E350" s="17"/>
      <c r="F350" s="60"/>
      <c r="G350" s="50"/>
      <c r="H350" s="59" t="str">
        <f t="shared" si="23"/>
        <v/>
      </c>
      <c r="I350" s="17"/>
      <c r="J350" s="17"/>
    </row>
    <row r="351" spans="1:10">
      <c r="A351" s="17">
        <f t="shared" si="20"/>
        <v>346</v>
      </c>
      <c r="B351" s="18"/>
      <c r="C351" s="36" t="str">
        <f t="shared" si="21"/>
        <v/>
      </c>
      <c r="D351" s="36" t="str">
        <f t="shared" si="22"/>
        <v/>
      </c>
      <c r="E351" s="17"/>
      <c r="F351" s="60"/>
      <c r="G351" s="50"/>
      <c r="H351" s="59" t="str">
        <f t="shared" si="23"/>
        <v/>
      </c>
      <c r="I351" s="17"/>
      <c r="J351" s="17"/>
    </row>
    <row r="352" spans="1:10">
      <c r="A352" s="17">
        <f t="shared" si="20"/>
        <v>347</v>
      </c>
      <c r="B352" s="18"/>
      <c r="C352" s="36" t="str">
        <f t="shared" si="21"/>
        <v/>
      </c>
      <c r="D352" s="36" t="str">
        <f t="shared" si="22"/>
        <v/>
      </c>
      <c r="E352" s="17"/>
      <c r="F352" s="60"/>
      <c r="G352" s="50"/>
      <c r="H352" s="59" t="str">
        <f t="shared" si="23"/>
        <v/>
      </c>
      <c r="I352" s="17"/>
      <c r="J352" s="17"/>
    </row>
    <row r="353" spans="1:10">
      <c r="A353" s="17">
        <f t="shared" si="20"/>
        <v>348</v>
      </c>
      <c r="B353" s="18"/>
      <c r="C353" s="36" t="str">
        <f t="shared" si="21"/>
        <v/>
      </c>
      <c r="D353" s="36" t="str">
        <f t="shared" si="22"/>
        <v/>
      </c>
      <c r="E353" s="17"/>
      <c r="F353" s="60"/>
      <c r="G353" s="50"/>
      <c r="H353" s="59" t="str">
        <f t="shared" si="23"/>
        <v/>
      </c>
      <c r="I353" s="17"/>
      <c r="J353" s="17"/>
    </row>
    <row r="354" spans="1:10">
      <c r="A354" s="17">
        <f t="shared" si="20"/>
        <v>349</v>
      </c>
      <c r="B354" s="18"/>
      <c r="C354" s="36" t="str">
        <f t="shared" si="21"/>
        <v/>
      </c>
      <c r="D354" s="36" t="str">
        <f t="shared" si="22"/>
        <v/>
      </c>
      <c r="E354" s="17"/>
      <c r="F354" s="60"/>
      <c r="G354" s="50"/>
      <c r="H354" s="59" t="str">
        <f t="shared" si="23"/>
        <v/>
      </c>
      <c r="I354" s="17"/>
      <c r="J354" s="17"/>
    </row>
    <row r="355" spans="1:10">
      <c r="A355" s="17">
        <f t="shared" si="20"/>
        <v>350</v>
      </c>
      <c r="B355" s="18"/>
      <c r="C355" s="36" t="str">
        <f t="shared" si="21"/>
        <v/>
      </c>
      <c r="D355" s="36" t="str">
        <f t="shared" si="22"/>
        <v/>
      </c>
      <c r="E355" s="17"/>
      <c r="F355" s="60"/>
      <c r="G355" s="50"/>
      <c r="H355" s="59" t="str">
        <f t="shared" si="23"/>
        <v/>
      </c>
      <c r="I355" s="17"/>
      <c r="J355" s="17"/>
    </row>
    <row r="356" spans="1:10">
      <c r="A356" s="17">
        <f t="shared" si="20"/>
        <v>351</v>
      </c>
      <c r="B356" s="18"/>
      <c r="C356" s="36" t="str">
        <f t="shared" si="21"/>
        <v/>
      </c>
      <c r="D356" s="36" t="str">
        <f t="shared" si="22"/>
        <v/>
      </c>
      <c r="E356" s="17"/>
      <c r="F356" s="60"/>
      <c r="G356" s="50"/>
      <c r="H356" s="59" t="str">
        <f t="shared" si="23"/>
        <v/>
      </c>
      <c r="I356" s="17"/>
      <c r="J356" s="17"/>
    </row>
    <row r="357" spans="1:10">
      <c r="A357" s="17">
        <f t="shared" si="20"/>
        <v>352</v>
      </c>
      <c r="B357" s="18"/>
      <c r="C357" s="36" t="str">
        <f t="shared" si="21"/>
        <v/>
      </c>
      <c r="D357" s="36" t="str">
        <f t="shared" si="22"/>
        <v/>
      </c>
      <c r="E357" s="17"/>
      <c r="F357" s="60"/>
      <c r="G357" s="50"/>
      <c r="H357" s="59" t="str">
        <f t="shared" si="23"/>
        <v/>
      </c>
      <c r="I357" s="17"/>
      <c r="J357" s="17"/>
    </row>
    <row r="358" spans="1:10">
      <c r="A358" s="17">
        <f t="shared" si="20"/>
        <v>353</v>
      </c>
      <c r="B358" s="18"/>
      <c r="C358" s="36" t="str">
        <f t="shared" si="21"/>
        <v/>
      </c>
      <c r="D358" s="36" t="str">
        <f t="shared" si="22"/>
        <v/>
      </c>
      <c r="E358" s="17"/>
      <c r="F358" s="60"/>
      <c r="G358" s="50"/>
      <c r="H358" s="59" t="str">
        <f t="shared" si="23"/>
        <v/>
      </c>
      <c r="I358" s="17"/>
      <c r="J358" s="17"/>
    </row>
    <row r="359" spans="1:10">
      <c r="A359" s="17">
        <f t="shared" si="20"/>
        <v>354</v>
      </c>
      <c r="B359" s="18"/>
      <c r="C359" s="36" t="str">
        <f t="shared" si="21"/>
        <v/>
      </c>
      <c r="D359" s="36" t="str">
        <f t="shared" si="22"/>
        <v/>
      </c>
      <c r="E359" s="17"/>
      <c r="F359" s="60"/>
      <c r="G359" s="50"/>
      <c r="H359" s="59" t="str">
        <f t="shared" si="23"/>
        <v/>
      </c>
      <c r="I359" s="17"/>
      <c r="J359" s="17"/>
    </row>
    <row r="360" spans="1:10">
      <c r="A360" s="17">
        <f t="shared" si="20"/>
        <v>355</v>
      </c>
      <c r="B360" s="18"/>
      <c r="C360" s="36" t="str">
        <f t="shared" si="21"/>
        <v/>
      </c>
      <c r="D360" s="36" t="str">
        <f t="shared" si="22"/>
        <v/>
      </c>
      <c r="E360" s="17"/>
      <c r="F360" s="60"/>
      <c r="G360" s="50"/>
      <c r="H360" s="59" t="str">
        <f t="shared" si="23"/>
        <v/>
      </c>
      <c r="I360" s="17"/>
      <c r="J360" s="17"/>
    </row>
    <row r="361" spans="1:10">
      <c r="A361" s="17">
        <f t="shared" si="20"/>
        <v>356</v>
      </c>
      <c r="B361" s="18"/>
      <c r="C361" s="36" t="str">
        <f t="shared" si="21"/>
        <v/>
      </c>
      <c r="D361" s="36" t="str">
        <f t="shared" si="22"/>
        <v/>
      </c>
      <c r="E361" s="17"/>
      <c r="F361" s="60"/>
      <c r="G361" s="50"/>
      <c r="H361" s="59" t="str">
        <f t="shared" si="23"/>
        <v/>
      </c>
      <c r="I361" s="17"/>
      <c r="J361" s="17"/>
    </row>
    <row r="362" spans="1:10">
      <c r="A362" s="17">
        <f t="shared" si="20"/>
        <v>357</v>
      </c>
      <c r="B362" s="18"/>
      <c r="C362" s="36" t="str">
        <f t="shared" si="21"/>
        <v/>
      </c>
      <c r="D362" s="36" t="str">
        <f t="shared" si="22"/>
        <v/>
      </c>
      <c r="E362" s="17"/>
      <c r="F362" s="60"/>
      <c r="G362" s="50"/>
      <c r="H362" s="59" t="str">
        <f t="shared" si="23"/>
        <v/>
      </c>
      <c r="I362" s="17"/>
      <c r="J362" s="17"/>
    </row>
    <row r="363" spans="1:10">
      <c r="A363" s="17">
        <f t="shared" si="20"/>
        <v>358</v>
      </c>
      <c r="B363" s="18"/>
      <c r="C363" s="36" t="str">
        <f t="shared" si="21"/>
        <v/>
      </c>
      <c r="D363" s="36" t="str">
        <f t="shared" si="22"/>
        <v/>
      </c>
      <c r="E363" s="17"/>
      <c r="F363" s="60"/>
      <c r="G363" s="50"/>
      <c r="H363" s="59" t="str">
        <f t="shared" si="23"/>
        <v/>
      </c>
      <c r="I363" s="17"/>
      <c r="J363" s="17"/>
    </row>
    <row r="364" spans="1:10">
      <c r="A364" s="17">
        <f t="shared" si="20"/>
        <v>359</v>
      </c>
      <c r="B364" s="18"/>
      <c r="C364" s="36" t="str">
        <f t="shared" si="21"/>
        <v/>
      </c>
      <c r="D364" s="36" t="str">
        <f t="shared" si="22"/>
        <v/>
      </c>
      <c r="E364" s="17"/>
      <c r="F364" s="60"/>
      <c r="G364" s="50"/>
      <c r="H364" s="59" t="str">
        <f t="shared" si="23"/>
        <v/>
      </c>
      <c r="I364" s="17"/>
      <c r="J364" s="17"/>
    </row>
    <row r="365" spans="1:10">
      <c r="A365" s="17">
        <f t="shared" si="20"/>
        <v>360</v>
      </c>
      <c r="B365" s="18"/>
      <c r="C365" s="36" t="str">
        <f t="shared" si="21"/>
        <v/>
      </c>
      <c r="D365" s="36" t="str">
        <f t="shared" si="22"/>
        <v/>
      </c>
      <c r="E365" s="17"/>
      <c r="F365" s="60"/>
      <c r="G365" s="50"/>
      <c r="H365" s="59" t="str">
        <f t="shared" si="23"/>
        <v/>
      </c>
      <c r="I365" s="17"/>
      <c r="J365" s="17"/>
    </row>
    <row r="366" spans="1:10">
      <c r="A366" s="17">
        <f t="shared" si="20"/>
        <v>361</v>
      </c>
      <c r="B366" s="18"/>
      <c r="C366" s="36" t="str">
        <f t="shared" si="21"/>
        <v/>
      </c>
      <c r="D366" s="36" t="str">
        <f t="shared" si="22"/>
        <v/>
      </c>
      <c r="E366" s="17"/>
      <c r="F366" s="60"/>
      <c r="G366" s="50"/>
      <c r="H366" s="59" t="str">
        <f t="shared" si="23"/>
        <v/>
      </c>
      <c r="I366" s="17"/>
      <c r="J366" s="17"/>
    </row>
    <row r="367" spans="1:10">
      <c r="A367" s="17">
        <f t="shared" si="20"/>
        <v>362</v>
      </c>
      <c r="B367" s="18"/>
      <c r="C367" s="36" t="str">
        <f t="shared" si="21"/>
        <v/>
      </c>
      <c r="D367" s="36" t="str">
        <f t="shared" si="22"/>
        <v/>
      </c>
      <c r="E367" s="17"/>
      <c r="F367" s="60"/>
      <c r="G367" s="50"/>
      <c r="H367" s="59" t="str">
        <f t="shared" si="23"/>
        <v/>
      </c>
      <c r="I367" s="17"/>
      <c r="J367" s="17"/>
    </row>
    <row r="368" spans="1:10">
      <c r="A368" s="17">
        <f t="shared" si="20"/>
        <v>363</v>
      </c>
      <c r="B368" s="18"/>
      <c r="C368" s="36" t="str">
        <f t="shared" si="21"/>
        <v/>
      </c>
      <c r="D368" s="36" t="str">
        <f t="shared" si="22"/>
        <v/>
      </c>
      <c r="E368" s="17"/>
      <c r="F368" s="60"/>
      <c r="G368" s="50"/>
      <c r="H368" s="59" t="str">
        <f t="shared" si="23"/>
        <v/>
      </c>
      <c r="I368" s="17"/>
      <c r="J368" s="17"/>
    </row>
    <row r="369" spans="1:10">
      <c r="A369" s="17">
        <f t="shared" si="20"/>
        <v>364</v>
      </c>
      <c r="B369" s="18"/>
      <c r="C369" s="36" t="str">
        <f t="shared" si="21"/>
        <v/>
      </c>
      <c r="D369" s="36" t="str">
        <f t="shared" si="22"/>
        <v/>
      </c>
      <c r="E369" s="17"/>
      <c r="F369" s="60"/>
      <c r="G369" s="50"/>
      <c r="H369" s="59" t="str">
        <f t="shared" si="23"/>
        <v/>
      </c>
      <c r="I369" s="17"/>
      <c r="J369" s="17"/>
    </row>
    <row r="370" spans="1:10">
      <c r="A370" s="17">
        <f t="shared" si="20"/>
        <v>365</v>
      </c>
      <c r="B370" s="18"/>
      <c r="C370" s="36" t="str">
        <f t="shared" si="21"/>
        <v/>
      </c>
      <c r="D370" s="36" t="str">
        <f t="shared" si="22"/>
        <v/>
      </c>
      <c r="E370" s="17"/>
      <c r="F370" s="60"/>
      <c r="G370" s="50"/>
      <c r="H370" s="59" t="str">
        <f t="shared" si="23"/>
        <v/>
      </c>
      <c r="I370" s="17"/>
      <c r="J370" s="17"/>
    </row>
    <row r="371" spans="1:10">
      <c r="A371" s="17">
        <f t="shared" si="20"/>
        <v>366</v>
      </c>
      <c r="B371" s="18"/>
      <c r="C371" s="36" t="str">
        <f t="shared" si="21"/>
        <v/>
      </c>
      <c r="D371" s="36" t="str">
        <f t="shared" si="22"/>
        <v/>
      </c>
      <c r="E371" s="17"/>
      <c r="F371" s="60"/>
      <c r="G371" s="50"/>
      <c r="H371" s="59" t="str">
        <f t="shared" si="23"/>
        <v/>
      </c>
      <c r="I371" s="17"/>
      <c r="J371" s="17"/>
    </row>
    <row r="372" spans="1:10">
      <c r="A372" s="17">
        <f t="shared" si="20"/>
        <v>367</v>
      </c>
      <c r="B372" s="18"/>
      <c r="C372" s="36" t="str">
        <f t="shared" si="21"/>
        <v/>
      </c>
      <c r="D372" s="36" t="str">
        <f t="shared" si="22"/>
        <v/>
      </c>
      <c r="E372" s="17"/>
      <c r="F372" s="60"/>
      <c r="G372" s="50"/>
      <c r="H372" s="59" t="str">
        <f t="shared" si="23"/>
        <v/>
      </c>
      <c r="I372" s="17"/>
      <c r="J372" s="17"/>
    </row>
    <row r="373" spans="1:10">
      <c r="A373" s="17">
        <f t="shared" si="20"/>
        <v>368</v>
      </c>
      <c r="B373" s="18"/>
      <c r="C373" s="36" t="str">
        <f t="shared" si="21"/>
        <v/>
      </c>
      <c r="D373" s="36" t="str">
        <f t="shared" si="22"/>
        <v/>
      </c>
      <c r="E373" s="17"/>
      <c r="F373" s="60"/>
      <c r="G373" s="50"/>
      <c r="H373" s="59" t="str">
        <f t="shared" si="23"/>
        <v/>
      </c>
      <c r="I373" s="17"/>
      <c r="J373" s="17"/>
    </row>
    <row r="374" spans="1:10">
      <c r="A374" s="17">
        <f t="shared" si="20"/>
        <v>369</v>
      </c>
      <c r="B374" s="18"/>
      <c r="C374" s="36" t="str">
        <f t="shared" si="21"/>
        <v/>
      </c>
      <c r="D374" s="36" t="str">
        <f t="shared" si="22"/>
        <v/>
      </c>
      <c r="E374" s="17"/>
      <c r="F374" s="60"/>
      <c r="G374" s="50"/>
      <c r="H374" s="59" t="str">
        <f t="shared" si="23"/>
        <v/>
      </c>
      <c r="I374" s="17"/>
      <c r="J374" s="17"/>
    </row>
    <row r="375" spans="1:10">
      <c r="A375" s="17">
        <f t="shared" si="20"/>
        <v>370</v>
      </c>
      <c r="B375" s="18"/>
      <c r="C375" s="36" t="str">
        <f t="shared" si="21"/>
        <v/>
      </c>
      <c r="D375" s="36" t="str">
        <f t="shared" si="22"/>
        <v/>
      </c>
      <c r="E375" s="17"/>
      <c r="F375" s="60"/>
      <c r="G375" s="50"/>
      <c r="H375" s="59" t="str">
        <f t="shared" si="23"/>
        <v/>
      </c>
      <c r="I375" s="17"/>
      <c r="J375" s="17"/>
    </row>
    <row r="376" spans="1:10">
      <c r="A376" s="17">
        <f t="shared" si="20"/>
        <v>371</v>
      </c>
      <c r="B376" s="18"/>
      <c r="C376" s="36" t="str">
        <f t="shared" si="21"/>
        <v/>
      </c>
      <c r="D376" s="36" t="str">
        <f t="shared" si="22"/>
        <v/>
      </c>
      <c r="E376" s="17"/>
      <c r="F376" s="60"/>
      <c r="G376" s="50"/>
      <c r="H376" s="59" t="str">
        <f t="shared" si="23"/>
        <v/>
      </c>
      <c r="I376" s="17"/>
      <c r="J376" s="17"/>
    </row>
    <row r="377" spans="1:10">
      <c r="A377" s="17">
        <f t="shared" si="20"/>
        <v>372</v>
      </c>
      <c r="B377" s="18"/>
      <c r="C377" s="36" t="str">
        <f t="shared" si="21"/>
        <v/>
      </c>
      <c r="D377" s="36" t="str">
        <f t="shared" si="22"/>
        <v/>
      </c>
      <c r="E377" s="17"/>
      <c r="F377" s="60"/>
      <c r="G377" s="50"/>
      <c r="H377" s="59" t="str">
        <f t="shared" si="23"/>
        <v/>
      </c>
      <c r="I377" s="17"/>
      <c r="J377" s="17"/>
    </row>
    <row r="378" spans="1:10">
      <c r="A378" s="17">
        <f t="shared" si="20"/>
        <v>373</v>
      </c>
      <c r="B378" s="18"/>
      <c r="C378" s="36" t="str">
        <f t="shared" si="21"/>
        <v/>
      </c>
      <c r="D378" s="36" t="str">
        <f t="shared" si="22"/>
        <v/>
      </c>
      <c r="E378" s="17"/>
      <c r="F378" s="60"/>
      <c r="G378" s="50"/>
      <c r="H378" s="59" t="str">
        <f t="shared" si="23"/>
        <v/>
      </c>
      <c r="I378" s="17"/>
      <c r="J378" s="17"/>
    </row>
    <row r="379" spans="1:10">
      <c r="A379" s="17">
        <f t="shared" si="20"/>
        <v>374</v>
      </c>
      <c r="B379" s="18"/>
      <c r="C379" s="36" t="str">
        <f t="shared" si="21"/>
        <v/>
      </c>
      <c r="D379" s="36" t="str">
        <f t="shared" si="22"/>
        <v/>
      </c>
      <c r="E379" s="17"/>
      <c r="F379" s="60"/>
      <c r="G379" s="50"/>
      <c r="H379" s="59" t="str">
        <f t="shared" si="23"/>
        <v/>
      </c>
      <c r="I379" s="17"/>
      <c r="J379" s="17"/>
    </row>
    <row r="380" spans="1:10">
      <c r="A380" s="17">
        <f t="shared" si="20"/>
        <v>375</v>
      </c>
      <c r="B380" s="18"/>
      <c r="C380" s="36" t="str">
        <f t="shared" si="21"/>
        <v/>
      </c>
      <c r="D380" s="36" t="str">
        <f t="shared" si="22"/>
        <v/>
      </c>
      <c r="E380" s="17"/>
      <c r="F380" s="60"/>
      <c r="G380" s="50"/>
      <c r="H380" s="59" t="str">
        <f t="shared" si="23"/>
        <v/>
      </c>
      <c r="I380" s="17"/>
      <c r="J380" s="17"/>
    </row>
    <row r="381" spans="1:10">
      <c r="A381" s="17">
        <f t="shared" si="20"/>
        <v>376</v>
      </c>
      <c r="B381" s="18"/>
      <c r="C381" s="36" t="str">
        <f t="shared" si="21"/>
        <v/>
      </c>
      <c r="D381" s="36" t="str">
        <f t="shared" si="22"/>
        <v/>
      </c>
      <c r="E381" s="17"/>
      <c r="F381" s="60"/>
      <c r="G381" s="50"/>
      <c r="H381" s="59" t="str">
        <f t="shared" si="23"/>
        <v/>
      </c>
      <c r="I381" s="17"/>
      <c r="J381" s="17"/>
    </row>
    <row r="382" spans="1:10">
      <c r="A382" s="17">
        <f t="shared" si="20"/>
        <v>377</v>
      </c>
      <c r="B382" s="18"/>
      <c r="C382" s="36" t="str">
        <f t="shared" si="21"/>
        <v/>
      </c>
      <c r="D382" s="36" t="str">
        <f t="shared" si="22"/>
        <v/>
      </c>
      <c r="E382" s="17"/>
      <c r="F382" s="60"/>
      <c r="G382" s="50"/>
      <c r="H382" s="59" t="str">
        <f t="shared" si="23"/>
        <v/>
      </c>
      <c r="I382" s="17"/>
      <c r="J382" s="17"/>
    </row>
    <row r="383" spans="1:10">
      <c r="A383" s="17">
        <f t="shared" si="20"/>
        <v>378</v>
      </c>
      <c r="B383" s="18"/>
      <c r="C383" s="36" t="str">
        <f t="shared" si="21"/>
        <v/>
      </c>
      <c r="D383" s="36" t="str">
        <f t="shared" si="22"/>
        <v/>
      </c>
      <c r="E383" s="17"/>
      <c r="F383" s="60"/>
      <c r="G383" s="50"/>
      <c r="H383" s="59" t="str">
        <f t="shared" si="23"/>
        <v/>
      </c>
      <c r="I383" s="17"/>
      <c r="J383" s="17"/>
    </row>
    <row r="384" spans="1:10">
      <c r="A384" s="17">
        <f t="shared" si="20"/>
        <v>379</v>
      </c>
      <c r="B384" s="18"/>
      <c r="C384" s="36" t="str">
        <f t="shared" si="21"/>
        <v/>
      </c>
      <c r="D384" s="36" t="str">
        <f t="shared" si="22"/>
        <v/>
      </c>
      <c r="E384" s="17"/>
      <c r="F384" s="60"/>
      <c r="G384" s="50"/>
      <c r="H384" s="59" t="str">
        <f t="shared" si="23"/>
        <v/>
      </c>
      <c r="I384" s="17"/>
      <c r="J384" s="17"/>
    </row>
    <row r="385" spans="1:10">
      <c r="A385" s="17">
        <f t="shared" si="20"/>
        <v>380</v>
      </c>
      <c r="B385" s="18"/>
      <c r="C385" s="36" t="str">
        <f t="shared" si="21"/>
        <v/>
      </c>
      <c r="D385" s="36" t="str">
        <f t="shared" si="22"/>
        <v/>
      </c>
      <c r="E385" s="17"/>
      <c r="F385" s="60"/>
      <c r="G385" s="50"/>
      <c r="H385" s="59" t="str">
        <f t="shared" si="23"/>
        <v/>
      </c>
      <c r="I385" s="17"/>
      <c r="J385" s="17"/>
    </row>
    <row r="386" spans="1:10">
      <c r="A386" s="17">
        <f t="shared" si="20"/>
        <v>381</v>
      </c>
      <c r="B386" s="18"/>
      <c r="C386" s="36" t="str">
        <f t="shared" si="21"/>
        <v/>
      </c>
      <c r="D386" s="36" t="str">
        <f t="shared" si="22"/>
        <v/>
      </c>
      <c r="E386" s="17"/>
      <c r="F386" s="60"/>
      <c r="G386" s="50"/>
      <c r="H386" s="59" t="str">
        <f t="shared" si="23"/>
        <v/>
      </c>
      <c r="I386" s="17"/>
      <c r="J386" s="17"/>
    </row>
    <row r="387" spans="1:10">
      <c r="A387" s="17">
        <f t="shared" si="20"/>
        <v>382</v>
      </c>
      <c r="B387" s="18"/>
      <c r="C387" s="36" t="str">
        <f t="shared" si="21"/>
        <v/>
      </c>
      <c r="D387" s="36" t="str">
        <f t="shared" si="22"/>
        <v/>
      </c>
      <c r="E387" s="17"/>
      <c r="F387" s="60"/>
      <c r="G387" s="50"/>
      <c r="H387" s="59" t="str">
        <f t="shared" si="23"/>
        <v/>
      </c>
      <c r="I387" s="17"/>
      <c r="J387" s="17"/>
    </row>
    <row r="388" spans="1:10">
      <c r="A388" s="17">
        <f t="shared" si="20"/>
        <v>383</v>
      </c>
      <c r="B388" s="18"/>
      <c r="C388" s="36" t="str">
        <f t="shared" si="21"/>
        <v/>
      </c>
      <c r="D388" s="36" t="str">
        <f t="shared" si="22"/>
        <v/>
      </c>
      <c r="E388" s="17"/>
      <c r="F388" s="60"/>
      <c r="G388" s="50"/>
      <c r="H388" s="59" t="str">
        <f t="shared" si="23"/>
        <v/>
      </c>
      <c r="I388" s="17"/>
      <c r="J388" s="17"/>
    </row>
    <row r="389" spans="1:10">
      <c r="A389" s="17">
        <f t="shared" si="20"/>
        <v>384</v>
      </c>
      <c r="B389" s="18"/>
      <c r="C389" s="36" t="str">
        <f t="shared" si="21"/>
        <v/>
      </c>
      <c r="D389" s="36" t="str">
        <f t="shared" si="22"/>
        <v/>
      </c>
      <c r="E389" s="17"/>
      <c r="F389" s="60"/>
      <c r="G389" s="50"/>
      <c r="H389" s="59" t="str">
        <f t="shared" si="23"/>
        <v/>
      </c>
      <c r="I389" s="17"/>
      <c r="J389" s="17"/>
    </row>
    <row r="390" spans="1:10">
      <c r="A390" s="17">
        <f t="shared" si="20"/>
        <v>385</v>
      </c>
      <c r="B390" s="18"/>
      <c r="C390" s="36" t="str">
        <f t="shared" si="21"/>
        <v/>
      </c>
      <c r="D390" s="36" t="str">
        <f t="shared" si="22"/>
        <v/>
      </c>
      <c r="E390" s="17"/>
      <c r="F390" s="60"/>
      <c r="G390" s="50"/>
      <c r="H390" s="59" t="str">
        <f t="shared" si="23"/>
        <v/>
      </c>
      <c r="I390" s="17"/>
      <c r="J390" s="17"/>
    </row>
    <row r="391" spans="1:10">
      <c r="A391" s="17">
        <f t="shared" ref="A391:A454" si="24">ROW(A386)</f>
        <v>386</v>
      </c>
      <c r="B391" s="18"/>
      <c r="C391" s="36" t="str">
        <f t="shared" ref="C391:C454" si="25">IF(B391=0,"",TEXT(B391,"mmmm"))</f>
        <v/>
      </c>
      <c r="D391" s="36" t="str">
        <f t="shared" ref="D391:D454" si="26">IF(B391=0,"",TEXT(B391,"yyyy"))</f>
        <v/>
      </c>
      <c r="E391" s="17"/>
      <c r="F391" s="60"/>
      <c r="G391" s="50"/>
      <c r="H391" s="59" t="str">
        <f t="shared" ref="H391:H454" si="27">IF(G391*F391=0,"",G391*F391)</f>
        <v/>
      </c>
      <c r="I391" s="17"/>
      <c r="J391" s="17"/>
    </row>
    <row r="392" spans="1:10">
      <c r="A392" s="17">
        <f t="shared" si="24"/>
        <v>387</v>
      </c>
      <c r="B392" s="18"/>
      <c r="C392" s="36" t="str">
        <f t="shared" si="25"/>
        <v/>
      </c>
      <c r="D392" s="36" t="str">
        <f t="shared" si="26"/>
        <v/>
      </c>
      <c r="E392" s="17"/>
      <c r="F392" s="60"/>
      <c r="G392" s="50"/>
      <c r="H392" s="59" t="str">
        <f t="shared" si="27"/>
        <v/>
      </c>
      <c r="I392" s="17"/>
      <c r="J392" s="17"/>
    </row>
    <row r="393" spans="1:10">
      <c r="A393" s="17">
        <f t="shared" si="24"/>
        <v>388</v>
      </c>
      <c r="B393" s="18"/>
      <c r="C393" s="36" t="str">
        <f t="shared" si="25"/>
        <v/>
      </c>
      <c r="D393" s="36" t="str">
        <f t="shared" si="26"/>
        <v/>
      </c>
      <c r="E393" s="17"/>
      <c r="F393" s="60"/>
      <c r="G393" s="50"/>
      <c r="H393" s="59" t="str">
        <f t="shared" si="27"/>
        <v/>
      </c>
      <c r="I393" s="17"/>
      <c r="J393" s="17"/>
    </row>
    <row r="394" spans="1:10">
      <c r="A394" s="17">
        <f t="shared" si="24"/>
        <v>389</v>
      </c>
      <c r="B394" s="18"/>
      <c r="C394" s="36" t="str">
        <f t="shared" si="25"/>
        <v/>
      </c>
      <c r="D394" s="36" t="str">
        <f t="shared" si="26"/>
        <v/>
      </c>
      <c r="E394" s="17"/>
      <c r="F394" s="60"/>
      <c r="G394" s="50"/>
      <c r="H394" s="59" t="str">
        <f t="shared" si="27"/>
        <v/>
      </c>
      <c r="I394" s="17"/>
      <c r="J394" s="17"/>
    </row>
    <row r="395" spans="1:10">
      <c r="A395" s="17">
        <f t="shared" si="24"/>
        <v>390</v>
      </c>
      <c r="B395" s="18"/>
      <c r="C395" s="36" t="str">
        <f t="shared" si="25"/>
        <v/>
      </c>
      <c r="D395" s="36" t="str">
        <f t="shared" si="26"/>
        <v/>
      </c>
      <c r="E395" s="17"/>
      <c r="F395" s="60"/>
      <c r="G395" s="50"/>
      <c r="H395" s="59" t="str">
        <f t="shared" si="27"/>
        <v/>
      </c>
      <c r="I395" s="17"/>
      <c r="J395" s="17"/>
    </row>
    <row r="396" spans="1:10">
      <c r="A396" s="17">
        <f t="shared" si="24"/>
        <v>391</v>
      </c>
      <c r="B396" s="18"/>
      <c r="C396" s="36" t="str">
        <f t="shared" si="25"/>
        <v/>
      </c>
      <c r="D396" s="36" t="str">
        <f t="shared" si="26"/>
        <v/>
      </c>
      <c r="E396" s="17"/>
      <c r="F396" s="60"/>
      <c r="G396" s="50"/>
      <c r="H396" s="59" t="str">
        <f t="shared" si="27"/>
        <v/>
      </c>
      <c r="I396" s="17"/>
      <c r="J396" s="17"/>
    </row>
    <row r="397" spans="1:10">
      <c r="A397" s="17">
        <f t="shared" si="24"/>
        <v>392</v>
      </c>
      <c r="B397" s="18"/>
      <c r="C397" s="36" t="str">
        <f t="shared" si="25"/>
        <v/>
      </c>
      <c r="D397" s="36" t="str">
        <f t="shared" si="26"/>
        <v/>
      </c>
      <c r="E397" s="17"/>
      <c r="F397" s="60"/>
      <c r="G397" s="50"/>
      <c r="H397" s="59" t="str">
        <f t="shared" si="27"/>
        <v/>
      </c>
      <c r="I397" s="17"/>
      <c r="J397" s="17"/>
    </row>
    <row r="398" spans="1:10">
      <c r="A398" s="17">
        <f t="shared" si="24"/>
        <v>393</v>
      </c>
      <c r="B398" s="18"/>
      <c r="C398" s="36" t="str">
        <f t="shared" si="25"/>
        <v/>
      </c>
      <c r="D398" s="36" t="str">
        <f t="shared" si="26"/>
        <v/>
      </c>
      <c r="E398" s="17"/>
      <c r="F398" s="60"/>
      <c r="G398" s="50"/>
      <c r="H398" s="59" t="str">
        <f t="shared" si="27"/>
        <v/>
      </c>
      <c r="I398" s="17"/>
      <c r="J398" s="17"/>
    </row>
    <row r="399" spans="1:10">
      <c r="A399" s="17">
        <f t="shared" si="24"/>
        <v>394</v>
      </c>
      <c r="B399" s="18"/>
      <c r="C399" s="36" t="str">
        <f t="shared" si="25"/>
        <v/>
      </c>
      <c r="D399" s="36" t="str">
        <f t="shared" si="26"/>
        <v/>
      </c>
      <c r="E399" s="17"/>
      <c r="F399" s="60"/>
      <c r="G399" s="50"/>
      <c r="H399" s="59" t="str">
        <f t="shared" si="27"/>
        <v/>
      </c>
      <c r="I399" s="17"/>
      <c r="J399" s="17"/>
    </row>
    <row r="400" spans="1:10">
      <c r="A400" s="17">
        <f t="shared" si="24"/>
        <v>395</v>
      </c>
      <c r="B400" s="18"/>
      <c r="C400" s="36" t="str">
        <f t="shared" si="25"/>
        <v/>
      </c>
      <c r="D400" s="36" t="str">
        <f t="shared" si="26"/>
        <v/>
      </c>
      <c r="E400" s="17"/>
      <c r="F400" s="60"/>
      <c r="G400" s="50"/>
      <c r="H400" s="59" t="str">
        <f t="shared" si="27"/>
        <v/>
      </c>
      <c r="I400" s="17"/>
      <c r="J400" s="17"/>
    </row>
    <row r="401" spans="1:10">
      <c r="A401" s="17">
        <f t="shared" si="24"/>
        <v>396</v>
      </c>
      <c r="B401" s="18"/>
      <c r="C401" s="36" t="str">
        <f t="shared" si="25"/>
        <v/>
      </c>
      <c r="D401" s="36" t="str">
        <f t="shared" si="26"/>
        <v/>
      </c>
      <c r="E401" s="17"/>
      <c r="F401" s="60"/>
      <c r="G401" s="50"/>
      <c r="H401" s="59" t="str">
        <f t="shared" si="27"/>
        <v/>
      </c>
      <c r="I401" s="17"/>
      <c r="J401" s="17"/>
    </row>
    <row r="402" spans="1:10">
      <c r="A402" s="17">
        <f t="shared" si="24"/>
        <v>397</v>
      </c>
      <c r="B402" s="18"/>
      <c r="C402" s="36" t="str">
        <f t="shared" si="25"/>
        <v/>
      </c>
      <c r="D402" s="36" t="str">
        <f t="shared" si="26"/>
        <v/>
      </c>
      <c r="E402" s="17"/>
      <c r="F402" s="60"/>
      <c r="G402" s="50"/>
      <c r="H402" s="59" t="str">
        <f t="shared" si="27"/>
        <v/>
      </c>
      <c r="I402" s="17"/>
      <c r="J402" s="17"/>
    </row>
    <row r="403" spans="1:10">
      <c r="A403" s="17">
        <f t="shared" si="24"/>
        <v>398</v>
      </c>
      <c r="B403" s="18"/>
      <c r="C403" s="36" t="str">
        <f t="shared" si="25"/>
        <v/>
      </c>
      <c r="D403" s="36" t="str">
        <f t="shared" si="26"/>
        <v/>
      </c>
      <c r="E403" s="17"/>
      <c r="F403" s="60"/>
      <c r="G403" s="50"/>
      <c r="H403" s="59" t="str">
        <f t="shared" si="27"/>
        <v/>
      </c>
      <c r="I403" s="17"/>
      <c r="J403" s="17"/>
    </row>
    <row r="404" spans="1:10">
      <c r="A404" s="17">
        <f t="shared" si="24"/>
        <v>399</v>
      </c>
      <c r="B404" s="18"/>
      <c r="C404" s="36" t="str">
        <f t="shared" si="25"/>
        <v/>
      </c>
      <c r="D404" s="36" t="str">
        <f t="shared" si="26"/>
        <v/>
      </c>
      <c r="E404" s="17"/>
      <c r="F404" s="60"/>
      <c r="G404" s="50"/>
      <c r="H404" s="59" t="str">
        <f t="shared" si="27"/>
        <v/>
      </c>
      <c r="I404" s="17"/>
      <c r="J404" s="17"/>
    </row>
    <row r="405" spans="1:10">
      <c r="A405" s="17">
        <f t="shared" si="24"/>
        <v>400</v>
      </c>
      <c r="B405" s="18"/>
      <c r="C405" s="36" t="str">
        <f t="shared" si="25"/>
        <v/>
      </c>
      <c r="D405" s="36" t="str">
        <f t="shared" si="26"/>
        <v/>
      </c>
      <c r="E405" s="17"/>
      <c r="F405" s="60"/>
      <c r="G405" s="50"/>
      <c r="H405" s="59" t="str">
        <f t="shared" si="27"/>
        <v/>
      </c>
      <c r="I405" s="17"/>
      <c r="J405" s="17"/>
    </row>
    <row r="406" spans="1:10">
      <c r="A406" s="17">
        <f t="shared" si="24"/>
        <v>401</v>
      </c>
      <c r="B406" s="18"/>
      <c r="C406" s="36" t="str">
        <f t="shared" si="25"/>
        <v/>
      </c>
      <c r="D406" s="36" t="str">
        <f t="shared" si="26"/>
        <v/>
      </c>
      <c r="E406" s="17"/>
      <c r="F406" s="60"/>
      <c r="G406" s="50"/>
      <c r="H406" s="59" t="str">
        <f t="shared" si="27"/>
        <v/>
      </c>
      <c r="I406" s="17"/>
      <c r="J406" s="17"/>
    </row>
    <row r="407" spans="1:10">
      <c r="A407" s="17">
        <f t="shared" si="24"/>
        <v>402</v>
      </c>
      <c r="B407" s="18"/>
      <c r="C407" s="36" t="str">
        <f t="shared" si="25"/>
        <v/>
      </c>
      <c r="D407" s="36" t="str">
        <f t="shared" si="26"/>
        <v/>
      </c>
      <c r="E407" s="17"/>
      <c r="F407" s="60"/>
      <c r="G407" s="50"/>
      <c r="H407" s="59" t="str">
        <f t="shared" si="27"/>
        <v/>
      </c>
      <c r="I407" s="17"/>
      <c r="J407" s="17"/>
    </row>
    <row r="408" spans="1:10">
      <c r="A408" s="17">
        <f t="shared" si="24"/>
        <v>403</v>
      </c>
      <c r="B408" s="18"/>
      <c r="C408" s="36" t="str">
        <f t="shared" si="25"/>
        <v/>
      </c>
      <c r="D408" s="36" t="str">
        <f t="shared" si="26"/>
        <v/>
      </c>
      <c r="E408" s="17"/>
      <c r="F408" s="60"/>
      <c r="G408" s="50"/>
      <c r="H408" s="59" t="str">
        <f t="shared" si="27"/>
        <v/>
      </c>
      <c r="I408" s="17"/>
      <c r="J408" s="17"/>
    </row>
    <row r="409" spans="1:10">
      <c r="A409" s="17">
        <f t="shared" si="24"/>
        <v>404</v>
      </c>
      <c r="B409" s="18"/>
      <c r="C409" s="36" t="str">
        <f t="shared" si="25"/>
        <v/>
      </c>
      <c r="D409" s="36" t="str">
        <f t="shared" si="26"/>
        <v/>
      </c>
      <c r="E409" s="17"/>
      <c r="F409" s="60"/>
      <c r="G409" s="50"/>
      <c r="H409" s="59" t="str">
        <f t="shared" si="27"/>
        <v/>
      </c>
      <c r="I409" s="17"/>
      <c r="J409" s="17"/>
    </row>
    <row r="410" spans="1:10">
      <c r="A410" s="17">
        <f t="shared" si="24"/>
        <v>405</v>
      </c>
      <c r="B410" s="18"/>
      <c r="C410" s="36" t="str">
        <f t="shared" si="25"/>
        <v/>
      </c>
      <c r="D410" s="36" t="str">
        <f t="shared" si="26"/>
        <v/>
      </c>
      <c r="E410" s="17"/>
      <c r="F410" s="60"/>
      <c r="G410" s="50"/>
      <c r="H410" s="59" t="str">
        <f t="shared" si="27"/>
        <v/>
      </c>
      <c r="I410" s="17"/>
      <c r="J410" s="17"/>
    </row>
    <row r="411" spans="1:10">
      <c r="A411" s="17">
        <f t="shared" si="24"/>
        <v>406</v>
      </c>
      <c r="B411" s="18"/>
      <c r="C411" s="36" t="str">
        <f t="shared" si="25"/>
        <v/>
      </c>
      <c r="D411" s="36" t="str">
        <f t="shared" si="26"/>
        <v/>
      </c>
      <c r="E411" s="17"/>
      <c r="F411" s="60"/>
      <c r="G411" s="50"/>
      <c r="H411" s="59" t="str">
        <f t="shared" si="27"/>
        <v/>
      </c>
      <c r="I411" s="17"/>
      <c r="J411" s="17"/>
    </row>
    <row r="412" spans="1:10">
      <c r="A412" s="17">
        <f t="shared" si="24"/>
        <v>407</v>
      </c>
      <c r="B412" s="18"/>
      <c r="C412" s="36" t="str">
        <f t="shared" si="25"/>
        <v/>
      </c>
      <c r="D412" s="36" t="str">
        <f t="shared" si="26"/>
        <v/>
      </c>
      <c r="E412" s="17"/>
      <c r="F412" s="60"/>
      <c r="G412" s="50"/>
      <c r="H412" s="59" t="str">
        <f t="shared" si="27"/>
        <v/>
      </c>
      <c r="I412" s="17"/>
      <c r="J412" s="17"/>
    </row>
    <row r="413" spans="1:10">
      <c r="A413" s="17">
        <f t="shared" si="24"/>
        <v>408</v>
      </c>
      <c r="B413" s="18"/>
      <c r="C413" s="36" t="str">
        <f t="shared" si="25"/>
        <v/>
      </c>
      <c r="D413" s="36" t="str">
        <f t="shared" si="26"/>
        <v/>
      </c>
      <c r="E413" s="17"/>
      <c r="F413" s="60"/>
      <c r="G413" s="50"/>
      <c r="H413" s="59" t="str">
        <f t="shared" si="27"/>
        <v/>
      </c>
      <c r="I413" s="17"/>
      <c r="J413" s="17"/>
    </row>
    <row r="414" spans="1:10">
      <c r="A414" s="17">
        <f t="shared" si="24"/>
        <v>409</v>
      </c>
      <c r="B414" s="18"/>
      <c r="C414" s="36" t="str">
        <f t="shared" si="25"/>
        <v/>
      </c>
      <c r="D414" s="36" t="str">
        <f t="shared" si="26"/>
        <v/>
      </c>
      <c r="E414" s="17"/>
      <c r="F414" s="60"/>
      <c r="G414" s="50"/>
      <c r="H414" s="59" t="str">
        <f t="shared" si="27"/>
        <v/>
      </c>
      <c r="I414" s="17"/>
      <c r="J414" s="17"/>
    </row>
    <row r="415" spans="1:10">
      <c r="A415" s="17">
        <f t="shared" si="24"/>
        <v>410</v>
      </c>
      <c r="B415" s="18"/>
      <c r="C415" s="36" t="str">
        <f t="shared" si="25"/>
        <v/>
      </c>
      <c r="D415" s="36" t="str">
        <f t="shared" si="26"/>
        <v/>
      </c>
      <c r="E415" s="17"/>
      <c r="F415" s="60"/>
      <c r="G415" s="50"/>
      <c r="H415" s="59" t="str">
        <f t="shared" si="27"/>
        <v/>
      </c>
      <c r="I415" s="17"/>
      <c r="J415" s="17"/>
    </row>
    <row r="416" spans="1:10">
      <c r="A416" s="17">
        <f t="shared" si="24"/>
        <v>411</v>
      </c>
      <c r="B416" s="18"/>
      <c r="C416" s="36" t="str">
        <f t="shared" si="25"/>
        <v/>
      </c>
      <c r="D416" s="36" t="str">
        <f t="shared" si="26"/>
        <v/>
      </c>
      <c r="E416" s="17"/>
      <c r="F416" s="60"/>
      <c r="G416" s="50"/>
      <c r="H416" s="59" t="str">
        <f t="shared" si="27"/>
        <v/>
      </c>
      <c r="I416" s="17"/>
      <c r="J416" s="17"/>
    </row>
    <row r="417" spans="1:10">
      <c r="A417" s="17">
        <f t="shared" si="24"/>
        <v>412</v>
      </c>
      <c r="B417" s="18"/>
      <c r="C417" s="36" t="str">
        <f t="shared" si="25"/>
        <v/>
      </c>
      <c r="D417" s="36" t="str">
        <f t="shared" si="26"/>
        <v/>
      </c>
      <c r="E417" s="17"/>
      <c r="F417" s="60"/>
      <c r="G417" s="50"/>
      <c r="H417" s="59" t="str">
        <f t="shared" si="27"/>
        <v/>
      </c>
      <c r="I417" s="17"/>
      <c r="J417" s="17"/>
    </row>
    <row r="418" spans="1:10">
      <c r="A418" s="17">
        <f t="shared" si="24"/>
        <v>413</v>
      </c>
      <c r="B418" s="18"/>
      <c r="C418" s="36" t="str">
        <f t="shared" si="25"/>
        <v/>
      </c>
      <c r="D418" s="36" t="str">
        <f t="shared" si="26"/>
        <v/>
      </c>
      <c r="E418" s="17"/>
      <c r="F418" s="60"/>
      <c r="G418" s="50"/>
      <c r="H418" s="59" t="str">
        <f t="shared" si="27"/>
        <v/>
      </c>
      <c r="I418" s="17"/>
      <c r="J418" s="17"/>
    </row>
    <row r="419" spans="1:10">
      <c r="A419" s="17">
        <f t="shared" si="24"/>
        <v>414</v>
      </c>
      <c r="B419" s="18"/>
      <c r="C419" s="36" t="str">
        <f t="shared" si="25"/>
        <v/>
      </c>
      <c r="D419" s="36" t="str">
        <f t="shared" si="26"/>
        <v/>
      </c>
      <c r="E419" s="17"/>
      <c r="F419" s="60"/>
      <c r="G419" s="50"/>
      <c r="H419" s="59" t="str">
        <f t="shared" si="27"/>
        <v/>
      </c>
      <c r="I419" s="17"/>
      <c r="J419" s="17"/>
    </row>
    <row r="420" spans="1:10">
      <c r="A420" s="17">
        <f t="shared" si="24"/>
        <v>415</v>
      </c>
      <c r="B420" s="18"/>
      <c r="C420" s="36" t="str">
        <f t="shared" si="25"/>
        <v/>
      </c>
      <c r="D420" s="36" t="str">
        <f t="shared" si="26"/>
        <v/>
      </c>
      <c r="E420" s="17"/>
      <c r="F420" s="60"/>
      <c r="G420" s="50"/>
      <c r="H420" s="59" t="str">
        <f t="shared" si="27"/>
        <v/>
      </c>
      <c r="I420" s="17"/>
      <c r="J420" s="17"/>
    </row>
    <row r="421" spans="1:10">
      <c r="A421" s="17">
        <f t="shared" si="24"/>
        <v>416</v>
      </c>
      <c r="B421" s="18"/>
      <c r="C421" s="36" t="str">
        <f t="shared" si="25"/>
        <v/>
      </c>
      <c r="D421" s="36" t="str">
        <f t="shared" si="26"/>
        <v/>
      </c>
      <c r="E421" s="17"/>
      <c r="F421" s="60"/>
      <c r="G421" s="50"/>
      <c r="H421" s="59" t="str">
        <f t="shared" si="27"/>
        <v/>
      </c>
      <c r="I421" s="17"/>
      <c r="J421" s="17"/>
    </row>
    <row r="422" spans="1:10">
      <c r="A422" s="17">
        <f t="shared" si="24"/>
        <v>417</v>
      </c>
      <c r="B422" s="18"/>
      <c r="C422" s="36" t="str">
        <f t="shared" si="25"/>
        <v/>
      </c>
      <c r="D422" s="36" t="str">
        <f t="shared" si="26"/>
        <v/>
      </c>
      <c r="E422" s="17"/>
      <c r="F422" s="60"/>
      <c r="G422" s="50"/>
      <c r="H422" s="59" t="str">
        <f t="shared" si="27"/>
        <v/>
      </c>
      <c r="I422" s="17"/>
      <c r="J422" s="17"/>
    </row>
    <row r="423" spans="1:10">
      <c r="A423" s="17">
        <f t="shared" si="24"/>
        <v>418</v>
      </c>
      <c r="B423" s="18"/>
      <c r="C423" s="36" t="str">
        <f t="shared" si="25"/>
        <v/>
      </c>
      <c r="D423" s="36" t="str">
        <f t="shared" si="26"/>
        <v/>
      </c>
      <c r="E423" s="17"/>
      <c r="F423" s="60"/>
      <c r="G423" s="50"/>
      <c r="H423" s="59" t="str">
        <f t="shared" si="27"/>
        <v/>
      </c>
      <c r="I423" s="17"/>
      <c r="J423" s="17"/>
    </row>
    <row r="424" spans="1:10">
      <c r="A424" s="17">
        <f t="shared" si="24"/>
        <v>419</v>
      </c>
      <c r="B424" s="18"/>
      <c r="C424" s="36" t="str">
        <f t="shared" si="25"/>
        <v/>
      </c>
      <c r="D424" s="36" t="str">
        <f t="shared" si="26"/>
        <v/>
      </c>
      <c r="E424" s="17"/>
      <c r="F424" s="60"/>
      <c r="G424" s="50"/>
      <c r="H424" s="59" t="str">
        <f t="shared" si="27"/>
        <v/>
      </c>
      <c r="I424" s="17"/>
      <c r="J424" s="17"/>
    </row>
    <row r="425" spans="1:10">
      <c r="A425" s="17">
        <f t="shared" si="24"/>
        <v>420</v>
      </c>
      <c r="B425" s="18"/>
      <c r="C425" s="36" t="str">
        <f t="shared" si="25"/>
        <v/>
      </c>
      <c r="D425" s="36" t="str">
        <f t="shared" si="26"/>
        <v/>
      </c>
      <c r="E425" s="17"/>
      <c r="F425" s="60"/>
      <c r="G425" s="50"/>
      <c r="H425" s="59" t="str">
        <f t="shared" si="27"/>
        <v/>
      </c>
      <c r="I425" s="17"/>
      <c r="J425" s="17"/>
    </row>
    <row r="426" spans="1:10">
      <c r="A426" s="17">
        <f t="shared" si="24"/>
        <v>421</v>
      </c>
      <c r="B426" s="18"/>
      <c r="C426" s="36" t="str">
        <f t="shared" si="25"/>
        <v/>
      </c>
      <c r="D426" s="36" t="str">
        <f t="shared" si="26"/>
        <v/>
      </c>
      <c r="E426" s="17"/>
      <c r="F426" s="60"/>
      <c r="G426" s="50"/>
      <c r="H426" s="59" t="str">
        <f t="shared" si="27"/>
        <v/>
      </c>
      <c r="I426" s="17"/>
      <c r="J426" s="17"/>
    </row>
    <row r="427" spans="1:10">
      <c r="A427" s="17">
        <f t="shared" si="24"/>
        <v>422</v>
      </c>
      <c r="B427" s="18"/>
      <c r="C427" s="36" t="str">
        <f t="shared" si="25"/>
        <v/>
      </c>
      <c r="D427" s="36" t="str">
        <f t="shared" si="26"/>
        <v/>
      </c>
      <c r="E427" s="17"/>
      <c r="F427" s="60"/>
      <c r="G427" s="50"/>
      <c r="H427" s="59" t="str">
        <f t="shared" si="27"/>
        <v/>
      </c>
      <c r="I427" s="17"/>
      <c r="J427" s="17"/>
    </row>
    <row r="428" spans="1:10">
      <c r="A428" s="17">
        <f t="shared" si="24"/>
        <v>423</v>
      </c>
      <c r="B428" s="18"/>
      <c r="C428" s="36" t="str">
        <f t="shared" si="25"/>
        <v/>
      </c>
      <c r="D428" s="36" t="str">
        <f t="shared" si="26"/>
        <v/>
      </c>
      <c r="E428" s="17"/>
      <c r="F428" s="60"/>
      <c r="G428" s="50"/>
      <c r="H428" s="59" t="str">
        <f t="shared" si="27"/>
        <v/>
      </c>
      <c r="I428" s="17"/>
      <c r="J428" s="17"/>
    </row>
    <row r="429" spans="1:10">
      <c r="A429" s="17">
        <f t="shared" si="24"/>
        <v>424</v>
      </c>
      <c r="B429" s="18"/>
      <c r="C429" s="36" t="str">
        <f t="shared" si="25"/>
        <v/>
      </c>
      <c r="D429" s="36" t="str">
        <f t="shared" si="26"/>
        <v/>
      </c>
      <c r="E429" s="17"/>
      <c r="F429" s="60"/>
      <c r="G429" s="50"/>
      <c r="H429" s="59" t="str">
        <f t="shared" si="27"/>
        <v/>
      </c>
      <c r="I429" s="17"/>
      <c r="J429" s="17"/>
    </row>
    <row r="430" spans="1:10">
      <c r="A430" s="17">
        <f t="shared" si="24"/>
        <v>425</v>
      </c>
      <c r="B430" s="18"/>
      <c r="C430" s="36" t="str">
        <f t="shared" si="25"/>
        <v/>
      </c>
      <c r="D430" s="36" t="str">
        <f t="shared" si="26"/>
        <v/>
      </c>
      <c r="E430" s="17"/>
      <c r="F430" s="60"/>
      <c r="G430" s="50"/>
      <c r="H430" s="59" t="str">
        <f t="shared" si="27"/>
        <v/>
      </c>
      <c r="I430" s="17"/>
      <c r="J430" s="17"/>
    </row>
    <row r="431" spans="1:10">
      <c r="A431" s="17">
        <f t="shared" si="24"/>
        <v>426</v>
      </c>
      <c r="B431" s="18"/>
      <c r="C431" s="36" t="str">
        <f t="shared" si="25"/>
        <v/>
      </c>
      <c r="D431" s="36" t="str">
        <f t="shared" si="26"/>
        <v/>
      </c>
      <c r="E431" s="17"/>
      <c r="F431" s="60"/>
      <c r="G431" s="50"/>
      <c r="H431" s="59" t="str">
        <f t="shared" si="27"/>
        <v/>
      </c>
      <c r="I431" s="17"/>
      <c r="J431" s="17"/>
    </row>
    <row r="432" spans="1:10">
      <c r="A432" s="17">
        <f t="shared" si="24"/>
        <v>427</v>
      </c>
      <c r="B432" s="18"/>
      <c r="C432" s="36" t="str">
        <f t="shared" si="25"/>
        <v/>
      </c>
      <c r="D432" s="36" t="str">
        <f t="shared" si="26"/>
        <v/>
      </c>
      <c r="E432" s="17"/>
      <c r="F432" s="60"/>
      <c r="G432" s="50"/>
      <c r="H432" s="59" t="str">
        <f t="shared" si="27"/>
        <v/>
      </c>
      <c r="I432" s="17"/>
      <c r="J432" s="17"/>
    </row>
    <row r="433" spans="1:10">
      <c r="A433" s="17">
        <f t="shared" si="24"/>
        <v>428</v>
      </c>
      <c r="B433" s="18"/>
      <c r="C433" s="36" t="str">
        <f t="shared" si="25"/>
        <v/>
      </c>
      <c r="D433" s="36" t="str">
        <f t="shared" si="26"/>
        <v/>
      </c>
      <c r="E433" s="17"/>
      <c r="F433" s="60"/>
      <c r="G433" s="50"/>
      <c r="H433" s="59" t="str">
        <f t="shared" si="27"/>
        <v/>
      </c>
      <c r="I433" s="17"/>
      <c r="J433" s="17"/>
    </row>
    <row r="434" spans="1:10">
      <c r="A434" s="17">
        <f t="shared" si="24"/>
        <v>429</v>
      </c>
      <c r="B434" s="18"/>
      <c r="C434" s="36" t="str">
        <f t="shared" si="25"/>
        <v/>
      </c>
      <c r="D434" s="36" t="str">
        <f t="shared" si="26"/>
        <v/>
      </c>
      <c r="E434" s="17"/>
      <c r="F434" s="60"/>
      <c r="G434" s="50"/>
      <c r="H434" s="59" t="str">
        <f t="shared" si="27"/>
        <v/>
      </c>
      <c r="I434" s="17"/>
      <c r="J434" s="17"/>
    </row>
    <row r="435" spans="1:10">
      <c r="A435" s="17">
        <f t="shared" si="24"/>
        <v>430</v>
      </c>
      <c r="B435" s="18"/>
      <c r="C435" s="36" t="str">
        <f t="shared" si="25"/>
        <v/>
      </c>
      <c r="D435" s="36" t="str">
        <f t="shared" si="26"/>
        <v/>
      </c>
      <c r="E435" s="17"/>
      <c r="F435" s="60"/>
      <c r="G435" s="50"/>
      <c r="H435" s="59" t="str">
        <f t="shared" si="27"/>
        <v/>
      </c>
      <c r="I435" s="17"/>
      <c r="J435" s="17"/>
    </row>
    <row r="436" spans="1:10">
      <c r="A436" s="17">
        <f t="shared" si="24"/>
        <v>431</v>
      </c>
      <c r="B436" s="18"/>
      <c r="C436" s="36" t="str">
        <f t="shared" si="25"/>
        <v/>
      </c>
      <c r="D436" s="36" t="str">
        <f t="shared" si="26"/>
        <v/>
      </c>
      <c r="E436" s="17"/>
      <c r="F436" s="60"/>
      <c r="G436" s="50"/>
      <c r="H436" s="59" t="str">
        <f t="shared" si="27"/>
        <v/>
      </c>
      <c r="I436" s="17"/>
      <c r="J436" s="17"/>
    </row>
    <row r="437" spans="1:10">
      <c r="A437" s="17">
        <f t="shared" si="24"/>
        <v>432</v>
      </c>
      <c r="B437" s="18"/>
      <c r="C437" s="36" t="str">
        <f t="shared" si="25"/>
        <v/>
      </c>
      <c r="D437" s="36" t="str">
        <f t="shared" si="26"/>
        <v/>
      </c>
      <c r="E437" s="17"/>
      <c r="F437" s="60"/>
      <c r="G437" s="50"/>
      <c r="H437" s="59" t="str">
        <f t="shared" si="27"/>
        <v/>
      </c>
      <c r="I437" s="17"/>
      <c r="J437" s="17"/>
    </row>
    <row r="438" spans="1:10">
      <c r="A438" s="17">
        <f t="shared" si="24"/>
        <v>433</v>
      </c>
      <c r="B438" s="18"/>
      <c r="C438" s="36" t="str">
        <f t="shared" si="25"/>
        <v/>
      </c>
      <c r="D438" s="36" t="str">
        <f t="shared" si="26"/>
        <v/>
      </c>
      <c r="E438" s="17"/>
      <c r="F438" s="60"/>
      <c r="G438" s="50"/>
      <c r="H438" s="59" t="str">
        <f t="shared" si="27"/>
        <v/>
      </c>
      <c r="I438" s="17"/>
      <c r="J438" s="17"/>
    </row>
    <row r="439" spans="1:10">
      <c r="A439" s="17">
        <f t="shared" si="24"/>
        <v>434</v>
      </c>
      <c r="B439" s="18"/>
      <c r="C439" s="36" t="str">
        <f t="shared" si="25"/>
        <v/>
      </c>
      <c r="D439" s="36" t="str">
        <f t="shared" si="26"/>
        <v/>
      </c>
      <c r="E439" s="17"/>
      <c r="F439" s="60"/>
      <c r="G439" s="50"/>
      <c r="H439" s="59" t="str">
        <f t="shared" si="27"/>
        <v/>
      </c>
      <c r="I439" s="17"/>
      <c r="J439" s="17"/>
    </row>
    <row r="440" spans="1:10">
      <c r="A440" s="17">
        <f t="shared" si="24"/>
        <v>435</v>
      </c>
      <c r="B440" s="18"/>
      <c r="C440" s="36" t="str">
        <f t="shared" si="25"/>
        <v/>
      </c>
      <c r="D440" s="36" t="str">
        <f t="shared" si="26"/>
        <v/>
      </c>
      <c r="E440" s="17"/>
      <c r="F440" s="60"/>
      <c r="G440" s="50"/>
      <c r="H440" s="59" t="str">
        <f t="shared" si="27"/>
        <v/>
      </c>
      <c r="I440" s="17"/>
      <c r="J440" s="17"/>
    </row>
    <row r="441" spans="1:10">
      <c r="A441" s="17">
        <f t="shared" si="24"/>
        <v>436</v>
      </c>
      <c r="B441" s="18"/>
      <c r="C441" s="36" t="str">
        <f t="shared" si="25"/>
        <v/>
      </c>
      <c r="D441" s="36" t="str">
        <f t="shared" si="26"/>
        <v/>
      </c>
      <c r="E441" s="17"/>
      <c r="F441" s="60"/>
      <c r="G441" s="50"/>
      <c r="H441" s="59" t="str">
        <f t="shared" si="27"/>
        <v/>
      </c>
      <c r="I441" s="17"/>
      <c r="J441" s="17"/>
    </row>
    <row r="442" spans="1:10">
      <c r="A442" s="17">
        <f t="shared" si="24"/>
        <v>437</v>
      </c>
      <c r="B442" s="18"/>
      <c r="C442" s="36" t="str">
        <f t="shared" si="25"/>
        <v/>
      </c>
      <c r="D442" s="36" t="str">
        <f t="shared" si="26"/>
        <v/>
      </c>
      <c r="E442" s="17"/>
      <c r="F442" s="60"/>
      <c r="G442" s="50"/>
      <c r="H442" s="59" t="str">
        <f t="shared" si="27"/>
        <v/>
      </c>
      <c r="I442" s="17"/>
      <c r="J442" s="17"/>
    </row>
    <row r="443" spans="1:10">
      <c r="A443" s="17">
        <f t="shared" si="24"/>
        <v>438</v>
      </c>
      <c r="B443" s="18"/>
      <c r="C443" s="36" t="str">
        <f t="shared" si="25"/>
        <v/>
      </c>
      <c r="D443" s="36" t="str">
        <f t="shared" si="26"/>
        <v/>
      </c>
      <c r="E443" s="17"/>
      <c r="F443" s="60"/>
      <c r="G443" s="50"/>
      <c r="H443" s="59" t="str">
        <f t="shared" si="27"/>
        <v/>
      </c>
      <c r="I443" s="17"/>
      <c r="J443" s="17"/>
    </row>
    <row r="444" spans="1:10">
      <c r="A444" s="17">
        <f t="shared" si="24"/>
        <v>439</v>
      </c>
      <c r="B444" s="18"/>
      <c r="C444" s="36" t="str">
        <f t="shared" si="25"/>
        <v/>
      </c>
      <c r="D444" s="36" t="str">
        <f t="shared" si="26"/>
        <v/>
      </c>
      <c r="E444" s="17"/>
      <c r="F444" s="60"/>
      <c r="G444" s="50"/>
      <c r="H444" s="59" t="str">
        <f t="shared" si="27"/>
        <v/>
      </c>
      <c r="I444" s="17"/>
      <c r="J444" s="17"/>
    </row>
    <row r="445" spans="1:10">
      <c r="A445" s="17">
        <f t="shared" si="24"/>
        <v>440</v>
      </c>
      <c r="B445" s="18"/>
      <c r="C445" s="36" t="str">
        <f t="shared" si="25"/>
        <v/>
      </c>
      <c r="D445" s="36" t="str">
        <f t="shared" si="26"/>
        <v/>
      </c>
      <c r="E445" s="17"/>
      <c r="F445" s="60"/>
      <c r="G445" s="50"/>
      <c r="H445" s="59" t="str">
        <f t="shared" si="27"/>
        <v/>
      </c>
      <c r="I445" s="17"/>
      <c r="J445" s="17"/>
    </row>
    <row r="446" spans="1:10">
      <c r="A446" s="17">
        <f t="shared" si="24"/>
        <v>441</v>
      </c>
      <c r="B446" s="18"/>
      <c r="C446" s="36" t="str">
        <f t="shared" si="25"/>
        <v/>
      </c>
      <c r="D446" s="36" t="str">
        <f t="shared" si="26"/>
        <v/>
      </c>
      <c r="E446" s="17"/>
      <c r="F446" s="60"/>
      <c r="G446" s="50"/>
      <c r="H446" s="59" t="str">
        <f t="shared" si="27"/>
        <v/>
      </c>
      <c r="I446" s="17"/>
      <c r="J446" s="17"/>
    </row>
    <row r="447" spans="1:10">
      <c r="A447" s="17">
        <f t="shared" si="24"/>
        <v>442</v>
      </c>
      <c r="B447" s="18"/>
      <c r="C447" s="36" t="str">
        <f t="shared" si="25"/>
        <v/>
      </c>
      <c r="D447" s="36" t="str">
        <f t="shared" si="26"/>
        <v/>
      </c>
      <c r="E447" s="17"/>
      <c r="F447" s="60"/>
      <c r="G447" s="50"/>
      <c r="H447" s="59" t="str">
        <f t="shared" si="27"/>
        <v/>
      </c>
      <c r="I447" s="17"/>
      <c r="J447" s="17"/>
    </row>
    <row r="448" spans="1:10">
      <c r="A448" s="17">
        <f t="shared" si="24"/>
        <v>443</v>
      </c>
      <c r="B448" s="18"/>
      <c r="C448" s="36" t="str">
        <f t="shared" si="25"/>
        <v/>
      </c>
      <c r="D448" s="36" t="str">
        <f t="shared" si="26"/>
        <v/>
      </c>
      <c r="E448" s="17"/>
      <c r="F448" s="60"/>
      <c r="G448" s="50"/>
      <c r="H448" s="59" t="str">
        <f t="shared" si="27"/>
        <v/>
      </c>
      <c r="I448" s="17"/>
      <c r="J448" s="17"/>
    </row>
    <row r="449" spans="1:10">
      <c r="A449" s="17">
        <f t="shared" si="24"/>
        <v>444</v>
      </c>
      <c r="B449" s="18"/>
      <c r="C449" s="36" t="str">
        <f t="shared" si="25"/>
        <v/>
      </c>
      <c r="D449" s="36" t="str">
        <f t="shared" si="26"/>
        <v/>
      </c>
      <c r="E449" s="17"/>
      <c r="F449" s="60"/>
      <c r="G449" s="50"/>
      <c r="H449" s="59" t="str">
        <f t="shared" si="27"/>
        <v/>
      </c>
      <c r="I449" s="17"/>
      <c r="J449" s="17"/>
    </row>
    <row r="450" spans="1:10">
      <c r="A450" s="17">
        <f t="shared" si="24"/>
        <v>445</v>
      </c>
      <c r="B450" s="18"/>
      <c r="C450" s="36" t="str">
        <f t="shared" si="25"/>
        <v/>
      </c>
      <c r="D450" s="36" t="str">
        <f t="shared" si="26"/>
        <v/>
      </c>
      <c r="E450" s="17"/>
      <c r="F450" s="60"/>
      <c r="G450" s="50"/>
      <c r="H450" s="59" t="str">
        <f t="shared" si="27"/>
        <v/>
      </c>
      <c r="I450" s="17"/>
      <c r="J450" s="17"/>
    </row>
    <row r="451" spans="1:10">
      <c r="A451" s="17">
        <f t="shared" si="24"/>
        <v>446</v>
      </c>
      <c r="B451" s="18"/>
      <c r="C451" s="36" t="str">
        <f t="shared" si="25"/>
        <v/>
      </c>
      <c r="D451" s="36" t="str">
        <f t="shared" si="26"/>
        <v/>
      </c>
      <c r="E451" s="17"/>
      <c r="F451" s="60"/>
      <c r="G451" s="50"/>
      <c r="H451" s="59" t="str">
        <f t="shared" si="27"/>
        <v/>
      </c>
      <c r="I451" s="17"/>
      <c r="J451" s="17"/>
    </row>
    <row r="452" spans="1:10">
      <c r="A452" s="17">
        <f t="shared" si="24"/>
        <v>447</v>
      </c>
      <c r="B452" s="18"/>
      <c r="C452" s="36" t="str">
        <f t="shared" si="25"/>
        <v/>
      </c>
      <c r="D452" s="36" t="str">
        <f t="shared" si="26"/>
        <v/>
      </c>
      <c r="E452" s="17"/>
      <c r="F452" s="60"/>
      <c r="G452" s="50"/>
      <c r="H452" s="59" t="str">
        <f t="shared" si="27"/>
        <v/>
      </c>
      <c r="I452" s="17"/>
      <c r="J452" s="17"/>
    </row>
    <row r="453" spans="1:10">
      <c r="A453" s="17">
        <f t="shared" si="24"/>
        <v>448</v>
      </c>
      <c r="B453" s="18"/>
      <c r="C453" s="36" t="str">
        <f t="shared" si="25"/>
        <v/>
      </c>
      <c r="D453" s="36" t="str">
        <f t="shared" si="26"/>
        <v/>
      </c>
      <c r="E453" s="17"/>
      <c r="F453" s="60"/>
      <c r="G453" s="50"/>
      <c r="H453" s="59" t="str">
        <f t="shared" si="27"/>
        <v/>
      </c>
      <c r="I453" s="17"/>
      <c r="J453" s="17"/>
    </row>
    <row r="454" spans="1:10">
      <c r="A454" s="17">
        <f t="shared" si="24"/>
        <v>449</v>
      </c>
      <c r="B454" s="18"/>
      <c r="C454" s="36" t="str">
        <f t="shared" si="25"/>
        <v/>
      </c>
      <c r="D454" s="36" t="str">
        <f t="shared" si="26"/>
        <v/>
      </c>
      <c r="E454" s="17"/>
      <c r="F454" s="60"/>
      <c r="G454" s="50"/>
      <c r="H454" s="59" t="str">
        <f t="shared" si="27"/>
        <v/>
      </c>
      <c r="I454" s="17"/>
      <c r="J454" s="17"/>
    </row>
    <row r="455" spans="1:10">
      <c r="A455" s="17">
        <f t="shared" ref="A455:A518" si="28">ROW(A450)</f>
        <v>450</v>
      </c>
      <c r="B455" s="18"/>
      <c r="C455" s="36" t="str">
        <f t="shared" ref="C455:C518" si="29">IF(B455=0,"",TEXT(B455,"mmmm"))</f>
        <v/>
      </c>
      <c r="D455" s="36" t="str">
        <f t="shared" ref="D455:D518" si="30">IF(B455=0,"",TEXT(B455,"yyyy"))</f>
        <v/>
      </c>
      <c r="E455" s="17"/>
      <c r="F455" s="60"/>
      <c r="G455" s="50"/>
      <c r="H455" s="59" t="str">
        <f t="shared" ref="H455:H518" si="31">IF(G455*F455=0,"",G455*F455)</f>
        <v/>
      </c>
      <c r="I455" s="17"/>
      <c r="J455" s="17"/>
    </row>
    <row r="456" spans="1:10">
      <c r="A456" s="17">
        <f t="shared" si="28"/>
        <v>451</v>
      </c>
      <c r="B456" s="18"/>
      <c r="C456" s="36" t="str">
        <f t="shared" si="29"/>
        <v/>
      </c>
      <c r="D456" s="36" t="str">
        <f t="shared" si="30"/>
        <v/>
      </c>
      <c r="E456" s="17"/>
      <c r="F456" s="60"/>
      <c r="G456" s="50"/>
      <c r="H456" s="59" t="str">
        <f t="shared" si="31"/>
        <v/>
      </c>
      <c r="I456" s="17"/>
      <c r="J456" s="17"/>
    </row>
    <row r="457" spans="1:10">
      <c r="A457" s="17">
        <f t="shared" si="28"/>
        <v>452</v>
      </c>
      <c r="B457" s="18"/>
      <c r="C457" s="36" t="str">
        <f t="shared" si="29"/>
        <v/>
      </c>
      <c r="D457" s="36" t="str">
        <f t="shared" si="30"/>
        <v/>
      </c>
      <c r="E457" s="17"/>
      <c r="F457" s="60"/>
      <c r="G457" s="50"/>
      <c r="H457" s="59" t="str">
        <f t="shared" si="31"/>
        <v/>
      </c>
      <c r="I457" s="17"/>
      <c r="J457" s="17"/>
    </row>
    <row r="458" spans="1:10">
      <c r="A458" s="17">
        <f t="shared" si="28"/>
        <v>453</v>
      </c>
      <c r="B458" s="18"/>
      <c r="C458" s="36" t="str">
        <f t="shared" si="29"/>
        <v/>
      </c>
      <c r="D458" s="36" t="str">
        <f t="shared" si="30"/>
        <v/>
      </c>
      <c r="E458" s="17"/>
      <c r="F458" s="60"/>
      <c r="G458" s="50"/>
      <c r="H458" s="59" t="str">
        <f t="shared" si="31"/>
        <v/>
      </c>
      <c r="I458" s="17"/>
      <c r="J458" s="17"/>
    </row>
    <row r="459" spans="1:10">
      <c r="A459" s="17">
        <f t="shared" si="28"/>
        <v>454</v>
      </c>
      <c r="B459" s="18"/>
      <c r="C459" s="36" t="str">
        <f t="shared" si="29"/>
        <v/>
      </c>
      <c r="D459" s="36" t="str">
        <f t="shared" si="30"/>
        <v/>
      </c>
      <c r="E459" s="17"/>
      <c r="F459" s="60"/>
      <c r="G459" s="50"/>
      <c r="H459" s="59" t="str">
        <f t="shared" si="31"/>
        <v/>
      </c>
      <c r="I459" s="17"/>
      <c r="J459" s="17"/>
    </row>
    <row r="460" spans="1:10">
      <c r="A460" s="17">
        <f t="shared" si="28"/>
        <v>455</v>
      </c>
      <c r="B460" s="18"/>
      <c r="C460" s="36" t="str">
        <f t="shared" si="29"/>
        <v/>
      </c>
      <c r="D460" s="36" t="str">
        <f t="shared" si="30"/>
        <v/>
      </c>
      <c r="E460" s="17"/>
      <c r="F460" s="60"/>
      <c r="G460" s="50"/>
      <c r="H460" s="59" t="str">
        <f t="shared" si="31"/>
        <v/>
      </c>
      <c r="I460" s="17"/>
      <c r="J460" s="17"/>
    </row>
    <row r="461" spans="1:10">
      <c r="A461" s="17">
        <f t="shared" si="28"/>
        <v>456</v>
      </c>
      <c r="B461" s="18"/>
      <c r="C461" s="36" t="str">
        <f t="shared" si="29"/>
        <v/>
      </c>
      <c r="D461" s="36" t="str">
        <f t="shared" si="30"/>
        <v/>
      </c>
      <c r="E461" s="17"/>
      <c r="F461" s="60"/>
      <c r="G461" s="50"/>
      <c r="H461" s="59" t="str">
        <f t="shared" si="31"/>
        <v/>
      </c>
      <c r="I461" s="17"/>
      <c r="J461" s="17"/>
    </row>
    <row r="462" spans="1:10">
      <c r="A462" s="17">
        <f t="shared" si="28"/>
        <v>457</v>
      </c>
      <c r="B462" s="18"/>
      <c r="C462" s="36" t="str">
        <f t="shared" si="29"/>
        <v/>
      </c>
      <c r="D462" s="36" t="str">
        <f t="shared" si="30"/>
        <v/>
      </c>
      <c r="E462" s="17"/>
      <c r="F462" s="60"/>
      <c r="G462" s="50"/>
      <c r="H462" s="59" t="str">
        <f t="shared" si="31"/>
        <v/>
      </c>
      <c r="I462" s="17"/>
      <c r="J462" s="17"/>
    </row>
    <row r="463" spans="1:10">
      <c r="A463" s="17">
        <f t="shared" si="28"/>
        <v>458</v>
      </c>
      <c r="B463" s="18"/>
      <c r="C463" s="36" t="str">
        <f t="shared" si="29"/>
        <v/>
      </c>
      <c r="D463" s="36" t="str">
        <f t="shared" si="30"/>
        <v/>
      </c>
      <c r="E463" s="17"/>
      <c r="F463" s="60"/>
      <c r="G463" s="50"/>
      <c r="H463" s="59" t="str">
        <f t="shared" si="31"/>
        <v/>
      </c>
      <c r="I463" s="17"/>
      <c r="J463" s="17"/>
    </row>
    <row r="464" spans="1:10">
      <c r="A464" s="17">
        <f t="shared" si="28"/>
        <v>459</v>
      </c>
      <c r="B464" s="18"/>
      <c r="C464" s="36" t="str">
        <f t="shared" si="29"/>
        <v/>
      </c>
      <c r="D464" s="36" t="str">
        <f t="shared" si="30"/>
        <v/>
      </c>
      <c r="E464" s="17"/>
      <c r="F464" s="60"/>
      <c r="G464" s="50"/>
      <c r="H464" s="59" t="str">
        <f t="shared" si="31"/>
        <v/>
      </c>
      <c r="I464" s="17"/>
      <c r="J464" s="17"/>
    </row>
    <row r="465" spans="1:10">
      <c r="A465" s="17">
        <f t="shared" si="28"/>
        <v>460</v>
      </c>
      <c r="B465" s="18"/>
      <c r="C465" s="36" t="str">
        <f t="shared" si="29"/>
        <v/>
      </c>
      <c r="D465" s="36" t="str">
        <f t="shared" si="30"/>
        <v/>
      </c>
      <c r="E465" s="17"/>
      <c r="F465" s="60"/>
      <c r="G465" s="50"/>
      <c r="H465" s="59" t="str">
        <f t="shared" si="31"/>
        <v/>
      </c>
      <c r="I465" s="17"/>
      <c r="J465" s="17"/>
    </row>
    <row r="466" spans="1:10">
      <c r="A466" s="17">
        <f t="shared" si="28"/>
        <v>461</v>
      </c>
      <c r="B466" s="18"/>
      <c r="C466" s="36" t="str">
        <f t="shared" si="29"/>
        <v/>
      </c>
      <c r="D466" s="36" t="str">
        <f t="shared" si="30"/>
        <v/>
      </c>
      <c r="E466" s="17"/>
      <c r="F466" s="60"/>
      <c r="G466" s="50"/>
      <c r="H466" s="59" t="str">
        <f t="shared" si="31"/>
        <v/>
      </c>
      <c r="I466" s="17"/>
      <c r="J466" s="17"/>
    </row>
    <row r="467" spans="1:10">
      <c r="A467" s="17">
        <f t="shared" si="28"/>
        <v>462</v>
      </c>
      <c r="B467" s="18"/>
      <c r="C467" s="36" t="str">
        <f t="shared" si="29"/>
        <v/>
      </c>
      <c r="D467" s="36" t="str">
        <f t="shared" si="30"/>
        <v/>
      </c>
      <c r="E467" s="17"/>
      <c r="F467" s="60"/>
      <c r="G467" s="50"/>
      <c r="H467" s="59" t="str">
        <f t="shared" si="31"/>
        <v/>
      </c>
      <c r="I467" s="17"/>
      <c r="J467" s="17"/>
    </row>
    <row r="468" spans="1:10">
      <c r="A468" s="17">
        <f t="shared" si="28"/>
        <v>463</v>
      </c>
      <c r="B468" s="18"/>
      <c r="C468" s="36" t="str">
        <f t="shared" si="29"/>
        <v/>
      </c>
      <c r="D468" s="36" t="str">
        <f t="shared" si="30"/>
        <v/>
      </c>
      <c r="E468" s="17"/>
      <c r="F468" s="60"/>
      <c r="G468" s="50"/>
      <c r="H468" s="59" t="str">
        <f t="shared" si="31"/>
        <v/>
      </c>
      <c r="I468" s="17"/>
      <c r="J468" s="17"/>
    </row>
    <row r="469" spans="1:10">
      <c r="A469" s="17">
        <f t="shared" si="28"/>
        <v>464</v>
      </c>
      <c r="B469" s="18"/>
      <c r="C469" s="36" t="str">
        <f t="shared" si="29"/>
        <v/>
      </c>
      <c r="D469" s="36" t="str">
        <f t="shared" si="30"/>
        <v/>
      </c>
      <c r="E469" s="17"/>
      <c r="F469" s="60"/>
      <c r="G469" s="50"/>
      <c r="H469" s="59" t="str">
        <f t="shared" si="31"/>
        <v/>
      </c>
      <c r="I469" s="17"/>
      <c r="J469" s="17"/>
    </row>
    <row r="470" spans="1:10">
      <c r="A470" s="17">
        <f t="shared" si="28"/>
        <v>465</v>
      </c>
      <c r="B470" s="18"/>
      <c r="C470" s="36" t="str">
        <f t="shared" si="29"/>
        <v/>
      </c>
      <c r="D470" s="36" t="str">
        <f t="shared" si="30"/>
        <v/>
      </c>
      <c r="E470" s="17"/>
      <c r="F470" s="60"/>
      <c r="G470" s="50"/>
      <c r="H470" s="59" t="str">
        <f t="shared" si="31"/>
        <v/>
      </c>
      <c r="I470" s="17"/>
      <c r="J470" s="17"/>
    </row>
    <row r="471" spans="1:10">
      <c r="A471" s="17">
        <f t="shared" si="28"/>
        <v>466</v>
      </c>
      <c r="B471" s="18"/>
      <c r="C471" s="36" t="str">
        <f t="shared" si="29"/>
        <v/>
      </c>
      <c r="D471" s="36" t="str">
        <f t="shared" si="30"/>
        <v/>
      </c>
      <c r="E471" s="17"/>
      <c r="F471" s="60"/>
      <c r="G471" s="50"/>
      <c r="H471" s="59" t="str">
        <f t="shared" si="31"/>
        <v/>
      </c>
      <c r="I471" s="17"/>
      <c r="J471" s="17"/>
    </row>
    <row r="472" spans="1:10">
      <c r="A472" s="17">
        <f t="shared" si="28"/>
        <v>467</v>
      </c>
      <c r="B472" s="18"/>
      <c r="C472" s="36" t="str">
        <f t="shared" si="29"/>
        <v/>
      </c>
      <c r="D472" s="36" t="str">
        <f t="shared" si="30"/>
        <v/>
      </c>
      <c r="E472" s="17"/>
      <c r="F472" s="60"/>
      <c r="G472" s="50"/>
      <c r="H472" s="59" t="str">
        <f t="shared" si="31"/>
        <v/>
      </c>
      <c r="I472" s="17"/>
      <c r="J472" s="17"/>
    </row>
    <row r="473" spans="1:10">
      <c r="A473" s="17">
        <f t="shared" si="28"/>
        <v>468</v>
      </c>
      <c r="B473" s="18"/>
      <c r="C473" s="36" t="str">
        <f t="shared" si="29"/>
        <v/>
      </c>
      <c r="D473" s="36" t="str">
        <f t="shared" si="30"/>
        <v/>
      </c>
      <c r="E473" s="17"/>
      <c r="F473" s="60"/>
      <c r="G473" s="50"/>
      <c r="H473" s="59" t="str">
        <f t="shared" si="31"/>
        <v/>
      </c>
      <c r="I473" s="17"/>
      <c r="J473" s="17"/>
    </row>
    <row r="474" spans="1:10">
      <c r="A474" s="17">
        <f t="shared" si="28"/>
        <v>469</v>
      </c>
      <c r="B474" s="18"/>
      <c r="C474" s="36" t="str">
        <f t="shared" si="29"/>
        <v/>
      </c>
      <c r="D474" s="36" t="str">
        <f t="shared" si="30"/>
        <v/>
      </c>
      <c r="E474" s="17"/>
      <c r="F474" s="60"/>
      <c r="G474" s="50"/>
      <c r="H474" s="59" t="str">
        <f t="shared" si="31"/>
        <v/>
      </c>
      <c r="I474" s="17"/>
      <c r="J474" s="17"/>
    </row>
    <row r="475" spans="1:10">
      <c r="A475" s="17">
        <f t="shared" si="28"/>
        <v>470</v>
      </c>
      <c r="B475" s="18"/>
      <c r="C475" s="36" t="str">
        <f t="shared" si="29"/>
        <v/>
      </c>
      <c r="D475" s="36" t="str">
        <f t="shared" si="30"/>
        <v/>
      </c>
      <c r="E475" s="17"/>
      <c r="F475" s="60"/>
      <c r="G475" s="50"/>
      <c r="H475" s="59" t="str">
        <f t="shared" si="31"/>
        <v/>
      </c>
      <c r="I475" s="17"/>
      <c r="J475" s="17"/>
    </row>
    <row r="476" spans="1:10">
      <c r="A476" s="17">
        <f t="shared" si="28"/>
        <v>471</v>
      </c>
      <c r="B476" s="18"/>
      <c r="C476" s="36" t="str">
        <f t="shared" si="29"/>
        <v/>
      </c>
      <c r="D476" s="36" t="str">
        <f t="shared" si="30"/>
        <v/>
      </c>
      <c r="E476" s="17"/>
      <c r="F476" s="60"/>
      <c r="G476" s="50"/>
      <c r="H476" s="59" t="str">
        <f t="shared" si="31"/>
        <v/>
      </c>
      <c r="I476" s="17"/>
      <c r="J476" s="17"/>
    </row>
    <row r="477" spans="1:10">
      <c r="A477" s="17">
        <f t="shared" si="28"/>
        <v>472</v>
      </c>
      <c r="B477" s="18"/>
      <c r="C477" s="36" t="str">
        <f t="shared" si="29"/>
        <v/>
      </c>
      <c r="D477" s="36" t="str">
        <f t="shared" si="30"/>
        <v/>
      </c>
      <c r="E477" s="17"/>
      <c r="F477" s="60"/>
      <c r="G477" s="50"/>
      <c r="H477" s="59" t="str">
        <f t="shared" si="31"/>
        <v/>
      </c>
      <c r="I477" s="17"/>
      <c r="J477" s="17"/>
    </row>
    <row r="478" spans="1:10">
      <c r="A478" s="17">
        <f t="shared" si="28"/>
        <v>473</v>
      </c>
      <c r="B478" s="18"/>
      <c r="C478" s="36" t="str">
        <f t="shared" si="29"/>
        <v/>
      </c>
      <c r="D478" s="36" t="str">
        <f t="shared" si="30"/>
        <v/>
      </c>
      <c r="E478" s="17"/>
      <c r="F478" s="60"/>
      <c r="G478" s="50"/>
      <c r="H478" s="59" t="str">
        <f t="shared" si="31"/>
        <v/>
      </c>
      <c r="I478" s="17"/>
      <c r="J478" s="17"/>
    </row>
    <row r="479" spans="1:10">
      <c r="A479" s="17">
        <f t="shared" si="28"/>
        <v>474</v>
      </c>
      <c r="B479" s="18"/>
      <c r="C479" s="36" t="str">
        <f t="shared" si="29"/>
        <v/>
      </c>
      <c r="D479" s="36" t="str">
        <f t="shared" si="30"/>
        <v/>
      </c>
      <c r="E479" s="17"/>
      <c r="F479" s="60"/>
      <c r="G479" s="50"/>
      <c r="H479" s="59" t="str">
        <f t="shared" si="31"/>
        <v/>
      </c>
      <c r="I479" s="17"/>
      <c r="J479" s="17"/>
    </row>
    <row r="480" spans="1:10">
      <c r="A480" s="17">
        <f t="shared" si="28"/>
        <v>475</v>
      </c>
      <c r="B480" s="18"/>
      <c r="C480" s="36" t="str">
        <f t="shared" si="29"/>
        <v/>
      </c>
      <c r="D480" s="36" t="str">
        <f t="shared" si="30"/>
        <v/>
      </c>
      <c r="E480" s="17"/>
      <c r="F480" s="60"/>
      <c r="G480" s="50"/>
      <c r="H480" s="59" t="str">
        <f t="shared" si="31"/>
        <v/>
      </c>
      <c r="I480" s="17"/>
      <c r="J480" s="17"/>
    </row>
    <row r="481" spans="1:10">
      <c r="A481" s="17">
        <f t="shared" si="28"/>
        <v>476</v>
      </c>
      <c r="B481" s="18"/>
      <c r="C481" s="36" t="str">
        <f t="shared" si="29"/>
        <v/>
      </c>
      <c r="D481" s="36" t="str">
        <f t="shared" si="30"/>
        <v/>
      </c>
      <c r="E481" s="17"/>
      <c r="F481" s="60"/>
      <c r="G481" s="50"/>
      <c r="H481" s="59" t="str">
        <f t="shared" si="31"/>
        <v/>
      </c>
      <c r="I481" s="17"/>
      <c r="J481" s="17"/>
    </row>
    <row r="482" spans="1:10">
      <c r="A482" s="17">
        <f t="shared" si="28"/>
        <v>477</v>
      </c>
      <c r="B482" s="18"/>
      <c r="C482" s="36" t="str">
        <f t="shared" si="29"/>
        <v/>
      </c>
      <c r="D482" s="36" t="str">
        <f t="shared" si="30"/>
        <v/>
      </c>
      <c r="E482" s="17"/>
      <c r="F482" s="60"/>
      <c r="G482" s="50"/>
      <c r="H482" s="59" t="str">
        <f t="shared" si="31"/>
        <v/>
      </c>
      <c r="I482" s="17"/>
      <c r="J482" s="17"/>
    </row>
    <row r="483" spans="1:10">
      <c r="A483" s="17">
        <f t="shared" si="28"/>
        <v>478</v>
      </c>
      <c r="B483" s="18"/>
      <c r="C483" s="36" t="str">
        <f t="shared" si="29"/>
        <v/>
      </c>
      <c r="D483" s="36" t="str">
        <f t="shared" si="30"/>
        <v/>
      </c>
      <c r="E483" s="17"/>
      <c r="F483" s="60"/>
      <c r="G483" s="50"/>
      <c r="H483" s="59" t="str">
        <f t="shared" si="31"/>
        <v/>
      </c>
      <c r="I483" s="17"/>
      <c r="J483" s="17"/>
    </row>
    <row r="484" spans="1:10">
      <c r="A484" s="17">
        <f t="shared" si="28"/>
        <v>479</v>
      </c>
      <c r="B484" s="18"/>
      <c r="C484" s="36" t="str">
        <f t="shared" si="29"/>
        <v/>
      </c>
      <c r="D484" s="36" t="str">
        <f t="shared" si="30"/>
        <v/>
      </c>
      <c r="E484" s="17"/>
      <c r="F484" s="60"/>
      <c r="G484" s="50"/>
      <c r="H484" s="59" t="str">
        <f t="shared" si="31"/>
        <v/>
      </c>
      <c r="I484" s="17"/>
      <c r="J484" s="17"/>
    </row>
    <row r="485" spans="1:10">
      <c r="A485" s="17">
        <f t="shared" si="28"/>
        <v>480</v>
      </c>
      <c r="B485" s="18"/>
      <c r="C485" s="36" t="str">
        <f t="shared" si="29"/>
        <v/>
      </c>
      <c r="D485" s="36" t="str">
        <f t="shared" si="30"/>
        <v/>
      </c>
      <c r="E485" s="17"/>
      <c r="F485" s="60"/>
      <c r="G485" s="50"/>
      <c r="H485" s="59" t="str">
        <f t="shared" si="31"/>
        <v/>
      </c>
      <c r="I485" s="17"/>
      <c r="J485" s="17"/>
    </row>
    <row r="486" spans="1:10">
      <c r="A486" s="17">
        <f t="shared" si="28"/>
        <v>481</v>
      </c>
      <c r="B486" s="18"/>
      <c r="C486" s="36" t="str">
        <f t="shared" si="29"/>
        <v/>
      </c>
      <c r="D486" s="36" t="str">
        <f t="shared" si="30"/>
        <v/>
      </c>
      <c r="E486" s="17"/>
      <c r="F486" s="60"/>
      <c r="G486" s="50"/>
      <c r="H486" s="59" t="str">
        <f t="shared" si="31"/>
        <v/>
      </c>
      <c r="I486" s="17"/>
      <c r="J486" s="17"/>
    </row>
    <row r="487" spans="1:10">
      <c r="A487" s="17">
        <f t="shared" si="28"/>
        <v>482</v>
      </c>
      <c r="B487" s="18"/>
      <c r="C487" s="36" t="str">
        <f t="shared" si="29"/>
        <v/>
      </c>
      <c r="D487" s="36" t="str">
        <f t="shared" si="30"/>
        <v/>
      </c>
      <c r="E487" s="17"/>
      <c r="F487" s="60"/>
      <c r="G487" s="50"/>
      <c r="H487" s="59" t="str">
        <f t="shared" si="31"/>
        <v/>
      </c>
      <c r="I487" s="17"/>
      <c r="J487" s="17"/>
    </row>
    <row r="488" spans="1:10">
      <c r="A488" s="17">
        <f t="shared" si="28"/>
        <v>483</v>
      </c>
      <c r="B488" s="18"/>
      <c r="C488" s="36" t="str">
        <f t="shared" si="29"/>
        <v/>
      </c>
      <c r="D488" s="36" t="str">
        <f t="shared" si="30"/>
        <v/>
      </c>
      <c r="E488" s="17"/>
      <c r="F488" s="60"/>
      <c r="G488" s="50"/>
      <c r="H488" s="59" t="str">
        <f t="shared" si="31"/>
        <v/>
      </c>
      <c r="I488" s="17"/>
      <c r="J488" s="17"/>
    </row>
    <row r="489" spans="1:10">
      <c r="A489" s="17">
        <f t="shared" si="28"/>
        <v>484</v>
      </c>
      <c r="B489" s="18"/>
      <c r="C489" s="36" t="str">
        <f t="shared" si="29"/>
        <v/>
      </c>
      <c r="D489" s="36" t="str">
        <f t="shared" si="30"/>
        <v/>
      </c>
      <c r="E489" s="17"/>
      <c r="F489" s="60"/>
      <c r="G489" s="50"/>
      <c r="H489" s="59" t="str">
        <f t="shared" si="31"/>
        <v/>
      </c>
      <c r="I489" s="17"/>
      <c r="J489" s="17"/>
    </row>
    <row r="490" spans="1:10">
      <c r="A490" s="17">
        <f t="shared" si="28"/>
        <v>485</v>
      </c>
      <c r="B490" s="18"/>
      <c r="C490" s="36" t="str">
        <f t="shared" si="29"/>
        <v/>
      </c>
      <c r="D490" s="36" t="str">
        <f t="shared" si="30"/>
        <v/>
      </c>
      <c r="E490" s="17"/>
      <c r="F490" s="60"/>
      <c r="G490" s="50"/>
      <c r="H490" s="59" t="str">
        <f t="shared" si="31"/>
        <v/>
      </c>
      <c r="I490" s="17"/>
      <c r="J490" s="17"/>
    </row>
    <row r="491" spans="1:10">
      <c r="A491" s="17">
        <f t="shared" si="28"/>
        <v>486</v>
      </c>
      <c r="B491" s="18"/>
      <c r="C491" s="36" t="str">
        <f t="shared" si="29"/>
        <v/>
      </c>
      <c r="D491" s="36" t="str">
        <f t="shared" si="30"/>
        <v/>
      </c>
      <c r="E491" s="17"/>
      <c r="F491" s="60"/>
      <c r="G491" s="50"/>
      <c r="H491" s="59" t="str">
        <f t="shared" si="31"/>
        <v/>
      </c>
      <c r="I491" s="17"/>
      <c r="J491" s="17"/>
    </row>
    <row r="492" spans="1:10">
      <c r="A492" s="17">
        <f t="shared" si="28"/>
        <v>487</v>
      </c>
      <c r="B492" s="18"/>
      <c r="C492" s="36" t="str">
        <f t="shared" si="29"/>
        <v/>
      </c>
      <c r="D492" s="36" t="str">
        <f t="shared" si="30"/>
        <v/>
      </c>
      <c r="E492" s="17"/>
      <c r="F492" s="60"/>
      <c r="G492" s="50"/>
      <c r="H492" s="59" t="str">
        <f t="shared" si="31"/>
        <v/>
      </c>
      <c r="I492" s="17"/>
      <c r="J492" s="17"/>
    </row>
    <row r="493" spans="1:10">
      <c r="A493" s="17">
        <f t="shared" si="28"/>
        <v>488</v>
      </c>
      <c r="B493" s="18"/>
      <c r="C493" s="36" t="str">
        <f t="shared" si="29"/>
        <v/>
      </c>
      <c r="D493" s="36" t="str">
        <f t="shared" si="30"/>
        <v/>
      </c>
      <c r="E493" s="17"/>
      <c r="F493" s="60"/>
      <c r="G493" s="50"/>
      <c r="H493" s="59" t="str">
        <f t="shared" si="31"/>
        <v/>
      </c>
      <c r="I493" s="17"/>
      <c r="J493" s="17"/>
    </row>
    <row r="494" spans="1:10">
      <c r="A494" s="17">
        <f t="shared" si="28"/>
        <v>489</v>
      </c>
      <c r="B494" s="18"/>
      <c r="C494" s="36" t="str">
        <f t="shared" si="29"/>
        <v/>
      </c>
      <c r="D494" s="36" t="str">
        <f t="shared" si="30"/>
        <v/>
      </c>
      <c r="E494" s="17"/>
      <c r="F494" s="60"/>
      <c r="G494" s="50"/>
      <c r="H494" s="59" t="str">
        <f t="shared" si="31"/>
        <v/>
      </c>
      <c r="I494" s="17"/>
      <c r="J494" s="17"/>
    </row>
    <row r="495" spans="1:10">
      <c r="A495" s="17">
        <f t="shared" si="28"/>
        <v>490</v>
      </c>
      <c r="B495" s="18"/>
      <c r="C495" s="36" t="str">
        <f t="shared" si="29"/>
        <v/>
      </c>
      <c r="D495" s="36" t="str">
        <f t="shared" si="30"/>
        <v/>
      </c>
      <c r="E495" s="17"/>
      <c r="F495" s="60"/>
      <c r="G495" s="50"/>
      <c r="H495" s="59" t="str">
        <f t="shared" si="31"/>
        <v/>
      </c>
      <c r="I495" s="17"/>
      <c r="J495" s="17"/>
    </row>
    <row r="496" spans="1:10">
      <c r="A496" s="17">
        <f t="shared" si="28"/>
        <v>491</v>
      </c>
      <c r="B496" s="18"/>
      <c r="C496" s="36" t="str">
        <f t="shared" si="29"/>
        <v/>
      </c>
      <c r="D496" s="36" t="str">
        <f t="shared" si="30"/>
        <v/>
      </c>
      <c r="E496" s="17"/>
      <c r="F496" s="60"/>
      <c r="G496" s="50"/>
      <c r="H496" s="59" t="str">
        <f t="shared" si="31"/>
        <v/>
      </c>
      <c r="I496" s="17"/>
      <c r="J496" s="17"/>
    </row>
    <row r="497" spans="1:10">
      <c r="A497" s="17">
        <f t="shared" si="28"/>
        <v>492</v>
      </c>
      <c r="B497" s="18"/>
      <c r="C497" s="36" t="str">
        <f t="shared" si="29"/>
        <v/>
      </c>
      <c r="D497" s="36" t="str">
        <f t="shared" si="30"/>
        <v/>
      </c>
      <c r="E497" s="17"/>
      <c r="F497" s="60"/>
      <c r="G497" s="50"/>
      <c r="H497" s="59" t="str">
        <f t="shared" si="31"/>
        <v/>
      </c>
      <c r="I497" s="17"/>
      <c r="J497" s="17"/>
    </row>
    <row r="498" spans="1:10">
      <c r="A498" s="17">
        <f t="shared" si="28"/>
        <v>493</v>
      </c>
      <c r="B498" s="18"/>
      <c r="C498" s="36" t="str">
        <f t="shared" si="29"/>
        <v/>
      </c>
      <c r="D498" s="36" t="str">
        <f t="shared" si="30"/>
        <v/>
      </c>
      <c r="E498" s="17"/>
      <c r="F498" s="60"/>
      <c r="G498" s="50"/>
      <c r="H498" s="59" t="str">
        <f t="shared" si="31"/>
        <v/>
      </c>
      <c r="I498" s="17"/>
      <c r="J498" s="17"/>
    </row>
    <row r="499" spans="1:10">
      <c r="A499" s="17">
        <f t="shared" si="28"/>
        <v>494</v>
      </c>
      <c r="B499" s="18"/>
      <c r="C499" s="36" t="str">
        <f t="shared" si="29"/>
        <v/>
      </c>
      <c r="D499" s="36" t="str">
        <f t="shared" si="30"/>
        <v/>
      </c>
      <c r="E499" s="17"/>
      <c r="F499" s="60"/>
      <c r="G499" s="50"/>
      <c r="H499" s="59" t="str">
        <f t="shared" si="31"/>
        <v/>
      </c>
      <c r="I499" s="17"/>
      <c r="J499" s="17"/>
    </row>
    <row r="500" spans="1:10">
      <c r="A500" s="17">
        <f t="shared" si="28"/>
        <v>495</v>
      </c>
      <c r="B500" s="18"/>
      <c r="C500" s="36" t="str">
        <f t="shared" si="29"/>
        <v/>
      </c>
      <c r="D500" s="36" t="str">
        <f t="shared" si="30"/>
        <v/>
      </c>
      <c r="E500" s="17"/>
      <c r="F500" s="60"/>
      <c r="G500" s="50"/>
      <c r="H500" s="59" t="str">
        <f t="shared" si="31"/>
        <v/>
      </c>
      <c r="I500" s="17"/>
      <c r="J500" s="17"/>
    </row>
    <row r="501" spans="1:10">
      <c r="A501" s="17">
        <f t="shared" si="28"/>
        <v>496</v>
      </c>
      <c r="B501" s="18"/>
      <c r="C501" s="36" t="str">
        <f t="shared" si="29"/>
        <v/>
      </c>
      <c r="D501" s="36" t="str">
        <f t="shared" si="30"/>
        <v/>
      </c>
      <c r="E501" s="17"/>
      <c r="F501" s="60"/>
      <c r="G501" s="50"/>
      <c r="H501" s="59" t="str">
        <f t="shared" si="31"/>
        <v/>
      </c>
      <c r="I501" s="17"/>
      <c r="J501" s="17"/>
    </row>
    <row r="502" spans="1:10">
      <c r="A502" s="17">
        <f t="shared" si="28"/>
        <v>497</v>
      </c>
      <c r="B502" s="18"/>
      <c r="C502" s="36" t="str">
        <f t="shared" si="29"/>
        <v/>
      </c>
      <c r="D502" s="36" t="str">
        <f t="shared" si="30"/>
        <v/>
      </c>
      <c r="E502" s="17"/>
      <c r="F502" s="60"/>
      <c r="G502" s="50"/>
      <c r="H502" s="59" t="str">
        <f t="shared" si="31"/>
        <v/>
      </c>
      <c r="I502" s="17"/>
      <c r="J502" s="17"/>
    </row>
    <row r="503" spans="1:10">
      <c r="A503" s="17">
        <f t="shared" si="28"/>
        <v>498</v>
      </c>
      <c r="B503" s="18"/>
      <c r="C503" s="36" t="str">
        <f t="shared" si="29"/>
        <v/>
      </c>
      <c r="D503" s="36" t="str">
        <f t="shared" si="30"/>
        <v/>
      </c>
      <c r="E503" s="17"/>
      <c r="F503" s="60"/>
      <c r="G503" s="50"/>
      <c r="H503" s="59" t="str">
        <f t="shared" si="31"/>
        <v/>
      </c>
      <c r="I503" s="17"/>
      <c r="J503" s="17"/>
    </row>
    <row r="504" spans="1:10">
      <c r="A504" s="17">
        <f t="shared" si="28"/>
        <v>499</v>
      </c>
      <c r="B504" s="18"/>
      <c r="C504" s="36" t="str">
        <f t="shared" si="29"/>
        <v/>
      </c>
      <c r="D504" s="36" t="str">
        <f t="shared" si="30"/>
        <v/>
      </c>
      <c r="E504" s="17"/>
      <c r="F504" s="60"/>
      <c r="G504" s="50"/>
      <c r="H504" s="59" t="str">
        <f t="shared" si="31"/>
        <v/>
      </c>
      <c r="I504" s="17"/>
      <c r="J504" s="17"/>
    </row>
    <row r="505" spans="1:10">
      <c r="A505" s="17">
        <f t="shared" si="28"/>
        <v>500</v>
      </c>
      <c r="B505" s="18"/>
      <c r="C505" s="36" t="str">
        <f t="shared" si="29"/>
        <v/>
      </c>
      <c r="D505" s="36" t="str">
        <f t="shared" si="30"/>
        <v/>
      </c>
      <c r="E505" s="17"/>
      <c r="F505" s="60"/>
      <c r="G505" s="50"/>
      <c r="H505" s="59" t="str">
        <f t="shared" si="31"/>
        <v/>
      </c>
      <c r="I505" s="17"/>
      <c r="J505" s="17"/>
    </row>
    <row r="506" spans="1:10">
      <c r="A506" s="17">
        <f t="shared" si="28"/>
        <v>501</v>
      </c>
      <c r="B506" s="18"/>
      <c r="C506" s="36" t="str">
        <f t="shared" si="29"/>
        <v/>
      </c>
      <c r="D506" s="36" t="str">
        <f t="shared" si="30"/>
        <v/>
      </c>
      <c r="E506" s="17"/>
      <c r="F506" s="60"/>
      <c r="G506" s="50"/>
      <c r="H506" s="59" t="str">
        <f t="shared" si="31"/>
        <v/>
      </c>
      <c r="I506" s="17"/>
      <c r="J506" s="17"/>
    </row>
    <row r="507" spans="1:10">
      <c r="A507" s="17">
        <f t="shared" si="28"/>
        <v>502</v>
      </c>
      <c r="B507" s="18"/>
      <c r="C507" s="36" t="str">
        <f t="shared" si="29"/>
        <v/>
      </c>
      <c r="D507" s="36" t="str">
        <f t="shared" si="30"/>
        <v/>
      </c>
      <c r="E507" s="17"/>
      <c r="F507" s="60"/>
      <c r="G507" s="50"/>
      <c r="H507" s="59" t="str">
        <f t="shared" si="31"/>
        <v/>
      </c>
      <c r="I507" s="17"/>
      <c r="J507" s="17"/>
    </row>
    <row r="508" spans="1:10">
      <c r="A508" s="17">
        <f t="shared" si="28"/>
        <v>503</v>
      </c>
      <c r="B508" s="18"/>
      <c r="C508" s="36" t="str">
        <f t="shared" si="29"/>
        <v/>
      </c>
      <c r="D508" s="36" t="str">
        <f t="shared" si="30"/>
        <v/>
      </c>
      <c r="E508" s="17"/>
      <c r="F508" s="60"/>
      <c r="G508" s="50"/>
      <c r="H508" s="59" t="str">
        <f t="shared" si="31"/>
        <v/>
      </c>
      <c r="I508" s="17"/>
      <c r="J508" s="17"/>
    </row>
    <row r="509" spans="1:10">
      <c r="A509" s="17">
        <f t="shared" si="28"/>
        <v>504</v>
      </c>
      <c r="B509" s="18"/>
      <c r="C509" s="36" t="str">
        <f t="shared" si="29"/>
        <v/>
      </c>
      <c r="D509" s="36" t="str">
        <f t="shared" si="30"/>
        <v/>
      </c>
      <c r="E509" s="17"/>
      <c r="F509" s="60"/>
      <c r="G509" s="50"/>
      <c r="H509" s="59" t="str">
        <f t="shared" si="31"/>
        <v/>
      </c>
      <c r="I509" s="17"/>
      <c r="J509" s="17"/>
    </row>
    <row r="510" spans="1:10">
      <c r="A510" s="17">
        <f t="shared" si="28"/>
        <v>505</v>
      </c>
      <c r="B510" s="18"/>
      <c r="C510" s="36" t="str">
        <f t="shared" si="29"/>
        <v/>
      </c>
      <c r="D510" s="36" t="str">
        <f t="shared" si="30"/>
        <v/>
      </c>
      <c r="E510" s="17"/>
      <c r="F510" s="60"/>
      <c r="G510" s="50"/>
      <c r="H510" s="59" t="str">
        <f t="shared" si="31"/>
        <v/>
      </c>
      <c r="I510" s="17"/>
      <c r="J510" s="17"/>
    </row>
    <row r="511" spans="1:10">
      <c r="A511" s="17">
        <f t="shared" si="28"/>
        <v>506</v>
      </c>
      <c r="B511" s="18"/>
      <c r="C511" s="36" t="str">
        <f t="shared" si="29"/>
        <v/>
      </c>
      <c r="D511" s="36" t="str">
        <f t="shared" si="30"/>
        <v/>
      </c>
      <c r="E511" s="17"/>
      <c r="F511" s="60"/>
      <c r="G511" s="50"/>
      <c r="H511" s="59" t="str">
        <f t="shared" si="31"/>
        <v/>
      </c>
      <c r="I511" s="17"/>
      <c r="J511" s="17"/>
    </row>
    <row r="512" spans="1:10">
      <c r="A512" s="17">
        <f t="shared" si="28"/>
        <v>507</v>
      </c>
      <c r="B512" s="18"/>
      <c r="C512" s="36" t="str">
        <f t="shared" si="29"/>
        <v/>
      </c>
      <c r="D512" s="36" t="str">
        <f t="shared" si="30"/>
        <v/>
      </c>
      <c r="E512" s="17"/>
      <c r="F512" s="60"/>
      <c r="G512" s="50"/>
      <c r="H512" s="59" t="str">
        <f t="shared" si="31"/>
        <v/>
      </c>
      <c r="I512" s="17"/>
      <c r="J512" s="17"/>
    </row>
    <row r="513" spans="1:10">
      <c r="A513" s="17">
        <f t="shared" si="28"/>
        <v>508</v>
      </c>
      <c r="B513" s="18"/>
      <c r="C513" s="36" t="str">
        <f t="shared" si="29"/>
        <v/>
      </c>
      <c r="D513" s="36" t="str">
        <f t="shared" si="30"/>
        <v/>
      </c>
      <c r="E513" s="17"/>
      <c r="F513" s="60"/>
      <c r="G513" s="50"/>
      <c r="H513" s="59" t="str">
        <f t="shared" si="31"/>
        <v/>
      </c>
      <c r="I513" s="17"/>
      <c r="J513" s="17"/>
    </row>
    <row r="514" spans="1:10">
      <c r="A514" s="17">
        <f t="shared" si="28"/>
        <v>509</v>
      </c>
      <c r="B514" s="18"/>
      <c r="C514" s="36" t="str">
        <f t="shared" si="29"/>
        <v/>
      </c>
      <c r="D514" s="36" t="str">
        <f t="shared" si="30"/>
        <v/>
      </c>
      <c r="E514" s="17"/>
      <c r="F514" s="60"/>
      <c r="G514" s="50"/>
      <c r="H514" s="59" t="str">
        <f t="shared" si="31"/>
        <v/>
      </c>
      <c r="I514" s="17"/>
      <c r="J514" s="17"/>
    </row>
    <row r="515" spans="1:10">
      <c r="A515" s="17">
        <f t="shared" si="28"/>
        <v>510</v>
      </c>
      <c r="B515" s="18"/>
      <c r="C515" s="36" t="str">
        <f t="shared" si="29"/>
        <v/>
      </c>
      <c r="D515" s="36" t="str">
        <f t="shared" si="30"/>
        <v/>
      </c>
      <c r="E515" s="17"/>
      <c r="F515" s="60"/>
      <c r="G515" s="50"/>
      <c r="H515" s="59" t="str">
        <f t="shared" si="31"/>
        <v/>
      </c>
      <c r="I515" s="17"/>
      <c r="J515" s="17"/>
    </row>
    <row r="516" spans="1:10">
      <c r="A516" s="17">
        <f t="shared" si="28"/>
        <v>511</v>
      </c>
      <c r="B516" s="18"/>
      <c r="C516" s="36" t="str">
        <f t="shared" si="29"/>
        <v/>
      </c>
      <c r="D516" s="36" t="str">
        <f t="shared" si="30"/>
        <v/>
      </c>
      <c r="E516" s="17"/>
      <c r="F516" s="60"/>
      <c r="G516" s="50"/>
      <c r="H516" s="59" t="str">
        <f t="shared" si="31"/>
        <v/>
      </c>
      <c r="I516" s="17"/>
      <c r="J516" s="17"/>
    </row>
    <row r="517" spans="1:10">
      <c r="A517" s="17">
        <f t="shared" si="28"/>
        <v>512</v>
      </c>
      <c r="B517" s="18"/>
      <c r="C517" s="36" t="str">
        <f t="shared" si="29"/>
        <v/>
      </c>
      <c r="D517" s="36" t="str">
        <f t="shared" si="30"/>
        <v/>
      </c>
      <c r="E517" s="17"/>
      <c r="F517" s="60"/>
      <c r="G517" s="50"/>
      <c r="H517" s="59" t="str">
        <f t="shared" si="31"/>
        <v/>
      </c>
      <c r="I517" s="17"/>
      <c r="J517" s="17"/>
    </row>
    <row r="518" spans="1:10">
      <c r="A518" s="17">
        <f t="shared" si="28"/>
        <v>513</v>
      </c>
      <c r="B518" s="18"/>
      <c r="C518" s="36" t="str">
        <f t="shared" si="29"/>
        <v/>
      </c>
      <c r="D518" s="36" t="str">
        <f t="shared" si="30"/>
        <v/>
      </c>
      <c r="E518" s="17"/>
      <c r="F518" s="60"/>
      <c r="G518" s="50"/>
      <c r="H518" s="59" t="str">
        <f t="shared" si="31"/>
        <v/>
      </c>
      <c r="I518" s="17"/>
      <c r="J518" s="17"/>
    </row>
    <row r="519" spans="1:10">
      <c r="A519" s="17">
        <f t="shared" ref="A519:A582" si="32">ROW(A514)</f>
        <v>514</v>
      </c>
      <c r="B519" s="18"/>
      <c r="C519" s="36" t="str">
        <f t="shared" ref="C519:C582" si="33">IF(B519=0,"",TEXT(B519,"mmmm"))</f>
        <v/>
      </c>
      <c r="D519" s="36" t="str">
        <f t="shared" ref="D519:D582" si="34">IF(B519=0,"",TEXT(B519,"yyyy"))</f>
        <v/>
      </c>
      <c r="E519" s="17"/>
      <c r="F519" s="60"/>
      <c r="G519" s="50"/>
      <c r="H519" s="59" t="str">
        <f t="shared" ref="H519:H582" si="35">IF(G519*F519=0,"",G519*F519)</f>
        <v/>
      </c>
      <c r="I519" s="17"/>
      <c r="J519" s="17"/>
    </row>
    <row r="520" spans="1:10">
      <c r="A520" s="17">
        <f t="shared" si="32"/>
        <v>515</v>
      </c>
      <c r="B520" s="18"/>
      <c r="C520" s="36" t="str">
        <f t="shared" si="33"/>
        <v/>
      </c>
      <c r="D520" s="36" t="str">
        <f t="shared" si="34"/>
        <v/>
      </c>
      <c r="E520" s="17"/>
      <c r="F520" s="60"/>
      <c r="G520" s="50"/>
      <c r="H520" s="59" t="str">
        <f t="shared" si="35"/>
        <v/>
      </c>
      <c r="I520" s="17"/>
      <c r="J520" s="17"/>
    </row>
    <row r="521" spans="1:10">
      <c r="A521" s="17">
        <f t="shared" si="32"/>
        <v>516</v>
      </c>
      <c r="B521" s="18"/>
      <c r="C521" s="36" t="str">
        <f t="shared" si="33"/>
        <v/>
      </c>
      <c r="D521" s="36" t="str">
        <f t="shared" si="34"/>
        <v/>
      </c>
      <c r="E521" s="17"/>
      <c r="F521" s="60"/>
      <c r="G521" s="50"/>
      <c r="H521" s="59" t="str">
        <f t="shared" si="35"/>
        <v/>
      </c>
      <c r="I521" s="17"/>
      <c r="J521" s="17"/>
    </row>
    <row r="522" spans="1:10">
      <c r="A522" s="17">
        <f t="shared" si="32"/>
        <v>517</v>
      </c>
      <c r="B522" s="18"/>
      <c r="C522" s="36" t="str">
        <f t="shared" si="33"/>
        <v/>
      </c>
      <c r="D522" s="36" t="str">
        <f t="shared" si="34"/>
        <v/>
      </c>
      <c r="E522" s="17"/>
      <c r="F522" s="60"/>
      <c r="G522" s="50"/>
      <c r="H522" s="59" t="str">
        <f t="shared" si="35"/>
        <v/>
      </c>
      <c r="I522" s="17"/>
      <c r="J522" s="17"/>
    </row>
    <row r="523" spans="1:10">
      <c r="A523" s="17">
        <f t="shared" si="32"/>
        <v>518</v>
      </c>
      <c r="B523" s="18"/>
      <c r="C523" s="36" t="str">
        <f t="shared" si="33"/>
        <v/>
      </c>
      <c r="D523" s="36" t="str">
        <f t="shared" si="34"/>
        <v/>
      </c>
      <c r="E523" s="17"/>
      <c r="F523" s="60"/>
      <c r="G523" s="50"/>
      <c r="H523" s="59" t="str">
        <f t="shared" si="35"/>
        <v/>
      </c>
      <c r="I523" s="17"/>
      <c r="J523" s="17"/>
    </row>
    <row r="524" spans="1:10">
      <c r="A524" s="17">
        <f t="shared" si="32"/>
        <v>519</v>
      </c>
      <c r="B524" s="18"/>
      <c r="C524" s="36" t="str">
        <f t="shared" si="33"/>
        <v/>
      </c>
      <c r="D524" s="36" t="str">
        <f t="shared" si="34"/>
        <v/>
      </c>
      <c r="E524" s="17"/>
      <c r="F524" s="60"/>
      <c r="G524" s="50"/>
      <c r="H524" s="59" t="str">
        <f t="shared" si="35"/>
        <v/>
      </c>
      <c r="I524" s="17"/>
      <c r="J524" s="17"/>
    </row>
    <row r="525" spans="1:10">
      <c r="A525" s="17">
        <f t="shared" si="32"/>
        <v>520</v>
      </c>
      <c r="B525" s="18"/>
      <c r="C525" s="36" t="str">
        <f t="shared" si="33"/>
        <v/>
      </c>
      <c r="D525" s="36" t="str">
        <f t="shared" si="34"/>
        <v/>
      </c>
      <c r="E525" s="17"/>
      <c r="F525" s="60"/>
      <c r="G525" s="50"/>
      <c r="H525" s="59" t="str">
        <f t="shared" si="35"/>
        <v/>
      </c>
      <c r="I525" s="17"/>
      <c r="J525" s="17"/>
    </row>
    <row r="526" spans="1:10">
      <c r="A526" s="17">
        <f t="shared" si="32"/>
        <v>521</v>
      </c>
      <c r="B526" s="18"/>
      <c r="C526" s="36" t="str">
        <f t="shared" si="33"/>
        <v/>
      </c>
      <c r="D526" s="36" t="str">
        <f t="shared" si="34"/>
        <v/>
      </c>
      <c r="E526" s="17"/>
      <c r="F526" s="60"/>
      <c r="G526" s="50"/>
      <c r="H526" s="59" t="str">
        <f t="shared" si="35"/>
        <v/>
      </c>
      <c r="I526" s="17"/>
      <c r="J526" s="17"/>
    </row>
    <row r="527" spans="1:10">
      <c r="A527" s="17">
        <f t="shared" si="32"/>
        <v>522</v>
      </c>
      <c r="B527" s="18"/>
      <c r="C527" s="36" t="str">
        <f t="shared" si="33"/>
        <v/>
      </c>
      <c r="D527" s="36" t="str">
        <f t="shared" si="34"/>
        <v/>
      </c>
      <c r="E527" s="17"/>
      <c r="F527" s="60"/>
      <c r="G527" s="50"/>
      <c r="H527" s="59" t="str">
        <f t="shared" si="35"/>
        <v/>
      </c>
      <c r="I527" s="17"/>
      <c r="J527" s="17"/>
    </row>
    <row r="528" spans="1:10">
      <c r="A528" s="17">
        <f t="shared" si="32"/>
        <v>523</v>
      </c>
      <c r="B528" s="18"/>
      <c r="C528" s="36" t="str">
        <f t="shared" si="33"/>
        <v/>
      </c>
      <c r="D528" s="36" t="str">
        <f t="shared" si="34"/>
        <v/>
      </c>
      <c r="E528" s="17"/>
      <c r="F528" s="60"/>
      <c r="G528" s="50"/>
      <c r="H528" s="59" t="str">
        <f t="shared" si="35"/>
        <v/>
      </c>
      <c r="I528" s="17"/>
      <c r="J528" s="17"/>
    </row>
    <row r="529" spans="1:10">
      <c r="A529" s="17">
        <f t="shared" si="32"/>
        <v>524</v>
      </c>
      <c r="B529" s="18"/>
      <c r="C529" s="36" t="str">
        <f t="shared" si="33"/>
        <v/>
      </c>
      <c r="D529" s="36" t="str">
        <f t="shared" si="34"/>
        <v/>
      </c>
      <c r="E529" s="17"/>
      <c r="F529" s="60"/>
      <c r="G529" s="50"/>
      <c r="H529" s="59" t="str">
        <f t="shared" si="35"/>
        <v/>
      </c>
      <c r="I529" s="17"/>
      <c r="J529" s="17"/>
    </row>
    <row r="530" spans="1:10">
      <c r="A530" s="17">
        <f t="shared" si="32"/>
        <v>525</v>
      </c>
      <c r="B530" s="18"/>
      <c r="C530" s="36" t="str">
        <f t="shared" si="33"/>
        <v/>
      </c>
      <c r="D530" s="36" t="str">
        <f t="shared" si="34"/>
        <v/>
      </c>
      <c r="E530" s="17"/>
      <c r="F530" s="60"/>
      <c r="G530" s="50"/>
      <c r="H530" s="59" t="str">
        <f t="shared" si="35"/>
        <v/>
      </c>
      <c r="I530" s="17"/>
      <c r="J530" s="17"/>
    </row>
    <row r="531" spans="1:10">
      <c r="A531" s="17">
        <f t="shared" si="32"/>
        <v>526</v>
      </c>
      <c r="B531" s="18"/>
      <c r="C531" s="36" t="str">
        <f t="shared" si="33"/>
        <v/>
      </c>
      <c r="D531" s="36" t="str">
        <f t="shared" si="34"/>
        <v/>
      </c>
      <c r="E531" s="17"/>
      <c r="F531" s="60"/>
      <c r="G531" s="50"/>
      <c r="H531" s="59" t="str">
        <f t="shared" si="35"/>
        <v/>
      </c>
      <c r="I531" s="17"/>
      <c r="J531" s="17"/>
    </row>
    <row r="532" spans="1:10">
      <c r="A532" s="17">
        <f t="shared" si="32"/>
        <v>527</v>
      </c>
      <c r="B532" s="18"/>
      <c r="C532" s="36" t="str">
        <f t="shared" si="33"/>
        <v/>
      </c>
      <c r="D532" s="36" t="str">
        <f t="shared" si="34"/>
        <v/>
      </c>
      <c r="E532" s="17"/>
      <c r="F532" s="60"/>
      <c r="G532" s="50"/>
      <c r="H532" s="59" t="str">
        <f t="shared" si="35"/>
        <v/>
      </c>
      <c r="I532" s="17"/>
      <c r="J532" s="17"/>
    </row>
    <row r="533" spans="1:10">
      <c r="A533" s="17">
        <f t="shared" si="32"/>
        <v>528</v>
      </c>
      <c r="B533" s="18"/>
      <c r="C533" s="36" t="str">
        <f t="shared" si="33"/>
        <v/>
      </c>
      <c r="D533" s="36" t="str">
        <f t="shared" si="34"/>
        <v/>
      </c>
      <c r="E533" s="17"/>
      <c r="F533" s="60"/>
      <c r="G533" s="50"/>
      <c r="H533" s="59" t="str">
        <f t="shared" si="35"/>
        <v/>
      </c>
      <c r="I533" s="17"/>
      <c r="J533" s="17"/>
    </row>
    <row r="534" spans="1:10">
      <c r="A534" s="17">
        <f t="shared" si="32"/>
        <v>529</v>
      </c>
      <c r="B534" s="18"/>
      <c r="C534" s="36" t="str">
        <f t="shared" si="33"/>
        <v/>
      </c>
      <c r="D534" s="36" t="str">
        <f t="shared" si="34"/>
        <v/>
      </c>
      <c r="E534" s="17"/>
      <c r="F534" s="60"/>
      <c r="G534" s="50"/>
      <c r="H534" s="59" t="str">
        <f t="shared" si="35"/>
        <v/>
      </c>
      <c r="I534" s="17"/>
      <c r="J534" s="17"/>
    </row>
    <row r="535" spans="1:10">
      <c r="A535" s="17">
        <f t="shared" si="32"/>
        <v>530</v>
      </c>
      <c r="B535" s="18"/>
      <c r="C535" s="36" t="str">
        <f t="shared" si="33"/>
        <v/>
      </c>
      <c r="D535" s="36" t="str">
        <f t="shared" si="34"/>
        <v/>
      </c>
      <c r="E535" s="17"/>
      <c r="F535" s="60"/>
      <c r="G535" s="50"/>
      <c r="H535" s="59" t="str">
        <f t="shared" si="35"/>
        <v/>
      </c>
      <c r="I535" s="17"/>
      <c r="J535" s="17"/>
    </row>
    <row r="536" spans="1:10">
      <c r="A536" s="17">
        <f t="shared" si="32"/>
        <v>531</v>
      </c>
      <c r="B536" s="18"/>
      <c r="C536" s="36" t="str">
        <f t="shared" si="33"/>
        <v/>
      </c>
      <c r="D536" s="36" t="str">
        <f t="shared" si="34"/>
        <v/>
      </c>
      <c r="E536" s="17"/>
      <c r="F536" s="60"/>
      <c r="G536" s="50"/>
      <c r="H536" s="59" t="str">
        <f t="shared" si="35"/>
        <v/>
      </c>
      <c r="I536" s="17"/>
      <c r="J536" s="17"/>
    </row>
    <row r="537" spans="1:10">
      <c r="A537" s="17">
        <f t="shared" si="32"/>
        <v>532</v>
      </c>
      <c r="B537" s="18"/>
      <c r="C537" s="36" t="str">
        <f t="shared" si="33"/>
        <v/>
      </c>
      <c r="D537" s="36" t="str">
        <f t="shared" si="34"/>
        <v/>
      </c>
      <c r="E537" s="17"/>
      <c r="F537" s="60"/>
      <c r="G537" s="50"/>
      <c r="H537" s="59" t="str">
        <f t="shared" si="35"/>
        <v/>
      </c>
      <c r="I537" s="17"/>
      <c r="J537" s="17"/>
    </row>
    <row r="538" spans="1:10">
      <c r="A538" s="17">
        <f t="shared" si="32"/>
        <v>533</v>
      </c>
      <c r="B538" s="18"/>
      <c r="C538" s="36" t="str">
        <f t="shared" si="33"/>
        <v/>
      </c>
      <c r="D538" s="36" t="str">
        <f t="shared" si="34"/>
        <v/>
      </c>
      <c r="E538" s="17"/>
      <c r="F538" s="60"/>
      <c r="G538" s="50"/>
      <c r="H538" s="59" t="str">
        <f t="shared" si="35"/>
        <v/>
      </c>
      <c r="I538" s="17"/>
      <c r="J538" s="17"/>
    </row>
    <row r="539" spans="1:10">
      <c r="A539" s="17">
        <f t="shared" si="32"/>
        <v>534</v>
      </c>
      <c r="B539" s="18"/>
      <c r="C539" s="36" t="str">
        <f t="shared" si="33"/>
        <v/>
      </c>
      <c r="D539" s="36" t="str">
        <f t="shared" si="34"/>
        <v/>
      </c>
      <c r="E539" s="17"/>
      <c r="F539" s="60"/>
      <c r="G539" s="50"/>
      <c r="H539" s="59" t="str">
        <f t="shared" si="35"/>
        <v/>
      </c>
      <c r="I539" s="17"/>
      <c r="J539" s="17"/>
    </row>
    <row r="540" spans="1:10">
      <c r="A540" s="17">
        <f t="shared" si="32"/>
        <v>535</v>
      </c>
      <c r="B540" s="18"/>
      <c r="C540" s="36" t="str">
        <f t="shared" si="33"/>
        <v/>
      </c>
      <c r="D540" s="36" t="str">
        <f t="shared" si="34"/>
        <v/>
      </c>
      <c r="E540" s="17"/>
      <c r="F540" s="60"/>
      <c r="G540" s="50"/>
      <c r="H540" s="59" t="str">
        <f t="shared" si="35"/>
        <v/>
      </c>
      <c r="I540" s="17"/>
      <c r="J540" s="17"/>
    </row>
    <row r="541" spans="1:10">
      <c r="A541" s="17">
        <f t="shared" si="32"/>
        <v>536</v>
      </c>
      <c r="B541" s="18"/>
      <c r="C541" s="36" t="str">
        <f t="shared" si="33"/>
        <v/>
      </c>
      <c r="D541" s="36" t="str">
        <f t="shared" si="34"/>
        <v/>
      </c>
      <c r="E541" s="17"/>
      <c r="F541" s="60"/>
      <c r="G541" s="50"/>
      <c r="H541" s="59" t="str">
        <f t="shared" si="35"/>
        <v/>
      </c>
      <c r="I541" s="17"/>
      <c r="J541" s="17"/>
    </row>
    <row r="542" spans="1:10">
      <c r="A542" s="17">
        <f t="shared" si="32"/>
        <v>537</v>
      </c>
      <c r="B542" s="18"/>
      <c r="C542" s="36" t="str">
        <f t="shared" si="33"/>
        <v/>
      </c>
      <c r="D542" s="36" t="str">
        <f t="shared" si="34"/>
        <v/>
      </c>
      <c r="E542" s="17"/>
      <c r="F542" s="60"/>
      <c r="G542" s="50"/>
      <c r="H542" s="59" t="str">
        <f t="shared" si="35"/>
        <v/>
      </c>
      <c r="I542" s="17"/>
      <c r="J542" s="17"/>
    </row>
    <row r="543" spans="1:10">
      <c r="A543" s="17">
        <f t="shared" si="32"/>
        <v>538</v>
      </c>
      <c r="B543" s="18"/>
      <c r="C543" s="36" t="str">
        <f t="shared" si="33"/>
        <v/>
      </c>
      <c r="D543" s="36" t="str">
        <f t="shared" si="34"/>
        <v/>
      </c>
      <c r="E543" s="17"/>
      <c r="F543" s="60"/>
      <c r="G543" s="50"/>
      <c r="H543" s="59" t="str">
        <f t="shared" si="35"/>
        <v/>
      </c>
      <c r="I543" s="17"/>
      <c r="J543" s="17"/>
    </row>
    <row r="544" spans="1:10">
      <c r="A544" s="17">
        <f t="shared" si="32"/>
        <v>539</v>
      </c>
      <c r="B544" s="18"/>
      <c r="C544" s="36" t="str">
        <f t="shared" si="33"/>
        <v/>
      </c>
      <c r="D544" s="36" t="str">
        <f t="shared" si="34"/>
        <v/>
      </c>
      <c r="E544" s="17"/>
      <c r="F544" s="60"/>
      <c r="G544" s="50"/>
      <c r="H544" s="59" t="str">
        <f t="shared" si="35"/>
        <v/>
      </c>
      <c r="I544" s="17"/>
      <c r="J544" s="17"/>
    </row>
    <row r="545" spans="1:10">
      <c r="A545" s="17">
        <f t="shared" si="32"/>
        <v>540</v>
      </c>
      <c r="B545" s="18"/>
      <c r="C545" s="36" t="str">
        <f t="shared" si="33"/>
        <v/>
      </c>
      <c r="D545" s="36" t="str">
        <f t="shared" si="34"/>
        <v/>
      </c>
      <c r="E545" s="17"/>
      <c r="F545" s="60"/>
      <c r="G545" s="50"/>
      <c r="H545" s="59" t="str">
        <f t="shared" si="35"/>
        <v/>
      </c>
      <c r="I545" s="17"/>
      <c r="J545" s="17"/>
    </row>
    <row r="546" spans="1:10">
      <c r="A546" s="17">
        <f t="shared" si="32"/>
        <v>541</v>
      </c>
      <c r="B546" s="18"/>
      <c r="C546" s="36" t="str">
        <f t="shared" si="33"/>
        <v/>
      </c>
      <c r="D546" s="36" t="str">
        <f t="shared" si="34"/>
        <v/>
      </c>
      <c r="E546" s="17"/>
      <c r="F546" s="60"/>
      <c r="G546" s="50"/>
      <c r="H546" s="59" t="str">
        <f t="shared" si="35"/>
        <v/>
      </c>
      <c r="I546" s="17"/>
      <c r="J546" s="17"/>
    </row>
    <row r="547" spans="1:10">
      <c r="A547" s="17">
        <f t="shared" si="32"/>
        <v>542</v>
      </c>
      <c r="B547" s="18"/>
      <c r="C547" s="36" t="str">
        <f t="shared" si="33"/>
        <v/>
      </c>
      <c r="D547" s="36" t="str">
        <f t="shared" si="34"/>
        <v/>
      </c>
      <c r="E547" s="17"/>
      <c r="F547" s="60"/>
      <c r="G547" s="50"/>
      <c r="H547" s="59" t="str">
        <f t="shared" si="35"/>
        <v/>
      </c>
      <c r="I547" s="17"/>
      <c r="J547" s="17"/>
    </row>
    <row r="548" spans="1:10">
      <c r="A548" s="17">
        <f t="shared" si="32"/>
        <v>543</v>
      </c>
      <c r="B548" s="18"/>
      <c r="C548" s="36" t="str">
        <f t="shared" si="33"/>
        <v/>
      </c>
      <c r="D548" s="36" t="str">
        <f t="shared" si="34"/>
        <v/>
      </c>
      <c r="E548" s="17"/>
      <c r="F548" s="60"/>
      <c r="G548" s="50"/>
      <c r="H548" s="59" t="str">
        <f t="shared" si="35"/>
        <v/>
      </c>
      <c r="I548" s="17"/>
      <c r="J548" s="17"/>
    </row>
    <row r="549" spans="1:10">
      <c r="A549" s="17">
        <f t="shared" si="32"/>
        <v>544</v>
      </c>
      <c r="B549" s="18"/>
      <c r="C549" s="36" t="str">
        <f t="shared" si="33"/>
        <v/>
      </c>
      <c r="D549" s="36" t="str">
        <f t="shared" si="34"/>
        <v/>
      </c>
      <c r="E549" s="17"/>
      <c r="F549" s="60"/>
      <c r="G549" s="50"/>
      <c r="H549" s="59" t="str">
        <f t="shared" si="35"/>
        <v/>
      </c>
      <c r="I549" s="17"/>
      <c r="J549" s="17"/>
    </row>
    <row r="550" spans="1:10">
      <c r="A550" s="17">
        <f t="shared" si="32"/>
        <v>545</v>
      </c>
      <c r="B550" s="18"/>
      <c r="C550" s="36" t="str">
        <f t="shared" si="33"/>
        <v/>
      </c>
      <c r="D550" s="36" t="str">
        <f t="shared" si="34"/>
        <v/>
      </c>
      <c r="E550" s="17"/>
      <c r="F550" s="60"/>
      <c r="G550" s="50"/>
      <c r="H550" s="59" t="str">
        <f t="shared" si="35"/>
        <v/>
      </c>
      <c r="I550" s="17"/>
      <c r="J550" s="17"/>
    </row>
    <row r="551" spans="1:10">
      <c r="A551" s="17">
        <f t="shared" si="32"/>
        <v>546</v>
      </c>
      <c r="B551" s="18"/>
      <c r="C551" s="36" t="str">
        <f t="shared" si="33"/>
        <v/>
      </c>
      <c r="D551" s="36" t="str">
        <f t="shared" si="34"/>
        <v/>
      </c>
      <c r="E551" s="17"/>
      <c r="F551" s="60"/>
      <c r="G551" s="50"/>
      <c r="H551" s="59" t="str">
        <f t="shared" si="35"/>
        <v/>
      </c>
      <c r="I551" s="17"/>
      <c r="J551" s="17"/>
    </row>
    <row r="552" spans="1:10">
      <c r="A552" s="17">
        <f t="shared" si="32"/>
        <v>547</v>
      </c>
      <c r="B552" s="18"/>
      <c r="C552" s="36" t="str">
        <f t="shared" si="33"/>
        <v/>
      </c>
      <c r="D552" s="36" t="str">
        <f t="shared" si="34"/>
        <v/>
      </c>
      <c r="E552" s="17"/>
      <c r="F552" s="60"/>
      <c r="G552" s="50"/>
      <c r="H552" s="59" t="str">
        <f t="shared" si="35"/>
        <v/>
      </c>
      <c r="I552" s="17"/>
      <c r="J552" s="17"/>
    </row>
    <row r="553" spans="1:10">
      <c r="A553" s="17">
        <f t="shared" si="32"/>
        <v>548</v>
      </c>
      <c r="B553" s="18"/>
      <c r="C553" s="36" t="str">
        <f t="shared" si="33"/>
        <v/>
      </c>
      <c r="D553" s="36" t="str">
        <f t="shared" si="34"/>
        <v/>
      </c>
      <c r="E553" s="17"/>
      <c r="F553" s="60"/>
      <c r="G553" s="50"/>
      <c r="H553" s="59" t="str">
        <f t="shared" si="35"/>
        <v/>
      </c>
      <c r="I553" s="17"/>
      <c r="J553" s="17"/>
    </row>
    <row r="554" spans="1:10">
      <c r="A554" s="17">
        <f t="shared" si="32"/>
        <v>549</v>
      </c>
      <c r="B554" s="18"/>
      <c r="C554" s="36" t="str">
        <f t="shared" si="33"/>
        <v/>
      </c>
      <c r="D554" s="36" t="str">
        <f t="shared" si="34"/>
        <v/>
      </c>
      <c r="E554" s="17"/>
      <c r="F554" s="60"/>
      <c r="G554" s="50"/>
      <c r="H554" s="59" t="str">
        <f t="shared" si="35"/>
        <v/>
      </c>
      <c r="I554" s="17"/>
      <c r="J554" s="17"/>
    </row>
    <row r="555" spans="1:10">
      <c r="A555" s="17">
        <f t="shared" si="32"/>
        <v>550</v>
      </c>
      <c r="B555" s="18"/>
      <c r="C555" s="36" t="str">
        <f t="shared" si="33"/>
        <v/>
      </c>
      <c r="D555" s="36" t="str">
        <f t="shared" si="34"/>
        <v/>
      </c>
      <c r="E555" s="17"/>
      <c r="F555" s="60"/>
      <c r="G555" s="50"/>
      <c r="H555" s="59" t="str">
        <f t="shared" si="35"/>
        <v/>
      </c>
      <c r="I555" s="17"/>
      <c r="J555" s="17"/>
    </row>
    <row r="556" spans="1:10">
      <c r="A556" s="17">
        <f t="shared" si="32"/>
        <v>551</v>
      </c>
      <c r="B556" s="18"/>
      <c r="C556" s="36" t="str">
        <f t="shared" si="33"/>
        <v/>
      </c>
      <c r="D556" s="36" t="str">
        <f t="shared" si="34"/>
        <v/>
      </c>
      <c r="E556" s="17"/>
      <c r="F556" s="60"/>
      <c r="G556" s="50"/>
      <c r="H556" s="59" t="str">
        <f t="shared" si="35"/>
        <v/>
      </c>
      <c r="I556" s="17"/>
      <c r="J556" s="17"/>
    </row>
    <row r="557" spans="1:10">
      <c r="A557" s="17">
        <f t="shared" si="32"/>
        <v>552</v>
      </c>
      <c r="B557" s="18"/>
      <c r="C557" s="36" t="str">
        <f t="shared" si="33"/>
        <v/>
      </c>
      <c r="D557" s="36" t="str">
        <f t="shared" si="34"/>
        <v/>
      </c>
      <c r="E557" s="17"/>
      <c r="F557" s="60"/>
      <c r="G557" s="50"/>
      <c r="H557" s="59" t="str">
        <f t="shared" si="35"/>
        <v/>
      </c>
      <c r="I557" s="17"/>
      <c r="J557" s="17"/>
    </row>
    <row r="558" spans="1:10">
      <c r="A558" s="17">
        <f t="shared" si="32"/>
        <v>553</v>
      </c>
      <c r="B558" s="18"/>
      <c r="C558" s="36" t="str">
        <f t="shared" si="33"/>
        <v/>
      </c>
      <c r="D558" s="36" t="str">
        <f t="shared" si="34"/>
        <v/>
      </c>
      <c r="E558" s="17"/>
      <c r="F558" s="60"/>
      <c r="G558" s="50"/>
      <c r="H558" s="59" t="str">
        <f t="shared" si="35"/>
        <v/>
      </c>
      <c r="I558" s="17"/>
      <c r="J558" s="17"/>
    </row>
    <row r="559" spans="1:10">
      <c r="A559" s="17">
        <f t="shared" si="32"/>
        <v>554</v>
      </c>
      <c r="B559" s="18"/>
      <c r="C559" s="36" t="str">
        <f t="shared" si="33"/>
        <v/>
      </c>
      <c r="D559" s="36" t="str">
        <f t="shared" si="34"/>
        <v/>
      </c>
      <c r="E559" s="17"/>
      <c r="F559" s="60"/>
      <c r="G559" s="50"/>
      <c r="H559" s="59" t="str">
        <f t="shared" si="35"/>
        <v/>
      </c>
      <c r="I559" s="17"/>
      <c r="J559" s="17"/>
    </row>
    <row r="560" spans="1:10">
      <c r="A560" s="17">
        <f t="shared" si="32"/>
        <v>555</v>
      </c>
      <c r="B560" s="18"/>
      <c r="C560" s="36" t="str">
        <f t="shared" si="33"/>
        <v/>
      </c>
      <c r="D560" s="36" t="str">
        <f t="shared" si="34"/>
        <v/>
      </c>
      <c r="E560" s="17"/>
      <c r="F560" s="60"/>
      <c r="G560" s="50"/>
      <c r="H560" s="59" t="str">
        <f t="shared" si="35"/>
        <v/>
      </c>
      <c r="I560" s="17"/>
      <c r="J560" s="17"/>
    </row>
    <row r="561" spans="1:10">
      <c r="A561" s="17">
        <f t="shared" si="32"/>
        <v>556</v>
      </c>
      <c r="B561" s="18"/>
      <c r="C561" s="36" t="str">
        <f t="shared" si="33"/>
        <v/>
      </c>
      <c r="D561" s="36" t="str">
        <f t="shared" si="34"/>
        <v/>
      </c>
      <c r="E561" s="17"/>
      <c r="F561" s="60"/>
      <c r="G561" s="50"/>
      <c r="H561" s="59" t="str">
        <f t="shared" si="35"/>
        <v/>
      </c>
      <c r="I561" s="17"/>
      <c r="J561" s="17"/>
    </row>
    <row r="562" spans="1:10">
      <c r="A562" s="17">
        <f t="shared" si="32"/>
        <v>557</v>
      </c>
      <c r="B562" s="18"/>
      <c r="C562" s="36" t="str">
        <f t="shared" si="33"/>
        <v/>
      </c>
      <c r="D562" s="36" t="str">
        <f t="shared" si="34"/>
        <v/>
      </c>
      <c r="E562" s="17"/>
      <c r="F562" s="60"/>
      <c r="G562" s="50"/>
      <c r="H562" s="59" t="str">
        <f t="shared" si="35"/>
        <v/>
      </c>
      <c r="I562" s="17"/>
      <c r="J562" s="17"/>
    </row>
    <row r="563" spans="1:10">
      <c r="A563" s="17">
        <f t="shared" si="32"/>
        <v>558</v>
      </c>
      <c r="B563" s="18"/>
      <c r="C563" s="36" t="str">
        <f t="shared" si="33"/>
        <v/>
      </c>
      <c r="D563" s="36" t="str">
        <f t="shared" si="34"/>
        <v/>
      </c>
      <c r="E563" s="17"/>
      <c r="F563" s="60"/>
      <c r="G563" s="50"/>
      <c r="H563" s="59" t="str">
        <f t="shared" si="35"/>
        <v/>
      </c>
      <c r="I563" s="17"/>
      <c r="J563" s="17"/>
    </row>
    <row r="564" spans="1:10">
      <c r="A564" s="17">
        <f t="shared" si="32"/>
        <v>559</v>
      </c>
      <c r="B564" s="18"/>
      <c r="C564" s="36" t="str">
        <f t="shared" si="33"/>
        <v/>
      </c>
      <c r="D564" s="36" t="str">
        <f t="shared" si="34"/>
        <v/>
      </c>
      <c r="E564" s="17"/>
      <c r="F564" s="60"/>
      <c r="G564" s="50"/>
      <c r="H564" s="59" t="str">
        <f t="shared" si="35"/>
        <v/>
      </c>
      <c r="I564" s="17"/>
      <c r="J564" s="17"/>
    </row>
    <row r="565" spans="1:10">
      <c r="A565" s="17">
        <f t="shared" si="32"/>
        <v>560</v>
      </c>
      <c r="B565" s="18"/>
      <c r="C565" s="36" t="str">
        <f t="shared" si="33"/>
        <v/>
      </c>
      <c r="D565" s="36" t="str">
        <f t="shared" si="34"/>
        <v/>
      </c>
      <c r="E565" s="17"/>
      <c r="F565" s="60"/>
      <c r="G565" s="50"/>
      <c r="H565" s="59" t="str">
        <f t="shared" si="35"/>
        <v/>
      </c>
      <c r="I565" s="17"/>
      <c r="J565" s="17"/>
    </row>
    <row r="566" spans="1:10">
      <c r="A566" s="17">
        <f t="shared" si="32"/>
        <v>561</v>
      </c>
      <c r="B566" s="18"/>
      <c r="C566" s="36" t="str">
        <f t="shared" si="33"/>
        <v/>
      </c>
      <c r="D566" s="36" t="str">
        <f t="shared" si="34"/>
        <v/>
      </c>
      <c r="E566" s="17"/>
      <c r="F566" s="60"/>
      <c r="G566" s="50"/>
      <c r="H566" s="59" t="str">
        <f t="shared" si="35"/>
        <v/>
      </c>
      <c r="I566" s="17"/>
      <c r="J566" s="17"/>
    </row>
    <row r="567" spans="1:10">
      <c r="A567" s="17">
        <f t="shared" si="32"/>
        <v>562</v>
      </c>
      <c r="B567" s="18"/>
      <c r="C567" s="36" t="str">
        <f t="shared" si="33"/>
        <v/>
      </c>
      <c r="D567" s="36" t="str">
        <f t="shared" si="34"/>
        <v/>
      </c>
      <c r="E567" s="17"/>
      <c r="F567" s="60"/>
      <c r="G567" s="50"/>
      <c r="H567" s="59" t="str">
        <f t="shared" si="35"/>
        <v/>
      </c>
      <c r="I567" s="17"/>
      <c r="J567" s="17"/>
    </row>
    <row r="568" spans="1:10">
      <c r="A568" s="17">
        <f t="shared" si="32"/>
        <v>563</v>
      </c>
      <c r="B568" s="18"/>
      <c r="C568" s="36" t="str">
        <f t="shared" si="33"/>
        <v/>
      </c>
      <c r="D568" s="36" t="str">
        <f t="shared" si="34"/>
        <v/>
      </c>
      <c r="E568" s="17"/>
      <c r="F568" s="60"/>
      <c r="G568" s="50"/>
      <c r="H568" s="59" t="str">
        <f t="shared" si="35"/>
        <v/>
      </c>
      <c r="I568" s="17"/>
      <c r="J568" s="17"/>
    </row>
    <row r="569" spans="1:10">
      <c r="A569" s="17">
        <f t="shared" si="32"/>
        <v>564</v>
      </c>
      <c r="B569" s="18"/>
      <c r="C569" s="36" t="str">
        <f t="shared" si="33"/>
        <v/>
      </c>
      <c r="D569" s="36" t="str">
        <f t="shared" si="34"/>
        <v/>
      </c>
      <c r="E569" s="17"/>
      <c r="F569" s="60"/>
      <c r="G569" s="50"/>
      <c r="H569" s="59" t="str">
        <f t="shared" si="35"/>
        <v/>
      </c>
      <c r="I569" s="17"/>
      <c r="J569" s="17"/>
    </row>
    <row r="570" spans="1:10">
      <c r="A570" s="17">
        <f t="shared" si="32"/>
        <v>565</v>
      </c>
      <c r="B570" s="18"/>
      <c r="C570" s="36" t="str">
        <f t="shared" si="33"/>
        <v/>
      </c>
      <c r="D570" s="36" t="str">
        <f t="shared" si="34"/>
        <v/>
      </c>
      <c r="E570" s="17"/>
      <c r="F570" s="60"/>
      <c r="G570" s="50"/>
      <c r="H570" s="59" t="str">
        <f t="shared" si="35"/>
        <v/>
      </c>
      <c r="I570" s="17"/>
      <c r="J570" s="17"/>
    </row>
    <row r="571" spans="1:10">
      <c r="A571" s="17">
        <f t="shared" si="32"/>
        <v>566</v>
      </c>
      <c r="B571" s="18"/>
      <c r="C571" s="36" t="str">
        <f t="shared" si="33"/>
        <v/>
      </c>
      <c r="D571" s="36" t="str">
        <f t="shared" si="34"/>
        <v/>
      </c>
      <c r="E571" s="17"/>
      <c r="F571" s="60"/>
      <c r="G571" s="50"/>
      <c r="H571" s="59" t="str">
        <f t="shared" si="35"/>
        <v/>
      </c>
      <c r="I571" s="17"/>
      <c r="J571" s="17"/>
    </row>
    <row r="572" spans="1:10">
      <c r="A572" s="17">
        <f t="shared" si="32"/>
        <v>567</v>
      </c>
      <c r="B572" s="18"/>
      <c r="C572" s="36" t="str">
        <f t="shared" si="33"/>
        <v/>
      </c>
      <c r="D572" s="36" t="str">
        <f t="shared" si="34"/>
        <v/>
      </c>
      <c r="E572" s="17"/>
      <c r="F572" s="60"/>
      <c r="G572" s="50"/>
      <c r="H572" s="59" t="str">
        <f t="shared" si="35"/>
        <v/>
      </c>
      <c r="I572" s="17"/>
      <c r="J572" s="17"/>
    </row>
    <row r="573" spans="1:10">
      <c r="A573" s="17">
        <f t="shared" si="32"/>
        <v>568</v>
      </c>
      <c r="B573" s="18"/>
      <c r="C573" s="36" t="str">
        <f t="shared" si="33"/>
        <v/>
      </c>
      <c r="D573" s="36" t="str">
        <f t="shared" si="34"/>
        <v/>
      </c>
      <c r="E573" s="17"/>
      <c r="F573" s="60"/>
      <c r="G573" s="50"/>
      <c r="H573" s="59" t="str">
        <f t="shared" si="35"/>
        <v/>
      </c>
      <c r="I573" s="17"/>
      <c r="J573" s="17"/>
    </row>
    <row r="574" spans="1:10">
      <c r="A574" s="17">
        <f t="shared" si="32"/>
        <v>569</v>
      </c>
      <c r="B574" s="18"/>
      <c r="C574" s="36" t="str">
        <f t="shared" si="33"/>
        <v/>
      </c>
      <c r="D574" s="36" t="str">
        <f t="shared" si="34"/>
        <v/>
      </c>
      <c r="E574" s="17"/>
      <c r="F574" s="60"/>
      <c r="G574" s="50"/>
      <c r="H574" s="59" t="str">
        <f t="shared" si="35"/>
        <v/>
      </c>
      <c r="I574" s="17"/>
      <c r="J574" s="17"/>
    </row>
    <row r="575" spans="1:10">
      <c r="A575" s="17">
        <f t="shared" si="32"/>
        <v>570</v>
      </c>
      <c r="B575" s="18"/>
      <c r="C575" s="36" t="str">
        <f t="shared" si="33"/>
        <v/>
      </c>
      <c r="D575" s="36" t="str">
        <f t="shared" si="34"/>
        <v/>
      </c>
      <c r="E575" s="17"/>
      <c r="F575" s="60"/>
      <c r="G575" s="50"/>
      <c r="H575" s="59" t="str">
        <f t="shared" si="35"/>
        <v/>
      </c>
      <c r="I575" s="17"/>
      <c r="J575" s="17"/>
    </row>
    <row r="576" spans="1:10">
      <c r="A576" s="17">
        <f t="shared" si="32"/>
        <v>571</v>
      </c>
      <c r="B576" s="18"/>
      <c r="C576" s="36" t="str">
        <f t="shared" si="33"/>
        <v/>
      </c>
      <c r="D576" s="36" t="str">
        <f t="shared" si="34"/>
        <v/>
      </c>
      <c r="E576" s="17"/>
      <c r="F576" s="60"/>
      <c r="G576" s="50"/>
      <c r="H576" s="59" t="str">
        <f t="shared" si="35"/>
        <v/>
      </c>
      <c r="I576" s="17"/>
      <c r="J576" s="17"/>
    </row>
    <row r="577" spans="1:10">
      <c r="A577" s="17">
        <f t="shared" si="32"/>
        <v>572</v>
      </c>
      <c r="B577" s="18"/>
      <c r="C577" s="36" t="str">
        <f t="shared" si="33"/>
        <v/>
      </c>
      <c r="D577" s="36" t="str">
        <f t="shared" si="34"/>
        <v/>
      </c>
      <c r="E577" s="17"/>
      <c r="F577" s="60"/>
      <c r="G577" s="50"/>
      <c r="H577" s="59" t="str">
        <f t="shared" si="35"/>
        <v/>
      </c>
      <c r="I577" s="17"/>
      <c r="J577" s="17"/>
    </row>
    <row r="578" spans="1:10">
      <c r="A578" s="17">
        <f t="shared" si="32"/>
        <v>573</v>
      </c>
      <c r="B578" s="18"/>
      <c r="C578" s="36" t="str">
        <f t="shared" si="33"/>
        <v/>
      </c>
      <c r="D578" s="36" t="str">
        <f t="shared" si="34"/>
        <v/>
      </c>
      <c r="E578" s="17"/>
      <c r="F578" s="60"/>
      <c r="G578" s="50"/>
      <c r="H578" s="59" t="str">
        <f t="shared" si="35"/>
        <v/>
      </c>
      <c r="I578" s="17"/>
      <c r="J578" s="17"/>
    </row>
    <row r="579" spans="1:10">
      <c r="A579" s="17">
        <f t="shared" si="32"/>
        <v>574</v>
      </c>
      <c r="B579" s="18"/>
      <c r="C579" s="36" t="str">
        <f t="shared" si="33"/>
        <v/>
      </c>
      <c r="D579" s="36" t="str">
        <f t="shared" si="34"/>
        <v/>
      </c>
      <c r="E579" s="17"/>
      <c r="F579" s="60"/>
      <c r="G579" s="50"/>
      <c r="H579" s="59" t="str">
        <f t="shared" si="35"/>
        <v/>
      </c>
      <c r="I579" s="17"/>
      <c r="J579" s="17"/>
    </row>
    <row r="580" spans="1:10">
      <c r="A580" s="17">
        <f t="shared" si="32"/>
        <v>575</v>
      </c>
      <c r="B580" s="18"/>
      <c r="C580" s="36" t="str">
        <f t="shared" si="33"/>
        <v/>
      </c>
      <c r="D580" s="36" t="str">
        <f t="shared" si="34"/>
        <v/>
      </c>
      <c r="E580" s="17"/>
      <c r="F580" s="60"/>
      <c r="G580" s="50"/>
      <c r="H580" s="59" t="str">
        <f t="shared" si="35"/>
        <v/>
      </c>
      <c r="I580" s="17"/>
      <c r="J580" s="17"/>
    </row>
    <row r="581" spans="1:10">
      <c r="A581" s="17">
        <f t="shared" si="32"/>
        <v>576</v>
      </c>
      <c r="B581" s="18"/>
      <c r="C581" s="36" t="str">
        <f t="shared" si="33"/>
        <v/>
      </c>
      <c r="D581" s="36" t="str">
        <f t="shared" si="34"/>
        <v/>
      </c>
      <c r="E581" s="17"/>
      <c r="F581" s="60"/>
      <c r="G581" s="50"/>
      <c r="H581" s="59" t="str">
        <f t="shared" si="35"/>
        <v/>
      </c>
      <c r="I581" s="17"/>
      <c r="J581" s="17"/>
    </row>
    <row r="582" spans="1:10">
      <c r="A582" s="17">
        <f t="shared" si="32"/>
        <v>577</v>
      </c>
      <c r="B582" s="18"/>
      <c r="C582" s="36" t="str">
        <f t="shared" si="33"/>
        <v/>
      </c>
      <c r="D582" s="36" t="str">
        <f t="shared" si="34"/>
        <v/>
      </c>
      <c r="E582" s="17"/>
      <c r="F582" s="60"/>
      <c r="G582" s="50"/>
      <c r="H582" s="59" t="str">
        <f t="shared" si="35"/>
        <v/>
      </c>
      <c r="I582" s="17"/>
      <c r="J582" s="17"/>
    </row>
    <row r="583" spans="1:10">
      <c r="A583" s="17">
        <f t="shared" ref="A583:A646" si="36">ROW(A578)</f>
        <v>578</v>
      </c>
      <c r="B583" s="18"/>
      <c r="C583" s="36" t="str">
        <f t="shared" ref="C583:C646" si="37">IF(B583=0,"",TEXT(B583,"mmmm"))</f>
        <v/>
      </c>
      <c r="D583" s="36" t="str">
        <f t="shared" ref="D583:D646" si="38">IF(B583=0,"",TEXT(B583,"yyyy"))</f>
        <v/>
      </c>
      <c r="E583" s="17"/>
      <c r="F583" s="60"/>
      <c r="G583" s="50"/>
      <c r="H583" s="59" t="str">
        <f t="shared" ref="H583:H646" si="39">IF(G583*F583=0,"",G583*F583)</f>
        <v/>
      </c>
      <c r="I583" s="17"/>
      <c r="J583" s="17"/>
    </row>
    <row r="584" spans="1:10">
      <c r="A584" s="17">
        <f t="shared" si="36"/>
        <v>579</v>
      </c>
      <c r="B584" s="18"/>
      <c r="C584" s="36" t="str">
        <f t="shared" si="37"/>
        <v/>
      </c>
      <c r="D584" s="36" t="str">
        <f t="shared" si="38"/>
        <v/>
      </c>
      <c r="E584" s="17"/>
      <c r="F584" s="60"/>
      <c r="G584" s="50"/>
      <c r="H584" s="59" t="str">
        <f t="shared" si="39"/>
        <v/>
      </c>
      <c r="I584" s="17"/>
      <c r="J584" s="17"/>
    </row>
    <row r="585" spans="1:10">
      <c r="A585" s="17">
        <f t="shared" si="36"/>
        <v>580</v>
      </c>
      <c r="B585" s="18"/>
      <c r="C585" s="36" t="str">
        <f t="shared" si="37"/>
        <v/>
      </c>
      <c r="D585" s="36" t="str">
        <f t="shared" si="38"/>
        <v/>
      </c>
      <c r="E585" s="17"/>
      <c r="F585" s="60"/>
      <c r="G585" s="50"/>
      <c r="H585" s="59" t="str">
        <f t="shared" si="39"/>
        <v/>
      </c>
      <c r="I585" s="17"/>
      <c r="J585" s="17"/>
    </row>
    <row r="586" spans="1:10">
      <c r="A586" s="17">
        <f t="shared" si="36"/>
        <v>581</v>
      </c>
      <c r="B586" s="18"/>
      <c r="C586" s="36" t="str">
        <f t="shared" si="37"/>
        <v/>
      </c>
      <c r="D586" s="36" t="str">
        <f t="shared" si="38"/>
        <v/>
      </c>
      <c r="E586" s="17"/>
      <c r="F586" s="60"/>
      <c r="G586" s="50"/>
      <c r="H586" s="59" t="str">
        <f t="shared" si="39"/>
        <v/>
      </c>
      <c r="I586" s="17"/>
      <c r="J586" s="17"/>
    </row>
    <row r="587" spans="1:10">
      <c r="A587" s="17">
        <f t="shared" si="36"/>
        <v>582</v>
      </c>
      <c r="B587" s="18"/>
      <c r="C587" s="36" t="str">
        <f t="shared" si="37"/>
        <v/>
      </c>
      <c r="D587" s="36" t="str">
        <f t="shared" si="38"/>
        <v/>
      </c>
      <c r="E587" s="17"/>
      <c r="F587" s="60"/>
      <c r="G587" s="50"/>
      <c r="H587" s="59" t="str">
        <f t="shared" si="39"/>
        <v/>
      </c>
      <c r="I587" s="17"/>
      <c r="J587" s="17"/>
    </row>
    <row r="588" spans="1:10">
      <c r="A588" s="17">
        <f t="shared" si="36"/>
        <v>583</v>
      </c>
      <c r="B588" s="18"/>
      <c r="C588" s="36" t="str">
        <f t="shared" si="37"/>
        <v/>
      </c>
      <c r="D588" s="36" t="str">
        <f t="shared" si="38"/>
        <v/>
      </c>
      <c r="E588" s="17"/>
      <c r="F588" s="60"/>
      <c r="G588" s="50"/>
      <c r="H588" s="59" t="str">
        <f t="shared" si="39"/>
        <v/>
      </c>
      <c r="I588" s="17"/>
      <c r="J588" s="17"/>
    </row>
    <row r="589" spans="1:10">
      <c r="A589" s="17">
        <f t="shared" si="36"/>
        <v>584</v>
      </c>
      <c r="B589" s="18"/>
      <c r="C589" s="36" t="str">
        <f t="shared" si="37"/>
        <v/>
      </c>
      <c r="D589" s="36" t="str">
        <f t="shared" si="38"/>
        <v/>
      </c>
      <c r="E589" s="17"/>
      <c r="F589" s="60"/>
      <c r="G589" s="50"/>
      <c r="H589" s="59" t="str">
        <f t="shared" si="39"/>
        <v/>
      </c>
      <c r="I589" s="17"/>
      <c r="J589" s="17"/>
    </row>
    <row r="590" spans="1:10">
      <c r="A590" s="17">
        <f t="shared" si="36"/>
        <v>585</v>
      </c>
      <c r="B590" s="18"/>
      <c r="C590" s="36" t="str">
        <f t="shared" si="37"/>
        <v/>
      </c>
      <c r="D590" s="36" t="str">
        <f t="shared" si="38"/>
        <v/>
      </c>
      <c r="E590" s="17"/>
      <c r="F590" s="60"/>
      <c r="G590" s="50"/>
      <c r="H590" s="59" t="str">
        <f t="shared" si="39"/>
        <v/>
      </c>
      <c r="I590" s="17"/>
      <c r="J590" s="17"/>
    </row>
    <row r="591" spans="1:10">
      <c r="A591" s="17">
        <f t="shared" si="36"/>
        <v>586</v>
      </c>
      <c r="B591" s="18"/>
      <c r="C591" s="36" t="str">
        <f t="shared" si="37"/>
        <v/>
      </c>
      <c r="D591" s="36" t="str">
        <f t="shared" si="38"/>
        <v/>
      </c>
      <c r="E591" s="17"/>
      <c r="F591" s="60"/>
      <c r="G591" s="50"/>
      <c r="H591" s="59" t="str">
        <f t="shared" si="39"/>
        <v/>
      </c>
      <c r="I591" s="17"/>
      <c r="J591" s="17"/>
    </row>
    <row r="592" spans="1:10">
      <c r="A592" s="17">
        <f t="shared" si="36"/>
        <v>587</v>
      </c>
      <c r="B592" s="18"/>
      <c r="C592" s="36" t="str">
        <f t="shared" si="37"/>
        <v/>
      </c>
      <c r="D592" s="36" t="str">
        <f t="shared" si="38"/>
        <v/>
      </c>
      <c r="E592" s="17"/>
      <c r="F592" s="60"/>
      <c r="G592" s="50"/>
      <c r="H592" s="59" t="str">
        <f t="shared" si="39"/>
        <v/>
      </c>
      <c r="I592" s="17"/>
      <c r="J592" s="17"/>
    </row>
    <row r="593" spans="1:10">
      <c r="A593" s="17">
        <f t="shared" si="36"/>
        <v>588</v>
      </c>
      <c r="B593" s="18"/>
      <c r="C593" s="36" t="str">
        <f t="shared" si="37"/>
        <v/>
      </c>
      <c r="D593" s="36" t="str">
        <f t="shared" si="38"/>
        <v/>
      </c>
      <c r="E593" s="17"/>
      <c r="F593" s="60"/>
      <c r="G593" s="50"/>
      <c r="H593" s="59" t="str">
        <f t="shared" si="39"/>
        <v/>
      </c>
      <c r="I593" s="17"/>
      <c r="J593" s="17"/>
    </row>
    <row r="594" spans="1:10">
      <c r="A594" s="17">
        <f t="shared" si="36"/>
        <v>589</v>
      </c>
      <c r="B594" s="18"/>
      <c r="C594" s="36" t="str">
        <f t="shared" si="37"/>
        <v/>
      </c>
      <c r="D594" s="36" t="str">
        <f t="shared" si="38"/>
        <v/>
      </c>
      <c r="E594" s="17"/>
      <c r="F594" s="60"/>
      <c r="G594" s="50"/>
      <c r="H594" s="59" t="str">
        <f t="shared" si="39"/>
        <v/>
      </c>
      <c r="I594" s="17"/>
      <c r="J594" s="17"/>
    </row>
    <row r="595" spans="1:10">
      <c r="A595" s="17">
        <f t="shared" si="36"/>
        <v>590</v>
      </c>
      <c r="B595" s="18"/>
      <c r="C595" s="36" t="str">
        <f t="shared" si="37"/>
        <v/>
      </c>
      <c r="D595" s="36" t="str">
        <f t="shared" si="38"/>
        <v/>
      </c>
      <c r="E595" s="17"/>
      <c r="F595" s="60"/>
      <c r="G595" s="50"/>
      <c r="H595" s="59" t="str">
        <f t="shared" si="39"/>
        <v/>
      </c>
      <c r="I595" s="17"/>
      <c r="J595" s="17"/>
    </row>
    <row r="596" spans="1:10">
      <c r="A596" s="17">
        <f t="shared" si="36"/>
        <v>591</v>
      </c>
      <c r="B596" s="18"/>
      <c r="C596" s="36" t="str">
        <f t="shared" si="37"/>
        <v/>
      </c>
      <c r="D596" s="36" t="str">
        <f t="shared" si="38"/>
        <v/>
      </c>
      <c r="E596" s="17"/>
      <c r="F596" s="60"/>
      <c r="G596" s="50"/>
      <c r="H596" s="59" t="str">
        <f t="shared" si="39"/>
        <v/>
      </c>
      <c r="I596" s="17"/>
      <c r="J596" s="17"/>
    </row>
    <row r="597" spans="1:10">
      <c r="A597" s="17">
        <f t="shared" si="36"/>
        <v>592</v>
      </c>
      <c r="B597" s="18"/>
      <c r="C597" s="36" t="str">
        <f t="shared" si="37"/>
        <v/>
      </c>
      <c r="D597" s="36" t="str">
        <f t="shared" si="38"/>
        <v/>
      </c>
      <c r="E597" s="17"/>
      <c r="F597" s="60"/>
      <c r="G597" s="50"/>
      <c r="H597" s="59" t="str">
        <f t="shared" si="39"/>
        <v/>
      </c>
      <c r="I597" s="17"/>
      <c r="J597" s="17"/>
    </row>
    <row r="598" spans="1:10">
      <c r="A598" s="17">
        <f t="shared" si="36"/>
        <v>593</v>
      </c>
      <c r="B598" s="18"/>
      <c r="C598" s="36" t="str">
        <f t="shared" si="37"/>
        <v/>
      </c>
      <c r="D598" s="36" t="str">
        <f t="shared" si="38"/>
        <v/>
      </c>
      <c r="E598" s="17"/>
      <c r="F598" s="60"/>
      <c r="G598" s="50"/>
      <c r="H598" s="59" t="str">
        <f t="shared" si="39"/>
        <v/>
      </c>
      <c r="I598" s="17"/>
      <c r="J598" s="17"/>
    </row>
    <row r="599" spans="1:10">
      <c r="A599" s="17">
        <f t="shared" si="36"/>
        <v>594</v>
      </c>
      <c r="B599" s="18"/>
      <c r="C599" s="36" t="str">
        <f t="shared" si="37"/>
        <v/>
      </c>
      <c r="D599" s="36" t="str">
        <f t="shared" si="38"/>
        <v/>
      </c>
      <c r="E599" s="17"/>
      <c r="F599" s="60"/>
      <c r="G599" s="50"/>
      <c r="H599" s="59" t="str">
        <f t="shared" si="39"/>
        <v/>
      </c>
      <c r="I599" s="17"/>
      <c r="J599" s="17"/>
    </row>
    <row r="600" spans="1:10">
      <c r="A600" s="17">
        <f t="shared" si="36"/>
        <v>595</v>
      </c>
      <c r="B600" s="18"/>
      <c r="C600" s="36" t="str">
        <f t="shared" si="37"/>
        <v/>
      </c>
      <c r="D600" s="36" t="str">
        <f t="shared" si="38"/>
        <v/>
      </c>
      <c r="E600" s="17"/>
      <c r="F600" s="60"/>
      <c r="G600" s="50"/>
      <c r="H600" s="59" t="str">
        <f t="shared" si="39"/>
        <v/>
      </c>
      <c r="I600" s="17"/>
      <c r="J600" s="17"/>
    </row>
    <row r="601" spans="1:10">
      <c r="A601" s="17">
        <f t="shared" si="36"/>
        <v>596</v>
      </c>
      <c r="B601" s="18"/>
      <c r="C601" s="36" t="str">
        <f t="shared" si="37"/>
        <v/>
      </c>
      <c r="D601" s="36" t="str">
        <f t="shared" si="38"/>
        <v/>
      </c>
      <c r="E601" s="17"/>
      <c r="F601" s="60"/>
      <c r="G601" s="50"/>
      <c r="H601" s="59" t="str">
        <f t="shared" si="39"/>
        <v/>
      </c>
      <c r="I601" s="17"/>
      <c r="J601" s="17"/>
    </row>
    <row r="602" spans="1:10">
      <c r="A602" s="17">
        <f t="shared" si="36"/>
        <v>597</v>
      </c>
      <c r="B602" s="18"/>
      <c r="C602" s="36" t="str">
        <f t="shared" si="37"/>
        <v/>
      </c>
      <c r="D602" s="36" t="str">
        <f t="shared" si="38"/>
        <v/>
      </c>
      <c r="E602" s="17"/>
      <c r="F602" s="60"/>
      <c r="G602" s="50"/>
      <c r="H602" s="59" t="str">
        <f t="shared" si="39"/>
        <v/>
      </c>
      <c r="I602" s="17"/>
      <c r="J602" s="17"/>
    </row>
    <row r="603" spans="1:10">
      <c r="A603" s="17">
        <f t="shared" si="36"/>
        <v>598</v>
      </c>
      <c r="B603" s="18"/>
      <c r="C603" s="36" t="str">
        <f t="shared" si="37"/>
        <v/>
      </c>
      <c r="D603" s="36" t="str">
        <f t="shared" si="38"/>
        <v/>
      </c>
      <c r="E603" s="17"/>
      <c r="F603" s="60"/>
      <c r="G603" s="50"/>
      <c r="H603" s="59" t="str">
        <f t="shared" si="39"/>
        <v/>
      </c>
      <c r="I603" s="17"/>
      <c r="J603" s="17"/>
    </row>
    <row r="604" spans="1:10">
      <c r="A604" s="17">
        <f t="shared" si="36"/>
        <v>599</v>
      </c>
      <c r="B604" s="18"/>
      <c r="C604" s="36" t="str">
        <f t="shared" si="37"/>
        <v/>
      </c>
      <c r="D604" s="36" t="str">
        <f t="shared" si="38"/>
        <v/>
      </c>
      <c r="E604" s="17"/>
      <c r="F604" s="60"/>
      <c r="G604" s="50"/>
      <c r="H604" s="59" t="str">
        <f t="shared" si="39"/>
        <v/>
      </c>
      <c r="I604" s="17"/>
      <c r="J604" s="17"/>
    </row>
    <row r="605" spans="1:10">
      <c r="A605" s="17">
        <f t="shared" si="36"/>
        <v>600</v>
      </c>
      <c r="B605" s="18"/>
      <c r="C605" s="36" t="str">
        <f t="shared" si="37"/>
        <v/>
      </c>
      <c r="D605" s="36" t="str">
        <f t="shared" si="38"/>
        <v/>
      </c>
      <c r="E605" s="17"/>
      <c r="F605" s="60"/>
      <c r="G605" s="50"/>
      <c r="H605" s="59" t="str">
        <f t="shared" si="39"/>
        <v/>
      </c>
      <c r="I605" s="17"/>
      <c r="J605" s="17"/>
    </row>
    <row r="606" spans="1:10">
      <c r="A606" s="17">
        <f t="shared" si="36"/>
        <v>601</v>
      </c>
      <c r="B606" s="18"/>
      <c r="C606" s="36" t="str">
        <f t="shared" si="37"/>
        <v/>
      </c>
      <c r="D606" s="36" t="str">
        <f t="shared" si="38"/>
        <v/>
      </c>
      <c r="E606" s="17"/>
      <c r="F606" s="60"/>
      <c r="G606" s="50"/>
      <c r="H606" s="59" t="str">
        <f t="shared" si="39"/>
        <v/>
      </c>
      <c r="I606" s="17"/>
      <c r="J606" s="17"/>
    </row>
    <row r="607" spans="1:10">
      <c r="A607" s="17">
        <f t="shared" si="36"/>
        <v>602</v>
      </c>
      <c r="B607" s="18"/>
      <c r="C607" s="36" t="str">
        <f t="shared" si="37"/>
        <v/>
      </c>
      <c r="D607" s="36" t="str">
        <f t="shared" si="38"/>
        <v/>
      </c>
      <c r="E607" s="17"/>
      <c r="F607" s="60"/>
      <c r="G607" s="50"/>
      <c r="H607" s="59" t="str">
        <f t="shared" si="39"/>
        <v/>
      </c>
      <c r="I607" s="17"/>
      <c r="J607" s="17"/>
    </row>
    <row r="608" spans="1:10">
      <c r="A608" s="17">
        <f t="shared" si="36"/>
        <v>603</v>
      </c>
      <c r="B608" s="18"/>
      <c r="C608" s="36" t="str">
        <f t="shared" si="37"/>
        <v/>
      </c>
      <c r="D608" s="36" t="str">
        <f t="shared" si="38"/>
        <v/>
      </c>
      <c r="E608" s="17"/>
      <c r="F608" s="60"/>
      <c r="G608" s="50"/>
      <c r="H608" s="59" t="str">
        <f t="shared" si="39"/>
        <v/>
      </c>
      <c r="I608" s="17"/>
      <c r="J608" s="17"/>
    </row>
    <row r="609" spans="1:10">
      <c r="A609" s="17">
        <f t="shared" si="36"/>
        <v>604</v>
      </c>
      <c r="B609" s="18"/>
      <c r="C609" s="36" t="str">
        <f t="shared" si="37"/>
        <v/>
      </c>
      <c r="D609" s="36" t="str">
        <f t="shared" si="38"/>
        <v/>
      </c>
      <c r="E609" s="17"/>
      <c r="F609" s="60"/>
      <c r="G609" s="50"/>
      <c r="H609" s="59" t="str">
        <f t="shared" si="39"/>
        <v/>
      </c>
      <c r="I609" s="17"/>
      <c r="J609" s="17"/>
    </row>
    <row r="610" spans="1:10">
      <c r="A610" s="17">
        <f t="shared" si="36"/>
        <v>605</v>
      </c>
      <c r="B610" s="18"/>
      <c r="C610" s="36" t="str">
        <f t="shared" si="37"/>
        <v/>
      </c>
      <c r="D610" s="36" t="str">
        <f t="shared" si="38"/>
        <v/>
      </c>
      <c r="E610" s="17"/>
      <c r="F610" s="60"/>
      <c r="G610" s="50"/>
      <c r="H610" s="59" t="str">
        <f t="shared" si="39"/>
        <v/>
      </c>
      <c r="I610" s="17"/>
      <c r="J610" s="17"/>
    </row>
    <row r="611" spans="1:10">
      <c r="A611" s="17">
        <f t="shared" si="36"/>
        <v>606</v>
      </c>
      <c r="B611" s="18"/>
      <c r="C611" s="36" t="str">
        <f t="shared" si="37"/>
        <v/>
      </c>
      <c r="D611" s="36" t="str">
        <f t="shared" si="38"/>
        <v/>
      </c>
      <c r="E611" s="17"/>
      <c r="F611" s="60"/>
      <c r="G611" s="50"/>
      <c r="H611" s="59" t="str">
        <f t="shared" si="39"/>
        <v/>
      </c>
      <c r="I611" s="17"/>
      <c r="J611" s="17"/>
    </row>
    <row r="612" spans="1:10">
      <c r="A612" s="17">
        <f t="shared" si="36"/>
        <v>607</v>
      </c>
      <c r="B612" s="18"/>
      <c r="C612" s="36" t="str">
        <f t="shared" si="37"/>
        <v/>
      </c>
      <c r="D612" s="36" t="str">
        <f t="shared" si="38"/>
        <v/>
      </c>
      <c r="E612" s="17"/>
      <c r="F612" s="60"/>
      <c r="G612" s="50"/>
      <c r="H612" s="59" t="str">
        <f t="shared" si="39"/>
        <v/>
      </c>
      <c r="I612" s="17"/>
      <c r="J612" s="17"/>
    </row>
    <row r="613" spans="1:10">
      <c r="A613" s="17">
        <f t="shared" si="36"/>
        <v>608</v>
      </c>
      <c r="B613" s="18"/>
      <c r="C613" s="36" t="str">
        <f t="shared" si="37"/>
        <v/>
      </c>
      <c r="D613" s="36" t="str">
        <f t="shared" si="38"/>
        <v/>
      </c>
      <c r="E613" s="17"/>
      <c r="F613" s="60"/>
      <c r="G613" s="50"/>
      <c r="H613" s="59" t="str">
        <f t="shared" si="39"/>
        <v/>
      </c>
      <c r="I613" s="17"/>
      <c r="J613" s="17"/>
    </row>
    <row r="614" spans="1:10">
      <c r="A614" s="17">
        <f t="shared" si="36"/>
        <v>609</v>
      </c>
      <c r="B614" s="18"/>
      <c r="C614" s="36" t="str">
        <f t="shared" si="37"/>
        <v/>
      </c>
      <c r="D614" s="36" t="str">
        <f t="shared" si="38"/>
        <v/>
      </c>
      <c r="E614" s="17"/>
      <c r="F614" s="60"/>
      <c r="G614" s="50"/>
      <c r="H614" s="59" t="str">
        <f t="shared" si="39"/>
        <v/>
      </c>
      <c r="I614" s="17"/>
      <c r="J614" s="17"/>
    </row>
    <row r="615" spans="1:10">
      <c r="A615" s="17">
        <f t="shared" si="36"/>
        <v>610</v>
      </c>
      <c r="B615" s="18"/>
      <c r="C615" s="36" t="str">
        <f t="shared" si="37"/>
        <v/>
      </c>
      <c r="D615" s="36" t="str">
        <f t="shared" si="38"/>
        <v/>
      </c>
      <c r="E615" s="17"/>
      <c r="F615" s="60"/>
      <c r="G615" s="50"/>
      <c r="H615" s="59" t="str">
        <f t="shared" si="39"/>
        <v/>
      </c>
      <c r="I615" s="17"/>
      <c r="J615" s="17"/>
    </row>
    <row r="616" spans="1:10">
      <c r="A616" s="17">
        <f t="shared" si="36"/>
        <v>611</v>
      </c>
      <c r="B616" s="18"/>
      <c r="C616" s="36" t="str">
        <f t="shared" si="37"/>
        <v/>
      </c>
      <c r="D616" s="36" t="str">
        <f t="shared" si="38"/>
        <v/>
      </c>
      <c r="E616" s="17"/>
      <c r="F616" s="60"/>
      <c r="G616" s="50"/>
      <c r="H616" s="59" t="str">
        <f t="shared" si="39"/>
        <v/>
      </c>
      <c r="I616" s="17"/>
      <c r="J616" s="17"/>
    </row>
    <row r="617" spans="1:10">
      <c r="A617" s="17">
        <f t="shared" si="36"/>
        <v>612</v>
      </c>
      <c r="B617" s="18"/>
      <c r="C617" s="36" t="str">
        <f t="shared" si="37"/>
        <v/>
      </c>
      <c r="D617" s="36" t="str">
        <f t="shared" si="38"/>
        <v/>
      </c>
      <c r="E617" s="17"/>
      <c r="F617" s="60"/>
      <c r="G617" s="50"/>
      <c r="H617" s="59" t="str">
        <f t="shared" si="39"/>
        <v/>
      </c>
      <c r="I617" s="17"/>
      <c r="J617" s="17"/>
    </row>
    <row r="618" spans="1:10">
      <c r="A618" s="17">
        <f t="shared" si="36"/>
        <v>613</v>
      </c>
      <c r="B618" s="18"/>
      <c r="C618" s="36" t="str">
        <f t="shared" si="37"/>
        <v/>
      </c>
      <c r="D618" s="36" t="str">
        <f t="shared" si="38"/>
        <v/>
      </c>
      <c r="E618" s="17"/>
      <c r="F618" s="60"/>
      <c r="G618" s="50"/>
      <c r="H618" s="59" t="str">
        <f t="shared" si="39"/>
        <v/>
      </c>
      <c r="I618" s="17"/>
      <c r="J618" s="17"/>
    </row>
    <row r="619" spans="1:10">
      <c r="A619" s="17">
        <f t="shared" si="36"/>
        <v>614</v>
      </c>
      <c r="B619" s="18"/>
      <c r="C619" s="36" t="str">
        <f t="shared" si="37"/>
        <v/>
      </c>
      <c r="D619" s="36" t="str">
        <f t="shared" si="38"/>
        <v/>
      </c>
      <c r="E619" s="17"/>
      <c r="F619" s="60"/>
      <c r="G619" s="50"/>
      <c r="H619" s="59" t="str">
        <f t="shared" si="39"/>
        <v/>
      </c>
      <c r="I619" s="17"/>
      <c r="J619" s="17"/>
    </row>
    <row r="620" spans="1:10">
      <c r="A620" s="17">
        <f t="shared" si="36"/>
        <v>615</v>
      </c>
      <c r="B620" s="18"/>
      <c r="C620" s="36" t="str">
        <f t="shared" si="37"/>
        <v/>
      </c>
      <c r="D620" s="36" t="str">
        <f t="shared" si="38"/>
        <v/>
      </c>
      <c r="E620" s="17"/>
      <c r="F620" s="60"/>
      <c r="G620" s="50"/>
      <c r="H620" s="59" t="str">
        <f t="shared" si="39"/>
        <v/>
      </c>
      <c r="I620" s="17"/>
      <c r="J620" s="17"/>
    </row>
    <row r="621" spans="1:10">
      <c r="A621" s="17">
        <f t="shared" si="36"/>
        <v>616</v>
      </c>
      <c r="B621" s="18"/>
      <c r="C621" s="36" t="str">
        <f t="shared" si="37"/>
        <v/>
      </c>
      <c r="D621" s="36" t="str">
        <f t="shared" si="38"/>
        <v/>
      </c>
      <c r="E621" s="17"/>
      <c r="F621" s="60"/>
      <c r="G621" s="50"/>
      <c r="H621" s="59" t="str">
        <f t="shared" si="39"/>
        <v/>
      </c>
      <c r="I621" s="17"/>
      <c r="J621" s="17"/>
    </row>
    <row r="622" spans="1:10">
      <c r="A622" s="17">
        <f t="shared" si="36"/>
        <v>617</v>
      </c>
      <c r="B622" s="18"/>
      <c r="C622" s="36" t="str">
        <f t="shared" si="37"/>
        <v/>
      </c>
      <c r="D622" s="36" t="str">
        <f t="shared" si="38"/>
        <v/>
      </c>
      <c r="E622" s="17"/>
      <c r="F622" s="60"/>
      <c r="G622" s="50"/>
      <c r="H622" s="59" t="str">
        <f t="shared" si="39"/>
        <v/>
      </c>
      <c r="I622" s="17"/>
      <c r="J622" s="17"/>
    </row>
    <row r="623" spans="1:10">
      <c r="A623" s="17">
        <f t="shared" si="36"/>
        <v>618</v>
      </c>
      <c r="B623" s="18"/>
      <c r="C623" s="36" t="str">
        <f t="shared" si="37"/>
        <v/>
      </c>
      <c r="D623" s="36" t="str">
        <f t="shared" si="38"/>
        <v/>
      </c>
      <c r="E623" s="17"/>
      <c r="F623" s="60"/>
      <c r="G623" s="50"/>
      <c r="H623" s="59" t="str">
        <f t="shared" si="39"/>
        <v/>
      </c>
      <c r="I623" s="17"/>
      <c r="J623" s="17"/>
    </row>
    <row r="624" spans="1:10">
      <c r="A624" s="17">
        <f t="shared" si="36"/>
        <v>619</v>
      </c>
      <c r="B624" s="18"/>
      <c r="C624" s="36" t="str">
        <f t="shared" si="37"/>
        <v/>
      </c>
      <c r="D624" s="36" t="str">
        <f t="shared" si="38"/>
        <v/>
      </c>
      <c r="E624" s="17"/>
      <c r="F624" s="60"/>
      <c r="G624" s="50"/>
      <c r="H624" s="59" t="str">
        <f t="shared" si="39"/>
        <v/>
      </c>
      <c r="I624" s="17"/>
      <c r="J624" s="17"/>
    </row>
    <row r="625" spans="1:10">
      <c r="A625" s="17">
        <f t="shared" si="36"/>
        <v>620</v>
      </c>
      <c r="B625" s="18"/>
      <c r="C625" s="36" t="str">
        <f t="shared" si="37"/>
        <v/>
      </c>
      <c r="D625" s="36" t="str">
        <f t="shared" si="38"/>
        <v/>
      </c>
      <c r="E625" s="17"/>
      <c r="F625" s="60"/>
      <c r="G625" s="50"/>
      <c r="H625" s="59" t="str">
        <f t="shared" si="39"/>
        <v/>
      </c>
      <c r="I625" s="17"/>
      <c r="J625" s="17"/>
    </row>
    <row r="626" spans="1:10">
      <c r="A626" s="17">
        <f t="shared" si="36"/>
        <v>621</v>
      </c>
      <c r="B626" s="18"/>
      <c r="C626" s="36" t="str">
        <f t="shared" si="37"/>
        <v/>
      </c>
      <c r="D626" s="36" t="str">
        <f t="shared" si="38"/>
        <v/>
      </c>
      <c r="E626" s="17"/>
      <c r="F626" s="60"/>
      <c r="G626" s="50"/>
      <c r="H626" s="59" t="str">
        <f t="shared" si="39"/>
        <v/>
      </c>
      <c r="I626" s="17"/>
      <c r="J626" s="17"/>
    </row>
    <row r="627" spans="1:10">
      <c r="A627" s="17">
        <f t="shared" si="36"/>
        <v>622</v>
      </c>
      <c r="B627" s="18"/>
      <c r="C627" s="36" t="str">
        <f t="shared" si="37"/>
        <v/>
      </c>
      <c r="D627" s="36" t="str">
        <f t="shared" si="38"/>
        <v/>
      </c>
      <c r="E627" s="17"/>
      <c r="F627" s="60"/>
      <c r="G627" s="50"/>
      <c r="H627" s="59" t="str">
        <f t="shared" si="39"/>
        <v/>
      </c>
      <c r="I627" s="17"/>
      <c r="J627" s="17"/>
    </row>
    <row r="628" spans="1:10">
      <c r="A628" s="17">
        <f t="shared" si="36"/>
        <v>623</v>
      </c>
      <c r="B628" s="18"/>
      <c r="C628" s="36" t="str">
        <f t="shared" si="37"/>
        <v/>
      </c>
      <c r="D628" s="36" t="str">
        <f t="shared" si="38"/>
        <v/>
      </c>
      <c r="E628" s="17"/>
      <c r="F628" s="60"/>
      <c r="G628" s="50"/>
      <c r="H628" s="59" t="str">
        <f t="shared" si="39"/>
        <v/>
      </c>
      <c r="I628" s="17"/>
      <c r="J628" s="17"/>
    </row>
    <row r="629" spans="1:10">
      <c r="A629" s="17">
        <f t="shared" si="36"/>
        <v>624</v>
      </c>
      <c r="B629" s="18"/>
      <c r="C629" s="36" t="str">
        <f t="shared" si="37"/>
        <v/>
      </c>
      <c r="D629" s="36" t="str">
        <f t="shared" si="38"/>
        <v/>
      </c>
      <c r="E629" s="17"/>
      <c r="F629" s="60"/>
      <c r="G629" s="50"/>
      <c r="H629" s="59" t="str">
        <f t="shared" si="39"/>
        <v/>
      </c>
      <c r="I629" s="17"/>
      <c r="J629" s="17"/>
    </row>
    <row r="630" spans="1:10">
      <c r="A630" s="17">
        <f t="shared" si="36"/>
        <v>625</v>
      </c>
      <c r="B630" s="18"/>
      <c r="C630" s="36" t="str">
        <f t="shared" si="37"/>
        <v/>
      </c>
      <c r="D630" s="36" t="str">
        <f t="shared" si="38"/>
        <v/>
      </c>
      <c r="E630" s="17"/>
      <c r="F630" s="60"/>
      <c r="G630" s="50"/>
      <c r="H630" s="59" t="str">
        <f t="shared" si="39"/>
        <v/>
      </c>
      <c r="I630" s="17"/>
      <c r="J630" s="17"/>
    </row>
    <row r="631" spans="1:10">
      <c r="A631" s="17">
        <f t="shared" si="36"/>
        <v>626</v>
      </c>
      <c r="B631" s="18"/>
      <c r="C631" s="36" t="str">
        <f t="shared" si="37"/>
        <v/>
      </c>
      <c r="D631" s="36" t="str">
        <f t="shared" si="38"/>
        <v/>
      </c>
      <c r="E631" s="17"/>
      <c r="F631" s="60"/>
      <c r="G631" s="50"/>
      <c r="H631" s="59" t="str">
        <f t="shared" si="39"/>
        <v/>
      </c>
      <c r="I631" s="17"/>
      <c r="J631" s="17"/>
    </row>
    <row r="632" spans="1:10">
      <c r="A632" s="17">
        <f t="shared" si="36"/>
        <v>627</v>
      </c>
      <c r="B632" s="18"/>
      <c r="C632" s="36" t="str">
        <f t="shared" si="37"/>
        <v/>
      </c>
      <c r="D632" s="36" t="str">
        <f t="shared" si="38"/>
        <v/>
      </c>
      <c r="E632" s="17"/>
      <c r="F632" s="60"/>
      <c r="G632" s="50"/>
      <c r="H632" s="59" t="str">
        <f t="shared" si="39"/>
        <v/>
      </c>
      <c r="I632" s="17"/>
      <c r="J632" s="17"/>
    </row>
    <row r="633" spans="1:10">
      <c r="A633" s="17">
        <f t="shared" si="36"/>
        <v>628</v>
      </c>
      <c r="B633" s="18"/>
      <c r="C633" s="36" t="str">
        <f t="shared" si="37"/>
        <v/>
      </c>
      <c r="D633" s="36" t="str">
        <f t="shared" si="38"/>
        <v/>
      </c>
      <c r="E633" s="17"/>
      <c r="F633" s="60"/>
      <c r="G633" s="50"/>
      <c r="H633" s="59" t="str">
        <f t="shared" si="39"/>
        <v/>
      </c>
      <c r="I633" s="17"/>
      <c r="J633" s="17"/>
    </row>
    <row r="634" spans="1:10">
      <c r="A634" s="17">
        <f t="shared" si="36"/>
        <v>629</v>
      </c>
      <c r="B634" s="18"/>
      <c r="C634" s="36" t="str">
        <f t="shared" si="37"/>
        <v/>
      </c>
      <c r="D634" s="36" t="str">
        <f t="shared" si="38"/>
        <v/>
      </c>
      <c r="E634" s="17"/>
      <c r="F634" s="60"/>
      <c r="G634" s="50"/>
      <c r="H634" s="59" t="str">
        <f t="shared" si="39"/>
        <v/>
      </c>
      <c r="I634" s="17"/>
      <c r="J634" s="17"/>
    </row>
    <row r="635" spans="1:10">
      <c r="A635" s="17">
        <f t="shared" si="36"/>
        <v>630</v>
      </c>
      <c r="B635" s="18"/>
      <c r="C635" s="36" t="str">
        <f t="shared" si="37"/>
        <v/>
      </c>
      <c r="D635" s="36" t="str">
        <f t="shared" si="38"/>
        <v/>
      </c>
      <c r="E635" s="17"/>
      <c r="F635" s="60"/>
      <c r="G635" s="50"/>
      <c r="H635" s="59" t="str">
        <f t="shared" si="39"/>
        <v/>
      </c>
      <c r="I635" s="17"/>
      <c r="J635" s="17"/>
    </row>
    <row r="636" spans="1:10">
      <c r="A636" s="17">
        <f t="shared" si="36"/>
        <v>631</v>
      </c>
      <c r="B636" s="18"/>
      <c r="C636" s="36" t="str">
        <f t="shared" si="37"/>
        <v/>
      </c>
      <c r="D636" s="36" t="str">
        <f t="shared" si="38"/>
        <v/>
      </c>
      <c r="E636" s="17"/>
      <c r="F636" s="60"/>
      <c r="G636" s="50"/>
      <c r="H636" s="59" t="str">
        <f t="shared" si="39"/>
        <v/>
      </c>
      <c r="I636" s="17"/>
      <c r="J636" s="17"/>
    </row>
    <row r="637" spans="1:10">
      <c r="A637" s="17">
        <f t="shared" si="36"/>
        <v>632</v>
      </c>
      <c r="B637" s="18"/>
      <c r="C637" s="36" t="str">
        <f t="shared" si="37"/>
        <v/>
      </c>
      <c r="D637" s="36" t="str">
        <f t="shared" si="38"/>
        <v/>
      </c>
      <c r="E637" s="17"/>
      <c r="F637" s="60"/>
      <c r="G637" s="50"/>
      <c r="H637" s="59" t="str">
        <f t="shared" si="39"/>
        <v/>
      </c>
      <c r="I637" s="17"/>
      <c r="J637" s="17"/>
    </row>
    <row r="638" spans="1:10">
      <c r="A638" s="17">
        <f t="shared" si="36"/>
        <v>633</v>
      </c>
      <c r="B638" s="18"/>
      <c r="C638" s="36" t="str">
        <f t="shared" si="37"/>
        <v/>
      </c>
      <c r="D638" s="36" t="str">
        <f t="shared" si="38"/>
        <v/>
      </c>
      <c r="E638" s="17"/>
      <c r="F638" s="60"/>
      <c r="G638" s="50"/>
      <c r="H638" s="59" t="str">
        <f t="shared" si="39"/>
        <v/>
      </c>
      <c r="I638" s="17"/>
      <c r="J638" s="17"/>
    </row>
    <row r="639" spans="1:10">
      <c r="A639" s="17">
        <f t="shared" si="36"/>
        <v>634</v>
      </c>
      <c r="B639" s="18"/>
      <c r="C639" s="36" t="str">
        <f t="shared" si="37"/>
        <v/>
      </c>
      <c r="D639" s="36" t="str">
        <f t="shared" si="38"/>
        <v/>
      </c>
      <c r="E639" s="17"/>
      <c r="F639" s="60"/>
      <c r="G639" s="50"/>
      <c r="H639" s="59" t="str">
        <f t="shared" si="39"/>
        <v/>
      </c>
      <c r="I639" s="17"/>
      <c r="J639" s="17"/>
    </row>
    <row r="640" spans="1:10">
      <c r="A640" s="17">
        <f t="shared" si="36"/>
        <v>635</v>
      </c>
      <c r="B640" s="18"/>
      <c r="C640" s="36" t="str">
        <f t="shared" si="37"/>
        <v/>
      </c>
      <c r="D640" s="36" t="str">
        <f t="shared" si="38"/>
        <v/>
      </c>
      <c r="E640" s="17"/>
      <c r="F640" s="60"/>
      <c r="G640" s="50"/>
      <c r="H640" s="59" t="str">
        <f t="shared" si="39"/>
        <v/>
      </c>
      <c r="I640" s="17"/>
      <c r="J640" s="17"/>
    </row>
    <row r="641" spans="1:10">
      <c r="A641" s="17">
        <f t="shared" si="36"/>
        <v>636</v>
      </c>
      <c r="B641" s="18"/>
      <c r="C641" s="36" t="str">
        <f t="shared" si="37"/>
        <v/>
      </c>
      <c r="D641" s="36" t="str">
        <f t="shared" si="38"/>
        <v/>
      </c>
      <c r="E641" s="17"/>
      <c r="F641" s="60"/>
      <c r="G641" s="50"/>
      <c r="H641" s="59" t="str">
        <f t="shared" si="39"/>
        <v/>
      </c>
      <c r="I641" s="17"/>
      <c r="J641" s="17"/>
    </row>
    <row r="642" spans="1:10">
      <c r="A642" s="17">
        <f t="shared" si="36"/>
        <v>637</v>
      </c>
      <c r="B642" s="18"/>
      <c r="C642" s="36" t="str">
        <f t="shared" si="37"/>
        <v/>
      </c>
      <c r="D642" s="36" t="str">
        <f t="shared" si="38"/>
        <v/>
      </c>
      <c r="E642" s="17"/>
      <c r="F642" s="60"/>
      <c r="G642" s="50"/>
      <c r="H642" s="59" t="str">
        <f t="shared" si="39"/>
        <v/>
      </c>
      <c r="I642" s="17"/>
      <c r="J642" s="17"/>
    </row>
    <row r="643" spans="1:10">
      <c r="A643" s="17">
        <f t="shared" si="36"/>
        <v>638</v>
      </c>
      <c r="B643" s="18"/>
      <c r="C643" s="36" t="str">
        <f t="shared" si="37"/>
        <v/>
      </c>
      <c r="D643" s="36" t="str">
        <f t="shared" si="38"/>
        <v/>
      </c>
      <c r="E643" s="17"/>
      <c r="F643" s="60"/>
      <c r="G643" s="50"/>
      <c r="H643" s="59" t="str">
        <f t="shared" si="39"/>
        <v/>
      </c>
      <c r="I643" s="17"/>
      <c r="J643" s="17"/>
    </row>
    <row r="644" spans="1:10">
      <c r="A644" s="17">
        <f t="shared" si="36"/>
        <v>639</v>
      </c>
      <c r="B644" s="18"/>
      <c r="C644" s="36" t="str">
        <f t="shared" si="37"/>
        <v/>
      </c>
      <c r="D644" s="36" t="str">
        <f t="shared" si="38"/>
        <v/>
      </c>
      <c r="E644" s="17"/>
      <c r="F644" s="60"/>
      <c r="G644" s="50"/>
      <c r="H644" s="59" t="str">
        <f t="shared" si="39"/>
        <v/>
      </c>
      <c r="I644" s="17"/>
      <c r="J644" s="17"/>
    </row>
    <row r="645" spans="1:10">
      <c r="A645" s="17">
        <f t="shared" si="36"/>
        <v>640</v>
      </c>
      <c r="B645" s="18"/>
      <c r="C645" s="36" t="str">
        <f t="shared" si="37"/>
        <v/>
      </c>
      <c r="D645" s="36" t="str">
        <f t="shared" si="38"/>
        <v/>
      </c>
      <c r="E645" s="17"/>
      <c r="F645" s="60"/>
      <c r="G645" s="50"/>
      <c r="H645" s="59" t="str">
        <f t="shared" si="39"/>
        <v/>
      </c>
      <c r="I645" s="17"/>
      <c r="J645" s="17"/>
    </row>
    <row r="646" spans="1:10">
      <c r="A646" s="17">
        <f t="shared" si="36"/>
        <v>641</v>
      </c>
      <c r="B646" s="18"/>
      <c r="C646" s="36" t="str">
        <f t="shared" si="37"/>
        <v/>
      </c>
      <c r="D646" s="36" t="str">
        <f t="shared" si="38"/>
        <v/>
      </c>
      <c r="E646" s="17"/>
      <c r="F646" s="60"/>
      <c r="G646" s="50"/>
      <c r="H646" s="59" t="str">
        <f t="shared" si="39"/>
        <v/>
      </c>
      <c r="I646" s="17"/>
      <c r="J646" s="17"/>
    </row>
    <row r="647" spans="1:10">
      <c r="A647" s="17">
        <f t="shared" ref="A647:A710" si="40">ROW(A642)</f>
        <v>642</v>
      </c>
      <c r="B647" s="18"/>
      <c r="C647" s="36" t="str">
        <f t="shared" ref="C647:C710" si="41">IF(B647=0,"",TEXT(B647,"mmmm"))</f>
        <v/>
      </c>
      <c r="D647" s="36" t="str">
        <f t="shared" ref="D647:D710" si="42">IF(B647=0,"",TEXT(B647,"yyyy"))</f>
        <v/>
      </c>
      <c r="E647" s="17"/>
      <c r="F647" s="60"/>
      <c r="G647" s="50"/>
      <c r="H647" s="59" t="str">
        <f t="shared" ref="H647:H710" si="43">IF(G647*F647=0,"",G647*F647)</f>
        <v/>
      </c>
      <c r="I647" s="17"/>
      <c r="J647" s="17"/>
    </row>
    <row r="648" spans="1:10">
      <c r="A648" s="17">
        <f t="shared" si="40"/>
        <v>643</v>
      </c>
      <c r="B648" s="18"/>
      <c r="C648" s="36" t="str">
        <f t="shared" si="41"/>
        <v/>
      </c>
      <c r="D648" s="36" t="str">
        <f t="shared" si="42"/>
        <v/>
      </c>
      <c r="E648" s="17"/>
      <c r="F648" s="60"/>
      <c r="G648" s="50"/>
      <c r="H648" s="59" t="str">
        <f t="shared" si="43"/>
        <v/>
      </c>
      <c r="I648" s="17"/>
      <c r="J648" s="17"/>
    </row>
    <row r="649" spans="1:10">
      <c r="A649" s="17">
        <f t="shared" si="40"/>
        <v>644</v>
      </c>
      <c r="B649" s="18"/>
      <c r="C649" s="36" t="str">
        <f t="shared" si="41"/>
        <v/>
      </c>
      <c r="D649" s="36" t="str">
        <f t="shared" si="42"/>
        <v/>
      </c>
      <c r="E649" s="17"/>
      <c r="F649" s="60"/>
      <c r="G649" s="50"/>
      <c r="H649" s="59" t="str">
        <f t="shared" si="43"/>
        <v/>
      </c>
      <c r="I649" s="17"/>
      <c r="J649" s="17"/>
    </row>
    <row r="650" spans="1:10">
      <c r="A650" s="17">
        <f t="shared" si="40"/>
        <v>645</v>
      </c>
      <c r="B650" s="18"/>
      <c r="C650" s="36" t="str">
        <f t="shared" si="41"/>
        <v/>
      </c>
      <c r="D650" s="36" t="str">
        <f t="shared" si="42"/>
        <v/>
      </c>
      <c r="E650" s="17"/>
      <c r="F650" s="60"/>
      <c r="G650" s="50"/>
      <c r="H650" s="59" t="str">
        <f t="shared" si="43"/>
        <v/>
      </c>
      <c r="I650" s="17"/>
      <c r="J650" s="17"/>
    </row>
    <row r="651" spans="1:10">
      <c r="A651" s="17">
        <f t="shared" si="40"/>
        <v>646</v>
      </c>
      <c r="B651" s="18"/>
      <c r="C651" s="36" t="str">
        <f t="shared" si="41"/>
        <v/>
      </c>
      <c r="D651" s="36" t="str">
        <f t="shared" si="42"/>
        <v/>
      </c>
      <c r="E651" s="17"/>
      <c r="F651" s="60"/>
      <c r="G651" s="50"/>
      <c r="H651" s="59" t="str">
        <f t="shared" si="43"/>
        <v/>
      </c>
      <c r="I651" s="17"/>
      <c r="J651" s="17"/>
    </row>
    <row r="652" spans="1:10">
      <c r="A652" s="17">
        <f t="shared" si="40"/>
        <v>647</v>
      </c>
      <c r="B652" s="18"/>
      <c r="C652" s="36" t="str">
        <f t="shared" si="41"/>
        <v/>
      </c>
      <c r="D652" s="36" t="str">
        <f t="shared" si="42"/>
        <v/>
      </c>
      <c r="E652" s="17"/>
      <c r="F652" s="60"/>
      <c r="G652" s="50"/>
      <c r="H652" s="59" t="str">
        <f t="shared" si="43"/>
        <v/>
      </c>
      <c r="I652" s="17"/>
      <c r="J652" s="17"/>
    </row>
    <row r="653" spans="1:10">
      <c r="A653" s="17">
        <f t="shared" si="40"/>
        <v>648</v>
      </c>
      <c r="B653" s="18"/>
      <c r="C653" s="36" t="str">
        <f t="shared" si="41"/>
        <v/>
      </c>
      <c r="D653" s="36" t="str">
        <f t="shared" si="42"/>
        <v/>
      </c>
      <c r="E653" s="17"/>
      <c r="F653" s="60"/>
      <c r="G653" s="50"/>
      <c r="H653" s="59" t="str">
        <f t="shared" si="43"/>
        <v/>
      </c>
      <c r="I653" s="17"/>
      <c r="J653" s="17"/>
    </row>
    <row r="654" spans="1:10">
      <c r="A654" s="17">
        <f t="shared" si="40"/>
        <v>649</v>
      </c>
      <c r="B654" s="18"/>
      <c r="C654" s="36" t="str">
        <f t="shared" si="41"/>
        <v/>
      </c>
      <c r="D654" s="36" t="str">
        <f t="shared" si="42"/>
        <v/>
      </c>
      <c r="E654" s="17"/>
      <c r="F654" s="60"/>
      <c r="G654" s="50"/>
      <c r="H654" s="59" t="str">
        <f t="shared" si="43"/>
        <v/>
      </c>
      <c r="I654" s="17"/>
      <c r="J654" s="17"/>
    </row>
    <row r="655" spans="1:10">
      <c r="A655" s="17">
        <f t="shared" si="40"/>
        <v>650</v>
      </c>
      <c r="B655" s="18"/>
      <c r="C655" s="36" t="str">
        <f t="shared" si="41"/>
        <v/>
      </c>
      <c r="D655" s="36" t="str">
        <f t="shared" si="42"/>
        <v/>
      </c>
      <c r="E655" s="17"/>
      <c r="F655" s="60"/>
      <c r="G655" s="50"/>
      <c r="H655" s="59" t="str">
        <f t="shared" si="43"/>
        <v/>
      </c>
      <c r="I655" s="17"/>
      <c r="J655" s="17"/>
    </row>
    <row r="656" spans="1:10">
      <c r="A656" s="17">
        <f t="shared" si="40"/>
        <v>651</v>
      </c>
      <c r="B656" s="18"/>
      <c r="C656" s="36" t="str">
        <f t="shared" si="41"/>
        <v/>
      </c>
      <c r="D656" s="36" t="str">
        <f t="shared" si="42"/>
        <v/>
      </c>
      <c r="E656" s="17"/>
      <c r="F656" s="60"/>
      <c r="G656" s="50"/>
      <c r="H656" s="59" t="str">
        <f t="shared" si="43"/>
        <v/>
      </c>
      <c r="I656" s="17"/>
      <c r="J656" s="17"/>
    </row>
    <row r="657" spans="1:10">
      <c r="A657" s="17">
        <f t="shared" si="40"/>
        <v>652</v>
      </c>
      <c r="B657" s="18"/>
      <c r="C657" s="36" t="str">
        <f t="shared" si="41"/>
        <v/>
      </c>
      <c r="D657" s="36" t="str">
        <f t="shared" si="42"/>
        <v/>
      </c>
      <c r="E657" s="17"/>
      <c r="F657" s="60"/>
      <c r="G657" s="50"/>
      <c r="H657" s="59" t="str">
        <f t="shared" si="43"/>
        <v/>
      </c>
      <c r="I657" s="17"/>
      <c r="J657" s="17"/>
    </row>
    <row r="658" spans="1:10">
      <c r="A658" s="17">
        <f t="shared" si="40"/>
        <v>653</v>
      </c>
      <c r="B658" s="18"/>
      <c r="C658" s="36" t="str">
        <f t="shared" si="41"/>
        <v/>
      </c>
      <c r="D658" s="36" t="str">
        <f t="shared" si="42"/>
        <v/>
      </c>
      <c r="E658" s="17"/>
      <c r="F658" s="60"/>
      <c r="G658" s="50"/>
      <c r="H658" s="59" t="str">
        <f t="shared" si="43"/>
        <v/>
      </c>
      <c r="I658" s="17"/>
      <c r="J658" s="17"/>
    </row>
    <row r="659" spans="1:10">
      <c r="A659" s="17">
        <f t="shared" si="40"/>
        <v>654</v>
      </c>
      <c r="B659" s="18"/>
      <c r="C659" s="36" t="str">
        <f t="shared" si="41"/>
        <v/>
      </c>
      <c r="D659" s="36" t="str">
        <f t="shared" si="42"/>
        <v/>
      </c>
      <c r="E659" s="17"/>
      <c r="F659" s="60"/>
      <c r="G659" s="50"/>
      <c r="H659" s="59" t="str">
        <f t="shared" si="43"/>
        <v/>
      </c>
      <c r="I659" s="17"/>
      <c r="J659" s="17"/>
    </row>
    <row r="660" spans="1:10">
      <c r="A660" s="17">
        <f t="shared" si="40"/>
        <v>655</v>
      </c>
      <c r="B660" s="18"/>
      <c r="C660" s="36" t="str">
        <f t="shared" si="41"/>
        <v/>
      </c>
      <c r="D660" s="36" t="str">
        <f t="shared" si="42"/>
        <v/>
      </c>
      <c r="E660" s="17"/>
      <c r="F660" s="60"/>
      <c r="G660" s="50"/>
      <c r="H660" s="59" t="str">
        <f t="shared" si="43"/>
        <v/>
      </c>
      <c r="I660" s="17"/>
      <c r="J660" s="17"/>
    </row>
    <row r="661" spans="1:10">
      <c r="A661" s="17">
        <f t="shared" si="40"/>
        <v>656</v>
      </c>
      <c r="B661" s="18"/>
      <c r="C661" s="36" t="str">
        <f t="shared" si="41"/>
        <v/>
      </c>
      <c r="D661" s="36" t="str">
        <f t="shared" si="42"/>
        <v/>
      </c>
      <c r="E661" s="17"/>
      <c r="F661" s="60"/>
      <c r="G661" s="50"/>
      <c r="H661" s="59" t="str">
        <f t="shared" si="43"/>
        <v/>
      </c>
      <c r="I661" s="17"/>
      <c r="J661" s="17"/>
    </row>
    <row r="662" spans="1:10">
      <c r="A662" s="17">
        <f t="shared" si="40"/>
        <v>657</v>
      </c>
      <c r="B662" s="18"/>
      <c r="C662" s="36" t="str">
        <f t="shared" si="41"/>
        <v/>
      </c>
      <c r="D662" s="36" t="str">
        <f t="shared" si="42"/>
        <v/>
      </c>
      <c r="E662" s="17"/>
      <c r="F662" s="60"/>
      <c r="G662" s="50"/>
      <c r="H662" s="59" t="str">
        <f t="shared" si="43"/>
        <v/>
      </c>
      <c r="I662" s="17"/>
      <c r="J662" s="17"/>
    </row>
    <row r="663" spans="1:10">
      <c r="A663" s="17">
        <f t="shared" si="40"/>
        <v>658</v>
      </c>
      <c r="B663" s="18"/>
      <c r="C663" s="36" t="str">
        <f t="shared" si="41"/>
        <v/>
      </c>
      <c r="D663" s="36" t="str">
        <f t="shared" si="42"/>
        <v/>
      </c>
      <c r="E663" s="17"/>
      <c r="F663" s="60"/>
      <c r="G663" s="50"/>
      <c r="H663" s="59" t="str">
        <f t="shared" si="43"/>
        <v/>
      </c>
      <c r="I663" s="17"/>
      <c r="J663" s="17"/>
    </row>
    <row r="664" spans="1:10">
      <c r="A664" s="17">
        <f t="shared" si="40"/>
        <v>659</v>
      </c>
      <c r="B664" s="18"/>
      <c r="C664" s="36" t="str">
        <f t="shared" si="41"/>
        <v/>
      </c>
      <c r="D664" s="36" t="str">
        <f t="shared" si="42"/>
        <v/>
      </c>
      <c r="E664" s="17"/>
      <c r="F664" s="60"/>
      <c r="G664" s="50"/>
      <c r="H664" s="59" t="str">
        <f t="shared" si="43"/>
        <v/>
      </c>
      <c r="I664" s="17"/>
      <c r="J664" s="17"/>
    </row>
    <row r="665" spans="1:10">
      <c r="A665" s="17">
        <f t="shared" si="40"/>
        <v>660</v>
      </c>
      <c r="B665" s="18"/>
      <c r="C665" s="36" t="str">
        <f t="shared" si="41"/>
        <v/>
      </c>
      <c r="D665" s="36" t="str">
        <f t="shared" si="42"/>
        <v/>
      </c>
      <c r="E665" s="17"/>
      <c r="F665" s="60"/>
      <c r="G665" s="50"/>
      <c r="H665" s="59" t="str">
        <f t="shared" si="43"/>
        <v/>
      </c>
      <c r="I665" s="17"/>
      <c r="J665" s="17"/>
    </row>
    <row r="666" spans="1:10">
      <c r="A666" s="17">
        <f t="shared" si="40"/>
        <v>661</v>
      </c>
      <c r="B666" s="18"/>
      <c r="C666" s="36" t="str">
        <f t="shared" si="41"/>
        <v/>
      </c>
      <c r="D666" s="36" t="str">
        <f t="shared" si="42"/>
        <v/>
      </c>
      <c r="E666" s="17"/>
      <c r="F666" s="60"/>
      <c r="G666" s="50"/>
      <c r="H666" s="59" t="str">
        <f t="shared" si="43"/>
        <v/>
      </c>
      <c r="I666" s="17"/>
      <c r="J666" s="17"/>
    </row>
    <row r="667" spans="1:10">
      <c r="A667" s="17">
        <f t="shared" si="40"/>
        <v>662</v>
      </c>
      <c r="B667" s="18"/>
      <c r="C667" s="36" t="str">
        <f t="shared" si="41"/>
        <v/>
      </c>
      <c r="D667" s="36" t="str">
        <f t="shared" si="42"/>
        <v/>
      </c>
      <c r="E667" s="17"/>
      <c r="F667" s="60"/>
      <c r="G667" s="50"/>
      <c r="H667" s="59" t="str">
        <f t="shared" si="43"/>
        <v/>
      </c>
      <c r="I667" s="17"/>
      <c r="J667" s="17"/>
    </row>
    <row r="668" spans="1:10">
      <c r="A668" s="17">
        <f t="shared" si="40"/>
        <v>663</v>
      </c>
      <c r="B668" s="18"/>
      <c r="C668" s="36" t="str">
        <f t="shared" si="41"/>
        <v/>
      </c>
      <c r="D668" s="36" t="str">
        <f t="shared" si="42"/>
        <v/>
      </c>
      <c r="E668" s="17"/>
      <c r="F668" s="60"/>
      <c r="G668" s="50"/>
      <c r="H668" s="59" t="str">
        <f t="shared" si="43"/>
        <v/>
      </c>
      <c r="I668" s="17"/>
      <c r="J668" s="17"/>
    </row>
    <row r="669" spans="1:10">
      <c r="A669" s="17">
        <f t="shared" si="40"/>
        <v>664</v>
      </c>
      <c r="B669" s="18"/>
      <c r="C669" s="36" t="str">
        <f t="shared" si="41"/>
        <v/>
      </c>
      <c r="D669" s="36" t="str">
        <f t="shared" si="42"/>
        <v/>
      </c>
      <c r="E669" s="17"/>
      <c r="F669" s="60"/>
      <c r="G669" s="50"/>
      <c r="H669" s="59" t="str">
        <f t="shared" si="43"/>
        <v/>
      </c>
      <c r="I669" s="17"/>
      <c r="J669" s="17"/>
    </row>
    <row r="670" spans="1:10">
      <c r="A670" s="17">
        <f t="shared" si="40"/>
        <v>665</v>
      </c>
      <c r="B670" s="18"/>
      <c r="C670" s="36" t="str">
        <f t="shared" si="41"/>
        <v/>
      </c>
      <c r="D670" s="36" t="str">
        <f t="shared" si="42"/>
        <v/>
      </c>
      <c r="E670" s="17"/>
      <c r="F670" s="60"/>
      <c r="G670" s="50"/>
      <c r="H670" s="59" t="str">
        <f t="shared" si="43"/>
        <v/>
      </c>
      <c r="I670" s="17"/>
      <c r="J670" s="17"/>
    </row>
    <row r="671" spans="1:10">
      <c r="A671" s="17">
        <f t="shared" si="40"/>
        <v>666</v>
      </c>
      <c r="B671" s="18"/>
      <c r="C671" s="36" t="str">
        <f t="shared" si="41"/>
        <v/>
      </c>
      <c r="D671" s="36" t="str">
        <f t="shared" si="42"/>
        <v/>
      </c>
      <c r="E671" s="17"/>
      <c r="F671" s="60"/>
      <c r="G671" s="50"/>
      <c r="H671" s="59" t="str">
        <f t="shared" si="43"/>
        <v/>
      </c>
      <c r="I671" s="17"/>
      <c r="J671" s="17"/>
    </row>
    <row r="672" spans="1:10">
      <c r="A672" s="17">
        <f t="shared" si="40"/>
        <v>667</v>
      </c>
      <c r="B672" s="18"/>
      <c r="C672" s="36" t="str">
        <f t="shared" si="41"/>
        <v/>
      </c>
      <c r="D672" s="36" t="str">
        <f t="shared" si="42"/>
        <v/>
      </c>
      <c r="E672" s="17"/>
      <c r="F672" s="60"/>
      <c r="G672" s="50"/>
      <c r="H672" s="59" t="str">
        <f t="shared" si="43"/>
        <v/>
      </c>
      <c r="I672" s="17"/>
      <c r="J672" s="17"/>
    </row>
    <row r="673" spans="1:10">
      <c r="A673" s="17">
        <f t="shared" si="40"/>
        <v>668</v>
      </c>
      <c r="B673" s="18"/>
      <c r="C673" s="36" t="str">
        <f t="shared" si="41"/>
        <v/>
      </c>
      <c r="D673" s="36" t="str">
        <f t="shared" si="42"/>
        <v/>
      </c>
      <c r="E673" s="17"/>
      <c r="F673" s="60"/>
      <c r="G673" s="50"/>
      <c r="H673" s="59" t="str">
        <f t="shared" si="43"/>
        <v/>
      </c>
      <c r="I673" s="17"/>
      <c r="J673" s="17"/>
    </row>
    <row r="674" spans="1:10">
      <c r="A674" s="17">
        <f t="shared" si="40"/>
        <v>669</v>
      </c>
      <c r="B674" s="18"/>
      <c r="C674" s="36" t="str">
        <f t="shared" si="41"/>
        <v/>
      </c>
      <c r="D674" s="36" t="str">
        <f t="shared" si="42"/>
        <v/>
      </c>
      <c r="E674" s="17"/>
      <c r="F674" s="60"/>
      <c r="G674" s="50"/>
      <c r="H674" s="59" t="str">
        <f t="shared" si="43"/>
        <v/>
      </c>
      <c r="I674" s="17"/>
      <c r="J674" s="17"/>
    </row>
    <row r="675" spans="1:10">
      <c r="A675" s="17">
        <f t="shared" si="40"/>
        <v>670</v>
      </c>
      <c r="B675" s="18"/>
      <c r="C675" s="36" t="str">
        <f t="shared" si="41"/>
        <v/>
      </c>
      <c r="D675" s="36" t="str">
        <f t="shared" si="42"/>
        <v/>
      </c>
      <c r="E675" s="17"/>
      <c r="F675" s="60"/>
      <c r="G675" s="50"/>
      <c r="H675" s="59" t="str">
        <f t="shared" si="43"/>
        <v/>
      </c>
      <c r="I675" s="17"/>
      <c r="J675" s="17"/>
    </row>
    <row r="676" spans="1:10">
      <c r="A676" s="17">
        <f t="shared" si="40"/>
        <v>671</v>
      </c>
      <c r="B676" s="18"/>
      <c r="C676" s="36" t="str">
        <f t="shared" si="41"/>
        <v/>
      </c>
      <c r="D676" s="36" t="str">
        <f t="shared" si="42"/>
        <v/>
      </c>
      <c r="E676" s="17"/>
      <c r="F676" s="60"/>
      <c r="G676" s="50"/>
      <c r="H676" s="59" t="str">
        <f t="shared" si="43"/>
        <v/>
      </c>
      <c r="I676" s="17"/>
      <c r="J676" s="17"/>
    </row>
    <row r="677" spans="1:10">
      <c r="A677" s="17">
        <f t="shared" si="40"/>
        <v>672</v>
      </c>
      <c r="B677" s="18"/>
      <c r="C677" s="36" t="str">
        <f t="shared" si="41"/>
        <v/>
      </c>
      <c r="D677" s="36" t="str">
        <f t="shared" si="42"/>
        <v/>
      </c>
      <c r="E677" s="17"/>
      <c r="F677" s="60"/>
      <c r="G677" s="50"/>
      <c r="H677" s="59" t="str">
        <f t="shared" si="43"/>
        <v/>
      </c>
      <c r="I677" s="17"/>
      <c r="J677" s="17"/>
    </row>
    <row r="678" spans="1:10">
      <c r="A678" s="17">
        <f t="shared" si="40"/>
        <v>673</v>
      </c>
      <c r="B678" s="18"/>
      <c r="C678" s="36" t="str">
        <f t="shared" si="41"/>
        <v/>
      </c>
      <c r="D678" s="36" t="str">
        <f t="shared" si="42"/>
        <v/>
      </c>
      <c r="E678" s="17"/>
      <c r="F678" s="60"/>
      <c r="G678" s="50"/>
      <c r="H678" s="59" t="str">
        <f t="shared" si="43"/>
        <v/>
      </c>
      <c r="I678" s="17"/>
      <c r="J678" s="17"/>
    </row>
    <row r="679" spans="1:10">
      <c r="A679" s="17">
        <f t="shared" si="40"/>
        <v>674</v>
      </c>
      <c r="B679" s="18"/>
      <c r="C679" s="36" t="str">
        <f t="shared" si="41"/>
        <v/>
      </c>
      <c r="D679" s="36" t="str">
        <f t="shared" si="42"/>
        <v/>
      </c>
      <c r="E679" s="17"/>
      <c r="F679" s="60"/>
      <c r="G679" s="50"/>
      <c r="H679" s="59" t="str">
        <f t="shared" si="43"/>
        <v/>
      </c>
      <c r="I679" s="17"/>
      <c r="J679" s="17"/>
    </row>
    <row r="680" spans="1:10">
      <c r="A680" s="17">
        <f t="shared" si="40"/>
        <v>675</v>
      </c>
      <c r="B680" s="18"/>
      <c r="C680" s="36" t="str">
        <f t="shared" si="41"/>
        <v/>
      </c>
      <c r="D680" s="36" t="str">
        <f t="shared" si="42"/>
        <v/>
      </c>
      <c r="E680" s="17"/>
      <c r="F680" s="60"/>
      <c r="G680" s="50"/>
      <c r="H680" s="59" t="str">
        <f t="shared" si="43"/>
        <v/>
      </c>
      <c r="I680" s="17"/>
      <c r="J680" s="17"/>
    </row>
    <row r="681" spans="1:10">
      <c r="A681" s="17">
        <f t="shared" si="40"/>
        <v>676</v>
      </c>
      <c r="B681" s="18"/>
      <c r="C681" s="36" t="str">
        <f t="shared" si="41"/>
        <v/>
      </c>
      <c r="D681" s="36" t="str">
        <f t="shared" si="42"/>
        <v/>
      </c>
      <c r="E681" s="17"/>
      <c r="F681" s="60"/>
      <c r="G681" s="50"/>
      <c r="H681" s="59" t="str">
        <f t="shared" si="43"/>
        <v/>
      </c>
      <c r="I681" s="17"/>
      <c r="J681" s="17"/>
    </row>
    <row r="682" spans="1:10">
      <c r="A682" s="17">
        <f t="shared" si="40"/>
        <v>677</v>
      </c>
      <c r="B682" s="18"/>
      <c r="C682" s="36" t="str">
        <f t="shared" si="41"/>
        <v/>
      </c>
      <c r="D682" s="36" t="str">
        <f t="shared" si="42"/>
        <v/>
      </c>
      <c r="E682" s="17"/>
      <c r="F682" s="60"/>
      <c r="G682" s="50"/>
      <c r="H682" s="59" t="str">
        <f t="shared" si="43"/>
        <v/>
      </c>
      <c r="I682" s="17"/>
      <c r="J682" s="17"/>
    </row>
    <row r="683" spans="1:10">
      <c r="A683" s="17">
        <f t="shared" si="40"/>
        <v>678</v>
      </c>
      <c r="B683" s="18"/>
      <c r="C683" s="36" t="str">
        <f t="shared" si="41"/>
        <v/>
      </c>
      <c r="D683" s="36" t="str">
        <f t="shared" si="42"/>
        <v/>
      </c>
      <c r="E683" s="17"/>
      <c r="F683" s="60"/>
      <c r="G683" s="50"/>
      <c r="H683" s="59" t="str">
        <f t="shared" si="43"/>
        <v/>
      </c>
      <c r="I683" s="17"/>
      <c r="J683" s="17"/>
    </row>
    <row r="684" spans="1:10">
      <c r="A684" s="17">
        <f t="shared" si="40"/>
        <v>679</v>
      </c>
      <c r="B684" s="18"/>
      <c r="C684" s="36" t="str">
        <f t="shared" si="41"/>
        <v/>
      </c>
      <c r="D684" s="36" t="str">
        <f t="shared" si="42"/>
        <v/>
      </c>
      <c r="E684" s="17"/>
      <c r="F684" s="60"/>
      <c r="G684" s="50"/>
      <c r="H684" s="59" t="str">
        <f t="shared" si="43"/>
        <v/>
      </c>
      <c r="I684" s="17"/>
      <c r="J684" s="17"/>
    </row>
    <row r="685" spans="1:10">
      <c r="A685" s="17">
        <f t="shared" si="40"/>
        <v>680</v>
      </c>
      <c r="B685" s="18"/>
      <c r="C685" s="36" t="str">
        <f t="shared" si="41"/>
        <v/>
      </c>
      <c r="D685" s="36" t="str">
        <f t="shared" si="42"/>
        <v/>
      </c>
      <c r="E685" s="17"/>
      <c r="F685" s="60"/>
      <c r="G685" s="50"/>
      <c r="H685" s="59" t="str">
        <f t="shared" si="43"/>
        <v/>
      </c>
      <c r="I685" s="17"/>
      <c r="J685" s="17"/>
    </row>
    <row r="686" spans="1:10">
      <c r="A686" s="17">
        <f t="shared" si="40"/>
        <v>681</v>
      </c>
      <c r="B686" s="18"/>
      <c r="C686" s="36" t="str">
        <f t="shared" si="41"/>
        <v/>
      </c>
      <c r="D686" s="36" t="str">
        <f t="shared" si="42"/>
        <v/>
      </c>
      <c r="E686" s="17"/>
      <c r="F686" s="60"/>
      <c r="G686" s="50"/>
      <c r="H686" s="59" t="str">
        <f t="shared" si="43"/>
        <v/>
      </c>
      <c r="I686" s="17"/>
      <c r="J686" s="17"/>
    </row>
    <row r="687" spans="1:10">
      <c r="A687" s="17">
        <f t="shared" si="40"/>
        <v>682</v>
      </c>
      <c r="B687" s="18"/>
      <c r="C687" s="36" t="str">
        <f t="shared" si="41"/>
        <v/>
      </c>
      <c r="D687" s="36" t="str">
        <f t="shared" si="42"/>
        <v/>
      </c>
      <c r="E687" s="17"/>
      <c r="F687" s="60"/>
      <c r="G687" s="50"/>
      <c r="H687" s="59" t="str">
        <f t="shared" si="43"/>
        <v/>
      </c>
      <c r="I687" s="17"/>
      <c r="J687" s="17"/>
    </row>
    <row r="688" spans="1:10">
      <c r="A688" s="17">
        <f t="shared" si="40"/>
        <v>683</v>
      </c>
      <c r="B688" s="18"/>
      <c r="C688" s="36" t="str">
        <f t="shared" si="41"/>
        <v/>
      </c>
      <c r="D688" s="36" t="str">
        <f t="shared" si="42"/>
        <v/>
      </c>
      <c r="E688" s="17"/>
      <c r="F688" s="60"/>
      <c r="G688" s="50"/>
      <c r="H688" s="59" t="str">
        <f t="shared" si="43"/>
        <v/>
      </c>
      <c r="I688" s="17"/>
      <c r="J688" s="17"/>
    </row>
    <row r="689" spans="1:10">
      <c r="A689" s="17">
        <f t="shared" si="40"/>
        <v>684</v>
      </c>
      <c r="B689" s="18"/>
      <c r="C689" s="36" t="str">
        <f t="shared" si="41"/>
        <v/>
      </c>
      <c r="D689" s="36" t="str">
        <f t="shared" si="42"/>
        <v/>
      </c>
      <c r="E689" s="17"/>
      <c r="F689" s="60"/>
      <c r="G689" s="50"/>
      <c r="H689" s="59" t="str">
        <f t="shared" si="43"/>
        <v/>
      </c>
      <c r="I689" s="17"/>
      <c r="J689" s="17"/>
    </row>
    <row r="690" spans="1:10">
      <c r="A690" s="17">
        <f t="shared" si="40"/>
        <v>685</v>
      </c>
      <c r="B690" s="18"/>
      <c r="C690" s="36" t="str">
        <f t="shared" si="41"/>
        <v/>
      </c>
      <c r="D690" s="36" t="str">
        <f t="shared" si="42"/>
        <v/>
      </c>
      <c r="E690" s="17"/>
      <c r="F690" s="60"/>
      <c r="G690" s="50"/>
      <c r="H690" s="59" t="str">
        <f t="shared" si="43"/>
        <v/>
      </c>
      <c r="I690" s="17"/>
      <c r="J690" s="17"/>
    </row>
    <row r="691" spans="1:10">
      <c r="A691" s="17">
        <f t="shared" si="40"/>
        <v>686</v>
      </c>
      <c r="B691" s="18"/>
      <c r="C691" s="36" t="str">
        <f t="shared" si="41"/>
        <v/>
      </c>
      <c r="D691" s="36" t="str">
        <f t="shared" si="42"/>
        <v/>
      </c>
      <c r="E691" s="17"/>
      <c r="F691" s="60"/>
      <c r="G691" s="50"/>
      <c r="H691" s="59" t="str">
        <f t="shared" si="43"/>
        <v/>
      </c>
      <c r="I691" s="17"/>
      <c r="J691" s="17"/>
    </row>
    <row r="692" spans="1:10">
      <c r="A692" s="17">
        <f t="shared" si="40"/>
        <v>687</v>
      </c>
      <c r="B692" s="18"/>
      <c r="C692" s="36" t="str">
        <f t="shared" si="41"/>
        <v/>
      </c>
      <c r="D692" s="36" t="str">
        <f t="shared" si="42"/>
        <v/>
      </c>
      <c r="E692" s="17"/>
      <c r="F692" s="60"/>
      <c r="G692" s="50"/>
      <c r="H692" s="59" t="str">
        <f t="shared" si="43"/>
        <v/>
      </c>
      <c r="I692" s="17"/>
      <c r="J692" s="17"/>
    </row>
    <row r="693" spans="1:10">
      <c r="A693" s="17">
        <f t="shared" si="40"/>
        <v>688</v>
      </c>
      <c r="B693" s="18"/>
      <c r="C693" s="36" t="str">
        <f t="shared" si="41"/>
        <v/>
      </c>
      <c r="D693" s="36" t="str">
        <f t="shared" si="42"/>
        <v/>
      </c>
      <c r="E693" s="17"/>
      <c r="F693" s="60"/>
      <c r="G693" s="50"/>
      <c r="H693" s="59" t="str">
        <f t="shared" si="43"/>
        <v/>
      </c>
      <c r="I693" s="17"/>
      <c r="J693" s="17"/>
    </row>
    <row r="694" spans="1:10">
      <c r="A694" s="17">
        <f t="shared" si="40"/>
        <v>689</v>
      </c>
      <c r="B694" s="18"/>
      <c r="C694" s="36" t="str">
        <f t="shared" si="41"/>
        <v/>
      </c>
      <c r="D694" s="36" t="str">
        <f t="shared" si="42"/>
        <v/>
      </c>
      <c r="E694" s="17"/>
      <c r="F694" s="60"/>
      <c r="G694" s="50"/>
      <c r="H694" s="59" t="str">
        <f t="shared" si="43"/>
        <v/>
      </c>
      <c r="I694" s="17"/>
      <c r="J694" s="17"/>
    </row>
    <row r="695" spans="1:10">
      <c r="A695" s="17">
        <f t="shared" si="40"/>
        <v>690</v>
      </c>
      <c r="B695" s="18"/>
      <c r="C695" s="36" t="str">
        <f t="shared" si="41"/>
        <v/>
      </c>
      <c r="D695" s="36" t="str">
        <f t="shared" si="42"/>
        <v/>
      </c>
      <c r="E695" s="17"/>
      <c r="F695" s="60"/>
      <c r="G695" s="50"/>
      <c r="H695" s="59" t="str">
        <f t="shared" si="43"/>
        <v/>
      </c>
      <c r="I695" s="17"/>
      <c r="J695" s="17"/>
    </row>
    <row r="696" spans="1:10">
      <c r="A696" s="17">
        <f t="shared" si="40"/>
        <v>691</v>
      </c>
      <c r="B696" s="18"/>
      <c r="C696" s="36" t="str">
        <f t="shared" si="41"/>
        <v/>
      </c>
      <c r="D696" s="36" t="str">
        <f t="shared" si="42"/>
        <v/>
      </c>
      <c r="E696" s="17"/>
      <c r="F696" s="60"/>
      <c r="G696" s="50"/>
      <c r="H696" s="59" t="str">
        <f t="shared" si="43"/>
        <v/>
      </c>
      <c r="I696" s="17"/>
      <c r="J696" s="17"/>
    </row>
    <row r="697" spans="1:10">
      <c r="A697" s="17">
        <f t="shared" si="40"/>
        <v>692</v>
      </c>
      <c r="B697" s="18"/>
      <c r="C697" s="36" t="str">
        <f t="shared" si="41"/>
        <v/>
      </c>
      <c r="D697" s="36" t="str">
        <f t="shared" si="42"/>
        <v/>
      </c>
      <c r="E697" s="17"/>
      <c r="F697" s="60"/>
      <c r="G697" s="50"/>
      <c r="H697" s="59" t="str">
        <f t="shared" si="43"/>
        <v/>
      </c>
      <c r="I697" s="17"/>
      <c r="J697" s="17"/>
    </row>
    <row r="698" spans="1:10">
      <c r="A698" s="17">
        <f t="shared" si="40"/>
        <v>693</v>
      </c>
      <c r="B698" s="18"/>
      <c r="C698" s="36" t="str">
        <f t="shared" si="41"/>
        <v/>
      </c>
      <c r="D698" s="36" t="str">
        <f t="shared" si="42"/>
        <v/>
      </c>
      <c r="E698" s="17"/>
      <c r="F698" s="60"/>
      <c r="G698" s="50"/>
      <c r="H698" s="59" t="str">
        <f t="shared" si="43"/>
        <v/>
      </c>
      <c r="I698" s="17"/>
      <c r="J698" s="17"/>
    </row>
    <row r="699" spans="1:10">
      <c r="A699" s="17">
        <f t="shared" si="40"/>
        <v>694</v>
      </c>
      <c r="B699" s="18"/>
      <c r="C699" s="36" t="str">
        <f t="shared" si="41"/>
        <v/>
      </c>
      <c r="D699" s="36" t="str">
        <f t="shared" si="42"/>
        <v/>
      </c>
      <c r="E699" s="17"/>
      <c r="F699" s="60"/>
      <c r="G699" s="50"/>
      <c r="H699" s="59" t="str">
        <f t="shared" si="43"/>
        <v/>
      </c>
      <c r="I699" s="17"/>
      <c r="J699" s="17"/>
    </row>
    <row r="700" spans="1:10">
      <c r="A700" s="17">
        <f t="shared" si="40"/>
        <v>695</v>
      </c>
      <c r="B700" s="18"/>
      <c r="C700" s="36" t="str">
        <f t="shared" si="41"/>
        <v/>
      </c>
      <c r="D700" s="36" t="str">
        <f t="shared" si="42"/>
        <v/>
      </c>
      <c r="E700" s="17"/>
      <c r="F700" s="60"/>
      <c r="G700" s="50"/>
      <c r="H700" s="59" t="str">
        <f t="shared" si="43"/>
        <v/>
      </c>
      <c r="I700" s="17"/>
      <c r="J700" s="17"/>
    </row>
    <row r="701" spans="1:10">
      <c r="A701" s="17">
        <f t="shared" si="40"/>
        <v>696</v>
      </c>
      <c r="B701" s="18"/>
      <c r="C701" s="36" t="str">
        <f t="shared" si="41"/>
        <v/>
      </c>
      <c r="D701" s="36" t="str">
        <f t="shared" si="42"/>
        <v/>
      </c>
      <c r="E701" s="17"/>
      <c r="F701" s="60"/>
      <c r="G701" s="50"/>
      <c r="H701" s="59" t="str">
        <f t="shared" si="43"/>
        <v/>
      </c>
      <c r="I701" s="17"/>
      <c r="J701" s="17"/>
    </row>
    <row r="702" spans="1:10">
      <c r="A702" s="17">
        <f t="shared" si="40"/>
        <v>697</v>
      </c>
      <c r="B702" s="18"/>
      <c r="C702" s="36" t="str">
        <f t="shared" si="41"/>
        <v/>
      </c>
      <c r="D702" s="36" t="str">
        <f t="shared" si="42"/>
        <v/>
      </c>
      <c r="E702" s="17"/>
      <c r="F702" s="60"/>
      <c r="G702" s="50"/>
      <c r="H702" s="59" t="str">
        <f t="shared" si="43"/>
        <v/>
      </c>
      <c r="I702" s="17"/>
      <c r="J702" s="17"/>
    </row>
    <row r="703" spans="1:10">
      <c r="A703" s="17">
        <f t="shared" si="40"/>
        <v>698</v>
      </c>
      <c r="B703" s="18"/>
      <c r="C703" s="36" t="str">
        <f t="shared" si="41"/>
        <v/>
      </c>
      <c r="D703" s="36" t="str">
        <f t="shared" si="42"/>
        <v/>
      </c>
      <c r="E703" s="17"/>
      <c r="F703" s="60"/>
      <c r="G703" s="50"/>
      <c r="H703" s="59" t="str">
        <f t="shared" si="43"/>
        <v/>
      </c>
      <c r="I703" s="17"/>
      <c r="J703" s="17"/>
    </row>
    <row r="704" spans="1:10">
      <c r="A704" s="17">
        <f t="shared" si="40"/>
        <v>699</v>
      </c>
      <c r="B704" s="18"/>
      <c r="C704" s="36" t="str">
        <f t="shared" si="41"/>
        <v/>
      </c>
      <c r="D704" s="36" t="str">
        <f t="shared" si="42"/>
        <v/>
      </c>
      <c r="E704" s="17"/>
      <c r="F704" s="60"/>
      <c r="G704" s="50"/>
      <c r="H704" s="59" t="str">
        <f t="shared" si="43"/>
        <v/>
      </c>
      <c r="I704" s="17"/>
      <c r="J704" s="17"/>
    </row>
    <row r="705" spans="1:10">
      <c r="A705" s="17">
        <f t="shared" si="40"/>
        <v>700</v>
      </c>
      <c r="B705" s="18"/>
      <c r="C705" s="36" t="str">
        <f t="shared" si="41"/>
        <v/>
      </c>
      <c r="D705" s="36" t="str">
        <f t="shared" si="42"/>
        <v/>
      </c>
      <c r="E705" s="17"/>
      <c r="F705" s="60"/>
      <c r="G705" s="50"/>
      <c r="H705" s="59" t="str">
        <f t="shared" si="43"/>
        <v/>
      </c>
      <c r="I705" s="17"/>
      <c r="J705" s="17"/>
    </row>
    <row r="706" spans="1:10">
      <c r="A706" s="17">
        <f t="shared" si="40"/>
        <v>701</v>
      </c>
      <c r="B706" s="18"/>
      <c r="C706" s="36" t="str">
        <f t="shared" si="41"/>
        <v/>
      </c>
      <c r="D706" s="36" t="str">
        <f t="shared" si="42"/>
        <v/>
      </c>
      <c r="E706" s="17"/>
      <c r="F706" s="60"/>
      <c r="G706" s="50"/>
      <c r="H706" s="59" t="str">
        <f t="shared" si="43"/>
        <v/>
      </c>
      <c r="I706" s="17"/>
      <c r="J706" s="17"/>
    </row>
    <row r="707" spans="1:10">
      <c r="A707" s="17">
        <f t="shared" si="40"/>
        <v>702</v>
      </c>
      <c r="B707" s="18"/>
      <c r="C707" s="36" t="str">
        <f t="shared" si="41"/>
        <v/>
      </c>
      <c r="D707" s="36" t="str">
        <f t="shared" si="42"/>
        <v/>
      </c>
      <c r="E707" s="17"/>
      <c r="F707" s="60"/>
      <c r="G707" s="50"/>
      <c r="H707" s="59" t="str">
        <f t="shared" si="43"/>
        <v/>
      </c>
      <c r="I707" s="17"/>
      <c r="J707" s="17"/>
    </row>
    <row r="708" spans="1:10">
      <c r="A708" s="17">
        <f t="shared" si="40"/>
        <v>703</v>
      </c>
      <c r="B708" s="18"/>
      <c r="C708" s="36" t="str">
        <f t="shared" si="41"/>
        <v/>
      </c>
      <c r="D708" s="36" t="str">
        <f t="shared" si="42"/>
        <v/>
      </c>
      <c r="E708" s="17"/>
      <c r="F708" s="60"/>
      <c r="G708" s="50"/>
      <c r="H708" s="59" t="str">
        <f t="shared" si="43"/>
        <v/>
      </c>
      <c r="I708" s="17"/>
      <c r="J708" s="17"/>
    </row>
    <row r="709" spans="1:10">
      <c r="A709" s="17">
        <f t="shared" si="40"/>
        <v>704</v>
      </c>
      <c r="B709" s="18"/>
      <c r="C709" s="36" t="str">
        <f t="shared" si="41"/>
        <v/>
      </c>
      <c r="D709" s="36" t="str">
        <f t="shared" si="42"/>
        <v/>
      </c>
      <c r="E709" s="17"/>
      <c r="F709" s="60"/>
      <c r="G709" s="50"/>
      <c r="H709" s="59" t="str">
        <f t="shared" si="43"/>
        <v/>
      </c>
      <c r="I709" s="17"/>
      <c r="J709" s="17"/>
    </row>
    <row r="710" spans="1:10">
      <c r="A710" s="17">
        <f t="shared" si="40"/>
        <v>705</v>
      </c>
      <c r="B710" s="18"/>
      <c r="C710" s="36" t="str">
        <f t="shared" si="41"/>
        <v/>
      </c>
      <c r="D710" s="36" t="str">
        <f t="shared" si="42"/>
        <v/>
      </c>
      <c r="E710" s="17"/>
      <c r="F710" s="60"/>
      <c r="G710" s="50"/>
      <c r="H710" s="59" t="str">
        <f t="shared" si="43"/>
        <v/>
      </c>
      <c r="I710" s="17"/>
      <c r="J710" s="17"/>
    </row>
    <row r="711" spans="1:10">
      <c r="A711" s="17">
        <f t="shared" ref="A711:A774" si="44">ROW(A706)</f>
        <v>706</v>
      </c>
      <c r="B711" s="18"/>
      <c r="C711" s="36" t="str">
        <f t="shared" ref="C711:C774" si="45">IF(B711=0,"",TEXT(B711,"mmmm"))</f>
        <v/>
      </c>
      <c r="D711" s="36" t="str">
        <f t="shared" ref="D711:D774" si="46">IF(B711=0,"",TEXT(B711,"yyyy"))</f>
        <v/>
      </c>
      <c r="E711" s="17"/>
      <c r="F711" s="60"/>
      <c r="G711" s="50"/>
      <c r="H711" s="59" t="str">
        <f t="shared" ref="H711:H774" si="47">IF(G711*F711=0,"",G711*F711)</f>
        <v/>
      </c>
      <c r="I711" s="17"/>
      <c r="J711" s="17"/>
    </row>
    <row r="712" spans="1:10">
      <c r="A712" s="17">
        <f t="shared" si="44"/>
        <v>707</v>
      </c>
      <c r="B712" s="18"/>
      <c r="C712" s="36" t="str">
        <f t="shared" si="45"/>
        <v/>
      </c>
      <c r="D712" s="36" t="str">
        <f t="shared" si="46"/>
        <v/>
      </c>
      <c r="E712" s="17"/>
      <c r="F712" s="60"/>
      <c r="G712" s="50"/>
      <c r="H712" s="59" t="str">
        <f t="shared" si="47"/>
        <v/>
      </c>
      <c r="I712" s="17"/>
      <c r="J712" s="17"/>
    </row>
    <row r="713" spans="1:10">
      <c r="A713" s="17">
        <f t="shared" si="44"/>
        <v>708</v>
      </c>
      <c r="B713" s="18"/>
      <c r="C713" s="36" t="str">
        <f t="shared" si="45"/>
        <v/>
      </c>
      <c r="D713" s="36" t="str">
        <f t="shared" si="46"/>
        <v/>
      </c>
      <c r="E713" s="17"/>
      <c r="F713" s="60"/>
      <c r="G713" s="50"/>
      <c r="H713" s="59" t="str">
        <f t="shared" si="47"/>
        <v/>
      </c>
      <c r="I713" s="17"/>
      <c r="J713" s="17"/>
    </row>
    <row r="714" spans="1:10">
      <c r="A714" s="17">
        <f t="shared" si="44"/>
        <v>709</v>
      </c>
      <c r="B714" s="18"/>
      <c r="C714" s="36" t="str">
        <f t="shared" si="45"/>
        <v/>
      </c>
      <c r="D714" s="36" t="str">
        <f t="shared" si="46"/>
        <v/>
      </c>
      <c r="E714" s="17"/>
      <c r="F714" s="60"/>
      <c r="G714" s="50"/>
      <c r="H714" s="59" t="str">
        <f t="shared" si="47"/>
        <v/>
      </c>
      <c r="I714" s="17"/>
      <c r="J714" s="17"/>
    </row>
    <row r="715" spans="1:10">
      <c r="A715" s="17">
        <f t="shared" si="44"/>
        <v>710</v>
      </c>
      <c r="B715" s="18"/>
      <c r="C715" s="36" t="str">
        <f t="shared" si="45"/>
        <v/>
      </c>
      <c r="D715" s="36" t="str">
        <f t="shared" si="46"/>
        <v/>
      </c>
      <c r="E715" s="17"/>
      <c r="F715" s="60"/>
      <c r="G715" s="50"/>
      <c r="H715" s="59" t="str">
        <f t="shared" si="47"/>
        <v/>
      </c>
      <c r="I715" s="17"/>
      <c r="J715" s="17"/>
    </row>
    <row r="716" spans="1:10">
      <c r="A716" s="17">
        <f t="shared" si="44"/>
        <v>711</v>
      </c>
      <c r="B716" s="18"/>
      <c r="C716" s="36" t="str">
        <f t="shared" si="45"/>
        <v/>
      </c>
      <c r="D716" s="36" t="str">
        <f t="shared" si="46"/>
        <v/>
      </c>
      <c r="E716" s="17"/>
      <c r="F716" s="60"/>
      <c r="G716" s="50"/>
      <c r="H716" s="59" t="str">
        <f t="shared" si="47"/>
        <v/>
      </c>
      <c r="I716" s="17"/>
      <c r="J716" s="17"/>
    </row>
    <row r="717" spans="1:10">
      <c r="A717" s="17">
        <f t="shared" si="44"/>
        <v>712</v>
      </c>
      <c r="B717" s="18"/>
      <c r="C717" s="36" t="str">
        <f t="shared" si="45"/>
        <v/>
      </c>
      <c r="D717" s="36" t="str">
        <f t="shared" si="46"/>
        <v/>
      </c>
      <c r="E717" s="17"/>
      <c r="F717" s="60"/>
      <c r="G717" s="50"/>
      <c r="H717" s="59" t="str">
        <f t="shared" si="47"/>
        <v/>
      </c>
      <c r="I717" s="17"/>
      <c r="J717" s="17"/>
    </row>
    <row r="718" spans="1:10">
      <c r="A718" s="17">
        <f t="shared" si="44"/>
        <v>713</v>
      </c>
      <c r="B718" s="18"/>
      <c r="C718" s="36" t="str">
        <f t="shared" si="45"/>
        <v/>
      </c>
      <c r="D718" s="36" t="str">
        <f t="shared" si="46"/>
        <v/>
      </c>
      <c r="E718" s="17"/>
      <c r="F718" s="60"/>
      <c r="G718" s="50"/>
      <c r="H718" s="59" t="str">
        <f t="shared" si="47"/>
        <v/>
      </c>
      <c r="I718" s="17"/>
      <c r="J718" s="17"/>
    </row>
    <row r="719" spans="1:10">
      <c r="A719" s="17">
        <f t="shared" si="44"/>
        <v>714</v>
      </c>
      <c r="B719" s="18"/>
      <c r="C719" s="36" t="str">
        <f t="shared" si="45"/>
        <v/>
      </c>
      <c r="D719" s="36" t="str">
        <f t="shared" si="46"/>
        <v/>
      </c>
      <c r="E719" s="17"/>
      <c r="F719" s="60"/>
      <c r="G719" s="50"/>
      <c r="H719" s="59" t="str">
        <f t="shared" si="47"/>
        <v/>
      </c>
      <c r="I719" s="17"/>
      <c r="J719" s="17"/>
    </row>
    <row r="720" spans="1:10">
      <c r="A720" s="17">
        <f t="shared" si="44"/>
        <v>715</v>
      </c>
      <c r="B720" s="18"/>
      <c r="C720" s="36" t="str">
        <f t="shared" si="45"/>
        <v/>
      </c>
      <c r="D720" s="36" t="str">
        <f t="shared" si="46"/>
        <v/>
      </c>
      <c r="E720" s="17"/>
      <c r="F720" s="60"/>
      <c r="G720" s="50"/>
      <c r="H720" s="59" t="str">
        <f t="shared" si="47"/>
        <v/>
      </c>
      <c r="I720" s="17"/>
      <c r="J720" s="17"/>
    </row>
    <row r="721" spans="1:10">
      <c r="A721" s="17">
        <f t="shared" si="44"/>
        <v>716</v>
      </c>
      <c r="B721" s="18"/>
      <c r="C721" s="36" t="str">
        <f t="shared" si="45"/>
        <v/>
      </c>
      <c r="D721" s="36" t="str">
        <f t="shared" si="46"/>
        <v/>
      </c>
      <c r="E721" s="17"/>
      <c r="F721" s="60"/>
      <c r="G721" s="50"/>
      <c r="H721" s="59" t="str">
        <f t="shared" si="47"/>
        <v/>
      </c>
      <c r="I721" s="17"/>
      <c r="J721" s="17"/>
    </row>
    <row r="722" spans="1:10">
      <c r="A722" s="17">
        <f t="shared" si="44"/>
        <v>717</v>
      </c>
      <c r="B722" s="18"/>
      <c r="C722" s="36" t="str">
        <f t="shared" si="45"/>
        <v/>
      </c>
      <c r="D722" s="36" t="str">
        <f t="shared" si="46"/>
        <v/>
      </c>
      <c r="E722" s="17"/>
      <c r="F722" s="60"/>
      <c r="G722" s="50"/>
      <c r="H722" s="59" t="str">
        <f t="shared" si="47"/>
        <v/>
      </c>
      <c r="I722" s="17"/>
      <c r="J722" s="17"/>
    </row>
    <row r="723" spans="1:10">
      <c r="A723" s="17">
        <f t="shared" si="44"/>
        <v>718</v>
      </c>
      <c r="B723" s="18"/>
      <c r="C723" s="36" t="str">
        <f t="shared" si="45"/>
        <v/>
      </c>
      <c r="D723" s="36" t="str">
        <f t="shared" si="46"/>
        <v/>
      </c>
      <c r="E723" s="17"/>
      <c r="F723" s="60"/>
      <c r="G723" s="50"/>
      <c r="H723" s="59" t="str">
        <f t="shared" si="47"/>
        <v/>
      </c>
      <c r="I723" s="17"/>
      <c r="J723" s="17"/>
    </row>
    <row r="724" spans="1:10">
      <c r="A724" s="17">
        <f t="shared" si="44"/>
        <v>719</v>
      </c>
      <c r="B724" s="18"/>
      <c r="C724" s="36" t="str">
        <f t="shared" si="45"/>
        <v/>
      </c>
      <c r="D724" s="36" t="str">
        <f t="shared" si="46"/>
        <v/>
      </c>
      <c r="E724" s="17"/>
      <c r="F724" s="60"/>
      <c r="G724" s="50"/>
      <c r="H724" s="59" t="str">
        <f t="shared" si="47"/>
        <v/>
      </c>
      <c r="I724" s="17"/>
      <c r="J724" s="17"/>
    </row>
    <row r="725" spans="1:10">
      <c r="A725" s="17">
        <f t="shared" si="44"/>
        <v>720</v>
      </c>
      <c r="B725" s="18"/>
      <c r="C725" s="36" t="str">
        <f t="shared" si="45"/>
        <v/>
      </c>
      <c r="D725" s="36" t="str">
        <f t="shared" si="46"/>
        <v/>
      </c>
      <c r="E725" s="17"/>
      <c r="F725" s="60"/>
      <c r="G725" s="50"/>
      <c r="H725" s="59" t="str">
        <f t="shared" si="47"/>
        <v/>
      </c>
      <c r="I725" s="17"/>
      <c r="J725" s="17"/>
    </row>
    <row r="726" spans="1:10">
      <c r="A726" s="17">
        <f t="shared" si="44"/>
        <v>721</v>
      </c>
      <c r="B726" s="18"/>
      <c r="C726" s="36" t="str">
        <f t="shared" si="45"/>
        <v/>
      </c>
      <c r="D726" s="36" t="str">
        <f t="shared" si="46"/>
        <v/>
      </c>
      <c r="E726" s="17"/>
      <c r="F726" s="60"/>
      <c r="G726" s="50"/>
      <c r="H726" s="59" t="str">
        <f t="shared" si="47"/>
        <v/>
      </c>
      <c r="I726" s="17"/>
      <c r="J726" s="17"/>
    </row>
    <row r="727" spans="1:10">
      <c r="A727" s="17">
        <f t="shared" si="44"/>
        <v>722</v>
      </c>
      <c r="B727" s="18"/>
      <c r="C727" s="36" t="str">
        <f t="shared" si="45"/>
        <v/>
      </c>
      <c r="D727" s="36" t="str">
        <f t="shared" si="46"/>
        <v/>
      </c>
      <c r="E727" s="17"/>
      <c r="F727" s="60"/>
      <c r="G727" s="50"/>
      <c r="H727" s="59" t="str">
        <f t="shared" si="47"/>
        <v/>
      </c>
      <c r="I727" s="17"/>
      <c r="J727" s="17"/>
    </row>
    <row r="728" spans="1:10">
      <c r="A728" s="17">
        <f t="shared" si="44"/>
        <v>723</v>
      </c>
      <c r="B728" s="18"/>
      <c r="C728" s="36" t="str">
        <f t="shared" si="45"/>
        <v/>
      </c>
      <c r="D728" s="36" t="str">
        <f t="shared" si="46"/>
        <v/>
      </c>
      <c r="E728" s="17"/>
      <c r="F728" s="60"/>
      <c r="G728" s="50"/>
      <c r="H728" s="59" t="str">
        <f t="shared" si="47"/>
        <v/>
      </c>
      <c r="I728" s="17"/>
      <c r="J728" s="17"/>
    </row>
    <row r="729" spans="1:10">
      <c r="A729" s="17">
        <f t="shared" si="44"/>
        <v>724</v>
      </c>
      <c r="B729" s="18"/>
      <c r="C729" s="36" t="str">
        <f t="shared" si="45"/>
        <v/>
      </c>
      <c r="D729" s="36" t="str">
        <f t="shared" si="46"/>
        <v/>
      </c>
      <c r="E729" s="17"/>
      <c r="F729" s="60"/>
      <c r="G729" s="50"/>
      <c r="H729" s="59" t="str">
        <f t="shared" si="47"/>
        <v/>
      </c>
      <c r="I729" s="17"/>
      <c r="J729" s="17"/>
    </row>
    <row r="730" spans="1:10">
      <c r="A730" s="17">
        <f t="shared" si="44"/>
        <v>725</v>
      </c>
      <c r="B730" s="18"/>
      <c r="C730" s="36" t="str">
        <f t="shared" si="45"/>
        <v/>
      </c>
      <c r="D730" s="36" t="str">
        <f t="shared" si="46"/>
        <v/>
      </c>
      <c r="E730" s="17"/>
      <c r="F730" s="60"/>
      <c r="G730" s="50"/>
      <c r="H730" s="59" t="str">
        <f t="shared" si="47"/>
        <v/>
      </c>
      <c r="I730" s="17"/>
      <c r="J730" s="17"/>
    </row>
    <row r="731" spans="1:10">
      <c r="A731" s="17">
        <f t="shared" si="44"/>
        <v>726</v>
      </c>
      <c r="B731" s="18"/>
      <c r="C731" s="36" t="str">
        <f t="shared" si="45"/>
        <v/>
      </c>
      <c r="D731" s="36" t="str">
        <f t="shared" si="46"/>
        <v/>
      </c>
      <c r="E731" s="17"/>
      <c r="F731" s="60"/>
      <c r="G731" s="50"/>
      <c r="H731" s="59" t="str">
        <f t="shared" si="47"/>
        <v/>
      </c>
      <c r="I731" s="17"/>
      <c r="J731" s="17"/>
    </row>
    <row r="732" spans="1:10">
      <c r="A732" s="17">
        <f t="shared" si="44"/>
        <v>727</v>
      </c>
      <c r="B732" s="18"/>
      <c r="C732" s="36" t="str">
        <f t="shared" si="45"/>
        <v/>
      </c>
      <c r="D732" s="36" t="str">
        <f t="shared" si="46"/>
        <v/>
      </c>
      <c r="E732" s="17"/>
      <c r="F732" s="60"/>
      <c r="G732" s="50"/>
      <c r="H732" s="59" t="str">
        <f t="shared" si="47"/>
        <v/>
      </c>
      <c r="I732" s="17"/>
      <c r="J732" s="17"/>
    </row>
    <row r="733" spans="1:10">
      <c r="A733" s="17">
        <f t="shared" si="44"/>
        <v>728</v>
      </c>
      <c r="B733" s="18"/>
      <c r="C733" s="36" t="str">
        <f t="shared" si="45"/>
        <v/>
      </c>
      <c r="D733" s="36" t="str">
        <f t="shared" si="46"/>
        <v/>
      </c>
      <c r="E733" s="17"/>
      <c r="F733" s="60"/>
      <c r="G733" s="50"/>
      <c r="H733" s="59" t="str">
        <f t="shared" si="47"/>
        <v/>
      </c>
      <c r="I733" s="17"/>
      <c r="J733" s="17"/>
    </row>
    <row r="734" spans="1:10">
      <c r="A734" s="17">
        <f t="shared" si="44"/>
        <v>729</v>
      </c>
      <c r="B734" s="18"/>
      <c r="C734" s="36" t="str">
        <f t="shared" si="45"/>
        <v/>
      </c>
      <c r="D734" s="36" t="str">
        <f t="shared" si="46"/>
        <v/>
      </c>
      <c r="E734" s="17"/>
      <c r="F734" s="60"/>
      <c r="G734" s="50"/>
      <c r="H734" s="59" t="str">
        <f t="shared" si="47"/>
        <v/>
      </c>
      <c r="I734" s="17"/>
      <c r="J734" s="17"/>
    </row>
    <row r="735" spans="1:10">
      <c r="A735" s="17">
        <f t="shared" si="44"/>
        <v>730</v>
      </c>
      <c r="B735" s="18"/>
      <c r="C735" s="36" t="str">
        <f t="shared" si="45"/>
        <v/>
      </c>
      <c r="D735" s="36" t="str">
        <f t="shared" si="46"/>
        <v/>
      </c>
      <c r="E735" s="17"/>
      <c r="F735" s="60"/>
      <c r="G735" s="50"/>
      <c r="H735" s="59" t="str">
        <f t="shared" si="47"/>
        <v/>
      </c>
      <c r="I735" s="17"/>
      <c r="J735" s="17"/>
    </row>
    <row r="736" spans="1:10">
      <c r="A736" s="17">
        <f t="shared" si="44"/>
        <v>731</v>
      </c>
      <c r="B736" s="18"/>
      <c r="C736" s="36" t="str">
        <f t="shared" si="45"/>
        <v/>
      </c>
      <c r="D736" s="36" t="str">
        <f t="shared" si="46"/>
        <v/>
      </c>
      <c r="E736" s="17"/>
      <c r="F736" s="60"/>
      <c r="G736" s="50"/>
      <c r="H736" s="59" t="str">
        <f t="shared" si="47"/>
        <v/>
      </c>
      <c r="I736" s="17"/>
      <c r="J736" s="17"/>
    </row>
    <row r="737" spans="1:10">
      <c r="A737" s="17">
        <f t="shared" si="44"/>
        <v>732</v>
      </c>
      <c r="B737" s="18"/>
      <c r="C737" s="36" t="str">
        <f t="shared" si="45"/>
        <v/>
      </c>
      <c r="D737" s="36" t="str">
        <f t="shared" si="46"/>
        <v/>
      </c>
      <c r="E737" s="17"/>
      <c r="F737" s="60"/>
      <c r="G737" s="50"/>
      <c r="H737" s="59" t="str">
        <f t="shared" si="47"/>
        <v/>
      </c>
      <c r="I737" s="17"/>
      <c r="J737" s="17"/>
    </row>
    <row r="738" spans="1:10">
      <c r="A738" s="17">
        <f t="shared" si="44"/>
        <v>733</v>
      </c>
      <c r="B738" s="18"/>
      <c r="C738" s="36" t="str">
        <f t="shared" si="45"/>
        <v/>
      </c>
      <c r="D738" s="36" t="str">
        <f t="shared" si="46"/>
        <v/>
      </c>
      <c r="E738" s="17"/>
      <c r="F738" s="60"/>
      <c r="G738" s="50"/>
      <c r="H738" s="59" t="str">
        <f t="shared" si="47"/>
        <v/>
      </c>
      <c r="I738" s="17"/>
      <c r="J738" s="17"/>
    </row>
    <row r="739" spans="1:10">
      <c r="A739" s="17">
        <f t="shared" si="44"/>
        <v>734</v>
      </c>
      <c r="B739" s="18"/>
      <c r="C739" s="36" t="str">
        <f t="shared" si="45"/>
        <v/>
      </c>
      <c r="D739" s="36" t="str">
        <f t="shared" si="46"/>
        <v/>
      </c>
      <c r="E739" s="17"/>
      <c r="F739" s="60"/>
      <c r="G739" s="50"/>
      <c r="H739" s="59" t="str">
        <f t="shared" si="47"/>
        <v/>
      </c>
      <c r="I739" s="17"/>
      <c r="J739" s="17"/>
    </row>
    <row r="740" spans="1:10">
      <c r="A740" s="17">
        <f t="shared" si="44"/>
        <v>735</v>
      </c>
      <c r="B740" s="18"/>
      <c r="C740" s="36" t="str">
        <f t="shared" si="45"/>
        <v/>
      </c>
      <c r="D740" s="36" t="str">
        <f t="shared" si="46"/>
        <v/>
      </c>
      <c r="E740" s="17"/>
      <c r="F740" s="60"/>
      <c r="G740" s="50"/>
      <c r="H740" s="59" t="str">
        <f t="shared" si="47"/>
        <v/>
      </c>
      <c r="I740" s="17"/>
      <c r="J740" s="17"/>
    </row>
    <row r="741" spans="1:10">
      <c r="A741" s="17">
        <f t="shared" si="44"/>
        <v>736</v>
      </c>
      <c r="B741" s="18"/>
      <c r="C741" s="36" t="str">
        <f t="shared" si="45"/>
        <v/>
      </c>
      <c r="D741" s="36" t="str">
        <f t="shared" si="46"/>
        <v/>
      </c>
      <c r="E741" s="17"/>
      <c r="F741" s="60"/>
      <c r="G741" s="50"/>
      <c r="H741" s="59" t="str">
        <f t="shared" si="47"/>
        <v/>
      </c>
      <c r="I741" s="17"/>
      <c r="J741" s="17"/>
    </row>
    <row r="742" spans="1:10">
      <c r="A742" s="17">
        <f t="shared" si="44"/>
        <v>737</v>
      </c>
      <c r="B742" s="18"/>
      <c r="C742" s="36" t="str">
        <f t="shared" si="45"/>
        <v/>
      </c>
      <c r="D742" s="36" t="str">
        <f t="shared" si="46"/>
        <v/>
      </c>
      <c r="E742" s="17"/>
      <c r="F742" s="60"/>
      <c r="G742" s="50"/>
      <c r="H742" s="59" t="str">
        <f t="shared" si="47"/>
        <v/>
      </c>
      <c r="I742" s="17"/>
      <c r="J742" s="17"/>
    </row>
    <row r="743" spans="1:10">
      <c r="A743" s="17">
        <f t="shared" si="44"/>
        <v>738</v>
      </c>
      <c r="B743" s="18"/>
      <c r="C743" s="36" t="str">
        <f t="shared" si="45"/>
        <v/>
      </c>
      <c r="D743" s="36" t="str">
        <f t="shared" si="46"/>
        <v/>
      </c>
      <c r="E743" s="17"/>
      <c r="F743" s="60"/>
      <c r="G743" s="50"/>
      <c r="H743" s="59" t="str">
        <f t="shared" si="47"/>
        <v/>
      </c>
      <c r="I743" s="17"/>
      <c r="J743" s="17"/>
    </row>
    <row r="744" spans="1:10">
      <c r="A744" s="17">
        <f t="shared" si="44"/>
        <v>739</v>
      </c>
      <c r="B744" s="18"/>
      <c r="C744" s="36" t="str">
        <f t="shared" si="45"/>
        <v/>
      </c>
      <c r="D744" s="36" t="str">
        <f t="shared" si="46"/>
        <v/>
      </c>
      <c r="E744" s="17"/>
      <c r="F744" s="60"/>
      <c r="G744" s="50"/>
      <c r="H744" s="59" t="str">
        <f t="shared" si="47"/>
        <v/>
      </c>
      <c r="I744" s="17"/>
      <c r="J744" s="17"/>
    </row>
    <row r="745" spans="1:10">
      <c r="A745" s="17">
        <f t="shared" si="44"/>
        <v>740</v>
      </c>
      <c r="B745" s="18"/>
      <c r="C745" s="36" t="str">
        <f t="shared" si="45"/>
        <v/>
      </c>
      <c r="D745" s="36" t="str">
        <f t="shared" si="46"/>
        <v/>
      </c>
      <c r="E745" s="17"/>
      <c r="F745" s="60"/>
      <c r="G745" s="50"/>
      <c r="H745" s="59" t="str">
        <f t="shared" si="47"/>
        <v/>
      </c>
      <c r="I745" s="17"/>
      <c r="J745" s="17"/>
    </row>
    <row r="746" spans="1:10">
      <c r="A746" s="17">
        <f t="shared" si="44"/>
        <v>741</v>
      </c>
      <c r="B746" s="18"/>
      <c r="C746" s="36" t="str">
        <f t="shared" si="45"/>
        <v/>
      </c>
      <c r="D746" s="36" t="str">
        <f t="shared" si="46"/>
        <v/>
      </c>
      <c r="E746" s="17"/>
      <c r="F746" s="60"/>
      <c r="G746" s="50"/>
      <c r="H746" s="59" t="str">
        <f t="shared" si="47"/>
        <v/>
      </c>
      <c r="I746" s="17"/>
      <c r="J746" s="17"/>
    </row>
    <row r="747" spans="1:10">
      <c r="A747" s="17">
        <f t="shared" si="44"/>
        <v>742</v>
      </c>
      <c r="B747" s="18"/>
      <c r="C747" s="36" t="str">
        <f t="shared" si="45"/>
        <v/>
      </c>
      <c r="D747" s="36" t="str">
        <f t="shared" si="46"/>
        <v/>
      </c>
      <c r="E747" s="17"/>
      <c r="F747" s="60"/>
      <c r="G747" s="50"/>
      <c r="H747" s="59" t="str">
        <f t="shared" si="47"/>
        <v/>
      </c>
      <c r="I747" s="17"/>
      <c r="J747" s="17"/>
    </row>
    <row r="748" spans="1:10">
      <c r="A748" s="17">
        <f t="shared" si="44"/>
        <v>743</v>
      </c>
      <c r="B748" s="18"/>
      <c r="C748" s="36" t="str">
        <f t="shared" si="45"/>
        <v/>
      </c>
      <c r="D748" s="36" t="str">
        <f t="shared" si="46"/>
        <v/>
      </c>
      <c r="E748" s="17"/>
      <c r="F748" s="60"/>
      <c r="G748" s="50"/>
      <c r="H748" s="59" t="str">
        <f t="shared" si="47"/>
        <v/>
      </c>
      <c r="I748" s="17"/>
      <c r="J748" s="17"/>
    </row>
    <row r="749" spans="1:10">
      <c r="A749" s="17">
        <f t="shared" si="44"/>
        <v>744</v>
      </c>
      <c r="B749" s="18"/>
      <c r="C749" s="36" t="str">
        <f t="shared" si="45"/>
        <v/>
      </c>
      <c r="D749" s="36" t="str">
        <f t="shared" si="46"/>
        <v/>
      </c>
      <c r="E749" s="17"/>
      <c r="F749" s="60"/>
      <c r="G749" s="50"/>
      <c r="H749" s="59" t="str">
        <f t="shared" si="47"/>
        <v/>
      </c>
      <c r="I749" s="17"/>
      <c r="J749" s="17"/>
    </row>
    <row r="750" spans="1:10">
      <c r="A750" s="17">
        <f t="shared" si="44"/>
        <v>745</v>
      </c>
      <c r="B750" s="18"/>
      <c r="C750" s="36" t="str">
        <f t="shared" si="45"/>
        <v/>
      </c>
      <c r="D750" s="36" t="str">
        <f t="shared" si="46"/>
        <v/>
      </c>
      <c r="E750" s="17"/>
      <c r="F750" s="60"/>
      <c r="G750" s="50"/>
      <c r="H750" s="59" t="str">
        <f t="shared" si="47"/>
        <v/>
      </c>
      <c r="I750" s="17"/>
      <c r="J750" s="17"/>
    </row>
    <row r="751" spans="1:10">
      <c r="A751" s="17">
        <f t="shared" si="44"/>
        <v>746</v>
      </c>
      <c r="B751" s="18"/>
      <c r="C751" s="36" t="str">
        <f t="shared" si="45"/>
        <v/>
      </c>
      <c r="D751" s="36" t="str">
        <f t="shared" si="46"/>
        <v/>
      </c>
      <c r="E751" s="17"/>
      <c r="F751" s="60"/>
      <c r="G751" s="50"/>
      <c r="H751" s="59" t="str">
        <f t="shared" si="47"/>
        <v/>
      </c>
      <c r="I751" s="17"/>
      <c r="J751" s="17"/>
    </row>
    <row r="752" spans="1:10">
      <c r="A752" s="17">
        <f t="shared" si="44"/>
        <v>747</v>
      </c>
      <c r="B752" s="18"/>
      <c r="C752" s="36" t="str">
        <f t="shared" si="45"/>
        <v/>
      </c>
      <c r="D752" s="36" t="str">
        <f t="shared" si="46"/>
        <v/>
      </c>
      <c r="E752" s="17"/>
      <c r="F752" s="60"/>
      <c r="G752" s="50"/>
      <c r="H752" s="59" t="str">
        <f t="shared" si="47"/>
        <v/>
      </c>
      <c r="I752" s="17"/>
      <c r="J752" s="17"/>
    </row>
    <row r="753" spans="1:10">
      <c r="A753" s="17">
        <f t="shared" si="44"/>
        <v>748</v>
      </c>
      <c r="B753" s="18"/>
      <c r="C753" s="36" t="str">
        <f t="shared" si="45"/>
        <v/>
      </c>
      <c r="D753" s="36" t="str">
        <f t="shared" si="46"/>
        <v/>
      </c>
      <c r="E753" s="17"/>
      <c r="F753" s="60"/>
      <c r="G753" s="50"/>
      <c r="H753" s="59" t="str">
        <f t="shared" si="47"/>
        <v/>
      </c>
      <c r="I753" s="17"/>
      <c r="J753" s="17"/>
    </row>
    <row r="754" spans="1:10">
      <c r="A754" s="17">
        <f t="shared" si="44"/>
        <v>749</v>
      </c>
      <c r="B754" s="18"/>
      <c r="C754" s="36" t="str">
        <f t="shared" si="45"/>
        <v/>
      </c>
      <c r="D754" s="36" t="str">
        <f t="shared" si="46"/>
        <v/>
      </c>
      <c r="E754" s="17"/>
      <c r="F754" s="60"/>
      <c r="G754" s="50"/>
      <c r="H754" s="59" t="str">
        <f t="shared" si="47"/>
        <v/>
      </c>
      <c r="I754" s="17"/>
      <c r="J754" s="17"/>
    </row>
    <row r="755" spans="1:10">
      <c r="A755" s="17">
        <f t="shared" si="44"/>
        <v>750</v>
      </c>
      <c r="B755" s="18"/>
      <c r="C755" s="36" t="str">
        <f t="shared" si="45"/>
        <v/>
      </c>
      <c r="D755" s="36" t="str">
        <f t="shared" si="46"/>
        <v/>
      </c>
      <c r="E755" s="17"/>
      <c r="F755" s="60"/>
      <c r="G755" s="50"/>
      <c r="H755" s="59" t="str">
        <f t="shared" si="47"/>
        <v/>
      </c>
      <c r="I755" s="17"/>
      <c r="J755" s="17"/>
    </row>
    <row r="756" spans="1:10">
      <c r="A756" s="17">
        <f t="shared" si="44"/>
        <v>751</v>
      </c>
      <c r="B756" s="18"/>
      <c r="C756" s="36" t="str">
        <f t="shared" si="45"/>
        <v/>
      </c>
      <c r="D756" s="36" t="str">
        <f t="shared" si="46"/>
        <v/>
      </c>
      <c r="E756" s="17"/>
      <c r="F756" s="60"/>
      <c r="G756" s="50"/>
      <c r="H756" s="59" t="str">
        <f t="shared" si="47"/>
        <v/>
      </c>
      <c r="I756" s="17"/>
      <c r="J756" s="17"/>
    </row>
    <row r="757" spans="1:10">
      <c r="A757" s="17">
        <f t="shared" si="44"/>
        <v>752</v>
      </c>
      <c r="B757" s="18"/>
      <c r="C757" s="36" t="str">
        <f t="shared" si="45"/>
        <v/>
      </c>
      <c r="D757" s="36" t="str">
        <f t="shared" si="46"/>
        <v/>
      </c>
      <c r="E757" s="17"/>
      <c r="F757" s="60"/>
      <c r="G757" s="50"/>
      <c r="H757" s="59" t="str">
        <f t="shared" si="47"/>
        <v/>
      </c>
      <c r="I757" s="17"/>
      <c r="J757" s="17"/>
    </row>
    <row r="758" spans="1:10">
      <c r="A758" s="17">
        <f t="shared" si="44"/>
        <v>753</v>
      </c>
      <c r="B758" s="18"/>
      <c r="C758" s="36" t="str">
        <f t="shared" si="45"/>
        <v/>
      </c>
      <c r="D758" s="36" t="str">
        <f t="shared" si="46"/>
        <v/>
      </c>
      <c r="E758" s="17"/>
      <c r="F758" s="60"/>
      <c r="G758" s="50"/>
      <c r="H758" s="59" t="str">
        <f t="shared" si="47"/>
        <v/>
      </c>
      <c r="I758" s="17"/>
      <c r="J758" s="17"/>
    </row>
    <row r="759" spans="1:10">
      <c r="A759" s="17">
        <f t="shared" si="44"/>
        <v>754</v>
      </c>
      <c r="B759" s="18"/>
      <c r="C759" s="36" t="str">
        <f t="shared" si="45"/>
        <v/>
      </c>
      <c r="D759" s="36" t="str">
        <f t="shared" si="46"/>
        <v/>
      </c>
      <c r="E759" s="17"/>
      <c r="F759" s="60"/>
      <c r="G759" s="50"/>
      <c r="H759" s="59" t="str">
        <f t="shared" si="47"/>
        <v/>
      </c>
      <c r="I759" s="17"/>
      <c r="J759" s="17"/>
    </row>
    <row r="760" spans="1:10">
      <c r="A760" s="17">
        <f t="shared" si="44"/>
        <v>755</v>
      </c>
      <c r="B760" s="18"/>
      <c r="C760" s="36" t="str">
        <f t="shared" si="45"/>
        <v/>
      </c>
      <c r="D760" s="36" t="str">
        <f t="shared" si="46"/>
        <v/>
      </c>
      <c r="E760" s="17"/>
      <c r="F760" s="60"/>
      <c r="G760" s="50"/>
      <c r="H760" s="59" t="str">
        <f t="shared" si="47"/>
        <v/>
      </c>
      <c r="I760" s="17"/>
      <c r="J760" s="17"/>
    </row>
    <row r="761" spans="1:10">
      <c r="A761" s="17">
        <f t="shared" si="44"/>
        <v>756</v>
      </c>
      <c r="B761" s="18"/>
      <c r="C761" s="36" t="str">
        <f t="shared" si="45"/>
        <v/>
      </c>
      <c r="D761" s="36" t="str">
        <f t="shared" si="46"/>
        <v/>
      </c>
      <c r="E761" s="17"/>
      <c r="F761" s="60"/>
      <c r="G761" s="50"/>
      <c r="H761" s="59" t="str">
        <f t="shared" si="47"/>
        <v/>
      </c>
      <c r="I761" s="17"/>
      <c r="J761" s="17"/>
    </row>
    <row r="762" spans="1:10">
      <c r="A762" s="17">
        <f t="shared" si="44"/>
        <v>757</v>
      </c>
      <c r="B762" s="18"/>
      <c r="C762" s="36" t="str">
        <f t="shared" si="45"/>
        <v/>
      </c>
      <c r="D762" s="36" t="str">
        <f t="shared" si="46"/>
        <v/>
      </c>
      <c r="E762" s="17"/>
      <c r="F762" s="60"/>
      <c r="G762" s="50"/>
      <c r="H762" s="59" t="str">
        <f t="shared" si="47"/>
        <v/>
      </c>
      <c r="I762" s="17"/>
      <c r="J762" s="17"/>
    </row>
    <row r="763" spans="1:10">
      <c r="A763" s="17">
        <f t="shared" si="44"/>
        <v>758</v>
      </c>
      <c r="B763" s="18"/>
      <c r="C763" s="36" t="str">
        <f t="shared" si="45"/>
        <v/>
      </c>
      <c r="D763" s="36" t="str">
        <f t="shared" si="46"/>
        <v/>
      </c>
      <c r="E763" s="17"/>
      <c r="F763" s="60"/>
      <c r="G763" s="50"/>
      <c r="H763" s="59" t="str">
        <f t="shared" si="47"/>
        <v/>
      </c>
      <c r="I763" s="17"/>
      <c r="J763" s="17"/>
    </row>
    <row r="764" spans="1:10">
      <c r="A764" s="17">
        <f t="shared" si="44"/>
        <v>759</v>
      </c>
      <c r="B764" s="18"/>
      <c r="C764" s="36" t="str">
        <f t="shared" si="45"/>
        <v/>
      </c>
      <c r="D764" s="36" t="str">
        <f t="shared" si="46"/>
        <v/>
      </c>
      <c r="E764" s="17"/>
      <c r="F764" s="60"/>
      <c r="G764" s="50"/>
      <c r="H764" s="59" t="str">
        <f t="shared" si="47"/>
        <v/>
      </c>
      <c r="I764" s="17"/>
      <c r="J764" s="17"/>
    </row>
    <row r="765" spans="1:10">
      <c r="A765" s="17">
        <f t="shared" si="44"/>
        <v>760</v>
      </c>
      <c r="B765" s="18"/>
      <c r="C765" s="36" t="str">
        <f t="shared" si="45"/>
        <v/>
      </c>
      <c r="D765" s="36" t="str">
        <f t="shared" si="46"/>
        <v/>
      </c>
      <c r="E765" s="17"/>
      <c r="F765" s="60"/>
      <c r="G765" s="50"/>
      <c r="H765" s="59" t="str">
        <f t="shared" si="47"/>
        <v/>
      </c>
      <c r="I765" s="17"/>
      <c r="J765" s="17"/>
    </row>
    <row r="766" spans="1:10">
      <c r="A766" s="17">
        <f t="shared" si="44"/>
        <v>761</v>
      </c>
      <c r="B766" s="18"/>
      <c r="C766" s="36" t="str">
        <f t="shared" si="45"/>
        <v/>
      </c>
      <c r="D766" s="36" t="str">
        <f t="shared" si="46"/>
        <v/>
      </c>
      <c r="E766" s="17"/>
      <c r="F766" s="60"/>
      <c r="G766" s="50"/>
      <c r="H766" s="59" t="str">
        <f t="shared" si="47"/>
        <v/>
      </c>
      <c r="I766" s="17"/>
      <c r="J766" s="17"/>
    </row>
    <row r="767" spans="1:10">
      <c r="A767" s="17">
        <f t="shared" si="44"/>
        <v>762</v>
      </c>
      <c r="B767" s="18"/>
      <c r="C767" s="36" t="str">
        <f t="shared" si="45"/>
        <v/>
      </c>
      <c r="D767" s="36" t="str">
        <f t="shared" si="46"/>
        <v/>
      </c>
      <c r="E767" s="17"/>
      <c r="F767" s="60"/>
      <c r="G767" s="50"/>
      <c r="H767" s="59" t="str">
        <f t="shared" si="47"/>
        <v/>
      </c>
      <c r="I767" s="17"/>
      <c r="J767" s="17"/>
    </row>
    <row r="768" spans="1:10">
      <c r="A768" s="17">
        <f t="shared" si="44"/>
        <v>763</v>
      </c>
      <c r="B768" s="18"/>
      <c r="C768" s="36" t="str">
        <f t="shared" si="45"/>
        <v/>
      </c>
      <c r="D768" s="36" t="str">
        <f t="shared" si="46"/>
        <v/>
      </c>
      <c r="E768" s="17"/>
      <c r="F768" s="60"/>
      <c r="G768" s="50"/>
      <c r="H768" s="59" t="str">
        <f t="shared" si="47"/>
        <v/>
      </c>
      <c r="I768" s="17"/>
      <c r="J768" s="17"/>
    </row>
    <row r="769" spans="1:10">
      <c r="A769" s="17">
        <f t="shared" si="44"/>
        <v>764</v>
      </c>
      <c r="B769" s="18"/>
      <c r="C769" s="36" t="str">
        <f t="shared" si="45"/>
        <v/>
      </c>
      <c r="D769" s="36" t="str">
        <f t="shared" si="46"/>
        <v/>
      </c>
      <c r="E769" s="17"/>
      <c r="F769" s="60"/>
      <c r="G769" s="50"/>
      <c r="H769" s="59" t="str">
        <f t="shared" si="47"/>
        <v/>
      </c>
      <c r="I769" s="17"/>
      <c r="J769" s="17"/>
    </row>
    <row r="770" spans="1:10">
      <c r="A770" s="17">
        <f t="shared" si="44"/>
        <v>765</v>
      </c>
      <c r="B770" s="18"/>
      <c r="C770" s="36" t="str">
        <f t="shared" si="45"/>
        <v/>
      </c>
      <c r="D770" s="36" t="str">
        <f t="shared" si="46"/>
        <v/>
      </c>
      <c r="E770" s="17"/>
      <c r="F770" s="60"/>
      <c r="G770" s="50"/>
      <c r="H770" s="59" t="str">
        <f t="shared" si="47"/>
        <v/>
      </c>
      <c r="I770" s="17"/>
      <c r="J770" s="17"/>
    </row>
    <row r="771" spans="1:10">
      <c r="A771" s="17">
        <f t="shared" si="44"/>
        <v>766</v>
      </c>
      <c r="B771" s="18"/>
      <c r="C771" s="36" t="str">
        <f t="shared" si="45"/>
        <v/>
      </c>
      <c r="D771" s="36" t="str">
        <f t="shared" si="46"/>
        <v/>
      </c>
      <c r="E771" s="17"/>
      <c r="F771" s="60"/>
      <c r="G771" s="50"/>
      <c r="H771" s="59" t="str">
        <f t="shared" si="47"/>
        <v/>
      </c>
      <c r="I771" s="17"/>
      <c r="J771" s="17"/>
    </row>
    <row r="772" spans="1:10">
      <c r="A772" s="17">
        <f t="shared" si="44"/>
        <v>767</v>
      </c>
      <c r="B772" s="18"/>
      <c r="C772" s="36" t="str">
        <f t="shared" si="45"/>
        <v/>
      </c>
      <c r="D772" s="36" t="str">
        <f t="shared" si="46"/>
        <v/>
      </c>
      <c r="E772" s="17"/>
      <c r="F772" s="60"/>
      <c r="G772" s="50"/>
      <c r="H772" s="59" t="str">
        <f t="shared" si="47"/>
        <v/>
      </c>
      <c r="I772" s="17"/>
      <c r="J772" s="17"/>
    </row>
    <row r="773" spans="1:10">
      <c r="A773" s="17">
        <f t="shared" si="44"/>
        <v>768</v>
      </c>
      <c r="B773" s="18"/>
      <c r="C773" s="36" t="str">
        <f t="shared" si="45"/>
        <v/>
      </c>
      <c r="D773" s="36" t="str">
        <f t="shared" si="46"/>
        <v/>
      </c>
      <c r="E773" s="17"/>
      <c r="F773" s="60"/>
      <c r="G773" s="50"/>
      <c r="H773" s="59" t="str">
        <f t="shared" si="47"/>
        <v/>
      </c>
      <c r="I773" s="17"/>
      <c r="J773" s="17"/>
    </row>
    <row r="774" spans="1:10">
      <c r="A774" s="17">
        <f t="shared" si="44"/>
        <v>769</v>
      </c>
      <c r="B774" s="18"/>
      <c r="C774" s="36" t="str">
        <f t="shared" si="45"/>
        <v/>
      </c>
      <c r="D774" s="36" t="str">
        <f t="shared" si="46"/>
        <v/>
      </c>
      <c r="E774" s="17"/>
      <c r="F774" s="60"/>
      <c r="G774" s="50"/>
      <c r="H774" s="59" t="str">
        <f t="shared" si="47"/>
        <v/>
      </c>
      <c r="I774" s="17"/>
      <c r="J774" s="17"/>
    </row>
    <row r="775" spans="1:10">
      <c r="A775" s="17">
        <f t="shared" ref="A775:A838" si="48">ROW(A770)</f>
        <v>770</v>
      </c>
      <c r="B775" s="18"/>
      <c r="C775" s="36" t="str">
        <f t="shared" ref="C775:C838" si="49">IF(B775=0,"",TEXT(B775,"mmmm"))</f>
        <v/>
      </c>
      <c r="D775" s="36" t="str">
        <f t="shared" ref="D775:D838" si="50">IF(B775=0,"",TEXT(B775,"yyyy"))</f>
        <v/>
      </c>
      <c r="E775" s="17"/>
      <c r="F775" s="60"/>
      <c r="G775" s="50"/>
      <c r="H775" s="59" t="str">
        <f t="shared" ref="H775:H838" si="51">IF(G775*F775=0,"",G775*F775)</f>
        <v/>
      </c>
      <c r="I775" s="17"/>
      <c r="J775" s="17"/>
    </row>
    <row r="776" spans="1:10">
      <c r="A776" s="17">
        <f t="shared" si="48"/>
        <v>771</v>
      </c>
      <c r="B776" s="18"/>
      <c r="C776" s="36" t="str">
        <f t="shared" si="49"/>
        <v/>
      </c>
      <c r="D776" s="36" t="str">
        <f t="shared" si="50"/>
        <v/>
      </c>
      <c r="E776" s="17"/>
      <c r="F776" s="60"/>
      <c r="G776" s="50"/>
      <c r="H776" s="59" t="str">
        <f t="shared" si="51"/>
        <v/>
      </c>
      <c r="I776" s="17"/>
      <c r="J776" s="17"/>
    </row>
    <row r="777" spans="1:10">
      <c r="A777" s="17">
        <f t="shared" si="48"/>
        <v>772</v>
      </c>
      <c r="B777" s="18"/>
      <c r="C777" s="36" t="str">
        <f t="shared" si="49"/>
        <v/>
      </c>
      <c r="D777" s="36" t="str">
        <f t="shared" si="50"/>
        <v/>
      </c>
      <c r="E777" s="17"/>
      <c r="F777" s="60"/>
      <c r="G777" s="50"/>
      <c r="H777" s="59" t="str">
        <f t="shared" si="51"/>
        <v/>
      </c>
      <c r="I777" s="17"/>
      <c r="J777" s="17"/>
    </row>
    <row r="778" spans="1:10">
      <c r="A778" s="17">
        <f t="shared" si="48"/>
        <v>773</v>
      </c>
      <c r="B778" s="18"/>
      <c r="C778" s="36" t="str">
        <f t="shared" si="49"/>
        <v/>
      </c>
      <c r="D778" s="36" t="str">
        <f t="shared" si="50"/>
        <v/>
      </c>
      <c r="E778" s="17"/>
      <c r="F778" s="60"/>
      <c r="G778" s="50"/>
      <c r="H778" s="59" t="str">
        <f t="shared" si="51"/>
        <v/>
      </c>
      <c r="I778" s="17"/>
      <c r="J778" s="17"/>
    </row>
    <row r="779" spans="1:10">
      <c r="A779" s="17">
        <f t="shared" si="48"/>
        <v>774</v>
      </c>
      <c r="B779" s="18"/>
      <c r="C779" s="36" t="str">
        <f t="shared" si="49"/>
        <v/>
      </c>
      <c r="D779" s="36" t="str">
        <f t="shared" si="50"/>
        <v/>
      </c>
      <c r="E779" s="17"/>
      <c r="F779" s="60"/>
      <c r="G779" s="50"/>
      <c r="H779" s="59" t="str">
        <f t="shared" si="51"/>
        <v/>
      </c>
      <c r="I779" s="17"/>
      <c r="J779" s="17"/>
    </row>
    <row r="780" spans="1:10">
      <c r="A780" s="17">
        <f t="shared" si="48"/>
        <v>775</v>
      </c>
      <c r="B780" s="18"/>
      <c r="C780" s="36" t="str">
        <f t="shared" si="49"/>
        <v/>
      </c>
      <c r="D780" s="36" t="str">
        <f t="shared" si="50"/>
        <v/>
      </c>
      <c r="E780" s="17"/>
      <c r="F780" s="60"/>
      <c r="G780" s="50"/>
      <c r="H780" s="59" t="str">
        <f t="shared" si="51"/>
        <v/>
      </c>
      <c r="I780" s="17"/>
      <c r="J780" s="17"/>
    </row>
    <row r="781" spans="1:10">
      <c r="A781" s="17">
        <f t="shared" si="48"/>
        <v>776</v>
      </c>
      <c r="B781" s="18"/>
      <c r="C781" s="36" t="str">
        <f t="shared" si="49"/>
        <v/>
      </c>
      <c r="D781" s="36" t="str">
        <f t="shared" si="50"/>
        <v/>
      </c>
      <c r="E781" s="17"/>
      <c r="F781" s="60"/>
      <c r="G781" s="50"/>
      <c r="H781" s="59" t="str">
        <f t="shared" si="51"/>
        <v/>
      </c>
      <c r="I781" s="17"/>
      <c r="J781" s="17"/>
    </row>
    <row r="782" spans="1:10">
      <c r="A782" s="17">
        <f t="shared" si="48"/>
        <v>777</v>
      </c>
      <c r="B782" s="18"/>
      <c r="C782" s="36" t="str">
        <f t="shared" si="49"/>
        <v/>
      </c>
      <c r="D782" s="36" t="str">
        <f t="shared" si="50"/>
        <v/>
      </c>
      <c r="E782" s="17"/>
      <c r="F782" s="60"/>
      <c r="G782" s="50"/>
      <c r="H782" s="59" t="str">
        <f t="shared" si="51"/>
        <v/>
      </c>
      <c r="I782" s="17"/>
      <c r="J782" s="17"/>
    </row>
    <row r="783" spans="1:10">
      <c r="A783" s="17">
        <f t="shared" si="48"/>
        <v>778</v>
      </c>
      <c r="B783" s="18"/>
      <c r="C783" s="36" t="str">
        <f t="shared" si="49"/>
        <v/>
      </c>
      <c r="D783" s="36" t="str">
        <f t="shared" si="50"/>
        <v/>
      </c>
      <c r="E783" s="17"/>
      <c r="F783" s="60"/>
      <c r="G783" s="50"/>
      <c r="H783" s="59" t="str">
        <f t="shared" si="51"/>
        <v/>
      </c>
      <c r="I783" s="17"/>
      <c r="J783" s="17"/>
    </row>
    <row r="784" spans="1:10">
      <c r="A784" s="17">
        <f t="shared" si="48"/>
        <v>779</v>
      </c>
      <c r="B784" s="18"/>
      <c r="C784" s="36" t="str">
        <f t="shared" si="49"/>
        <v/>
      </c>
      <c r="D784" s="36" t="str">
        <f t="shared" si="50"/>
        <v/>
      </c>
      <c r="E784" s="17"/>
      <c r="F784" s="60"/>
      <c r="G784" s="50"/>
      <c r="H784" s="59" t="str">
        <f t="shared" si="51"/>
        <v/>
      </c>
      <c r="I784" s="17"/>
      <c r="J784" s="17"/>
    </row>
    <row r="785" spans="1:10">
      <c r="A785" s="17">
        <f t="shared" si="48"/>
        <v>780</v>
      </c>
      <c r="B785" s="18"/>
      <c r="C785" s="36" t="str">
        <f t="shared" si="49"/>
        <v/>
      </c>
      <c r="D785" s="36" t="str">
        <f t="shared" si="50"/>
        <v/>
      </c>
      <c r="E785" s="17"/>
      <c r="F785" s="60"/>
      <c r="G785" s="50"/>
      <c r="H785" s="59" t="str">
        <f t="shared" si="51"/>
        <v/>
      </c>
      <c r="I785" s="17"/>
      <c r="J785" s="17"/>
    </row>
    <row r="786" spans="1:10">
      <c r="A786" s="17">
        <f t="shared" si="48"/>
        <v>781</v>
      </c>
      <c r="B786" s="18"/>
      <c r="C786" s="36" t="str">
        <f t="shared" si="49"/>
        <v/>
      </c>
      <c r="D786" s="36" t="str">
        <f t="shared" si="50"/>
        <v/>
      </c>
      <c r="E786" s="17"/>
      <c r="F786" s="60"/>
      <c r="G786" s="50"/>
      <c r="H786" s="59" t="str">
        <f t="shared" si="51"/>
        <v/>
      </c>
      <c r="I786" s="17"/>
      <c r="J786" s="17"/>
    </row>
    <row r="787" spans="1:10">
      <c r="A787" s="17">
        <f t="shared" si="48"/>
        <v>782</v>
      </c>
      <c r="B787" s="18"/>
      <c r="C787" s="36" t="str">
        <f t="shared" si="49"/>
        <v/>
      </c>
      <c r="D787" s="36" t="str">
        <f t="shared" si="50"/>
        <v/>
      </c>
      <c r="E787" s="17"/>
      <c r="F787" s="60"/>
      <c r="G787" s="50"/>
      <c r="H787" s="59" t="str">
        <f t="shared" si="51"/>
        <v/>
      </c>
      <c r="I787" s="17"/>
      <c r="J787" s="17"/>
    </row>
    <row r="788" spans="1:10">
      <c r="A788" s="17">
        <f t="shared" si="48"/>
        <v>783</v>
      </c>
      <c r="B788" s="18"/>
      <c r="C788" s="36" t="str">
        <f t="shared" si="49"/>
        <v/>
      </c>
      <c r="D788" s="36" t="str">
        <f t="shared" si="50"/>
        <v/>
      </c>
      <c r="E788" s="17"/>
      <c r="F788" s="60"/>
      <c r="G788" s="50"/>
      <c r="H788" s="59" t="str">
        <f t="shared" si="51"/>
        <v/>
      </c>
      <c r="I788" s="17"/>
      <c r="J788" s="17"/>
    </row>
    <row r="789" spans="1:10">
      <c r="A789" s="17">
        <f t="shared" si="48"/>
        <v>784</v>
      </c>
      <c r="B789" s="18"/>
      <c r="C789" s="36" t="str">
        <f t="shared" si="49"/>
        <v/>
      </c>
      <c r="D789" s="36" t="str">
        <f t="shared" si="50"/>
        <v/>
      </c>
      <c r="E789" s="17"/>
      <c r="F789" s="60"/>
      <c r="G789" s="50"/>
      <c r="H789" s="59" t="str">
        <f t="shared" si="51"/>
        <v/>
      </c>
      <c r="I789" s="17"/>
      <c r="J789" s="17"/>
    </row>
    <row r="790" spans="1:10">
      <c r="A790" s="17">
        <f t="shared" si="48"/>
        <v>785</v>
      </c>
      <c r="B790" s="18"/>
      <c r="C790" s="36" t="str">
        <f t="shared" si="49"/>
        <v/>
      </c>
      <c r="D790" s="36" t="str">
        <f t="shared" si="50"/>
        <v/>
      </c>
      <c r="E790" s="17"/>
      <c r="F790" s="60"/>
      <c r="G790" s="50"/>
      <c r="H790" s="59" t="str">
        <f t="shared" si="51"/>
        <v/>
      </c>
      <c r="I790" s="17"/>
      <c r="J790" s="17"/>
    </row>
    <row r="791" spans="1:10">
      <c r="A791" s="17">
        <f t="shared" si="48"/>
        <v>786</v>
      </c>
      <c r="B791" s="18"/>
      <c r="C791" s="36" t="str">
        <f t="shared" si="49"/>
        <v/>
      </c>
      <c r="D791" s="36" t="str">
        <f t="shared" si="50"/>
        <v/>
      </c>
      <c r="E791" s="17"/>
      <c r="F791" s="60"/>
      <c r="G791" s="50"/>
      <c r="H791" s="59" t="str">
        <f t="shared" si="51"/>
        <v/>
      </c>
      <c r="I791" s="17"/>
      <c r="J791" s="17"/>
    </row>
    <row r="792" spans="1:10">
      <c r="A792" s="17">
        <f t="shared" si="48"/>
        <v>787</v>
      </c>
      <c r="B792" s="18"/>
      <c r="C792" s="36" t="str">
        <f t="shared" si="49"/>
        <v/>
      </c>
      <c r="D792" s="36" t="str">
        <f t="shared" si="50"/>
        <v/>
      </c>
      <c r="E792" s="17"/>
      <c r="F792" s="60"/>
      <c r="G792" s="50"/>
      <c r="H792" s="59" t="str">
        <f t="shared" si="51"/>
        <v/>
      </c>
      <c r="I792" s="17"/>
      <c r="J792" s="17"/>
    </row>
    <row r="793" spans="1:10">
      <c r="A793" s="17">
        <f t="shared" si="48"/>
        <v>788</v>
      </c>
      <c r="B793" s="18"/>
      <c r="C793" s="36" t="str">
        <f t="shared" si="49"/>
        <v/>
      </c>
      <c r="D793" s="36" t="str">
        <f t="shared" si="50"/>
        <v/>
      </c>
      <c r="E793" s="17"/>
      <c r="F793" s="60"/>
      <c r="G793" s="50"/>
      <c r="H793" s="59" t="str">
        <f t="shared" si="51"/>
        <v/>
      </c>
      <c r="I793" s="17"/>
      <c r="J793" s="17"/>
    </row>
    <row r="794" spans="1:10">
      <c r="A794" s="17">
        <f t="shared" si="48"/>
        <v>789</v>
      </c>
      <c r="B794" s="18"/>
      <c r="C794" s="36" t="str">
        <f t="shared" si="49"/>
        <v/>
      </c>
      <c r="D794" s="36" t="str">
        <f t="shared" si="50"/>
        <v/>
      </c>
      <c r="E794" s="17"/>
      <c r="F794" s="60"/>
      <c r="G794" s="50"/>
      <c r="H794" s="59" t="str">
        <f t="shared" si="51"/>
        <v/>
      </c>
      <c r="I794" s="17"/>
      <c r="J794" s="17"/>
    </row>
    <row r="795" spans="1:10">
      <c r="A795" s="17">
        <f t="shared" si="48"/>
        <v>790</v>
      </c>
      <c r="B795" s="18"/>
      <c r="C795" s="36" t="str">
        <f t="shared" si="49"/>
        <v/>
      </c>
      <c r="D795" s="36" t="str">
        <f t="shared" si="50"/>
        <v/>
      </c>
      <c r="E795" s="17"/>
      <c r="F795" s="60"/>
      <c r="G795" s="50"/>
      <c r="H795" s="59" t="str">
        <f t="shared" si="51"/>
        <v/>
      </c>
      <c r="I795" s="17"/>
      <c r="J795" s="17"/>
    </row>
    <row r="796" spans="1:10">
      <c r="A796" s="17">
        <f t="shared" si="48"/>
        <v>791</v>
      </c>
      <c r="B796" s="18"/>
      <c r="C796" s="36" t="str">
        <f t="shared" si="49"/>
        <v/>
      </c>
      <c r="D796" s="36" t="str">
        <f t="shared" si="50"/>
        <v/>
      </c>
      <c r="E796" s="17"/>
      <c r="F796" s="60"/>
      <c r="G796" s="50"/>
      <c r="H796" s="59" t="str">
        <f t="shared" si="51"/>
        <v/>
      </c>
      <c r="I796" s="17"/>
      <c r="J796" s="17"/>
    </row>
    <row r="797" spans="1:10">
      <c r="A797" s="17">
        <f t="shared" si="48"/>
        <v>792</v>
      </c>
      <c r="B797" s="18"/>
      <c r="C797" s="36" t="str">
        <f t="shared" si="49"/>
        <v/>
      </c>
      <c r="D797" s="36" t="str">
        <f t="shared" si="50"/>
        <v/>
      </c>
      <c r="E797" s="17"/>
      <c r="F797" s="60"/>
      <c r="G797" s="50"/>
      <c r="H797" s="59" t="str">
        <f t="shared" si="51"/>
        <v/>
      </c>
      <c r="I797" s="17"/>
      <c r="J797" s="17"/>
    </row>
    <row r="798" spans="1:10">
      <c r="A798" s="17">
        <f t="shared" si="48"/>
        <v>793</v>
      </c>
      <c r="B798" s="18"/>
      <c r="C798" s="36" t="str">
        <f t="shared" si="49"/>
        <v/>
      </c>
      <c r="D798" s="36" t="str">
        <f t="shared" si="50"/>
        <v/>
      </c>
      <c r="E798" s="17"/>
      <c r="F798" s="60"/>
      <c r="G798" s="50"/>
      <c r="H798" s="59" t="str">
        <f t="shared" si="51"/>
        <v/>
      </c>
      <c r="I798" s="17"/>
      <c r="J798" s="17"/>
    </row>
    <row r="799" spans="1:10">
      <c r="A799" s="17">
        <f t="shared" si="48"/>
        <v>794</v>
      </c>
      <c r="B799" s="18"/>
      <c r="C799" s="36" t="str">
        <f t="shared" si="49"/>
        <v/>
      </c>
      <c r="D799" s="36" t="str">
        <f t="shared" si="50"/>
        <v/>
      </c>
      <c r="E799" s="17"/>
      <c r="F799" s="60"/>
      <c r="G799" s="50"/>
      <c r="H799" s="59" t="str">
        <f t="shared" si="51"/>
        <v/>
      </c>
      <c r="I799" s="17"/>
      <c r="J799" s="17"/>
    </row>
    <row r="800" spans="1:10">
      <c r="A800" s="17">
        <f t="shared" si="48"/>
        <v>795</v>
      </c>
      <c r="B800" s="18"/>
      <c r="C800" s="36" t="str">
        <f t="shared" si="49"/>
        <v/>
      </c>
      <c r="D800" s="36" t="str">
        <f t="shared" si="50"/>
        <v/>
      </c>
      <c r="E800" s="17"/>
      <c r="F800" s="60"/>
      <c r="G800" s="50"/>
      <c r="H800" s="59" t="str">
        <f t="shared" si="51"/>
        <v/>
      </c>
      <c r="I800" s="17"/>
      <c r="J800" s="17"/>
    </row>
    <row r="801" spans="1:10">
      <c r="A801" s="17">
        <f t="shared" si="48"/>
        <v>796</v>
      </c>
      <c r="B801" s="18"/>
      <c r="C801" s="36" t="str">
        <f t="shared" si="49"/>
        <v/>
      </c>
      <c r="D801" s="36" t="str">
        <f t="shared" si="50"/>
        <v/>
      </c>
      <c r="E801" s="17"/>
      <c r="F801" s="60"/>
      <c r="G801" s="50"/>
      <c r="H801" s="59" t="str">
        <f t="shared" si="51"/>
        <v/>
      </c>
      <c r="I801" s="17"/>
      <c r="J801" s="17"/>
    </row>
    <row r="802" spans="1:10">
      <c r="A802" s="17">
        <f t="shared" si="48"/>
        <v>797</v>
      </c>
      <c r="B802" s="18"/>
      <c r="C802" s="36" t="str">
        <f t="shared" si="49"/>
        <v/>
      </c>
      <c r="D802" s="36" t="str">
        <f t="shared" si="50"/>
        <v/>
      </c>
      <c r="E802" s="17"/>
      <c r="F802" s="60"/>
      <c r="G802" s="50"/>
      <c r="H802" s="59" t="str">
        <f t="shared" si="51"/>
        <v/>
      </c>
      <c r="I802" s="17"/>
      <c r="J802" s="17"/>
    </row>
    <row r="803" spans="1:10">
      <c r="A803" s="17">
        <f t="shared" si="48"/>
        <v>798</v>
      </c>
      <c r="B803" s="18"/>
      <c r="C803" s="36" t="str">
        <f t="shared" si="49"/>
        <v/>
      </c>
      <c r="D803" s="36" t="str">
        <f t="shared" si="50"/>
        <v/>
      </c>
      <c r="E803" s="17"/>
      <c r="F803" s="60"/>
      <c r="G803" s="50"/>
      <c r="H803" s="59" t="str">
        <f t="shared" si="51"/>
        <v/>
      </c>
      <c r="I803" s="17"/>
      <c r="J803" s="17"/>
    </row>
    <row r="804" spans="1:10">
      <c r="A804" s="17">
        <f t="shared" si="48"/>
        <v>799</v>
      </c>
      <c r="B804" s="18"/>
      <c r="C804" s="36" t="str">
        <f t="shared" si="49"/>
        <v/>
      </c>
      <c r="D804" s="36" t="str">
        <f t="shared" si="50"/>
        <v/>
      </c>
      <c r="E804" s="17"/>
      <c r="F804" s="60"/>
      <c r="G804" s="50"/>
      <c r="H804" s="59" t="str">
        <f t="shared" si="51"/>
        <v/>
      </c>
      <c r="I804" s="17"/>
      <c r="J804" s="17"/>
    </row>
    <row r="805" spans="1:10">
      <c r="A805" s="17">
        <f t="shared" si="48"/>
        <v>800</v>
      </c>
      <c r="B805" s="18"/>
      <c r="C805" s="36" t="str">
        <f t="shared" si="49"/>
        <v/>
      </c>
      <c r="D805" s="36" t="str">
        <f t="shared" si="50"/>
        <v/>
      </c>
      <c r="E805" s="17"/>
      <c r="F805" s="60"/>
      <c r="G805" s="50"/>
      <c r="H805" s="59" t="str">
        <f t="shared" si="51"/>
        <v/>
      </c>
      <c r="I805" s="17"/>
      <c r="J805" s="17"/>
    </row>
    <row r="806" spans="1:10">
      <c r="A806" s="17">
        <f t="shared" si="48"/>
        <v>801</v>
      </c>
      <c r="B806" s="18"/>
      <c r="C806" s="36" t="str">
        <f t="shared" si="49"/>
        <v/>
      </c>
      <c r="D806" s="36" t="str">
        <f t="shared" si="50"/>
        <v/>
      </c>
      <c r="E806" s="17"/>
      <c r="F806" s="60"/>
      <c r="G806" s="50"/>
      <c r="H806" s="59" t="str">
        <f t="shared" si="51"/>
        <v/>
      </c>
      <c r="I806" s="17"/>
      <c r="J806" s="17"/>
    </row>
    <row r="807" spans="1:10">
      <c r="A807" s="17">
        <f t="shared" si="48"/>
        <v>802</v>
      </c>
      <c r="B807" s="18"/>
      <c r="C807" s="36" t="str">
        <f t="shared" si="49"/>
        <v/>
      </c>
      <c r="D807" s="36" t="str">
        <f t="shared" si="50"/>
        <v/>
      </c>
      <c r="E807" s="17"/>
      <c r="F807" s="60"/>
      <c r="G807" s="50"/>
      <c r="H807" s="59" t="str">
        <f t="shared" si="51"/>
        <v/>
      </c>
      <c r="I807" s="17"/>
      <c r="J807" s="17"/>
    </row>
    <row r="808" spans="1:10">
      <c r="A808" s="17">
        <f t="shared" si="48"/>
        <v>803</v>
      </c>
      <c r="B808" s="18"/>
      <c r="C808" s="36" t="str">
        <f t="shared" si="49"/>
        <v/>
      </c>
      <c r="D808" s="36" t="str">
        <f t="shared" si="50"/>
        <v/>
      </c>
      <c r="E808" s="17"/>
      <c r="F808" s="60"/>
      <c r="G808" s="50"/>
      <c r="H808" s="59" t="str">
        <f t="shared" si="51"/>
        <v/>
      </c>
      <c r="I808" s="17"/>
      <c r="J808" s="17"/>
    </row>
    <row r="809" spans="1:10">
      <c r="A809" s="17">
        <f t="shared" si="48"/>
        <v>804</v>
      </c>
      <c r="B809" s="18"/>
      <c r="C809" s="36" t="str">
        <f t="shared" si="49"/>
        <v/>
      </c>
      <c r="D809" s="36" t="str">
        <f t="shared" si="50"/>
        <v/>
      </c>
      <c r="E809" s="17"/>
      <c r="F809" s="60"/>
      <c r="G809" s="50"/>
      <c r="H809" s="59" t="str">
        <f t="shared" si="51"/>
        <v/>
      </c>
      <c r="I809" s="17"/>
      <c r="J809" s="17"/>
    </row>
    <row r="810" spans="1:10">
      <c r="A810" s="17">
        <f t="shared" si="48"/>
        <v>805</v>
      </c>
      <c r="B810" s="18"/>
      <c r="C810" s="36" t="str">
        <f t="shared" si="49"/>
        <v/>
      </c>
      <c r="D810" s="36" t="str">
        <f t="shared" si="50"/>
        <v/>
      </c>
      <c r="E810" s="17"/>
      <c r="F810" s="60"/>
      <c r="G810" s="50"/>
      <c r="H810" s="59" t="str">
        <f t="shared" si="51"/>
        <v/>
      </c>
      <c r="I810" s="17"/>
      <c r="J810" s="17"/>
    </row>
    <row r="811" spans="1:10">
      <c r="A811" s="17">
        <f t="shared" si="48"/>
        <v>806</v>
      </c>
      <c r="B811" s="18"/>
      <c r="C811" s="36" t="str">
        <f t="shared" si="49"/>
        <v/>
      </c>
      <c r="D811" s="36" t="str">
        <f t="shared" si="50"/>
        <v/>
      </c>
      <c r="E811" s="17"/>
      <c r="F811" s="60"/>
      <c r="G811" s="50"/>
      <c r="H811" s="59" t="str">
        <f t="shared" si="51"/>
        <v/>
      </c>
      <c r="I811" s="17"/>
      <c r="J811" s="17"/>
    </row>
    <row r="812" spans="1:10">
      <c r="A812" s="17">
        <f t="shared" si="48"/>
        <v>807</v>
      </c>
      <c r="B812" s="18"/>
      <c r="C812" s="36" t="str">
        <f t="shared" si="49"/>
        <v/>
      </c>
      <c r="D812" s="36" t="str">
        <f t="shared" si="50"/>
        <v/>
      </c>
      <c r="E812" s="17"/>
      <c r="F812" s="60"/>
      <c r="G812" s="50"/>
      <c r="H812" s="59" t="str">
        <f t="shared" si="51"/>
        <v/>
      </c>
      <c r="I812" s="17"/>
      <c r="J812" s="17"/>
    </row>
    <row r="813" spans="1:10">
      <c r="A813" s="17">
        <f t="shared" si="48"/>
        <v>808</v>
      </c>
      <c r="B813" s="18"/>
      <c r="C813" s="36" t="str">
        <f t="shared" si="49"/>
        <v/>
      </c>
      <c r="D813" s="36" t="str">
        <f t="shared" si="50"/>
        <v/>
      </c>
      <c r="E813" s="17"/>
      <c r="F813" s="60"/>
      <c r="G813" s="50"/>
      <c r="H813" s="59" t="str">
        <f t="shared" si="51"/>
        <v/>
      </c>
      <c r="I813" s="17"/>
      <c r="J813" s="17"/>
    </row>
    <row r="814" spans="1:10">
      <c r="A814" s="17">
        <f t="shared" si="48"/>
        <v>809</v>
      </c>
      <c r="B814" s="18"/>
      <c r="C814" s="36" t="str">
        <f t="shared" si="49"/>
        <v/>
      </c>
      <c r="D814" s="36" t="str">
        <f t="shared" si="50"/>
        <v/>
      </c>
      <c r="E814" s="17"/>
      <c r="F814" s="60"/>
      <c r="G814" s="50"/>
      <c r="H814" s="59" t="str">
        <f t="shared" si="51"/>
        <v/>
      </c>
      <c r="I814" s="17"/>
      <c r="J814" s="17"/>
    </row>
    <row r="815" spans="1:10">
      <c r="A815" s="17">
        <f t="shared" si="48"/>
        <v>810</v>
      </c>
      <c r="B815" s="18"/>
      <c r="C815" s="36" t="str">
        <f t="shared" si="49"/>
        <v/>
      </c>
      <c r="D815" s="36" t="str">
        <f t="shared" si="50"/>
        <v/>
      </c>
      <c r="E815" s="17"/>
      <c r="F815" s="60"/>
      <c r="G815" s="50"/>
      <c r="H815" s="59" t="str">
        <f t="shared" si="51"/>
        <v/>
      </c>
      <c r="I815" s="17"/>
      <c r="J815" s="17"/>
    </row>
    <row r="816" spans="1:10">
      <c r="A816" s="17">
        <f t="shared" si="48"/>
        <v>811</v>
      </c>
      <c r="B816" s="18"/>
      <c r="C816" s="36" t="str">
        <f t="shared" si="49"/>
        <v/>
      </c>
      <c r="D816" s="36" t="str">
        <f t="shared" si="50"/>
        <v/>
      </c>
      <c r="E816" s="17"/>
      <c r="F816" s="60"/>
      <c r="G816" s="50"/>
      <c r="H816" s="59" t="str">
        <f t="shared" si="51"/>
        <v/>
      </c>
      <c r="I816" s="17"/>
      <c r="J816" s="17"/>
    </row>
    <row r="817" spans="1:10">
      <c r="A817" s="17">
        <f t="shared" si="48"/>
        <v>812</v>
      </c>
      <c r="B817" s="18"/>
      <c r="C817" s="36" t="str">
        <f t="shared" si="49"/>
        <v/>
      </c>
      <c r="D817" s="36" t="str">
        <f t="shared" si="50"/>
        <v/>
      </c>
      <c r="E817" s="17"/>
      <c r="F817" s="60"/>
      <c r="G817" s="50"/>
      <c r="H817" s="59" t="str">
        <f t="shared" si="51"/>
        <v/>
      </c>
      <c r="I817" s="17"/>
      <c r="J817" s="17"/>
    </row>
    <row r="818" spans="1:10">
      <c r="A818" s="17">
        <f t="shared" si="48"/>
        <v>813</v>
      </c>
      <c r="B818" s="18"/>
      <c r="C818" s="36" t="str">
        <f t="shared" si="49"/>
        <v/>
      </c>
      <c r="D818" s="36" t="str">
        <f t="shared" si="50"/>
        <v/>
      </c>
      <c r="E818" s="17"/>
      <c r="F818" s="60"/>
      <c r="G818" s="50"/>
      <c r="H818" s="59" t="str">
        <f t="shared" si="51"/>
        <v/>
      </c>
      <c r="I818" s="17"/>
      <c r="J818" s="17"/>
    </row>
    <row r="819" spans="1:10">
      <c r="A819" s="17">
        <f t="shared" si="48"/>
        <v>814</v>
      </c>
      <c r="B819" s="18"/>
      <c r="C819" s="36" t="str">
        <f t="shared" si="49"/>
        <v/>
      </c>
      <c r="D819" s="36" t="str">
        <f t="shared" si="50"/>
        <v/>
      </c>
      <c r="E819" s="17"/>
      <c r="F819" s="60"/>
      <c r="G819" s="50"/>
      <c r="H819" s="59" t="str">
        <f t="shared" si="51"/>
        <v/>
      </c>
      <c r="I819" s="17"/>
      <c r="J819" s="17"/>
    </row>
    <row r="820" spans="1:10">
      <c r="A820" s="17">
        <f t="shared" si="48"/>
        <v>815</v>
      </c>
      <c r="B820" s="18"/>
      <c r="C820" s="36" t="str">
        <f t="shared" si="49"/>
        <v/>
      </c>
      <c r="D820" s="36" t="str">
        <f t="shared" si="50"/>
        <v/>
      </c>
      <c r="E820" s="17"/>
      <c r="F820" s="60"/>
      <c r="G820" s="50"/>
      <c r="H820" s="59" t="str">
        <f t="shared" si="51"/>
        <v/>
      </c>
      <c r="I820" s="17"/>
      <c r="J820" s="17"/>
    </row>
    <row r="821" spans="1:10">
      <c r="A821" s="17">
        <f t="shared" si="48"/>
        <v>816</v>
      </c>
      <c r="B821" s="18"/>
      <c r="C821" s="36" t="str">
        <f t="shared" si="49"/>
        <v/>
      </c>
      <c r="D821" s="36" t="str">
        <f t="shared" si="50"/>
        <v/>
      </c>
      <c r="E821" s="17"/>
      <c r="F821" s="60"/>
      <c r="G821" s="50"/>
      <c r="H821" s="59" t="str">
        <f t="shared" si="51"/>
        <v/>
      </c>
      <c r="I821" s="17"/>
      <c r="J821" s="17"/>
    </row>
    <row r="822" spans="1:10">
      <c r="A822" s="17">
        <f t="shared" si="48"/>
        <v>817</v>
      </c>
      <c r="B822" s="18"/>
      <c r="C822" s="36" t="str">
        <f t="shared" si="49"/>
        <v/>
      </c>
      <c r="D822" s="36" t="str">
        <f t="shared" si="50"/>
        <v/>
      </c>
      <c r="E822" s="17"/>
      <c r="F822" s="60"/>
      <c r="G822" s="50"/>
      <c r="H822" s="59" t="str">
        <f t="shared" si="51"/>
        <v/>
      </c>
      <c r="I822" s="17"/>
      <c r="J822" s="17"/>
    </row>
    <row r="823" spans="1:10">
      <c r="A823" s="17">
        <f t="shared" si="48"/>
        <v>818</v>
      </c>
      <c r="B823" s="18"/>
      <c r="C823" s="36" t="str">
        <f t="shared" si="49"/>
        <v/>
      </c>
      <c r="D823" s="36" t="str">
        <f t="shared" si="50"/>
        <v/>
      </c>
      <c r="E823" s="17"/>
      <c r="F823" s="60"/>
      <c r="G823" s="50"/>
      <c r="H823" s="59" t="str">
        <f t="shared" si="51"/>
        <v/>
      </c>
      <c r="I823" s="17"/>
      <c r="J823" s="17"/>
    </row>
    <row r="824" spans="1:10">
      <c r="A824" s="17">
        <f t="shared" si="48"/>
        <v>819</v>
      </c>
      <c r="B824" s="18"/>
      <c r="C824" s="36" t="str">
        <f t="shared" si="49"/>
        <v/>
      </c>
      <c r="D824" s="36" t="str">
        <f t="shared" si="50"/>
        <v/>
      </c>
      <c r="E824" s="17"/>
      <c r="F824" s="60"/>
      <c r="G824" s="50"/>
      <c r="H824" s="59" t="str">
        <f t="shared" si="51"/>
        <v/>
      </c>
      <c r="I824" s="17"/>
      <c r="J824" s="17"/>
    </row>
    <row r="825" spans="1:10">
      <c r="A825" s="17">
        <f t="shared" si="48"/>
        <v>820</v>
      </c>
      <c r="B825" s="18"/>
      <c r="C825" s="36" t="str">
        <f t="shared" si="49"/>
        <v/>
      </c>
      <c r="D825" s="36" t="str">
        <f t="shared" si="50"/>
        <v/>
      </c>
      <c r="E825" s="17"/>
      <c r="F825" s="60"/>
      <c r="G825" s="50"/>
      <c r="H825" s="59" t="str">
        <f t="shared" si="51"/>
        <v/>
      </c>
      <c r="I825" s="17"/>
      <c r="J825" s="17"/>
    </row>
    <row r="826" spans="1:10">
      <c r="A826" s="17">
        <f t="shared" si="48"/>
        <v>821</v>
      </c>
      <c r="B826" s="18"/>
      <c r="C826" s="36" t="str">
        <f t="shared" si="49"/>
        <v/>
      </c>
      <c r="D826" s="36" t="str">
        <f t="shared" si="50"/>
        <v/>
      </c>
      <c r="E826" s="17"/>
      <c r="F826" s="60"/>
      <c r="G826" s="50"/>
      <c r="H826" s="59" t="str">
        <f t="shared" si="51"/>
        <v/>
      </c>
      <c r="I826" s="17"/>
      <c r="J826" s="17"/>
    </row>
    <row r="827" spans="1:10">
      <c r="A827" s="17">
        <f t="shared" si="48"/>
        <v>822</v>
      </c>
      <c r="B827" s="18"/>
      <c r="C827" s="36" t="str">
        <f t="shared" si="49"/>
        <v/>
      </c>
      <c r="D827" s="36" t="str">
        <f t="shared" si="50"/>
        <v/>
      </c>
      <c r="E827" s="17"/>
      <c r="F827" s="60"/>
      <c r="G827" s="50"/>
      <c r="H827" s="59" t="str">
        <f t="shared" si="51"/>
        <v/>
      </c>
      <c r="I827" s="17"/>
      <c r="J827" s="17"/>
    </row>
    <row r="828" spans="1:10">
      <c r="A828" s="17">
        <f t="shared" si="48"/>
        <v>823</v>
      </c>
      <c r="B828" s="18"/>
      <c r="C828" s="36" t="str">
        <f t="shared" si="49"/>
        <v/>
      </c>
      <c r="D828" s="36" t="str">
        <f t="shared" si="50"/>
        <v/>
      </c>
      <c r="E828" s="17"/>
      <c r="F828" s="60"/>
      <c r="G828" s="50"/>
      <c r="H828" s="59" t="str">
        <f t="shared" si="51"/>
        <v/>
      </c>
      <c r="I828" s="17"/>
      <c r="J828" s="17"/>
    </row>
    <row r="829" spans="1:10">
      <c r="A829" s="17">
        <f t="shared" si="48"/>
        <v>824</v>
      </c>
      <c r="B829" s="18"/>
      <c r="C829" s="36" t="str">
        <f t="shared" si="49"/>
        <v/>
      </c>
      <c r="D829" s="36" t="str">
        <f t="shared" si="50"/>
        <v/>
      </c>
      <c r="E829" s="17"/>
      <c r="F829" s="60"/>
      <c r="G829" s="50"/>
      <c r="H829" s="59" t="str">
        <f t="shared" si="51"/>
        <v/>
      </c>
      <c r="I829" s="17"/>
      <c r="J829" s="17"/>
    </row>
    <row r="830" spans="1:10">
      <c r="A830" s="17">
        <f t="shared" si="48"/>
        <v>825</v>
      </c>
      <c r="B830" s="18"/>
      <c r="C830" s="36" t="str">
        <f t="shared" si="49"/>
        <v/>
      </c>
      <c r="D830" s="36" t="str">
        <f t="shared" si="50"/>
        <v/>
      </c>
      <c r="E830" s="17"/>
      <c r="F830" s="60"/>
      <c r="G830" s="50"/>
      <c r="H830" s="59" t="str">
        <f t="shared" si="51"/>
        <v/>
      </c>
      <c r="I830" s="17"/>
      <c r="J830" s="17"/>
    </row>
    <row r="831" spans="1:10">
      <c r="A831" s="17">
        <f t="shared" si="48"/>
        <v>826</v>
      </c>
      <c r="B831" s="18"/>
      <c r="C831" s="36" t="str">
        <f t="shared" si="49"/>
        <v/>
      </c>
      <c r="D831" s="36" t="str">
        <f t="shared" si="50"/>
        <v/>
      </c>
      <c r="E831" s="17"/>
      <c r="F831" s="60"/>
      <c r="G831" s="50"/>
      <c r="H831" s="59" t="str">
        <f t="shared" si="51"/>
        <v/>
      </c>
      <c r="I831" s="17"/>
      <c r="J831" s="17"/>
    </row>
    <row r="832" spans="1:10">
      <c r="A832" s="17">
        <f t="shared" si="48"/>
        <v>827</v>
      </c>
      <c r="B832" s="18"/>
      <c r="C832" s="36" t="str">
        <f t="shared" si="49"/>
        <v/>
      </c>
      <c r="D832" s="36" t="str">
        <f t="shared" si="50"/>
        <v/>
      </c>
      <c r="E832" s="17"/>
      <c r="F832" s="60"/>
      <c r="G832" s="50"/>
      <c r="H832" s="59" t="str">
        <f t="shared" si="51"/>
        <v/>
      </c>
      <c r="I832" s="17"/>
      <c r="J832" s="17"/>
    </row>
    <row r="833" spans="1:10">
      <c r="A833" s="17">
        <f t="shared" si="48"/>
        <v>828</v>
      </c>
      <c r="B833" s="18"/>
      <c r="C833" s="36" t="str">
        <f t="shared" si="49"/>
        <v/>
      </c>
      <c r="D833" s="36" t="str">
        <f t="shared" si="50"/>
        <v/>
      </c>
      <c r="E833" s="17"/>
      <c r="F833" s="60"/>
      <c r="G833" s="50"/>
      <c r="H833" s="59" t="str">
        <f t="shared" si="51"/>
        <v/>
      </c>
      <c r="I833" s="17"/>
      <c r="J833" s="17"/>
    </row>
    <row r="834" spans="1:10">
      <c r="A834" s="17">
        <f t="shared" si="48"/>
        <v>829</v>
      </c>
      <c r="B834" s="18"/>
      <c r="C834" s="36" t="str">
        <f t="shared" si="49"/>
        <v/>
      </c>
      <c r="D834" s="36" t="str">
        <f t="shared" si="50"/>
        <v/>
      </c>
      <c r="E834" s="17"/>
      <c r="F834" s="60"/>
      <c r="G834" s="50"/>
      <c r="H834" s="59" t="str">
        <f t="shared" si="51"/>
        <v/>
      </c>
      <c r="I834" s="17"/>
      <c r="J834" s="17"/>
    </row>
    <row r="835" spans="1:10">
      <c r="A835" s="17">
        <f t="shared" si="48"/>
        <v>830</v>
      </c>
      <c r="B835" s="18"/>
      <c r="C835" s="36" t="str">
        <f t="shared" si="49"/>
        <v/>
      </c>
      <c r="D835" s="36" t="str">
        <f t="shared" si="50"/>
        <v/>
      </c>
      <c r="E835" s="17"/>
      <c r="F835" s="60"/>
      <c r="G835" s="50"/>
      <c r="H835" s="59" t="str">
        <f t="shared" si="51"/>
        <v/>
      </c>
      <c r="I835" s="17"/>
      <c r="J835" s="17"/>
    </row>
    <row r="836" spans="1:10">
      <c r="A836" s="17">
        <f t="shared" si="48"/>
        <v>831</v>
      </c>
      <c r="B836" s="18"/>
      <c r="C836" s="36" t="str">
        <f t="shared" si="49"/>
        <v/>
      </c>
      <c r="D836" s="36" t="str">
        <f t="shared" si="50"/>
        <v/>
      </c>
      <c r="E836" s="17"/>
      <c r="F836" s="60"/>
      <c r="G836" s="50"/>
      <c r="H836" s="59" t="str">
        <f t="shared" si="51"/>
        <v/>
      </c>
      <c r="I836" s="17"/>
      <c r="J836" s="17"/>
    </row>
    <row r="837" spans="1:10">
      <c r="A837" s="17">
        <f t="shared" si="48"/>
        <v>832</v>
      </c>
      <c r="B837" s="18"/>
      <c r="C837" s="36" t="str">
        <f t="shared" si="49"/>
        <v/>
      </c>
      <c r="D837" s="36" t="str">
        <f t="shared" si="50"/>
        <v/>
      </c>
      <c r="E837" s="17"/>
      <c r="F837" s="60"/>
      <c r="G837" s="50"/>
      <c r="H837" s="59" t="str">
        <f t="shared" si="51"/>
        <v/>
      </c>
      <c r="I837" s="17"/>
      <c r="J837" s="17"/>
    </row>
    <row r="838" spans="1:10">
      <c r="A838" s="17">
        <f t="shared" si="48"/>
        <v>833</v>
      </c>
      <c r="B838" s="18"/>
      <c r="C838" s="36" t="str">
        <f t="shared" si="49"/>
        <v/>
      </c>
      <c r="D838" s="36" t="str">
        <f t="shared" si="50"/>
        <v/>
      </c>
      <c r="E838" s="17"/>
      <c r="F838" s="60"/>
      <c r="G838" s="50"/>
      <c r="H838" s="59" t="str">
        <f t="shared" si="51"/>
        <v/>
      </c>
      <c r="I838" s="17"/>
      <c r="J838" s="17"/>
    </row>
    <row r="839" spans="1:10">
      <c r="A839" s="17">
        <f t="shared" ref="A839:A885" si="52">ROW(A834)</f>
        <v>834</v>
      </c>
      <c r="B839" s="18"/>
      <c r="C839" s="36" t="str">
        <f t="shared" ref="C839:C885" si="53">IF(B839=0,"",TEXT(B839,"mmmm"))</f>
        <v/>
      </c>
      <c r="D839" s="36" t="str">
        <f t="shared" ref="D839:D885" si="54">IF(B839=0,"",TEXT(B839,"yyyy"))</f>
        <v/>
      </c>
      <c r="E839" s="17"/>
      <c r="F839" s="60"/>
      <c r="G839" s="50"/>
      <c r="H839" s="59" t="str">
        <f t="shared" ref="H839:H885" si="55">IF(G839*F839=0,"",G839*F839)</f>
        <v/>
      </c>
      <c r="I839" s="17"/>
      <c r="J839" s="17"/>
    </row>
    <row r="840" spans="1:10">
      <c r="A840" s="17">
        <f t="shared" si="52"/>
        <v>835</v>
      </c>
      <c r="B840" s="18"/>
      <c r="C840" s="36" t="str">
        <f t="shared" si="53"/>
        <v/>
      </c>
      <c r="D840" s="36" t="str">
        <f t="shared" si="54"/>
        <v/>
      </c>
      <c r="E840" s="17"/>
      <c r="F840" s="60"/>
      <c r="G840" s="50"/>
      <c r="H840" s="59" t="str">
        <f t="shared" si="55"/>
        <v/>
      </c>
      <c r="I840" s="17"/>
      <c r="J840" s="17"/>
    </row>
    <row r="841" spans="1:10">
      <c r="A841" s="17">
        <f t="shared" si="52"/>
        <v>836</v>
      </c>
      <c r="B841" s="18"/>
      <c r="C841" s="36" t="str">
        <f t="shared" si="53"/>
        <v/>
      </c>
      <c r="D841" s="36" t="str">
        <f t="shared" si="54"/>
        <v/>
      </c>
      <c r="E841" s="17"/>
      <c r="F841" s="60"/>
      <c r="G841" s="50"/>
      <c r="H841" s="59" t="str">
        <f t="shared" si="55"/>
        <v/>
      </c>
      <c r="I841" s="17"/>
      <c r="J841" s="17"/>
    </row>
    <row r="842" spans="1:10">
      <c r="A842" s="17">
        <f t="shared" si="52"/>
        <v>837</v>
      </c>
      <c r="B842" s="18"/>
      <c r="C842" s="36" t="str">
        <f t="shared" si="53"/>
        <v/>
      </c>
      <c r="D842" s="36" t="str">
        <f t="shared" si="54"/>
        <v/>
      </c>
      <c r="E842" s="17"/>
      <c r="F842" s="60"/>
      <c r="G842" s="50"/>
      <c r="H842" s="59" t="str">
        <f t="shared" si="55"/>
        <v/>
      </c>
      <c r="I842" s="17"/>
      <c r="J842" s="17"/>
    </row>
    <row r="843" spans="1:10">
      <c r="A843" s="17">
        <f t="shared" si="52"/>
        <v>838</v>
      </c>
      <c r="B843" s="18"/>
      <c r="C843" s="36" t="str">
        <f t="shared" si="53"/>
        <v/>
      </c>
      <c r="D843" s="36" t="str">
        <f t="shared" si="54"/>
        <v/>
      </c>
      <c r="E843" s="17"/>
      <c r="F843" s="60"/>
      <c r="G843" s="50"/>
      <c r="H843" s="59" t="str">
        <f t="shared" si="55"/>
        <v/>
      </c>
      <c r="I843" s="17"/>
      <c r="J843" s="17"/>
    </row>
    <row r="844" spans="1:10">
      <c r="A844" s="17">
        <f t="shared" si="52"/>
        <v>839</v>
      </c>
      <c r="B844" s="18"/>
      <c r="C844" s="36" t="str">
        <f t="shared" si="53"/>
        <v/>
      </c>
      <c r="D844" s="36" t="str">
        <f t="shared" si="54"/>
        <v/>
      </c>
      <c r="E844" s="17"/>
      <c r="F844" s="60"/>
      <c r="G844" s="50"/>
      <c r="H844" s="59" t="str">
        <f t="shared" si="55"/>
        <v/>
      </c>
      <c r="I844" s="17"/>
      <c r="J844" s="17"/>
    </row>
    <row r="845" spans="1:10">
      <c r="A845" s="17">
        <f t="shared" si="52"/>
        <v>840</v>
      </c>
      <c r="B845" s="18"/>
      <c r="C845" s="36" t="str">
        <f t="shared" si="53"/>
        <v/>
      </c>
      <c r="D845" s="36" t="str">
        <f t="shared" si="54"/>
        <v/>
      </c>
      <c r="E845" s="17"/>
      <c r="F845" s="60"/>
      <c r="G845" s="50"/>
      <c r="H845" s="59" t="str">
        <f t="shared" si="55"/>
        <v/>
      </c>
      <c r="I845" s="17"/>
      <c r="J845" s="17"/>
    </row>
    <row r="846" spans="1:10">
      <c r="A846" s="17">
        <f t="shared" si="52"/>
        <v>841</v>
      </c>
      <c r="B846" s="18"/>
      <c r="C846" s="36" t="str">
        <f t="shared" si="53"/>
        <v/>
      </c>
      <c r="D846" s="36" t="str">
        <f t="shared" si="54"/>
        <v/>
      </c>
      <c r="E846" s="17"/>
      <c r="F846" s="60"/>
      <c r="G846" s="50"/>
      <c r="H846" s="59" t="str">
        <f t="shared" si="55"/>
        <v/>
      </c>
      <c r="I846" s="17"/>
      <c r="J846" s="17"/>
    </row>
    <row r="847" spans="1:10">
      <c r="A847" s="17">
        <f t="shared" si="52"/>
        <v>842</v>
      </c>
      <c r="B847" s="18"/>
      <c r="C847" s="36" t="str">
        <f t="shared" si="53"/>
        <v/>
      </c>
      <c r="D847" s="36" t="str">
        <f t="shared" si="54"/>
        <v/>
      </c>
      <c r="E847" s="17"/>
      <c r="F847" s="60"/>
      <c r="G847" s="50"/>
      <c r="H847" s="59" t="str">
        <f t="shared" si="55"/>
        <v/>
      </c>
      <c r="I847" s="17"/>
      <c r="J847" s="17"/>
    </row>
    <row r="848" spans="1:10">
      <c r="A848" s="17">
        <f t="shared" si="52"/>
        <v>843</v>
      </c>
      <c r="B848" s="18"/>
      <c r="C848" s="36" t="str">
        <f t="shared" si="53"/>
        <v/>
      </c>
      <c r="D848" s="36" t="str">
        <f t="shared" si="54"/>
        <v/>
      </c>
      <c r="E848" s="17"/>
      <c r="F848" s="60"/>
      <c r="G848" s="50"/>
      <c r="H848" s="59" t="str">
        <f t="shared" si="55"/>
        <v/>
      </c>
      <c r="I848" s="17"/>
      <c r="J848" s="17"/>
    </row>
    <row r="849" spans="1:10">
      <c r="A849" s="17">
        <f t="shared" si="52"/>
        <v>844</v>
      </c>
      <c r="B849" s="18"/>
      <c r="C849" s="36" t="str">
        <f t="shared" si="53"/>
        <v/>
      </c>
      <c r="D849" s="36" t="str">
        <f t="shared" si="54"/>
        <v/>
      </c>
      <c r="E849" s="17"/>
      <c r="F849" s="60"/>
      <c r="G849" s="50"/>
      <c r="H849" s="59" t="str">
        <f t="shared" si="55"/>
        <v/>
      </c>
      <c r="I849" s="17"/>
      <c r="J849" s="17"/>
    </row>
    <row r="850" spans="1:10">
      <c r="A850" s="17">
        <f t="shared" si="52"/>
        <v>845</v>
      </c>
      <c r="B850" s="18"/>
      <c r="C850" s="36" t="str">
        <f t="shared" si="53"/>
        <v/>
      </c>
      <c r="D850" s="36" t="str">
        <f t="shared" si="54"/>
        <v/>
      </c>
      <c r="E850" s="17"/>
      <c r="F850" s="60"/>
      <c r="G850" s="50"/>
      <c r="H850" s="59" t="str">
        <f t="shared" si="55"/>
        <v/>
      </c>
      <c r="I850" s="17"/>
      <c r="J850" s="17"/>
    </row>
    <row r="851" spans="1:10">
      <c r="A851" s="17">
        <f t="shared" si="52"/>
        <v>846</v>
      </c>
      <c r="B851" s="18"/>
      <c r="C851" s="36" t="str">
        <f t="shared" si="53"/>
        <v/>
      </c>
      <c r="D851" s="36" t="str">
        <f t="shared" si="54"/>
        <v/>
      </c>
      <c r="E851" s="17"/>
      <c r="F851" s="60"/>
      <c r="G851" s="50"/>
      <c r="H851" s="59" t="str">
        <f t="shared" si="55"/>
        <v/>
      </c>
      <c r="I851" s="17"/>
      <c r="J851" s="17"/>
    </row>
    <row r="852" spans="1:10">
      <c r="A852" s="17">
        <f t="shared" si="52"/>
        <v>847</v>
      </c>
      <c r="B852" s="18"/>
      <c r="C852" s="36" t="str">
        <f t="shared" si="53"/>
        <v/>
      </c>
      <c r="D852" s="36" t="str">
        <f t="shared" si="54"/>
        <v/>
      </c>
      <c r="E852" s="17"/>
      <c r="F852" s="60"/>
      <c r="G852" s="50"/>
      <c r="H852" s="59" t="str">
        <f t="shared" si="55"/>
        <v/>
      </c>
      <c r="I852" s="17"/>
      <c r="J852" s="17"/>
    </row>
    <row r="853" spans="1:10">
      <c r="A853" s="17">
        <f t="shared" si="52"/>
        <v>848</v>
      </c>
      <c r="B853" s="18"/>
      <c r="C853" s="36" t="str">
        <f t="shared" si="53"/>
        <v/>
      </c>
      <c r="D853" s="36" t="str">
        <f t="shared" si="54"/>
        <v/>
      </c>
      <c r="E853" s="17"/>
      <c r="F853" s="60"/>
      <c r="G853" s="50"/>
      <c r="H853" s="59" t="str">
        <f t="shared" si="55"/>
        <v/>
      </c>
      <c r="I853" s="17"/>
      <c r="J853" s="17"/>
    </row>
    <row r="854" spans="1:10">
      <c r="A854" s="17">
        <f t="shared" si="52"/>
        <v>849</v>
      </c>
      <c r="B854" s="18"/>
      <c r="C854" s="36" t="str">
        <f t="shared" si="53"/>
        <v/>
      </c>
      <c r="D854" s="36" t="str">
        <f t="shared" si="54"/>
        <v/>
      </c>
      <c r="E854" s="17"/>
      <c r="F854" s="60"/>
      <c r="G854" s="50"/>
      <c r="H854" s="59" t="str">
        <f t="shared" si="55"/>
        <v/>
      </c>
      <c r="I854" s="17"/>
      <c r="J854" s="17"/>
    </row>
    <row r="855" spans="1:10">
      <c r="A855" s="17">
        <f t="shared" si="52"/>
        <v>850</v>
      </c>
      <c r="B855" s="18"/>
      <c r="C855" s="36" t="str">
        <f t="shared" si="53"/>
        <v/>
      </c>
      <c r="D855" s="36" t="str">
        <f t="shared" si="54"/>
        <v/>
      </c>
      <c r="E855" s="17"/>
      <c r="F855" s="60"/>
      <c r="G855" s="50"/>
      <c r="H855" s="59" t="str">
        <f t="shared" si="55"/>
        <v/>
      </c>
      <c r="I855" s="17"/>
      <c r="J855" s="17"/>
    </row>
    <row r="856" spans="1:10">
      <c r="A856" s="17">
        <f t="shared" si="52"/>
        <v>851</v>
      </c>
      <c r="B856" s="18"/>
      <c r="C856" s="36" t="str">
        <f t="shared" si="53"/>
        <v/>
      </c>
      <c r="D856" s="36" t="str">
        <f t="shared" si="54"/>
        <v/>
      </c>
      <c r="E856" s="17"/>
      <c r="F856" s="60"/>
      <c r="G856" s="50"/>
      <c r="H856" s="59" t="str">
        <f t="shared" si="55"/>
        <v/>
      </c>
      <c r="I856" s="17"/>
      <c r="J856" s="17"/>
    </row>
    <row r="857" spans="1:10">
      <c r="A857" s="17">
        <f t="shared" si="52"/>
        <v>852</v>
      </c>
      <c r="B857" s="18"/>
      <c r="C857" s="36" t="str">
        <f t="shared" si="53"/>
        <v/>
      </c>
      <c r="D857" s="36" t="str">
        <f t="shared" si="54"/>
        <v/>
      </c>
      <c r="E857" s="17"/>
      <c r="F857" s="60"/>
      <c r="G857" s="50"/>
      <c r="H857" s="59" t="str">
        <f t="shared" si="55"/>
        <v/>
      </c>
      <c r="I857" s="17"/>
      <c r="J857" s="17"/>
    </row>
    <row r="858" spans="1:10">
      <c r="A858" s="17">
        <f t="shared" si="52"/>
        <v>853</v>
      </c>
      <c r="B858" s="18"/>
      <c r="C858" s="36" t="str">
        <f t="shared" si="53"/>
        <v/>
      </c>
      <c r="D858" s="36" t="str">
        <f t="shared" si="54"/>
        <v/>
      </c>
      <c r="E858" s="17"/>
      <c r="F858" s="60"/>
      <c r="G858" s="50"/>
      <c r="H858" s="59" t="str">
        <f t="shared" si="55"/>
        <v/>
      </c>
      <c r="I858" s="17"/>
      <c r="J858" s="17"/>
    </row>
    <row r="859" spans="1:10">
      <c r="A859" s="17">
        <f t="shared" si="52"/>
        <v>854</v>
      </c>
      <c r="B859" s="18"/>
      <c r="C859" s="36" t="str">
        <f t="shared" si="53"/>
        <v/>
      </c>
      <c r="D859" s="36" t="str">
        <f t="shared" si="54"/>
        <v/>
      </c>
      <c r="E859" s="17"/>
      <c r="F859" s="60"/>
      <c r="G859" s="50"/>
      <c r="H859" s="59" t="str">
        <f t="shared" si="55"/>
        <v/>
      </c>
      <c r="I859" s="17"/>
      <c r="J859" s="17"/>
    </row>
    <row r="860" spans="1:10">
      <c r="A860" s="17">
        <f t="shared" si="52"/>
        <v>855</v>
      </c>
      <c r="B860" s="18"/>
      <c r="C860" s="36" t="str">
        <f t="shared" si="53"/>
        <v/>
      </c>
      <c r="D860" s="36" t="str">
        <f t="shared" si="54"/>
        <v/>
      </c>
      <c r="E860" s="17"/>
      <c r="F860" s="60"/>
      <c r="G860" s="50"/>
      <c r="H860" s="59" t="str">
        <f t="shared" si="55"/>
        <v/>
      </c>
      <c r="I860" s="17"/>
      <c r="J860" s="17"/>
    </row>
    <row r="861" spans="1:10">
      <c r="A861" s="17">
        <f t="shared" si="52"/>
        <v>856</v>
      </c>
      <c r="B861" s="18"/>
      <c r="C861" s="36" t="str">
        <f t="shared" si="53"/>
        <v/>
      </c>
      <c r="D861" s="36" t="str">
        <f t="shared" si="54"/>
        <v/>
      </c>
      <c r="E861" s="17"/>
      <c r="F861" s="60"/>
      <c r="G861" s="50"/>
      <c r="H861" s="59" t="str">
        <f t="shared" si="55"/>
        <v/>
      </c>
      <c r="I861" s="17"/>
      <c r="J861" s="17"/>
    </row>
    <row r="862" spans="1:10">
      <c r="A862" s="17">
        <f t="shared" si="52"/>
        <v>857</v>
      </c>
      <c r="B862" s="18"/>
      <c r="C862" s="36" t="str">
        <f t="shared" si="53"/>
        <v/>
      </c>
      <c r="D862" s="36" t="str">
        <f t="shared" si="54"/>
        <v/>
      </c>
      <c r="E862" s="17"/>
      <c r="F862" s="60"/>
      <c r="G862" s="50"/>
      <c r="H862" s="59" t="str">
        <f t="shared" si="55"/>
        <v/>
      </c>
      <c r="I862" s="17"/>
      <c r="J862" s="17"/>
    </row>
    <row r="863" spans="1:10">
      <c r="A863" s="17">
        <f t="shared" si="52"/>
        <v>858</v>
      </c>
      <c r="B863" s="18"/>
      <c r="C863" s="36" t="str">
        <f t="shared" si="53"/>
        <v/>
      </c>
      <c r="D863" s="36" t="str">
        <f t="shared" si="54"/>
        <v/>
      </c>
      <c r="E863" s="17"/>
      <c r="F863" s="60"/>
      <c r="G863" s="50"/>
      <c r="H863" s="59" t="str">
        <f t="shared" si="55"/>
        <v/>
      </c>
      <c r="I863" s="17"/>
      <c r="J863" s="17"/>
    </row>
    <row r="864" spans="1:10">
      <c r="A864" s="17">
        <f t="shared" si="52"/>
        <v>859</v>
      </c>
      <c r="B864" s="18"/>
      <c r="C864" s="36" t="str">
        <f t="shared" si="53"/>
        <v/>
      </c>
      <c r="D864" s="36" t="str">
        <f t="shared" si="54"/>
        <v/>
      </c>
      <c r="E864" s="17"/>
      <c r="F864" s="60"/>
      <c r="G864" s="50"/>
      <c r="H864" s="59" t="str">
        <f t="shared" si="55"/>
        <v/>
      </c>
      <c r="I864" s="17"/>
      <c r="J864" s="17"/>
    </row>
    <row r="865" spans="1:10">
      <c r="A865" s="17">
        <f t="shared" si="52"/>
        <v>860</v>
      </c>
      <c r="B865" s="18"/>
      <c r="C865" s="36" t="str">
        <f t="shared" si="53"/>
        <v/>
      </c>
      <c r="D865" s="36" t="str">
        <f t="shared" si="54"/>
        <v/>
      </c>
      <c r="E865" s="17"/>
      <c r="F865" s="60"/>
      <c r="G865" s="50"/>
      <c r="H865" s="59" t="str">
        <f t="shared" si="55"/>
        <v/>
      </c>
      <c r="I865" s="17"/>
      <c r="J865" s="17"/>
    </row>
    <row r="866" spans="1:10">
      <c r="A866" s="17">
        <f t="shared" si="52"/>
        <v>861</v>
      </c>
      <c r="B866" s="18"/>
      <c r="C866" s="36" t="str">
        <f t="shared" si="53"/>
        <v/>
      </c>
      <c r="D866" s="36" t="str">
        <f t="shared" si="54"/>
        <v/>
      </c>
      <c r="E866" s="17"/>
      <c r="F866" s="60"/>
      <c r="G866" s="50"/>
      <c r="H866" s="59" t="str">
        <f t="shared" si="55"/>
        <v/>
      </c>
      <c r="I866" s="17"/>
      <c r="J866" s="17"/>
    </row>
    <row r="867" spans="1:10">
      <c r="A867" s="17">
        <f t="shared" si="52"/>
        <v>862</v>
      </c>
      <c r="B867" s="18"/>
      <c r="C867" s="36" t="str">
        <f t="shared" si="53"/>
        <v/>
      </c>
      <c r="D867" s="36" t="str">
        <f t="shared" si="54"/>
        <v/>
      </c>
      <c r="E867" s="17"/>
      <c r="F867" s="60"/>
      <c r="G867" s="50"/>
      <c r="H867" s="59" t="str">
        <f t="shared" si="55"/>
        <v/>
      </c>
      <c r="I867" s="17"/>
      <c r="J867" s="17"/>
    </row>
    <row r="868" spans="1:10">
      <c r="A868" s="17">
        <f t="shared" si="52"/>
        <v>863</v>
      </c>
      <c r="B868" s="18"/>
      <c r="C868" s="36" t="str">
        <f t="shared" si="53"/>
        <v/>
      </c>
      <c r="D868" s="36" t="str">
        <f t="shared" si="54"/>
        <v/>
      </c>
      <c r="E868" s="17"/>
      <c r="F868" s="60"/>
      <c r="G868" s="50"/>
      <c r="H868" s="59" t="str">
        <f t="shared" si="55"/>
        <v/>
      </c>
      <c r="I868" s="17"/>
      <c r="J868" s="17"/>
    </row>
    <row r="869" spans="1:10">
      <c r="A869" s="17">
        <f t="shared" si="52"/>
        <v>864</v>
      </c>
      <c r="B869" s="18"/>
      <c r="C869" s="36" t="str">
        <f t="shared" si="53"/>
        <v/>
      </c>
      <c r="D869" s="36" t="str">
        <f t="shared" si="54"/>
        <v/>
      </c>
      <c r="E869" s="17"/>
      <c r="F869" s="60"/>
      <c r="G869" s="50"/>
      <c r="H869" s="59" t="str">
        <f t="shared" si="55"/>
        <v/>
      </c>
      <c r="I869" s="17"/>
      <c r="J869" s="17"/>
    </row>
    <row r="870" spans="1:10">
      <c r="A870" s="17">
        <f t="shared" si="52"/>
        <v>865</v>
      </c>
      <c r="B870" s="18"/>
      <c r="C870" s="36" t="str">
        <f t="shared" si="53"/>
        <v/>
      </c>
      <c r="D870" s="36" t="str">
        <f t="shared" si="54"/>
        <v/>
      </c>
      <c r="E870" s="17"/>
      <c r="F870" s="60"/>
      <c r="G870" s="50"/>
      <c r="H870" s="59" t="str">
        <f t="shared" si="55"/>
        <v/>
      </c>
      <c r="I870" s="17"/>
      <c r="J870" s="17"/>
    </row>
    <row r="871" spans="1:10">
      <c r="A871" s="17">
        <f t="shared" si="52"/>
        <v>866</v>
      </c>
      <c r="B871" s="18"/>
      <c r="C871" s="36" t="str">
        <f t="shared" si="53"/>
        <v/>
      </c>
      <c r="D871" s="36" t="str">
        <f t="shared" si="54"/>
        <v/>
      </c>
      <c r="E871" s="17"/>
      <c r="F871" s="60"/>
      <c r="G871" s="50"/>
      <c r="H871" s="59" t="str">
        <f t="shared" si="55"/>
        <v/>
      </c>
      <c r="I871" s="17"/>
      <c r="J871" s="17"/>
    </row>
    <row r="872" spans="1:10">
      <c r="A872" s="17">
        <f t="shared" si="52"/>
        <v>867</v>
      </c>
      <c r="B872" s="18"/>
      <c r="C872" s="36" t="str">
        <f t="shared" si="53"/>
        <v/>
      </c>
      <c r="D872" s="36" t="str">
        <f t="shared" si="54"/>
        <v/>
      </c>
      <c r="E872" s="17"/>
      <c r="F872" s="60"/>
      <c r="G872" s="50"/>
      <c r="H872" s="59" t="str">
        <f t="shared" si="55"/>
        <v/>
      </c>
      <c r="I872" s="17"/>
      <c r="J872" s="17"/>
    </row>
    <row r="873" spans="1:10">
      <c r="A873" s="17">
        <f t="shared" si="52"/>
        <v>868</v>
      </c>
      <c r="B873" s="18"/>
      <c r="C873" s="36" t="str">
        <f t="shared" si="53"/>
        <v/>
      </c>
      <c r="D873" s="36" t="str">
        <f t="shared" si="54"/>
        <v/>
      </c>
      <c r="E873" s="17"/>
      <c r="F873" s="60"/>
      <c r="G873" s="50"/>
      <c r="H873" s="59" t="str">
        <f t="shared" si="55"/>
        <v/>
      </c>
      <c r="I873" s="17"/>
      <c r="J873" s="17"/>
    </row>
    <row r="874" spans="1:10">
      <c r="A874" s="17">
        <f t="shared" si="52"/>
        <v>869</v>
      </c>
      <c r="B874" s="18"/>
      <c r="C874" s="36" t="str">
        <f t="shared" si="53"/>
        <v/>
      </c>
      <c r="D874" s="36" t="str">
        <f t="shared" si="54"/>
        <v/>
      </c>
      <c r="E874" s="17"/>
      <c r="F874" s="60"/>
      <c r="G874" s="50"/>
      <c r="H874" s="59" t="str">
        <f t="shared" si="55"/>
        <v/>
      </c>
      <c r="I874" s="17"/>
      <c r="J874" s="17"/>
    </row>
    <row r="875" spans="1:10">
      <c r="A875" s="17">
        <f t="shared" si="52"/>
        <v>870</v>
      </c>
      <c r="B875" s="18"/>
      <c r="C875" s="36" t="str">
        <f t="shared" si="53"/>
        <v/>
      </c>
      <c r="D875" s="36" t="str">
        <f t="shared" si="54"/>
        <v/>
      </c>
      <c r="E875" s="17"/>
      <c r="F875" s="60"/>
      <c r="G875" s="50"/>
      <c r="H875" s="59" t="str">
        <f t="shared" si="55"/>
        <v/>
      </c>
      <c r="I875" s="17"/>
      <c r="J875" s="17"/>
    </row>
    <row r="876" spans="1:10">
      <c r="A876" s="17">
        <f t="shared" si="52"/>
        <v>871</v>
      </c>
      <c r="B876" s="18"/>
      <c r="C876" s="36" t="str">
        <f t="shared" si="53"/>
        <v/>
      </c>
      <c r="D876" s="36" t="str">
        <f t="shared" si="54"/>
        <v/>
      </c>
      <c r="E876" s="17"/>
      <c r="F876" s="60"/>
      <c r="G876" s="50"/>
      <c r="H876" s="59" t="str">
        <f t="shared" si="55"/>
        <v/>
      </c>
      <c r="I876" s="17"/>
      <c r="J876" s="17"/>
    </row>
    <row r="877" spans="1:10">
      <c r="A877" s="17">
        <f t="shared" si="52"/>
        <v>872</v>
      </c>
      <c r="B877" s="18"/>
      <c r="C877" s="36" t="str">
        <f t="shared" si="53"/>
        <v/>
      </c>
      <c r="D877" s="36" t="str">
        <f t="shared" si="54"/>
        <v/>
      </c>
      <c r="E877" s="17"/>
      <c r="F877" s="60"/>
      <c r="G877" s="50"/>
      <c r="H877" s="59" t="str">
        <f t="shared" si="55"/>
        <v/>
      </c>
      <c r="I877" s="17"/>
      <c r="J877" s="17"/>
    </row>
    <row r="878" spans="1:10">
      <c r="A878" s="17">
        <f t="shared" si="52"/>
        <v>873</v>
      </c>
      <c r="B878" s="18"/>
      <c r="C878" s="36" t="str">
        <f t="shared" si="53"/>
        <v/>
      </c>
      <c r="D878" s="36" t="str">
        <f t="shared" si="54"/>
        <v/>
      </c>
      <c r="E878" s="17"/>
      <c r="F878" s="60"/>
      <c r="G878" s="50"/>
      <c r="H878" s="59" t="str">
        <f t="shared" si="55"/>
        <v/>
      </c>
      <c r="I878" s="17"/>
      <c r="J878" s="17"/>
    </row>
    <row r="879" spans="1:10">
      <c r="A879" s="17">
        <f t="shared" si="52"/>
        <v>874</v>
      </c>
      <c r="B879" s="18"/>
      <c r="C879" s="36" t="str">
        <f t="shared" si="53"/>
        <v/>
      </c>
      <c r="D879" s="36" t="str">
        <f t="shared" si="54"/>
        <v/>
      </c>
      <c r="E879" s="17"/>
      <c r="F879" s="60"/>
      <c r="G879" s="50"/>
      <c r="H879" s="59" t="str">
        <f t="shared" si="55"/>
        <v/>
      </c>
      <c r="I879" s="17"/>
      <c r="J879" s="17"/>
    </row>
    <row r="880" spans="1:10">
      <c r="A880" s="17">
        <f t="shared" si="52"/>
        <v>875</v>
      </c>
      <c r="B880" s="18"/>
      <c r="C880" s="36" t="str">
        <f t="shared" si="53"/>
        <v/>
      </c>
      <c r="D880" s="36" t="str">
        <f t="shared" si="54"/>
        <v/>
      </c>
      <c r="E880" s="17"/>
      <c r="F880" s="60"/>
      <c r="G880" s="50"/>
      <c r="H880" s="59" t="str">
        <f t="shared" si="55"/>
        <v/>
      </c>
      <c r="I880" s="17"/>
      <c r="J880" s="17"/>
    </row>
    <row r="881" spans="1:10">
      <c r="A881" s="17">
        <f t="shared" si="52"/>
        <v>876</v>
      </c>
      <c r="B881" s="18"/>
      <c r="C881" s="36" t="str">
        <f t="shared" si="53"/>
        <v/>
      </c>
      <c r="D881" s="36" t="str">
        <f t="shared" si="54"/>
        <v/>
      </c>
      <c r="E881" s="17"/>
      <c r="F881" s="60"/>
      <c r="G881" s="50"/>
      <c r="H881" s="59" t="str">
        <f t="shared" si="55"/>
        <v/>
      </c>
      <c r="I881" s="17"/>
      <c r="J881" s="17"/>
    </row>
    <row r="882" spans="1:10">
      <c r="A882" s="17">
        <f t="shared" si="52"/>
        <v>877</v>
      </c>
      <c r="B882" s="18"/>
      <c r="C882" s="36" t="str">
        <f t="shared" si="53"/>
        <v/>
      </c>
      <c r="D882" s="36" t="str">
        <f t="shared" si="54"/>
        <v/>
      </c>
      <c r="E882" s="17"/>
      <c r="F882" s="60"/>
      <c r="G882" s="50"/>
      <c r="H882" s="59" t="str">
        <f t="shared" si="55"/>
        <v/>
      </c>
      <c r="I882" s="17"/>
      <c r="J882" s="17"/>
    </row>
    <row r="883" spans="1:10">
      <c r="A883" s="17">
        <f t="shared" si="52"/>
        <v>878</v>
      </c>
      <c r="B883" s="18"/>
      <c r="C883" s="36" t="str">
        <f t="shared" si="53"/>
        <v/>
      </c>
      <c r="D883" s="36" t="str">
        <f t="shared" si="54"/>
        <v/>
      </c>
      <c r="E883" s="17"/>
      <c r="F883" s="60"/>
      <c r="G883" s="50"/>
      <c r="H883" s="59" t="str">
        <f t="shared" si="55"/>
        <v/>
      </c>
      <c r="I883" s="17"/>
      <c r="J883" s="17"/>
    </row>
    <row r="884" spans="1:10">
      <c r="A884" s="17">
        <f t="shared" si="52"/>
        <v>879</v>
      </c>
      <c r="B884" s="18"/>
      <c r="C884" s="36" t="str">
        <f t="shared" si="53"/>
        <v/>
      </c>
      <c r="D884" s="36" t="str">
        <f t="shared" si="54"/>
        <v/>
      </c>
      <c r="E884" s="17"/>
      <c r="F884" s="60"/>
      <c r="G884" s="50"/>
      <c r="H884" s="59" t="str">
        <f t="shared" si="55"/>
        <v/>
      </c>
      <c r="I884" s="17"/>
      <c r="J884" s="17"/>
    </row>
    <row r="885" spans="1:10">
      <c r="A885" s="17">
        <f t="shared" si="52"/>
        <v>880</v>
      </c>
      <c r="B885" s="18"/>
      <c r="C885" s="36" t="str">
        <f t="shared" si="53"/>
        <v/>
      </c>
      <c r="D885" s="36" t="str">
        <f t="shared" si="54"/>
        <v/>
      </c>
      <c r="E885" s="17"/>
      <c r="F885" s="60"/>
      <c r="G885" s="50"/>
      <c r="H885" s="59" t="str">
        <f t="shared" si="55"/>
        <v/>
      </c>
      <c r="I885" s="17"/>
      <c r="J885" s="17"/>
    </row>
  </sheetData>
  <mergeCells count="2">
    <mergeCell ref="A1:J2"/>
    <mergeCell ref="A4:J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BBCC7-64AB-794D-90E0-C433DFC7D15D}">
  <sheetPr codeName="Sheet9">
    <tabColor theme="2"/>
  </sheetPr>
  <dimension ref="A1:AC885"/>
  <sheetViews>
    <sheetView showGridLines="0" zoomScale="120" zoomScaleNormal="120" workbookViewId="0">
      <pane ySplit="5" topLeftCell="A6" activePane="bottomLeft" state="frozen"/>
      <selection pane="bottomLeft" activeCell="J21" sqref="J21"/>
    </sheetView>
  </sheetViews>
  <sheetFormatPr baseColWidth="10" defaultColWidth="10.83203125" defaultRowHeight="16"/>
  <cols>
    <col min="1" max="1" width="4.1640625" bestFit="1" customWidth="1"/>
    <col min="2" max="2" width="13.33203125" style="64" customWidth="1"/>
    <col min="3" max="3" width="6.33203125" style="64" bestFit="1" customWidth="1"/>
    <col min="4" max="4" width="5.1640625" style="64" bestFit="1" customWidth="1"/>
    <col min="5" max="5" width="21.1640625" customWidth="1"/>
    <col min="6" max="6" width="30.1640625" customWidth="1"/>
    <col min="7" max="7" width="12.1640625" customWidth="1"/>
    <col min="8" max="8" width="13.33203125" style="10" customWidth="1"/>
    <col min="9" max="9" width="13.83203125" style="10" customWidth="1"/>
    <col min="10" max="10" width="10.33203125" customWidth="1"/>
  </cols>
  <sheetData>
    <row r="1" spans="1:29">
      <c r="A1" s="156" t="s">
        <v>21</v>
      </c>
      <c r="B1" s="157"/>
      <c r="C1" s="157"/>
      <c r="D1" s="157"/>
      <c r="E1" s="157"/>
      <c r="F1" s="157"/>
      <c r="G1" s="157"/>
      <c r="H1" s="157"/>
      <c r="I1" s="157"/>
    </row>
    <row r="2" spans="1:29">
      <c r="A2" s="158"/>
      <c r="B2" s="159"/>
      <c r="C2" s="159"/>
      <c r="D2" s="159"/>
      <c r="E2" s="159"/>
      <c r="F2" s="159"/>
      <c r="G2" s="159"/>
      <c r="H2" s="159"/>
      <c r="I2" s="159"/>
    </row>
    <row r="3" spans="1:29" ht="4" customHeight="1">
      <c r="A3" s="20"/>
      <c r="B3" s="4"/>
      <c r="C3" s="4"/>
      <c r="D3" s="4"/>
      <c r="E3" s="4"/>
      <c r="F3" s="4"/>
      <c r="G3" s="4"/>
      <c r="H3" s="4"/>
      <c r="I3" s="4"/>
    </row>
    <row r="4" spans="1:29">
      <c r="A4" s="160" t="s">
        <v>123</v>
      </c>
      <c r="B4" s="161"/>
      <c r="C4" s="161"/>
      <c r="D4" s="161"/>
      <c r="E4" s="161"/>
      <c r="F4" s="161"/>
      <c r="G4" s="161"/>
      <c r="H4" s="161"/>
      <c r="I4" s="161"/>
    </row>
    <row r="5" spans="1:29">
      <c r="A5" s="22" t="s">
        <v>14</v>
      </c>
      <c r="B5" s="65" t="s">
        <v>97</v>
      </c>
      <c r="C5" s="65" t="s">
        <v>153</v>
      </c>
      <c r="D5" s="65" t="s">
        <v>154</v>
      </c>
      <c r="E5" s="22" t="s">
        <v>124</v>
      </c>
      <c r="F5" s="61" t="s">
        <v>125</v>
      </c>
      <c r="G5" s="57" t="s">
        <v>117</v>
      </c>
      <c r="H5" s="58" t="s">
        <v>118</v>
      </c>
      <c r="I5" s="19" t="s">
        <v>119</v>
      </c>
      <c r="AC5" t="s">
        <v>126</v>
      </c>
    </row>
    <row r="6" spans="1:29">
      <c r="A6" s="6">
        <f>ROW(A1)</f>
        <v>1</v>
      </c>
      <c r="B6" s="63">
        <v>45736</v>
      </c>
      <c r="C6" s="63" t="str">
        <f>IF(B6=0,"",TEXT(B6,"mmmm"))</f>
        <v>March</v>
      </c>
      <c r="D6" s="63" t="str">
        <f>IF(B6=0,"",TEXT(B6,"yyyy"))</f>
        <v>2025</v>
      </c>
      <c r="E6" s="7"/>
      <c r="F6" s="7"/>
      <c r="G6" s="7">
        <v>50</v>
      </c>
      <c r="H6" s="9">
        <v>500</v>
      </c>
      <c r="I6" s="40">
        <f>IF(H6*G6=0,"",H6*G6)</f>
        <v>25000</v>
      </c>
      <c r="AC6" t="s">
        <v>127</v>
      </c>
    </row>
    <row r="7" spans="1:29">
      <c r="A7" s="6">
        <f t="shared" ref="A7:A70" si="0">ROW(A2)</f>
        <v>2</v>
      </c>
      <c r="B7" s="63">
        <v>45736</v>
      </c>
      <c r="C7" s="63" t="str">
        <f t="shared" ref="C7:C70" si="1">IF(B7=0,"",TEXT(B7,"mmmm"))</f>
        <v>March</v>
      </c>
      <c r="D7" s="63" t="str">
        <f t="shared" ref="D7:D70" si="2">IF(B7=0,"",TEXT(B7,"yyyy"))</f>
        <v>2025</v>
      </c>
      <c r="E7" s="7"/>
      <c r="F7" s="7"/>
      <c r="G7" s="7">
        <v>60</v>
      </c>
      <c r="H7" s="9">
        <v>100</v>
      </c>
      <c r="I7" s="40">
        <f t="shared" ref="I7:I70" si="3">IF(H7*G7=0,"",H7*G7)</f>
        <v>6000</v>
      </c>
      <c r="J7" s="10"/>
      <c r="AC7" t="s">
        <v>128</v>
      </c>
    </row>
    <row r="8" spans="1:29">
      <c r="A8" s="6">
        <f t="shared" si="0"/>
        <v>3</v>
      </c>
      <c r="B8" s="63">
        <v>45797</v>
      </c>
      <c r="C8" s="63" t="str">
        <f t="shared" si="1"/>
        <v>May</v>
      </c>
      <c r="D8" s="63" t="str">
        <f t="shared" si="2"/>
        <v>2025</v>
      </c>
      <c r="E8" s="7"/>
      <c r="F8" s="7"/>
      <c r="G8" s="7">
        <v>50</v>
      </c>
      <c r="H8" s="9">
        <v>400</v>
      </c>
      <c r="I8" s="40">
        <f t="shared" si="3"/>
        <v>20000</v>
      </c>
      <c r="AC8" t="s">
        <v>129</v>
      </c>
    </row>
    <row r="9" spans="1:29">
      <c r="A9" s="6">
        <f t="shared" si="0"/>
        <v>4</v>
      </c>
      <c r="B9" s="63">
        <v>45767</v>
      </c>
      <c r="C9" s="63" t="str">
        <f t="shared" si="1"/>
        <v>April</v>
      </c>
      <c r="D9" s="63" t="str">
        <f t="shared" si="2"/>
        <v>2025</v>
      </c>
      <c r="E9" s="7"/>
      <c r="F9" s="7"/>
      <c r="G9" s="7">
        <v>70</v>
      </c>
      <c r="H9" s="9">
        <v>2000</v>
      </c>
      <c r="I9" s="40">
        <f t="shared" si="3"/>
        <v>140000</v>
      </c>
      <c r="AC9" t="s">
        <v>130</v>
      </c>
    </row>
    <row r="10" spans="1:29">
      <c r="A10" s="6">
        <f t="shared" si="0"/>
        <v>5</v>
      </c>
      <c r="B10" s="63"/>
      <c r="C10" s="63" t="str">
        <f t="shared" si="1"/>
        <v/>
      </c>
      <c r="D10" s="63" t="str">
        <f t="shared" si="2"/>
        <v/>
      </c>
      <c r="E10" s="7"/>
      <c r="F10" s="7"/>
      <c r="G10" s="7"/>
      <c r="H10" s="9"/>
      <c r="I10" s="40" t="str">
        <f t="shared" si="3"/>
        <v/>
      </c>
    </row>
    <row r="11" spans="1:29">
      <c r="A11" s="6">
        <f t="shared" si="0"/>
        <v>6</v>
      </c>
      <c r="B11" s="63"/>
      <c r="C11" s="63" t="str">
        <f t="shared" si="1"/>
        <v/>
      </c>
      <c r="D11" s="63" t="str">
        <f t="shared" si="2"/>
        <v/>
      </c>
      <c r="E11" s="7"/>
      <c r="F11" s="7"/>
      <c r="G11" s="7"/>
      <c r="H11" s="9"/>
      <c r="I11" s="40" t="str">
        <f t="shared" si="3"/>
        <v/>
      </c>
    </row>
    <row r="12" spans="1:29">
      <c r="A12" s="6">
        <f t="shared" si="0"/>
        <v>7</v>
      </c>
      <c r="B12" s="63"/>
      <c r="C12" s="63" t="str">
        <f t="shared" si="1"/>
        <v/>
      </c>
      <c r="D12" s="63" t="str">
        <f t="shared" si="2"/>
        <v/>
      </c>
      <c r="E12" s="7"/>
      <c r="F12" s="7"/>
      <c r="G12" s="7"/>
      <c r="H12" s="9"/>
      <c r="I12" s="40" t="str">
        <f t="shared" si="3"/>
        <v/>
      </c>
    </row>
    <row r="13" spans="1:29">
      <c r="A13" s="6">
        <f t="shared" si="0"/>
        <v>8</v>
      </c>
      <c r="B13" s="63"/>
      <c r="C13" s="63" t="str">
        <f t="shared" si="1"/>
        <v/>
      </c>
      <c r="D13" s="63" t="str">
        <f t="shared" si="2"/>
        <v/>
      </c>
      <c r="E13" s="7"/>
      <c r="F13" s="7"/>
      <c r="G13" s="7"/>
      <c r="H13" s="9"/>
      <c r="I13" s="40" t="str">
        <f t="shared" si="3"/>
        <v/>
      </c>
    </row>
    <row r="14" spans="1:29">
      <c r="A14" s="6">
        <f t="shared" si="0"/>
        <v>9</v>
      </c>
      <c r="B14" s="63"/>
      <c r="C14" s="63" t="str">
        <f t="shared" si="1"/>
        <v/>
      </c>
      <c r="D14" s="63" t="str">
        <f t="shared" si="2"/>
        <v/>
      </c>
      <c r="E14" s="7"/>
      <c r="F14" s="7"/>
      <c r="G14" s="7"/>
      <c r="H14" s="9"/>
      <c r="I14" s="40" t="str">
        <f t="shared" si="3"/>
        <v/>
      </c>
    </row>
    <row r="15" spans="1:29">
      <c r="A15" s="6">
        <f t="shared" si="0"/>
        <v>10</v>
      </c>
      <c r="B15" s="63"/>
      <c r="C15" s="63" t="str">
        <f t="shared" si="1"/>
        <v/>
      </c>
      <c r="D15" s="63" t="str">
        <f t="shared" si="2"/>
        <v/>
      </c>
      <c r="E15" s="7"/>
      <c r="F15" s="7"/>
      <c r="G15" s="7"/>
      <c r="H15" s="9"/>
      <c r="I15" s="40" t="str">
        <f t="shared" si="3"/>
        <v/>
      </c>
    </row>
    <row r="16" spans="1:29">
      <c r="A16" s="6">
        <f t="shared" si="0"/>
        <v>11</v>
      </c>
      <c r="B16" s="63"/>
      <c r="C16" s="63" t="str">
        <f t="shared" si="1"/>
        <v/>
      </c>
      <c r="D16" s="63" t="str">
        <f t="shared" si="2"/>
        <v/>
      </c>
      <c r="E16" s="7"/>
      <c r="F16" s="7"/>
      <c r="G16" s="7"/>
      <c r="H16" s="9"/>
      <c r="I16" s="40" t="str">
        <f t="shared" si="3"/>
        <v/>
      </c>
    </row>
    <row r="17" spans="1:9">
      <c r="A17" s="6">
        <f t="shared" si="0"/>
        <v>12</v>
      </c>
      <c r="B17" s="63"/>
      <c r="C17" s="63" t="str">
        <f t="shared" si="1"/>
        <v/>
      </c>
      <c r="D17" s="63" t="str">
        <f t="shared" si="2"/>
        <v/>
      </c>
      <c r="E17" s="7"/>
      <c r="F17" s="7"/>
      <c r="G17" s="7"/>
      <c r="H17" s="9"/>
      <c r="I17" s="40" t="str">
        <f t="shared" si="3"/>
        <v/>
      </c>
    </row>
    <row r="18" spans="1:9">
      <c r="A18" s="6">
        <f t="shared" si="0"/>
        <v>13</v>
      </c>
      <c r="B18" s="63"/>
      <c r="C18" s="63" t="str">
        <f t="shared" si="1"/>
        <v/>
      </c>
      <c r="D18" s="63" t="str">
        <f t="shared" si="2"/>
        <v/>
      </c>
      <c r="E18" s="7"/>
      <c r="F18" s="7"/>
      <c r="G18" s="7"/>
      <c r="H18" s="9"/>
      <c r="I18" s="40" t="str">
        <f t="shared" si="3"/>
        <v/>
      </c>
    </row>
    <row r="19" spans="1:9">
      <c r="A19" s="6">
        <f t="shared" si="0"/>
        <v>14</v>
      </c>
      <c r="B19" s="63"/>
      <c r="C19" s="63" t="str">
        <f t="shared" si="1"/>
        <v/>
      </c>
      <c r="D19" s="63" t="str">
        <f t="shared" si="2"/>
        <v/>
      </c>
      <c r="E19" s="7"/>
      <c r="F19" s="7"/>
      <c r="G19" s="7"/>
      <c r="H19" s="9"/>
      <c r="I19" s="40" t="str">
        <f t="shared" si="3"/>
        <v/>
      </c>
    </row>
    <row r="20" spans="1:9">
      <c r="A20" s="6">
        <f t="shared" si="0"/>
        <v>15</v>
      </c>
      <c r="B20" s="63"/>
      <c r="C20" s="63" t="str">
        <f t="shared" si="1"/>
        <v/>
      </c>
      <c r="D20" s="63" t="str">
        <f t="shared" si="2"/>
        <v/>
      </c>
      <c r="E20" s="7"/>
      <c r="F20" s="7"/>
      <c r="G20" s="7"/>
      <c r="H20" s="9"/>
      <c r="I20" s="40" t="str">
        <f t="shared" si="3"/>
        <v/>
      </c>
    </row>
    <row r="21" spans="1:9">
      <c r="A21" s="6">
        <f t="shared" si="0"/>
        <v>16</v>
      </c>
      <c r="B21" s="63"/>
      <c r="C21" s="63" t="str">
        <f t="shared" si="1"/>
        <v/>
      </c>
      <c r="D21" s="63" t="str">
        <f t="shared" si="2"/>
        <v/>
      </c>
      <c r="E21" s="7"/>
      <c r="F21" s="7"/>
      <c r="G21" s="7"/>
      <c r="H21" s="9"/>
      <c r="I21" s="40" t="str">
        <f t="shared" si="3"/>
        <v/>
      </c>
    </row>
    <row r="22" spans="1:9">
      <c r="A22" s="6">
        <f t="shared" si="0"/>
        <v>17</v>
      </c>
      <c r="B22" s="63"/>
      <c r="C22" s="63" t="str">
        <f t="shared" si="1"/>
        <v/>
      </c>
      <c r="D22" s="63" t="str">
        <f t="shared" si="2"/>
        <v/>
      </c>
      <c r="E22" s="7"/>
      <c r="F22" s="7"/>
      <c r="G22" s="7"/>
      <c r="H22" s="9"/>
      <c r="I22" s="40" t="str">
        <f t="shared" si="3"/>
        <v/>
      </c>
    </row>
    <row r="23" spans="1:9">
      <c r="A23" s="6">
        <f t="shared" si="0"/>
        <v>18</v>
      </c>
      <c r="B23" s="63"/>
      <c r="C23" s="63" t="str">
        <f t="shared" si="1"/>
        <v/>
      </c>
      <c r="D23" s="63" t="str">
        <f t="shared" si="2"/>
        <v/>
      </c>
      <c r="E23" s="7"/>
      <c r="F23" s="7"/>
      <c r="G23" s="7"/>
      <c r="H23" s="9"/>
      <c r="I23" s="40" t="str">
        <f t="shared" si="3"/>
        <v/>
      </c>
    </row>
    <row r="24" spans="1:9">
      <c r="A24" s="6">
        <f t="shared" si="0"/>
        <v>19</v>
      </c>
      <c r="B24" s="63"/>
      <c r="C24" s="63" t="str">
        <f t="shared" si="1"/>
        <v/>
      </c>
      <c r="D24" s="63" t="str">
        <f t="shared" si="2"/>
        <v/>
      </c>
      <c r="E24" s="7"/>
      <c r="F24" s="7"/>
      <c r="G24" s="7"/>
      <c r="H24" s="9"/>
      <c r="I24" s="40" t="str">
        <f t="shared" si="3"/>
        <v/>
      </c>
    </row>
    <row r="25" spans="1:9">
      <c r="A25" s="6">
        <f t="shared" si="0"/>
        <v>20</v>
      </c>
      <c r="B25" s="63"/>
      <c r="C25" s="63" t="str">
        <f t="shared" si="1"/>
        <v/>
      </c>
      <c r="D25" s="63" t="str">
        <f t="shared" si="2"/>
        <v/>
      </c>
      <c r="E25" s="7"/>
      <c r="F25" s="7"/>
      <c r="G25" s="7"/>
      <c r="H25" s="9"/>
      <c r="I25" s="40" t="str">
        <f t="shared" si="3"/>
        <v/>
      </c>
    </row>
    <row r="26" spans="1:9">
      <c r="A26" s="6">
        <f t="shared" si="0"/>
        <v>21</v>
      </c>
      <c r="B26" s="63"/>
      <c r="C26" s="63" t="str">
        <f t="shared" si="1"/>
        <v/>
      </c>
      <c r="D26" s="63" t="str">
        <f t="shared" si="2"/>
        <v/>
      </c>
      <c r="E26" s="7"/>
      <c r="F26" s="7"/>
      <c r="G26" s="7"/>
      <c r="H26" s="9"/>
      <c r="I26" s="40" t="str">
        <f t="shared" si="3"/>
        <v/>
      </c>
    </row>
    <row r="27" spans="1:9">
      <c r="A27" s="6">
        <f t="shared" si="0"/>
        <v>22</v>
      </c>
      <c r="B27" s="63"/>
      <c r="C27" s="63" t="str">
        <f t="shared" si="1"/>
        <v/>
      </c>
      <c r="D27" s="63" t="str">
        <f t="shared" si="2"/>
        <v/>
      </c>
      <c r="E27" s="7"/>
      <c r="F27" s="7"/>
      <c r="G27" s="7"/>
      <c r="H27" s="9"/>
      <c r="I27" s="40" t="str">
        <f t="shared" si="3"/>
        <v/>
      </c>
    </row>
    <row r="28" spans="1:9">
      <c r="A28" s="6">
        <f t="shared" si="0"/>
        <v>23</v>
      </c>
      <c r="B28" s="63"/>
      <c r="C28" s="63" t="str">
        <f t="shared" si="1"/>
        <v/>
      </c>
      <c r="D28" s="63" t="str">
        <f t="shared" si="2"/>
        <v/>
      </c>
      <c r="E28" s="7"/>
      <c r="F28" s="7"/>
      <c r="G28" s="7"/>
      <c r="H28" s="9"/>
      <c r="I28" s="40" t="str">
        <f t="shared" si="3"/>
        <v/>
      </c>
    </row>
    <row r="29" spans="1:9">
      <c r="A29" s="6">
        <f t="shared" si="0"/>
        <v>24</v>
      </c>
      <c r="B29" s="63"/>
      <c r="C29" s="63" t="str">
        <f t="shared" si="1"/>
        <v/>
      </c>
      <c r="D29" s="63" t="str">
        <f t="shared" si="2"/>
        <v/>
      </c>
      <c r="E29" s="7"/>
      <c r="F29" s="7"/>
      <c r="G29" s="7"/>
      <c r="H29" s="9"/>
      <c r="I29" s="40" t="str">
        <f t="shared" si="3"/>
        <v/>
      </c>
    </row>
    <row r="30" spans="1:9">
      <c r="A30" s="6">
        <f t="shared" si="0"/>
        <v>25</v>
      </c>
      <c r="B30" s="63"/>
      <c r="C30" s="63" t="str">
        <f t="shared" si="1"/>
        <v/>
      </c>
      <c r="D30" s="63" t="str">
        <f t="shared" si="2"/>
        <v/>
      </c>
      <c r="E30" s="7"/>
      <c r="F30" s="7"/>
      <c r="G30" s="7"/>
      <c r="H30" s="9"/>
      <c r="I30" s="40" t="str">
        <f t="shared" si="3"/>
        <v/>
      </c>
    </row>
    <row r="31" spans="1:9">
      <c r="A31" s="6">
        <f t="shared" si="0"/>
        <v>26</v>
      </c>
      <c r="B31" s="63"/>
      <c r="C31" s="63" t="str">
        <f t="shared" si="1"/>
        <v/>
      </c>
      <c r="D31" s="63" t="str">
        <f t="shared" si="2"/>
        <v/>
      </c>
      <c r="E31" s="7"/>
      <c r="F31" s="7"/>
      <c r="G31" s="7"/>
      <c r="H31" s="9"/>
      <c r="I31" s="40" t="str">
        <f t="shared" si="3"/>
        <v/>
      </c>
    </row>
    <row r="32" spans="1:9">
      <c r="A32" s="6">
        <f t="shared" si="0"/>
        <v>27</v>
      </c>
      <c r="B32" s="63"/>
      <c r="C32" s="63" t="str">
        <f t="shared" si="1"/>
        <v/>
      </c>
      <c r="D32" s="63" t="str">
        <f t="shared" si="2"/>
        <v/>
      </c>
      <c r="E32" s="7"/>
      <c r="F32" s="7"/>
      <c r="G32" s="7"/>
      <c r="H32" s="9"/>
      <c r="I32" s="40" t="str">
        <f t="shared" si="3"/>
        <v/>
      </c>
    </row>
    <row r="33" spans="1:9">
      <c r="A33" s="6">
        <f t="shared" si="0"/>
        <v>28</v>
      </c>
      <c r="B33" s="63"/>
      <c r="C33" s="63" t="str">
        <f t="shared" si="1"/>
        <v/>
      </c>
      <c r="D33" s="63" t="str">
        <f t="shared" si="2"/>
        <v/>
      </c>
      <c r="E33" s="7"/>
      <c r="F33" s="7"/>
      <c r="G33" s="7"/>
      <c r="H33" s="9"/>
      <c r="I33" s="40" t="str">
        <f t="shared" si="3"/>
        <v/>
      </c>
    </row>
    <row r="34" spans="1:9">
      <c r="A34" s="6">
        <f t="shared" si="0"/>
        <v>29</v>
      </c>
      <c r="B34" s="63"/>
      <c r="C34" s="63" t="str">
        <f t="shared" si="1"/>
        <v/>
      </c>
      <c r="D34" s="63" t="str">
        <f t="shared" si="2"/>
        <v/>
      </c>
      <c r="E34" s="7"/>
      <c r="F34" s="7"/>
      <c r="G34" s="7"/>
      <c r="H34" s="9"/>
      <c r="I34" s="40" t="str">
        <f t="shared" si="3"/>
        <v/>
      </c>
    </row>
    <row r="35" spans="1:9">
      <c r="A35" s="6">
        <f t="shared" si="0"/>
        <v>30</v>
      </c>
      <c r="B35" s="63"/>
      <c r="C35" s="63" t="str">
        <f t="shared" si="1"/>
        <v/>
      </c>
      <c r="D35" s="63" t="str">
        <f t="shared" si="2"/>
        <v/>
      </c>
      <c r="E35" s="7"/>
      <c r="F35" s="7"/>
      <c r="G35" s="7"/>
      <c r="H35" s="9"/>
      <c r="I35" s="40" t="str">
        <f t="shared" si="3"/>
        <v/>
      </c>
    </row>
    <row r="36" spans="1:9">
      <c r="A36" s="6">
        <f t="shared" si="0"/>
        <v>31</v>
      </c>
      <c r="B36" s="63"/>
      <c r="C36" s="63" t="str">
        <f t="shared" si="1"/>
        <v/>
      </c>
      <c r="D36" s="63" t="str">
        <f t="shared" si="2"/>
        <v/>
      </c>
      <c r="E36" s="7"/>
      <c r="F36" s="7"/>
      <c r="G36" s="7"/>
      <c r="H36" s="9"/>
      <c r="I36" s="40" t="str">
        <f t="shared" si="3"/>
        <v/>
      </c>
    </row>
    <row r="37" spans="1:9">
      <c r="A37" s="6">
        <f t="shared" si="0"/>
        <v>32</v>
      </c>
      <c r="B37" s="63"/>
      <c r="C37" s="63" t="str">
        <f t="shared" si="1"/>
        <v/>
      </c>
      <c r="D37" s="63" t="str">
        <f t="shared" si="2"/>
        <v/>
      </c>
      <c r="E37" s="7"/>
      <c r="F37" s="7"/>
      <c r="G37" s="7"/>
      <c r="H37" s="9"/>
      <c r="I37" s="40" t="str">
        <f t="shared" si="3"/>
        <v/>
      </c>
    </row>
    <row r="38" spans="1:9">
      <c r="A38" s="6">
        <f t="shared" si="0"/>
        <v>33</v>
      </c>
      <c r="B38" s="63"/>
      <c r="C38" s="63" t="str">
        <f t="shared" si="1"/>
        <v/>
      </c>
      <c r="D38" s="63" t="str">
        <f t="shared" si="2"/>
        <v/>
      </c>
      <c r="E38" s="7"/>
      <c r="F38" s="7"/>
      <c r="G38" s="7"/>
      <c r="H38" s="9"/>
      <c r="I38" s="40" t="str">
        <f t="shared" si="3"/>
        <v/>
      </c>
    </row>
    <row r="39" spans="1:9">
      <c r="A39" s="6">
        <f t="shared" si="0"/>
        <v>34</v>
      </c>
      <c r="B39" s="63"/>
      <c r="C39" s="63" t="str">
        <f t="shared" si="1"/>
        <v/>
      </c>
      <c r="D39" s="63" t="str">
        <f t="shared" si="2"/>
        <v/>
      </c>
      <c r="E39" s="7"/>
      <c r="F39" s="7"/>
      <c r="G39" s="7"/>
      <c r="H39" s="9"/>
      <c r="I39" s="40" t="str">
        <f t="shared" si="3"/>
        <v/>
      </c>
    </row>
    <row r="40" spans="1:9">
      <c r="A40" s="6">
        <f t="shared" si="0"/>
        <v>35</v>
      </c>
      <c r="B40" s="63"/>
      <c r="C40" s="63" t="str">
        <f t="shared" si="1"/>
        <v/>
      </c>
      <c r="D40" s="63" t="str">
        <f t="shared" si="2"/>
        <v/>
      </c>
      <c r="E40" s="7"/>
      <c r="F40" s="7"/>
      <c r="G40" s="7"/>
      <c r="H40" s="9"/>
      <c r="I40" s="40" t="str">
        <f t="shared" si="3"/>
        <v/>
      </c>
    </row>
    <row r="41" spans="1:9">
      <c r="A41" s="6">
        <f t="shared" si="0"/>
        <v>36</v>
      </c>
      <c r="B41" s="63"/>
      <c r="C41" s="63" t="str">
        <f t="shared" si="1"/>
        <v/>
      </c>
      <c r="D41" s="63" t="str">
        <f t="shared" si="2"/>
        <v/>
      </c>
      <c r="E41" s="7"/>
      <c r="F41" s="7"/>
      <c r="G41" s="7"/>
      <c r="H41" s="9"/>
      <c r="I41" s="40" t="str">
        <f t="shared" si="3"/>
        <v/>
      </c>
    </row>
    <row r="42" spans="1:9">
      <c r="A42" s="6">
        <f t="shared" si="0"/>
        <v>37</v>
      </c>
      <c r="B42" s="63"/>
      <c r="C42" s="63" t="str">
        <f t="shared" si="1"/>
        <v/>
      </c>
      <c r="D42" s="63" t="str">
        <f t="shared" si="2"/>
        <v/>
      </c>
      <c r="E42" s="7"/>
      <c r="F42" s="7"/>
      <c r="G42" s="7"/>
      <c r="H42" s="9"/>
      <c r="I42" s="40" t="str">
        <f t="shared" si="3"/>
        <v/>
      </c>
    </row>
    <row r="43" spans="1:9">
      <c r="A43" s="6">
        <f t="shared" si="0"/>
        <v>38</v>
      </c>
      <c r="B43" s="63"/>
      <c r="C43" s="63" t="str">
        <f t="shared" si="1"/>
        <v/>
      </c>
      <c r="D43" s="63" t="str">
        <f t="shared" si="2"/>
        <v/>
      </c>
      <c r="E43" s="7"/>
      <c r="F43" s="7"/>
      <c r="G43" s="7"/>
      <c r="H43" s="9"/>
      <c r="I43" s="40" t="str">
        <f t="shared" si="3"/>
        <v/>
      </c>
    </row>
    <row r="44" spans="1:9">
      <c r="A44" s="6">
        <f t="shared" si="0"/>
        <v>39</v>
      </c>
      <c r="B44" s="63"/>
      <c r="C44" s="63" t="str">
        <f t="shared" si="1"/>
        <v/>
      </c>
      <c r="D44" s="63" t="str">
        <f t="shared" si="2"/>
        <v/>
      </c>
      <c r="E44" s="7"/>
      <c r="F44" s="7"/>
      <c r="G44" s="7"/>
      <c r="H44" s="9"/>
      <c r="I44" s="40" t="str">
        <f t="shared" si="3"/>
        <v/>
      </c>
    </row>
    <row r="45" spans="1:9">
      <c r="A45" s="6">
        <f t="shared" si="0"/>
        <v>40</v>
      </c>
      <c r="B45" s="63"/>
      <c r="C45" s="63" t="str">
        <f t="shared" si="1"/>
        <v/>
      </c>
      <c r="D45" s="63" t="str">
        <f t="shared" si="2"/>
        <v/>
      </c>
      <c r="E45" s="7"/>
      <c r="F45" s="7"/>
      <c r="G45" s="7"/>
      <c r="H45" s="9"/>
      <c r="I45" s="40" t="str">
        <f t="shared" si="3"/>
        <v/>
      </c>
    </row>
    <row r="46" spans="1:9">
      <c r="A46" s="6">
        <f t="shared" si="0"/>
        <v>41</v>
      </c>
      <c r="B46" s="63"/>
      <c r="C46" s="63" t="str">
        <f t="shared" si="1"/>
        <v/>
      </c>
      <c r="D46" s="63" t="str">
        <f t="shared" si="2"/>
        <v/>
      </c>
      <c r="E46" s="7"/>
      <c r="F46" s="7"/>
      <c r="G46" s="7"/>
      <c r="H46" s="9"/>
      <c r="I46" s="40" t="str">
        <f t="shared" si="3"/>
        <v/>
      </c>
    </row>
    <row r="47" spans="1:9">
      <c r="A47" s="6">
        <f t="shared" si="0"/>
        <v>42</v>
      </c>
      <c r="B47" s="63"/>
      <c r="C47" s="63" t="str">
        <f t="shared" si="1"/>
        <v/>
      </c>
      <c r="D47" s="63" t="str">
        <f t="shared" si="2"/>
        <v/>
      </c>
      <c r="E47" s="7"/>
      <c r="F47" s="7"/>
      <c r="G47" s="7"/>
      <c r="H47" s="9"/>
      <c r="I47" s="40" t="str">
        <f t="shared" si="3"/>
        <v/>
      </c>
    </row>
    <row r="48" spans="1:9">
      <c r="A48" s="6">
        <f t="shared" si="0"/>
        <v>43</v>
      </c>
      <c r="B48" s="63"/>
      <c r="C48" s="63" t="str">
        <f t="shared" si="1"/>
        <v/>
      </c>
      <c r="D48" s="63" t="str">
        <f t="shared" si="2"/>
        <v/>
      </c>
      <c r="E48" s="7"/>
      <c r="F48" s="7"/>
      <c r="G48" s="7"/>
      <c r="H48" s="9"/>
      <c r="I48" s="40" t="str">
        <f t="shared" si="3"/>
        <v/>
      </c>
    </row>
    <row r="49" spans="1:9">
      <c r="A49" s="6">
        <f t="shared" si="0"/>
        <v>44</v>
      </c>
      <c r="B49" s="63"/>
      <c r="C49" s="63" t="str">
        <f t="shared" si="1"/>
        <v/>
      </c>
      <c r="D49" s="63" t="str">
        <f t="shared" si="2"/>
        <v/>
      </c>
      <c r="E49" s="7"/>
      <c r="F49" s="7"/>
      <c r="G49" s="7"/>
      <c r="H49" s="9"/>
      <c r="I49" s="40" t="str">
        <f t="shared" si="3"/>
        <v/>
      </c>
    </row>
    <row r="50" spans="1:9">
      <c r="A50" s="6">
        <f t="shared" si="0"/>
        <v>45</v>
      </c>
      <c r="B50" s="63"/>
      <c r="C50" s="63" t="str">
        <f t="shared" si="1"/>
        <v/>
      </c>
      <c r="D50" s="63" t="str">
        <f t="shared" si="2"/>
        <v/>
      </c>
      <c r="E50" s="7"/>
      <c r="F50" s="7"/>
      <c r="G50" s="7"/>
      <c r="H50" s="9"/>
      <c r="I50" s="40" t="str">
        <f t="shared" si="3"/>
        <v/>
      </c>
    </row>
    <row r="51" spans="1:9">
      <c r="A51" s="6">
        <f t="shared" si="0"/>
        <v>46</v>
      </c>
      <c r="B51" s="63"/>
      <c r="C51" s="63" t="str">
        <f t="shared" si="1"/>
        <v/>
      </c>
      <c r="D51" s="63" t="str">
        <f t="shared" si="2"/>
        <v/>
      </c>
      <c r="E51" s="7"/>
      <c r="F51" s="7"/>
      <c r="G51" s="7"/>
      <c r="H51" s="9"/>
      <c r="I51" s="40" t="str">
        <f t="shared" si="3"/>
        <v/>
      </c>
    </row>
    <row r="52" spans="1:9">
      <c r="A52" s="6">
        <f t="shared" si="0"/>
        <v>47</v>
      </c>
      <c r="B52" s="63"/>
      <c r="C52" s="63" t="str">
        <f t="shared" si="1"/>
        <v/>
      </c>
      <c r="D52" s="63" t="str">
        <f t="shared" si="2"/>
        <v/>
      </c>
      <c r="E52" s="7"/>
      <c r="F52" s="7"/>
      <c r="G52" s="7"/>
      <c r="H52" s="9"/>
      <c r="I52" s="40" t="str">
        <f t="shared" si="3"/>
        <v/>
      </c>
    </row>
    <row r="53" spans="1:9">
      <c r="A53" s="6">
        <f t="shared" si="0"/>
        <v>48</v>
      </c>
      <c r="B53" s="63"/>
      <c r="C53" s="63" t="str">
        <f t="shared" si="1"/>
        <v/>
      </c>
      <c r="D53" s="63" t="str">
        <f t="shared" si="2"/>
        <v/>
      </c>
      <c r="E53" s="7"/>
      <c r="F53" s="7"/>
      <c r="G53" s="7"/>
      <c r="H53" s="9"/>
      <c r="I53" s="40" t="str">
        <f t="shared" si="3"/>
        <v/>
      </c>
    </row>
    <row r="54" spans="1:9">
      <c r="A54" s="6">
        <f t="shared" si="0"/>
        <v>49</v>
      </c>
      <c r="B54" s="63"/>
      <c r="C54" s="63" t="str">
        <f t="shared" si="1"/>
        <v/>
      </c>
      <c r="D54" s="63" t="str">
        <f t="shared" si="2"/>
        <v/>
      </c>
      <c r="E54" s="7"/>
      <c r="F54" s="7"/>
      <c r="G54" s="7"/>
      <c r="H54" s="9"/>
      <c r="I54" s="40" t="str">
        <f t="shared" si="3"/>
        <v/>
      </c>
    </row>
    <row r="55" spans="1:9">
      <c r="A55" s="6">
        <f t="shared" si="0"/>
        <v>50</v>
      </c>
      <c r="B55" s="63"/>
      <c r="C55" s="63" t="str">
        <f t="shared" si="1"/>
        <v/>
      </c>
      <c r="D55" s="63" t="str">
        <f t="shared" si="2"/>
        <v/>
      </c>
      <c r="E55" s="7"/>
      <c r="F55" s="7"/>
      <c r="G55" s="7"/>
      <c r="H55" s="9"/>
      <c r="I55" s="40" t="str">
        <f t="shared" si="3"/>
        <v/>
      </c>
    </row>
    <row r="56" spans="1:9">
      <c r="A56" s="6">
        <f t="shared" si="0"/>
        <v>51</v>
      </c>
      <c r="B56" s="63"/>
      <c r="C56" s="63" t="str">
        <f t="shared" si="1"/>
        <v/>
      </c>
      <c r="D56" s="63" t="str">
        <f t="shared" si="2"/>
        <v/>
      </c>
      <c r="E56" s="7"/>
      <c r="F56" s="7"/>
      <c r="G56" s="7"/>
      <c r="H56" s="9"/>
      <c r="I56" s="40" t="str">
        <f t="shared" si="3"/>
        <v/>
      </c>
    </row>
    <row r="57" spans="1:9">
      <c r="A57" s="6">
        <f t="shared" si="0"/>
        <v>52</v>
      </c>
      <c r="B57" s="63"/>
      <c r="C57" s="63" t="str">
        <f t="shared" si="1"/>
        <v/>
      </c>
      <c r="D57" s="63" t="str">
        <f t="shared" si="2"/>
        <v/>
      </c>
      <c r="E57" s="7"/>
      <c r="F57" s="7"/>
      <c r="G57" s="7"/>
      <c r="H57" s="9"/>
      <c r="I57" s="40" t="str">
        <f t="shared" si="3"/>
        <v/>
      </c>
    </row>
    <row r="58" spans="1:9">
      <c r="A58" s="6">
        <f t="shared" si="0"/>
        <v>53</v>
      </c>
      <c r="B58" s="63"/>
      <c r="C58" s="63" t="str">
        <f t="shared" si="1"/>
        <v/>
      </c>
      <c r="D58" s="63" t="str">
        <f t="shared" si="2"/>
        <v/>
      </c>
      <c r="E58" s="7"/>
      <c r="F58" s="7"/>
      <c r="G58" s="7"/>
      <c r="H58" s="9"/>
      <c r="I58" s="40" t="str">
        <f t="shared" si="3"/>
        <v/>
      </c>
    </row>
    <row r="59" spans="1:9">
      <c r="A59" s="6">
        <f t="shared" si="0"/>
        <v>54</v>
      </c>
      <c r="B59" s="63"/>
      <c r="C59" s="63" t="str">
        <f t="shared" si="1"/>
        <v/>
      </c>
      <c r="D59" s="63" t="str">
        <f t="shared" si="2"/>
        <v/>
      </c>
      <c r="E59" s="7"/>
      <c r="F59" s="7"/>
      <c r="G59" s="7"/>
      <c r="H59" s="9"/>
      <c r="I59" s="40" t="str">
        <f t="shared" si="3"/>
        <v/>
      </c>
    </row>
    <row r="60" spans="1:9">
      <c r="A60" s="6">
        <f t="shared" si="0"/>
        <v>55</v>
      </c>
      <c r="B60" s="63"/>
      <c r="C60" s="63" t="str">
        <f t="shared" si="1"/>
        <v/>
      </c>
      <c r="D60" s="63" t="str">
        <f t="shared" si="2"/>
        <v/>
      </c>
      <c r="E60" s="7"/>
      <c r="F60" s="7"/>
      <c r="G60" s="7"/>
      <c r="H60" s="9"/>
      <c r="I60" s="40" t="str">
        <f t="shared" si="3"/>
        <v/>
      </c>
    </row>
    <row r="61" spans="1:9">
      <c r="A61" s="6">
        <f t="shared" si="0"/>
        <v>56</v>
      </c>
      <c r="B61" s="63"/>
      <c r="C61" s="63" t="str">
        <f t="shared" si="1"/>
        <v/>
      </c>
      <c r="D61" s="63" t="str">
        <f t="shared" si="2"/>
        <v/>
      </c>
      <c r="E61" s="7"/>
      <c r="F61" s="7"/>
      <c r="G61" s="7"/>
      <c r="H61" s="9"/>
      <c r="I61" s="40" t="str">
        <f t="shared" si="3"/>
        <v/>
      </c>
    </row>
    <row r="62" spans="1:9">
      <c r="A62" s="6">
        <f t="shared" si="0"/>
        <v>57</v>
      </c>
      <c r="B62" s="63"/>
      <c r="C62" s="63" t="str">
        <f t="shared" si="1"/>
        <v/>
      </c>
      <c r="D62" s="63" t="str">
        <f t="shared" si="2"/>
        <v/>
      </c>
      <c r="E62" s="7"/>
      <c r="F62" s="7"/>
      <c r="G62" s="7"/>
      <c r="H62" s="9"/>
      <c r="I62" s="40" t="str">
        <f t="shared" si="3"/>
        <v/>
      </c>
    </row>
    <row r="63" spans="1:9">
      <c r="A63" s="6">
        <f t="shared" si="0"/>
        <v>58</v>
      </c>
      <c r="B63" s="63"/>
      <c r="C63" s="63" t="str">
        <f t="shared" si="1"/>
        <v/>
      </c>
      <c r="D63" s="63" t="str">
        <f t="shared" si="2"/>
        <v/>
      </c>
      <c r="E63" s="7"/>
      <c r="F63" s="7"/>
      <c r="G63" s="7"/>
      <c r="H63" s="9"/>
      <c r="I63" s="40" t="str">
        <f t="shared" si="3"/>
        <v/>
      </c>
    </row>
    <row r="64" spans="1:9">
      <c r="A64" s="6">
        <f t="shared" si="0"/>
        <v>59</v>
      </c>
      <c r="B64" s="63"/>
      <c r="C64" s="63" t="str">
        <f t="shared" si="1"/>
        <v/>
      </c>
      <c r="D64" s="63" t="str">
        <f t="shared" si="2"/>
        <v/>
      </c>
      <c r="E64" s="7"/>
      <c r="F64" s="7"/>
      <c r="G64" s="7"/>
      <c r="H64" s="9"/>
      <c r="I64" s="40" t="str">
        <f t="shared" si="3"/>
        <v/>
      </c>
    </row>
    <row r="65" spans="1:9">
      <c r="A65" s="6">
        <f t="shared" si="0"/>
        <v>60</v>
      </c>
      <c r="B65" s="63"/>
      <c r="C65" s="63" t="str">
        <f t="shared" si="1"/>
        <v/>
      </c>
      <c r="D65" s="63" t="str">
        <f t="shared" si="2"/>
        <v/>
      </c>
      <c r="E65" s="7"/>
      <c r="F65" s="7"/>
      <c r="G65" s="7"/>
      <c r="H65" s="9"/>
      <c r="I65" s="40" t="str">
        <f t="shared" si="3"/>
        <v/>
      </c>
    </row>
    <row r="66" spans="1:9">
      <c r="A66" s="6">
        <f t="shared" si="0"/>
        <v>61</v>
      </c>
      <c r="B66" s="63"/>
      <c r="C66" s="63" t="str">
        <f t="shared" si="1"/>
        <v/>
      </c>
      <c r="D66" s="63" t="str">
        <f t="shared" si="2"/>
        <v/>
      </c>
      <c r="E66" s="7"/>
      <c r="F66" s="7"/>
      <c r="G66" s="7"/>
      <c r="H66" s="9"/>
      <c r="I66" s="40" t="str">
        <f t="shared" si="3"/>
        <v/>
      </c>
    </row>
    <row r="67" spans="1:9">
      <c r="A67" s="6">
        <f t="shared" si="0"/>
        <v>62</v>
      </c>
      <c r="B67" s="63"/>
      <c r="C67" s="63" t="str">
        <f t="shared" si="1"/>
        <v/>
      </c>
      <c r="D67" s="63" t="str">
        <f t="shared" si="2"/>
        <v/>
      </c>
      <c r="E67" s="7"/>
      <c r="F67" s="7"/>
      <c r="G67" s="7"/>
      <c r="H67" s="9"/>
      <c r="I67" s="40" t="str">
        <f t="shared" si="3"/>
        <v/>
      </c>
    </row>
    <row r="68" spans="1:9">
      <c r="A68" s="6">
        <f t="shared" si="0"/>
        <v>63</v>
      </c>
      <c r="B68" s="63"/>
      <c r="C68" s="63" t="str">
        <f t="shared" si="1"/>
        <v/>
      </c>
      <c r="D68" s="63" t="str">
        <f t="shared" si="2"/>
        <v/>
      </c>
      <c r="E68" s="7"/>
      <c r="F68" s="7"/>
      <c r="G68" s="7"/>
      <c r="H68" s="9"/>
      <c r="I68" s="40" t="str">
        <f t="shared" si="3"/>
        <v/>
      </c>
    </row>
    <row r="69" spans="1:9">
      <c r="A69" s="6">
        <f t="shared" si="0"/>
        <v>64</v>
      </c>
      <c r="B69" s="63"/>
      <c r="C69" s="63" t="str">
        <f t="shared" si="1"/>
        <v/>
      </c>
      <c r="D69" s="63" t="str">
        <f t="shared" si="2"/>
        <v/>
      </c>
      <c r="E69" s="7"/>
      <c r="F69" s="7"/>
      <c r="G69" s="7"/>
      <c r="H69" s="9"/>
      <c r="I69" s="40" t="str">
        <f t="shared" si="3"/>
        <v/>
      </c>
    </row>
    <row r="70" spans="1:9">
      <c r="A70" s="6">
        <f t="shared" si="0"/>
        <v>65</v>
      </c>
      <c r="B70" s="63"/>
      <c r="C70" s="63" t="str">
        <f t="shared" si="1"/>
        <v/>
      </c>
      <c r="D70" s="63" t="str">
        <f t="shared" si="2"/>
        <v/>
      </c>
      <c r="E70" s="7"/>
      <c r="F70" s="7"/>
      <c r="G70" s="7"/>
      <c r="H70" s="9"/>
      <c r="I70" s="40" t="str">
        <f t="shared" si="3"/>
        <v/>
      </c>
    </row>
    <row r="71" spans="1:9">
      <c r="A71" s="6">
        <f t="shared" ref="A71:A134" si="4">ROW(A66)</f>
        <v>66</v>
      </c>
      <c r="B71" s="63"/>
      <c r="C71" s="63" t="str">
        <f t="shared" ref="C71:C134" si="5">IF(B71=0,"",TEXT(B71,"mmmm"))</f>
        <v/>
      </c>
      <c r="D71" s="63" t="str">
        <f t="shared" ref="D71:D134" si="6">IF(B71=0,"",TEXT(B71,"yyyy"))</f>
        <v/>
      </c>
      <c r="E71" s="7"/>
      <c r="F71" s="7"/>
      <c r="G71" s="7"/>
      <c r="H71" s="9"/>
      <c r="I71" s="40" t="str">
        <f t="shared" ref="I71:I134" si="7">IF(H71*G71=0,"",H71*G71)</f>
        <v/>
      </c>
    </row>
    <row r="72" spans="1:9">
      <c r="A72" s="6">
        <f t="shared" si="4"/>
        <v>67</v>
      </c>
      <c r="B72" s="63"/>
      <c r="C72" s="63" t="str">
        <f t="shared" si="5"/>
        <v/>
      </c>
      <c r="D72" s="63" t="str">
        <f t="shared" si="6"/>
        <v/>
      </c>
      <c r="E72" s="7"/>
      <c r="F72" s="7"/>
      <c r="G72" s="7"/>
      <c r="H72" s="9"/>
      <c r="I72" s="40" t="str">
        <f t="shared" si="7"/>
        <v/>
      </c>
    </row>
    <row r="73" spans="1:9">
      <c r="A73" s="6">
        <f t="shared" si="4"/>
        <v>68</v>
      </c>
      <c r="B73" s="63"/>
      <c r="C73" s="63" t="str">
        <f t="shared" si="5"/>
        <v/>
      </c>
      <c r="D73" s="63" t="str">
        <f t="shared" si="6"/>
        <v/>
      </c>
      <c r="E73" s="7"/>
      <c r="F73" s="7"/>
      <c r="G73" s="7"/>
      <c r="H73" s="9"/>
      <c r="I73" s="40" t="str">
        <f t="shared" si="7"/>
        <v/>
      </c>
    </row>
    <row r="74" spans="1:9">
      <c r="A74" s="6">
        <f t="shared" si="4"/>
        <v>69</v>
      </c>
      <c r="B74" s="63"/>
      <c r="C74" s="63" t="str">
        <f t="shared" si="5"/>
        <v/>
      </c>
      <c r="D74" s="63" t="str">
        <f t="shared" si="6"/>
        <v/>
      </c>
      <c r="E74" s="7"/>
      <c r="F74" s="7"/>
      <c r="G74" s="7"/>
      <c r="H74" s="9"/>
      <c r="I74" s="40" t="str">
        <f t="shared" si="7"/>
        <v/>
      </c>
    </row>
    <row r="75" spans="1:9">
      <c r="A75" s="6">
        <f t="shared" si="4"/>
        <v>70</v>
      </c>
      <c r="B75" s="63"/>
      <c r="C75" s="63" t="str">
        <f t="shared" si="5"/>
        <v/>
      </c>
      <c r="D75" s="63" t="str">
        <f t="shared" si="6"/>
        <v/>
      </c>
      <c r="E75" s="7"/>
      <c r="F75" s="7"/>
      <c r="G75" s="7"/>
      <c r="H75" s="9"/>
      <c r="I75" s="40" t="str">
        <f t="shared" si="7"/>
        <v/>
      </c>
    </row>
    <row r="76" spans="1:9">
      <c r="A76" s="6">
        <f t="shared" si="4"/>
        <v>71</v>
      </c>
      <c r="B76" s="63"/>
      <c r="C76" s="63" t="str">
        <f t="shared" si="5"/>
        <v/>
      </c>
      <c r="D76" s="63" t="str">
        <f t="shared" si="6"/>
        <v/>
      </c>
      <c r="E76" s="7"/>
      <c r="F76" s="7"/>
      <c r="G76" s="7"/>
      <c r="H76" s="9"/>
      <c r="I76" s="40" t="str">
        <f t="shared" si="7"/>
        <v/>
      </c>
    </row>
    <row r="77" spans="1:9">
      <c r="A77" s="6">
        <f t="shared" si="4"/>
        <v>72</v>
      </c>
      <c r="B77" s="63"/>
      <c r="C77" s="63" t="str">
        <f t="shared" si="5"/>
        <v/>
      </c>
      <c r="D77" s="63" t="str">
        <f t="shared" si="6"/>
        <v/>
      </c>
      <c r="E77" s="7"/>
      <c r="F77" s="7"/>
      <c r="G77" s="7"/>
      <c r="H77" s="9"/>
      <c r="I77" s="40" t="str">
        <f t="shared" si="7"/>
        <v/>
      </c>
    </row>
    <row r="78" spans="1:9">
      <c r="A78" s="6">
        <f t="shared" si="4"/>
        <v>73</v>
      </c>
      <c r="B78" s="63"/>
      <c r="C78" s="63" t="str">
        <f t="shared" si="5"/>
        <v/>
      </c>
      <c r="D78" s="63" t="str">
        <f t="shared" si="6"/>
        <v/>
      </c>
      <c r="E78" s="7"/>
      <c r="F78" s="7"/>
      <c r="G78" s="7"/>
      <c r="H78" s="9"/>
      <c r="I78" s="40" t="str">
        <f t="shared" si="7"/>
        <v/>
      </c>
    </row>
    <row r="79" spans="1:9">
      <c r="A79" s="6">
        <f t="shared" si="4"/>
        <v>74</v>
      </c>
      <c r="B79" s="63"/>
      <c r="C79" s="63" t="str">
        <f t="shared" si="5"/>
        <v/>
      </c>
      <c r="D79" s="63" t="str">
        <f t="shared" si="6"/>
        <v/>
      </c>
      <c r="E79" s="7"/>
      <c r="F79" s="7"/>
      <c r="G79" s="7"/>
      <c r="H79" s="9"/>
      <c r="I79" s="40" t="str">
        <f t="shared" si="7"/>
        <v/>
      </c>
    </row>
    <row r="80" spans="1:9">
      <c r="A80" s="6">
        <f t="shared" si="4"/>
        <v>75</v>
      </c>
      <c r="B80" s="63"/>
      <c r="C80" s="63" t="str">
        <f t="shared" si="5"/>
        <v/>
      </c>
      <c r="D80" s="63" t="str">
        <f t="shared" si="6"/>
        <v/>
      </c>
      <c r="E80" s="7"/>
      <c r="F80" s="7"/>
      <c r="G80" s="7"/>
      <c r="H80" s="9"/>
      <c r="I80" s="40" t="str">
        <f t="shared" si="7"/>
        <v/>
      </c>
    </row>
    <row r="81" spans="1:9">
      <c r="A81" s="6">
        <f t="shared" si="4"/>
        <v>76</v>
      </c>
      <c r="B81" s="63"/>
      <c r="C81" s="63" t="str">
        <f t="shared" si="5"/>
        <v/>
      </c>
      <c r="D81" s="63" t="str">
        <f t="shared" si="6"/>
        <v/>
      </c>
      <c r="E81" s="7"/>
      <c r="F81" s="7"/>
      <c r="G81" s="7"/>
      <c r="H81" s="9"/>
      <c r="I81" s="40" t="str">
        <f t="shared" si="7"/>
        <v/>
      </c>
    </row>
    <row r="82" spans="1:9">
      <c r="A82" s="6">
        <f t="shared" si="4"/>
        <v>77</v>
      </c>
      <c r="B82" s="63"/>
      <c r="C82" s="63" t="str">
        <f t="shared" si="5"/>
        <v/>
      </c>
      <c r="D82" s="63" t="str">
        <f t="shared" si="6"/>
        <v/>
      </c>
      <c r="E82" s="7"/>
      <c r="F82" s="7"/>
      <c r="G82" s="7"/>
      <c r="H82" s="9"/>
      <c r="I82" s="40" t="str">
        <f t="shared" si="7"/>
        <v/>
      </c>
    </row>
    <row r="83" spans="1:9">
      <c r="A83" s="6">
        <f t="shared" si="4"/>
        <v>78</v>
      </c>
      <c r="B83" s="63"/>
      <c r="C83" s="63" t="str">
        <f t="shared" si="5"/>
        <v/>
      </c>
      <c r="D83" s="63" t="str">
        <f t="shared" si="6"/>
        <v/>
      </c>
      <c r="E83" s="7"/>
      <c r="F83" s="7"/>
      <c r="G83" s="7"/>
      <c r="H83" s="9"/>
      <c r="I83" s="40" t="str">
        <f t="shared" si="7"/>
        <v/>
      </c>
    </row>
    <row r="84" spans="1:9">
      <c r="A84" s="6">
        <f t="shared" si="4"/>
        <v>79</v>
      </c>
      <c r="B84" s="63"/>
      <c r="C84" s="63" t="str">
        <f t="shared" si="5"/>
        <v/>
      </c>
      <c r="D84" s="63" t="str">
        <f t="shared" si="6"/>
        <v/>
      </c>
      <c r="E84" s="7"/>
      <c r="F84" s="7"/>
      <c r="G84" s="7"/>
      <c r="H84" s="9"/>
      <c r="I84" s="40" t="str">
        <f t="shared" si="7"/>
        <v/>
      </c>
    </row>
    <row r="85" spans="1:9">
      <c r="A85" s="6">
        <f t="shared" si="4"/>
        <v>80</v>
      </c>
      <c r="B85" s="63"/>
      <c r="C85" s="63" t="str">
        <f t="shared" si="5"/>
        <v/>
      </c>
      <c r="D85" s="63" t="str">
        <f t="shared" si="6"/>
        <v/>
      </c>
      <c r="E85" s="7"/>
      <c r="F85" s="7"/>
      <c r="G85" s="7"/>
      <c r="H85" s="9"/>
      <c r="I85" s="40" t="str">
        <f t="shared" si="7"/>
        <v/>
      </c>
    </row>
    <row r="86" spans="1:9">
      <c r="A86" s="6">
        <f t="shared" si="4"/>
        <v>81</v>
      </c>
      <c r="B86" s="63"/>
      <c r="C86" s="63" t="str">
        <f t="shared" si="5"/>
        <v/>
      </c>
      <c r="D86" s="63" t="str">
        <f t="shared" si="6"/>
        <v/>
      </c>
      <c r="E86" s="7"/>
      <c r="F86" s="7"/>
      <c r="G86" s="7"/>
      <c r="H86" s="9"/>
      <c r="I86" s="40" t="str">
        <f t="shared" si="7"/>
        <v/>
      </c>
    </row>
    <row r="87" spans="1:9">
      <c r="A87" s="6">
        <f t="shared" si="4"/>
        <v>82</v>
      </c>
      <c r="B87" s="63"/>
      <c r="C87" s="63" t="str">
        <f t="shared" si="5"/>
        <v/>
      </c>
      <c r="D87" s="63" t="str">
        <f t="shared" si="6"/>
        <v/>
      </c>
      <c r="E87" s="7"/>
      <c r="F87" s="7"/>
      <c r="G87" s="7"/>
      <c r="H87" s="9"/>
      <c r="I87" s="40" t="str">
        <f t="shared" si="7"/>
        <v/>
      </c>
    </row>
    <row r="88" spans="1:9">
      <c r="A88" s="6">
        <f t="shared" si="4"/>
        <v>83</v>
      </c>
      <c r="B88" s="63"/>
      <c r="C88" s="63" t="str">
        <f t="shared" si="5"/>
        <v/>
      </c>
      <c r="D88" s="63" t="str">
        <f t="shared" si="6"/>
        <v/>
      </c>
      <c r="E88" s="7"/>
      <c r="F88" s="7"/>
      <c r="G88" s="7"/>
      <c r="H88" s="9"/>
      <c r="I88" s="40" t="str">
        <f t="shared" si="7"/>
        <v/>
      </c>
    </row>
    <row r="89" spans="1:9">
      <c r="A89" s="6">
        <f t="shared" si="4"/>
        <v>84</v>
      </c>
      <c r="B89" s="63"/>
      <c r="C89" s="63" t="str">
        <f t="shared" si="5"/>
        <v/>
      </c>
      <c r="D89" s="63" t="str">
        <f t="shared" si="6"/>
        <v/>
      </c>
      <c r="E89" s="7"/>
      <c r="F89" s="7"/>
      <c r="G89" s="7"/>
      <c r="H89" s="9"/>
      <c r="I89" s="40" t="str">
        <f t="shared" si="7"/>
        <v/>
      </c>
    </row>
    <row r="90" spans="1:9">
      <c r="A90" s="6">
        <f t="shared" si="4"/>
        <v>85</v>
      </c>
      <c r="B90" s="63"/>
      <c r="C90" s="63" t="str">
        <f t="shared" si="5"/>
        <v/>
      </c>
      <c r="D90" s="63" t="str">
        <f t="shared" si="6"/>
        <v/>
      </c>
      <c r="E90" s="7"/>
      <c r="F90" s="7"/>
      <c r="G90" s="7"/>
      <c r="H90" s="9"/>
      <c r="I90" s="40" t="str">
        <f t="shared" si="7"/>
        <v/>
      </c>
    </row>
    <row r="91" spans="1:9">
      <c r="A91" s="6">
        <f t="shared" si="4"/>
        <v>86</v>
      </c>
      <c r="B91" s="63"/>
      <c r="C91" s="63" t="str">
        <f t="shared" si="5"/>
        <v/>
      </c>
      <c r="D91" s="63" t="str">
        <f t="shared" si="6"/>
        <v/>
      </c>
      <c r="E91" s="7"/>
      <c r="F91" s="7"/>
      <c r="G91" s="7"/>
      <c r="H91" s="9"/>
      <c r="I91" s="40" t="str">
        <f t="shared" si="7"/>
        <v/>
      </c>
    </row>
    <row r="92" spans="1:9">
      <c r="A92" s="6">
        <f t="shared" si="4"/>
        <v>87</v>
      </c>
      <c r="B92" s="63"/>
      <c r="C92" s="63" t="str">
        <f t="shared" si="5"/>
        <v/>
      </c>
      <c r="D92" s="63" t="str">
        <f t="shared" si="6"/>
        <v/>
      </c>
      <c r="E92" s="7"/>
      <c r="F92" s="7"/>
      <c r="G92" s="7"/>
      <c r="H92" s="9"/>
      <c r="I92" s="40" t="str">
        <f t="shared" si="7"/>
        <v/>
      </c>
    </row>
    <row r="93" spans="1:9">
      <c r="A93" s="6">
        <f t="shared" si="4"/>
        <v>88</v>
      </c>
      <c r="B93" s="63"/>
      <c r="C93" s="63" t="str">
        <f t="shared" si="5"/>
        <v/>
      </c>
      <c r="D93" s="63" t="str">
        <f t="shared" si="6"/>
        <v/>
      </c>
      <c r="E93" s="7"/>
      <c r="F93" s="7"/>
      <c r="G93" s="7"/>
      <c r="H93" s="9"/>
      <c r="I93" s="40" t="str">
        <f t="shared" si="7"/>
        <v/>
      </c>
    </row>
    <row r="94" spans="1:9">
      <c r="A94" s="6">
        <f t="shared" si="4"/>
        <v>89</v>
      </c>
      <c r="B94" s="63"/>
      <c r="C94" s="63" t="str">
        <f t="shared" si="5"/>
        <v/>
      </c>
      <c r="D94" s="63" t="str">
        <f t="shared" si="6"/>
        <v/>
      </c>
      <c r="E94" s="7"/>
      <c r="F94" s="7"/>
      <c r="G94" s="7"/>
      <c r="H94" s="9"/>
      <c r="I94" s="40" t="str">
        <f t="shared" si="7"/>
        <v/>
      </c>
    </row>
    <row r="95" spans="1:9">
      <c r="A95" s="6">
        <f t="shared" si="4"/>
        <v>90</v>
      </c>
      <c r="B95" s="63"/>
      <c r="C95" s="63" t="str">
        <f t="shared" si="5"/>
        <v/>
      </c>
      <c r="D95" s="63" t="str">
        <f t="shared" si="6"/>
        <v/>
      </c>
      <c r="E95" s="7"/>
      <c r="F95" s="7"/>
      <c r="G95" s="7"/>
      <c r="H95" s="9"/>
      <c r="I95" s="40" t="str">
        <f t="shared" si="7"/>
        <v/>
      </c>
    </row>
    <row r="96" spans="1:9">
      <c r="A96" s="6">
        <f t="shared" si="4"/>
        <v>91</v>
      </c>
      <c r="B96" s="63"/>
      <c r="C96" s="63" t="str">
        <f t="shared" si="5"/>
        <v/>
      </c>
      <c r="D96" s="63" t="str">
        <f t="shared" si="6"/>
        <v/>
      </c>
      <c r="E96" s="7"/>
      <c r="F96" s="7"/>
      <c r="G96" s="7"/>
      <c r="H96" s="9"/>
      <c r="I96" s="40" t="str">
        <f t="shared" si="7"/>
        <v/>
      </c>
    </row>
    <row r="97" spans="1:9">
      <c r="A97" s="6">
        <f t="shared" si="4"/>
        <v>92</v>
      </c>
      <c r="B97" s="63"/>
      <c r="C97" s="63" t="str">
        <f t="shared" si="5"/>
        <v/>
      </c>
      <c r="D97" s="63" t="str">
        <f t="shared" si="6"/>
        <v/>
      </c>
      <c r="E97" s="7"/>
      <c r="F97" s="7"/>
      <c r="G97" s="7"/>
      <c r="H97" s="9"/>
      <c r="I97" s="40" t="str">
        <f t="shared" si="7"/>
        <v/>
      </c>
    </row>
    <row r="98" spans="1:9">
      <c r="A98" s="6">
        <f t="shared" si="4"/>
        <v>93</v>
      </c>
      <c r="B98" s="63"/>
      <c r="C98" s="63" t="str">
        <f t="shared" si="5"/>
        <v/>
      </c>
      <c r="D98" s="63" t="str">
        <f t="shared" si="6"/>
        <v/>
      </c>
      <c r="E98" s="7"/>
      <c r="F98" s="7"/>
      <c r="G98" s="7"/>
      <c r="H98" s="9"/>
      <c r="I98" s="40" t="str">
        <f t="shared" si="7"/>
        <v/>
      </c>
    </row>
    <row r="99" spans="1:9">
      <c r="A99" s="6">
        <f t="shared" si="4"/>
        <v>94</v>
      </c>
      <c r="B99" s="63"/>
      <c r="C99" s="63" t="str">
        <f t="shared" si="5"/>
        <v/>
      </c>
      <c r="D99" s="63" t="str">
        <f t="shared" si="6"/>
        <v/>
      </c>
      <c r="E99" s="7"/>
      <c r="F99" s="7"/>
      <c r="G99" s="7"/>
      <c r="H99" s="9"/>
      <c r="I99" s="40" t="str">
        <f t="shared" si="7"/>
        <v/>
      </c>
    </row>
    <row r="100" spans="1:9">
      <c r="A100" s="6">
        <f t="shared" si="4"/>
        <v>95</v>
      </c>
      <c r="B100" s="63"/>
      <c r="C100" s="63" t="str">
        <f t="shared" si="5"/>
        <v/>
      </c>
      <c r="D100" s="63" t="str">
        <f t="shared" si="6"/>
        <v/>
      </c>
      <c r="E100" s="7"/>
      <c r="F100" s="7"/>
      <c r="G100" s="7"/>
      <c r="H100" s="9"/>
      <c r="I100" s="40" t="str">
        <f t="shared" si="7"/>
        <v/>
      </c>
    </row>
    <row r="101" spans="1:9">
      <c r="A101" s="6">
        <f t="shared" si="4"/>
        <v>96</v>
      </c>
      <c r="B101" s="63"/>
      <c r="C101" s="63" t="str">
        <f t="shared" si="5"/>
        <v/>
      </c>
      <c r="D101" s="63" t="str">
        <f t="shared" si="6"/>
        <v/>
      </c>
      <c r="E101" s="7"/>
      <c r="F101" s="7"/>
      <c r="G101" s="7"/>
      <c r="H101" s="9"/>
      <c r="I101" s="40" t="str">
        <f t="shared" si="7"/>
        <v/>
      </c>
    </row>
    <row r="102" spans="1:9">
      <c r="A102" s="6">
        <f t="shared" si="4"/>
        <v>97</v>
      </c>
      <c r="B102" s="63"/>
      <c r="C102" s="63" t="str">
        <f t="shared" si="5"/>
        <v/>
      </c>
      <c r="D102" s="63" t="str">
        <f t="shared" si="6"/>
        <v/>
      </c>
      <c r="E102" s="7"/>
      <c r="F102" s="7"/>
      <c r="G102" s="7"/>
      <c r="H102" s="9"/>
      <c r="I102" s="40" t="str">
        <f t="shared" si="7"/>
        <v/>
      </c>
    </row>
    <row r="103" spans="1:9">
      <c r="A103" s="6">
        <f t="shared" si="4"/>
        <v>98</v>
      </c>
      <c r="B103" s="63"/>
      <c r="C103" s="63" t="str">
        <f t="shared" si="5"/>
        <v/>
      </c>
      <c r="D103" s="63" t="str">
        <f t="shared" si="6"/>
        <v/>
      </c>
      <c r="E103" s="7"/>
      <c r="F103" s="7"/>
      <c r="G103" s="7"/>
      <c r="H103" s="9"/>
      <c r="I103" s="40" t="str">
        <f t="shared" si="7"/>
        <v/>
      </c>
    </row>
    <row r="104" spans="1:9">
      <c r="A104" s="6">
        <f t="shared" si="4"/>
        <v>99</v>
      </c>
      <c r="B104" s="63"/>
      <c r="C104" s="63" t="str">
        <f t="shared" si="5"/>
        <v/>
      </c>
      <c r="D104" s="63" t="str">
        <f t="shared" si="6"/>
        <v/>
      </c>
      <c r="E104" s="7"/>
      <c r="F104" s="7"/>
      <c r="G104" s="7"/>
      <c r="H104" s="9"/>
      <c r="I104" s="40" t="str">
        <f t="shared" si="7"/>
        <v/>
      </c>
    </row>
    <row r="105" spans="1:9">
      <c r="A105" s="6">
        <f t="shared" si="4"/>
        <v>100</v>
      </c>
      <c r="B105" s="63"/>
      <c r="C105" s="63" t="str">
        <f t="shared" si="5"/>
        <v/>
      </c>
      <c r="D105" s="63" t="str">
        <f t="shared" si="6"/>
        <v/>
      </c>
      <c r="E105" s="7"/>
      <c r="F105" s="7"/>
      <c r="G105" s="7"/>
      <c r="H105" s="9"/>
      <c r="I105" s="40" t="str">
        <f t="shared" si="7"/>
        <v/>
      </c>
    </row>
    <row r="106" spans="1:9">
      <c r="A106" s="6">
        <f t="shared" si="4"/>
        <v>101</v>
      </c>
      <c r="B106" s="63"/>
      <c r="C106" s="63" t="str">
        <f t="shared" si="5"/>
        <v/>
      </c>
      <c r="D106" s="63" t="str">
        <f t="shared" si="6"/>
        <v/>
      </c>
      <c r="E106" s="7"/>
      <c r="F106" s="7"/>
      <c r="G106" s="7"/>
      <c r="H106" s="9"/>
      <c r="I106" s="40" t="str">
        <f t="shared" si="7"/>
        <v/>
      </c>
    </row>
    <row r="107" spans="1:9">
      <c r="A107" s="6">
        <f t="shared" si="4"/>
        <v>102</v>
      </c>
      <c r="B107" s="63"/>
      <c r="C107" s="63" t="str">
        <f t="shared" si="5"/>
        <v/>
      </c>
      <c r="D107" s="63" t="str">
        <f t="shared" si="6"/>
        <v/>
      </c>
      <c r="E107" s="7"/>
      <c r="F107" s="7"/>
      <c r="G107" s="7"/>
      <c r="H107" s="9"/>
      <c r="I107" s="40" t="str">
        <f t="shared" si="7"/>
        <v/>
      </c>
    </row>
    <row r="108" spans="1:9">
      <c r="A108" s="6">
        <f t="shared" si="4"/>
        <v>103</v>
      </c>
      <c r="B108" s="63"/>
      <c r="C108" s="63" t="str">
        <f t="shared" si="5"/>
        <v/>
      </c>
      <c r="D108" s="63" t="str">
        <f t="shared" si="6"/>
        <v/>
      </c>
      <c r="E108" s="7"/>
      <c r="F108" s="7"/>
      <c r="G108" s="7"/>
      <c r="H108" s="9"/>
      <c r="I108" s="40" t="str">
        <f t="shared" si="7"/>
        <v/>
      </c>
    </row>
    <row r="109" spans="1:9">
      <c r="A109" s="6">
        <f t="shared" si="4"/>
        <v>104</v>
      </c>
      <c r="B109" s="63"/>
      <c r="C109" s="63" t="str">
        <f t="shared" si="5"/>
        <v/>
      </c>
      <c r="D109" s="63" t="str">
        <f t="shared" si="6"/>
        <v/>
      </c>
      <c r="E109" s="7"/>
      <c r="F109" s="7"/>
      <c r="G109" s="7"/>
      <c r="H109" s="9"/>
      <c r="I109" s="40" t="str">
        <f t="shared" si="7"/>
        <v/>
      </c>
    </row>
    <row r="110" spans="1:9">
      <c r="A110" s="6">
        <f t="shared" si="4"/>
        <v>105</v>
      </c>
      <c r="B110" s="63"/>
      <c r="C110" s="63" t="str">
        <f t="shared" si="5"/>
        <v/>
      </c>
      <c r="D110" s="63" t="str">
        <f t="shared" si="6"/>
        <v/>
      </c>
      <c r="E110" s="7"/>
      <c r="F110" s="7"/>
      <c r="G110" s="7"/>
      <c r="H110" s="9"/>
      <c r="I110" s="40" t="str">
        <f t="shared" si="7"/>
        <v/>
      </c>
    </row>
    <row r="111" spans="1:9">
      <c r="A111" s="6">
        <f t="shared" si="4"/>
        <v>106</v>
      </c>
      <c r="B111" s="63"/>
      <c r="C111" s="63" t="str">
        <f t="shared" si="5"/>
        <v/>
      </c>
      <c r="D111" s="63" t="str">
        <f t="shared" si="6"/>
        <v/>
      </c>
      <c r="E111" s="7"/>
      <c r="F111" s="7"/>
      <c r="G111" s="7"/>
      <c r="H111" s="9"/>
      <c r="I111" s="40" t="str">
        <f t="shared" si="7"/>
        <v/>
      </c>
    </row>
    <row r="112" spans="1:9">
      <c r="A112" s="6">
        <f t="shared" si="4"/>
        <v>107</v>
      </c>
      <c r="B112" s="63"/>
      <c r="C112" s="63" t="str">
        <f t="shared" si="5"/>
        <v/>
      </c>
      <c r="D112" s="63" t="str">
        <f t="shared" si="6"/>
        <v/>
      </c>
      <c r="E112" s="7"/>
      <c r="F112" s="7"/>
      <c r="G112" s="7"/>
      <c r="H112" s="9"/>
      <c r="I112" s="40" t="str">
        <f t="shared" si="7"/>
        <v/>
      </c>
    </row>
    <row r="113" spans="1:9">
      <c r="A113" s="6">
        <f t="shared" si="4"/>
        <v>108</v>
      </c>
      <c r="B113" s="63"/>
      <c r="C113" s="63" t="str">
        <f t="shared" si="5"/>
        <v/>
      </c>
      <c r="D113" s="63" t="str">
        <f t="shared" si="6"/>
        <v/>
      </c>
      <c r="E113" s="7"/>
      <c r="F113" s="7"/>
      <c r="G113" s="7"/>
      <c r="H113" s="9"/>
      <c r="I113" s="40" t="str">
        <f t="shared" si="7"/>
        <v/>
      </c>
    </row>
    <row r="114" spans="1:9">
      <c r="A114" s="6">
        <f t="shared" si="4"/>
        <v>109</v>
      </c>
      <c r="B114" s="63"/>
      <c r="C114" s="63" t="str">
        <f t="shared" si="5"/>
        <v/>
      </c>
      <c r="D114" s="63" t="str">
        <f t="shared" si="6"/>
        <v/>
      </c>
      <c r="E114" s="7"/>
      <c r="F114" s="7"/>
      <c r="G114" s="7"/>
      <c r="H114" s="9"/>
      <c r="I114" s="40" t="str">
        <f t="shared" si="7"/>
        <v/>
      </c>
    </row>
    <row r="115" spans="1:9">
      <c r="A115" s="6">
        <f t="shared" si="4"/>
        <v>110</v>
      </c>
      <c r="B115" s="63"/>
      <c r="C115" s="63" t="str">
        <f t="shared" si="5"/>
        <v/>
      </c>
      <c r="D115" s="63" t="str">
        <f t="shared" si="6"/>
        <v/>
      </c>
      <c r="E115" s="7"/>
      <c r="F115" s="7"/>
      <c r="G115" s="7"/>
      <c r="H115" s="9"/>
      <c r="I115" s="40" t="str">
        <f t="shared" si="7"/>
        <v/>
      </c>
    </row>
    <row r="116" spans="1:9">
      <c r="A116" s="6">
        <f t="shared" si="4"/>
        <v>111</v>
      </c>
      <c r="B116" s="63"/>
      <c r="C116" s="63" t="str">
        <f t="shared" si="5"/>
        <v/>
      </c>
      <c r="D116" s="63" t="str">
        <f t="shared" si="6"/>
        <v/>
      </c>
      <c r="E116" s="7"/>
      <c r="F116" s="7"/>
      <c r="G116" s="7"/>
      <c r="H116" s="9"/>
      <c r="I116" s="40" t="str">
        <f t="shared" si="7"/>
        <v/>
      </c>
    </row>
    <row r="117" spans="1:9">
      <c r="A117" s="6">
        <f t="shared" si="4"/>
        <v>112</v>
      </c>
      <c r="B117" s="63"/>
      <c r="C117" s="63" t="str">
        <f t="shared" si="5"/>
        <v/>
      </c>
      <c r="D117" s="63" t="str">
        <f t="shared" si="6"/>
        <v/>
      </c>
      <c r="E117" s="7"/>
      <c r="F117" s="7"/>
      <c r="G117" s="7"/>
      <c r="H117" s="9"/>
      <c r="I117" s="40" t="str">
        <f t="shared" si="7"/>
        <v/>
      </c>
    </row>
    <row r="118" spans="1:9">
      <c r="A118" s="6">
        <f t="shared" si="4"/>
        <v>113</v>
      </c>
      <c r="B118" s="63"/>
      <c r="C118" s="63" t="str">
        <f t="shared" si="5"/>
        <v/>
      </c>
      <c r="D118" s="63" t="str">
        <f t="shared" si="6"/>
        <v/>
      </c>
      <c r="E118" s="7"/>
      <c r="F118" s="7"/>
      <c r="G118" s="7"/>
      <c r="H118" s="9"/>
      <c r="I118" s="40" t="str">
        <f t="shared" si="7"/>
        <v/>
      </c>
    </row>
    <row r="119" spans="1:9">
      <c r="A119" s="6">
        <f t="shared" si="4"/>
        <v>114</v>
      </c>
      <c r="B119" s="63"/>
      <c r="C119" s="63" t="str">
        <f t="shared" si="5"/>
        <v/>
      </c>
      <c r="D119" s="63" t="str">
        <f t="shared" si="6"/>
        <v/>
      </c>
      <c r="E119" s="7"/>
      <c r="F119" s="7"/>
      <c r="G119" s="7"/>
      <c r="H119" s="9"/>
      <c r="I119" s="40" t="str">
        <f t="shared" si="7"/>
        <v/>
      </c>
    </row>
    <row r="120" spans="1:9">
      <c r="A120" s="6">
        <f t="shared" si="4"/>
        <v>115</v>
      </c>
      <c r="B120" s="63"/>
      <c r="C120" s="63" t="str">
        <f t="shared" si="5"/>
        <v/>
      </c>
      <c r="D120" s="63" t="str">
        <f t="shared" si="6"/>
        <v/>
      </c>
      <c r="E120" s="7"/>
      <c r="F120" s="7"/>
      <c r="G120" s="7"/>
      <c r="H120" s="9"/>
      <c r="I120" s="40" t="str">
        <f t="shared" si="7"/>
        <v/>
      </c>
    </row>
    <row r="121" spans="1:9">
      <c r="A121" s="6">
        <f t="shared" si="4"/>
        <v>116</v>
      </c>
      <c r="B121" s="63"/>
      <c r="C121" s="63" t="str">
        <f t="shared" si="5"/>
        <v/>
      </c>
      <c r="D121" s="63" t="str">
        <f t="shared" si="6"/>
        <v/>
      </c>
      <c r="E121" s="7"/>
      <c r="F121" s="7"/>
      <c r="G121" s="7"/>
      <c r="H121" s="9"/>
      <c r="I121" s="40" t="str">
        <f t="shared" si="7"/>
        <v/>
      </c>
    </row>
    <row r="122" spans="1:9">
      <c r="A122" s="6">
        <f t="shared" si="4"/>
        <v>117</v>
      </c>
      <c r="B122" s="63"/>
      <c r="C122" s="63" t="str">
        <f t="shared" si="5"/>
        <v/>
      </c>
      <c r="D122" s="63" t="str">
        <f t="shared" si="6"/>
        <v/>
      </c>
      <c r="E122" s="7"/>
      <c r="F122" s="7"/>
      <c r="G122" s="7"/>
      <c r="H122" s="9"/>
      <c r="I122" s="40" t="str">
        <f t="shared" si="7"/>
        <v/>
      </c>
    </row>
    <row r="123" spans="1:9">
      <c r="A123" s="6">
        <f t="shared" si="4"/>
        <v>118</v>
      </c>
      <c r="B123" s="63"/>
      <c r="C123" s="63" t="str">
        <f t="shared" si="5"/>
        <v/>
      </c>
      <c r="D123" s="63" t="str">
        <f t="shared" si="6"/>
        <v/>
      </c>
      <c r="E123" s="7"/>
      <c r="F123" s="7"/>
      <c r="G123" s="7"/>
      <c r="H123" s="9"/>
      <c r="I123" s="40" t="str">
        <f t="shared" si="7"/>
        <v/>
      </c>
    </row>
    <row r="124" spans="1:9">
      <c r="A124" s="6">
        <f t="shared" si="4"/>
        <v>119</v>
      </c>
      <c r="B124" s="63"/>
      <c r="C124" s="63" t="str">
        <f t="shared" si="5"/>
        <v/>
      </c>
      <c r="D124" s="63" t="str">
        <f t="shared" si="6"/>
        <v/>
      </c>
      <c r="E124" s="7"/>
      <c r="F124" s="7"/>
      <c r="G124" s="7"/>
      <c r="H124" s="9"/>
      <c r="I124" s="40" t="str">
        <f t="shared" si="7"/>
        <v/>
      </c>
    </row>
    <row r="125" spans="1:9">
      <c r="A125" s="6">
        <f t="shared" si="4"/>
        <v>120</v>
      </c>
      <c r="B125" s="63"/>
      <c r="C125" s="63" t="str">
        <f t="shared" si="5"/>
        <v/>
      </c>
      <c r="D125" s="63" t="str">
        <f t="shared" si="6"/>
        <v/>
      </c>
      <c r="E125" s="7"/>
      <c r="F125" s="7"/>
      <c r="G125" s="7"/>
      <c r="H125" s="9"/>
      <c r="I125" s="40" t="str">
        <f t="shared" si="7"/>
        <v/>
      </c>
    </row>
    <row r="126" spans="1:9">
      <c r="A126" s="6">
        <f t="shared" si="4"/>
        <v>121</v>
      </c>
      <c r="B126" s="63"/>
      <c r="C126" s="63" t="str">
        <f t="shared" si="5"/>
        <v/>
      </c>
      <c r="D126" s="63" t="str">
        <f t="shared" si="6"/>
        <v/>
      </c>
      <c r="E126" s="7"/>
      <c r="F126" s="7"/>
      <c r="G126" s="7"/>
      <c r="H126" s="9"/>
      <c r="I126" s="40" t="str">
        <f t="shared" si="7"/>
        <v/>
      </c>
    </row>
    <row r="127" spans="1:9">
      <c r="A127" s="6">
        <f t="shared" si="4"/>
        <v>122</v>
      </c>
      <c r="B127" s="63"/>
      <c r="C127" s="63" t="str">
        <f t="shared" si="5"/>
        <v/>
      </c>
      <c r="D127" s="63" t="str">
        <f t="shared" si="6"/>
        <v/>
      </c>
      <c r="E127" s="7"/>
      <c r="F127" s="7"/>
      <c r="G127" s="7"/>
      <c r="H127" s="9"/>
      <c r="I127" s="40" t="str">
        <f t="shared" si="7"/>
        <v/>
      </c>
    </row>
    <row r="128" spans="1:9">
      <c r="A128" s="6">
        <f t="shared" si="4"/>
        <v>123</v>
      </c>
      <c r="B128" s="63"/>
      <c r="C128" s="63" t="str">
        <f t="shared" si="5"/>
        <v/>
      </c>
      <c r="D128" s="63" t="str">
        <f t="shared" si="6"/>
        <v/>
      </c>
      <c r="E128" s="7"/>
      <c r="F128" s="7"/>
      <c r="G128" s="7"/>
      <c r="H128" s="9"/>
      <c r="I128" s="40" t="str">
        <f t="shared" si="7"/>
        <v/>
      </c>
    </row>
    <row r="129" spans="1:9">
      <c r="A129" s="6">
        <f t="shared" si="4"/>
        <v>124</v>
      </c>
      <c r="B129" s="63"/>
      <c r="C129" s="63" t="str">
        <f t="shared" si="5"/>
        <v/>
      </c>
      <c r="D129" s="63" t="str">
        <f t="shared" si="6"/>
        <v/>
      </c>
      <c r="E129" s="7"/>
      <c r="F129" s="7"/>
      <c r="G129" s="7"/>
      <c r="H129" s="9"/>
      <c r="I129" s="40" t="str">
        <f t="shared" si="7"/>
        <v/>
      </c>
    </row>
    <row r="130" spans="1:9">
      <c r="A130" s="6">
        <f t="shared" si="4"/>
        <v>125</v>
      </c>
      <c r="B130" s="63"/>
      <c r="C130" s="63" t="str">
        <f t="shared" si="5"/>
        <v/>
      </c>
      <c r="D130" s="63" t="str">
        <f t="shared" si="6"/>
        <v/>
      </c>
      <c r="E130" s="7"/>
      <c r="F130" s="7"/>
      <c r="G130" s="7"/>
      <c r="H130" s="9"/>
      <c r="I130" s="40" t="str">
        <f t="shared" si="7"/>
        <v/>
      </c>
    </row>
    <row r="131" spans="1:9">
      <c r="A131" s="6">
        <f t="shared" si="4"/>
        <v>126</v>
      </c>
      <c r="B131" s="63"/>
      <c r="C131" s="63" t="str">
        <f t="shared" si="5"/>
        <v/>
      </c>
      <c r="D131" s="63" t="str">
        <f t="shared" si="6"/>
        <v/>
      </c>
      <c r="E131" s="7"/>
      <c r="F131" s="7"/>
      <c r="G131" s="7"/>
      <c r="H131" s="9"/>
      <c r="I131" s="40" t="str">
        <f t="shared" si="7"/>
        <v/>
      </c>
    </row>
    <row r="132" spans="1:9">
      <c r="A132" s="6">
        <f t="shared" si="4"/>
        <v>127</v>
      </c>
      <c r="B132" s="63"/>
      <c r="C132" s="63" t="str">
        <f t="shared" si="5"/>
        <v/>
      </c>
      <c r="D132" s="63" t="str">
        <f t="shared" si="6"/>
        <v/>
      </c>
      <c r="E132" s="7"/>
      <c r="F132" s="7"/>
      <c r="G132" s="7"/>
      <c r="H132" s="9"/>
      <c r="I132" s="40" t="str">
        <f t="shared" si="7"/>
        <v/>
      </c>
    </row>
    <row r="133" spans="1:9">
      <c r="A133" s="6">
        <f t="shared" si="4"/>
        <v>128</v>
      </c>
      <c r="B133" s="63"/>
      <c r="C133" s="63" t="str">
        <f t="shared" si="5"/>
        <v/>
      </c>
      <c r="D133" s="63" t="str">
        <f t="shared" si="6"/>
        <v/>
      </c>
      <c r="E133" s="7"/>
      <c r="F133" s="7"/>
      <c r="G133" s="7"/>
      <c r="H133" s="9"/>
      <c r="I133" s="40" t="str">
        <f t="shared" si="7"/>
        <v/>
      </c>
    </row>
    <row r="134" spans="1:9">
      <c r="A134" s="6">
        <f t="shared" si="4"/>
        <v>129</v>
      </c>
      <c r="B134" s="63"/>
      <c r="C134" s="63" t="str">
        <f t="shared" si="5"/>
        <v/>
      </c>
      <c r="D134" s="63" t="str">
        <f t="shared" si="6"/>
        <v/>
      </c>
      <c r="E134" s="7"/>
      <c r="F134" s="7"/>
      <c r="G134" s="7"/>
      <c r="H134" s="9"/>
      <c r="I134" s="40" t="str">
        <f t="shared" si="7"/>
        <v/>
      </c>
    </row>
    <row r="135" spans="1:9">
      <c r="A135" s="6">
        <f t="shared" ref="A135:A198" si="8">ROW(A130)</f>
        <v>130</v>
      </c>
      <c r="B135" s="63"/>
      <c r="C135" s="63" t="str">
        <f t="shared" ref="C135:C198" si="9">IF(B135=0,"",TEXT(B135,"mmmm"))</f>
        <v/>
      </c>
      <c r="D135" s="63" t="str">
        <f t="shared" ref="D135:D198" si="10">IF(B135=0,"",TEXT(B135,"yyyy"))</f>
        <v/>
      </c>
      <c r="E135" s="7"/>
      <c r="F135" s="7"/>
      <c r="G135" s="7"/>
      <c r="H135" s="9"/>
      <c r="I135" s="40" t="str">
        <f t="shared" ref="I135:I198" si="11">IF(H135*G135=0,"",H135*G135)</f>
        <v/>
      </c>
    </row>
    <row r="136" spans="1:9">
      <c r="A136" s="6">
        <f t="shared" si="8"/>
        <v>131</v>
      </c>
      <c r="B136" s="63"/>
      <c r="C136" s="63" t="str">
        <f t="shared" si="9"/>
        <v/>
      </c>
      <c r="D136" s="63" t="str">
        <f t="shared" si="10"/>
        <v/>
      </c>
      <c r="E136" s="7"/>
      <c r="F136" s="7"/>
      <c r="G136" s="7"/>
      <c r="H136" s="9"/>
      <c r="I136" s="40" t="str">
        <f t="shared" si="11"/>
        <v/>
      </c>
    </row>
    <row r="137" spans="1:9">
      <c r="A137" s="6">
        <f t="shared" si="8"/>
        <v>132</v>
      </c>
      <c r="B137" s="63"/>
      <c r="C137" s="63" t="str">
        <f t="shared" si="9"/>
        <v/>
      </c>
      <c r="D137" s="63" t="str">
        <f t="shared" si="10"/>
        <v/>
      </c>
      <c r="E137" s="7"/>
      <c r="F137" s="7"/>
      <c r="G137" s="7"/>
      <c r="H137" s="9"/>
      <c r="I137" s="40" t="str">
        <f t="shared" si="11"/>
        <v/>
      </c>
    </row>
    <row r="138" spans="1:9">
      <c r="A138" s="6">
        <f t="shared" si="8"/>
        <v>133</v>
      </c>
      <c r="B138" s="63"/>
      <c r="C138" s="63" t="str">
        <f t="shared" si="9"/>
        <v/>
      </c>
      <c r="D138" s="63" t="str">
        <f t="shared" si="10"/>
        <v/>
      </c>
      <c r="E138" s="7"/>
      <c r="F138" s="7"/>
      <c r="G138" s="7"/>
      <c r="H138" s="9"/>
      <c r="I138" s="40" t="str">
        <f t="shared" si="11"/>
        <v/>
      </c>
    </row>
    <row r="139" spans="1:9">
      <c r="A139" s="6">
        <f t="shared" si="8"/>
        <v>134</v>
      </c>
      <c r="B139" s="63"/>
      <c r="C139" s="63" t="str">
        <f t="shared" si="9"/>
        <v/>
      </c>
      <c r="D139" s="63" t="str">
        <f t="shared" si="10"/>
        <v/>
      </c>
      <c r="E139" s="7"/>
      <c r="F139" s="7"/>
      <c r="G139" s="7"/>
      <c r="H139" s="9"/>
      <c r="I139" s="40" t="str">
        <f t="shared" si="11"/>
        <v/>
      </c>
    </row>
    <row r="140" spans="1:9">
      <c r="A140" s="6">
        <f t="shared" si="8"/>
        <v>135</v>
      </c>
      <c r="B140" s="63"/>
      <c r="C140" s="63" t="str">
        <f t="shared" si="9"/>
        <v/>
      </c>
      <c r="D140" s="63" t="str">
        <f t="shared" si="10"/>
        <v/>
      </c>
      <c r="E140" s="7"/>
      <c r="F140" s="7"/>
      <c r="G140" s="7"/>
      <c r="H140" s="9"/>
      <c r="I140" s="40" t="str">
        <f t="shared" si="11"/>
        <v/>
      </c>
    </row>
    <row r="141" spans="1:9">
      <c r="A141" s="6">
        <f t="shared" si="8"/>
        <v>136</v>
      </c>
      <c r="B141" s="63"/>
      <c r="C141" s="63" t="str">
        <f t="shared" si="9"/>
        <v/>
      </c>
      <c r="D141" s="63" t="str">
        <f t="shared" si="10"/>
        <v/>
      </c>
      <c r="E141" s="7"/>
      <c r="F141" s="7"/>
      <c r="G141" s="7"/>
      <c r="H141" s="9"/>
      <c r="I141" s="40" t="str">
        <f t="shared" si="11"/>
        <v/>
      </c>
    </row>
    <row r="142" spans="1:9">
      <c r="A142" s="6">
        <f t="shared" si="8"/>
        <v>137</v>
      </c>
      <c r="B142" s="63"/>
      <c r="C142" s="63" t="str">
        <f t="shared" si="9"/>
        <v/>
      </c>
      <c r="D142" s="63" t="str">
        <f t="shared" si="10"/>
        <v/>
      </c>
      <c r="E142" s="7"/>
      <c r="F142" s="7"/>
      <c r="G142" s="7"/>
      <c r="H142" s="9"/>
      <c r="I142" s="40" t="str">
        <f t="shared" si="11"/>
        <v/>
      </c>
    </row>
    <row r="143" spans="1:9">
      <c r="A143" s="6">
        <f t="shared" si="8"/>
        <v>138</v>
      </c>
      <c r="B143" s="63"/>
      <c r="C143" s="63" t="str">
        <f t="shared" si="9"/>
        <v/>
      </c>
      <c r="D143" s="63" t="str">
        <f t="shared" si="10"/>
        <v/>
      </c>
      <c r="E143" s="7"/>
      <c r="F143" s="7"/>
      <c r="G143" s="7"/>
      <c r="H143" s="9"/>
      <c r="I143" s="40" t="str">
        <f t="shared" si="11"/>
        <v/>
      </c>
    </row>
    <row r="144" spans="1:9">
      <c r="A144" s="6">
        <f t="shared" si="8"/>
        <v>139</v>
      </c>
      <c r="B144" s="63"/>
      <c r="C144" s="63" t="str">
        <f t="shared" si="9"/>
        <v/>
      </c>
      <c r="D144" s="63" t="str">
        <f t="shared" si="10"/>
        <v/>
      </c>
      <c r="E144" s="7"/>
      <c r="F144" s="7"/>
      <c r="G144" s="7"/>
      <c r="H144" s="9"/>
      <c r="I144" s="40" t="str">
        <f t="shared" si="11"/>
        <v/>
      </c>
    </row>
    <row r="145" spans="1:9">
      <c r="A145" s="6">
        <f t="shared" si="8"/>
        <v>140</v>
      </c>
      <c r="B145" s="63"/>
      <c r="C145" s="63" t="str">
        <f t="shared" si="9"/>
        <v/>
      </c>
      <c r="D145" s="63" t="str">
        <f t="shared" si="10"/>
        <v/>
      </c>
      <c r="E145" s="7"/>
      <c r="F145" s="7"/>
      <c r="G145" s="7"/>
      <c r="H145" s="9"/>
      <c r="I145" s="40" t="str">
        <f t="shared" si="11"/>
        <v/>
      </c>
    </row>
    <row r="146" spans="1:9">
      <c r="A146" s="6">
        <f t="shared" si="8"/>
        <v>141</v>
      </c>
      <c r="B146" s="63"/>
      <c r="C146" s="63" t="str">
        <f t="shared" si="9"/>
        <v/>
      </c>
      <c r="D146" s="63" t="str">
        <f t="shared" si="10"/>
        <v/>
      </c>
      <c r="E146" s="7"/>
      <c r="F146" s="7"/>
      <c r="G146" s="7"/>
      <c r="H146" s="9"/>
      <c r="I146" s="40" t="str">
        <f t="shared" si="11"/>
        <v/>
      </c>
    </row>
    <row r="147" spans="1:9">
      <c r="A147" s="6">
        <f t="shared" si="8"/>
        <v>142</v>
      </c>
      <c r="B147" s="63"/>
      <c r="C147" s="63" t="str">
        <f t="shared" si="9"/>
        <v/>
      </c>
      <c r="D147" s="63" t="str">
        <f t="shared" si="10"/>
        <v/>
      </c>
      <c r="E147" s="7"/>
      <c r="F147" s="7"/>
      <c r="G147" s="7"/>
      <c r="H147" s="9"/>
      <c r="I147" s="40" t="str">
        <f t="shared" si="11"/>
        <v/>
      </c>
    </row>
    <row r="148" spans="1:9">
      <c r="A148" s="6">
        <f t="shared" si="8"/>
        <v>143</v>
      </c>
      <c r="B148" s="63"/>
      <c r="C148" s="63" t="str">
        <f t="shared" si="9"/>
        <v/>
      </c>
      <c r="D148" s="63" t="str">
        <f t="shared" si="10"/>
        <v/>
      </c>
      <c r="E148" s="7"/>
      <c r="F148" s="7"/>
      <c r="G148" s="7"/>
      <c r="H148" s="9"/>
      <c r="I148" s="40" t="str">
        <f t="shared" si="11"/>
        <v/>
      </c>
    </row>
    <row r="149" spans="1:9">
      <c r="A149" s="6">
        <f t="shared" si="8"/>
        <v>144</v>
      </c>
      <c r="B149" s="63"/>
      <c r="C149" s="63" t="str">
        <f t="shared" si="9"/>
        <v/>
      </c>
      <c r="D149" s="63" t="str">
        <f t="shared" si="10"/>
        <v/>
      </c>
      <c r="E149" s="7"/>
      <c r="F149" s="7"/>
      <c r="G149" s="7"/>
      <c r="H149" s="9"/>
      <c r="I149" s="40" t="str">
        <f t="shared" si="11"/>
        <v/>
      </c>
    </row>
    <row r="150" spans="1:9">
      <c r="A150" s="6">
        <f t="shared" si="8"/>
        <v>145</v>
      </c>
      <c r="B150" s="63"/>
      <c r="C150" s="63" t="str">
        <f t="shared" si="9"/>
        <v/>
      </c>
      <c r="D150" s="63" t="str">
        <f t="shared" si="10"/>
        <v/>
      </c>
      <c r="E150" s="7"/>
      <c r="F150" s="7"/>
      <c r="G150" s="7"/>
      <c r="H150" s="9"/>
      <c r="I150" s="40" t="str">
        <f t="shared" si="11"/>
        <v/>
      </c>
    </row>
    <row r="151" spans="1:9">
      <c r="A151" s="6">
        <f t="shared" si="8"/>
        <v>146</v>
      </c>
      <c r="B151" s="63"/>
      <c r="C151" s="63" t="str">
        <f t="shared" si="9"/>
        <v/>
      </c>
      <c r="D151" s="63" t="str">
        <f t="shared" si="10"/>
        <v/>
      </c>
      <c r="E151" s="7"/>
      <c r="F151" s="7"/>
      <c r="G151" s="7"/>
      <c r="H151" s="9"/>
      <c r="I151" s="40" t="str">
        <f t="shared" si="11"/>
        <v/>
      </c>
    </row>
    <row r="152" spans="1:9">
      <c r="A152" s="6">
        <f t="shared" si="8"/>
        <v>147</v>
      </c>
      <c r="B152" s="63"/>
      <c r="C152" s="63" t="str">
        <f t="shared" si="9"/>
        <v/>
      </c>
      <c r="D152" s="63" t="str">
        <f t="shared" si="10"/>
        <v/>
      </c>
      <c r="E152" s="7"/>
      <c r="F152" s="7"/>
      <c r="G152" s="7"/>
      <c r="H152" s="9"/>
      <c r="I152" s="40" t="str">
        <f t="shared" si="11"/>
        <v/>
      </c>
    </row>
    <row r="153" spans="1:9">
      <c r="A153" s="6">
        <f t="shared" si="8"/>
        <v>148</v>
      </c>
      <c r="B153" s="63"/>
      <c r="C153" s="63" t="str">
        <f t="shared" si="9"/>
        <v/>
      </c>
      <c r="D153" s="63" t="str">
        <f t="shared" si="10"/>
        <v/>
      </c>
      <c r="E153" s="7"/>
      <c r="F153" s="7"/>
      <c r="G153" s="7"/>
      <c r="H153" s="9"/>
      <c r="I153" s="40" t="str">
        <f t="shared" si="11"/>
        <v/>
      </c>
    </row>
    <row r="154" spans="1:9">
      <c r="A154" s="6">
        <f t="shared" si="8"/>
        <v>149</v>
      </c>
      <c r="B154" s="63"/>
      <c r="C154" s="63" t="str">
        <f t="shared" si="9"/>
        <v/>
      </c>
      <c r="D154" s="63" t="str">
        <f t="shared" si="10"/>
        <v/>
      </c>
      <c r="E154" s="7"/>
      <c r="F154" s="7"/>
      <c r="G154" s="7"/>
      <c r="H154" s="9"/>
      <c r="I154" s="40" t="str">
        <f t="shared" si="11"/>
        <v/>
      </c>
    </row>
    <row r="155" spans="1:9">
      <c r="A155" s="6">
        <f t="shared" si="8"/>
        <v>150</v>
      </c>
      <c r="B155" s="63"/>
      <c r="C155" s="63" t="str">
        <f t="shared" si="9"/>
        <v/>
      </c>
      <c r="D155" s="63" t="str">
        <f t="shared" si="10"/>
        <v/>
      </c>
      <c r="E155" s="7"/>
      <c r="F155" s="7"/>
      <c r="G155" s="7"/>
      <c r="H155" s="9"/>
      <c r="I155" s="40" t="str">
        <f t="shared" si="11"/>
        <v/>
      </c>
    </row>
    <row r="156" spans="1:9">
      <c r="A156" s="6">
        <f t="shared" si="8"/>
        <v>151</v>
      </c>
      <c r="B156" s="63"/>
      <c r="C156" s="63" t="str">
        <f t="shared" si="9"/>
        <v/>
      </c>
      <c r="D156" s="63" t="str">
        <f t="shared" si="10"/>
        <v/>
      </c>
      <c r="E156" s="7"/>
      <c r="F156" s="7"/>
      <c r="G156" s="7"/>
      <c r="H156" s="9"/>
      <c r="I156" s="40" t="str">
        <f t="shared" si="11"/>
        <v/>
      </c>
    </row>
    <row r="157" spans="1:9">
      <c r="A157" s="6">
        <f t="shared" si="8"/>
        <v>152</v>
      </c>
      <c r="B157" s="63"/>
      <c r="C157" s="63" t="str">
        <f t="shared" si="9"/>
        <v/>
      </c>
      <c r="D157" s="63" t="str">
        <f t="shared" si="10"/>
        <v/>
      </c>
      <c r="E157" s="7"/>
      <c r="F157" s="7"/>
      <c r="G157" s="7"/>
      <c r="H157" s="9"/>
      <c r="I157" s="40" t="str">
        <f t="shared" si="11"/>
        <v/>
      </c>
    </row>
    <row r="158" spans="1:9">
      <c r="A158" s="6">
        <f t="shared" si="8"/>
        <v>153</v>
      </c>
      <c r="B158" s="63"/>
      <c r="C158" s="63" t="str">
        <f t="shared" si="9"/>
        <v/>
      </c>
      <c r="D158" s="63" t="str">
        <f t="shared" si="10"/>
        <v/>
      </c>
      <c r="E158" s="7"/>
      <c r="F158" s="7"/>
      <c r="G158" s="7"/>
      <c r="H158" s="9"/>
      <c r="I158" s="40" t="str">
        <f t="shared" si="11"/>
        <v/>
      </c>
    </row>
    <row r="159" spans="1:9">
      <c r="A159" s="6">
        <f t="shared" si="8"/>
        <v>154</v>
      </c>
      <c r="B159" s="63"/>
      <c r="C159" s="63" t="str">
        <f t="shared" si="9"/>
        <v/>
      </c>
      <c r="D159" s="63" t="str">
        <f t="shared" si="10"/>
        <v/>
      </c>
      <c r="E159" s="7"/>
      <c r="F159" s="7"/>
      <c r="G159" s="7"/>
      <c r="H159" s="9"/>
      <c r="I159" s="40" t="str">
        <f t="shared" si="11"/>
        <v/>
      </c>
    </row>
    <row r="160" spans="1:9">
      <c r="A160" s="6">
        <f t="shared" si="8"/>
        <v>155</v>
      </c>
      <c r="B160" s="63"/>
      <c r="C160" s="63" t="str">
        <f t="shared" si="9"/>
        <v/>
      </c>
      <c r="D160" s="63" t="str">
        <f t="shared" si="10"/>
        <v/>
      </c>
      <c r="E160" s="7"/>
      <c r="F160" s="7"/>
      <c r="G160" s="7"/>
      <c r="H160" s="9"/>
      <c r="I160" s="40" t="str">
        <f t="shared" si="11"/>
        <v/>
      </c>
    </row>
    <row r="161" spans="1:9">
      <c r="A161" s="6">
        <f t="shared" si="8"/>
        <v>156</v>
      </c>
      <c r="B161" s="63"/>
      <c r="C161" s="63" t="str">
        <f t="shared" si="9"/>
        <v/>
      </c>
      <c r="D161" s="63" t="str">
        <f t="shared" si="10"/>
        <v/>
      </c>
      <c r="E161" s="7"/>
      <c r="F161" s="7"/>
      <c r="G161" s="7"/>
      <c r="H161" s="9"/>
      <c r="I161" s="40" t="str">
        <f t="shared" si="11"/>
        <v/>
      </c>
    </row>
    <row r="162" spans="1:9">
      <c r="A162" s="6">
        <f t="shared" si="8"/>
        <v>157</v>
      </c>
      <c r="B162" s="63"/>
      <c r="C162" s="63" t="str">
        <f t="shared" si="9"/>
        <v/>
      </c>
      <c r="D162" s="63" t="str">
        <f t="shared" si="10"/>
        <v/>
      </c>
      <c r="E162" s="7"/>
      <c r="F162" s="7"/>
      <c r="G162" s="7"/>
      <c r="H162" s="9"/>
      <c r="I162" s="40" t="str">
        <f t="shared" si="11"/>
        <v/>
      </c>
    </row>
    <row r="163" spans="1:9">
      <c r="A163" s="6">
        <f t="shared" si="8"/>
        <v>158</v>
      </c>
      <c r="B163" s="63"/>
      <c r="C163" s="63" t="str">
        <f t="shared" si="9"/>
        <v/>
      </c>
      <c r="D163" s="63" t="str">
        <f t="shared" si="10"/>
        <v/>
      </c>
      <c r="E163" s="7"/>
      <c r="F163" s="7"/>
      <c r="G163" s="7"/>
      <c r="H163" s="9"/>
      <c r="I163" s="40" t="str">
        <f t="shared" si="11"/>
        <v/>
      </c>
    </row>
    <row r="164" spans="1:9">
      <c r="A164" s="6">
        <f t="shared" si="8"/>
        <v>159</v>
      </c>
      <c r="B164" s="63"/>
      <c r="C164" s="63" t="str">
        <f t="shared" si="9"/>
        <v/>
      </c>
      <c r="D164" s="63" t="str">
        <f t="shared" si="10"/>
        <v/>
      </c>
      <c r="E164" s="7"/>
      <c r="F164" s="7"/>
      <c r="G164" s="7"/>
      <c r="H164" s="9"/>
      <c r="I164" s="40" t="str">
        <f t="shared" si="11"/>
        <v/>
      </c>
    </row>
    <row r="165" spans="1:9">
      <c r="A165" s="6">
        <f t="shared" si="8"/>
        <v>160</v>
      </c>
      <c r="B165" s="63"/>
      <c r="C165" s="63" t="str">
        <f t="shared" si="9"/>
        <v/>
      </c>
      <c r="D165" s="63" t="str">
        <f t="shared" si="10"/>
        <v/>
      </c>
      <c r="E165" s="7"/>
      <c r="F165" s="7"/>
      <c r="G165" s="7"/>
      <c r="H165" s="9"/>
      <c r="I165" s="40" t="str">
        <f t="shared" si="11"/>
        <v/>
      </c>
    </row>
    <row r="166" spans="1:9">
      <c r="A166" s="6">
        <f t="shared" si="8"/>
        <v>161</v>
      </c>
      <c r="B166" s="63"/>
      <c r="C166" s="63" t="str">
        <f t="shared" si="9"/>
        <v/>
      </c>
      <c r="D166" s="63" t="str">
        <f t="shared" si="10"/>
        <v/>
      </c>
      <c r="E166" s="7"/>
      <c r="F166" s="7"/>
      <c r="G166" s="7"/>
      <c r="H166" s="9"/>
      <c r="I166" s="40" t="str">
        <f t="shared" si="11"/>
        <v/>
      </c>
    </row>
    <row r="167" spans="1:9">
      <c r="A167" s="6">
        <f t="shared" si="8"/>
        <v>162</v>
      </c>
      <c r="B167" s="63"/>
      <c r="C167" s="63" t="str">
        <f t="shared" si="9"/>
        <v/>
      </c>
      <c r="D167" s="63" t="str">
        <f t="shared" si="10"/>
        <v/>
      </c>
      <c r="E167" s="7"/>
      <c r="F167" s="7"/>
      <c r="G167" s="7"/>
      <c r="H167" s="9"/>
      <c r="I167" s="40" t="str">
        <f t="shared" si="11"/>
        <v/>
      </c>
    </row>
    <row r="168" spans="1:9">
      <c r="A168" s="6">
        <f t="shared" si="8"/>
        <v>163</v>
      </c>
      <c r="B168" s="63"/>
      <c r="C168" s="63" t="str">
        <f t="shared" si="9"/>
        <v/>
      </c>
      <c r="D168" s="63" t="str">
        <f t="shared" si="10"/>
        <v/>
      </c>
      <c r="E168" s="7"/>
      <c r="F168" s="7"/>
      <c r="G168" s="7"/>
      <c r="H168" s="9"/>
      <c r="I168" s="40" t="str">
        <f t="shared" si="11"/>
        <v/>
      </c>
    </row>
    <row r="169" spans="1:9">
      <c r="A169" s="6">
        <f t="shared" si="8"/>
        <v>164</v>
      </c>
      <c r="B169" s="63"/>
      <c r="C169" s="63" t="str">
        <f t="shared" si="9"/>
        <v/>
      </c>
      <c r="D169" s="63" t="str">
        <f t="shared" si="10"/>
        <v/>
      </c>
      <c r="E169" s="7"/>
      <c r="F169" s="7"/>
      <c r="G169" s="7"/>
      <c r="H169" s="9"/>
      <c r="I169" s="40" t="str">
        <f t="shared" si="11"/>
        <v/>
      </c>
    </row>
    <row r="170" spans="1:9">
      <c r="A170" s="6">
        <f t="shared" si="8"/>
        <v>165</v>
      </c>
      <c r="B170" s="63"/>
      <c r="C170" s="63" t="str">
        <f t="shared" si="9"/>
        <v/>
      </c>
      <c r="D170" s="63" t="str">
        <f t="shared" si="10"/>
        <v/>
      </c>
      <c r="E170" s="7"/>
      <c r="F170" s="7"/>
      <c r="G170" s="7"/>
      <c r="H170" s="9"/>
      <c r="I170" s="40" t="str">
        <f t="shared" si="11"/>
        <v/>
      </c>
    </row>
    <row r="171" spans="1:9">
      <c r="A171" s="6">
        <f t="shared" si="8"/>
        <v>166</v>
      </c>
      <c r="B171" s="63"/>
      <c r="C171" s="63" t="str">
        <f t="shared" si="9"/>
        <v/>
      </c>
      <c r="D171" s="63" t="str">
        <f t="shared" si="10"/>
        <v/>
      </c>
      <c r="E171" s="7"/>
      <c r="F171" s="7"/>
      <c r="G171" s="7"/>
      <c r="H171" s="9"/>
      <c r="I171" s="40" t="str">
        <f t="shared" si="11"/>
        <v/>
      </c>
    </row>
    <row r="172" spans="1:9">
      <c r="A172" s="6">
        <f t="shared" si="8"/>
        <v>167</v>
      </c>
      <c r="B172" s="63"/>
      <c r="C172" s="63" t="str">
        <f t="shared" si="9"/>
        <v/>
      </c>
      <c r="D172" s="63" t="str">
        <f t="shared" si="10"/>
        <v/>
      </c>
      <c r="E172" s="7"/>
      <c r="F172" s="7"/>
      <c r="G172" s="7"/>
      <c r="H172" s="9"/>
      <c r="I172" s="40" t="str">
        <f t="shared" si="11"/>
        <v/>
      </c>
    </row>
    <row r="173" spans="1:9">
      <c r="A173" s="6">
        <f t="shared" si="8"/>
        <v>168</v>
      </c>
      <c r="B173" s="63"/>
      <c r="C173" s="63" t="str">
        <f t="shared" si="9"/>
        <v/>
      </c>
      <c r="D173" s="63" t="str">
        <f t="shared" si="10"/>
        <v/>
      </c>
      <c r="E173" s="7"/>
      <c r="F173" s="7"/>
      <c r="G173" s="7"/>
      <c r="H173" s="9"/>
      <c r="I173" s="40" t="str">
        <f t="shared" si="11"/>
        <v/>
      </c>
    </row>
    <row r="174" spans="1:9">
      <c r="A174" s="6">
        <f t="shared" si="8"/>
        <v>169</v>
      </c>
      <c r="B174" s="63"/>
      <c r="C174" s="63" t="str">
        <f t="shared" si="9"/>
        <v/>
      </c>
      <c r="D174" s="63" t="str">
        <f t="shared" si="10"/>
        <v/>
      </c>
      <c r="E174" s="7"/>
      <c r="F174" s="7"/>
      <c r="G174" s="7"/>
      <c r="H174" s="9"/>
      <c r="I174" s="40" t="str">
        <f t="shared" si="11"/>
        <v/>
      </c>
    </row>
    <row r="175" spans="1:9">
      <c r="A175" s="6">
        <f t="shared" si="8"/>
        <v>170</v>
      </c>
      <c r="B175" s="63"/>
      <c r="C175" s="63" t="str">
        <f t="shared" si="9"/>
        <v/>
      </c>
      <c r="D175" s="63" t="str">
        <f t="shared" si="10"/>
        <v/>
      </c>
      <c r="E175" s="7"/>
      <c r="F175" s="7"/>
      <c r="G175" s="7"/>
      <c r="H175" s="9"/>
      <c r="I175" s="40" t="str">
        <f t="shared" si="11"/>
        <v/>
      </c>
    </row>
    <row r="176" spans="1:9">
      <c r="A176" s="6">
        <f t="shared" si="8"/>
        <v>171</v>
      </c>
      <c r="B176" s="63"/>
      <c r="C176" s="63" t="str">
        <f t="shared" si="9"/>
        <v/>
      </c>
      <c r="D176" s="63" t="str">
        <f t="shared" si="10"/>
        <v/>
      </c>
      <c r="E176" s="7"/>
      <c r="F176" s="7"/>
      <c r="G176" s="7"/>
      <c r="H176" s="9"/>
      <c r="I176" s="40" t="str">
        <f t="shared" si="11"/>
        <v/>
      </c>
    </row>
    <row r="177" spans="1:9">
      <c r="A177" s="6">
        <f t="shared" si="8"/>
        <v>172</v>
      </c>
      <c r="B177" s="63"/>
      <c r="C177" s="63" t="str">
        <f t="shared" si="9"/>
        <v/>
      </c>
      <c r="D177" s="63" t="str">
        <f t="shared" si="10"/>
        <v/>
      </c>
      <c r="E177" s="7"/>
      <c r="F177" s="7"/>
      <c r="G177" s="7"/>
      <c r="H177" s="9"/>
      <c r="I177" s="40" t="str">
        <f t="shared" si="11"/>
        <v/>
      </c>
    </row>
    <row r="178" spans="1:9">
      <c r="A178" s="6">
        <f t="shared" si="8"/>
        <v>173</v>
      </c>
      <c r="B178" s="63"/>
      <c r="C178" s="63" t="str">
        <f t="shared" si="9"/>
        <v/>
      </c>
      <c r="D178" s="63" t="str">
        <f t="shared" si="10"/>
        <v/>
      </c>
      <c r="E178" s="7"/>
      <c r="F178" s="7"/>
      <c r="G178" s="7"/>
      <c r="H178" s="9"/>
      <c r="I178" s="40" t="str">
        <f t="shared" si="11"/>
        <v/>
      </c>
    </row>
    <row r="179" spans="1:9">
      <c r="A179" s="6">
        <f t="shared" si="8"/>
        <v>174</v>
      </c>
      <c r="B179" s="63"/>
      <c r="C179" s="63" t="str">
        <f t="shared" si="9"/>
        <v/>
      </c>
      <c r="D179" s="63" t="str">
        <f t="shared" si="10"/>
        <v/>
      </c>
      <c r="E179" s="7"/>
      <c r="F179" s="7"/>
      <c r="G179" s="7"/>
      <c r="H179" s="9"/>
      <c r="I179" s="40" t="str">
        <f t="shared" si="11"/>
        <v/>
      </c>
    </row>
    <row r="180" spans="1:9">
      <c r="A180" s="6">
        <f t="shared" si="8"/>
        <v>175</v>
      </c>
      <c r="B180" s="63"/>
      <c r="C180" s="63" t="str">
        <f t="shared" si="9"/>
        <v/>
      </c>
      <c r="D180" s="63" t="str">
        <f t="shared" si="10"/>
        <v/>
      </c>
      <c r="E180" s="7"/>
      <c r="F180" s="7"/>
      <c r="G180" s="7"/>
      <c r="H180" s="9"/>
      <c r="I180" s="40" t="str">
        <f t="shared" si="11"/>
        <v/>
      </c>
    </row>
    <row r="181" spans="1:9">
      <c r="A181" s="6">
        <f t="shared" si="8"/>
        <v>176</v>
      </c>
      <c r="B181" s="63"/>
      <c r="C181" s="63" t="str">
        <f t="shared" si="9"/>
        <v/>
      </c>
      <c r="D181" s="63" t="str">
        <f t="shared" si="10"/>
        <v/>
      </c>
      <c r="E181" s="7"/>
      <c r="F181" s="7"/>
      <c r="G181" s="7"/>
      <c r="H181" s="9"/>
      <c r="I181" s="40" t="str">
        <f t="shared" si="11"/>
        <v/>
      </c>
    </row>
    <row r="182" spans="1:9">
      <c r="A182" s="6">
        <f t="shared" si="8"/>
        <v>177</v>
      </c>
      <c r="B182" s="63"/>
      <c r="C182" s="63" t="str">
        <f t="shared" si="9"/>
        <v/>
      </c>
      <c r="D182" s="63" t="str">
        <f t="shared" si="10"/>
        <v/>
      </c>
      <c r="E182" s="7"/>
      <c r="F182" s="7"/>
      <c r="G182" s="7"/>
      <c r="H182" s="9"/>
      <c r="I182" s="40" t="str">
        <f t="shared" si="11"/>
        <v/>
      </c>
    </row>
    <row r="183" spans="1:9">
      <c r="A183" s="6">
        <f t="shared" si="8"/>
        <v>178</v>
      </c>
      <c r="B183" s="63"/>
      <c r="C183" s="63" t="str">
        <f t="shared" si="9"/>
        <v/>
      </c>
      <c r="D183" s="63" t="str">
        <f t="shared" si="10"/>
        <v/>
      </c>
      <c r="E183" s="7"/>
      <c r="F183" s="7"/>
      <c r="G183" s="7"/>
      <c r="H183" s="9"/>
      <c r="I183" s="40" t="str">
        <f t="shared" si="11"/>
        <v/>
      </c>
    </row>
    <row r="184" spans="1:9">
      <c r="A184" s="6">
        <f t="shared" si="8"/>
        <v>179</v>
      </c>
      <c r="B184" s="63"/>
      <c r="C184" s="63" t="str">
        <f t="shared" si="9"/>
        <v/>
      </c>
      <c r="D184" s="63" t="str">
        <f t="shared" si="10"/>
        <v/>
      </c>
      <c r="E184" s="7"/>
      <c r="F184" s="7"/>
      <c r="G184" s="7"/>
      <c r="H184" s="9"/>
      <c r="I184" s="40" t="str">
        <f t="shared" si="11"/>
        <v/>
      </c>
    </row>
    <row r="185" spans="1:9">
      <c r="A185" s="6">
        <f t="shared" si="8"/>
        <v>180</v>
      </c>
      <c r="B185" s="63"/>
      <c r="C185" s="63" t="str">
        <f t="shared" si="9"/>
        <v/>
      </c>
      <c r="D185" s="63" t="str">
        <f t="shared" si="10"/>
        <v/>
      </c>
      <c r="E185" s="7"/>
      <c r="F185" s="7"/>
      <c r="G185" s="7"/>
      <c r="H185" s="9"/>
      <c r="I185" s="40" t="str">
        <f t="shared" si="11"/>
        <v/>
      </c>
    </row>
    <row r="186" spans="1:9">
      <c r="A186" s="6">
        <f t="shared" si="8"/>
        <v>181</v>
      </c>
      <c r="B186" s="63"/>
      <c r="C186" s="63" t="str">
        <f t="shared" si="9"/>
        <v/>
      </c>
      <c r="D186" s="63" t="str">
        <f t="shared" si="10"/>
        <v/>
      </c>
      <c r="E186" s="7"/>
      <c r="F186" s="7"/>
      <c r="G186" s="7"/>
      <c r="H186" s="9"/>
      <c r="I186" s="40" t="str">
        <f t="shared" si="11"/>
        <v/>
      </c>
    </row>
    <row r="187" spans="1:9">
      <c r="A187" s="6">
        <f t="shared" si="8"/>
        <v>182</v>
      </c>
      <c r="B187" s="63"/>
      <c r="C187" s="63" t="str">
        <f t="shared" si="9"/>
        <v/>
      </c>
      <c r="D187" s="63" t="str">
        <f t="shared" si="10"/>
        <v/>
      </c>
      <c r="E187" s="7"/>
      <c r="F187" s="7"/>
      <c r="G187" s="7"/>
      <c r="H187" s="9"/>
      <c r="I187" s="40" t="str">
        <f t="shared" si="11"/>
        <v/>
      </c>
    </row>
    <row r="188" spans="1:9">
      <c r="A188" s="6">
        <f t="shared" si="8"/>
        <v>183</v>
      </c>
      <c r="B188" s="63"/>
      <c r="C188" s="63" t="str">
        <f t="shared" si="9"/>
        <v/>
      </c>
      <c r="D188" s="63" t="str">
        <f t="shared" si="10"/>
        <v/>
      </c>
      <c r="E188" s="7"/>
      <c r="F188" s="7"/>
      <c r="G188" s="7"/>
      <c r="H188" s="9"/>
      <c r="I188" s="40" t="str">
        <f t="shared" si="11"/>
        <v/>
      </c>
    </row>
    <row r="189" spans="1:9">
      <c r="A189" s="6">
        <f t="shared" si="8"/>
        <v>184</v>
      </c>
      <c r="B189" s="63"/>
      <c r="C189" s="63" t="str">
        <f t="shared" si="9"/>
        <v/>
      </c>
      <c r="D189" s="63" t="str">
        <f t="shared" si="10"/>
        <v/>
      </c>
      <c r="E189" s="7"/>
      <c r="F189" s="7"/>
      <c r="G189" s="7"/>
      <c r="H189" s="9"/>
      <c r="I189" s="40" t="str">
        <f t="shared" si="11"/>
        <v/>
      </c>
    </row>
    <row r="190" spans="1:9">
      <c r="A190" s="6">
        <f t="shared" si="8"/>
        <v>185</v>
      </c>
      <c r="B190" s="63"/>
      <c r="C190" s="63" t="str">
        <f t="shared" si="9"/>
        <v/>
      </c>
      <c r="D190" s="63" t="str">
        <f t="shared" si="10"/>
        <v/>
      </c>
      <c r="E190" s="7"/>
      <c r="F190" s="7"/>
      <c r="G190" s="7"/>
      <c r="H190" s="9"/>
      <c r="I190" s="40" t="str">
        <f t="shared" si="11"/>
        <v/>
      </c>
    </row>
    <row r="191" spans="1:9">
      <c r="A191" s="6">
        <f t="shared" si="8"/>
        <v>186</v>
      </c>
      <c r="B191" s="63"/>
      <c r="C191" s="63" t="str">
        <f t="shared" si="9"/>
        <v/>
      </c>
      <c r="D191" s="63" t="str">
        <f t="shared" si="10"/>
        <v/>
      </c>
      <c r="E191" s="7"/>
      <c r="F191" s="7"/>
      <c r="G191" s="7"/>
      <c r="H191" s="9"/>
      <c r="I191" s="40" t="str">
        <f t="shared" si="11"/>
        <v/>
      </c>
    </row>
    <row r="192" spans="1:9">
      <c r="A192" s="6">
        <f t="shared" si="8"/>
        <v>187</v>
      </c>
      <c r="B192" s="63"/>
      <c r="C192" s="63" t="str">
        <f t="shared" si="9"/>
        <v/>
      </c>
      <c r="D192" s="63" t="str">
        <f t="shared" si="10"/>
        <v/>
      </c>
      <c r="E192" s="7"/>
      <c r="F192" s="7"/>
      <c r="G192" s="7"/>
      <c r="H192" s="9"/>
      <c r="I192" s="40" t="str">
        <f t="shared" si="11"/>
        <v/>
      </c>
    </row>
    <row r="193" spans="1:9">
      <c r="A193" s="6">
        <f t="shared" si="8"/>
        <v>188</v>
      </c>
      <c r="B193" s="63"/>
      <c r="C193" s="63" t="str">
        <f t="shared" si="9"/>
        <v/>
      </c>
      <c r="D193" s="63" t="str">
        <f t="shared" si="10"/>
        <v/>
      </c>
      <c r="E193" s="7"/>
      <c r="F193" s="7"/>
      <c r="G193" s="7"/>
      <c r="H193" s="9"/>
      <c r="I193" s="40" t="str">
        <f t="shared" si="11"/>
        <v/>
      </c>
    </row>
    <row r="194" spans="1:9">
      <c r="A194" s="6">
        <f t="shared" si="8"/>
        <v>189</v>
      </c>
      <c r="B194" s="63"/>
      <c r="C194" s="63" t="str">
        <f t="shared" si="9"/>
        <v/>
      </c>
      <c r="D194" s="63" t="str">
        <f t="shared" si="10"/>
        <v/>
      </c>
      <c r="E194" s="7"/>
      <c r="F194" s="7"/>
      <c r="G194" s="7"/>
      <c r="H194" s="9"/>
      <c r="I194" s="40" t="str">
        <f t="shared" si="11"/>
        <v/>
      </c>
    </row>
    <row r="195" spans="1:9">
      <c r="A195" s="6">
        <f t="shared" si="8"/>
        <v>190</v>
      </c>
      <c r="B195" s="63"/>
      <c r="C195" s="63" t="str">
        <f t="shared" si="9"/>
        <v/>
      </c>
      <c r="D195" s="63" t="str">
        <f t="shared" si="10"/>
        <v/>
      </c>
      <c r="E195" s="7"/>
      <c r="F195" s="7"/>
      <c r="G195" s="7"/>
      <c r="H195" s="9"/>
      <c r="I195" s="40" t="str">
        <f t="shared" si="11"/>
        <v/>
      </c>
    </row>
    <row r="196" spans="1:9">
      <c r="A196" s="6">
        <f t="shared" si="8"/>
        <v>191</v>
      </c>
      <c r="B196" s="63"/>
      <c r="C196" s="63" t="str">
        <f t="shared" si="9"/>
        <v/>
      </c>
      <c r="D196" s="63" t="str">
        <f t="shared" si="10"/>
        <v/>
      </c>
      <c r="E196" s="7"/>
      <c r="F196" s="7"/>
      <c r="G196" s="7"/>
      <c r="H196" s="9"/>
      <c r="I196" s="40" t="str">
        <f t="shared" si="11"/>
        <v/>
      </c>
    </row>
    <row r="197" spans="1:9">
      <c r="A197" s="6">
        <f t="shared" si="8"/>
        <v>192</v>
      </c>
      <c r="B197" s="63"/>
      <c r="C197" s="63" t="str">
        <f t="shared" si="9"/>
        <v/>
      </c>
      <c r="D197" s="63" t="str">
        <f t="shared" si="10"/>
        <v/>
      </c>
      <c r="E197" s="7"/>
      <c r="F197" s="7"/>
      <c r="G197" s="7"/>
      <c r="H197" s="9"/>
      <c r="I197" s="40" t="str">
        <f t="shared" si="11"/>
        <v/>
      </c>
    </row>
    <row r="198" spans="1:9">
      <c r="A198" s="6">
        <f t="shared" si="8"/>
        <v>193</v>
      </c>
      <c r="B198" s="63"/>
      <c r="C198" s="63" t="str">
        <f t="shared" si="9"/>
        <v/>
      </c>
      <c r="D198" s="63" t="str">
        <f t="shared" si="10"/>
        <v/>
      </c>
      <c r="E198" s="7"/>
      <c r="F198" s="7"/>
      <c r="G198" s="7"/>
      <c r="H198" s="9"/>
      <c r="I198" s="40" t="str">
        <f t="shared" si="11"/>
        <v/>
      </c>
    </row>
    <row r="199" spans="1:9">
      <c r="A199" s="6">
        <f t="shared" ref="A199:A262" si="12">ROW(A194)</f>
        <v>194</v>
      </c>
      <c r="B199" s="63"/>
      <c r="C199" s="63" t="str">
        <f t="shared" ref="C199:C262" si="13">IF(B199=0,"",TEXT(B199,"mmmm"))</f>
        <v/>
      </c>
      <c r="D199" s="63" t="str">
        <f t="shared" ref="D199:D262" si="14">IF(B199=0,"",TEXT(B199,"yyyy"))</f>
        <v/>
      </c>
      <c r="E199" s="7"/>
      <c r="F199" s="7"/>
      <c r="G199" s="7"/>
      <c r="H199" s="9"/>
      <c r="I199" s="40" t="str">
        <f t="shared" ref="I199:I262" si="15">IF(H199*G199=0,"",H199*G199)</f>
        <v/>
      </c>
    </row>
    <row r="200" spans="1:9">
      <c r="A200" s="6">
        <f t="shared" si="12"/>
        <v>195</v>
      </c>
      <c r="B200" s="63"/>
      <c r="C200" s="63" t="str">
        <f t="shared" si="13"/>
        <v/>
      </c>
      <c r="D200" s="63" t="str">
        <f t="shared" si="14"/>
        <v/>
      </c>
      <c r="E200" s="7"/>
      <c r="F200" s="7"/>
      <c r="G200" s="7"/>
      <c r="H200" s="9"/>
      <c r="I200" s="40" t="str">
        <f t="shared" si="15"/>
        <v/>
      </c>
    </row>
    <row r="201" spans="1:9">
      <c r="A201" s="6">
        <f t="shared" si="12"/>
        <v>196</v>
      </c>
      <c r="B201" s="63"/>
      <c r="C201" s="63" t="str">
        <f t="shared" si="13"/>
        <v/>
      </c>
      <c r="D201" s="63" t="str">
        <f t="shared" si="14"/>
        <v/>
      </c>
      <c r="E201" s="7"/>
      <c r="F201" s="7"/>
      <c r="G201" s="7"/>
      <c r="H201" s="9"/>
      <c r="I201" s="40" t="str">
        <f t="shared" si="15"/>
        <v/>
      </c>
    </row>
    <row r="202" spans="1:9">
      <c r="A202" s="6">
        <f t="shared" si="12"/>
        <v>197</v>
      </c>
      <c r="B202" s="63"/>
      <c r="C202" s="63" t="str">
        <f t="shared" si="13"/>
        <v/>
      </c>
      <c r="D202" s="63" t="str">
        <f t="shared" si="14"/>
        <v/>
      </c>
      <c r="E202" s="7"/>
      <c r="F202" s="7"/>
      <c r="G202" s="7"/>
      <c r="H202" s="9"/>
      <c r="I202" s="40" t="str">
        <f t="shared" si="15"/>
        <v/>
      </c>
    </row>
    <row r="203" spans="1:9">
      <c r="A203" s="6">
        <f t="shared" si="12"/>
        <v>198</v>
      </c>
      <c r="B203" s="63"/>
      <c r="C203" s="63" t="str">
        <f t="shared" si="13"/>
        <v/>
      </c>
      <c r="D203" s="63" t="str">
        <f t="shared" si="14"/>
        <v/>
      </c>
      <c r="E203" s="7"/>
      <c r="F203" s="7"/>
      <c r="G203" s="7"/>
      <c r="H203" s="9"/>
      <c r="I203" s="40" t="str">
        <f t="shared" si="15"/>
        <v/>
      </c>
    </row>
    <row r="204" spans="1:9">
      <c r="A204" s="6">
        <f t="shared" si="12"/>
        <v>199</v>
      </c>
      <c r="B204" s="63"/>
      <c r="C204" s="63" t="str">
        <f t="shared" si="13"/>
        <v/>
      </c>
      <c r="D204" s="63" t="str">
        <f t="shared" si="14"/>
        <v/>
      </c>
      <c r="E204" s="7"/>
      <c r="F204" s="7"/>
      <c r="G204" s="7"/>
      <c r="H204" s="9"/>
      <c r="I204" s="40" t="str">
        <f t="shared" si="15"/>
        <v/>
      </c>
    </row>
    <row r="205" spans="1:9">
      <c r="A205" s="6">
        <f t="shared" si="12"/>
        <v>200</v>
      </c>
      <c r="B205" s="63"/>
      <c r="C205" s="63" t="str">
        <f t="shared" si="13"/>
        <v/>
      </c>
      <c r="D205" s="63" t="str">
        <f t="shared" si="14"/>
        <v/>
      </c>
      <c r="E205" s="7"/>
      <c r="F205" s="7"/>
      <c r="G205" s="7"/>
      <c r="H205" s="9"/>
      <c r="I205" s="40" t="str">
        <f t="shared" si="15"/>
        <v/>
      </c>
    </row>
    <row r="206" spans="1:9">
      <c r="A206" s="6">
        <f t="shared" si="12"/>
        <v>201</v>
      </c>
      <c r="B206" s="63"/>
      <c r="C206" s="63" t="str">
        <f t="shared" si="13"/>
        <v/>
      </c>
      <c r="D206" s="63" t="str">
        <f t="shared" si="14"/>
        <v/>
      </c>
      <c r="E206" s="7"/>
      <c r="F206" s="7"/>
      <c r="G206" s="7"/>
      <c r="H206" s="9"/>
      <c r="I206" s="40" t="str">
        <f t="shared" si="15"/>
        <v/>
      </c>
    </row>
    <row r="207" spans="1:9">
      <c r="A207" s="6">
        <f t="shared" si="12"/>
        <v>202</v>
      </c>
      <c r="B207" s="63"/>
      <c r="C207" s="63" t="str">
        <f t="shared" si="13"/>
        <v/>
      </c>
      <c r="D207" s="63" t="str">
        <f t="shared" si="14"/>
        <v/>
      </c>
      <c r="E207" s="7"/>
      <c r="F207" s="7"/>
      <c r="G207" s="7"/>
      <c r="H207" s="9"/>
      <c r="I207" s="40" t="str">
        <f t="shared" si="15"/>
        <v/>
      </c>
    </row>
    <row r="208" spans="1:9">
      <c r="A208" s="6">
        <f t="shared" si="12"/>
        <v>203</v>
      </c>
      <c r="B208" s="63"/>
      <c r="C208" s="63" t="str">
        <f t="shared" si="13"/>
        <v/>
      </c>
      <c r="D208" s="63" t="str">
        <f t="shared" si="14"/>
        <v/>
      </c>
      <c r="E208" s="7"/>
      <c r="F208" s="7"/>
      <c r="G208" s="7"/>
      <c r="H208" s="9"/>
      <c r="I208" s="40" t="str">
        <f t="shared" si="15"/>
        <v/>
      </c>
    </row>
    <row r="209" spans="1:9">
      <c r="A209" s="6">
        <f t="shared" si="12"/>
        <v>204</v>
      </c>
      <c r="B209" s="63"/>
      <c r="C209" s="63" t="str">
        <f t="shared" si="13"/>
        <v/>
      </c>
      <c r="D209" s="63" t="str">
        <f t="shared" si="14"/>
        <v/>
      </c>
      <c r="E209" s="7"/>
      <c r="F209" s="7"/>
      <c r="G209" s="7"/>
      <c r="H209" s="9"/>
      <c r="I209" s="40" t="str">
        <f t="shared" si="15"/>
        <v/>
      </c>
    </row>
    <row r="210" spans="1:9">
      <c r="A210" s="6">
        <f t="shared" si="12"/>
        <v>205</v>
      </c>
      <c r="B210" s="63"/>
      <c r="C210" s="63" t="str">
        <f t="shared" si="13"/>
        <v/>
      </c>
      <c r="D210" s="63" t="str">
        <f t="shared" si="14"/>
        <v/>
      </c>
      <c r="E210" s="7"/>
      <c r="F210" s="7"/>
      <c r="G210" s="7"/>
      <c r="H210" s="9"/>
      <c r="I210" s="40" t="str">
        <f t="shared" si="15"/>
        <v/>
      </c>
    </row>
    <row r="211" spans="1:9">
      <c r="A211" s="6">
        <f t="shared" si="12"/>
        <v>206</v>
      </c>
      <c r="B211" s="63"/>
      <c r="C211" s="63" t="str">
        <f t="shared" si="13"/>
        <v/>
      </c>
      <c r="D211" s="63" t="str">
        <f t="shared" si="14"/>
        <v/>
      </c>
      <c r="E211" s="7"/>
      <c r="F211" s="7"/>
      <c r="G211" s="7"/>
      <c r="H211" s="9"/>
      <c r="I211" s="40" t="str">
        <f t="shared" si="15"/>
        <v/>
      </c>
    </row>
    <row r="212" spans="1:9">
      <c r="A212" s="6">
        <f t="shared" si="12"/>
        <v>207</v>
      </c>
      <c r="B212" s="63"/>
      <c r="C212" s="63" t="str">
        <f t="shared" si="13"/>
        <v/>
      </c>
      <c r="D212" s="63" t="str">
        <f t="shared" si="14"/>
        <v/>
      </c>
      <c r="E212" s="7"/>
      <c r="F212" s="7"/>
      <c r="G212" s="7"/>
      <c r="H212" s="9"/>
      <c r="I212" s="40" t="str">
        <f t="shared" si="15"/>
        <v/>
      </c>
    </row>
    <row r="213" spans="1:9">
      <c r="A213" s="6">
        <f t="shared" si="12"/>
        <v>208</v>
      </c>
      <c r="B213" s="63"/>
      <c r="C213" s="63" t="str">
        <f t="shared" si="13"/>
        <v/>
      </c>
      <c r="D213" s="63" t="str">
        <f t="shared" si="14"/>
        <v/>
      </c>
      <c r="E213" s="7"/>
      <c r="F213" s="7"/>
      <c r="G213" s="7"/>
      <c r="H213" s="9"/>
      <c r="I213" s="40" t="str">
        <f t="shared" si="15"/>
        <v/>
      </c>
    </row>
    <row r="214" spans="1:9">
      <c r="A214" s="6">
        <f t="shared" si="12"/>
        <v>209</v>
      </c>
      <c r="B214" s="63"/>
      <c r="C214" s="63" t="str">
        <f t="shared" si="13"/>
        <v/>
      </c>
      <c r="D214" s="63" t="str">
        <f t="shared" si="14"/>
        <v/>
      </c>
      <c r="E214" s="7"/>
      <c r="F214" s="7"/>
      <c r="G214" s="7"/>
      <c r="H214" s="9"/>
      <c r="I214" s="40" t="str">
        <f t="shared" si="15"/>
        <v/>
      </c>
    </row>
    <row r="215" spans="1:9">
      <c r="A215" s="6">
        <f t="shared" si="12"/>
        <v>210</v>
      </c>
      <c r="B215" s="63"/>
      <c r="C215" s="63" t="str">
        <f t="shared" si="13"/>
        <v/>
      </c>
      <c r="D215" s="63" t="str">
        <f t="shared" si="14"/>
        <v/>
      </c>
      <c r="E215" s="7"/>
      <c r="F215" s="7"/>
      <c r="G215" s="7"/>
      <c r="H215" s="9"/>
      <c r="I215" s="40" t="str">
        <f t="shared" si="15"/>
        <v/>
      </c>
    </row>
    <row r="216" spans="1:9">
      <c r="A216" s="6">
        <f t="shared" si="12"/>
        <v>211</v>
      </c>
      <c r="B216" s="63"/>
      <c r="C216" s="63" t="str">
        <f t="shared" si="13"/>
        <v/>
      </c>
      <c r="D216" s="63" t="str">
        <f t="shared" si="14"/>
        <v/>
      </c>
      <c r="E216" s="7"/>
      <c r="F216" s="7"/>
      <c r="G216" s="7"/>
      <c r="H216" s="9"/>
      <c r="I216" s="40" t="str">
        <f t="shared" si="15"/>
        <v/>
      </c>
    </row>
    <row r="217" spans="1:9">
      <c r="A217" s="6">
        <f t="shared" si="12"/>
        <v>212</v>
      </c>
      <c r="B217" s="63"/>
      <c r="C217" s="63" t="str">
        <f t="shared" si="13"/>
        <v/>
      </c>
      <c r="D217" s="63" t="str">
        <f t="shared" si="14"/>
        <v/>
      </c>
      <c r="E217" s="7"/>
      <c r="F217" s="7"/>
      <c r="G217" s="7"/>
      <c r="H217" s="9"/>
      <c r="I217" s="40" t="str">
        <f t="shared" si="15"/>
        <v/>
      </c>
    </row>
    <row r="218" spans="1:9">
      <c r="A218" s="6">
        <f t="shared" si="12"/>
        <v>213</v>
      </c>
      <c r="B218" s="63"/>
      <c r="C218" s="63" t="str">
        <f t="shared" si="13"/>
        <v/>
      </c>
      <c r="D218" s="63" t="str">
        <f t="shared" si="14"/>
        <v/>
      </c>
      <c r="E218" s="7"/>
      <c r="F218" s="7"/>
      <c r="G218" s="7"/>
      <c r="H218" s="9"/>
      <c r="I218" s="40" t="str">
        <f t="shared" si="15"/>
        <v/>
      </c>
    </row>
    <row r="219" spans="1:9">
      <c r="A219" s="6">
        <f t="shared" si="12"/>
        <v>214</v>
      </c>
      <c r="B219" s="63"/>
      <c r="C219" s="63" t="str">
        <f t="shared" si="13"/>
        <v/>
      </c>
      <c r="D219" s="63" t="str">
        <f t="shared" si="14"/>
        <v/>
      </c>
      <c r="E219" s="7"/>
      <c r="F219" s="7"/>
      <c r="G219" s="7"/>
      <c r="H219" s="9"/>
      <c r="I219" s="40" t="str">
        <f t="shared" si="15"/>
        <v/>
      </c>
    </row>
    <row r="220" spans="1:9">
      <c r="A220" s="6">
        <f t="shared" si="12"/>
        <v>215</v>
      </c>
      <c r="B220" s="63"/>
      <c r="C220" s="63" t="str">
        <f t="shared" si="13"/>
        <v/>
      </c>
      <c r="D220" s="63" t="str">
        <f t="shared" si="14"/>
        <v/>
      </c>
      <c r="E220" s="7"/>
      <c r="F220" s="7"/>
      <c r="G220" s="7"/>
      <c r="H220" s="9"/>
      <c r="I220" s="40" t="str">
        <f t="shared" si="15"/>
        <v/>
      </c>
    </row>
    <row r="221" spans="1:9">
      <c r="A221" s="6">
        <f t="shared" si="12"/>
        <v>216</v>
      </c>
      <c r="B221" s="63"/>
      <c r="C221" s="63" t="str">
        <f t="shared" si="13"/>
        <v/>
      </c>
      <c r="D221" s="63" t="str">
        <f t="shared" si="14"/>
        <v/>
      </c>
      <c r="E221" s="7"/>
      <c r="F221" s="7"/>
      <c r="G221" s="7"/>
      <c r="H221" s="9"/>
      <c r="I221" s="40" t="str">
        <f t="shared" si="15"/>
        <v/>
      </c>
    </row>
    <row r="222" spans="1:9">
      <c r="A222" s="6">
        <f t="shared" si="12"/>
        <v>217</v>
      </c>
      <c r="B222" s="63"/>
      <c r="C222" s="63" t="str">
        <f t="shared" si="13"/>
        <v/>
      </c>
      <c r="D222" s="63" t="str">
        <f t="shared" si="14"/>
        <v/>
      </c>
      <c r="E222" s="7"/>
      <c r="F222" s="7"/>
      <c r="G222" s="7"/>
      <c r="H222" s="9"/>
      <c r="I222" s="40" t="str">
        <f t="shared" si="15"/>
        <v/>
      </c>
    </row>
    <row r="223" spans="1:9">
      <c r="A223" s="6">
        <f t="shared" si="12"/>
        <v>218</v>
      </c>
      <c r="B223" s="63"/>
      <c r="C223" s="63" t="str">
        <f t="shared" si="13"/>
        <v/>
      </c>
      <c r="D223" s="63" t="str">
        <f t="shared" si="14"/>
        <v/>
      </c>
      <c r="E223" s="7"/>
      <c r="F223" s="7"/>
      <c r="G223" s="7"/>
      <c r="H223" s="9"/>
      <c r="I223" s="40" t="str">
        <f t="shared" si="15"/>
        <v/>
      </c>
    </row>
    <row r="224" spans="1:9">
      <c r="A224" s="6">
        <f t="shared" si="12"/>
        <v>219</v>
      </c>
      <c r="B224" s="63"/>
      <c r="C224" s="63" t="str">
        <f t="shared" si="13"/>
        <v/>
      </c>
      <c r="D224" s="63" t="str">
        <f t="shared" si="14"/>
        <v/>
      </c>
      <c r="E224" s="7"/>
      <c r="F224" s="7"/>
      <c r="G224" s="7"/>
      <c r="H224" s="9"/>
      <c r="I224" s="40" t="str">
        <f t="shared" si="15"/>
        <v/>
      </c>
    </row>
    <row r="225" spans="1:9">
      <c r="A225" s="6">
        <f t="shared" si="12"/>
        <v>220</v>
      </c>
      <c r="B225" s="63"/>
      <c r="C225" s="63" t="str">
        <f t="shared" si="13"/>
        <v/>
      </c>
      <c r="D225" s="63" t="str">
        <f t="shared" si="14"/>
        <v/>
      </c>
      <c r="E225" s="7"/>
      <c r="F225" s="7"/>
      <c r="G225" s="7"/>
      <c r="H225" s="9"/>
      <c r="I225" s="40" t="str">
        <f t="shared" si="15"/>
        <v/>
      </c>
    </row>
    <row r="226" spans="1:9">
      <c r="A226" s="6">
        <f t="shared" si="12"/>
        <v>221</v>
      </c>
      <c r="B226" s="63"/>
      <c r="C226" s="63" t="str">
        <f t="shared" si="13"/>
        <v/>
      </c>
      <c r="D226" s="63" t="str">
        <f t="shared" si="14"/>
        <v/>
      </c>
      <c r="E226" s="7"/>
      <c r="F226" s="7"/>
      <c r="G226" s="7"/>
      <c r="H226" s="9"/>
      <c r="I226" s="40" t="str">
        <f t="shared" si="15"/>
        <v/>
      </c>
    </row>
    <row r="227" spans="1:9">
      <c r="A227" s="6">
        <f t="shared" si="12"/>
        <v>222</v>
      </c>
      <c r="B227" s="63"/>
      <c r="C227" s="63" t="str">
        <f t="shared" si="13"/>
        <v/>
      </c>
      <c r="D227" s="63" t="str">
        <f t="shared" si="14"/>
        <v/>
      </c>
      <c r="E227" s="7"/>
      <c r="F227" s="7"/>
      <c r="G227" s="7"/>
      <c r="H227" s="9"/>
      <c r="I227" s="40" t="str">
        <f t="shared" si="15"/>
        <v/>
      </c>
    </row>
    <row r="228" spans="1:9">
      <c r="A228" s="6">
        <f t="shared" si="12"/>
        <v>223</v>
      </c>
      <c r="B228" s="63"/>
      <c r="C228" s="63" t="str">
        <f t="shared" si="13"/>
        <v/>
      </c>
      <c r="D228" s="63" t="str">
        <f t="shared" si="14"/>
        <v/>
      </c>
      <c r="E228" s="7"/>
      <c r="F228" s="7"/>
      <c r="G228" s="7"/>
      <c r="H228" s="9"/>
      <c r="I228" s="40" t="str">
        <f t="shared" si="15"/>
        <v/>
      </c>
    </row>
    <row r="229" spans="1:9">
      <c r="A229" s="6">
        <f t="shared" si="12"/>
        <v>224</v>
      </c>
      <c r="B229" s="63"/>
      <c r="C229" s="63" t="str">
        <f t="shared" si="13"/>
        <v/>
      </c>
      <c r="D229" s="63" t="str">
        <f t="shared" si="14"/>
        <v/>
      </c>
      <c r="E229" s="7"/>
      <c r="F229" s="7"/>
      <c r="G229" s="7"/>
      <c r="H229" s="9"/>
      <c r="I229" s="40" t="str">
        <f t="shared" si="15"/>
        <v/>
      </c>
    </row>
    <row r="230" spans="1:9">
      <c r="A230" s="6">
        <f t="shared" si="12"/>
        <v>225</v>
      </c>
      <c r="B230" s="63"/>
      <c r="C230" s="63" t="str">
        <f t="shared" si="13"/>
        <v/>
      </c>
      <c r="D230" s="63" t="str">
        <f t="shared" si="14"/>
        <v/>
      </c>
      <c r="E230" s="7"/>
      <c r="F230" s="7"/>
      <c r="G230" s="7"/>
      <c r="H230" s="9"/>
      <c r="I230" s="40" t="str">
        <f t="shared" si="15"/>
        <v/>
      </c>
    </row>
    <row r="231" spans="1:9">
      <c r="A231" s="6">
        <f t="shared" si="12"/>
        <v>226</v>
      </c>
      <c r="B231" s="63"/>
      <c r="C231" s="63" t="str">
        <f t="shared" si="13"/>
        <v/>
      </c>
      <c r="D231" s="63" t="str">
        <f t="shared" si="14"/>
        <v/>
      </c>
      <c r="E231" s="7"/>
      <c r="F231" s="7"/>
      <c r="G231" s="7"/>
      <c r="H231" s="9"/>
      <c r="I231" s="40" t="str">
        <f t="shared" si="15"/>
        <v/>
      </c>
    </row>
    <row r="232" spans="1:9">
      <c r="A232" s="6">
        <f t="shared" si="12"/>
        <v>227</v>
      </c>
      <c r="B232" s="63"/>
      <c r="C232" s="63" t="str">
        <f t="shared" si="13"/>
        <v/>
      </c>
      <c r="D232" s="63" t="str">
        <f t="shared" si="14"/>
        <v/>
      </c>
      <c r="E232" s="7"/>
      <c r="F232" s="7"/>
      <c r="G232" s="7"/>
      <c r="H232" s="9"/>
      <c r="I232" s="40" t="str">
        <f t="shared" si="15"/>
        <v/>
      </c>
    </row>
    <row r="233" spans="1:9">
      <c r="A233" s="6">
        <f t="shared" si="12"/>
        <v>228</v>
      </c>
      <c r="B233" s="63"/>
      <c r="C233" s="63" t="str">
        <f t="shared" si="13"/>
        <v/>
      </c>
      <c r="D233" s="63" t="str">
        <f t="shared" si="14"/>
        <v/>
      </c>
      <c r="E233" s="7"/>
      <c r="F233" s="7"/>
      <c r="G233" s="7"/>
      <c r="H233" s="9"/>
      <c r="I233" s="40" t="str">
        <f t="shared" si="15"/>
        <v/>
      </c>
    </row>
    <row r="234" spans="1:9">
      <c r="A234" s="6">
        <f t="shared" si="12"/>
        <v>229</v>
      </c>
      <c r="B234" s="63"/>
      <c r="C234" s="63" t="str">
        <f t="shared" si="13"/>
        <v/>
      </c>
      <c r="D234" s="63" t="str">
        <f t="shared" si="14"/>
        <v/>
      </c>
      <c r="E234" s="7"/>
      <c r="F234" s="7"/>
      <c r="G234" s="7"/>
      <c r="H234" s="9"/>
      <c r="I234" s="40" t="str">
        <f t="shared" si="15"/>
        <v/>
      </c>
    </row>
    <row r="235" spans="1:9">
      <c r="A235" s="6">
        <f t="shared" si="12"/>
        <v>230</v>
      </c>
      <c r="B235" s="63"/>
      <c r="C235" s="63" t="str">
        <f t="shared" si="13"/>
        <v/>
      </c>
      <c r="D235" s="63" t="str">
        <f t="shared" si="14"/>
        <v/>
      </c>
      <c r="E235" s="7"/>
      <c r="F235" s="7"/>
      <c r="G235" s="7"/>
      <c r="H235" s="9"/>
      <c r="I235" s="40" t="str">
        <f t="shared" si="15"/>
        <v/>
      </c>
    </row>
    <row r="236" spans="1:9">
      <c r="A236" s="6">
        <f t="shared" si="12"/>
        <v>231</v>
      </c>
      <c r="B236" s="63"/>
      <c r="C236" s="63" t="str">
        <f t="shared" si="13"/>
        <v/>
      </c>
      <c r="D236" s="63" t="str">
        <f t="shared" si="14"/>
        <v/>
      </c>
      <c r="E236" s="7"/>
      <c r="F236" s="7"/>
      <c r="G236" s="7"/>
      <c r="H236" s="9"/>
      <c r="I236" s="40" t="str">
        <f t="shared" si="15"/>
        <v/>
      </c>
    </row>
    <row r="237" spans="1:9">
      <c r="A237" s="6">
        <f t="shared" si="12"/>
        <v>232</v>
      </c>
      <c r="B237" s="63"/>
      <c r="C237" s="63" t="str">
        <f t="shared" si="13"/>
        <v/>
      </c>
      <c r="D237" s="63" t="str">
        <f t="shared" si="14"/>
        <v/>
      </c>
      <c r="E237" s="7"/>
      <c r="F237" s="7"/>
      <c r="G237" s="7"/>
      <c r="H237" s="9"/>
      <c r="I237" s="40" t="str">
        <f t="shared" si="15"/>
        <v/>
      </c>
    </row>
    <row r="238" spans="1:9">
      <c r="A238" s="6">
        <f t="shared" si="12"/>
        <v>233</v>
      </c>
      <c r="B238" s="63"/>
      <c r="C238" s="63" t="str">
        <f t="shared" si="13"/>
        <v/>
      </c>
      <c r="D238" s="63" t="str">
        <f t="shared" si="14"/>
        <v/>
      </c>
      <c r="E238" s="7"/>
      <c r="F238" s="7"/>
      <c r="G238" s="7"/>
      <c r="H238" s="9"/>
      <c r="I238" s="40" t="str">
        <f t="shared" si="15"/>
        <v/>
      </c>
    </row>
    <row r="239" spans="1:9">
      <c r="A239" s="6">
        <f t="shared" si="12"/>
        <v>234</v>
      </c>
      <c r="B239" s="63"/>
      <c r="C239" s="63" t="str">
        <f t="shared" si="13"/>
        <v/>
      </c>
      <c r="D239" s="63" t="str">
        <f t="shared" si="14"/>
        <v/>
      </c>
      <c r="E239" s="7"/>
      <c r="F239" s="7"/>
      <c r="G239" s="7"/>
      <c r="H239" s="9"/>
      <c r="I239" s="40" t="str">
        <f t="shared" si="15"/>
        <v/>
      </c>
    </row>
    <row r="240" spans="1:9">
      <c r="A240" s="6">
        <f t="shared" si="12"/>
        <v>235</v>
      </c>
      <c r="B240" s="63"/>
      <c r="C240" s="63" t="str">
        <f t="shared" si="13"/>
        <v/>
      </c>
      <c r="D240" s="63" t="str">
        <f t="shared" si="14"/>
        <v/>
      </c>
      <c r="E240" s="7"/>
      <c r="F240" s="7"/>
      <c r="G240" s="7"/>
      <c r="H240" s="9"/>
      <c r="I240" s="40" t="str">
        <f t="shared" si="15"/>
        <v/>
      </c>
    </row>
    <row r="241" spans="1:9">
      <c r="A241" s="6">
        <f t="shared" si="12"/>
        <v>236</v>
      </c>
      <c r="B241" s="63"/>
      <c r="C241" s="63" t="str">
        <f t="shared" si="13"/>
        <v/>
      </c>
      <c r="D241" s="63" t="str">
        <f t="shared" si="14"/>
        <v/>
      </c>
      <c r="E241" s="7"/>
      <c r="F241" s="7"/>
      <c r="G241" s="7"/>
      <c r="H241" s="9"/>
      <c r="I241" s="40" t="str">
        <f t="shared" si="15"/>
        <v/>
      </c>
    </row>
    <row r="242" spans="1:9">
      <c r="A242" s="6">
        <f t="shared" si="12"/>
        <v>237</v>
      </c>
      <c r="B242" s="63"/>
      <c r="C242" s="63" t="str">
        <f t="shared" si="13"/>
        <v/>
      </c>
      <c r="D242" s="63" t="str">
        <f t="shared" si="14"/>
        <v/>
      </c>
      <c r="E242" s="7"/>
      <c r="F242" s="7"/>
      <c r="G242" s="7"/>
      <c r="H242" s="9"/>
      <c r="I242" s="40" t="str">
        <f t="shared" si="15"/>
        <v/>
      </c>
    </row>
    <row r="243" spans="1:9">
      <c r="A243" s="6">
        <f t="shared" si="12"/>
        <v>238</v>
      </c>
      <c r="B243" s="63"/>
      <c r="C243" s="63" t="str">
        <f t="shared" si="13"/>
        <v/>
      </c>
      <c r="D243" s="63" t="str">
        <f t="shared" si="14"/>
        <v/>
      </c>
      <c r="E243" s="7"/>
      <c r="F243" s="7"/>
      <c r="G243" s="7"/>
      <c r="H243" s="9"/>
      <c r="I243" s="40" t="str">
        <f t="shared" si="15"/>
        <v/>
      </c>
    </row>
    <row r="244" spans="1:9">
      <c r="A244" s="6">
        <f t="shared" si="12"/>
        <v>239</v>
      </c>
      <c r="B244" s="63"/>
      <c r="C244" s="63" t="str">
        <f t="shared" si="13"/>
        <v/>
      </c>
      <c r="D244" s="63" t="str">
        <f t="shared" si="14"/>
        <v/>
      </c>
      <c r="E244" s="7"/>
      <c r="F244" s="7"/>
      <c r="G244" s="7"/>
      <c r="H244" s="9"/>
      <c r="I244" s="40" t="str">
        <f t="shared" si="15"/>
        <v/>
      </c>
    </row>
    <row r="245" spans="1:9">
      <c r="A245" s="6">
        <f t="shared" si="12"/>
        <v>240</v>
      </c>
      <c r="B245" s="63"/>
      <c r="C245" s="63" t="str">
        <f t="shared" si="13"/>
        <v/>
      </c>
      <c r="D245" s="63" t="str">
        <f t="shared" si="14"/>
        <v/>
      </c>
      <c r="E245" s="7"/>
      <c r="F245" s="7"/>
      <c r="G245" s="7"/>
      <c r="H245" s="9"/>
      <c r="I245" s="40" t="str">
        <f t="shared" si="15"/>
        <v/>
      </c>
    </row>
    <row r="246" spans="1:9">
      <c r="A246" s="6">
        <f t="shared" si="12"/>
        <v>241</v>
      </c>
      <c r="B246" s="63"/>
      <c r="C246" s="63" t="str">
        <f t="shared" si="13"/>
        <v/>
      </c>
      <c r="D246" s="63" t="str">
        <f t="shared" si="14"/>
        <v/>
      </c>
      <c r="E246" s="7"/>
      <c r="F246" s="7"/>
      <c r="G246" s="7"/>
      <c r="H246" s="9"/>
      <c r="I246" s="40" t="str">
        <f t="shared" si="15"/>
        <v/>
      </c>
    </row>
    <row r="247" spans="1:9">
      <c r="A247" s="6">
        <f t="shared" si="12"/>
        <v>242</v>
      </c>
      <c r="B247" s="63"/>
      <c r="C247" s="63" t="str">
        <f t="shared" si="13"/>
        <v/>
      </c>
      <c r="D247" s="63" t="str">
        <f t="shared" si="14"/>
        <v/>
      </c>
      <c r="E247" s="7"/>
      <c r="F247" s="7"/>
      <c r="G247" s="7"/>
      <c r="H247" s="9"/>
      <c r="I247" s="40" t="str">
        <f t="shared" si="15"/>
        <v/>
      </c>
    </row>
    <row r="248" spans="1:9">
      <c r="A248" s="6">
        <f t="shared" si="12"/>
        <v>243</v>
      </c>
      <c r="B248" s="63"/>
      <c r="C248" s="63" t="str">
        <f t="shared" si="13"/>
        <v/>
      </c>
      <c r="D248" s="63" t="str">
        <f t="shared" si="14"/>
        <v/>
      </c>
      <c r="E248" s="7"/>
      <c r="F248" s="7"/>
      <c r="G248" s="7"/>
      <c r="H248" s="9"/>
      <c r="I248" s="40" t="str">
        <f t="shared" si="15"/>
        <v/>
      </c>
    </row>
    <row r="249" spans="1:9">
      <c r="A249" s="6">
        <f t="shared" si="12"/>
        <v>244</v>
      </c>
      <c r="B249" s="63"/>
      <c r="C249" s="63" t="str">
        <f t="shared" si="13"/>
        <v/>
      </c>
      <c r="D249" s="63" t="str">
        <f t="shared" si="14"/>
        <v/>
      </c>
      <c r="E249" s="7"/>
      <c r="F249" s="7"/>
      <c r="G249" s="7"/>
      <c r="H249" s="9"/>
      <c r="I249" s="40" t="str">
        <f t="shared" si="15"/>
        <v/>
      </c>
    </row>
    <row r="250" spans="1:9">
      <c r="A250" s="6">
        <f t="shared" si="12"/>
        <v>245</v>
      </c>
      <c r="B250" s="63"/>
      <c r="C250" s="63" t="str">
        <f t="shared" si="13"/>
        <v/>
      </c>
      <c r="D250" s="63" t="str">
        <f t="shared" si="14"/>
        <v/>
      </c>
      <c r="E250" s="7"/>
      <c r="F250" s="7"/>
      <c r="G250" s="7"/>
      <c r="H250" s="9"/>
      <c r="I250" s="40" t="str">
        <f t="shared" si="15"/>
        <v/>
      </c>
    </row>
    <row r="251" spans="1:9">
      <c r="A251" s="6">
        <f t="shared" si="12"/>
        <v>246</v>
      </c>
      <c r="B251" s="63"/>
      <c r="C251" s="63" t="str">
        <f t="shared" si="13"/>
        <v/>
      </c>
      <c r="D251" s="63" t="str">
        <f t="shared" si="14"/>
        <v/>
      </c>
      <c r="E251" s="7"/>
      <c r="F251" s="7"/>
      <c r="G251" s="7"/>
      <c r="H251" s="9"/>
      <c r="I251" s="40" t="str">
        <f t="shared" si="15"/>
        <v/>
      </c>
    </row>
    <row r="252" spans="1:9">
      <c r="A252" s="6">
        <f t="shared" si="12"/>
        <v>247</v>
      </c>
      <c r="B252" s="63"/>
      <c r="C252" s="63" t="str">
        <f t="shared" si="13"/>
        <v/>
      </c>
      <c r="D252" s="63" t="str">
        <f t="shared" si="14"/>
        <v/>
      </c>
      <c r="E252" s="7"/>
      <c r="F252" s="7"/>
      <c r="G252" s="7"/>
      <c r="H252" s="9"/>
      <c r="I252" s="40" t="str">
        <f t="shared" si="15"/>
        <v/>
      </c>
    </row>
    <row r="253" spans="1:9">
      <c r="A253" s="6">
        <f t="shared" si="12"/>
        <v>248</v>
      </c>
      <c r="B253" s="63"/>
      <c r="C253" s="63" t="str">
        <f t="shared" si="13"/>
        <v/>
      </c>
      <c r="D253" s="63" t="str">
        <f t="shared" si="14"/>
        <v/>
      </c>
      <c r="E253" s="7"/>
      <c r="F253" s="7"/>
      <c r="G253" s="7"/>
      <c r="H253" s="9"/>
      <c r="I253" s="40" t="str">
        <f t="shared" si="15"/>
        <v/>
      </c>
    </row>
    <row r="254" spans="1:9">
      <c r="A254" s="6">
        <f t="shared" si="12"/>
        <v>249</v>
      </c>
      <c r="B254" s="63"/>
      <c r="C254" s="63" t="str">
        <f t="shared" si="13"/>
        <v/>
      </c>
      <c r="D254" s="63" t="str">
        <f t="shared" si="14"/>
        <v/>
      </c>
      <c r="E254" s="7"/>
      <c r="F254" s="7"/>
      <c r="G254" s="7"/>
      <c r="H254" s="9"/>
      <c r="I254" s="40" t="str">
        <f t="shared" si="15"/>
        <v/>
      </c>
    </row>
    <row r="255" spans="1:9">
      <c r="A255" s="6">
        <f t="shared" si="12"/>
        <v>250</v>
      </c>
      <c r="B255" s="63"/>
      <c r="C255" s="63" t="str">
        <f t="shared" si="13"/>
        <v/>
      </c>
      <c r="D255" s="63" t="str">
        <f t="shared" si="14"/>
        <v/>
      </c>
      <c r="E255" s="7"/>
      <c r="F255" s="7"/>
      <c r="G255" s="7"/>
      <c r="H255" s="9"/>
      <c r="I255" s="40" t="str">
        <f t="shared" si="15"/>
        <v/>
      </c>
    </row>
    <row r="256" spans="1:9">
      <c r="A256" s="6">
        <f t="shared" si="12"/>
        <v>251</v>
      </c>
      <c r="B256" s="63"/>
      <c r="C256" s="63" t="str">
        <f t="shared" si="13"/>
        <v/>
      </c>
      <c r="D256" s="63" t="str">
        <f t="shared" si="14"/>
        <v/>
      </c>
      <c r="E256" s="7"/>
      <c r="F256" s="7"/>
      <c r="G256" s="7"/>
      <c r="H256" s="9"/>
      <c r="I256" s="40" t="str">
        <f t="shared" si="15"/>
        <v/>
      </c>
    </row>
    <row r="257" spans="1:9">
      <c r="A257" s="6">
        <f t="shared" si="12"/>
        <v>252</v>
      </c>
      <c r="B257" s="63"/>
      <c r="C257" s="63" t="str">
        <f t="shared" si="13"/>
        <v/>
      </c>
      <c r="D257" s="63" t="str">
        <f t="shared" si="14"/>
        <v/>
      </c>
      <c r="E257" s="7"/>
      <c r="F257" s="7"/>
      <c r="G257" s="7"/>
      <c r="H257" s="9"/>
      <c r="I257" s="40" t="str">
        <f t="shared" si="15"/>
        <v/>
      </c>
    </row>
    <row r="258" spans="1:9">
      <c r="A258" s="6">
        <f t="shared" si="12"/>
        <v>253</v>
      </c>
      <c r="B258" s="63"/>
      <c r="C258" s="63" t="str">
        <f t="shared" si="13"/>
        <v/>
      </c>
      <c r="D258" s="63" t="str">
        <f t="shared" si="14"/>
        <v/>
      </c>
      <c r="E258" s="7"/>
      <c r="F258" s="7"/>
      <c r="G258" s="7"/>
      <c r="H258" s="9"/>
      <c r="I258" s="40" t="str">
        <f t="shared" si="15"/>
        <v/>
      </c>
    </row>
    <row r="259" spans="1:9">
      <c r="A259" s="6">
        <f t="shared" si="12"/>
        <v>254</v>
      </c>
      <c r="B259" s="63"/>
      <c r="C259" s="63" t="str">
        <f t="shared" si="13"/>
        <v/>
      </c>
      <c r="D259" s="63" t="str">
        <f t="shared" si="14"/>
        <v/>
      </c>
      <c r="E259" s="7"/>
      <c r="F259" s="7"/>
      <c r="G259" s="7"/>
      <c r="H259" s="9"/>
      <c r="I259" s="40" t="str">
        <f t="shared" si="15"/>
        <v/>
      </c>
    </row>
    <row r="260" spans="1:9">
      <c r="A260" s="6">
        <f t="shared" si="12"/>
        <v>255</v>
      </c>
      <c r="B260" s="63"/>
      <c r="C260" s="63" t="str">
        <f t="shared" si="13"/>
        <v/>
      </c>
      <c r="D260" s="63" t="str">
        <f t="shared" si="14"/>
        <v/>
      </c>
      <c r="E260" s="7"/>
      <c r="F260" s="7"/>
      <c r="G260" s="7"/>
      <c r="H260" s="9"/>
      <c r="I260" s="40" t="str">
        <f t="shared" si="15"/>
        <v/>
      </c>
    </row>
    <row r="261" spans="1:9">
      <c r="A261" s="6">
        <f t="shared" si="12"/>
        <v>256</v>
      </c>
      <c r="B261" s="63"/>
      <c r="C261" s="63" t="str">
        <f t="shared" si="13"/>
        <v/>
      </c>
      <c r="D261" s="63" t="str">
        <f t="shared" si="14"/>
        <v/>
      </c>
      <c r="E261" s="7"/>
      <c r="F261" s="7"/>
      <c r="G261" s="7"/>
      <c r="H261" s="9"/>
      <c r="I261" s="40" t="str">
        <f t="shared" si="15"/>
        <v/>
      </c>
    </row>
    <row r="262" spans="1:9">
      <c r="A262" s="6">
        <f t="shared" si="12"/>
        <v>257</v>
      </c>
      <c r="B262" s="63"/>
      <c r="C262" s="63" t="str">
        <f t="shared" si="13"/>
        <v/>
      </c>
      <c r="D262" s="63" t="str">
        <f t="shared" si="14"/>
        <v/>
      </c>
      <c r="E262" s="7"/>
      <c r="F262" s="7"/>
      <c r="G262" s="7"/>
      <c r="H262" s="9"/>
      <c r="I262" s="40" t="str">
        <f t="shared" si="15"/>
        <v/>
      </c>
    </row>
    <row r="263" spans="1:9">
      <c r="A263" s="6">
        <f t="shared" ref="A263:A326" si="16">ROW(A258)</f>
        <v>258</v>
      </c>
      <c r="B263" s="63"/>
      <c r="C263" s="63" t="str">
        <f t="shared" ref="C263:C326" si="17">IF(B263=0,"",TEXT(B263,"mmmm"))</f>
        <v/>
      </c>
      <c r="D263" s="63" t="str">
        <f t="shared" ref="D263:D326" si="18">IF(B263=0,"",TEXT(B263,"yyyy"))</f>
        <v/>
      </c>
      <c r="E263" s="7"/>
      <c r="F263" s="7"/>
      <c r="G263" s="7"/>
      <c r="H263" s="9"/>
      <c r="I263" s="40" t="str">
        <f t="shared" ref="I263:I326" si="19">IF(H263*G263=0,"",H263*G263)</f>
        <v/>
      </c>
    </row>
    <row r="264" spans="1:9">
      <c r="A264" s="6">
        <f t="shared" si="16"/>
        <v>259</v>
      </c>
      <c r="B264" s="63"/>
      <c r="C264" s="63" t="str">
        <f t="shared" si="17"/>
        <v/>
      </c>
      <c r="D264" s="63" t="str">
        <f t="shared" si="18"/>
        <v/>
      </c>
      <c r="E264" s="7"/>
      <c r="F264" s="7"/>
      <c r="G264" s="7"/>
      <c r="H264" s="9"/>
      <c r="I264" s="40" t="str">
        <f t="shared" si="19"/>
        <v/>
      </c>
    </row>
    <row r="265" spans="1:9">
      <c r="A265" s="6">
        <f t="shared" si="16"/>
        <v>260</v>
      </c>
      <c r="B265" s="63"/>
      <c r="C265" s="63" t="str">
        <f t="shared" si="17"/>
        <v/>
      </c>
      <c r="D265" s="63" t="str">
        <f t="shared" si="18"/>
        <v/>
      </c>
      <c r="E265" s="7"/>
      <c r="F265" s="7"/>
      <c r="G265" s="7"/>
      <c r="H265" s="9"/>
      <c r="I265" s="40" t="str">
        <f t="shared" si="19"/>
        <v/>
      </c>
    </row>
    <row r="266" spans="1:9">
      <c r="A266" s="6">
        <f t="shared" si="16"/>
        <v>261</v>
      </c>
      <c r="B266" s="63"/>
      <c r="C266" s="63" t="str">
        <f t="shared" si="17"/>
        <v/>
      </c>
      <c r="D266" s="63" t="str">
        <f t="shared" si="18"/>
        <v/>
      </c>
      <c r="E266" s="7"/>
      <c r="F266" s="7"/>
      <c r="G266" s="7"/>
      <c r="H266" s="9"/>
      <c r="I266" s="40" t="str">
        <f t="shared" si="19"/>
        <v/>
      </c>
    </row>
    <row r="267" spans="1:9">
      <c r="A267" s="6">
        <f t="shared" si="16"/>
        <v>262</v>
      </c>
      <c r="B267" s="63"/>
      <c r="C267" s="63" t="str">
        <f t="shared" si="17"/>
        <v/>
      </c>
      <c r="D267" s="63" t="str">
        <f t="shared" si="18"/>
        <v/>
      </c>
      <c r="E267" s="7"/>
      <c r="F267" s="7"/>
      <c r="G267" s="7"/>
      <c r="H267" s="9"/>
      <c r="I267" s="40" t="str">
        <f t="shared" si="19"/>
        <v/>
      </c>
    </row>
    <row r="268" spans="1:9">
      <c r="A268" s="6">
        <f t="shared" si="16"/>
        <v>263</v>
      </c>
      <c r="B268" s="63"/>
      <c r="C268" s="63" t="str">
        <f t="shared" si="17"/>
        <v/>
      </c>
      <c r="D268" s="63" t="str">
        <f t="shared" si="18"/>
        <v/>
      </c>
      <c r="E268" s="7"/>
      <c r="F268" s="7"/>
      <c r="G268" s="7"/>
      <c r="H268" s="9"/>
      <c r="I268" s="40" t="str">
        <f t="shared" si="19"/>
        <v/>
      </c>
    </row>
    <row r="269" spans="1:9">
      <c r="A269" s="6">
        <f t="shared" si="16"/>
        <v>264</v>
      </c>
      <c r="B269" s="63"/>
      <c r="C269" s="63" t="str">
        <f t="shared" si="17"/>
        <v/>
      </c>
      <c r="D269" s="63" t="str">
        <f t="shared" si="18"/>
        <v/>
      </c>
      <c r="E269" s="7"/>
      <c r="F269" s="7"/>
      <c r="G269" s="7"/>
      <c r="H269" s="9"/>
      <c r="I269" s="40" t="str">
        <f t="shared" si="19"/>
        <v/>
      </c>
    </row>
    <row r="270" spans="1:9">
      <c r="A270" s="6">
        <f t="shared" si="16"/>
        <v>265</v>
      </c>
      <c r="B270" s="63"/>
      <c r="C270" s="63" t="str">
        <f t="shared" si="17"/>
        <v/>
      </c>
      <c r="D270" s="63" t="str">
        <f t="shared" si="18"/>
        <v/>
      </c>
      <c r="E270" s="7"/>
      <c r="F270" s="7"/>
      <c r="G270" s="7"/>
      <c r="H270" s="9"/>
      <c r="I270" s="40" t="str">
        <f t="shared" si="19"/>
        <v/>
      </c>
    </row>
    <row r="271" spans="1:9">
      <c r="A271" s="6">
        <f t="shared" si="16"/>
        <v>266</v>
      </c>
      <c r="B271" s="63"/>
      <c r="C271" s="63" t="str">
        <f t="shared" si="17"/>
        <v/>
      </c>
      <c r="D271" s="63" t="str">
        <f t="shared" si="18"/>
        <v/>
      </c>
      <c r="E271" s="7"/>
      <c r="F271" s="7"/>
      <c r="G271" s="7"/>
      <c r="H271" s="9"/>
      <c r="I271" s="40" t="str">
        <f t="shared" si="19"/>
        <v/>
      </c>
    </row>
    <row r="272" spans="1:9">
      <c r="A272" s="6">
        <f t="shared" si="16"/>
        <v>267</v>
      </c>
      <c r="B272" s="63"/>
      <c r="C272" s="63" t="str">
        <f t="shared" si="17"/>
        <v/>
      </c>
      <c r="D272" s="63" t="str">
        <f t="shared" si="18"/>
        <v/>
      </c>
      <c r="E272" s="7"/>
      <c r="F272" s="7"/>
      <c r="G272" s="7"/>
      <c r="H272" s="9"/>
      <c r="I272" s="40" t="str">
        <f t="shared" si="19"/>
        <v/>
      </c>
    </row>
    <row r="273" spans="1:9">
      <c r="A273" s="6">
        <f t="shared" si="16"/>
        <v>268</v>
      </c>
      <c r="B273" s="63"/>
      <c r="C273" s="63" t="str">
        <f t="shared" si="17"/>
        <v/>
      </c>
      <c r="D273" s="63" t="str">
        <f t="shared" si="18"/>
        <v/>
      </c>
      <c r="E273" s="7"/>
      <c r="F273" s="7"/>
      <c r="G273" s="7"/>
      <c r="H273" s="9"/>
      <c r="I273" s="40" t="str">
        <f t="shared" si="19"/>
        <v/>
      </c>
    </row>
    <row r="274" spans="1:9">
      <c r="A274" s="6">
        <f t="shared" si="16"/>
        <v>269</v>
      </c>
      <c r="B274" s="63"/>
      <c r="C274" s="63" t="str">
        <f t="shared" si="17"/>
        <v/>
      </c>
      <c r="D274" s="63" t="str">
        <f t="shared" si="18"/>
        <v/>
      </c>
      <c r="E274" s="7"/>
      <c r="F274" s="7"/>
      <c r="G274" s="7"/>
      <c r="H274" s="9"/>
      <c r="I274" s="40" t="str">
        <f t="shared" si="19"/>
        <v/>
      </c>
    </row>
    <row r="275" spans="1:9">
      <c r="A275" s="6">
        <f t="shared" si="16"/>
        <v>270</v>
      </c>
      <c r="B275" s="63"/>
      <c r="C275" s="63" t="str">
        <f t="shared" si="17"/>
        <v/>
      </c>
      <c r="D275" s="63" t="str">
        <f t="shared" si="18"/>
        <v/>
      </c>
      <c r="E275" s="7"/>
      <c r="F275" s="7"/>
      <c r="G275" s="7"/>
      <c r="H275" s="9"/>
      <c r="I275" s="40" t="str">
        <f t="shared" si="19"/>
        <v/>
      </c>
    </row>
    <row r="276" spans="1:9">
      <c r="A276" s="6">
        <f t="shared" si="16"/>
        <v>271</v>
      </c>
      <c r="B276" s="63"/>
      <c r="C276" s="63" t="str">
        <f t="shared" si="17"/>
        <v/>
      </c>
      <c r="D276" s="63" t="str">
        <f t="shared" si="18"/>
        <v/>
      </c>
      <c r="E276" s="7"/>
      <c r="F276" s="7"/>
      <c r="G276" s="7"/>
      <c r="H276" s="9"/>
      <c r="I276" s="40" t="str">
        <f t="shared" si="19"/>
        <v/>
      </c>
    </row>
    <row r="277" spans="1:9">
      <c r="A277" s="6">
        <f t="shared" si="16"/>
        <v>272</v>
      </c>
      <c r="B277" s="63"/>
      <c r="C277" s="63" t="str">
        <f t="shared" si="17"/>
        <v/>
      </c>
      <c r="D277" s="63" t="str">
        <f t="shared" si="18"/>
        <v/>
      </c>
      <c r="E277" s="7"/>
      <c r="F277" s="7"/>
      <c r="G277" s="7"/>
      <c r="H277" s="9"/>
      <c r="I277" s="40" t="str">
        <f t="shared" si="19"/>
        <v/>
      </c>
    </row>
    <row r="278" spans="1:9">
      <c r="A278" s="6">
        <f t="shared" si="16"/>
        <v>273</v>
      </c>
      <c r="B278" s="63"/>
      <c r="C278" s="63" t="str">
        <f t="shared" si="17"/>
        <v/>
      </c>
      <c r="D278" s="63" t="str">
        <f t="shared" si="18"/>
        <v/>
      </c>
      <c r="E278" s="7"/>
      <c r="F278" s="7"/>
      <c r="G278" s="7"/>
      <c r="H278" s="9"/>
      <c r="I278" s="40" t="str">
        <f t="shared" si="19"/>
        <v/>
      </c>
    </row>
    <row r="279" spans="1:9">
      <c r="A279" s="6">
        <f t="shared" si="16"/>
        <v>274</v>
      </c>
      <c r="B279" s="63"/>
      <c r="C279" s="63" t="str">
        <f t="shared" si="17"/>
        <v/>
      </c>
      <c r="D279" s="63" t="str">
        <f t="shared" si="18"/>
        <v/>
      </c>
      <c r="E279" s="7"/>
      <c r="F279" s="7"/>
      <c r="G279" s="7"/>
      <c r="H279" s="9"/>
      <c r="I279" s="40" t="str">
        <f t="shared" si="19"/>
        <v/>
      </c>
    </row>
    <row r="280" spans="1:9">
      <c r="A280" s="6">
        <f t="shared" si="16"/>
        <v>275</v>
      </c>
      <c r="B280" s="63"/>
      <c r="C280" s="63" t="str">
        <f t="shared" si="17"/>
        <v/>
      </c>
      <c r="D280" s="63" t="str">
        <f t="shared" si="18"/>
        <v/>
      </c>
      <c r="E280" s="7"/>
      <c r="F280" s="7"/>
      <c r="G280" s="7"/>
      <c r="H280" s="9"/>
      <c r="I280" s="40" t="str">
        <f t="shared" si="19"/>
        <v/>
      </c>
    </row>
    <row r="281" spans="1:9">
      <c r="A281" s="6">
        <f t="shared" si="16"/>
        <v>276</v>
      </c>
      <c r="B281" s="63"/>
      <c r="C281" s="63" t="str">
        <f t="shared" si="17"/>
        <v/>
      </c>
      <c r="D281" s="63" t="str">
        <f t="shared" si="18"/>
        <v/>
      </c>
      <c r="E281" s="7"/>
      <c r="F281" s="7"/>
      <c r="G281" s="7"/>
      <c r="H281" s="9"/>
      <c r="I281" s="40" t="str">
        <f t="shared" si="19"/>
        <v/>
      </c>
    </row>
    <row r="282" spans="1:9">
      <c r="A282" s="6">
        <f t="shared" si="16"/>
        <v>277</v>
      </c>
      <c r="B282" s="63"/>
      <c r="C282" s="63" t="str">
        <f t="shared" si="17"/>
        <v/>
      </c>
      <c r="D282" s="63" t="str">
        <f t="shared" si="18"/>
        <v/>
      </c>
      <c r="E282" s="7"/>
      <c r="F282" s="7"/>
      <c r="G282" s="7"/>
      <c r="H282" s="9"/>
      <c r="I282" s="40" t="str">
        <f t="shared" si="19"/>
        <v/>
      </c>
    </row>
    <row r="283" spans="1:9">
      <c r="A283" s="6">
        <f t="shared" si="16"/>
        <v>278</v>
      </c>
      <c r="B283" s="63"/>
      <c r="C283" s="63" t="str">
        <f t="shared" si="17"/>
        <v/>
      </c>
      <c r="D283" s="63" t="str">
        <f t="shared" si="18"/>
        <v/>
      </c>
      <c r="E283" s="7"/>
      <c r="F283" s="7"/>
      <c r="G283" s="7"/>
      <c r="H283" s="9"/>
      <c r="I283" s="40" t="str">
        <f t="shared" si="19"/>
        <v/>
      </c>
    </row>
    <row r="284" spans="1:9">
      <c r="A284" s="6">
        <f t="shared" si="16"/>
        <v>279</v>
      </c>
      <c r="B284" s="63"/>
      <c r="C284" s="63" t="str">
        <f t="shared" si="17"/>
        <v/>
      </c>
      <c r="D284" s="63" t="str">
        <f t="shared" si="18"/>
        <v/>
      </c>
      <c r="E284" s="7"/>
      <c r="F284" s="7"/>
      <c r="G284" s="7"/>
      <c r="H284" s="9"/>
      <c r="I284" s="40" t="str">
        <f t="shared" si="19"/>
        <v/>
      </c>
    </row>
    <row r="285" spans="1:9">
      <c r="A285" s="6">
        <f t="shared" si="16"/>
        <v>280</v>
      </c>
      <c r="B285" s="63"/>
      <c r="C285" s="63" t="str">
        <f t="shared" si="17"/>
        <v/>
      </c>
      <c r="D285" s="63" t="str">
        <f t="shared" si="18"/>
        <v/>
      </c>
      <c r="E285" s="7"/>
      <c r="F285" s="7"/>
      <c r="G285" s="7"/>
      <c r="H285" s="9"/>
      <c r="I285" s="40" t="str">
        <f t="shared" si="19"/>
        <v/>
      </c>
    </row>
    <row r="286" spans="1:9">
      <c r="A286" s="6">
        <f t="shared" si="16"/>
        <v>281</v>
      </c>
      <c r="B286" s="63"/>
      <c r="C286" s="63" t="str">
        <f t="shared" si="17"/>
        <v/>
      </c>
      <c r="D286" s="63" t="str">
        <f t="shared" si="18"/>
        <v/>
      </c>
      <c r="E286" s="7"/>
      <c r="F286" s="7"/>
      <c r="G286" s="7"/>
      <c r="H286" s="9"/>
      <c r="I286" s="40" t="str">
        <f t="shared" si="19"/>
        <v/>
      </c>
    </row>
    <row r="287" spans="1:9">
      <c r="A287" s="6">
        <f t="shared" si="16"/>
        <v>282</v>
      </c>
      <c r="B287" s="63"/>
      <c r="C287" s="63" t="str">
        <f t="shared" si="17"/>
        <v/>
      </c>
      <c r="D287" s="63" t="str">
        <f t="shared" si="18"/>
        <v/>
      </c>
      <c r="E287" s="7"/>
      <c r="F287" s="7"/>
      <c r="G287" s="7"/>
      <c r="H287" s="9"/>
      <c r="I287" s="40" t="str">
        <f t="shared" si="19"/>
        <v/>
      </c>
    </row>
    <row r="288" spans="1:9">
      <c r="A288" s="6">
        <f t="shared" si="16"/>
        <v>283</v>
      </c>
      <c r="B288" s="63"/>
      <c r="C288" s="63" t="str">
        <f t="shared" si="17"/>
        <v/>
      </c>
      <c r="D288" s="63" t="str">
        <f t="shared" si="18"/>
        <v/>
      </c>
      <c r="E288" s="7"/>
      <c r="F288" s="7"/>
      <c r="G288" s="7"/>
      <c r="H288" s="9"/>
      <c r="I288" s="40" t="str">
        <f t="shared" si="19"/>
        <v/>
      </c>
    </row>
    <row r="289" spans="1:9">
      <c r="A289" s="6">
        <f t="shared" si="16"/>
        <v>284</v>
      </c>
      <c r="B289" s="63"/>
      <c r="C289" s="63" t="str">
        <f t="shared" si="17"/>
        <v/>
      </c>
      <c r="D289" s="63" t="str">
        <f t="shared" si="18"/>
        <v/>
      </c>
      <c r="E289" s="7"/>
      <c r="F289" s="7"/>
      <c r="G289" s="7"/>
      <c r="H289" s="9"/>
      <c r="I289" s="40" t="str">
        <f t="shared" si="19"/>
        <v/>
      </c>
    </row>
    <row r="290" spans="1:9">
      <c r="A290" s="6">
        <f t="shared" si="16"/>
        <v>285</v>
      </c>
      <c r="B290" s="63"/>
      <c r="C290" s="63" t="str">
        <f t="shared" si="17"/>
        <v/>
      </c>
      <c r="D290" s="63" t="str">
        <f t="shared" si="18"/>
        <v/>
      </c>
      <c r="E290" s="7"/>
      <c r="F290" s="7"/>
      <c r="G290" s="7"/>
      <c r="H290" s="9"/>
      <c r="I290" s="40" t="str">
        <f t="shared" si="19"/>
        <v/>
      </c>
    </row>
    <row r="291" spans="1:9">
      <c r="A291" s="6">
        <f t="shared" si="16"/>
        <v>286</v>
      </c>
      <c r="B291" s="63"/>
      <c r="C291" s="63" t="str">
        <f t="shared" si="17"/>
        <v/>
      </c>
      <c r="D291" s="63" t="str">
        <f t="shared" si="18"/>
        <v/>
      </c>
      <c r="E291" s="7"/>
      <c r="F291" s="7"/>
      <c r="G291" s="7"/>
      <c r="H291" s="9"/>
      <c r="I291" s="40" t="str">
        <f t="shared" si="19"/>
        <v/>
      </c>
    </row>
    <row r="292" spans="1:9">
      <c r="A292" s="6">
        <f t="shared" si="16"/>
        <v>287</v>
      </c>
      <c r="B292" s="63"/>
      <c r="C292" s="63" t="str">
        <f t="shared" si="17"/>
        <v/>
      </c>
      <c r="D292" s="63" t="str">
        <f t="shared" si="18"/>
        <v/>
      </c>
      <c r="E292" s="7"/>
      <c r="F292" s="7"/>
      <c r="G292" s="7"/>
      <c r="H292" s="9"/>
      <c r="I292" s="40" t="str">
        <f t="shared" si="19"/>
        <v/>
      </c>
    </row>
    <row r="293" spans="1:9">
      <c r="A293" s="6">
        <f t="shared" si="16"/>
        <v>288</v>
      </c>
      <c r="B293" s="63"/>
      <c r="C293" s="63" t="str">
        <f t="shared" si="17"/>
        <v/>
      </c>
      <c r="D293" s="63" t="str">
        <f t="shared" si="18"/>
        <v/>
      </c>
      <c r="E293" s="7"/>
      <c r="F293" s="7"/>
      <c r="G293" s="7"/>
      <c r="H293" s="9"/>
      <c r="I293" s="40" t="str">
        <f t="shared" si="19"/>
        <v/>
      </c>
    </row>
    <row r="294" spans="1:9">
      <c r="A294" s="6">
        <f t="shared" si="16"/>
        <v>289</v>
      </c>
      <c r="B294" s="63"/>
      <c r="C294" s="63" t="str">
        <f t="shared" si="17"/>
        <v/>
      </c>
      <c r="D294" s="63" t="str">
        <f t="shared" si="18"/>
        <v/>
      </c>
      <c r="E294" s="7"/>
      <c r="F294" s="7"/>
      <c r="G294" s="7"/>
      <c r="H294" s="9"/>
      <c r="I294" s="40" t="str">
        <f t="shared" si="19"/>
        <v/>
      </c>
    </row>
    <row r="295" spans="1:9">
      <c r="A295" s="6">
        <f t="shared" si="16"/>
        <v>290</v>
      </c>
      <c r="B295" s="63"/>
      <c r="C295" s="63" t="str">
        <f t="shared" si="17"/>
        <v/>
      </c>
      <c r="D295" s="63" t="str">
        <f t="shared" si="18"/>
        <v/>
      </c>
      <c r="E295" s="7"/>
      <c r="F295" s="7"/>
      <c r="G295" s="7"/>
      <c r="H295" s="9"/>
      <c r="I295" s="40" t="str">
        <f t="shared" si="19"/>
        <v/>
      </c>
    </row>
    <row r="296" spans="1:9">
      <c r="A296" s="6">
        <f t="shared" si="16"/>
        <v>291</v>
      </c>
      <c r="B296" s="63"/>
      <c r="C296" s="63" t="str">
        <f t="shared" si="17"/>
        <v/>
      </c>
      <c r="D296" s="63" t="str">
        <f t="shared" si="18"/>
        <v/>
      </c>
      <c r="E296" s="7"/>
      <c r="F296" s="7"/>
      <c r="G296" s="7"/>
      <c r="H296" s="9"/>
      <c r="I296" s="40" t="str">
        <f t="shared" si="19"/>
        <v/>
      </c>
    </row>
    <row r="297" spans="1:9">
      <c r="A297" s="6">
        <f t="shared" si="16"/>
        <v>292</v>
      </c>
      <c r="B297" s="63"/>
      <c r="C297" s="63" t="str">
        <f t="shared" si="17"/>
        <v/>
      </c>
      <c r="D297" s="63" t="str">
        <f t="shared" si="18"/>
        <v/>
      </c>
      <c r="E297" s="7"/>
      <c r="F297" s="7"/>
      <c r="G297" s="7"/>
      <c r="H297" s="9"/>
      <c r="I297" s="40" t="str">
        <f t="shared" si="19"/>
        <v/>
      </c>
    </row>
    <row r="298" spans="1:9">
      <c r="A298" s="6">
        <f t="shared" si="16"/>
        <v>293</v>
      </c>
      <c r="B298" s="63"/>
      <c r="C298" s="63" t="str">
        <f t="shared" si="17"/>
        <v/>
      </c>
      <c r="D298" s="63" t="str">
        <f t="shared" si="18"/>
        <v/>
      </c>
      <c r="E298" s="7"/>
      <c r="F298" s="7"/>
      <c r="G298" s="7"/>
      <c r="H298" s="9"/>
      <c r="I298" s="40" t="str">
        <f t="shared" si="19"/>
        <v/>
      </c>
    </row>
    <row r="299" spans="1:9">
      <c r="A299" s="6">
        <f t="shared" si="16"/>
        <v>294</v>
      </c>
      <c r="B299" s="63"/>
      <c r="C299" s="63" t="str">
        <f t="shared" si="17"/>
        <v/>
      </c>
      <c r="D299" s="63" t="str">
        <f t="shared" si="18"/>
        <v/>
      </c>
      <c r="E299" s="7"/>
      <c r="F299" s="7"/>
      <c r="G299" s="7"/>
      <c r="H299" s="9"/>
      <c r="I299" s="40" t="str">
        <f t="shared" si="19"/>
        <v/>
      </c>
    </row>
    <row r="300" spans="1:9">
      <c r="A300" s="6">
        <f t="shared" si="16"/>
        <v>295</v>
      </c>
      <c r="B300" s="63"/>
      <c r="C300" s="63" t="str">
        <f t="shared" si="17"/>
        <v/>
      </c>
      <c r="D300" s="63" t="str">
        <f t="shared" si="18"/>
        <v/>
      </c>
      <c r="E300" s="7"/>
      <c r="F300" s="7"/>
      <c r="G300" s="7"/>
      <c r="H300" s="9"/>
      <c r="I300" s="40" t="str">
        <f t="shared" si="19"/>
        <v/>
      </c>
    </row>
    <row r="301" spans="1:9">
      <c r="A301" s="6">
        <f t="shared" si="16"/>
        <v>296</v>
      </c>
      <c r="B301" s="63"/>
      <c r="C301" s="63" t="str">
        <f t="shared" si="17"/>
        <v/>
      </c>
      <c r="D301" s="63" t="str">
        <f t="shared" si="18"/>
        <v/>
      </c>
      <c r="E301" s="7"/>
      <c r="F301" s="7"/>
      <c r="G301" s="7"/>
      <c r="H301" s="9"/>
      <c r="I301" s="40" t="str">
        <f t="shared" si="19"/>
        <v/>
      </c>
    </row>
    <row r="302" spans="1:9">
      <c r="A302" s="6">
        <f t="shared" si="16"/>
        <v>297</v>
      </c>
      <c r="B302" s="63"/>
      <c r="C302" s="63" t="str">
        <f t="shared" si="17"/>
        <v/>
      </c>
      <c r="D302" s="63" t="str">
        <f t="shared" si="18"/>
        <v/>
      </c>
      <c r="E302" s="7"/>
      <c r="F302" s="7"/>
      <c r="G302" s="7"/>
      <c r="H302" s="9"/>
      <c r="I302" s="40" t="str">
        <f t="shared" si="19"/>
        <v/>
      </c>
    </row>
    <row r="303" spans="1:9">
      <c r="A303" s="6">
        <f t="shared" si="16"/>
        <v>298</v>
      </c>
      <c r="B303" s="63"/>
      <c r="C303" s="63" t="str">
        <f t="shared" si="17"/>
        <v/>
      </c>
      <c r="D303" s="63" t="str">
        <f t="shared" si="18"/>
        <v/>
      </c>
      <c r="E303" s="7"/>
      <c r="F303" s="7"/>
      <c r="G303" s="7"/>
      <c r="H303" s="9"/>
      <c r="I303" s="40" t="str">
        <f t="shared" si="19"/>
        <v/>
      </c>
    </row>
    <row r="304" spans="1:9">
      <c r="A304" s="6">
        <f t="shared" si="16"/>
        <v>299</v>
      </c>
      <c r="B304" s="63"/>
      <c r="C304" s="63" t="str">
        <f t="shared" si="17"/>
        <v/>
      </c>
      <c r="D304" s="63" t="str">
        <f t="shared" si="18"/>
        <v/>
      </c>
      <c r="E304" s="7"/>
      <c r="F304" s="7"/>
      <c r="G304" s="7"/>
      <c r="H304" s="9"/>
      <c r="I304" s="40" t="str">
        <f t="shared" si="19"/>
        <v/>
      </c>
    </row>
    <row r="305" spans="1:9">
      <c r="A305" s="6">
        <f t="shared" si="16"/>
        <v>300</v>
      </c>
      <c r="B305" s="63"/>
      <c r="C305" s="63" t="str">
        <f t="shared" si="17"/>
        <v/>
      </c>
      <c r="D305" s="63" t="str">
        <f t="shared" si="18"/>
        <v/>
      </c>
      <c r="E305" s="7"/>
      <c r="F305" s="7"/>
      <c r="G305" s="7"/>
      <c r="H305" s="9"/>
      <c r="I305" s="40" t="str">
        <f t="shared" si="19"/>
        <v/>
      </c>
    </row>
    <row r="306" spans="1:9">
      <c r="A306" s="6">
        <f t="shared" si="16"/>
        <v>301</v>
      </c>
      <c r="B306" s="63"/>
      <c r="C306" s="63" t="str">
        <f t="shared" si="17"/>
        <v/>
      </c>
      <c r="D306" s="63" t="str">
        <f t="shared" si="18"/>
        <v/>
      </c>
      <c r="E306" s="7"/>
      <c r="F306" s="7"/>
      <c r="G306" s="7"/>
      <c r="H306" s="9"/>
      <c r="I306" s="40" t="str">
        <f t="shared" si="19"/>
        <v/>
      </c>
    </row>
    <row r="307" spans="1:9">
      <c r="A307" s="6">
        <f t="shared" si="16"/>
        <v>302</v>
      </c>
      <c r="B307" s="63"/>
      <c r="C307" s="63" t="str">
        <f t="shared" si="17"/>
        <v/>
      </c>
      <c r="D307" s="63" t="str">
        <f t="shared" si="18"/>
        <v/>
      </c>
      <c r="E307" s="7"/>
      <c r="F307" s="7"/>
      <c r="G307" s="7"/>
      <c r="H307" s="9"/>
      <c r="I307" s="40" t="str">
        <f t="shared" si="19"/>
        <v/>
      </c>
    </row>
    <row r="308" spans="1:9">
      <c r="A308" s="6">
        <f t="shared" si="16"/>
        <v>303</v>
      </c>
      <c r="B308" s="63"/>
      <c r="C308" s="63" t="str">
        <f t="shared" si="17"/>
        <v/>
      </c>
      <c r="D308" s="63" t="str">
        <f t="shared" si="18"/>
        <v/>
      </c>
      <c r="E308" s="7"/>
      <c r="F308" s="7"/>
      <c r="G308" s="7"/>
      <c r="H308" s="9"/>
      <c r="I308" s="40" t="str">
        <f t="shared" si="19"/>
        <v/>
      </c>
    </row>
    <row r="309" spans="1:9">
      <c r="A309" s="6">
        <f t="shared" si="16"/>
        <v>304</v>
      </c>
      <c r="B309" s="63"/>
      <c r="C309" s="63" t="str">
        <f t="shared" si="17"/>
        <v/>
      </c>
      <c r="D309" s="63" t="str">
        <f t="shared" si="18"/>
        <v/>
      </c>
      <c r="E309" s="7"/>
      <c r="F309" s="7"/>
      <c r="G309" s="7"/>
      <c r="H309" s="9"/>
      <c r="I309" s="40" t="str">
        <f t="shared" si="19"/>
        <v/>
      </c>
    </row>
    <row r="310" spans="1:9">
      <c r="A310" s="6">
        <f t="shared" si="16"/>
        <v>305</v>
      </c>
      <c r="B310" s="63"/>
      <c r="C310" s="63" t="str">
        <f t="shared" si="17"/>
        <v/>
      </c>
      <c r="D310" s="63" t="str">
        <f t="shared" si="18"/>
        <v/>
      </c>
      <c r="E310" s="7"/>
      <c r="F310" s="7"/>
      <c r="G310" s="7"/>
      <c r="H310" s="9"/>
      <c r="I310" s="40" t="str">
        <f t="shared" si="19"/>
        <v/>
      </c>
    </row>
    <row r="311" spans="1:9">
      <c r="A311" s="6">
        <f t="shared" si="16"/>
        <v>306</v>
      </c>
      <c r="B311" s="63"/>
      <c r="C311" s="63" t="str">
        <f t="shared" si="17"/>
        <v/>
      </c>
      <c r="D311" s="63" t="str">
        <f t="shared" si="18"/>
        <v/>
      </c>
      <c r="E311" s="7"/>
      <c r="F311" s="7"/>
      <c r="G311" s="7"/>
      <c r="H311" s="9"/>
      <c r="I311" s="40" t="str">
        <f t="shared" si="19"/>
        <v/>
      </c>
    </row>
    <row r="312" spans="1:9">
      <c r="A312" s="6">
        <f t="shared" si="16"/>
        <v>307</v>
      </c>
      <c r="B312" s="63"/>
      <c r="C312" s="63" t="str">
        <f t="shared" si="17"/>
        <v/>
      </c>
      <c r="D312" s="63" t="str">
        <f t="shared" si="18"/>
        <v/>
      </c>
      <c r="E312" s="7"/>
      <c r="F312" s="7"/>
      <c r="G312" s="7"/>
      <c r="H312" s="9"/>
      <c r="I312" s="40" t="str">
        <f t="shared" si="19"/>
        <v/>
      </c>
    </row>
    <row r="313" spans="1:9">
      <c r="A313" s="6">
        <f t="shared" si="16"/>
        <v>308</v>
      </c>
      <c r="B313" s="63"/>
      <c r="C313" s="63" t="str">
        <f t="shared" si="17"/>
        <v/>
      </c>
      <c r="D313" s="63" t="str">
        <f t="shared" si="18"/>
        <v/>
      </c>
      <c r="E313" s="7"/>
      <c r="F313" s="7"/>
      <c r="G313" s="7"/>
      <c r="H313" s="9"/>
      <c r="I313" s="40" t="str">
        <f t="shared" si="19"/>
        <v/>
      </c>
    </row>
    <row r="314" spans="1:9">
      <c r="A314" s="6">
        <f t="shared" si="16"/>
        <v>309</v>
      </c>
      <c r="B314" s="63"/>
      <c r="C314" s="63" t="str">
        <f t="shared" si="17"/>
        <v/>
      </c>
      <c r="D314" s="63" t="str">
        <f t="shared" si="18"/>
        <v/>
      </c>
      <c r="E314" s="7"/>
      <c r="F314" s="7"/>
      <c r="G314" s="7"/>
      <c r="H314" s="9"/>
      <c r="I314" s="40" t="str">
        <f t="shared" si="19"/>
        <v/>
      </c>
    </row>
    <row r="315" spans="1:9">
      <c r="A315" s="6">
        <f t="shared" si="16"/>
        <v>310</v>
      </c>
      <c r="B315" s="63"/>
      <c r="C315" s="63" t="str">
        <f t="shared" si="17"/>
        <v/>
      </c>
      <c r="D315" s="63" t="str">
        <f t="shared" si="18"/>
        <v/>
      </c>
      <c r="E315" s="7"/>
      <c r="F315" s="7"/>
      <c r="G315" s="7"/>
      <c r="H315" s="9"/>
      <c r="I315" s="40" t="str">
        <f t="shared" si="19"/>
        <v/>
      </c>
    </row>
    <row r="316" spans="1:9">
      <c r="A316" s="6">
        <f t="shared" si="16"/>
        <v>311</v>
      </c>
      <c r="B316" s="63"/>
      <c r="C316" s="63" t="str">
        <f t="shared" si="17"/>
        <v/>
      </c>
      <c r="D316" s="63" t="str">
        <f t="shared" si="18"/>
        <v/>
      </c>
      <c r="E316" s="7"/>
      <c r="F316" s="7"/>
      <c r="G316" s="7"/>
      <c r="H316" s="9"/>
      <c r="I316" s="40" t="str">
        <f t="shared" si="19"/>
        <v/>
      </c>
    </row>
    <row r="317" spans="1:9">
      <c r="A317" s="6">
        <f t="shared" si="16"/>
        <v>312</v>
      </c>
      <c r="B317" s="63"/>
      <c r="C317" s="63" t="str">
        <f t="shared" si="17"/>
        <v/>
      </c>
      <c r="D317" s="63" t="str">
        <f t="shared" si="18"/>
        <v/>
      </c>
      <c r="E317" s="7"/>
      <c r="F317" s="7"/>
      <c r="G317" s="7"/>
      <c r="H317" s="9"/>
      <c r="I317" s="40" t="str">
        <f t="shared" si="19"/>
        <v/>
      </c>
    </row>
    <row r="318" spans="1:9">
      <c r="A318" s="6">
        <f t="shared" si="16"/>
        <v>313</v>
      </c>
      <c r="B318" s="63"/>
      <c r="C318" s="63" t="str">
        <f t="shared" si="17"/>
        <v/>
      </c>
      <c r="D318" s="63" t="str">
        <f t="shared" si="18"/>
        <v/>
      </c>
      <c r="E318" s="7"/>
      <c r="F318" s="7"/>
      <c r="G318" s="7"/>
      <c r="H318" s="9"/>
      <c r="I318" s="40" t="str">
        <f t="shared" si="19"/>
        <v/>
      </c>
    </row>
    <row r="319" spans="1:9">
      <c r="A319" s="6">
        <f t="shared" si="16"/>
        <v>314</v>
      </c>
      <c r="B319" s="63"/>
      <c r="C319" s="63" t="str">
        <f t="shared" si="17"/>
        <v/>
      </c>
      <c r="D319" s="63" t="str">
        <f t="shared" si="18"/>
        <v/>
      </c>
      <c r="E319" s="7"/>
      <c r="F319" s="7"/>
      <c r="G319" s="7"/>
      <c r="H319" s="9"/>
      <c r="I319" s="40" t="str">
        <f t="shared" si="19"/>
        <v/>
      </c>
    </row>
    <row r="320" spans="1:9">
      <c r="A320" s="6">
        <f t="shared" si="16"/>
        <v>315</v>
      </c>
      <c r="B320" s="63"/>
      <c r="C320" s="63" t="str">
        <f t="shared" si="17"/>
        <v/>
      </c>
      <c r="D320" s="63" t="str">
        <f t="shared" si="18"/>
        <v/>
      </c>
      <c r="E320" s="7"/>
      <c r="F320" s="7"/>
      <c r="G320" s="7"/>
      <c r="H320" s="9"/>
      <c r="I320" s="40" t="str">
        <f t="shared" si="19"/>
        <v/>
      </c>
    </row>
    <row r="321" spans="1:9">
      <c r="A321" s="6">
        <f t="shared" si="16"/>
        <v>316</v>
      </c>
      <c r="B321" s="63"/>
      <c r="C321" s="63" t="str">
        <f t="shared" si="17"/>
        <v/>
      </c>
      <c r="D321" s="63" t="str">
        <f t="shared" si="18"/>
        <v/>
      </c>
      <c r="E321" s="7"/>
      <c r="F321" s="7"/>
      <c r="G321" s="7"/>
      <c r="H321" s="9"/>
      <c r="I321" s="40" t="str">
        <f t="shared" si="19"/>
        <v/>
      </c>
    </row>
    <row r="322" spans="1:9">
      <c r="A322" s="6">
        <f t="shared" si="16"/>
        <v>317</v>
      </c>
      <c r="B322" s="63"/>
      <c r="C322" s="63" t="str">
        <f t="shared" si="17"/>
        <v/>
      </c>
      <c r="D322" s="63" t="str">
        <f t="shared" si="18"/>
        <v/>
      </c>
      <c r="E322" s="7"/>
      <c r="F322" s="7"/>
      <c r="G322" s="7"/>
      <c r="H322" s="9"/>
      <c r="I322" s="40" t="str">
        <f t="shared" si="19"/>
        <v/>
      </c>
    </row>
    <row r="323" spans="1:9">
      <c r="A323" s="6">
        <f t="shared" si="16"/>
        <v>318</v>
      </c>
      <c r="B323" s="63"/>
      <c r="C323" s="63" t="str">
        <f t="shared" si="17"/>
        <v/>
      </c>
      <c r="D323" s="63" t="str">
        <f t="shared" si="18"/>
        <v/>
      </c>
      <c r="E323" s="7"/>
      <c r="F323" s="7"/>
      <c r="G323" s="7"/>
      <c r="H323" s="9"/>
      <c r="I323" s="40" t="str">
        <f t="shared" si="19"/>
        <v/>
      </c>
    </row>
    <row r="324" spans="1:9">
      <c r="A324" s="6">
        <f t="shared" si="16"/>
        <v>319</v>
      </c>
      <c r="B324" s="63"/>
      <c r="C324" s="63" t="str">
        <f t="shared" si="17"/>
        <v/>
      </c>
      <c r="D324" s="63" t="str">
        <f t="shared" si="18"/>
        <v/>
      </c>
      <c r="E324" s="7"/>
      <c r="F324" s="7"/>
      <c r="G324" s="7"/>
      <c r="H324" s="9"/>
      <c r="I324" s="40" t="str">
        <f t="shared" si="19"/>
        <v/>
      </c>
    </row>
    <row r="325" spans="1:9">
      <c r="A325" s="6">
        <f t="shared" si="16"/>
        <v>320</v>
      </c>
      <c r="B325" s="63"/>
      <c r="C325" s="63" t="str">
        <f t="shared" si="17"/>
        <v/>
      </c>
      <c r="D325" s="63" t="str">
        <f t="shared" si="18"/>
        <v/>
      </c>
      <c r="E325" s="7"/>
      <c r="F325" s="7"/>
      <c r="G325" s="7"/>
      <c r="H325" s="9"/>
      <c r="I325" s="40" t="str">
        <f t="shared" si="19"/>
        <v/>
      </c>
    </row>
    <row r="326" spans="1:9">
      <c r="A326" s="6">
        <f t="shared" si="16"/>
        <v>321</v>
      </c>
      <c r="B326" s="63"/>
      <c r="C326" s="63" t="str">
        <f t="shared" si="17"/>
        <v/>
      </c>
      <c r="D326" s="63" t="str">
        <f t="shared" si="18"/>
        <v/>
      </c>
      <c r="E326" s="7"/>
      <c r="F326" s="7"/>
      <c r="G326" s="7"/>
      <c r="H326" s="9"/>
      <c r="I326" s="40" t="str">
        <f t="shared" si="19"/>
        <v/>
      </c>
    </row>
    <row r="327" spans="1:9">
      <c r="A327" s="6">
        <f t="shared" ref="A327:A390" si="20">ROW(A322)</f>
        <v>322</v>
      </c>
      <c r="B327" s="63"/>
      <c r="C327" s="63" t="str">
        <f t="shared" ref="C327:C390" si="21">IF(B327=0,"",TEXT(B327,"mmmm"))</f>
        <v/>
      </c>
      <c r="D327" s="63" t="str">
        <f t="shared" ref="D327:D390" si="22">IF(B327=0,"",TEXT(B327,"yyyy"))</f>
        <v/>
      </c>
      <c r="E327" s="7"/>
      <c r="F327" s="7"/>
      <c r="G327" s="7"/>
      <c r="H327" s="9"/>
      <c r="I327" s="40" t="str">
        <f t="shared" ref="I327:I390" si="23">IF(H327*G327=0,"",H327*G327)</f>
        <v/>
      </c>
    </row>
    <row r="328" spans="1:9">
      <c r="A328" s="6">
        <f t="shared" si="20"/>
        <v>323</v>
      </c>
      <c r="B328" s="63"/>
      <c r="C328" s="63" t="str">
        <f t="shared" si="21"/>
        <v/>
      </c>
      <c r="D328" s="63" t="str">
        <f t="shared" si="22"/>
        <v/>
      </c>
      <c r="E328" s="7"/>
      <c r="F328" s="7"/>
      <c r="G328" s="7"/>
      <c r="H328" s="9"/>
      <c r="I328" s="40" t="str">
        <f t="shared" si="23"/>
        <v/>
      </c>
    </row>
    <row r="329" spans="1:9">
      <c r="A329" s="6">
        <f t="shared" si="20"/>
        <v>324</v>
      </c>
      <c r="B329" s="63"/>
      <c r="C329" s="63" t="str">
        <f t="shared" si="21"/>
        <v/>
      </c>
      <c r="D329" s="63" t="str">
        <f t="shared" si="22"/>
        <v/>
      </c>
      <c r="E329" s="7"/>
      <c r="F329" s="7"/>
      <c r="G329" s="7"/>
      <c r="H329" s="9"/>
      <c r="I329" s="40" t="str">
        <f t="shared" si="23"/>
        <v/>
      </c>
    </row>
    <row r="330" spans="1:9">
      <c r="A330" s="6">
        <f t="shared" si="20"/>
        <v>325</v>
      </c>
      <c r="B330" s="63"/>
      <c r="C330" s="63" t="str">
        <f t="shared" si="21"/>
        <v/>
      </c>
      <c r="D330" s="63" t="str">
        <f t="shared" si="22"/>
        <v/>
      </c>
      <c r="E330" s="7"/>
      <c r="F330" s="7"/>
      <c r="G330" s="7"/>
      <c r="H330" s="9"/>
      <c r="I330" s="40" t="str">
        <f t="shared" si="23"/>
        <v/>
      </c>
    </row>
    <row r="331" spans="1:9">
      <c r="A331" s="6">
        <f t="shared" si="20"/>
        <v>326</v>
      </c>
      <c r="B331" s="63"/>
      <c r="C331" s="63" t="str">
        <f t="shared" si="21"/>
        <v/>
      </c>
      <c r="D331" s="63" t="str">
        <f t="shared" si="22"/>
        <v/>
      </c>
      <c r="E331" s="7"/>
      <c r="F331" s="7"/>
      <c r="G331" s="7"/>
      <c r="H331" s="9"/>
      <c r="I331" s="40" t="str">
        <f t="shared" si="23"/>
        <v/>
      </c>
    </row>
    <row r="332" spans="1:9">
      <c r="A332" s="6">
        <f t="shared" si="20"/>
        <v>327</v>
      </c>
      <c r="B332" s="63"/>
      <c r="C332" s="63" t="str">
        <f t="shared" si="21"/>
        <v/>
      </c>
      <c r="D332" s="63" t="str">
        <f t="shared" si="22"/>
        <v/>
      </c>
      <c r="E332" s="7"/>
      <c r="F332" s="7"/>
      <c r="G332" s="7"/>
      <c r="H332" s="9"/>
      <c r="I332" s="40" t="str">
        <f t="shared" si="23"/>
        <v/>
      </c>
    </row>
    <row r="333" spans="1:9">
      <c r="A333" s="6">
        <f t="shared" si="20"/>
        <v>328</v>
      </c>
      <c r="B333" s="63"/>
      <c r="C333" s="63" t="str">
        <f t="shared" si="21"/>
        <v/>
      </c>
      <c r="D333" s="63" t="str">
        <f t="shared" si="22"/>
        <v/>
      </c>
      <c r="E333" s="7"/>
      <c r="F333" s="7"/>
      <c r="G333" s="7"/>
      <c r="H333" s="9"/>
      <c r="I333" s="40" t="str">
        <f t="shared" si="23"/>
        <v/>
      </c>
    </row>
    <row r="334" spans="1:9">
      <c r="A334" s="6">
        <f t="shared" si="20"/>
        <v>329</v>
      </c>
      <c r="B334" s="63"/>
      <c r="C334" s="63" t="str">
        <f t="shared" si="21"/>
        <v/>
      </c>
      <c r="D334" s="63" t="str">
        <f t="shared" si="22"/>
        <v/>
      </c>
      <c r="E334" s="7"/>
      <c r="F334" s="7"/>
      <c r="G334" s="7"/>
      <c r="H334" s="9"/>
      <c r="I334" s="40" t="str">
        <f t="shared" si="23"/>
        <v/>
      </c>
    </row>
    <row r="335" spans="1:9">
      <c r="A335" s="6">
        <f t="shared" si="20"/>
        <v>330</v>
      </c>
      <c r="B335" s="63"/>
      <c r="C335" s="63" t="str">
        <f t="shared" si="21"/>
        <v/>
      </c>
      <c r="D335" s="63" t="str">
        <f t="shared" si="22"/>
        <v/>
      </c>
      <c r="E335" s="7"/>
      <c r="F335" s="7"/>
      <c r="G335" s="7"/>
      <c r="H335" s="9"/>
      <c r="I335" s="40" t="str">
        <f t="shared" si="23"/>
        <v/>
      </c>
    </row>
    <row r="336" spans="1:9">
      <c r="A336" s="6">
        <f t="shared" si="20"/>
        <v>331</v>
      </c>
      <c r="B336" s="63"/>
      <c r="C336" s="63" t="str">
        <f t="shared" si="21"/>
        <v/>
      </c>
      <c r="D336" s="63" t="str">
        <f t="shared" si="22"/>
        <v/>
      </c>
      <c r="E336" s="7"/>
      <c r="F336" s="7"/>
      <c r="G336" s="7"/>
      <c r="H336" s="9"/>
      <c r="I336" s="40" t="str">
        <f t="shared" si="23"/>
        <v/>
      </c>
    </row>
    <row r="337" spans="1:9">
      <c r="A337" s="6">
        <f t="shared" si="20"/>
        <v>332</v>
      </c>
      <c r="B337" s="63"/>
      <c r="C337" s="63" t="str">
        <f t="shared" si="21"/>
        <v/>
      </c>
      <c r="D337" s="63" t="str">
        <f t="shared" si="22"/>
        <v/>
      </c>
      <c r="E337" s="7"/>
      <c r="F337" s="7"/>
      <c r="G337" s="7"/>
      <c r="H337" s="9"/>
      <c r="I337" s="40" t="str">
        <f t="shared" si="23"/>
        <v/>
      </c>
    </row>
    <row r="338" spans="1:9">
      <c r="A338" s="6">
        <f t="shared" si="20"/>
        <v>333</v>
      </c>
      <c r="B338" s="63"/>
      <c r="C338" s="63" t="str">
        <f t="shared" si="21"/>
        <v/>
      </c>
      <c r="D338" s="63" t="str">
        <f t="shared" si="22"/>
        <v/>
      </c>
      <c r="E338" s="7"/>
      <c r="F338" s="7"/>
      <c r="G338" s="7"/>
      <c r="H338" s="9"/>
      <c r="I338" s="40" t="str">
        <f t="shared" si="23"/>
        <v/>
      </c>
    </row>
    <row r="339" spans="1:9">
      <c r="A339" s="6">
        <f t="shared" si="20"/>
        <v>334</v>
      </c>
      <c r="B339" s="63"/>
      <c r="C339" s="63" t="str">
        <f t="shared" si="21"/>
        <v/>
      </c>
      <c r="D339" s="63" t="str">
        <f t="shared" si="22"/>
        <v/>
      </c>
      <c r="E339" s="7"/>
      <c r="F339" s="7"/>
      <c r="G339" s="7"/>
      <c r="H339" s="9"/>
      <c r="I339" s="40" t="str">
        <f t="shared" si="23"/>
        <v/>
      </c>
    </row>
    <row r="340" spans="1:9">
      <c r="A340" s="6">
        <f t="shared" si="20"/>
        <v>335</v>
      </c>
      <c r="B340" s="63"/>
      <c r="C340" s="63" t="str">
        <f t="shared" si="21"/>
        <v/>
      </c>
      <c r="D340" s="63" t="str">
        <f t="shared" si="22"/>
        <v/>
      </c>
      <c r="E340" s="7"/>
      <c r="F340" s="7"/>
      <c r="G340" s="7"/>
      <c r="H340" s="9"/>
      <c r="I340" s="40" t="str">
        <f t="shared" si="23"/>
        <v/>
      </c>
    </row>
    <row r="341" spans="1:9">
      <c r="A341" s="6">
        <f t="shared" si="20"/>
        <v>336</v>
      </c>
      <c r="B341" s="63"/>
      <c r="C341" s="63" t="str">
        <f t="shared" si="21"/>
        <v/>
      </c>
      <c r="D341" s="63" t="str">
        <f t="shared" si="22"/>
        <v/>
      </c>
      <c r="E341" s="7"/>
      <c r="F341" s="7"/>
      <c r="G341" s="7"/>
      <c r="H341" s="9"/>
      <c r="I341" s="40" t="str">
        <f t="shared" si="23"/>
        <v/>
      </c>
    </row>
    <row r="342" spans="1:9">
      <c r="A342" s="6">
        <f t="shared" si="20"/>
        <v>337</v>
      </c>
      <c r="B342" s="63"/>
      <c r="C342" s="63" t="str">
        <f t="shared" si="21"/>
        <v/>
      </c>
      <c r="D342" s="63" t="str">
        <f t="shared" si="22"/>
        <v/>
      </c>
      <c r="E342" s="7"/>
      <c r="F342" s="7"/>
      <c r="G342" s="7"/>
      <c r="H342" s="9"/>
      <c r="I342" s="40" t="str">
        <f t="shared" si="23"/>
        <v/>
      </c>
    </row>
    <row r="343" spans="1:9">
      <c r="A343" s="6">
        <f t="shared" si="20"/>
        <v>338</v>
      </c>
      <c r="B343" s="63"/>
      <c r="C343" s="63" t="str">
        <f t="shared" si="21"/>
        <v/>
      </c>
      <c r="D343" s="63" t="str">
        <f t="shared" si="22"/>
        <v/>
      </c>
      <c r="E343" s="7"/>
      <c r="F343" s="7"/>
      <c r="G343" s="7"/>
      <c r="H343" s="9"/>
      <c r="I343" s="40" t="str">
        <f t="shared" si="23"/>
        <v/>
      </c>
    </row>
    <row r="344" spans="1:9">
      <c r="A344" s="6">
        <f t="shared" si="20"/>
        <v>339</v>
      </c>
      <c r="B344" s="63"/>
      <c r="C344" s="63" t="str">
        <f t="shared" si="21"/>
        <v/>
      </c>
      <c r="D344" s="63" t="str">
        <f t="shared" si="22"/>
        <v/>
      </c>
      <c r="E344" s="7"/>
      <c r="F344" s="7"/>
      <c r="G344" s="7"/>
      <c r="H344" s="9"/>
      <c r="I344" s="40" t="str">
        <f t="shared" si="23"/>
        <v/>
      </c>
    </row>
    <row r="345" spans="1:9">
      <c r="A345" s="6">
        <f t="shared" si="20"/>
        <v>340</v>
      </c>
      <c r="B345" s="63"/>
      <c r="C345" s="63" t="str">
        <f t="shared" si="21"/>
        <v/>
      </c>
      <c r="D345" s="63" t="str">
        <f t="shared" si="22"/>
        <v/>
      </c>
      <c r="E345" s="7"/>
      <c r="F345" s="7"/>
      <c r="G345" s="7"/>
      <c r="H345" s="9"/>
      <c r="I345" s="40" t="str">
        <f t="shared" si="23"/>
        <v/>
      </c>
    </row>
    <row r="346" spans="1:9">
      <c r="A346" s="6">
        <f t="shared" si="20"/>
        <v>341</v>
      </c>
      <c r="B346" s="63"/>
      <c r="C346" s="63" t="str">
        <f t="shared" si="21"/>
        <v/>
      </c>
      <c r="D346" s="63" t="str">
        <f t="shared" si="22"/>
        <v/>
      </c>
      <c r="E346" s="7"/>
      <c r="F346" s="7"/>
      <c r="G346" s="7"/>
      <c r="H346" s="9"/>
      <c r="I346" s="40" t="str">
        <f t="shared" si="23"/>
        <v/>
      </c>
    </row>
    <row r="347" spans="1:9">
      <c r="A347" s="6">
        <f t="shared" si="20"/>
        <v>342</v>
      </c>
      <c r="B347" s="63"/>
      <c r="C347" s="63" t="str">
        <f t="shared" si="21"/>
        <v/>
      </c>
      <c r="D347" s="63" t="str">
        <f t="shared" si="22"/>
        <v/>
      </c>
      <c r="E347" s="7"/>
      <c r="F347" s="7"/>
      <c r="G347" s="7"/>
      <c r="H347" s="9"/>
      <c r="I347" s="40" t="str">
        <f t="shared" si="23"/>
        <v/>
      </c>
    </row>
    <row r="348" spans="1:9">
      <c r="A348" s="6">
        <f t="shared" si="20"/>
        <v>343</v>
      </c>
      <c r="B348" s="63"/>
      <c r="C348" s="63" t="str">
        <f t="shared" si="21"/>
        <v/>
      </c>
      <c r="D348" s="63" t="str">
        <f t="shared" si="22"/>
        <v/>
      </c>
      <c r="E348" s="7"/>
      <c r="F348" s="7"/>
      <c r="G348" s="7"/>
      <c r="H348" s="9"/>
      <c r="I348" s="40" t="str">
        <f t="shared" si="23"/>
        <v/>
      </c>
    </row>
    <row r="349" spans="1:9">
      <c r="A349" s="6">
        <f t="shared" si="20"/>
        <v>344</v>
      </c>
      <c r="B349" s="63"/>
      <c r="C349" s="63" t="str">
        <f t="shared" si="21"/>
        <v/>
      </c>
      <c r="D349" s="63" t="str">
        <f t="shared" si="22"/>
        <v/>
      </c>
      <c r="E349" s="7"/>
      <c r="F349" s="7"/>
      <c r="G349" s="7"/>
      <c r="H349" s="9"/>
      <c r="I349" s="40" t="str">
        <f t="shared" si="23"/>
        <v/>
      </c>
    </row>
    <row r="350" spans="1:9">
      <c r="A350" s="6">
        <f t="shared" si="20"/>
        <v>345</v>
      </c>
      <c r="B350" s="63"/>
      <c r="C350" s="63" t="str">
        <f t="shared" si="21"/>
        <v/>
      </c>
      <c r="D350" s="63" t="str">
        <f t="shared" si="22"/>
        <v/>
      </c>
      <c r="E350" s="7"/>
      <c r="F350" s="7"/>
      <c r="G350" s="7"/>
      <c r="H350" s="9"/>
      <c r="I350" s="40" t="str">
        <f t="shared" si="23"/>
        <v/>
      </c>
    </row>
    <row r="351" spans="1:9">
      <c r="A351" s="6">
        <f t="shared" si="20"/>
        <v>346</v>
      </c>
      <c r="B351" s="63"/>
      <c r="C351" s="63" t="str">
        <f t="shared" si="21"/>
        <v/>
      </c>
      <c r="D351" s="63" t="str">
        <f t="shared" si="22"/>
        <v/>
      </c>
      <c r="E351" s="7"/>
      <c r="F351" s="7"/>
      <c r="G351" s="7"/>
      <c r="H351" s="9"/>
      <c r="I351" s="40" t="str">
        <f t="shared" si="23"/>
        <v/>
      </c>
    </row>
    <row r="352" spans="1:9">
      <c r="A352" s="6">
        <f t="shared" si="20"/>
        <v>347</v>
      </c>
      <c r="B352" s="63"/>
      <c r="C352" s="63" t="str">
        <f t="shared" si="21"/>
        <v/>
      </c>
      <c r="D352" s="63" t="str">
        <f t="shared" si="22"/>
        <v/>
      </c>
      <c r="E352" s="7"/>
      <c r="F352" s="7"/>
      <c r="G352" s="7"/>
      <c r="H352" s="9"/>
      <c r="I352" s="40" t="str">
        <f t="shared" si="23"/>
        <v/>
      </c>
    </row>
    <row r="353" spans="1:9">
      <c r="A353" s="6">
        <f t="shared" si="20"/>
        <v>348</v>
      </c>
      <c r="B353" s="63"/>
      <c r="C353" s="63" t="str">
        <f t="shared" si="21"/>
        <v/>
      </c>
      <c r="D353" s="63" t="str">
        <f t="shared" si="22"/>
        <v/>
      </c>
      <c r="E353" s="7"/>
      <c r="F353" s="7"/>
      <c r="G353" s="7"/>
      <c r="H353" s="9"/>
      <c r="I353" s="40" t="str">
        <f t="shared" si="23"/>
        <v/>
      </c>
    </row>
    <row r="354" spans="1:9">
      <c r="A354" s="6">
        <f t="shared" si="20"/>
        <v>349</v>
      </c>
      <c r="B354" s="63"/>
      <c r="C354" s="63" t="str">
        <f t="shared" si="21"/>
        <v/>
      </c>
      <c r="D354" s="63" t="str">
        <f t="shared" si="22"/>
        <v/>
      </c>
      <c r="E354" s="7"/>
      <c r="F354" s="7"/>
      <c r="G354" s="7"/>
      <c r="H354" s="9"/>
      <c r="I354" s="40" t="str">
        <f t="shared" si="23"/>
        <v/>
      </c>
    </row>
    <row r="355" spans="1:9">
      <c r="A355" s="6">
        <f t="shared" si="20"/>
        <v>350</v>
      </c>
      <c r="B355" s="63"/>
      <c r="C355" s="63" t="str">
        <f t="shared" si="21"/>
        <v/>
      </c>
      <c r="D355" s="63" t="str">
        <f t="shared" si="22"/>
        <v/>
      </c>
      <c r="E355" s="7"/>
      <c r="F355" s="7"/>
      <c r="G355" s="7"/>
      <c r="H355" s="9"/>
      <c r="I355" s="40" t="str">
        <f t="shared" si="23"/>
        <v/>
      </c>
    </row>
    <row r="356" spans="1:9">
      <c r="A356" s="6">
        <f t="shared" si="20"/>
        <v>351</v>
      </c>
      <c r="B356" s="63"/>
      <c r="C356" s="63" t="str">
        <f t="shared" si="21"/>
        <v/>
      </c>
      <c r="D356" s="63" t="str">
        <f t="shared" si="22"/>
        <v/>
      </c>
      <c r="E356" s="7"/>
      <c r="F356" s="7"/>
      <c r="G356" s="7"/>
      <c r="H356" s="9"/>
      <c r="I356" s="40" t="str">
        <f t="shared" si="23"/>
        <v/>
      </c>
    </row>
    <row r="357" spans="1:9">
      <c r="A357" s="6">
        <f t="shared" si="20"/>
        <v>352</v>
      </c>
      <c r="B357" s="63"/>
      <c r="C357" s="63" t="str">
        <f t="shared" si="21"/>
        <v/>
      </c>
      <c r="D357" s="63" t="str">
        <f t="shared" si="22"/>
        <v/>
      </c>
      <c r="E357" s="7"/>
      <c r="F357" s="7"/>
      <c r="G357" s="7"/>
      <c r="H357" s="9"/>
      <c r="I357" s="40" t="str">
        <f t="shared" si="23"/>
        <v/>
      </c>
    </row>
    <row r="358" spans="1:9">
      <c r="A358" s="6">
        <f t="shared" si="20"/>
        <v>353</v>
      </c>
      <c r="B358" s="63"/>
      <c r="C358" s="63" t="str">
        <f t="shared" si="21"/>
        <v/>
      </c>
      <c r="D358" s="63" t="str">
        <f t="shared" si="22"/>
        <v/>
      </c>
      <c r="E358" s="7"/>
      <c r="F358" s="7"/>
      <c r="G358" s="7"/>
      <c r="H358" s="9"/>
      <c r="I358" s="40" t="str">
        <f t="shared" si="23"/>
        <v/>
      </c>
    </row>
    <row r="359" spans="1:9">
      <c r="A359" s="6">
        <f t="shared" si="20"/>
        <v>354</v>
      </c>
      <c r="B359" s="63"/>
      <c r="C359" s="63" t="str">
        <f t="shared" si="21"/>
        <v/>
      </c>
      <c r="D359" s="63" t="str">
        <f t="shared" si="22"/>
        <v/>
      </c>
      <c r="E359" s="7"/>
      <c r="F359" s="7"/>
      <c r="G359" s="7"/>
      <c r="H359" s="9"/>
      <c r="I359" s="40" t="str">
        <f t="shared" si="23"/>
        <v/>
      </c>
    </row>
    <row r="360" spans="1:9">
      <c r="A360" s="6">
        <f t="shared" si="20"/>
        <v>355</v>
      </c>
      <c r="B360" s="63"/>
      <c r="C360" s="63" t="str">
        <f t="shared" si="21"/>
        <v/>
      </c>
      <c r="D360" s="63" t="str">
        <f t="shared" si="22"/>
        <v/>
      </c>
      <c r="E360" s="7"/>
      <c r="F360" s="7"/>
      <c r="G360" s="7"/>
      <c r="H360" s="9"/>
      <c r="I360" s="40" t="str">
        <f t="shared" si="23"/>
        <v/>
      </c>
    </row>
    <row r="361" spans="1:9">
      <c r="A361" s="6">
        <f t="shared" si="20"/>
        <v>356</v>
      </c>
      <c r="B361" s="63"/>
      <c r="C361" s="63" t="str">
        <f t="shared" si="21"/>
        <v/>
      </c>
      <c r="D361" s="63" t="str">
        <f t="shared" si="22"/>
        <v/>
      </c>
      <c r="E361" s="7"/>
      <c r="F361" s="7"/>
      <c r="G361" s="7"/>
      <c r="H361" s="9"/>
      <c r="I361" s="40" t="str">
        <f t="shared" si="23"/>
        <v/>
      </c>
    </row>
    <row r="362" spans="1:9">
      <c r="A362" s="6">
        <f t="shared" si="20"/>
        <v>357</v>
      </c>
      <c r="B362" s="63"/>
      <c r="C362" s="63" t="str">
        <f t="shared" si="21"/>
        <v/>
      </c>
      <c r="D362" s="63" t="str">
        <f t="shared" si="22"/>
        <v/>
      </c>
      <c r="E362" s="7"/>
      <c r="F362" s="7"/>
      <c r="G362" s="7"/>
      <c r="H362" s="9"/>
      <c r="I362" s="40" t="str">
        <f t="shared" si="23"/>
        <v/>
      </c>
    </row>
    <row r="363" spans="1:9">
      <c r="A363" s="6">
        <f t="shared" si="20"/>
        <v>358</v>
      </c>
      <c r="B363" s="63"/>
      <c r="C363" s="63" t="str">
        <f t="shared" si="21"/>
        <v/>
      </c>
      <c r="D363" s="63" t="str">
        <f t="shared" si="22"/>
        <v/>
      </c>
      <c r="E363" s="7"/>
      <c r="F363" s="7"/>
      <c r="G363" s="7"/>
      <c r="H363" s="9"/>
      <c r="I363" s="40" t="str">
        <f t="shared" si="23"/>
        <v/>
      </c>
    </row>
    <row r="364" spans="1:9">
      <c r="A364" s="6">
        <f t="shared" si="20"/>
        <v>359</v>
      </c>
      <c r="B364" s="63"/>
      <c r="C364" s="63" t="str">
        <f t="shared" si="21"/>
        <v/>
      </c>
      <c r="D364" s="63" t="str">
        <f t="shared" si="22"/>
        <v/>
      </c>
      <c r="E364" s="7"/>
      <c r="F364" s="7"/>
      <c r="G364" s="7"/>
      <c r="H364" s="9"/>
      <c r="I364" s="40" t="str">
        <f t="shared" si="23"/>
        <v/>
      </c>
    </row>
    <row r="365" spans="1:9">
      <c r="A365" s="6">
        <f t="shared" si="20"/>
        <v>360</v>
      </c>
      <c r="B365" s="63"/>
      <c r="C365" s="63" t="str">
        <f t="shared" si="21"/>
        <v/>
      </c>
      <c r="D365" s="63" t="str">
        <f t="shared" si="22"/>
        <v/>
      </c>
      <c r="E365" s="7"/>
      <c r="F365" s="7"/>
      <c r="G365" s="7"/>
      <c r="H365" s="9"/>
      <c r="I365" s="40" t="str">
        <f t="shared" si="23"/>
        <v/>
      </c>
    </row>
    <row r="366" spans="1:9">
      <c r="A366" s="6">
        <f t="shared" si="20"/>
        <v>361</v>
      </c>
      <c r="B366" s="63"/>
      <c r="C366" s="63" t="str">
        <f t="shared" si="21"/>
        <v/>
      </c>
      <c r="D366" s="63" t="str">
        <f t="shared" si="22"/>
        <v/>
      </c>
      <c r="E366" s="7"/>
      <c r="F366" s="7"/>
      <c r="G366" s="7"/>
      <c r="H366" s="9"/>
      <c r="I366" s="40" t="str">
        <f t="shared" si="23"/>
        <v/>
      </c>
    </row>
    <row r="367" spans="1:9">
      <c r="A367" s="6">
        <f t="shared" si="20"/>
        <v>362</v>
      </c>
      <c r="B367" s="63"/>
      <c r="C367" s="63" t="str">
        <f t="shared" si="21"/>
        <v/>
      </c>
      <c r="D367" s="63" t="str">
        <f t="shared" si="22"/>
        <v/>
      </c>
      <c r="E367" s="7"/>
      <c r="F367" s="7"/>
      <c r="G367" s="7"/>
      <c r="H367" s="9"/>
      <c r="I367" s="40" t="str">
        <f t="shared" si="23"/>
        <v/>
      </c>
    </row>
    <row r="368" spans="1:9">
      <c r="A368" s="6">
        <f t="shared" si="20"/>
        <v>363</v>
      </c>
      <c r="B368" s="63"/>
      <c r="C368" s="63" t="str">
        <f t="shared" si="21"/>
        <v/>
      </c>
      <c r="D368" s="63" t="str">
        <f t="shared" si="22"/>
        <v/>
      </c>
      <c r="E368" s="7"/>
      <c r="F368" s="7"/>
      <c r="G368" s="7"/>
      <c r="H368" s="9"/>
      <c r="I368" s="40" t="str">
        <f t="shared" si="23"/>
        <v/>
      </c>
    </row>
    <row r="369" spans="1:9">
      <c r="A369" s="6">
        <f t="shared" si="20"/>
        <v>364</v>
      </c>
      <c r="B369" s="63"/>
      <c r="C369" s="63" t="str">
        <f t="shared" si="21"/>
        <v/>
      </c>
      <c r="D369" s="63" t="str">
        <f t="shared" si="22"/>
        <v/>
      </c>
      <c r="E369" s="7"/>
      <c r="F369" s="7"/>
      <c r="G369" s="7"/>
      <c r="H369" s="9"/>
      <c r="I369" s="40" t="str">
        <f t="shared" si="23"/>
        <v/>
      </c>
    </row>
    <row r="370" spans="1:9">
      <c r="A370" s="6">
        <f t="shared" si="20"/>
        <v>365</v>
      </c>
      <c r="B370" s="63"/>
      <c r="C370" s="63" t="str">
        <f t="shared" si="21"/>
        <v/>
      </c>
      <c r="D370" s="63" t="str">
        <f t="shared" si="22"/>
        <v/>
      </c>
      <c r="E370" s="7"/>
      <c r="F370" s="7"/>
      <c r="G370" s="7"/>
      <c r="H370" s="9"/>
      <c r="I370" s="40" t="str">
        <f t="shared" si="23"/>
        <v/>
      </c>
    </row>
    <row r="371" spans="1:9">
      <c r="A371" s="6">
        <f t="shared" si="20"/>
        <v>366</v>
      </c>
      <c r="B371" s="63"/>
      <c r="C371" s="63" t="str">
        <f t="shared" si="21"/>
        <v/>
      </c>
      <c r="D371" s="63" t="str">
        <f t="shared" si="22"/>
        <v/>
      </c>
      <c r="E371" s="7"/>
      <c r="F371" s="7"/>
      <c r="G371" s="7"/>
      <c r="H371" s="9"/>
      <c r="I371" s="40" t="str">
        <f t="shared" si="23"/>
        <v/>
      </c>
    </row>
    <row r="372" spans="1:9">
      <c r="A372" s="6">
        <f t="shared" si="20"/>
        <v>367</v>
      </c>
      <c r="B372" s="63"/>
      <c r="C372" s="63" t="str">
        <f t="shared" si="21"/>
        <v/>
      </c>
      <c r="D372" s="63" t="str">
        <f t="shared" si="22"/>
        <v/>
      </c>
      <c r="E372" s="7"/>
      <c r="F372" s="7"/>
      <c r="G372" s="7"/>
      <c r="H372" s="9"/>
      <c r="I372" s="40" t="str">
        <f t="shared" si="23"/>
        <v/>
      </c>
    </row>
    <row r="373" spans="1:9">
      <c r="A373" s="6">
        <f t="shared" si="20"/>
        <v>368</v>
      </c>
      <c r="B373" s="63"/>
      <c r="C373" s="63" t="str">
        <f t="shared" si="21"/>
        <v/>
      </c>
      <c r="D373" s="63" t="str">
        <f t="shared" si="22"/>
        <v/>
      </c>
      <c r="E373" s="7"/>
      <c r="F373" s="7"/>
      <c r="G373" s="7"/>
      <c r="H373" s="9"/>
      <c r="I373" s="40" t="str">
        <f t="shared" si="23"/>
        <v/>
      </c>
    </row>
    <row r="374" spans="1:9">
      <c r="A374" s="6">
        <f t="shared" si="20"/>
        <v>369</v>
      </c>
      <c r="B374" s="63"/>
      <c r="C374" s="63" t="str">
        <f t="shared" si="21"/>
        <v/>
      </c>
      <c r="D374" s="63" t="str">
        <f t="shared" si="22"/>
        <v/>
      </c>
      <c r="E374" s="7"/>
      <c r="F374" s="7"/>
      <c r="G374" s="7"/>
      <c r="H374" s="9"/>
      <c r="I374" s="40" t="str">
        <f t="shared" si="23"/>
        <v/>
      </c>
    </row>
    <row r="375" spans="1:9">
      <c r="A375" s="6">
        <f t="shared" si="20"/>
        <v>370</v>
      </c>
      <c r="B375" s="63"/>
      <c r="C375" s="63" t="str">
        <f t="shared" si="21"/>
        <v/>
      </c>
      <c r="D375" s="63" t="str">
        <f t="shared" si="22"/>
        <v/>
      </c>
      <c r="E375" s="7"/>
      <c r="F375" s="7"/>
      <c r="G375" s="7"/>
      <c r="H375" s="9"/>
      <c r="I375" s="40" t="str">
        <f t="shared" si="23"/>
        <v/>
      </c>
    </row>
    <row r="376" spans="1:9">
      <c r="A376" s="6">
        <f t="shared" si="20"/>
        <v>371</v>
      </c>
      <c r="B376" s="63"/>
      <c r="C376" s="63" t="str">
        <f t="shared" si="21"/>
        <v/>
      </c>
      <c r="D376" s="63" t="str">
        <f t="shared" si="22"/>
        <v/>
      </c>
      <c r="E376" s="7"/>
      <c r="F376" s="7"/>
      <c r="G376" s="7"/>
      <c r="H376" s="9"/>
      <c r="I376" s="40" t="str">
        <f t="shared" si="23"/>
        <v/>
      </c>
    </row>
    <row r="377" spans="1:9">
      <c r="A377" s="6">
        <f t="shared" si="20"/>
        <v>372</v>
      </c>
      <c r="B377" s="63"/>
      <c r="C377" s="63" t="str">
        <f t="shared" si="21"/>
        <v/>
      </c>
      <c r="D377" s="63" t="str">
        <f t="shared" si="22"/>
        <v/>
      </c>
      <c r="E377" s="7"/>
      <c r="F377" s="7"/>
      <c r="G377" s="7"/>
      <c r="H377" s="9"/>
      <c r="I377" s="40" t="str">
        <f t="shared" si="23"/>
        <v/>
      </c>
    </row>
    <row r="378" spans="1:9">
      <c r="A378" s="6">
        <f t="shared" si="20"/>
        <v>373</v>
      </c>
      <c r="B378" s="63"/>
      <c r="C378" s="63" t="str">
        <f t="shared" si="21"/>
        <v/>
      </c>
      <c r="D378" s="63" t="str">
        <f t="shared" si="22"/>
        <v/>
      </c>
      <c r="E378" s="7"/>
      <c r="F378" s="7"/>
      <c r="G378" s="7"/>
      <c r="H378" s="9"/>
      <c r="I378" s="40" t="str">
        <f t="shared" si="23"/>
        <v/>
      </c>
    </row>
    <row r="379" spans="1:9">
      <c r="A379" s="6">
        <f t="shared" si="20"/>
        <v>374</v>
      </c>
      <c r="B379" s="63"/>
      <c r="C379" s="63" t="str">
        <f t="shared" si="21"/>
        <v/>
      </c>
      <c r="D379" s="63" t="str">
        <f t="shared" si="22"/>
        <v/>
      </c>
      <c r="E379" s="7"/>
      <c r="F379" s="7"/>
      <c r="G379" s="7"/>
      <c r="H379" s="9"/>
      <c r="I379" s="40" t="str">
        <f t="shared" si="23"/>
        <v/>
      </c>
    </row>
    <row r="380" spans="1:9">
      <c r="A380" s="6">
        <f t="shared" si="20"/>
        <v>375</v>
      </c>
      <c r="B380" s="63"/>
      <c r="C380" s="63" t="str">
        <f t="shared" si="21"/>
        <v/>
      </c>
      <c r="D380" s="63" t="str">
        <f t="shared" si="22"/>
        <v/>
      </c>
      <c r="E380" s="7"/>
      <c r="F380" s="7"/>
      <c r="G380" s="7"/>
      <c r="H380" s="9"/>
      <c r="I380" s="40" t="str">
        <f t="shared" si="23"/>
        <v/>
      </c>
    </row>
    <row r="381" spans="1:9">
      <c r="A381" s="6">
        <f t="shared" si="20"/>
        <v>376</v>
      </c>
      <c r="B381" s="63"/>
      <c r="C381" s="63" t="str">
        <f t="shared" si="21"/>
        <v/>
      </c>
      <c r="D381" s="63" t="str">
        <f t="shared" si="22"/>
        <v/>
      </c>
      <c r="E381" s="7"/>
      <c r="F381" s="7"/>
      <c r="G381" s="7"/>
      <c r="H381" s="9"/>
      <c r="I381" s="40" t="str">
        <f t="shared" si="23"/>
        <v/>
      </c>
    </row>
    <row r="382" spans="1:9">
      <c r="A382" s="6">
        <f t="shared" si="20"/>
        <v>377</v>
      </c>
      <c r="B382" s="63"/>
      <c r="C382" s="63" t="str">
        <f t="shared" si="21"/>
        <v/>
      </c>
      <c r="D382" s="63" t="str">
        <f t="shared" si="22"/>
        <v/>
      </c>
      <c r="E382" s="7"/>
      <c r="F382" s="7"/>
      <c r="G382" s="7"/>
      <c r="H382" s="9"/>
      <c r="I382" s="40" t="str">
        <f t="shared" si="23"/>
        <v/>
      </c>
    </row>
    <row r="383" spans="1:9">
      <c r="A383" s="6">
        <f t="shared" si="20"/>
        <v>378</v>
      </c>
      <c r="B383" s="63"/>
      <c r="C383" s="63" t="str">
        <f t="shared" si="21"/>
        <v/>
      </c>
      <c r="D383" s="63" t="str">
        <f t="shared" si="22"/>
        <v/>
      </c>
      <c r="E383" s="7"/>
      <c r="F383" s="7"/>
      <c r="G383" s="7"/>
      <c r="H383" s="9"/>
      <c r="I383" s="40" t="str">
        <f t="shared" si="23"/>
        <v/>
      </c>
    </row>
    <row r="384" spans="1:9">
      <c r="A384" s="6">
        <f t="shared" si="20"/>
        <v>379</v>
      </c>
      <c r="B384" s="63"/>
      <c r="C384" s="63" t="str">
        <f t="shared" si="21"/>
        <v/>
      </c>
      <c r="D384" s="63" t="str">
        <f t="shared" si="22"/>
        <v/>
      </c>
      <c r="E384" s="7"/>
      <c r="F384" s="7"/>
      <c r="G384" s="7"/>
      <c r="H384" s="9"/>
      <c r="I384" s="40" t="str">
        <f t="shared" si="23"/>
        <v/>
      </c>
    </row>
    <row r="385" spans="1:9">
      <c r="A385" s="6">
        <f t="shared" si="20"/>
        <v>380</v>
      </c>
      <c r="B385" s="63"/>
      <c r="C385" s="63" t="str">
        <f t="shared" si="21"/>
        <v/>
      </c>
      <c r="D385" s="63" t="str">
        <f t="shared" si="22"/>
        <v/>
      </c>
      <c r="E385" s="7"/>
      <c r="F385" s="7"/>
      <c r="G385" s="7"/>
      <c r="H385" s="9"/>
      <c r="I385" s="40" t="str">
        <f t="shared" si="23"/>
        <v/>
      </c>
    </row>
    <row r="386" spans="1:9">
      <c r="A386" s="6">
        <f t="shared" si="20"/>
        <v>381</v>
      </c>
      <c r="B386" s="63"/>
      <c r="C386" s="63" t="str">
        <f t="shared" si="21"/>
        <v/>
      </c>
      <c r="D386" s="63" t="str">
        <f t="shared" si="22"/>
        <v/>
      </c>
      <c r="E386" s="7"/>
      <c r="F386" s="7"/>
      <c r="G386" s="7"/>
      <c r="H386" s="9"/>
      <c r="I386" s="40" t="str">
        <f t="shared" si="23"/>
        <v/>
      </c>
    </row>
    <row r="387" spans="1:9">
      <c r="A387" s="6">
        <f t="shared" si="20"/>
        <v>382</v>
      </c>
      <c r="B387" s="63"/>
      <c r="C387" s="63" t="str">
        <f t="shared" si="21"/>
        <v/>
      </c>
      <c r="D387" s="63" t="str">
        <f t="shared" si="22"/>
        <v/>
      </c>
      <c r="E387" s="7"/>
      <c r="F387" s="7"/>
      <c r="G387" s="7"/>
      <c r="H387" s="9"/>
      <c r="I387" s="40" t="str">
        <f t="shared" si="23"/>
        <v/>
      </c>
    </row>
    <row r="388" spans="1:9">
      <c r="A388" s="6">
        <f t="shared" si="20"/>
        <v>383</v>
      </c>
      <c r="B388" s="63"/>
      <c r="C388" s="63" t="str">
        <f t="shared" si="21"/>
        <v/>
      </c>
      <c r="D388" s="63" t="str">
        <f t="shared" si="22"/>
        <v/>
      </c>
      <c r="E388" s="7"/>
      <c r="F388" s="7"/>
      <c r="G388" s="7"/>
      <c r="H388" s="9"/>
      <c r="I388" s="40" t="str">
        <f t="shared" si="23"/>
        <v/>
      </c>
    </row>
    <row r="389" spans="1:9">
      <c r="A389" s="6">
        <f t="shared" si="20"/>
        <v>384</v>
      </c>
      <c r="B389" s="63"/>
      <c r="C389" s="63" t="str">
        <f t="shared" si="21"/>
        <v/>
      </c>
      <c r="D389" s="63" t="str">
        <f t="shared" si="22"/>
        <v/>
      </c>
      <c r="E389" s="7"/>
      <c r="F389" s="7"/>
      <c r="G389" s="7"/>
      <c r="H389" s="9"/>
      <c r="I389" s="40" t="str">
        <f t="shared" si="23"/>
        <v/>
      </c>
    </row>
    <row r="390" spans="1:9">
      <c r="A390" s="6">
        <f t="shared" si="20"/>
        <v>385</v>
      </c>
      <c r="B390" s="63"/>
      <c r="C390" s="63" t="str">
        <f t="shared" si="21"/>
        <v/>
      </c>
      <c r="D390" s="63" t="str">
        <f t="shared" si="22"/>
        <v/>
      </c>
      <c r="E390" s="7"/>
      <c r="F390" s="7"/>
      <c r="G390" s="7"/>
      <c r="H390" s="9"/>
      <c r="I390" s="40" t="str">
        <f t="shared" si="23"/>
        <v/>
      </c>
    </row>
    <row r="391" spans="1:9">
      <c r="A391" s="6">
        <f t="shared" ref="A391:A454" si="24">ROW(A386)</f>
        <v>386</v>
      </c>
      <c r="B391" s="63"/>
      <c r="C391" s="63" t="str">
        <f t="shared" ref="C391:C454" si="25">IF(B391=0,"",TEXT(B391,"mmmm"))</f>
        <v/>
      </c>
      <c r="D391" s="63" t="str">
        <f t="shared" ref="D391:D454" si="26">IF(B391=0,"",TEXT(B391,"yyyy"))</f>
        <v/>
      </c>
      <c r="E391" s="7"/>
      <c r="F391" s="7"/>
      <c r="G391" s="7"/>
      <c r="H391" s="9"/>
      <c r="I391" s="40" t="str">
        <f t="shared" ref="I391:I454" si="27">IF(H391*G391=0,"",H391*G391)</f>
        <v/>
      </c>
    </row>
    <row r="392" spans="1:9">
      <c r="A392" s="6">
        <f t="shared" si="24"/>
        <v>387</v>
      </c>
      <c r="B392" s="63"/>
      <c r="C392" s="63" t="str">
        <f t="shared" si="25"/>
        <v/>
      </c>
      <c r="D392" s="63" t="str">
        <f t="shared" si="26"/>
        <v/>
      </c>
      <c r="E392" s="7"/>
      <c r="F392" s="7"/>
      <c r="G392" s="7"/>
      <c r="H392" s="9"/>
      <c r="I392" s="40" t="str">
        <f t="shared" si="27"/>
        <v/>
      </c>
    </row>
    <row r="393" spans="1:9">
      <c r="A393" s="6">
        <f t="shared" si="24"/>
        <v>388</v>
      </c>
      <c r="B393" s="63"/>
      <c r="C393" s="63" t="str">
        <f t="shared" si="25"/>
        <v/>
      </c>
      <c r="D393" s="63" t="str">
        <f t="shared" si="26"/>
        <v/>
      </c>
      <c r="E393" s="7"/>
      <c r="F393" s="7"/>
      <c r="G393" s="7"/>
      <c r="H393" s="9"/>
      <c r="I393" s="40" t="str">
        <f t="shared" si="27"/>
        <v/>
      </c>
    </row>
    <row r="394" spans="1:9">
      <c r="A394" s="6">
        <f t="shared" si="24"/>
        <v>389</v>
      </c>
      <c r="B394" s="63"/>
      <c r="C394" s="63" t="str">
        <f t="shared" si="25"/>
        <v/>
      </c>
      <c r="D394" s="63" t="str">
        <f t="shared" si="26"/>
        <v/>
      </c>
      <c r="E394" s="7"/>
      <c r="F394" s="7"/>
      <c r="G394" s="7"/>
      <c r="H394" s="9"/>
      <c r="I394" s="40" t="str">
        <f t="shared" si="27"/>
        <v/>
      </c>
    </row>
    <row r="395" spans="1:9">
      <c r="A395" s="6">
        <f t="shared" si="24"/>
        <v>390</v>
      </c>
      <c r="B395" s="63"/>
      <c r="C395" s="63" t="str">
        <f t="shared" si="25"/>
        <v/>
      </c>
      <c r="D395" s="63" t="str">
        <f t="shared" si="26"/>
        <v/>
      </c>
      <c r="E395" s="7"/>
      <c r="F395" s="7"/>
      <c r="G395" s="7"/>
      <c r="H395" s="9"/>
      <c r="I395" s="40" t="str">
        <f t="shared" si="27"/>
        <v/>
      </c>
    </row>
    <row r="396" spans="1:9">
      <c r="A396" s="6">
        <f t="shared" si="24"/>
        <v>391</v>
      </c>
      <c r="B396" s="63"/>
      <c r="C396" s="63" t="str">
        <f t="shared" si="25"/>
        <v/>
      </c>
      <c r="D396" s="63" t="str">
        <f t="shared" si="26"/>
        <v/>
      </c>
      <c r="E396" s="7"/>
      <c r="F396" s="7"/>
      <c r="G396" s="7"/>
      <c r="H396" s="9"/>
      <c r="I396" s="40" t="str">
        <f t="shared" si="27"/>
        <v/>
      </c>
    </row>
    <row r="397" spans="1:9">
      <c r="A397" s="6">
        <f t="shared" si="24"/>
        <v>392</v>
      </c>
      <c r="B397" s="63"/>
      <c r="C397" s="63" t="str">
        <f t="shared" si="25"/>
        <v/>
      </c>
      <c r="D397" s="63" t="str">
        <f t="shared" si="26"/>
        <v/>
      </c>
      <c r="E397" s="7"/>
      <c r="F397" s="7"/>
      <c r="G397" s="7"/>
      <c r="H397" s="9"/>
      <c r="I397" s="40" t="str">
        <f t="shared" si="27"/>
        <v/>
      </c>
    </row>
    <row r="398" spans="1:9">
      <c r="A398" s="6">
        <f t="shared" si="24"/>
        <v>393</v>
      </c>
      <c r="B398" s="63"/>
      <c r="C398" s="63" t="str">
        <f t="shared" si="25"/>
        <v/>
      </c>
      <c r="D398" s="63" t="str">
        <f t="shared" si="26"/>
        <v/>
      </c>
      <c r="E398" s="7"/>
      <c r="F398" s="7"/>
      <c r="G398" s="7"/>
      <c r="H398" s="9"/>
      <c r="I398" s="40" t="str">
        <f t="shared" si="27"/>
        <v/>
      </c>
    </row>
    <row r="399" spans="1:9">
      <c r="A399" s="6">
        <f t="shared" si="24"/>
        <v>394</v>
      </c>
      <c r="B399" s="63"/>
      <c r="C399" s="63" t="str">
        <f t="shared" si="25"/>
        <v/>
      </c>
      <c r="D399" s="63" t="str">
        <f t="shared" si="26"/>
        <v/>
      </c>
      <c r="E399" s="7"/>
      <c r="F399" s="7"/>
      <c r="G399" s="7"/>
      <c r="H399" s="9"/>
      <c r="I399" s="40" t="str">
        <f t="shared" si="27"/>
        <v/>
      </c>
    </row>
    <row r="400" spans="1:9">
      <c r="A400" s="6">
        <f t="shared" si="24"/>
        <v>395</v>
      </c>
      <c r="B400" s="63"/>
      <c r="C400" s="63" t="str">
        <f t="shared" si="25"/>
        <v/>
      </c>
      <c r="D400" s="63" t="str">
        <f t="shared" si="26"/>
        <v/>
      </c>
      <c r="E400" s="7"/>
      <c r="F400" s="7"/>
      <c r="G400" s="7"/>
      <c r="H400" s="9"/>
      <c r="I400" s="40" t="str">
        <f t="shared" si="27"/>
        <v/>
      </c>
    </row>
    <row r="401" spans="1:9">
      <c r="A401" s="6">
        <f t="shared" si="24"/>
        <v>396</v>
      </c>
      <c r="B401" s="63"/>
      <c r="C401" s="63" t="str">
        <f t="shared" si="25"/>
        <v/>
      </c>
      <c r="D401" s="63" t="str">
        <f t="shared" si="26"/>
        <v/>
      </c>
      <c r="E401" s="7"/>
      <c r="F401" s="7"/>
      <c r="G401" s="7"/>
      <c r="H401" s="9"/>
      <c r="I401" s="40" t="str">
        <f t="shared" si="27"/>
        <v/>
      </c>
    </row>
    <row r="402" spans="1:9">
      <c r="A402" s="6">
        <f t="shared" si="24"/>
        <v>397</v>
      </c>
      <c r="B402" s="63"/>
      <c r="C402" s="63" t="str">
        <f t="shared" si="25"/>
        <v/>
      </c>
      <c r="D402" s="63" t="str">
        <f t="shared" si="26"/>
        <v/>
      </c>
      <c r="E402" s="7"/>
      <c r="F402" s="7"/>
      <c r="G402" s="7"/>
      <c r="H402" s="9"/>
      <c r="I402" s="40" t="str">
        <f t="shared" si="27"/>
        <v/>
      </c>
    </row>
    <row r="403" spans="1:9">
      <c r="A403" s="6">
        <f t="shared" si="24"/>
        <v>398</v>
      </c>
      <c r="B403" s="63"/>
      <c r="C403" s="63" t="str">
        <f t="shared" si="25"/>
        <v/>
      </c>
      <c r="D403" s="63" t="str">
        <f t="shared" si="26"/>
        <v/>
      </c>
      <c r="E403" s="7"/>
      <c r="F403" s="7"/>
      <c r="G403" s="7"/>
      <c r="H403" s="9"/>
      <c r="I403" s="40" t="str">
        <f t="shared" si="27"/>
        <v/>
      </c>
    </row>
    <row r="404" spans="1:9">
      <c r="A404" s="6">
        <f t="shared" si="24"/>
        <v>399</v>
      </c>
      <c r="B404" s="63"/>
      <c r="C404" s="63" t="str">
        <f t="shared" si="25"/>
        <v/>
      </c>
      <c r="D404" s="63" t="str">
        <f t="shared" si="26"/>
        <v/>
      </c>
      <c r="E404" s="7"/>
      <c r="F404" s="7"/>
      <c r="G404" s="7"/>
      <c r="H404" s="9"/>
      <c r="I404" s="40" t="str">
        <f t="shared" si="27"/>
        <v/>
      </c>
    </row>
    <row r="405" spans="1:9">
      <c r="A405" s="6">
        <f t="shared" si="24"/>
        <v>400</v>
      </c>
      <c r="B405" s="63"/>
      <c r="C405" s="63" t="str">
        <f t="shared" si="25"/>
        <v/>
      </c>
      <c r="D405" s="63" t="str">
        <f t="shared" si="26"/>
        <v/>
      </c>
      <c r="E405" s="7"/>
      <c r="F405" s="7"/>
      <c r="G405" s="7"/>
      <c r="H405" s="9"/>
      <c r="I405" s="40" t="str">
        <f t="shared" si="27"/>
        <v/>
      </c>
    </row>
    <row r="406" spans="1:9">
      <c r="A406" s="6">
        <f t="shared" si="24"/>
        <v>401</v>
      </c>
      <c r="B406" s="63"/>
      <c r="C406" s="63" t="str">
        <f t="shared" si="25"/>
        <v/>
      </c>
      <c r="D406" s="63" t="str">
        <f t="shared" si="26"/>
        <v/>
      </c>
      <c r="E406" s="7"/>
      <c r="F406" s="7"/>
      <c r="G406" s="7"/>
      <c r="H406" s="9"/>
      <c r="I406" s="40" t="str">
        <f t="shared" si="27"/>
        <v/>
      </c>
    </row>
    <row r="407" spans="1:9">
      <c r="A407" s="6">
        <f t="shared" si="24"/>
        <v>402</v>
      </c>
      <c r="B407" s="63"/>
      <c r="C407" s="63" t="str">
        <f t="shared" si="25"/>
        <v/>
      </c>
      <c r="D407" s="63" t="str">
        <f t="shared" si="26"/>
        <v/>
      </c>
      <c r="E407" s="7"/>
      <c r="F407" s="7"/>
      <c r="G407" s="7"/>
      <c r="H407" s="9"/>
      <c r="I407" s="40" t="str">
        <f t="shared" si="27"/>
        <v/>
      </c>
    </row>
    <row r="408" spans="1:9">
      <c r="A408" s="6">
        <f t="shared" si="24"/>
        <v>403</v>
      </c>
      <c r="B408" s="63"/>
      <c r="C408" s="63" t="str">
        <f t="shared" si="25"/>
        <v/>
      </c>
      <c r="D408" s="63" t="str">
        <f t="shared" si="26"/>
        <v/>
      </c>
      <c r="E408" s="7"/>
      <c r="F408" s="7"/>
      <c r="G408" s="7"/>
      <c r="H408" s="9"/>
      <c r="I408" s="40" t="str">
        <f t="shared" si="27"/>
        <v/>
      </c>
    </row>
    <row r="409" spans="1:9">
      <c r="A409" s="6">
        <f t="shared" si="24"/>
        <v>404</v>
      </c>
      <c r="B409" s="63"/>
      <c r="C409" s="63" t="str">
        <f t="shared" si="25"/>
        <v/>
      </c>
      <c r="D409" s="63" t="str">
        <f t="shared" si="26"/>
        <v/>
      </c>
      <c r="E409" s="7"/>
      <c r="F409" s="7"/>
      <c r="G409" s="7"/>
      <c r="H409" s="9"/>
      <c r="I409" s="40" t="str">
        <f t="shared" si="27"/>
        <v/>
      </c>
    </row>
    <row r="410" spans="1:9">
      <c r="A410" s="6">
        <f t="shared" si="24"/>
        <v>405</v>
      </c>
      <c r="B410" s="63"/>
      <c r="C410" s="63" t="str">
        <f t="shared" si="25"/>
        <v/>
      </c>
      <c r="D410" s="63" t="str">
        <f t="shared" si="26"/>
        <v/>
      </c>
      <c r="E410" s="7"/>
      <c r="F410" s="7"/>
      <c r="G410" s="7"/>
      <c r="H410" s="9"/>
      <c r="I410" s="40" t="str">
        <f t="shared" si="27"/>
        <v/>
      </c>
    </row>
    <row r="411" spans="1:9">
      <c r="A411" s="6">
        <f t="shared" si="24"/>
        <v>406</v>
      </c>
      <c r="B411" s="63"/>
      <c r="C411" s="63" t="str">
        <f t="shared" si="25"/>
        <v/>
      </c>
      <c r="D411" s="63" t="str">
        <f t="shared" si="26"/>
        <v/>
      </c>
      <c r="E411" s="7"/>
      <c r="F411" s="7"/>
      <c r="G411" s="7"/>
      <c r="H411" s="9"/>
      <c r="I411" s="40" t="str">
        <f t="shared" si="27"/>
        <v/>
      </c>
    </row>
    <row r="412" spans="1:9">
      <c r="A412" s="6">
        <f t="shared" si="24"/>
        <v>407</v>
      </c>
      <c r="B412" s="63"/>
      <c r="C412" s="63" t="str">
        <f t="shared" si="25"/>
        <v/>
      </c>
      <c r="D412" s="63" t="str">
        <f t="shared" si="26"/>
        <v/>
      </c>
      <c r="E412" s="7"/>
      <c r="F412" s="7"/>
      <c r="G412" s="7"/>
      <c r="H412" s="9"/>
      <c r="I412" s="40" t="str">
        <f t="shared" si="27"/>
        <v/>
      </c>
    </row>
    <row r="413" spans="1:9">
      <c r="A413" s="6">
        <f t="shared" si="24"/>
        <v>408</v>
      </c>
      <c r="B413" s="63"/>
      <c r="C413" s="63" t="str">
        <f t="shared" si="25"/>
        <v/>
      </c>
      <c r="D413" s="63" t="str">
        <f t="shared" si="26"/>
        <v/>
      </c>
      <c r="E413" s="7"/>
      <c r="F413" s="7"/>
      <c r="G413" s="7"/>
      <c r="H413" s="9"/>
      <c r="I413" s="40" t="str">
        <f t="shared" si="27"/>
        <v/>
      </c>
    </row>
    <row r="414" spans="1:9">
      <c r="A414" s="6">
        <f t="shared" si="24"/>
        <v>409</v>
      </c>
      <c r="B414" s="63"/>
      <c r="C414" s="63" t="str">
        <f t="shared" si="25"/>
        <v/>
      </c>
      <c r="D414" s="63" t="str">
        <f t="shared" si="26"/>
        <v/>
      </c>
      <c r="E414" s="7"/>
      <c r="F414" s="7"/>
      <c r="G414" s="7"/>
      <c r="H414" s="9"/>
      <c r="I414" s="40" t="str">
        <f t="shared" si="27"/>
        <v/>
      </c>
    </row>
    <row r="415" spans="1:9">
      <c r="A415" s="6">
        <f t="shared" si="24"/>
        <v>410</v>
      </c>
      <c r="B415" s="63"/>
      <c r="C415" s="63" t="str">
        <f t="shared" si="25"/>
        <v/>
      </c>
      <c r="D415" s="63" t="str">
        <f t="shared" si="26"/>
        <v/>
      </c>
      <c r="E415" s="7"/>
      <c r="F415" s="7"/>
      <c r="G415" s="7"/>
      <c r="H415" s="9"/>
      <c r="I415" s="40" t="str">
        <f t="shared" si="27"/>
        <v/>
      </c>
    </row>
    <row r="416" spans="1:9">
      <c r="A416" s="6">
        <f t="shared" si="24"/>
        <v>411</v>
      </c>
      <c r="B416" s="63"/>
      <c r="C416" s="63" t="str">
        <f t="shared" si="25"/>
        <v/>
      </c>
      <c r="D416" s="63" t="str">
        <f t="shared" si="26"/>
        <v/>
      </c>
      <c r="E416" s="7"/>
      <c r="F416" s="7"/>
      <c r="G416" s="7"/>
      <c r="H416" s="9"/>
      <c r="I416" s="40" t="str">
        <f t="shared" si="27"/>
        <v/>
      </c>
    </row>
    <row r="417" spans="1:9">
      <c r="A417" s="6">
        <f t="shared" si="24"/>
        <v>412</v>
      </c>
      <c r="B417" s="63"/>
      <c r="C417" s="63" t="str">
        <f t="shared" si="25"/>
        <v/>
      </c>
      <c r="D417" s="63" t="str">
        <f t="shared" si="26"/>
        <v/>
      </c>
      <c r="E417" s="7"/>
      <c r="F417" s="7"/>
      <c r="G417" s="7"/>
      <c r="H417" s="9"/>
      <c r="I417" s="40" t="str">
        <f t="shared" si="27"/>
        <v/>
      </c>
    </row>
    <row r="418" spans="1:9">
      <c r="A418" s="6">
        <f t="shared" si="24"/>
        <v>413</v>
      </c>
      <c r="B418" s="63"/>
      <c r="C418" s="63" t="str">
        <f t="shared" si="25"/>
        <v/>
      </c>
      <c r="D418" s="63" t="str">
        <f t="shared" si="26"/>
        <v/>
      </c>
      <c r="E418" s="7"/>
      <c r="F418" s="7"/>
      <c r="G418" s="7"/>
      <c r="H418" s="9"/>
      <c r="I418" s="40" t="str">
        <f t="shared" si="27"/>
        <v/>
      </c>
    </row>
    <row r="419" spans="1:9">
      <c r="A419" s="6">
        <f t="shared" si="24"/>
        <v>414</v>
      </c>
      <c r="B419" s="63"/>
      <c r="C419" s="63" t="str">
        <f t="shared" si="25"/>
        <v/>
      </c>
      <c r="D419" s="63" t="str">
        <f t="shared" si="26"/>
        <v/>
      </c>
      <c r="E419" s="7"/>
      <c r="F419" s="7"/>
      <c r="G419" s="7"/>
      <c r="H419" s="9"/>
      <c r="I419" s="40" t="str">
        <f t="shared" si="27"/>
        <v/>
      </c>
    </row>
    <row r="420" spans="1:9">
      <c r="A420" s="6">
        <f t="shared" si="24"/>
        <v>415</v>
      </c>
      <c r="B420" s="63"/>
      <c r="C420" s="63" t="str">
        <f t="shared" si="25"/>
        <v/>
      </c>
      <c r="D420" s="63" t="str">
        <f t="shared" si="26"/>
        <v/>
      </c>
      <c r="E420" s="7"/>
      <c r="F420" s="7"/>
      <c r="G420" s="7"/>
      <c r="H420" s="9"/>
      <c r="I420" s="40" t="str">
        <f t="shared" si="27"/>
        <v/>
      </c>
    </row>
    <row r="421" spans="1:9">
      <c r="A421" s="6">
        <f t="shared" si="24"/>
        <v>416</v>
      </c>
      <c r="B421" s="63"/>
      <c r="C421" s="63" t="str">
        <f t="shared" si="25"/>
        <v/>
      </c>
      <c r="D421" s="63" t="str">
        <f t="shared" si="26"/>
        <v/>
      </c>
      <c r="E421" s="7"/>
      <c r="F421" s="7"/>
      <c r="G421" s="7"/>
      <c r="H421" s="9"/>
      <c r="I421" s="40" t="str">
        <f t="shared" si="27"/>
        <v/>
      </c>
    </row>
    <row r="422" spans="1:9">
      <c r="A422" s="6">
        <f t="shared" si="24"/>
        <v>417</v>
      </c>
      <c r="B422" s="63"/>
      <c r="C422" s="63" t="str">
        <f t="shared" si="25"/>
        <v/>
      </c>
      <c r="D422" s="63" t="str">
        <f t="shared" si="26"/>
        <v/>
      </c>
      <c r="E422" s="7"/>
      <c r="F422" s="7"/>
      <c r="G422" s="7"/>
      <c r="H422" s="9"/>
      <c r="I422" s="40" t="str">
        <f t="shared" si="27"/>
        <v/>
      </c>
    </row>
    <row r="423" spans="1:9">
      <c r="A423" s="6">
        <f t="shared" si="24"/>
        <v>418</v>
      </c>
      <c r="B423" s="63"/>
      <c r="C423" s="63" t="str">
        <f t="shared" si="25"/>
        <v/>
      </c>
      <c r="D423" s="63" t="str">
        <f t="shared" si="26"/>
        <v/>
      </c>
      <c r="E423" s="7"/>
      <c r="F423" s="7"/>
      <c r="G423" s="7"/>
      <c r="H423" s="9"/>
      <c r="I423" s="40" t="str">
        <f t="shared" si="27"/>
        <v/>
      </c>
    </row>
    <row r="424" spans="1:9">
      <c r="A424" s="6">
        <f t="shared" si="24"/>
        <v>419</v>
      </c>
      <c r="B424" s="63"/>
      <c r="C424" s="63" t="str">
        <f t="shared" si="25"/>
        <v/>
      </c>
      <c r="D424" s="63" t="str">
        <f t="shared" si="26"/>
        <v/>
      </c>
      <c r="E424" s="7"/>
      <c r="F424" s="7"/>
      <c r="G424" s="7"/>
      <c r="H424" s="9"/>
      <c r="I424" s="40" t="str">
        <f t="shared" si="27"/>
        <v/>
      </c>
    </row>
    <row r="425" spans="1:9">
      <c r="A425" s="6">
        <f t="shared" si="24"/>
        <v>420</v>
      </c>
      <c r="B425" s="63"/>
      <c r="C425" s="63" t="str">
        <f t="shared" si="25"/>
        <v/>
      </c>
      <c r="D425" s="63" t="str">
        <f t="shared" si="26"/>
        <v/>
      </c>
      <c r="E425" s="7"/>
      <c r="F425" s="7"/>
      <c r="G425" s="7"/>
      <c r="H425" s="9"/>
      <c r="I425" s="40" t="str">
        <f t="shared" si="27"/>
        <v/>
      </c>
    </row>
    <row r="426" spans="1:9">
      <c r="A426" s="6">
        <f t="shared" si="24"/>
        <v>421</v>
      </c>
      <c r="B426" s="63"/>
      <c r="C426" s="63" t="str">
        <f t="shared" si="25"/>
        <v/>
      </c>
      <c r="D426" s="63" t="str">
        <f t="shared" si="26"/>
        <v/>
      </c>
      <c r="E426" s="7"/>
      <c r="F426" s="7"/>
      <c r="G426" s="7"/>
      <c r="H426" s="9"/>
      <c r="I426" s="40" t="str">
        <f t="shared" si="27"/>
        <v/>
      </c>
    </row>
    <row r="427" spans="1:9">
      <c r="A427" s="6">
        <f t="shared" si="24"/>
        <v>422</v>
      </c>
      <c r="B427" s="63"/>
      <c r="C427" s="63" t="str">
        <f t="shared" si="25"/>
        <v/>
      </c>
      <c r="D427" s="63" t="str">
        <f t="shared" si="26"/>
        <v/>
      </c>
      <c r="E427" s="7"/>
      <c r="F427" s="7"/>
      <c r="G427" s="7"/>
      <c r="H427" s="9"/>
      <c r="I427" s="40" t="str">
        <f t="shared" si="27"/>
        <v/>
      </c>
    </row>
    <row r="428" spans="1:9">
      <c r="A428" s="6">
        <f t="shared" si="24"/>
        <v>423</v>
      </c>
      <c r="B428" s="63"/>
      <c r="C428" s="63" t="str">
        <f t="shared" si="25"/>
        <v/>
      </c>
      <c r="D428" s="63" t="str">
        <f t="shared" si="26"/>
        <v/>
      </c>
      <c r="E428" s="7"/>
      <c r="F428" s="7"/>
      <c r="G428" s="7"/>
      <c r="H428" s="9"/>
      <c r="I428" s="40" t="str">
        <f t="shared" si="27"/>
        <v/>
      </c>
    </row>
    <row r="429" spans="1:9">
      <c r="A429" s="6">
        <f t="shared" si="24"/>
        <v>424</v>
      </c>
      <c r="B429" s="63"/>
      <c r="C429" s="63" t="str">
        <f t="shared" si="25"/>
        <v/>
      </c>
      <c r="D429" s="63" t="str">
        <f t="shared" si="26"/>
        <v/>
      </c>
      <c r="E429" s="7"/>
      <c r="F429" s="7"/>
      <c r="G429" s="7"/>
      <c r="H429" s="9"/>
      <c r="I429" s="40" t="str">
        <f t="shared" si="27"/>
        <v/>
      </c>
    </row>
    <row r="430" spans="1:9">
      <c r="A430" s="6">
        <f t="shared" si="24"/>
        <v>425</v>
      </c>
      <c r="B430" s="63"/>
      <c r="C430" s="63" t="str">
        <f t="shared" si="25"/>
        <v/>
      </c>
      <c r="D430" s="63" t="str">
        <f t="shared" si="26"/>
        <v/>
      </c>
      <c r="E430" s="7"/>
      <c r="F430" s="7"/>
      <c r="G430" s="7"/>
      <c r="H430" s="9"/>
      <c r="I430" s="40" t="str">
        <f t="shared" si="27"/>
        <v/>
      </c>
    </row>
    <row r="431" spans="1:9">
      <c r="A431" s="6">
        <f t="shared" si="24"/>
        <v>426</v>
      </c>
      <c r="B431" s="63"/>
      <c r="C431" s="63" t="str">
        <f t="shared" si="25"/>
        <v/>
      </c>
      <c r="D431" s="63" t="str">
        <f t="shared" si="26"/>
        <v/>
      </c>
      <c r="E431" s="7"/>
      <c r="F431" s="7"/>
      <c r="G431" s="7"/>
      <c r="H431" s="9"/>
      <c r="I431" s="40" t="str">
        <f t="shared" si="27"/>
        <v/>
      </c>
    </row>
    <row r="432" spans="1:9">
      <c r="A432" s="6">
        <f t="shared" si="24"/>
        <v>427</v>
      </c>
      <c r="B432" s="63"/>
      <c r="C432" s="63" t="str">
        <f t="shared" si="25"/>
        <v/>
      </c>
      <c r="D432" s="63" t="str">
        <f t="shared" si="26"/>
        <v/>
      </c>
      <c r="E432" s="7"/>
      <c r="F432" s="7"/>
      <c r="G432" s="7"/>
      <c r="H432" s="9"/>
      <c r="I432" s="40" t="str">
        <f t="shared" si="27"/>
        <v/>
      </c>
    </row>
    <row r="433" spans="1:9">
      <c r="A433" s="6">
        <f t="shared" si="24"/>
        <v>428</v>
      </c>
      <c r="B433" s="63"/>
      <c r="C433" s="63" t="str">
        <f t="shared" si="25"/>
        <v/>
      </c>
      <c r="D433" s="63" t="str">
        <f t="shared" si="26"/>
        <v/>
      </c>
      <c r="E433" s="7"/>
      <c r="F433" s="7"/>
      <c r="G433" s="7"/>
      <c r="H433" s="9"/>
      <c r="I433" s="40" t="str">
        <f t="shared" si="27"/>
        <v/>
      </c>
    </row>
    <row r="434" spans="1:9">
      <c r="A434" s="6">
        <f t="shared" si="24"/>
        <v>429</v>
      </c>
      <c r="B434" s="63"/>
      <c r="C434" s="63" t="str">
        <f t="shared" si="25"/>
        <v/>
      </c>
      <c r="D434" s="63" t="str">
        <f t="shared" si="26"/>
        <v/>
      </c>
      <c r="E434" s="7"/>
      <c r="F434" s="7"/>
      <c r="G434" s="7"/>
      <c r="H434" s="9"/>
      <c r="I434" s="40" t="str">
        <f t="shared" si="27"/>
        <v/>
      </c>
    </row>
    <row r="435" spans="1:9">
      <c r="A435" s="6">
        <f t="shared" si="24"/>
        <v>430</v>
      </c>
      <c r="B435" s="63"/>
      <c r="C435" s="63" t="str">
        <f t="shared" si="25"/>
        <v/>
      </c>
      <c r="D435" s="63" t="str">
        <f t="shared" si="26"/>
        <v/>
      </c>
      <c r="E435" s="7"/>
      <c r="F435" s="7"/>
      <c r="G435" s="7"/>
      <c r="H435" s="9"/>
      <c r="I435" s="40" t="str">
        <f t="shared" si="27"/>
        <v/>
      </c>
    </row>
    <row r="436" spans="1:9">
      <c r="A436" s="6">
        <f t="shared" si="24"/>
        <v>431</v>
      </c>
      <c r="B436" s="63"/>
      <c r="C436" s="63" t="str">
        <f t="shared" si="25"/>
        <v/>
      </c>
      <c r="D436" s="63" t="str">
        <f t="shared" si="26"/>
        <v/>
      </c>
      <c r="E436" s="7"/>
      <c r="F436" s="7"/>
      <c r="G436" s="7"/>
      <c r="H436" s="9"/>
      <c r="I436" s="40" t="str">
        <f t="shared" si="27"/>
        <v/>
      </c>
    </row>
    <row r="437" spans="1:9">
      <c r="A437" s="6">
        <f t="shared" si="24"/>
        <v>432</v>
      </c>
      <c r="B437" s="63"/>
      <c r="C437" s="63" t="str">
        <f t="shared" si="25"/>
        <v/>
      </c>
      <c r="D437" s="63" t="str">
        <f t="shared" si="26"/>
        <v/>
      </c>
      <c r="E437" s="7"/>
      <c r="F437" s="7"/>
      <c r="G437" s="7"/>
      <c r="H437" s="9"/>
      <c r="I437" s="40" t="str">
        <f t="shared" si="27"/>
        <v/>
      </c>
    </row>
    <row r="438" spans="1:9">
      <c r="A438" s="6">
        <f t="shared" si="24"/>
        <v>433</v>
      </c>
      <c r="B438" s="63"/>
      <c r="C438" s="63" t="str">
        <f t="shared" si="25"/>
        <v/>
      </c>
      <c r="D438" s="63" t="str">
        <f t="shared" si="26"/>
        <v/>
      </c>
      <c r="E438" s="7"/>
      <c r="F438" s="7"/>
      <c r="G438" s="7"/>
      <c r="H438" s="9"/>
      <c r="I438" s="40" t="str">
        <f t="shared" si="27"/>
        <v/>
      </c>
    </row>
    <row r="439" spans="1:9">
      <c r="A439" s="6">
        <f t="shared" si="24"/>
        <v>434</v>
      </c>
      <c r="B439" s="63"/>
      <c r="C439" s="63" t="str">
        <f t="shared" si="25"/>
        <v/>
      </c>
      <c r="D439" s="63" t="str">
        <f t="shared" si="26"/>
        <v/>
      </c>
      <c r="E439" s="7"/>
      <c r="F439" s="7"/>
      <c r="G439" s="7"/>
      <c r="H439" s="9"/>
      <c r="I439" s="40" t="str">
        <f t="shared" si="27"/>
        <v/>
      </c>
    </row>
    <row r="440" spans="1:9">
      <c r="A440" s="6">
        <f t="shared" si="24"/>
        <v>435</v>
      </c>
      <c r="B440" s="63"/>
      <c r="C440" s="63" t="str">
        <f t="shared" si="25"/>
        <v/>
      </c>
      <c r="D440" s="63" t="str">
        <f t="shared" si="26"/>
        <v/>
      </c>
      <c r="E440" s="7"/>
      <c r="F440" s="7"/>
      <c r="G440" s="7"/>
      <c r="H440" s="9"/>
      <c r="I440" s="40" t="str">
        <f t="shared" si="27"/>
        <v/>
      </c>
    </row>
    <row r="441" spans="1:9">
      <c r="A441" s="6">
        <f t="shared" si="24"/>
        <v>436</v>
      </c>
      <c r="B441" s="63"/>
      <c r="C441" s="63" t="str">
        <f t="shared" si="25"/>
        <v/>
      </c>
      <c r="D441" s="63" t="str">
        <f t="shared" si="26"/>
        <v/>
      </c>
      <c r="E441" s="7"/>
      <c r="F441" s="7"/>
      <c r="G441" s="7"/>
      <c r="H441" s="9"/>
      <c r="I441" s="40" t="str">
        <f t="shared" si="27"/>
        <v/>
      </c>
    </row>
    <row r="442" spans="1:9">
      <c r="A442" s="6">
        <f t="shared" si="24"/>
        <v>437</v>
      </c>
      <c r="B442" s="63"/>
      <c r="C442" s="63" t="str">
        <f t="shared" si="25"/>
        <v/>
      </c>
      <c r="D442" s="63" t="str">
        <f t="shared" si="26"/>
        <v/>
      </c>
      <c r="E442" s="7"/>
      <c r="F442" s="7"/>
      <c r="G442" s="7"/>
      <c r="H442" s="9"/>
      <c r="I442" s="40" t="str">
        <f t="shared" si="27"/>
        <v/>
      </c>
    </row>
    <row r="443" spans="1:9">
      <c r="A443" s="6">
        <f t="shared" si="24"/>
        <v>438</v>
      </c>
      <c r="B443" s="63"/>
      <c r="C443" s="63" t="str">
        <f t="shared" si="25"/>
        <v/>
      </c>
      <c r="D443" s="63" t="str">
        <f t="shared" si="26"/>
        <v/>
      </c>
      <c r="E443" s="7"/>
      <c r="F443" s="7"/>
      <c r="G443" s="7"/>
      <c r="H443" s="9"/>
      <c r="I443" s="40" t="str">
        <f t="shared" si="27"/>
        <v/>
      </c>
    </row>
    <row r="444" spans="1:9">
      <c r="A444" s="6">
        <f t="shared" si="24"/>
        <v>439</v>
      </c>
      <c r="B444" s="63"/>
      <c r="C444" s="63" t="str">
        <f t="shared" si="25"/>
        <v/>
      </c>
      <c r="D444" s="63" t="str">
        <f t="shared" si="26"/>
        <v/>
      </c>
      <c r="E444" s="7"/>
      <c r="F444" s="7"/>
      <c r="G444" s="7"/>
      <c r="H444" s="9"/>
      <c r="I444" s="40" t="str">
        <f t="shared" si="27"/>
        <v/>
      </c>
    </row>
    <row r="445" spans="1:9">
      <c r="A445" s="6">
        <f t="shared" si="24"/>
        <v>440</v>
      </c>
      <c r="B445" s="63"/>
      <c r="C445" s="63" t="str">
        <f t="shared" si="25"/>
        <v/>
      </c>
      <c r="D445" s="63" t="str">
        <f t="shared" si="26"/>
        <v/>
      </c>
      <c r="E445" s="7"/>
      <c r="F445" s="7"/>
      <c r="G445" s="7"/>
      <c r="H445" s="9"/>
      <c r="I445" s="40" t="str">
        <f t="shared" si="27"/>
        <v/>
      </c>
    </row>
    <row r="446" spans="1:9">
      <c r="A446" s="6">
        <f t="shared" si="24"/>
        <v>441</v>
      </c>
      <c r="B446" s="63"/>
      <c r="C446" s="63" t="str">
        <f t="shared" si="25"/>
        <v/>
      </c>
      <c r="D446" s="63" t="str">
        <f t="shared" si="26"/>
        <v/>
      </c>
      <c r="E446" s="7"/>
      <c r="F446" s="7"/>
      <c r="G446" s="7"/>
      <c r="H446" s="9"/>
      <c r="I446" s="40" t="str">
        <f t="shared" si="27"/>
        <v/>
      </c>
    </row>
    <row r="447" spans="1:9">
      <c r="A447" s="6">
        <f t="shared" si="24"/>
        <v>442</v>
      </c>
      <c r="B447" s="63"/>
      <c r="C447" s="63" t="str">
        <f t="shared" si="25"/>
        <v/>
      </c>
      <c r="D447" s="63" t="str">
        <f t="shared" si="26"/>
        <v/>
      </c>
      <c r="E447" s="7"/>
      <c r="F447" s="7"/>
      <c r="G447" s="7"/>
      <c r="H447" s="9"/>
      <c r="I447" s="40" t="str">
        <f t="shared" si="27"/>
        <v/>
      </c>
    </row>
    <row r="448" spans="1:9">
      <c r="A448" s="6">
        <f t="shared" si="24"/>
        <v>443</v>
      </c>
      <c r="B448" s="63"/>
      <c r="C448" s="63" t="str">
        <f t="shared" si="25"/>
        <v/>
      </c>
      <c r="D448" s="63" t="str">
        <f t="shared" si="26"/>
        <v/>
      </c>
      <c r="E448" s="7"/>
      <c r="F448" s="7"/>
      <c r="G448" s="7"/>
      <c r="H448" s="9"/>
      <c r="I448" s="40" t="str">
        <f t="shared" si="27"/>
        <v/>
      </c>
    </row>
    <row r="449" spans="1:9">
      <c r="A449" s="6">
        <f t="shared" si="24"/>
        <v>444</v>
      </c>
      <c r="B449" s="63"/>
      <c r="C449" s="63" t="str">
        <f t="shared" si="25"/>
        <v/>
      </c>
      <c r="D449" s="63" t="str">
        <f t="shared" si="26"/>
        <v/>
      </c>
      <c r="E449" s="7"/>
      <c r="F449" s="7"/>
      <c r="G449" s="7"/>
      <c r="H449" s="9"/>
      <c r="I449" s="40" t="str">
        <f t="shared" si="27"/>
        <v/>
      </c>
    </row>
    <row r="450" spans="1:9">
      <c r="A450" s="6">
        <f t="shared" si="24"/>
        <v>445</v>
      </c>
      <c r="B450" s="63"/>
      <c r="C450" s="63" t="str">
        <f t="shared" si="25"/>
        <v/>
      </c>
      <c r="D450" s="63" t="str">
        <f t="shared" si="26"/>
        <v/>
      </c>
      <c r="E450" s="7"/>
      <c r="F450" s="7"/>
      <c r="G450" s="7"/>
      <c r="H450" s="9"/>
      <c r="I450" s="40" t="str">
        <f t="shared" si="27"/>
        <v/>
      </c>
    </row>
    <row r="451" spans="1:9">
      <c r="A451" s="6">
        <f t="shared" si="24"/>
        <v>446</v>
      </c>
      <c r="B451" s="63"/>
      <c r="C451" s="63" t="str">
        <f t="shared" si="25"/>
        <v/>
      </c>
      <c r="D451" s="63" t="str">
        <f t="shared" si="26"/>
        <v/>
      </c>
      <c r="E451" s="7"/>
      <c r="F451" s="7"/>
      <c r="G451" s="7"/>
      <c r="H451" s="9"/>
      <c r="I451" s="40" t="str">
        <f t="shared" si="27"/>
        <v/>
      </c>
    </row>
    <row r="452" spans="1:9">
      <c r="A452" s="6">
        <f t="shared" si="24"/>
        <v>447</v>
      </c>
      <c r="B452" s="63"/>
      <c r="C452" s="63" t="str">
        <f t="shared" si="25"/>
        <v/>
      </c>
      <c r="D452" s="63" t="str">
        <f t="shared" si="26"/>
        <v/>
      </c>
      <c r="E452" s="7"/>
      <c r="F452" s="7"/>
      <c r="G452" s="7"/>
      <c r="H452" s="9"/>
      <c r="I452" s="40" t="str">
        <f t="shared" si="27"/>
        <v/>
      </c>
    </row>
    <row r="453" spans="1:9">
      <c r="A453" s="6">
        <f t="shared" si="24"/>
        <v>448</v>
      </c>
      <c r="B453" s="63"/>
      <c r="C453" s="63" t="str">
        <f t="shared" si="25"/>
        <v/>
      </c>
      <c r="D453" s="63" t="str">
        <f t="shared" si="26"/>
        <v/>
      </c>
      <c r="E453" s="7"/>
      <c r="F453" s="7"/>
      <c r="G453" s="7"/>
      <c r="H453" s="9"/>
      <c r="I453" s="40" t="str">
        <f t="shared" si="27"/>
        <v/>
      </c>
    </row>
    <row r="454" spans="1:9">
      <c r="A454" s="6">
        <f t="shared" si="24"/>
        <v>449</v>
      </c>
      <c r="B454" s="63"/>
      <c r="C454" s="63" t="str">
        <f t="shared" si="25"/>
        <v/>
      </c>
      <c r="D454" s="63" t="str">
        <f t="shared" si="26"/>
        <v/>
      </c>
      <c r="E454" s="7"/>
      <c r="F454" s="7"/>
      <c r="G454" s="7"/>
      <c r="H454" s="9"/>
      <c r="I454" s="40" t="str">
        <f t="shared" si="27"/>
        <v/>
      </c>
    </row>
    <row r="455" spans="1:9">
      <c r="A455" s="6">
        <f t="shared" ref="A455:A518" si="28">ROW(A450)</f>
        <v>450</v>
      </c>
      <c r="B455" s="63"/>
      <c r="C455" s="63" t="str">
        <f t="shared" ref="C455:C518" si="29">IF(B455=0,"",TEXT(B455,"mmmm"))</f>
        <v/>
      </c>
      <c r="D455" s="63" t="str">
        <f t="shared" ref="D455:D518" si="30">IF(B455=0,"",TEXT(B455,"yyyy"))</f>
        <v/>
      </c>
      <c r="E455" s="7"/>
      <c r="F455" s="7"/>
      <c r="G455" s="7"/>
      <c r="H455" s="9"/>
      <c r="I455" s="40" t="str">
        <f t="shared" ref="I455:I518" si="31">IF(H455*G455=0,"",H455*G455)</f>
        <v/>
      </c>
    </row>
    <row r="456" spans="1:9">
      <c r="A456" s="6">
        <f t="shared" si="28"/>
        <v>451</v>
      </c>
      <c r="B456" s="63"/>
      <c r="C456" s="63" t="str">
        <f t="shared" si="29"/>
        <v/>
      </c>
      <c r="D456" s="63" t="str">
        <f t="shared" si="30"/>
        <v/>
      </c>
      <c r="E456" s="7"/>
      <c r="F456" s="7"/>
      <c r="G456" s="7"/>
      <c r="H456" s="9"/>
      <c r="I456" s="40" t="str">
        <f t="shared" si="31"/>
        <v/>
      </c>
    </row>
    <row r="457" spans="1:9">
      <c r="A457" s="6">
        <f t="shared" si="28"/>
        <v>452</v>
      </c>
      <c r="B457" s="63"/>
      <c r="C457" s="63" t="str">
        <f t="shared" si="29"/>
        <v/>
      </c>
      <c r="D457" s="63" t="str">
        <f t="shared" si="30"/>
        <v/>
      </c>
      <c r="E457" s="7"/>
      <c r="F457" s="7"/>
      <c r="G457" s="7"/>
      <c r="H457" s="9"/>
      <c r="I457" s="40" t="str">
        <f t="shared" si="31"/>
        <v/>
      </c>
    </row>
    <row r="458" spans="1:9">
      <c r="A458" s="6">
        <f t="shared" si="28"/>
        <v>453</v>
      </c>
      <c r="B458" s="63"/>
      <c r="C458" s="63" t="str">
        <f t="shared" si="29"/>
        <v/>
      </c>
      <c r="D458" s="63" t="str">
        <f t="shared" si="30"/>
        <v/>
      </c>
      <c r="E458" s="7"/>
      <c r="F458" s="7"/>
      <c r="G458" s="7"/>
      <c r="H458" s="9"/>
      <c r="I458" s="40" t="str">
        <f t="shared" si="31"/>
        <v/>
      </c>
    </row>
    <row r="459" spans="1:9">
      <c r="A459" s="6">
        <f t="shared" si="28"/>
        <v>454</v>
      </c>
      <c r="B459" s="63"/>
      <c r="C459" s="63" t="str">
        <f t="shared" si="29"/>
        <v/>
      </c>
      <c r="D459" s="63" t="str">
        <f t="shared" si="30"/>
        <v/>
      </c>
      <c r="E459" s="7"/>
      <c r="F459" s="7"/>
      <c r="G459" s="7"/>
      <c r="H459" s="9"/>
      <c r="I459" s="40" t="str">
        <f t="shared" si="31"/>
        <v/>
      </c>
    </row>
    <row r="460" spans="1:9">
      <c r="A460" s="6">
        <f t="shared" si="28"/>
        <v>455</v>
      </c>
      <c r="B460" s="63"/>
      <c r="C460" s="63" t="str">
        <f t="shared" si="29"/>
        <v/>
      </c>
      <c r="D460" s="63" t="str">
        <f t="shared" si="30"/>
        <v/>
      </c>
      <c r="E460" s="7"/>
      <c r="F460" s="7"/>
      <c r="G460" s="7"/>
      <c r="H460" s="9"/>
      <c r="I460" s="40" t="str">
        <f t="shared" si="31"/>
        <v/>
      </c>
    </row>
    <row r="461" spans="1:9">
      <c r="A461" s="6">
        <f t="shared" si="28"/>
        <v>456</v>
      </c>
      <c r="B461" s="63"/>
      <c r="C461" s="63" t="str">
        <f t="shared" si="29"/>
        <v/>
      </c>
      <c r="D461" s="63" t="str">
        <f t="shared" si="30"/>
        <v/>
      </c>
      <c r="E461" s="7"/>
      <c r="F461" s="7"/>
      <c r="G461" s="7"/>
      <c r="H461" s="9"/>
      <c r="I461" s="40" t="str">
        <f t="shared" si="31"/>
        <v/>
      </c>
    </row>
    <row r="462" spans="1:9">
      <c r="A462" s="6">
        <f t="shared" si="28"/>
        <v>457</v>
      </c>
      <c r="B462" s="63"/>
      <c r="C462" s="63" t="str">
        <f t="shared" si="29"/>
        <v/>
      </c>
      <c r="D462" s="63" t="str">
        <f t="shared" si="30"/>
        <v/>
      </c>
      <c r="E462" s="7"/>
      <c r="F462" s="7"/>
      <c r="G462" s="7"/>
      <c r="H462" s="9"/>
      <c r="I462" s="40" t="str">
        <f t="shared" si="31"/>
        <v/>
      </c>
    </row>
    <row r="463" spans="1:9">
      <c r="A463" s="6">
        <f t="shared" si="28"/>
        <v>458</v>
      </c>
      <c r="B463" s="63"/>
      <c r="C463" s="63" t="str">
        <f t="shared" si="29"/>
        <v/>
      </c>
      <c r="D463" s="63" t="str">
        <f t="shared" si="30"/>
        <v/>
      </c>
      <c r="E463" s="7"/>
      <c r="F463" s="7"/>
      <c r="G463" s="7"/>
      <c r="H463" s="9"/>
      <c r="I463" s="40" t="str">
        <f t="shared" si="31"/>
        <v/>
      </c>
    </row>
    <row r="464" spans="1:9">
      <c r="A464" s="6">
        <f t="shared" si="28"/>
        <v>459</v>
      </c>
      <c r="B464" s="63"/>
      <c r="C464" s="63" t="str">
        <f t="shared" si="29"/>
        <v/>
      </c>
      <c r="D464" s="63" t="str">
        <f t="shared" si="30"/>
        <v/>
      </c>
      <c r="E464" s="7"/>
      <c r="F464" s="7"/>
      <c r="G464" s="7"/>
      <c r="H464" s="9"/>
      <c r="I464" s="40" t="str">
        <f t="shared" si="31"/>
        <v/>
      </c>
    </row>
    <row r="465" spans="1:9">
      <c r="A465" s="6">
        <f t="shared" si="28"/>
        <v>460</v>
      </c>
      <c r="B465" s="63"/>
      <c r="C465" s="63" t="str">
        <f t="shared" si="29"/>
        <v/>
      </c>
      <c r="D465" s="63" t="str">
        <f t="shared" si="30"/>
        <v/>
      </c>
      <c r="E465" s="7"/>
      <c r="F465" s="7"/>
      <c r="G465" s="7"/>
      <c r="H465" s="9"/>
      <c r="I465" s="40" t="str">
        <f t="shared" si="31"/>
        <v/>
      </c>
    </row>
    <row r="466" spans="1:9">
      <c r="A466" s="6">
        <f t="shared" si="28"/>
        <v>461</v>
      </c>
      <c r="B466" s="63"/>
      <c r="C466" s="63" t="str">
        <f t="shared" si="29"/>
        <v/>
      </c>
      <c r="D466" s="63" t="str">
        <f t="shared" si="30"/>
        <v/>
      </c>
      <c r="E466" s="7"/>
      <c r="F466" s="7"/>
      <c r="G466" s="7"/>
      <c r="H466" s="9"/>
      <c r="I466" s="40" t="str">
        <f t="shared" si="31"/>
        <v/>
      </c>
    </row>
    <row r="467" spans="1:9">
      <c r="A467" s="6">
        <f t="shared" si="28"/>
        <v>462</v>
      </c>
      <c r="B467" s="63"/>
      <c r="C467" s="63" t="str">
        <f t="shared" si="29"/>
        <v/>
      </c>
      <c r="D467" s="63" t="str">
        <f t="shared" si="30"/>
        <v/>
      </c>
      <c r="E467" s="7"/>
      <c r="F467" s="7"/>
      <c r="G467" s="7"/>
      <c r="H467" s="9"/>
      <c r="I467" s="40" t="str">
        <f t="shared" si="31"/>
        <v/>
      </c>
    </row>
    <row r="468" spans="1:9">
      <c r="A468" s="6">
        <f t="shared" si="28"/>
        <v>463</v>
      </c>
      <c r="B468" s="63"/>
      <c r="C468" s="63" t="str">
        <f t="shared" si="29"/>
        <v/>
      </c>
      <c r="D468" s="63" t="str">
        <f t="shared" si="30"/>
        <v/>
      </c>
      <c r="E468" s="7"/>
      <c r="F468" s="7"/>
      <c r="G468" s="7"/>
      <c r="H468" s="9"/>
      <c r="I468" s="40" t="str">
        <f t="shared" si="31"/>
        <v/>
      </c>
    </row>
    <row r="469" spans="1:9">
      <c r="A469" s="6">
        <f t="shared" si="28"/>
        <v>464</v>
      </c>
      <c r="B469" s="63"/>
      <c r="C469" s="63" t="str">
        <f t="shared" si="29"/>
        <v/>
      </c>
      <c r="D469" s="63" t="str">
        <f t="shared" si="30"/>
        <v/>
      </c>
      <c r="E469" s="7"/>
      <c r="F469" s="7"/>
      <c r="G469" s="7"/>
      <c r="H469" s="9"/>
      <c r="I469" s="40" t="str">
        <f t="shared" si="31"/>
        <v/>
      </c>
    </row>
    <row r="470" spans="1:9">
      <c r="A470" s="6">
        <f t="shared" si="28"/>
        <v>465</v>
      </c>
      <c r="B470" s="63"/>
      <c r="C470" s="63" t="str">
        <f t="shared" si="29"/>
        <v/>
      </c>
      <c r="D470" s="63" t="str">
        <f t="shared" si="30"/>
        <v/>
      </c>
      <c r="E470" s="7"/>
      <c r="F470" s="7"/>
      <c r="G470" s="7"/>
      <c r="H470" s="9"/>
      <c r="I470" s="40" t="str">
        <f t="shared" si="31"/>
        <v/>
      </c>
    </row>
    <row r="471" spans="1:9">
      <c r="A471" s="6">
        <f t="shared" si="28"/>
        <v>466</v>
      </c>
      <c r="B471" s="63"/>
      <c r="C471" s="63" t="str">
        <f t="shared" si="29"/>
        <v/>
      </c>
      <c r="D471" s="63" t="str">
        <f t="shared" si="30"/>
        <v/>
      </c>
      <c r="E471" s="7"/>
      <c r="F471" s="7"/>
      <c r="G471" s="7"/>
      <c r="H471" s="9"/>
      <c r="I471" s="40" t="str">
        <f t="shared" si="31"/>
        <v/>
      </c>
    </row>
    <row r="472" spans="1:9">
      <c r="A472" s="6">
        <f t="shared" si="28"/>
        <v>467</v>
      </c>
      <c r="B472" s="63"/>
      <c r="C472" s="63" t="str">
        <f t="shared" si="29"/>
        <v/>
      </c>
      <c r="D472" s="63" t="str">
        <f t="shared" si="30"/>
        <v/>
      </c>
      <c r="E472" s="7"/>
      <c r="F472" s="7"/>
      <c r="G472" s="7"/>
      <c r="H472" s="9"/>
      <c r="I472" s="40" t="str">
        <f t="shared" si="31"/>
        <v/>
      </c>
    </row>
    <row r="473" spans="1:9">
      <c r="A473" s="6">
        <f t="shared" si="28"/>
        <v>468</v>
      </c>
      <c r="B473" s="63"/>
      <c r="C473" s="63" t="str">
        <f t="shared" si="29"/>
        <v/>
      </c>
      <c r="D473" s="63" t="str">
        <f t="shared" si="30"/>
        <v/>
      </c>
      <c r="E473" s="7"/>
      <c r="F473" s="7"/>
      <c r="G473" s="7"/>
      <c r="H473" s="9"/>
      <c r="I473" s="40" t="str">
        <f t="shared" si="31"/>
        <v/>
      </c>
    </row>
    <row r="474" spans="1:9">
      <c r="A474" s="6">
        <f t="shared" si="28"/>
        <v>469</v>
      </c>
      <c r="B474" s="63"/>
      <c r="C474" s="63" t="str">
        <f t="shared" si="29"/>
        <v/>
      </c>
      <c r="D474" s="63" t="str">
        <f t="shared" si="30"/>
        <v/>
      </c>
      <c r="E474" s="7"/>
      <c r="F474" s="7"/>
      <c r="G474" s="7"/>
      <c r="H474" s="9"/>
      <c r="I474" s="40" t="str">
        <f t="shared" si="31"/>
        <v/>
      </c>
    </row>
    <row r="475" spans="1:9">
      <c r="A475" s="6">
        <f t="shared" si="28"/>
        <v>470</v>
      </c>
      <c r="B475" s="63"/>
      <c r="C475" s="63" t="str">
        <f t="shared" si="29"/>
        <v/>
      </c>
      <c r="D475" s="63" t="str">
        <f t="shared" si="30"/>
        <v/>
      </c>
      <c r="E475" s="7"/>
      <c r="F475" s="7"/>
      <c r="G475" s="7"/>
      <c r="H475" s="9"/>
      <c r="I475" s="40" t="str">
        <f t="shared" si="31"/>
        <v/>
      </c>
    </row>
    <row r="476" spans="1:9">
      <c r="A476" s="6">
        <f t="shared" si="28"/>
        <v>471</v>
      </c>
      <c r="B476" s="63"/>
      <c r="C476" s="63" t="str">
        <f t="shared" si="29"/>
        <v/>
      </c>
      <c r="D476" s="63" t="str">
        <f t="shared" si="30"/>
        <v/>
      </c>
      <c r="E476" s="7"/>
      <c r="F476" s="7"/>
      <c r="G476" s="7"/>
      <c r="H476" s="9"/>
      <c r="I476" s="40" t="str">
        <f t="shared" si="31"/>
        <v/>
      </c>
    </row>
    <row r="477" spans="1:9">
      <c r="A477" s="6">
        <f t="shared" si="28"/>
        <v>472</v>
      </c>
      <c r="B477" s="63"/>
      <c r="C477" s="63" t="str">
        <f t="shared" si="29"/>
        <v/>
      </c>
      <c r="D477" s="63" t="str">
        <f t="shared" si="30"/>
        <v/>
      </c>
      <c r="E477" s="7"/>
      <c r="F477" s="7"/>
      <c r="G477" s="7"/>
      <c r="H477" s="9"/>
      <c r="I477" s="40" t="str">
        <f t="shared" si="31"/>
        <v/>
      </c>
    </row>
    <row r="478" spans="1:9">
      <c r="A478" s="6">
        <f t="shared" si="28"/>
        <v>473</v>
      </c>
      <c r="B478" s="63"/>
      <c r="C478" s="63" t="str">
        <f t="shared" si="29"/>
        <v/>
      </c>
      <c r="D478" s="63" t="str">
        <f t="shared" si="30"/>
        <v/>
      </c>
      <c r="E478" s="7"/>
      <c r="F478" s="7"/>
      <c r="G478" s="7"/>
      <c r="H478" s="9"/>
      <c r="I478" s="40" t="str">
        <f t="shared" si="31"/>
        <v/>
      </c>
    </row>
    <row r="479" spans="1:9">
      <c r="A479" s="6">
        <f t="shared" si="28"/>
        <v>474</v>
      </c>
      <c r="B479" s="63"/>
      <c r="C479" s="63" t="str">
        <f t="shared" si="29"/>
        <v/>
      </c>
      <c r="D479" s="63" t="str">
        <f t="shared" si="30"/>
        <v/>
      </c>
      <c r="E479" s="7"/>
      <c r="F479" s="7"/>
      <c r="G479" s="7"/>
      <c r="H479" s="9"/>
      <c r="I479" s="40" t="str">
        <f t="shared" si="31"/>
        <v/>
      </c>
    </row>
    <row r="480" spans="1:9">
      <c r="A480" s="6">
        <f t="shared" si="28"/>
        <v>475</v>
      </c>
      <c r="B480" s="63"/>
      <c r="C480" s="63" t="str">
        <f t="shared" si="29"/>
        <v/>
      </c>
      <c r="D480" s="63" t="str">
        <f t="shared" si="30"/>
        <v/>
      </c>
      <c r="E480" s="7"/>
      <c r="F480" s="7"/>
      <c r="G480" s="7"/>
      <c r="H480" s="9"/>
      <c r="I480" s="40" t="str">
        <f t="shared" si="31"/>
        <v/>
      </c>
    </row>
    <row r="481" spans="1:9">
      <c r="A481" s="6">
        <f t="shared" si="28"/>
        <v>476</v>
      </c>
      <c r="B481" s="63"/>
      <c r="C481" s="63" t="str">
        <f t="shared" si="29"/>
        <v/>
      </c>
      <c r="D481" s="63" t="str">
        <f t="shared" si="30"/>
        <v/>
      </c>
      <c r="E481" s="7"/>
      <c r="F481" s="7"/>
      <c r="G481" s="7"/>
      <c r="H481" s="9"/>
      <c r="I481" s="40" t="str">
        <f t="shared" si="31"/>
        <v/>
      </c>
    </row>
    <row r="482" spans="1:9">
      <c r="A482" s="6">
        <f t="shared" si="28"/>
        <v>477</v>
      </c>
      <c r="B482" s="63"/>
      <c r="C482" s="63" t="str">
        <f t="shared" si="29"/>
        <v/>
      </c>
      <c r="D482" s="63" t="str">
        <f t="shared" si="30"/>
        <v/>
      </c>
      <c r="E482" s="7"/>
      <c r="F482" s="7"/>
      <c r="G482" s="7"/>
      <c r="H482" s="9"/>
      <c r="I482" s="40" t="str">
        <f t="shared" si="31"/>
        <v/>
      </c>
    </row>
    <row r="483" spans="1:9">
      <c r="A483" s="6">
        <f t="shared" si="28"/>
        <v>478</v>
      </c>
      <c r="B483" s="63"/>
      <c r="C483" s="63" t="str">
        <f t="shared" si="29"/>
        <v/>
      </c>
      <c r="D483" s="63" t="str">
        <f t="shared" si="30"/>
        <v/>
      </c>
      <c r="E483" s="7"/>
      <c r="F483" s="7"/>
      <c r="G483" s="7"/>
      <c r="H483" s="9"/>
      <c r="I483" s="40" t="str">
        <f t="shared" si="31"/>
        <v/>
      </c>
    </row>
    <row r="484" spans="1:9">
      <c r="A484" s="6">
        <f t="shared" si="28"/>
        <v>479</v>
      </c>
      <c r="B484" s="63"/>
      <c r="C484" s="63" t="str">
        <f t="shared" si="29"/>
        <v/>
      </c>
      <c r="D484" s="63" t="str">
        <f t="shared" si="30"/>
        <v/>
      </c>
      <c r="E484" s="7"/>
      <c r="F484" s="7"/>
      <c r="G484" s="7"/>
      <c r="H484" s="9"/>
      <c r="I484" s="40" t="str">
        <f t="shared" si="31"/>
        <v/>
      </c>
    </row>
    <row r="485" spans="1:9">
      <c r="A485" s="6">
        <f t="shared" si="28"/>
        <v>480</v>
      </c>
      <c r="B485" s="63"/>
      <c r="C485" s="63" t="str">
        <f t="shared" si="29"/>
        <v/>
      </c>
      <c r="D485" s="63" t="str">
        <f t="shared" si="30"/>
        <v/>
      </c>
      <c r="E485" s="7"/>
      <c r="F485" s="7"/>
      <c r="G485" s="7"/>
      <c r="H485" s="9"/>
      <c r="I485" s="40" t="str">
        <f t="shared" si="31"/>
        <v/>
      </c>
    </row>
    <row r="486" spans="1:9">
      <c r="A486" s="6">
        <f t="shared" si="28"/>
        <v>481</v>
      </c>
      <c r="B486" s="63"/>
      <c r="C486" s="63" t="str">
        <f t="shared" si="29"/>
        <v/>
      </c>
      <c r="D486" s="63" t="str">
        <f t="shared" si="30"/>
        <v/>
      </c>
      <c r="E486" s="7"/>
      <c r="F486" s="7"/>
      <c r="G486" s="7"/>
      <c r="H486" s="9"/>
      <c r="I486" s="40" t="str">
        <f t="shared" si="31"/>
        <v/>
      </c>
    </row>
    <row r="487" spans="1:9">
      <c r="A487" s="6">
        <f t="shared" si="28"/>
        <v>482</v>
      </c>
      <c r="B487" s="63"/>
      <c r="C487" s="63" t="str">
        <f t="shared" si="29"/>
        <v/>
      </c>
      <c r="D487" s="63" t="str">
        <f t="shared" si="30"/>
        <v/>
      </c>
      <c r="E487" s="7"/>
      <c r="F487" s="7"/>
      <c r="G487" s="7"/>
      <c r="H487" s="9"/>
      <c r="I487" s="40" t="str">
        <f t="shared" si="31"/>
        <v/>
      </c>
    </row>
    <row r="488" spans="1:9">
      <c r="A488" s="6">
        <f t="shared" si="28"/>
        <v>483</v>
      </c>
      <c r="B488" s="63"/>
      <c r="C488" s="63" t="str">
        <f t="shared" si="29"/>
        <v/>
      </c>
      <c r="D488" s="63" t="str">
        <f t="shared" si="30"/>
        <v/>
      </c>
      <c r="E488" s="7"/>
      <c r="F488" s="7"/>
      <c r="G488" s="7"/>
      <c r="H488" s="9"/>
      <c r="I488" s="40" t="str">
        <f t="shared" si="31"/>
        <v/>
      </c>
    </row>
    <row r="489" spans="1:9">
      <c r="A489" s="6">
        <f t="shared" si="28"/>
        <v>484</v>
      </c>
      <c r="B489" s="63"/>
      <c r="C489" s="63" t="str">
        <f t="shared" si="29"/>
        <v/>
      </c>
      <c r="D489" s="63" t="str">
        <f t="shared" si="30"/>
        <v/>
      </c>
      <c r="E489" s="7"/>
      <c r="F489" s="7"/>
      <c r="G489" s="7"/>
      <c r="H489" s="9"/>
      <c r="I489" s="40" t="str">
        <f t="shared" si="31"/>
        <v/>
      </c>
    </row>
    <row r="490" spans="1:9">
      <c r="A490" s="6">
        <f t="shared" si="28"/>
        <v>485</v>
      </c>
      <c r="B490" s="63"/>
      <c r="C490" s="63" t="str">
        <f t="shared" si="29"/>
        <v/>
      </c>
      <c r="D490" s="63" t="str">
        <f t="shared" si="30"/>
        <v/>
      </c>
      <c r="E490" s="7"/>
      <c r="F490" s="7"/>
      <c r="G490" s="7"/>
      <c r="H490" s="9"/>
      <c r="I490" s="40" t="str">
        <f t="shared" si="31"/>
        <v/>
      </c>
    </row>
    <row r="491" spans="1:9">
      <c r="A491" s="6">
        <f t="shared" si="28"/>
        <v>486</v>
      </c>
      <c r="B491" s="63"/>
      <c r="C491" s="63" t="str">
        <f t="shared" si="29"/>
        <v/>
      </c>
      <c r="D491" s="63" t="str">
        <f t="shared" si="30"/>
        <v/>
      </c>
      <c r="E491" s="7"/>
      <c r="F491" s="7"/>
      <c r="G491" s="7"/>
      <c r="H491" s="9"/>
      <c r="I491" s="40" t="str">
        <f t="shared" si="31"/>
        <v/>
      </c>
    </row>
    <row r="492" spans="1:9">
      <c r="A492" s="6">
        <f t="shared" si="28"/>
        <v>487</v>
      </c>
      <c r="B492" s="63"/>
      <c r="C492" s="63" t="str">
        <f t="shared" si="29"/>
        <v/>
      </c>
      <c r="D492" s="63" t="str">
        <f t="shared" si="30"/>
        <v/>
      </c>
      <c r="E492" s="7"/>
      <c r="F492" s="7"/>
      <c r="G492" s="7"/>
      <c r="H492" s="9"/>
      <c r="I492" s="40" t="str">
        <f t="shared" si="31"/>
        <v/>
      </c>
    </row>
    <row r="493" spans="1:9">
      <c r="A493" s="6">
        <f t="shared" si="28"/>
        <v>488</v>
      </c>
      <c r="B493" s="63"/>
      <c r="C493" s="63" t="str">
        <f t="shared" si="29"/>
        <v/>
      </c>
      <c r="D493" s="63" t="str">
        <f t="shared" si="30"/>
        <v/>
      </c>
      <c r="E493" s="7"/>
      <c r="F493" s="7"/>
      <c r="G493" s="7"/>
      <c r="H493" s="9"/>
      <c r="I493" s="40" t="str">
        <f t="shared" si="31"/>
        <v/>
      </c>
    </row>
    <row r="494" spans="1:9">
      <c r="A494" s="6">
        <f t="shared" si="28"/>
        <v>489</v>
      </c>
      <c r="B494" s="63"/>
      <c r="C494" s="63" t="str">
        <f t="shared" si="29"/>
        <v/>
      </c>
      <c r="D494" s="63" t="str">
        <f t="shared" si="30"/>
        <v/>
      </c>
      <c r="E494" s="7"/>
      <c r="F494" s="7"/>
      <c r="G494" s="7"/>
      <c r="H494" s="9"/>
      <c r="I494" s="40" t="str">
        <f t="shared" si="31"/>
        <v/>
      </c>
    </row>
    <row r="495" spans="1:9">
      <c r="A495" s="6">
        <f t="shared" si="28"/>
        <v>490</v>
      </c>
      <c r="B495" s="63"/>
      <c r="C495" s="63" t="str">
        <f t="shared" si="29"/>
        <v/>
      </c>
      <c r="D495" s="63" t="str">
        <f t="shared" si="30"/>
        <v/>
      </c>
      <c r="E495" s="7"/>
      <c r="F495" s="7"/>
      <c r="G495" s="7"/>
      <c r="H495" s="9"/>
      <c r="I495" s="40" t="str">
        <f t="shared" si="31"/>
        <v/>
      </c>
    </row>
    <row r="496" spans="1:9">
      <c r="A496" s="6">
        <f t="shared" si="28"/>
        <v>491</v>
      </c>
      <c r="B496" s="63"/>
      <c r="C496" s="63" t="str">
        <f t="shared" si="29"/>
        <v/>
      </c>
      <c r="D496" s="63" t="str">
        <f t="shared" si="30"/>
        <v/>
      </c>
      <c r="E496" s="7"/>
      <c r="F496" s="7"/>
      <c r="G496" s="7"/>
      <c r="H496" s="9"/>
      <c r="I496" s="40" t="str">
        <f t="shared" si="31"/>
        <v/>
      </c>
    </row>
    <row r="497" spans="1:9">
      <c r="A497" s="6">
        <f t="shared" si="28"/>
        <v>492</v>
      </c>
      <c r="B497" s="63"/>
      <c r="C497" s="63" t="str">
        <f t="shared" si="29"/>
        <v/>
      </c>
      <c r="D497" s="63" t="str">
        <f t="shared" si="30"/>
        <v/>
      </c>
      <c r="E497" s="7"/>
      <c r="F497" s="7"/>
      <c r="G497" s="7"/>
      <c r="H497" s="9"/>
      <c r="I497" s="40" t="str">
        <f t="shared" si="31"/>
        <v/>
      </c>
    </row>
    <row r="498" spans="1:9">
      <c r="A498" s="6">
        <f t="shared" si="28"/>
        <v>493</v>
      </c>
      <c r="B498" s="63"/>
      <c r="C498" s="63" t="str">
        <f t="shared" si="29"/>
        <v/>
      </c>
      <c r="D498" s="63" t="str">
        <f t="shared" si="30"/>
        <v/>
      </c>
      <c r="E498" s="7"/>
      <c r="F498" s="7"/>
      <c r="G498" s="7"/>
      <c r="H498" s="9"/>
      <c r="I498" s="40" t="str">
        <f t="shared" si="31"/>
        <v/>
      </c>
    </row>
    <row r="499" spans="1:9">
      <c r="A499" s="6">
        <f t="shared" si="28"/>
        <v>494</v>
      </c>
      <c r="B499" s="63"/>
      <c r="C499" s="63" t="str">
        <f t="shared" si="29"/>
        <v/>
      </c>
      <c r="D499" s="63" t="str">
        <f t="shared" si="30"/>
        <v/>
      </c>
      <c r="E499" s="7"/>
      <c r="F499" s="7"/>
      <c r="G499" s="7"/>
      <c r="H499" s="9"/>
      <c r="I499" s="40" t="str">
        <f t="shared" si="31"/>
        <v/>
      </c>
    </row>
    <row r="500" spans="1:9">
      <c r="A500" s="6">
        <f t="shared" si="28"/>
        <v>495</v>
      </c>
      <c r="B500" s="63"/>
      <c r="C500" s="63" t="str">
        <f t="shared" si="29"/>
        <v/>
      </c>
      <c r="D500" s="63" t="str">
        <f t="shared" si="30"/>
        <v/>
      </c>
      <c r="E500" s="7"/>
      <c r="F500" s="7"/>
      <c r="G500" s="7"/>
      <c r="H500" s="9"/>
      <c r="I500" s="40" t="str">
        <f t="shared" si="31"/>
        <v/>
      </c>
    </row>
    <row r="501" spans="1:9">
      <c r="A501" s="6">
        <f t="shared" si="28"/>
        <v>496</v>
      </c>
      <c r="B501" s="63"/>
      <c r="C501" s="63" t="str">
        <f t="shared" si="29"/>
        <v/>
      </c>
      <c r="D501" s="63" t="str">
        <f t="shared" si="30"/>
        <v/>
      </c>
      <c r="E501" s="7"/>
      <c r="F501" s="7"/>
      <c r="G501" s="7"/>
      <c r="H501" s="9"/>
      <c r="I501" s="40" t="str">
        <f t="shared" si="31"/>
        <v/>
      </c>
    </row>
    <row r="502" spans="1:9">
      <c r="A502" s="6">
        <f t="shared" si="28"/>
        <v>497</v>
      </c>
      <c r="B502" s="63"/>
      <c r="C502" s="63" t="str">
        <f t="shared" si="29"/>
        <v/>
      </c>
      <c r="D502" s="63" t="str">
        <f t="shared" si="30"/>
        <v/>
      </c>
      <c r="E502" s="7"/>
      <c r="F502" s="7"/>
      <c r="G502" s="7"/>
      <c r="H502" s="9"/>
      <c r="I502" s="40" t="str">
        <f t="shared" si="31"/>
        <v/>
      </c>
    </row>
    <row r="503" spans="1:9">
      <c r="A503" s="6">
        <f t="shared" si="28"/>
        <v>498</v>
      </c>
      <c r="B503" s="63"/>
      <c r="C503" s="63" t="str">
        <f t="shared" si="29"/>
        <v/>
      </c>
      <c r="D503" s="63" t="str">
        <f t="shared" si="30"/>
        <v/>
      </c>
      <c r="E503" s="7"/>
      <c r="F503" s="7"/>
      <c r="G503" s="7"/>
      <c r="H503" s="9"/>
      <c r="I503" s="40" t="str">
        <f t="shared" si="31"/>
        <v/>
      </c>
    </row>
    <row r="504" spans="1:9">
      <c r="A504" s="6">
        <f t="shared" si="28"/>
        <v>499</v>
      </c>
      <c r="B504" s="63"/>
      <c r="C504" s="63" t="str">
        <f t="shared" si="29"/>
        <v/>
      </c>
      <c r="D504" s="63" t="str">
        <f t="shared" si="30"/>
        <v/>
      </c>
      <c r="E504" s="7"/>
      <c r="F504" s="7"/>
      <c r="G504" s="7"/>
      <c r="H504" s="9"/>
      <c r="I504" s="40" t="str">
        <f t="shared" si="31"/>
        <v/>
      </c>
    </row>
    <row r="505" spans="1:9">
      <c r="A505" s="6">
        <f t="shared" si="28"/>
        <v>500</v>
      </c>
      <c r="B505" s="63"/>
      <c r="C505" s="63" t="str">
        <f t="shared" si="29"/>
        <v/>
      </c>
      <c r="D505" s="63" t="str">
        <f t="shared" si="30"/>
        <v/>
      </c>
      <c r="E505" s="7"/>
      <c r="F505" s="7"/>
      <c r="G505" s="7"/>
      <c r="H505" s="9"/>
      <c r="I505" s="40" t="str">
        <f t="shared" si="31"/>
        <v/>
      </c>
    </row>
    <row r="506" spans="1:9">
      <c r="A506" s="6">
        <f t="shared" si="28"/>
        <v>501</v>
      </c>
      <c r="B506" s="63"/>
      <c r="C506" s="63" t="str">
        <f t="shared" si="29"/>
        <v/>
      </c>
      <c r="D506" s="63" t="str">
        <f t="shared" si="30"/>
        <v/>
      </c>
      <c r="E506" s="7"/>
      <c r="F506" s="7"/>
      <c r="G506" s="7"/>
      <c r="H506" s="9"/>
      <c r="I506" s="40" t="str">
        <f t="shared" si="31"/>
        <v/>
      </c>
    </row>
    <row r="507" spans="1:9">
      <c r="A507" s="6">
        <f t="shared" si="28"/>
        <v>502</v>
      </c>
      <c r="B507" s="63"/>
      <c r="C507" s="63" t="str">
        <f t="shared" si="29"/>
        <v/>
      </c>
      <c r="D507" s="63" t="str">
        <f t="shared" si="30"/>
        <v/>
      </c>
      <c r="E507" s="7"/>
      <c r="F507" s="7"/>
      <c r="G507" s="7"/>
      <c r="H507" s="9"/>
      <c r="I507" s="40" t="str">
        <f t="shared" si="31"/>
        <v/>
      </c>
    </row>
    <row r="508" spans="1:9">
      <c r="A508" s="6">
        <f t="shared" si="28"/>
        <v>503</v>
      </c>
      <c r="B508" s="63"/>
      <c r="C508" s="63" t="str">
        <f t="shared" si="29"/>
        <v/>
      </c>
      <c r="D508" s="63" t="str">
        <f t="shared" si="30"/>
        <v/>
      </c>
      <c r="E508" s="7"/>
      <c r="F508" s="7"/>
      <c r="G508" s="7"/>
      <c r="H508" s="9"/>
      <c r="I508" s="40" t="str">
        <f t="shared" si="31"/>
        <v/>
      </c>
    </row>
    <row r="509" spans="1:9">
      <c r="A509" s="6">
        <f t="shared" si="28"/>
        <v>504</v>
      </c>
      <c r="B509" s="63"/>
      <c r="C509" s="63" t="str">
        <f t="shared" si="29"/>
        <v/>
      </c>
      <c r="D509" s="63" t="str">
        <f t="shared" si="30"/>
        <v/>
      </c>
      <c r="E509" s="7"/>
      <c r="F509" s="7"/>
      <c r="G509" s="7"/>
      <c r="H509" s="9"/>
      <c r="I509" s="40" t="str">
        <f t="shared" si="31"/>
        <v/>
      </c>
    </row>
    <row r="510" spans="1:9">
      <c r="A510" s="6">
        <f t="shared" si="28"/>
        <v>505</v>
      </c>
      <c r="B510" s="63"/>
      <c r="C510" s="63" t="str">
        <f t="shared" si="29"/>
        <v/>
      </c>
      <c r="D510" s="63" t="str">
        <f t="shared" si="30"/>
        <v/>
      </c>
      <c r="E510" s="7"/>
      <c r="F510" s="7"/>
      <c r="G510" s="7"/>
      <c r="H510" s="9"/>
      <c r="I510" s="40" t="str">
        <f t="shared" si="31"/>
        <v/>
      </c>
    </row>
    <row r="511" spans="1:9">
      <c r="A511" s="6">
        <f t="shared" si="28"/>
        <v>506</v>
      </c>
      <c r="B511" s="63"/>
      <c r="C511" s="63" t="str">
        <f t="shared" si="29"/>
        <v/>
      </c>
      <c r="D511" s="63" t="str">
        <f t="shared" si="30"/>
        <v/>
      </c>
      <c r="E511" s="7"/>
      <c r="F511" s="7"/>
      <c r="G511" s="7"/>
      <c r="H511" s="9"/>
      <c r="I511" s="40" t="str">
        <f t="shared" si="31"/>
        <v/>
      </c>
    </row>
    <row r="512" spans="1:9">
      <c r="A512" s="6">
        <f t="shared" si="28"/>
        <v>507</v>
      </c>
      <c r="B512" s="63"/>
      <c r="C512" s="63" t="str">
        <f t="shared" si="29"/>
        <v/>
      </c>
      <c r="D512" s="63" t="str">
        <f t="shared" si="30"/>
        <v/>
      </c>
      <c r="E512" s="7"/>
      <c r="F512" s="7"/>
      <c r="G512" s="7"/>
      <c r="H512" s="9"/>
      <c r="I512" s="40" t="str">
        <f t="shared" si="31"/>
        <v/>
      </c>
    </row>
    <row r="513" spans="1:9">
      <c r="A513" s="6">
        <f t="shared" si="28"/>
        <v>508</v>
      </c>
      <c r="B513" s="63"/>
      <c r="C513" s="63" t="str">
        <f t="shared" si="29"/>
        <v/>
      </c>
      <c r="D513" s="63" t="str">
        <f t="shared" si="30"/>
        <v/>
      </c>
      <c r="E513" s="7"/>
      <c r="F513" s="7"/>
      <c r="G513" s="7"/>
      <c r="H513" s="9"/>
      <c r="I513" s="40" t="str">
        <f t="shared" si="31"/>
        <v/>
      </c>
    </row>
    <row r="514" spans="1:9">
      <c r="A514" s="6">
        <f t="shared" si="28"/>
        <v>509</v>
      </c>
      <c r="B514" s="63"/>
      <c r="C514" s="63" t="str">
        <f t="shared" si="29"/>
        <v/>
      </c>
      <c r="D514" s="63" t="str">
        <f t="shared" si="30"/>
        <v/>
      </c>
      <c r="E514" s="7"/>
      <c r="F514" s="7"/>
      <c r="G514" s="7"/>
      <c r="H514" s="9"/>
      <c r="I514" s="40" t="str">
        <f t="shared" si="31"/>
        <v/>
      </c>
    </row>
    <row r="515" spans="1:9">
      <c r="A515" s="6">
        <f t="shared" si="28"/>
        <v>510</v>
      </c>
      <c r="B515" s="63"/>
      <c r="C515" s="63" t="str">
        <f t="shared" si="29"/>
        <v/>
      </c>
      <c r="D515" s="63" t="str">
        <f t="shared" si="30"/>
        <v/>
      </c>
      <c r="E515" s="7"/>
      <c r="F515" s="7"/>
      <c r="G515" s="7"/>
      <c r="H515" s="9"/>
      <c r="I515" s="40" t="str">
        <f t="shared" si="31"/>
        <v/>
      </c>
    </row>
    <row r="516" spans="1:9">
      <c r="A516" s="6">
        <f t="shared" si="28"/>
        <v>511</v>
      </c>
      <c r="B516" s="63"/>
      <c r="C516" s="63" t="str">
        <f t="shared" si="29"/>
        <v/>
      </c>
      <c r="D516" s="63" t="str">
        <f t="shared" si="30"/>
        <v/>
      </c>
      <c r="E516" s="7"/>
      <c r="F516" s="7"/>
      <c r="G516" s="7"/>
      <c r="H516" s="9"/>
      <c r="I516" s="40" t="str">
        <f t="shared" si="31"/>
        <v/>
      </c>
    </row>
    <row r="517" spans="1:9">
      <c r="A517" s="6">
        <f t="shared" si="28"/>
        <v>512</v>
      </c>
      <c r="B517" s="63"/>
      <c r="C517" s="63" t="str">
        <f t="shared" si="29"/>
        <v/>
      </c>
      <c r="D517" s="63" t="str">
        <f t="shared" si="30"/>
        <v/>
      </c>
      <c r="E517" s="7"/>
      <c r="F517" s="7"/>
      <c r="G517" s="7"/>
      <c r="H517" s="9"/>
      <c r="I517" s="40" t="str">
        <f t="shared" si="31"/>
        <v/>
      </c>
    </row>
    <row r="518" spans="1:9">
      <c r="A518" s="6">
        <f t="shared" si="28"/>
        <v>513</v>
      </c>
      <c r="B518" s="63"/>
      <c r="C518" s="63" t="str">
        <f t="shared" si="29"/>
        <v/>
      </c>
      <c r="D518" s="63" t="str">
        <f t="shared" si="30"/>
        <v/>
      </c>
      <c r="E518" s="7"/>
      <c r="F518" s="7"/>
      <c r="G518" s="7"/>
      <c r="H518" s="9"/>
      <c r="I518" s="40" t="str">
        <f t="shared" si="31"/>
        <v/>
      </c>
    </row>
    <row r="519" spans="1:9">
      <c r="A519" s="6">
        <f t="shared" ref="A519:A582" si="32">ROW(A514)</f>
        <v>514</v>
      </c>
      <c r="B519" s="63"/>
      <c r="C519" s="63" t="str">
        <f t="shared" ref="C519:C582" si="33">IF(B519=0,"",TEXT(B519,"mmmm"))</f>
        <v/>
      </c>
      <c r="D519" s="63" t="str">
        <f t="shared" ref="D519:D582" si="34">IF(B519=0,"",TEXT(B519,"yyyy"))</f>
        <v/>
      </c>
      <c r="E519" s="7"/>
      <c r="F519" s="7"/>
      <c r="G519" s="7"/>
      <c r="H519" s="9"/>
      <c r="I519" s="40" t="str">
        <f t="shared" ref="I519:I582" si="35">IF(H519*G519=0,"",H519*G519)</f>
        <v/>
      </c>
    </row>
    <row r="520" spans="1:9">
      <c r="A520" s="6">
        <f t="shared" si="32"/>
        <v>515</v>
      </c>
      <c r="B520" s="63"/>
      <c r="C520" s="63" t="str">
        <f t="shared" si="33"/>
        <v/>
      </c>
      <c r="D520" s="63" t="str">
        <f t="shared" si="34"/>
        <v/>
      </c>
      <c r="E520" s="7"/>
      <c r="F520" s="7"/>
      <c r="G520" s="7"/>
      <c r="H520" s="9"/>
      <c r="I520" s="40" t="str">
        <f t="shared" si="35"/>
        <v/>
      </c>
    </row>
    <row r="521" spans="1:9">
      <c r="A521" s="6">
        <f t="shared" si="32"/>
        <v>516</v>
      </c>
      <c r="B521" s="63"/>
      <c r="C521" s="63" t="str">
        <f t="shared" si="33"/>
        <v/>
      </c>
      <c r="D521" s="63" t="str">
        <f t="shared" si="34"/>
        <v/>
      </c>
      <c r="E521" s="7"/>
      <c r="F521" s="7"/>
      <c r="G521" s="7"/>
      <c r="H521" s="9"/>
      <c r="I521" s="40" t="str">
        <f t="shared" si="35"/>
        <v/>
      </c>
    </row>
    <row r="522" spans="1:9">
      <c r="A522" s="6">
        <f t="shared" si="32"/>
        <v>517</v>
      </c>
      <c r="B522" s="63"/>
      <c r="C522" s="63" t="str">
        <f t="shared" si="33"/>
        <v/>
      </c>
      <c r="D522" s="63" t="str">
        <f t="shared" si="34"/>
        <v/>
      </c>
      <c r="E522" s="7"/>
      <c r="F522" s="7"/>
      <c r="G522" s="7"/>
      <c r="H522" s="9"/>
      <c r="I522" s="40" t="str">
        <f t="shared" si="35"/>
        <v/>
      </c>
    </row>
    <row r="523" spans="1:9">
      <c r="A523" s="6">
        <f t="shared" si="32"/>
        <v>518</v>
      </c>
      <c r="B523" s="63"/>
      <c r="C523" s="63" t="str">
        <f t="shared" si="33"/>
        <v/>
      </c>
      <c r="D523" s="63" t="str">
        <f t="shared" si="34"/>
        <v/>
      </c>
      <c r="E523" s="7"/>
      <c r="F523" s="7"/>
      <c r="G523" s="7"/>
      <c r="H523" s="9"/>
      <c r="I523" s="40" t="str">
        <f t="shared" si="35"/>
        <v/>
      </c>
    </row>
    <row r="524" spans="1:9">
      <c r="A524" s="6">
        <f t="shared" si="32"/>
        <v>519</v>
      </c>
      <c r="B524" s="63"/>
      <c r="C524" s="63" t="str">
        <f t="shared" si="33"/>
        <v/>
      </c>
      <c r="D524" s="63" t="str">
        <f t="shared" si="34"/>
        <v/>
      </c>
      <c r="E524" s="7"/>
      <c r="F524" s="7"/>
      <c r="G524" s="7"/>
      <c r="H524" s="9"/>
      <c r="I524" s="40" t="str">
        <f t="shared" si="35"/>
        <v/>
      </c>
    </row>
    <row r="525" spans="1:9">
      <c r="A525" s="6">
        <f t="shared" si="32"/>
        <v>520</v>
      </c>
      <c r="B525" s="63"/>
      <c r="C525" s="63" t="str">
        <f t="shared" si="33"/>
        <v/>
      </c>
      <c r="D525" s="63" t="str">
        <f t="shared" si="34"/>
        <v/>
      </c>
      <c r="E525" s="7"/>
      <c r="F525" s="7"/>
      <c r="G525" s="7"/>
      <c r="H525" s="9"/>
      <c r="I525" s="40" t="str">
        <f t="shared" si="35"/>
        <v/>
      </c>
    </row>
    <row r="526" spans="1:9">
      <c r="A526" s="6">
        <f t="shared" si="32"/>
        <v>521</v>
      </c>
      <c r="B526" s="63"/>
      <c r="C526" s="63" t="str">
        <f t="shared" si="33"/>
        <v/>
      </c>
      <c r="D526" s="63" t="str">
        <f t="shared" si="34"/>
        <v/>
      </c>
      <c r="E526" s="7"/>
      <c r="F526" s="7"/>
      <c r="G526" s="7"/>
      <c r="H526" s="9"/>
      <c r="I526" s="40" t="str">
        <f t="shared" si="35"/>
        <v/>
      </c>
    </row>
    <row r="527" spans="1:9">
      <c r="A527" s="6">
        <f t="shared" si="32"/>
        <v>522</v>
      </c>
      <c r="B527" s="63"/>
      <c r="C527" s="63" t="str">
        <f t="shared" si="33"/>
        <v/>
      </c>
      <c r="D527" s="63" t="str">
        <f t="shared" si="34"/>
        <v/>
      </c>
      <c r="E527" s="7"/>
      <c r="F527" s="7"/>
      <c r="G527" s="7"/>
      <c r="H527" s="9"/>
      <c r="I527" s="40" t="str">
        <f t="shared" si="35"/>
        <v/>
      </c>
    </row>
    <row r="528" spans="1:9">
      <c r="A528" s="6">
        <f t="shared" si="32"/>
        <v>523</v>
      </c>
      <c r="B528" s="63"/>
      <c r="C528" s="63" t="str">
        <f t="shared" si="33"/>
        <v/>
      </c>
      <c r="D528" s="63" t="str">
        <f t="shared" si="34"/>
        <v/>
      </c>
      <c r="E528" s="7"/>
      <c r="F528" s="7"/>
      <c r="G528" s="7"/>
      <c r="H528" s="9"/>
      <c r="I528" s="40" t="str">
        <f t="shared" si="35"/>
        <v/>
      </c>
    </row>
    <row r="529" spans="1:9">
      <c r="A529" s="6">
        <f t="shared" si="32"/>
        <v>524</v>
      </c>
      <c r="B529" s="63"/>
      <c r="C529" s="63" t="str">
        <f t="shared" si="33"/>
        <v/>
      </c>
      <c r="D529" s="63" t="str">
        <f t="shared" si="34"/>
        <v/>
      </c>
      <c r="E529" s="7"/>
      <c r="F529" s="7"/>
      <c r="G529" s="7"/>
      <c r="H529" s="9"/>
      <c r="I529" s="40" t="str">
        <f t="shared" si="35"/>
        <v/>
      </c>
    </row>
    <row r="530" spans="1:9">
      <c r="A530" s="6">
        <f t="shared" si="32"/>
        <v>525</v>
      </c>
      <c r="B530" s="63"/>
      <c r="C530" s="63" t="str">
        <f t="shared" si="33"/>
        <v/>
      </c>
      <c r="D530" s="63" t="str">
        <f t="shared" si="34"/>
        <v/>
      </c>
      <c r="E530" s="7"/>
      <c r="F530" s="7"/>
      <c r="G530" s="7"/>
      <c r="H530" s="9"/>
      <c r="I530" s="40" t="str">
        <f t="shared" si="35"/>
        <v/>
      </c>
    </row>
    <row r="531" spans="1:9">
      <c r="A531" s="6">
        <f t="shared" si="32"/>
        <v>526</v>
      </c>
      <c r="B531" s="63"/>
      <c r="C531" s="63" t="str">
        <f t="shared" si="33"/>
        <v/>
      </c>
      <c r="D531" s="63" t="str">
        <f t="shared" si="34"/>
        <v/>
      </c>
      <c r="E531" s="7"/>
      <c r="F531" s="7"/>
      <c r="G531" s="7"/>
      <c r="H531" s="9"/>
      <c r="I531" s="40" t="str">
        <f t="shared" si="35"/>
        <v/>
      </c>
    </row>
    <row r="532" spans="1:9">
      <c r="A532" s="6">
        <f t="shared" si="32"/>
        <v>527</v>
      </c>
      <c r="B532" s="63"/>
      <c r="C532" s="63" t="str">
        <f t="shared" si="33"/>
        <v/>
      </c>
      <c r="D532" s="63" t="str">
        <f t="shared" si="34"/>
        <v/>
      </c>
      <c r="E532" s="7"/>
      <c r="F532" s="7"/>
      <c r="G532" s="7"/>
      <c r="H532" s="9"/>
      <c r="I532" s="40" t="str">
        <f t="shared" si="35"/>
        <v/>
      </c>
    </row>
    <row r="533" spans="1:9">
      <c r="A533" s="6">
        <f t="shared" si="32"/>
        <v>528</v>
      </c>
      <c r="B533" s="63"/>
      <c r="C533" s="63" t="str">
        <f t="shared" si="33"/>
        <v/>
      </c>
      <c r="D533" s="63" t="str">
        <f t="shared" si="34"/>
        <v/>
      </c>
      <c r="E533" s="7"/>
      <c r="F533" s="7"/>
      <c r="G533" s="7"/>
      <c r="H533" s="9"/>
      <c r="I533" s="40" t="str">
        <f t="shared" si="35"/>
        <v/>
      </c>
    </row>
    <row r="534" spans="1:9">
      <c r="A534" s="6">
        <f t="shared" si="32"/>
        <v>529</v>
      </c>
      <c r="B534" s="63"/>
      <c r="C534" s="63" t="str">
        <f t="shared" si="33"/>
        <v/>
      </c>
      <c r="D534" s="63" t="str">
        <f t="shared" si="34"/>
        <v/>
      </c>
      <c r="E534" s="7"/>
      <c r="F534" s="7"/>
      <c r="G534" s="7"/>
      <c r="H534" s="9"/>
      <c r="I534" s="40" t="str">
        <f t="shared" si="35"/>
        <v/>
      </c>
    </row>
    <row r="535" spans="1:9">
      <c r="A535" s="6">
        <f t="shared" si="32"/>
        <v>530</v>
      </c>
      <c r="B535" s="63"/>
      <c r="C535" s="63" t="str">
        <f t="shared" si="33"/>
        <v/>
      </c>
      <c r="D535" s="63" t="str">
        <f t="shared" si="34"/>
        <v/>
      </c>
      <c r="E535" s="7"/>
      <c r="F535" s="7"/>
      <c r="G535" s="7"/>
      <c r="H535" s="9"/>
      <c r="I535" s="40" t="str">
        <f t="shared" si="35"/>
        <v/>
      </c>
    </row>
    <row r="536" spans="1:9">
      <c r="A536" s="6">
        <f t="shared" si="32"/>
        <v>531</v>
      </c>
      <c r="B536" s="63"/>
      <c r="C536" s="63" t="str">
        <f t="shared" si="33"/>
        <v/>
      </c>
      <c r="D536" s="63" t="str">
        <f t="shared" si="34"/>
        <v/>
      </c>
      <c r="E536" s="7"/>
      <c r="F536" s="7"/>
      <c r="G536" s="7"/>
      <c r="H536" s="9"/>
      <c r="I536" s="40" t="str">
        <f t="shared" si="35"/>
        <v/>
      </c>
    </row>
    <row r="537" spans="1:9">
      <c r="A537" s="6">
        <f t="shared" si="32"/>
        <v>532</v>
      </c>
      <c r="B537" s="63"/>
      <c r="C537" s="63" t="str">
        <f t="shared" si="33"/>
        <v/>
      </c>
      <c r="D537" s="63" t="str">
        <f t="shared" si="34"/>
        <v/>
      </c>
      <c r="E537" s="7"/>
      <c r="F537" s="7"/>
      <c r="G537" s="7"/>
      <c r="H537" s="9"/>
      <c r="I537" s="40" t="str">
        <f t="shared" si="35"/>
        <v/>
      </c>
    </row>
    <row r="538" spans="1:9">
      <c r="A538" s="6">
        <f t="shared" si="32"/>
        <v>533</v>
      </c>
      <c r="B538" s="63"/>
      <c r="C538" s="63" t="str">
        <f t="shared" si="33"/>
        <v/>
      </c>
      <c r="D538" s="63" t="str">
        <f t="shared" si="34"/>
        <v/>
      </c>
      <c r="E538" s="7"/>
      <c r="F538" s="7"/>
      <c r="G538" s="7"/>
      <c r="H538" s="9"/>
      <c r="I538" s="40" t="str">
        <f t="shared" si="35"/>
        <v/>
      </c>
    </row>
    <row r="539" spans="1:9">
      <c r="A539" s="6">
        <f t="shared" si="32"/>
        <v>534</v>
      </c>
      <c r="B539" s="63"/>
      <c r="C539" s="63" t="str">
        <f t="shared" si="33"/>
        <v/>
      </c>
      <c r="D539" s="63" t="str">
        <f t="shared" si="34"/>
        <v/>
      </c>
      <c r="E539" s="7"/>
      <c r="F539" s="7"/>
      <c r="G539" s="7"/>
      <c r="H539" s="9"/>
      <c r="I539" s="40" t="str">
        <f t="shared" si="35"/>
        <v/>
      </c>
    </row>
    <row r="540" spans="1:9">
      <c r="A540" s="6">
        <f t="shared" si="32"/>
        <v>535</v>
      </c>
      <c r="B540" s="63"/>
      <c r="C540" s="63" t="str">
        <f t="shared" si="33"/>
        <v/>
      </c>
      <c r="D540" s="63" t="str">
        <f t="shared" si="34"/>
        <v/>
      </c>
      <c r="E540" s="7"/>
      <c r="F540" s="7"/>
      <c r="G540" s="7"/>
      <c r="H540" s="9"/>
      <c r="I540" s="40" t="str">
        <f t="shared" si="35"/>
        <v/>
      </c>
    </row>
    <row r="541" spans="1:9">
      <c r="A541" s="6">
        <f t="shared" si="32"/>
        <v>536</v>
      </c>
      <c r="B541" s="63"/>
      <c r="C541" s="63" t="str">
        <f t="shared" si="33"/>
        <v/>
      </c>
      <c r="D541" s="63" t="str">
        <f t="shared" si="34"/>
        <v/>
      </c>
      <c r="E541" s="7"/>
      <c r="F541" s="7"/>
      <c r="G541" s="7"/>
      <c r="H541" s="9"/>
      <c r="I541" s="40" t="str">
        <f t="shared" si="35"/>
        <v/>
      </c>
    </row>
    <row r="542" spans="1:9">
      <c r="A542" s="6">
        <f t="shared" si="32"/>
        <v>537</v>
      </c>
      <c r="B542" s="63"/>
      <c r="C542" s="63" t="str">
        <f t="shared" si="33"/>
        <v/>
      </c>
      <c r="D542" s="63" t="str">
        <f t="shared" si="34"/>
        <v/>
      </c>
      <c r="E542" s="7"/>
      <c r="F542" s="7"/>
      <c r="G542" s="7"/>
      <c r="H542" s="9"/>
      <c r="I542" s="40" t="str">
        <f t="shared" si="35"/>
        <v/>
      </c>
    </row>
    <row r="543" spans="1:9">
      <c r="A543" s="6">
        <f t="shared" si="32"/>
        <v>538</v>
      </c>
      <c r="B543" s="63"/>
      <c r="C543" s="63" t="str">
        <f t="shared" si="33"/>
        <v/>
      </c>
      <c r="D543" s="63" t="str">
        <f t="shared" si="34"/>
        <v/>
      </c>
      <c r="E543" s="7"/>
      <c r="F543" s="7"/>
      <c r="G543" s="7"/>
      <c r="H543" s="9"/>
      <c r="I543" s="40" t="str">
        <f t="shared" si="35"/>
        <v/>
      </c>
    </row>
    <row r="544" spans="1:9">
      <c r="A544" s="6">
        <f t="shared" si="32"/>
        <v>539</v>
      </c>
      <c r="B544" s="63"/>
      <c r="C544" s="63" t="str">
        <f t="shared" si="33"/>
        <v/>
      </c>
      <c r="D544" s="63" t="str">
        <f t="shared" si="34"/>
        <v/>
      </c>
      <c r="E544" s="7"/>
      <c r="F544" s="7"/>
      <c r="G544" s="7"/>
      <c r="H544" s="9"/>
      <c r="I544" s="40" t="str">
        <f t="shared" si="35"/>
        <v/>
      </c>
    </row>
    <row r="545" spans="1:9">
      <c r="A545" s="6">
        <f t="shared" si="32"/>
        <v>540</v>
      </c>
      <c r="B545" s="63"/>
      <c r="C545" s="63" t="str">
        <f t="shared" si="33"/>
        <v/>
      </c>
      <c r="D545" s="63" t="str">
        <f t="shared" si="34"/>
        <v/>
      </c>
      <c r="E545" s="7"/>
      <c r="F545" s="7"/>
      <c r="G545" s="7"/>
      <c r="H545" s="9"/>
      <c r="I545" s="40" t="str">
        <f t="shared" si="35"/>
        <v/>
      </c>
    </row>
    <row r="546" spans="1:9">
      <c r="A546" s="6">
        <f t="shared" si="32"/>
        <v>541</v>
      </c>
      <c r="B546" s="63"/>
      <c r="C546" s="63" t="str">
        <f t="shared" si="33"/>
        <v/>
      </c>
      <c r="D546" s="63" t="str">
        <f t="shared" si="34"/>
        <v/>
      </c>
      <c r="E546" s="7"/>
      <c r="F546" s="7"/>
      <c r="G546" s="7"/>
      <c r="H546" s="9"/>
      <c r="I546" s="40" t="str">
        <f t="shared" si="35"/>
        <v/>
      </c>
    </row>
    <row r="547" spans="1:9">
      <c r="A547" s="6">
        <f t="shared" si="32"/>
        <v>542</v>
      </c>
      <c r="B547" s="63"/>
      <c r="C547" s="63" t="str">
        <f t="shared" si="33"/>
        <v/>
      </c>
      <c r="D547" s="63" t="str">
        <f t="shared" si="34"/>
        <v/>
      </c>
      <c r="E547" s="7"/>
      <c r="F547" s="7"/>
      <c r="G547" s="7"/>
      <c r="H547" s="9"/>
      <c r="I547" s="40" t="str">
        <f t="shared" si="35"/>
        <v/>
      </c>
    </row>
    <row r="548" spans="1:9">
      <c r="A548" s="6">
        <f t="shared" si="32"/>
        <v>543</v>
      </c>
      <c r="B548" s="63"/>
      <c r="C548" s="63" t="str">
        <f t="shared" si="33"/>
        <v/>
      </c>
      <c r="D548" s="63" t="str">
        <f t="shared" si="34"/>
        <v/>
      </c>
      <c r="E548" s="7"/>
      <c r="F548" s="7"/>
      <c r="G548" s="7"/>
      <c r="H548" s="9"/>
      <c r="I548" s="40" t="str">
        <f t="shared" si="35"/>
        <v/>
      </c>
    </row>
    <row r="549" spans="1:9">
      <c r="A549" s="6">
        <f t="shared" si="32"/>
        <v>544</v>
      </c>
      <c r="B549" s="63"/>
      <c r="C549" s="63" t="str">
        <f t="shared" si="33"/>
        <v/>
      </c>
      <c r="D549" s="63" t="str">
        <f t="shared" si="34"/>
        <v/>
      </c>
      <c r="E549" s="7"/>
      <c r="F549" s="7"/>
      <c r="G549" s="7"/>
      <c r="H549" s="9"/>
      <c r="I549" s="40" t="str">
        <f t="shared" si="35"/>
        <v/>
      </c>
    </row>
    <row r="550" spans="1:9">
      <c r="A550" s="6">
        <f t="shared" si="32"/>
        <v>545</v>
      </c>
      <c r="B550" s="63"/>
      <c r="C550" s="63" t="str">
        <f t="shared" si="33"/>
        <v/>
      </c>
      <c r="D550" s="63" t="str">
        <f t="shared" si="34"/>
        <v/>
      </c>
      <c r="E550" s="7"/>
      <c r="F550" s="7"/>
      <c r="G550" s="7"/>
      <c r="H550" s="9"/>
      <c r="I550" s="40" t="str">
        <f t="shared" si="35"/>
        <v/>
      </c>
    </row>
    <row r="551" spans="1:9">
      <c r="A551" s="6">
        <f t="shared" si="32"/>
        <v>546</v>
      </c>
      <c r="B551" s="63"/>
      <c r="C551" s="63" t="str">
        <f t="shared" si="33"/>
        <v/>
      </c>
      <c r="D551" s="63" t="str">
        <f t="shared" si="34"/>
        <v/>
      </c>
      <c r="E551" s="7"/>
      <c r="F551" s="7"/>
      <c r="G551" s="7"/>
      <c r="H551" s="9"/>
      <c r="I551" s="40" t="str">
        <f t="shared" si="35"/>
        <v/>
      </c>
    </row>
    <row r="552" spans="1:9">
      <c r="A552" s="6">
        <f t="shared" si="32"/>
        <v>547</v>
      </c>
      <c r="B552" s="63"/>
      <c r="C552" s="63" t="str">
        <f t="shared" si="33"/>
        <v/>
      </c>
      <c r="D552" s="63" t="str">
        <f t="shared" si="34"/>
        <v/>
      </c>
      <c r="E552" s="7"/>
      <c r="F552" s="7"/>
      <c r="G552" s="7"/>
      <c r="H552" s="9"/>
      <c r="I552" s="40" t="str">
        <f t="shared" si="35"/>
        <v/>
      </c>
    </row>
    <row r="553" spans="1:9">
      <c r="A553" s="6">
        <f t="shared" si="32"/>
        <v>548</v>
      </c>
      <c r="B553" s="63"/>
      <c r="C553" s="63" t="str">
        <f t="shared" si="33"/>
        <v/>
      </c>
      <c r="D553" s="63" t="str">
        <f t="shared" si="34"/>
        <v/>
      </c>
      <c r="E553" s="7"/>
      <c r="F553" s="7"/>
      <c r="G553" s="7"/>
      <c r="H553" s="9"/>
      <c r="I553" s="40" t="str">
        <f t="shared" si="35"/>
        <v/>
      </c>
    </row>
    <row r="554" spans="1:9">
      <c r="A554" s="6">
        <f t="shared" si="32"/>
        <v>549</v>
      </c>
      <c r="B554" s="63"/>
      <c r="C554" s="63" t="str">
        <f t="shared" si="33"/>
        <v/>
      </c>
      <c r="D554" s="63" t="str">
        <f t="shared" si="34"/>
        <v/>
      </c>
      <c r="E554" s="7"/>
      <c r="F554" s="7"/>
      <c r="G554" s="7"/>
      <c r="H554" s="9"/>
      <c r="I554" s="40" t="str">
        <f t="shared" si="35"/>
        <v/>
      </c>
    </row>
    <row r="555" spans="1:9">
      <c r="A555" s="6">
        <f t="shared" si="32"/>
        <v>550</v>
      </c>
      <c r="B555" s="63"/>
      <c r="C555" s="63" t="str">
        <f t="shared" si="33"/>
        <v/>
      </c>
      <c r="D555" s="63" t="str">
        <f t="shared" si="34"/>
        <v/>
      </c>
      <c r="E555" s="7"/>
      <c r="F555" s="7"/>
      <c r="G555" s="7"/>
      <c r="H555" s="9"/>
      <c r="I555" s="40" t="str">
        <f t="shared" si="35"/>
        <v/>
      </c>
    </row>
    <row r="556" spans="1:9">
      <c r="A556" s="6">
        <f t="shared" si="32"/>
        <v>551</v>
      </c>
      <c r="B556" s="63"/>
      <c r="C556" s="63" t="str">
        <f t="shared" si="33"/>
        <v/>
      </c>
      <c r="D556" s="63" t="str">
        <f t="shared" si="34"/>
        <v/>
      </c>
      <c r="E556" s="7"/>
      <c r="F556" s="7"/>
      <c r="G556" s="7"/>
      <c r="H556" s="9"/>
      <c r="I556" s="40" t="str">
        <f t="shared" si="35"/>
        <v/>
      </c>
    </row>
    <row r="557" spans="1:9">
      <c r="A557" s="6">
        <f t="shared" si="32"/>
        <v>552</v>
      </c>
      <c r="B557" s="63"/>
      <c r="C557" s="63" t="str">
        <f t="shared" si="33"/>
        <v/>
      </c>
      <c r="D557" s="63" t="str">
        <f t="shared" si="34"/>
        <v/>
      </c>
      <c r="E557" s="7"/>
      <c r="F557" s="7"/>
      <c r="G557" s="7"/>
      <c r="H557" s="9"/>
      <c r="I557" s="40" t="str">
        <f t="shared" si="35"/>
        <v/>
      </c>
    </row>
    <row r="558" spans="1:9">
      <c r="A558" s="6">
        <f t="shared" si="32"/>
        <v>553</v>
      </c>
      <c r="B558" s="63"/>
      <c r="C558" s="63" t="str">
        <f t="shared" si="33"/>
        <v/>
      </c>
      <c r="D558" s="63" t="str">
        <f t="shared" si="34"/>
        <v/>
      </c>
      <c r="E558" s="7"/>
      <c r="F558" s="7"/>
      <c r="G558" s="7"/>
      <c r="H558" s="9"/>
      <c r="I558" s="40" t="str">
        <f t="shared" si="35"/>
        <v/>
      </c>
    </row>
    <row r="559" spans="1:9">
      <c r="A559" s="6">
        <f t="shared" si="32"/>
        <v>554</v>
      </c>
      <c r="B559" s="63"/>
      <c r="C559" s="63" t="str">
        <f t="shared" si="33"/>
        <v/>
      </c>
      <c r="D559" s="63" t="str">
        <f t="shared" si="34"/>
        <v/>
      </c>
      <c r="E559" s="7"/>
      <c r="F559" s="7"/>
      <c r="G559" s="7"/>
      <c r="H559" s="9"/>
      <c r="I559" s="40" t="str">
        <f t="shared" si="35"/>
        <v/>
      </c>
    </row>
    <row r="560" spans="1:9">
      <c r="A560" s="6">
        <f t="shared" si="32"/>
        <v>555</v>
      </c>
      <c r="B560" s="63"/>
      <c r="C560" s="63" t="str">
        <f t="shared" si="33"/>
        <v/>
      </c>
      <c r="D560" s="63" t="str">
        <f t="shared" si="34"/>
        <v/>
      </c>
      <c r="E560" s="7"/>
      <c r="F560" s="7"/>
      <c r="G560" s="7"/>
      <c r="H560" s="9"/>
      <c r="I560" s="40" t="str">
        <f t="shared" si="35"/>
        <v/>
      </c>
    </row>
    <row r="561" spans="1:9">
      <c r="A561" s="6">
        <f t="shared" si="32"/>
        <v>556</v>
      </c>
      <c r="B561" s="63"/>
      <c r="C561" s="63" t="str">
        <f t="shared" si="33"/>
        <v/>
      </c>
      <c r="D561" s="63" t="str">
        <f t="shared" si="34"/>
        <v/>
      </c>
      <c r="E561" s="7"/>
      <c r="F561" s="7"/>
      <c r="G561" s="7"/>
      <c r="H561" s="9"/>
      <c r="I561" s="40" t="str">
        <f t="shared" si="35"/>
        <v/>
      </c>
    </row>
    <row r="562" spans="1:9">
      <c r="A562" s="6">
        <f t="shared" si="32"/>
        <v>557</v>
      </c>
      <c r="B562" s="63"/>
      <c r="C562" s="63" t="str">
        <f t="shared" si="33"/>
        <v/>
      </c>
      <c r="D562" s="63" t="str">
        <f t="shared" si="34"/>
        <v/>
      </c>
      <c r="E562" s="7"/>
      <c r="F562" s="7"/>
      <c r="G562" s="7"/>
      <c r="H562" s="9"/>
      <c r="I562" s="40" t="str">
        <f t="shared" si="35"/>
        <v/>
      </c>
    </row>
    <row r="563" spans="1:9">
      <c r="A563" s="6">
        <f t="shared" si="32"/>
        <v>558</v>
      </c>
      <c r="B563" s="63"/>
      <c r="C563" s="63" t="str">
        <f t="shared" si="33"/>
        <v/>
      </c>
      <c r="D563" s="63" t="str">
        <f t="shared" si="34"/>
        <v/>
      </c>
      <c r="E563" s="7"/>
      <c r="F563" s="7"/>
      <c r="G563" s="7"/>
      <c r="H563" s="9"/>
      <c r="I563" s="40" t="str">
        <f t="shared" si="35"/>
        <v/>
      </c>
    </row>
    <row r="564" spans="1:9">
      <c r="A564" s="6">
        <f t="shared" si="32"/>
        <v>559</v>
      </c>
      <c r="B564" s="63"/>
      <c r="C564" s="63" t="str">
        <f t="shared" si="33"/>
        <v/>
      </c>
      <c r="D564" s="63" t="str">
        <f t="shared" si="34"/>
        <v/>
      </c>
      <c r="E564" s="7"/>
      <c r="F564" s="7"/>
      <c r="G564" s="7"/>
      <c r="H564" s="9"/>
      <c r="I564" s="40" t="str">
        <f t="shared" si="35"/>
        <v/>
      </c>
    </row>
    <row r="565" spans="1:9">
      <c r="A565" s="6">
        <f t="shared" si="32"/>
        <v>560</v>
      </c>
      <c r="B565" s="63"/>
      <c r="C565" s="63" t="str">
        <f t="shared" si="33"/>
        <v/>
      </c>
      <c r="D565" s="63" t="str">
        <f t="shared" si="34"/>
        <v/>
      </c>
      <c r="E565" s="7"/>
      <c r="F565" s="7"/>
      <c r="G565" s="7"/>
      <c r="H565" s="9"/>
      <c r="I565" s="40" t="str">
        <f t="shared" si="35"/>
        <v/>
      </c>
    </row>
    <row r="566" spans="1:9">
      <c r="A566" s="6">
        <f t="shared" si="32"/>
        <v>561</v>
      </c>
      <c r="B566" s="63"/>
      <c r="C566" s="63" t="str">
        <f t="shared" si="33"/>
        <v/>
      </c>
      <c r="D566" s="63" t="str">
        <f t="shared" si="34"/>
        <v/>
      </c>
      <c r="E566" s="7"/>
      <c r="F566" s="7"/>
      <c r="G566" s="7"/>
      <c r="H566" s="9"/>
      <c r="I566" s="40" t="str">
        <f t="shared" si="35"/>
        <v/>
      </c>
    </row>
    <row r="567" spans="1:9">
      <c r="A567" s="6">
        <f t="shared" si="32"/>
        <v>562</v>
      </c>
      <c r="B567" s="63"/>
      <c r="C567" s="63" t="str">
        <f t="shared" si="33"/>
        <v/>
      </c>
      <c r="D567" s="63" t="str">
        <f t="shared" si="34"/>
        <v/>
      </c>
      <c r="E567" s="7"/>
      <c r="F567" s="7"/>
      <c r="G567" s="7"/>
      <c r="H567" s="9"/>
      <c r="I567" s="40" t="str">
        <f t="shared" si="35"/>
        <v/>
      </c>
    </row>
    <row r="568" spans="1:9">
      <c r="A568" s="6">
        <f t="shared" si="32"/>
        <v>563</v>
      </c>
      <c r="B568" s="63"/>
      <c r="C568" s="63" t="str">
        <f t="shared" si="33"/>
        <v/>
      </c>
      <c r="D568" s="63" t="str">
        <f t="shared" si="34"/>
        <v/>
      </c>
      <c r="E568" s="7"/>
      <c r="F568" s="7"/>
      <c r="G568" s="7"/>
      <c r="H568" s="9"/>
      <c r="I568" s="40" t="str">
        <f t="shared" si="35"/>
        <v/>
      </c>
    </row>
    <row r="569" spans="1:9">
      <c r="A569" s="6">
        <f t="shared" si="32"/>
        <v>564</v>
      </c>
      <c r="B569" s="63"/>
      <c r="C569" s="63" t="str">
        <f t="shared" si="33"/>
        <v/>
      </c>
      <c r="D569" s="63" t="str">
        <f t="shared" si="34"/>
        <v/>
      </c>
      <c r="E569" s="7"/>
      <c r="F569" s="7"/>
      <c r="G569" s="7"/>
      <c r="H569" s="9"/>
      <c r="I569" s="40" t="str">
        <f t="shared" si="35"/>
        <v/>
      </c>
    </row>
    <row r="570" spans="1:9">
      <c r="A570" s="6">
        <f t="shared" si="32"/>
        <v>565</v>
      </c>
      <c r="B570" s="63"/>
      <c r="C570" s="63" t="str">
        <f t="shared" si="33"/>
        <v/>
      </c>
      <c r="D570" s="63" t="str">
        <f t="shared" si="34"/>
        <v/>
      </c>
      <c r="E570" s="7"/>
      <c r="F570" s="7"/>
      <c r="G570" s="7"/>
      <c r="H570" s="9"/>
      <c r="I570" s="40" t="str">
        <f t="shared" si="35"/>
        <v/>
      </c>
    </row>
    <row r="571" spans="1:9">
      <c r="A571" s="6">
        <f t="shared" si="32"/>
        <v>566</v>
      </c>
      <c r="B571" s="63"/>
      <c r="C571" s="63" t="str">
        <f t="shared" si="33"/>
        <v/>
      </c>
      <c r="D571" s="63" t="str">
        <f t="shared" si="34"/>
        <v/>
      </c>
      <c r="E571" s="7"/>
      <c r="F571" s="7"/>
      <c r="G571" s="7"/>
      <c r="H571" s="9"/>
      <c r="I571" s="40" t="str">
        <f t="shared" si="35"/>
        <v/>
      </c>
    </row>
    <row r="572" spans="1:9">
      <c r="A572" s="6">
        <f t="shared" si="32"/>
        <v>567</v>
      </c>
      <c r="B572" s="63"/>
      <c r="C572" s="63" t="str">
        <f t="shared" si="33"/>
        <v/>
      </c>
      <c r="D572" s="63" t="str">
        <f t="shared" si="34"/>
        <v/>
      </c>
      <c r="E572" s="7"/>
      <c r="F572" s="7"/>
      <c r="G572" s="7"/>
      <c r="H572" s="9"/>
      <c r="I572" s="40" t="str">
        <f t="shared" si="35"/>
        <v/>
      </c>
    </row>
    <row r="573" spans="1:9">
      <c r="A573" s="6">
        <f t="shared" si="32"/>
        <v>568</v>
      </c>
      <c r="B573" s="63"/>
      <c r="C573" s="63" t="str">
        <f t="shared" si="33"/>
        <v/>
      </c>
      <c r="D573" s="63" t="str">
        <f t="shared" si="34"/>
        <v/>
      </c>
      <c r="E573" s="7"/>
      <c r="F573" s="7"/>
      <c r="G573" s="7"/>
      <c r="H573" s="9"/>
      <c r="I573" s="40" t="str">
        <f t="shared" si="35"/>
        <v/>
      </c>
    </row>
    <row r="574" spans="1:9">
      <c r="A574" s="6">
        <f t="shared" si="32"/>
        <v>569</v>
      </c>
      <c r="B574" s="63"/>
      <c r="C574" s="63" t="str">
        <f t="shared" si="33"/>
        <v/>
      </c>
      <c r="D574" s="63" t="str">
        <f t="shared" si="34"/>
        <v/>
      </c>
      <c r="E574" s="7"/>
      <c r="F574" s="7"/>
      <c r="G574" s="7"/>
      <c r="H574" s="9"/>
      <c r="I574" s="40" t="str">
        <f t="shared" si="35"/>
        <v/>
      </c>
    </row>
    <row r="575" spans="1:9">
      <c r="A575" s="6">
        <f t="shared" si="32"/>
        <v>570</v>
      </c>
      <c r="B575" s="63"/>
      <c r="C575" s="63" t="str">
        <f t="shared" si="33"/>
        <v/>
      </c>
      <c r="D575" s="63" t="str">
        <f t="shared" si="34"/>
        <v/>
      </c>
      <c r="E575" s="7"/>
      <c r="F575" s="7"/>
      <c r="G575" s="7"/>
      <c r="H575" s="9"/>
      <c r="I575" s="40" t="str">
        <f t="shared" si="35"/>
        <v/>
      </c>
    </row>
    <row r="576" spans="1:9">
      <c r="A576" s="6">
        <f t="shared" si="32"/>
        <v>571</v>
      </c>
      <c r="B576" s="63"/>
      <c r="C576" s="63" t="str">
        <f t="shared" si="33"/>
        <v/>
      </c>
      <c r="D576" s="63" t="str">
        <f t="shared" si="34"/>
        <v/>
      </c>
      <c r="E576" s="7"/>
      <c r="F576" s="7"/>
      <c r="G576" s="7"/>
      <c r="H576" s="9"/>
      <c r="I576" s="40" t="str">
        <f t="shared" si="35"/>
        <v/>
      </c>
    </row>
    <row r="577" spans="1:9">
      <c r="A577" s="6">
        <f t="shared" si="32"/>
        <v>572</v>
      </c>
      <c r="B577" s="63"/>
      <c r="C577" s="63" t="str">
        <f t="shared" si="33"/>
        <v/>
      </c>
      <c r="D577" s="63" t="str">
        <f t="shared" si="34"/>
        <v/>
      </c>
      <c r="E577" s="7"/>
      <c r="F577" s="7"/>
      <c r="G577" s="7"/>
      <c r="H577" s="9"/>
      <c r="I577" s="40" t="str">
        <f t="shared" si="35"/>
        <v/>
      </c>
    </row>
    <row r="578" spans="1:9">
      <c r="A578" s="6">
        <f t="shared" si="32"/>
        <v>573</v>
      </c>
      <c r="B578" s="63"/>
      <c r="C578" s="63" t="str">
        <f t="shared" si="33"/>
        <v/>
      </c>
      <c r="D578" s="63" t="str">
        <f t="shared" si="34"/>
        <v/>
      </c>
      <c r="E578" s="7"/>
      <c r="F578" s="7"/>
      <c r="G578" s="7"/>
      <c r="H578" s="9"/>
      <c r="I578" s="40" t="str">
        <f t="shared" si="35"/>
        <v/>
      </c>
    </row>
    <row r="579" spans="1:9">
      <c r="A579" s="6">
        <f t="shared" si="32"/>
        <v>574</v>
      </c>
      <c r="B579" s="63"/>
      <c r="C579" s="63" t="str">
        <f t="shared" si="33"/>
        <v/>
      </c>
      <c r="D579" s="63" t="str">
        <f t="shared" si="34"/>
        <v/>
      </c>
      <c r="E579" s="7"/>
      <c r="F579" s="7"/>
      <c r="G579" s="7"/>
      <c r="H579" s="9"/>
      <c r="I579" s="40" t="str">
        <f t="shared" si="35"/>
        <v/>
      </c>
    </row>
    <row r="580" spans="1:9">
      <c r="A580" s="6">
        <f t="shared" si="32"/>
        <v>575</v>
      </c>
      <c r="B580" s="63"/>
      <c r="C580" s="63" t="str">
        <f t="shared" si="33"/>
        <v/>
      </c>
      <c r="D580" s="63" t="str">
        <f t="shared" si="34"/>
        <v/>
      </c>
      <c r="E580" s="7"/>
      <c r="F580" s="7"/>
      <c r="G580" s="7"/>
      <c r="H580" s="9"/>
      <c r="I580" s="40" t="str">
        <f t="shared" si="35"/>
        <v/>
      </c>
    </row>
    <row r="581" spans="1:9">
      <c r="A581" s="6">
        <f t="shared" si="32"/>
        <v>576</v>
      </c>
      <c r="B581" s="63"/>
      <c r="C581" s="63" t="str">
        <f t="shared" si="33"/>
        <v/>
      </c>
      <c r="D581" s="63" t="str">
        <f t="shared" si="34"/>
        <v/>
      </c>
      <c r="E581" s="7"/>
      <c r="F581" s="7"/>
      <c r="G581" s="7"/>
      <c r="H581" s="9"/>
      <c r="I581" s="40" t="str">
        <f t="shared" si="35"/>
        <v/>
      </c>
    </row>
    <row r="582" spans="1:9">
      <c r="A582" s="6">
        <f t="shared" si="32"/>
        <v>577</v>
      </c>
      <c r="B582" s="63"/>
      <c r="C582" s="63" t="str">
        <f t="shared" si="33"/>
        <v/>
      </c>
      <c r="D582" s="63" t="str">
        <f t="shared" si="34"/>
        <v/>
      </c>
      <c r="E582" s="7"/>
      <c r="F582" s="7"/>
      <c r="G582" s="7"/>
      <c r="H582" s="9"/>
      <c r="I582" s="40" t="str">
        <f t="shared" si="35"/>
        <v/>
      </c>
    </row>
    <row r="583" spans="1:9">
      <c r="A583" s="6">
        <f t="shared" ref="A583:A646" si="36">ROW(A578)</f>
        <v>578</v>
      </c>
      <c r="B583" s="63"/>
      <c r="C583" s="63" t="str">
        <f t="shared" ref="C583:C646" si="37">IF(B583=0,"",TEXT(B583,"mmmm"))</f>
        <v/>
      </c>
      <c r="D583" s="63" t="str">
        <f t="shared" ref="D583:D646" si="38">IF(B583=0,"",TEXT(B583,"yyyy"))</f>
        <v/>
      </c>
      <c r="E583" s="7"/>
      <c r="F583" s="7"/>
      <c r="G583" s="7"/>
      <c r="H583" s="9"/>
      <c r="I583" s="40" t="str">
        <f t="shared" ref="I583:I646" si="39">IF(H583*G583=0,"",H583*G583)</f>
        <v/>
      </c>
    </row>
    <row r="584" spans="1:9">
      <c r="A584" s="6">
        <f t="shared" si="36"/>
        <v>579</v>
      </c>
      <c r="B584" s="63"/>
      <c r="C584" s="63" t="str">
        <f t="shared" si="37"/>
        <v/>
      </c>
      <c r="D584" s="63" t="str">
        <f t="shared" si="38"/>
        <v/>
      </c>
      <c r="E584" s="7"/>
      <c r="F584" s="7"/>
      <c r="G584" s="7"/>
      <c r="H584" s="9"/>
      <c r="I584" s="40" t="str">
        <f t="shared" si="39"/>
        <v/>
      </c>
    </row>
    <row r="585" spans="1:9">
      <c r="A585" s="6">
        <f t="shared" si="36"/>
        <v>580</v>
      </c>
      <c r="B585" s="63"/>
      <c r="C585" s="63" t="str">
        <f t="shared" si="37"/>
        <v/>
      </c>
      <c r="D585" s="63" t="str">
        <f t="shared" si="38"/>
        <v/>
      </c>
      <c r="E585" s="7"/>
      <c r="F585" s="7"/>
      <c r="G585" s="7"/>
      <c r="H585" s="9"/>
      <c r="I585" s="40" t="str">
        <f t="shared" si="39"/>
        <v/>
      </c>
    </row>
    <row r="586" spans="1:9">
      <c r="A586" s="6">
        <f t="shared" si="36"/>
        <v>581</v>
      </c>
      <c r="B586" s="63"/>
      <c r="C586" s="63" t="str">
        <f t="shared" si="37"/>
        <v/>
      </c>
      <c r="D586" s="63" t="str">
        <f t="shared" si="38"/>
        <v/>
      </c>
      <c r="E586" s="7"/>
      <c r="F586" s="7"/>
      <c r="G586" s="7"/>
      <c r="H586" s="9"/>
      <c r="I586" s="40" t="str">
        <f t="shared" si="39"/>
        <v/>
      </c>
    </row>
    <row r="587" spans="1:9">
      <c r="A587" s="6">
        <f t="shared" si="36"/>
        <v>582</v>
      </c>
      <c r="B587" s="63"/>
      <c r="C587" s="63" t="str">
        <f t="shared" si="37"/>
        <v/>
      </c>
      <c r="D587" s="63" t="str">
        <f t="shared" si="38"/>
        <v/>
      </c>
      <c r="E587" s="7"/>
      <c r="F587" s="7"/>
      <c r="G587" s="7"/>
      <c r="H587" s="9"/>
      <c r="I587" s="40" t="str">
        <f t="shared" si="39"/>
        <v/>
      </c>
    </row>
    <row r="588" spans="1:9">
      <c r="A588" s="6">
        <f t="shared" si="36"/>
        <v>583</v>
      </c>
      <c r="B588" s="63"/>
      <c r="C588" s="63" t="str">
        <f t="shared" si="37"/>
        <v/>
      </c>
      <c r="D588" s="63" t="str">
        <f t="shared" si="38"/>
        <v/>
      </c>
      <c r="E588" s="7"/>
      <c r="F588" s="7"/>
      <c r="G588" s="7"/>
      <c r="H588" s="9"/>
      <c r="I588" s="40" t="str">
        <f t="shared" si="39"/>
        <v/>
      </c>
    </row>
    <row r="589" spans="1:9">
      <c r="A589" s="6">
        <f t="shared" si="36"/>
        <v>584</v>
      </c>
      <c r="B589" s="63"/>
      <c r="C589" s="63" t="str">
        <f t="shared" si="37"/>
        <v/>
      </c>
      <c r="D589" s="63" t="str">
        <f t="shared" si="38"/>
        <v/>
      </c>
      <c r="E589" s="7"/>
      <c r="F589" s="7"/>
      <c r="G589" s="7"/>
      <c r="H589" s="9"/>
      <c r="I589" s="40" t="str">
        <f t="shared" si="39"/>
        <v/>
      </c>
    </row>
    <row r="590" spans="1:9">
      <c r="A590" s="6">
        <f t="shared" si="36"/>
        <v>585</v>
      </c>
      <c r="B590" s="63"/>
      <c r="C590" s="63" t="str">
        <f t="shared" si="37"/>
        <v/>
      </c>
      <c r="D590" s="63" t="str">
        <f t="shared" si="38"/>
        <v/>
      </c>
      <c r="E590" s="7"/>
      <c r="F590" s="7"/>
      <c r="G590" s="7"/>
      <c r="H590" s="9"/>
      <c r="I590" s="40" t="str">
        <f t="shared" si="39"/>
        <v/>
      </c>
    </row>
    <row r="591" spans="1:9">
      <c r="A591" s="6">
        <f t="shared" si="36"/>
        <v>586</v>
      </c>
      <c r="B591" s="63"/>
      <c r="C591" s="63" t="str">
        <f t="shared" si="37"/>
        <v/>
      </c>
      <c r="D591" s="63" t="str">
        <f t="shared" si="38"/>
        <v/>
      </c>
      <c r="E591" s="7"/>
      <c r="F591" s="7"/>
      <c r="G591" s="7"/>
      <c r="H591" s="9"/>
      <c r="I591" s="40" t="str">
        <f t="shared" si="39"/>
        <v/>
      </c>
    </row>
    <row r="592" spans="1:9">
      <c r="A592" s="6">
        <f t="shared" si="36"/>
        <v>587</v>
      </c>
      <c r="B592" s="63"/>
      <c r="C592" s="63" t="str">
        <f t="shared" si="37"/>
        <v/>
      </c>
      <c r="D592" s="63" t="str">
        <f t="shared" si="38"/>
        <v/>
      </c>
      <c r="E592" s="7"/>
      <c r="F592" s="7"/>
      <c r="G592" s="7"/>
      <c r="H592" s="9"/>
      <c r="I592" s="40" t="str">
        <f t="shared" si="39"/>
        <v/>
      </c>
    </row>
    <row r="593" spans="1:9">
      <c r="A593" s="6">
        <f t="shared" si="36"/>
        <v>588</v>
      </c>
      <c r="B593" s="63"/>
      <c r="C593" s="63" t="str">
        <f t="shared" si="37"/>
        <v/>
      </c>
      <c r="D593" s="63" t="str">
        <f t="shared" si="38"/>
        <v/>
      </c>
      <c r="E593" s="7"/>
      <c r="F593" s="7"/>
      <c r="G593" s="7"/>
      <c r="H593" s="9"/>
      <c r="I593" s="40" t="str">
        <f t="shared" si="39"/>
        <v/>
      </c>
    </row>
    <row r="594" spans="1:9">
      <c r="A594" s="6">
        <f t="shared" si="36"/>
        <v>589</v>
      </c>
      <c r="B594" s="63"/>
      <c r="C594" s="63" t="str">
        <f t="shared" si="37"/>
        <v/>
      </c>
      <c r="D594" s="63" t="str">
        <f t="shared" si="38"/>
        <v/>
      </c>
      <c r="E594" s="7"/>
      <c r="F594" s="7"/>
      <c r="G594" s="7"/>
      <c r="H594" s="9"/>
      <c r="I594" s="40" t="str">
        <f t="shared" si="39"/>
        <v/>
      </c>
    </row>
    <row r="595" spans="1:9">
      <c r="A595" s="6">
        <f t="shared" si="36"/>
        <v>590</v>
      </c>
      <c r="B595" s="63"/>
      <c r="C595" s="63" t="str">
        <f t="shared" si="37"/>
        <v/>
      </c>
      <c r="D595" s="63" t="str">
        <f t="shared" si="38"/>
        <v/>
      </c>
      <c r="E595" s="7"/>
      <c r="F595" s="7"/>
      <c r="G595" s="7"/>
      <c r="H595" s="9"/>
      <c r="I595" s="40" t="str">
        <f t="shared" si="39"/>
        <v/>
      </c>
    </row>
    <row r="596" spans="1:9">
      <c r="A596" s="6">
        <f t="shared" si="36"/>
        <v>591</v>
      </c>
      <c r="B596" s="63"/>
      <c r="C596" s="63" t="str">
        <f t="shared" si="37"/>
        <v/>
      </c>
      <c r="D596" s="63" t="str">
        <f t="shared" si="38"/>
        <v/>
      </c>
      <c r="E596" s="7"/>
      <c r="F596" s="7"/>
      <c r="G596" s="7"/>
      <c r="H596" s="9"/>
      <c r="I596" s="40" t="str">
        <f t="shared" si="39"/>
        <v/>
      </c>
    </row>
    <row r="597" spans="1:9">
      <c r="A597" s="6">
        <f t="shared" si="36"/>
        <v>592</v>
      </c>
      <c r="B597" s="63"/>
      <c r="C597" s="63" t="str">
        <f t="shared" si="37"/>
        <v/>
      </c>
      <c r="D597" s="63" t="str">
        <f t="shared" si="38"/>
        <v/>
      </c>
      <c r="E597" s="7"/>
      <c r="F597" s="7"/>
      <c r="G597" s="7"/>
      <c r="H597" s="9"/>
      <c r="I597" s="40" t="str">
        <f t="shared" si="39"/>
        <v/>
      </c>
    </row>
    <row r="598" spans="1:9">
      <c r="A598" s="6">
        <f t="shared" si="36"/>
        <v>593</v>
      </c>
      <c r="B598" s="63"/>
      <c r="C598" s="63" t="str">
        <f t="shared" si="37"/>
        <v/>
      </c>
      <c r="D598" s="63" t="str">
        <f t="shared" si="38"/>
        <v/>
      </c>
      <c r="E598" s="7"/>
      <c r="F598" s="7"/>
      <c r="G598" s="7"/>
      <c r="H598" s="9"/>
      <c r="I598" s="40" t="str">
        <f t="shared" si="39"/>
        <v/>
      </c>
    </row>
    <row r="599" spans="1:9">
      <c r="A599" s="6">
        <f t="shared" si="36"/>
        <v>594</v>
      </c>
      <c r="B599" s="63"/>
      <c r="C599" s="63" t="str">
        <f t="shared" si="37"/>
        <v/>
      </c>
      <c r="D599" s="63" t="str">
        <f t="shared" si="38"/>
        <v/>
      </c>
      <c r="E599" s="7"/>
      <c r="F599" s="7"/>
      <c r="G599" s="7"/>
      <c r="H599" s="9"/>
      <c r="I599" s="40" t="str">
        <f t="shared" si="39"/>
        <v/>
      </c>
    </row>
    <row r="600" spans="1:9">
      <c r="A600" s="6">
        <f t="shared" si="36"/>
        <v>595</v>
      </c>
      <c r="B600" s="63"/>
      <c r="C600" s="63" t="str">
        <f t="shared" si="37"/>
        <v/>
      </c>
      <c r="D600" s="63" t="str">
        <f t="shared" si="38"/>
        <v/>
      </c>
      <c r="E600" s="7"/>
      <c r="F600" s="7"/>
      <c r="G600" s="7"/>
      <c r="H600" s="9"/>
      <c r="I600" s="40" t="str">
        <f t="shared" si="39"/>
        <v/>
      </c>
    </row>
    <row r="601" spans="1:9">
      <c r="A601" s="6">
        <f t="shared" si="36"/>
        <v>596</v>
      </c>
      <c r="B601" s="63"/>
      <c r="C601" s="63" t="str">
        <f t="shared" si="37"/>
        <v/>
      </c>
      <c r="D601" s="63" t="str">
        <f t="shared" si="38"/>
        <v/>
      </c>
      <c r="E601" s="7"/>
      <c r="F601" s="7"/>
      <c r="G601" s="7"/>
      <c r="H601" s="9"/>
      <c r="I601" s="40" t="str">
        <f t="shared" si="39"/>
        <v/>
      </c>
    </row>
    <row r="602" spans="1:9">
      <c r="A602" s="6">
        <f t="shared" si="36"/>
        <v>597</v>
      </c>
      <c r="B602" s="63"/>
      <c r="C602" s="63" t="str">
        <f t="shared" si="37"/>
        <v/>
      </c>
      <c r="D602" s="63" t="str">
        <f t="shared" si="38"/>
        <v/>
      </c>
      <c r="E602" s="7"/>
      <c r="F602" s="7"/>
      <c r="G602" s="7"/>
      <c r="H602" s="9"/>
      <c r="I602" s="40" t="str">
        <f t="shared" si="39"/>
        <v/>
      </c>
    </row>
    <row r="603" spans="1:9">
      <c r="A603" s="6">
        <f t="shared" si="36"/>
        <v>598</v>
      </c>
      <c r="B603" s="63"/>
      <c r="C603" s="63" t="str">
        <f t="shared" si="37"/>
        <v/>
      </c>
      <c r="D603" s="63" t="str">
        <f t="shared" si="38"/>
        <v/>
      </c>
      <c r="E603" s="7"/>
      <c r="F603" s="7"/>
      <c r="G603" s="7"/>
      <c r="H603" s="9"/>
      <c r="I603" s="40" t="str">
        <f t="shared" si="39"/>
        <v/>
      </c>
    </row>
    <row r="604" spans="1:9">
      <c r="A604" s="6">
        <f t="shared" si="36"/>
        <v>599</v>
      </c>
      <c r="B604" s="63"/>
      <c r="C604" s="63" t="str">
        <f t="shared" si="37"/>
        <v/>
      </c>
      <c r="D604" s="63" t="str">
        <f t="shared" si="38"/>
        <v/>
      </c>
      <c r="E604" s="7"/>
      <c r="F604" s="7"/>
      <c r="G604" s="7"/>
      <c r="H604" s="9"/>
      <c r="I604" s="40" t="str">
        <f t="shared" si="39"/>
        <v/>
      </c>
    </row>
    <row r="605" spans="1:9">
      <c r="A605" s="6">
        <f t="shared" si="36"/>
        <v>600</v>
      </c>
      <c r="B605" s="63"/>
      <c r="C605" s="63" t="str">
        <f t="shared" si="37"/>
        <v/>
      </c>
      <c r="D605" s="63" t="str">
        <f t="shared" si="38"/>
        <v/>
      </c>
      <c r="E605" s="7"/>
      <c r="F605" s="7"/>
      <c r="G605" s="7"/>
      <c r="H605" s="9"/>
      <c r="I605" s="40" t="str">
        <f t="shared" si="39"/>
        <v/>
      </c>
    </row>
    <row r="606" spans="1:9">
      <c r="A606" s="6">
        <f t="shared" si="36"/>
        <v>601</v>
      </c>
      <c r="B606" s="63"/>
      <c r="C606" s="63" t="str">
        <f t="shared" si="37"/>
        <v/>
      </c>
      <c r="D606" s="63" t="str">
        <f t="shared" si="38"/>
        <v/>
      </c>
      <c r="E606" s="7"/>
      <c r="F606" s="7"/>
      <c r="G606" s="7"/>
      <c r="H606" s="9"/>
      <c r="I606" s="40" t="str">
        <f t="shared" si="39"/>
        <v/>
      </c>
    </row>
    <row r="607" spans="1:9">
      <c r="A607" s="6">
        <f t="shared" si="36"/>
        <v>602</v>
      </c>
      <c r="B607" s="63"/>
      <c r="C607" s="63" t="str">
        <f t="shared" si="37"/>
        <v/>
      </c>
      <c r="D607" s="63" t="str">
        <f t="shared" si="38"/>
        <v/>
      </c>
      <c r="E607" s="7"/>
      <c r="F607" s="7"/>
      <c r="G607" s="7"/>
      <c r="H607" s="9"/>
      <c r="I607" s="40" t="str">
        <f t="shared" si="39"/>
        <v/>
      </c>
    </row>
    <row r="608" spans="1:9">
      <c r="A608" s="6">
        <f t="shared" si="36"/>
        <v>603</v>
      </c>
      <c r="B608" s="63"/>
      <c r="C608" s="63" t="str">
        <f t="shared" si="37"/>
        <v/>
      </c>
      <c r="D608" s="63" t="str">
        <f t="shared" si="38"/>
        <v/>
      </c>
      <c r="E608" s="7"/>
      <c r="F608" s="7"/>
      <c r="G608" s="7"/>
      <c r="H608" s="9"/>
      <c r="I608" s="40" t="str">
        <f t="shared" si="39"/>
        <v/>
      </c>
    </row>
    <row r="609" spans="1:9">
      <c r="A609" s="6">
        <f t="shared" si="36"/>
        <v>604</v>
      </c>
      <c r="B609" s="63"/>
      <c r="C609" s="63" t="str">
        <f t="shared" si="37"/>
        <v/>
      </c>
      <c r="D609" s="63" t="str">
        <f t="shared" si="38"/>
        <v/>
      </c>
      <c r="E609" s="7"/>
      <c r="F609" s="7"/>
      <c r="G609" s="7"/>
      <c r="H609" s="9"/>
      <c r="I609" s="40" t="str">
        <f t="shared" si="39"/>
        <v/>
      </c>
    </row>
    <row r="610" spans="1:9">
      <c r="A610" s="6">
        <f t="shared" si="36"/>
        <v>605</v>
      </c>
      <c r="B610" s="63"/>
      <c r="C610" s="63" t="str">
        <f t="shared" si="37"/>
        <v/>
      </c>
      <c r="D610" s="63" t="str">
        <f t="shared" si="38"/>
        <v/>
      </c>
      <c r="E610" s="7"/>
      <c r="F610" s="7"/>
      <c r="G610" s="7"/>
      <c r="H610" s="9"/>
      <c r="I610" s="40" t="str">
        <f t="shared" si="39"/>
        <v/>
      </c>
    </row>
    <row r="611" spans="1:9">
      <c r="A611" s="6">
        <f t="shared" si="36"/>
        <v>606</v>
      </c>
      <c r="B611" s="63"/>
      <c r="C611" s="63" t="str">
        <f t="shared" si="37"/>
        <v/>
      </c>
      <c r="D611" s="63" t="str">
        <f t="shared" si="38"/>
        <v/>
      </c>
      <c r="E611" s="7"/>
      <c r="F611" s="7"/>
      <c r="G611" s="7"/>
      <c r="H611" s="9"/>
      <c r="I611" s="40" t="str">
        <f t="shared" si="39"/>
        <v/>
      </c>
    </row>
    <row r="612" spans="1:9">
      <c r="A612" s="6">
        <f t="shared" si="36"/>
        <v>607</v>
      </c>
      <c r="B612" s="63"/>
      <c r="C612" s="63" t="str">
        <f t="shared" si="37"/>
        <v/>
      </c>
      <c r="D612" s="63" t="str">
        <f t="shared" si="38"/>
        <v/>
      </c>
      <c r="E612" s="7"/>
      <c r="F612" s="7"/>
      <c r="G612" s="7"/>
      <c r="H612" s="9"/>
      <c r="I612" s="40" t="str">
        <f t="shared" si="39"/>
        <v/>
      </c>
    </row>
    <row r="613" spans="1:9">
      <c r="A613" s="6">
        <f t="shared" si="36"/>
        <v>608</v>
      </c>
      <c r="B613" s="63"/>
      <c r="C613" s="63" t="str">
        <f t="shared" si="37"/>
        <v/>
      </c>
      <c r="D613" s="63" t="str">
        <f t="shared" si="38"/>
        <v/>
      </c>
      <c r="E613" s="7"/>
      <c r="F613" s="7"/>
      <c r="G613" s="7"/>
      <c r="H613" s="9"/>
      <c r="I613" s="40" t="str">
        <f t="shared" si="39"/>
        <v/>
      </c>
    </row>
    <row r="614" spans="1:9">
      <c r="A614" s="6">
        <f t="shared" si="36"/>
        <v>609</v>
      </c>
      <c r="B614" s="63"/>
      <c r="C614" s="63" t="str">
        <f t="shared" si="37"/>
        <v/>
      </c>
      <c r="D614" s="63" t="str">
        <f t="shared" si="38"/>
        <v/>
      </c>
      <c r="E614" s="7"/>
      <c r="F614" s="7"/>
      <c r="G614" s="7"/>
      <c r="H614" s="9"/>
      <c r="I614" s="40" t="str">
        <f t="shared" si="39"/>
        <v/>
      </c>
    </row>
    <row r="615" spans="1:9">
      <c r="A615" s="6">
        <f t="shared" si="36"/>
        <v>610</v>
      </c>
      <c r="B615" s="63"/>
      <c r="C615" s="63" t="str">
        <f t="shared" si="37"/>
        <v/>
      </c>
      <c r="D615" s="63" t="str">
        <f t="shared" si="38"/>
        <v/>
      </c>
      <c r="E615" s="7"/>
      <c r="F615" s="7"/>
      <c r="G615" s="7"/>
      <c r="H615" s="9"/>
      <c r="I615" s="40" t="str">
        <f t="shared" si="39"/>
        <v/>
      </c>
    </row>
    <row r="616" spans="1:9">
      <c r="A616" s="6">
        <f t="shared" si="36"/>
        <v>611</v>
      </c>
      <c r="B616" s="63"/>
      <c r="C616" s="63" t="str">
        <f t="shared" si="37"/>
        <v/>
      </c>
      <c r="D616" s="63" t="str">
        <f t="shared" si="38"/>
        <v/>
      </c>
      <c r="E616" s="7"/>
      <c r="F616" s="7"/>
      <c r="G616" s="7"/>
      <c r="H616" s="9"/>
      <c r="I616" s="40" t="str">
        <f t="shared" si="39"/>
        <v/>
      </c>
    </row>
    <row r="617" spans="1:9">
      <c r="A617" s="6">
        <f t="shared" si="36"/>
        <v>612</v>
      </c>
      <c r="B617" s="63"/>
      <c r="C617" s="63" t="str">
        <f t="shared" si="37"/>
        <v/>
      </c>
      <c r="D617" s="63" t="str">
        <f t="shared" si="38"/>
        <v/>
      </c>
      <c r="E617" s="7"/>
      <c r="F617" s="7"/>
      <c r="G617" s="7"/>
      <c r="H617" s="9"/>
      <c r="I617" s="40" t="str">
        <f t="shared" si="39"/>
        <v/>
      </c>
    </row>
    <row r="618" spans="1:9">
      <c r="A618" s="6">
        <f t="shared" si="36"/>
        <v>613</v>
      </c>
      <c r="B618" s="63"/>
      <c r="C618" s="63" t="str">
        <f t="shared" si="37"/>
        <v/>
      </c>
      <c r="D618" s="63" t="str">
        <f t="shared" si="38"/>
        <v/>
      </c>
      <c r="E618" s="7"/>
      <c r="F618" s="7"/>
      <c r="G618" s="7"/>
      <c r="H618" s="9"/>
      <c r="I618" s="40" t="str">
        <f t="shared" si="39"/>
        <v/>
      </c>
    </row>
    <row r="619" spans="1:9">
      <c r="A619" s="6">
        <f t="shared" si="36"/>
        <v>614</v>
      </c>
      <c r="B619" s="63"/>
      <c r="C619" s="63" t="str">
        <f t="shared" si="37"/>
        <v/>
      </c>
      <c r="D619" s="63" t="str">
        <f t="shared" si="38"/>
        <v/>
      </c>
      <c r="E619" s="7"/>
      <c r="F619" s="7"/>
      <c r="G619" s="7"/>
      <c r="H619" s="9"/>
      <c r="I619" s="40" t="str">
        <f t="shared" si="39"/>
        <v/>
      </c>
    </row>
    <row r="620" spans="1:9">
      <c r="A620" s="6">
        <f t="shared" si="36"/>
        <v>615</v>
      </c>
      <c r="B620" s="63"/>
      <c r="C620" s="63" t="str">
        <f t="shared" si="37"/>
        <v/>
      </c>
      <c r="D620" s="63" t="str">
        <f t="shared" si="38"/>
        <v/>
      </c>
      <c r="E620" s="7"/>
      <c r="F620" s="7"/>
      <c r="G620" s="7"/>
      <c r="H620" s="9"/>
      <c r="I620" s="40" t="str">
        <f t="shared" si="39"/>
        <v/>
      </c>
    </row>
    <row r="621" spans="1:9">
      <c r="A621" s="6">
        <f t="shared" si="36"/>
        <v>616</v>
      </c>
      <c r="B621" s="63"/>
      <c r="C621" s="63" t="str">
        <f t="shared" si="37"/>
        <v/>
      </c>
      <c r="D621" s="63" t="str">
        <f t="shared" si="38"/>
        <v/>
      </c>
      <c r="E621" s="7"/>
      <c r="F621" s="7"/>
      <c r="G621" s="7"/>
      <c r="H621" s="9"/>
      <c r="I621" s="40" t="str">
        <f t="shared" si="39"/>
        <v/>
      </c>
    </row>
    <row r="622" spans="1:9">
      <c r="A622" s="6">
        <f t="shared" si="36"/>
        <v>617</v>
      </c>
      <c r="B622" s="63"/>
      <c r="C622" s="63" t="str">
        <f t="shared" si="37"/>
        <v/>
      </c>
      <c r="D622" s="63" t="str">
        <f t="shared" si="38"/>
        <v/>
      </c>
      <c r="E622" s="7"/>
      <c r="F622" s="7"/>
      <c r="G622" s="7"/>
      <c r="H622" s="9"/>
      <c r="I622" s="40" t="str">
        <f t="shared" si="39"/>
        <v/>
      </c>
    </row>
    <row r="623" spans="1:9">
      <c r="A623" s="6">
        <f t="shared" si="36"/>
        <v>618</v>
      </c>
      <c r="B623" s="63"/>
      <c r="C623" s="63" t="str">
        <f t="shared" si="37"/>
        <v/>
      </c>
      <c r="D623" s="63" t="str">
        <f t="shared" si="38"/>
        <v/>
      </c>
      <c r="E623" s="7"/>
      <c r="F623" s="7"/>
      <c r="G623" s="7"/>
      <c r="H623" s="9"/>
      <c r="I623" s="40" t="str">
        <f t="shared" si="39"/>
        <v/>
      </c>
    </row>
    <row r="624" spans="1:9">
      <c r="A624" s="6">
        <f t="shared" si="36"/>
        <v>619</v>
      </c>
      <c r="B624" s="63"/>
      <c r="C624" s="63" t="str">
        <f t="shared" si="37"/>
        <v/>
      </c>
      <c r="D624" s="63" t="str">
        <f t="shared" si="38"/>
        <v/>
      </c>
      <c r="E624" s="7"/>
      <c r="F624" s="7"/>
      <c r="G624" s="7"/>
      <c r="H624" s="9"/>
      <c r="I624" s="40" t="str">
        <f t="shared" si="39"/>
        <v/>
      </c>
    </row>
    <row r="625" spans="1:9">
      <c r="A625" s="6">
        <f t="shared" si="36"/>
        <v>620</v>
      </c>
      <c r="B625" s="63"/>
      <c r="C625" s="63" t="str">
        <f t="shared" si="37"/>
        <v/>
      </c>
      <c r="D625" s="63" t="str">
        <f t="shared" si="38"/>
        <v/>
      </c>
      <c r="E625" s="7"/>
      <c r="F625" s="7"/>
      <c r="G625" s="7"/>
      <c r="H625" s="9"/>
      <c r="I625" s="40" t="str">
        <f t="shared" si="39"/>
        <v/>
      </c>
    </row>
    <row r="626" spans="1:9">
      <c r="A626" s="6">
        <f t="shared" si="36"/>
        <v>621</v>
      </c>
      <c r="B626" s="63"/>
      <c r="C626" s="63" t="str">
        <f t="shared" si="37"/>
        <v/>
      </c>
      <c r="D626" s="63" t="str">
        <f t="shared" si="38"/>
        <v/>
      </c>
      <c r="E626" s="7"/>
      <c r="F626" s="7"/>
      <c r="G626" s="7"/>
      <c r="H626" s="9"/>
      <c r="I626" s="40" t="str">
        <f t="shared" si="39"/>
        <v/>
      </c>
    </row>
    <row r="627" spans="1:9">
      <c r="A627" s="6">
        <f t="shared" si="36"/>
        <v>622</v>
      </c>
      <c r="B627" s="63"/>
      <c r="C627" s="63" t="str">
        <f t="shared" si="37"/>
        <v/>
      </c>
      <c r="D627" s="63" t="str">
        <f t="shared" si="38"/>
        <v/>
      </c>
      <c r="E627" s="7"/>
      <c r="F627" s="7"/>
      <c r="G627" s="7"/>
      <c r="H627" s="9"/>
      <c r="I627" s="40" t="str">
        <f t="shared" si="39"/>
        <v/>
      </c>
    </row>
    <row r="628" spans="1:9">
      <c r="A628" s="6">
        <f t="shared" si="36"/>
        <v>623</v>
      </c>
      <c r="B628" s="63"/>
      <c r="C628" s="63" t="str">
        <f t="shared" si="37"/>
        <v/>
      </c>
      <c r="D628" s="63" t="str">
        <f t="shared" si="38"/>
        <v/>
      </c>
      <c r="E628" s="7"/>
      <c r="F628" s="7"/>
      <c r="G628" s="7"/>
      <c r="H628" s="9"/>
      <c r="I628" s="40" t="str">
        <f t="shared" si="39"/>
        <v/>
      </c>
    </row>
    <row r="629" spans="1:9">
      <c r="A629" s="6">
        <f t="shared" si="36"/>
        <v>624</v>
      </c>
      <c r="B629" s="63"/>
      <c r="C629" s="63" t="str">
        <f t="shared" si="37"/>
        <v/>
      </c>
      <c r="D629" s="63" t="str">
        <f t="shared" si="38"/>
        <v/>
      </c>
      <c r="E629" s="7"/>
      <c r="F629" s="7"/>
      <c r="G629" s="7"/>
      <c r="H629" s="9"/>
      <c r="I629" s="40" t="str">
        <f t="shared" si="39"/>
        <v/>
      </c>
    </row>
    <row r="630" spans="1:9">
      <c r="A630" s="6">
        <f t="shared" si="36"/>
        <v>625</v>
      </c>
      <c r="B630" s="63"/>
      <c r="C630" s="63" t="str">
        <f t="shared" si="37"/>
        <v/>
      </c>
      <c r="D630" s="63" t="str">
        <f t="shared" si="38"/>
        <v/>
      </c>
      <c r="E630" s="7"/>
      <c r="F630" s="7"/>
      <c r="G630" s="7"/>
      <c r="H630" s="9"/>
      <c r="I630" s="40" t="str">
        <f t="shared" si="39"/>
        <v/>
      </c>
    </row>
    <row r="631" spans="1:9">
      <c r="A631" s="6">
        <f t="shared" si="36"/>
        <v>626</v>
      </c>
      <c r="B631" s="63"/>
      <c r="C631" s="63" t="str">
        <f t="shared" si="37"/>
        <v/>
      </c>
      <c r="D631" s="63" t="str">
        <f t="shared" si="38"/>
        <v/>
      </c>
      <c r="E631" s="7"/>
      <c r="F631" s="7"/>
      <c r="G631" s="7"/>
      <c r="H631" s="9"/>
      <c r="I631" s="40" t="str">
        <f t="shared" si="39"/>
        <v/>
      </c>
    </row>
    <row r="632" spans="1:9">
      <c r="A632" s="6">
        <f t="shared" si="36"/>
        <v>627</v>
      </c>
      <c r="B632" s="63"/>
      <c r="C632" s="63" t="str">
        <f t="shared" si="37"/>
        <v/>
      </c>
      <c r="D632" s="63" t="str">
        <f t="shared" si="38"/>
        <v/>
      </c>
      <c r="E632" s="7"/>
      <c r="F632" s="7"/>
      <c r="G632" s="7"/>
      <c r="H632" s="9"/>
      <c r="I632" s="40" t="str">
        <f t="shared" si="39"/>
        <v/>
      </c>
    </row>
    <row r="633" spans="1:9">
      <c r="A633" s="6">
        <f t="shared" si="36"/>
        <v>628</v>
      </c>
      <c r="B633" s="63"/>
      <c r="C633" s="63" t="str">
        <f t="shared" si="37"/>
        <v/>
      </c>
      <c r="D633" s="63" t="str">
        <f t="shared" si="38"/>
        <v/>
      </c>
      <c r="E633" s="7"/>
      <c r="F633" s="7"/>
      <c r="G633" s="7"/>
      <c r="H633" s="9"/>
      <c r="I633" s="40" t="str">
        <f t="shared" si="39"/>
        <v/>
      </c>
    </row>
    <row r="634" spans="1:9">
      <c r="A634" s="6">
        <f t="shared" si="36"/>
        <v>629</v>
      </c>
      <c r="B634" s="63"/>
      <c r="C634" s="63" t="str">
        <f t="shared" si="37"/>
        <v/>
      </c>
      <c r="D634" s="63" t="str">
        <f t="shared" si="38"/>
        <v/>
      </c>
      <c r="E634" s="7"/>
      <c r="F634" s="7"/>
      <c r="G634" s="7"/>
      <c r="H634" s="9"/>
      <c r="I634" s="40" t="str">
        <f t="shared" si="39"/>
        <v/>
      </c>
    </row>
    <row r="635" spans="1:9">
      <c r="A635" s="6">
        <f t="shared" si="36"/>
        <v>630</v>
      </c>
      <c r="B635" s="63"/>
      <c r="C635" s="63" t="str">
        <f t="shared" si="37"/>
        <v/>
      </c>
      <c r="D635" s="63" t="str">
        <f t="shared" si="38"/>
        <v/>
      </c>
      <c r="E635" s="7"/>
      <c r="F635" s="7"/>
      <c r="G635" s="7"/>
      <c r="H635" s="9"/>
      <c r="I635" s="40" t="str">
        <f t="shared" si="39"/>
        <v/>
      </c>
    </row>
    <row r="636" spans="1:9">
      <c r="A636" s="6">
        <f t="shared" si="36"/>
        <v>631</v>
      </c>
      <c r="B636" s="63"/>
      <c r="C636" s="63" t="str">
        <f t="shared" si="37"/>
        <v/>
      </c>
      <c r="D636" s="63" t="str">
        <f t="shared" si="38"/>
        <v/>
      </c>
      <c r="E636" s="7"/>
      <c r="F636" s="7"/>
      <c r="G636" s="7"/>
      <c r="H636" s="9"/>
      <c r="I636" s="40" t="str">
        <f t="shared" si="39"/>
        <v/>
      </c>
    </row>
    <row r="637" spans="1:9">
      <c r="A637" s="6">
        <f t="shared" si="36"/>
        <v>632</v>
      </c>
      <c r="B637" s="63"/>
      <c r="C637" s="63" t="str">
        <f t="shared" si="37"/>
        <v/>
      </c>
      <c r="D637" s="63" t="str">
        <f t="shared" si="38"/>
        <v/>
      </c>
      <c r="E637" s="7"/>
      <c r="F637" s="7"/>
      <c r="G637" s="7"/>
      <c r="H637" s="9"/>
      <c r="I637" s="40" t="str">
        <f t="shared" si="39"/>
        <v/>
      </c>
    </row>
    <row r="638" spans="1:9">
      <c r="A638" s="6">
        <f t="shared" si="36"/>
        <v>633</v>
      </c>
      <c r="B638" s="63"/>
      <c r="C638" s="63" t="str">
        <f t="shared" si="37"/>
        <v/>
      </c>
      <c r="D638" s="63" t="str">
        <f t="shared" si="38"/>
        <v/>
      </c>
      <c r="E638" s="7"/>
      <c r="F638" s="7"/>
      <c r="G638" s="7"/>
      <c r="H638" s="9"/>
      <c r="I638" s="40" t="str">
        <f t="shared" si="39"/>
        <v/>
      </c>
    </row>
    <row r="639" spans="1:9">
      <c r="A639" s="6">
        <f t="shared" si="36"/>
        <v>634</v>
      </c>
      <c r="B639" s="63"/>
      <c r="C639" s="63" t="str">
        <f t="shared" si="37"/>
        <v/>
      </c>
      <c r="D639" s="63" t="str">
        <f t="shared" si="38"/>
        <v/>
      </c>
      <c r="E639" s="7"/>
      <c r="F639" s="7"/>
      <c r="G639" s="7"/>
      <c r="H639" s="9"/>
      <c r="I639" s="40" t="str">
        <f t="shared" si="39"/>
        <v/>
      </c>
    </row>
    <row r="640" spans="1:9">
      <c r="A640" s="6">
        <f t="shared" si="36"/>
        <v>635</v>
      </c>
      <c r="B640" s="63"/>
      <c r="C640" s="63" t="str">
        <f t="shared" si="37"/>
        <v/>
      </c>
      <c r="D640" s="63" t="str">
        <f t="shared" si="38"/>
        <v/>
      </c>
      <c r="E640" s="7"/>
      <c r="F640" s="7"/>
      <c r="G640" s="7"/>
      <c r="H640" s="9"/>
      <c r="I640" s="40" t="str">
        <f t="shared" si="39"/>
        <v/>
      </c>
    </row>
    <row r="641" spans="1:9">
      <c r="A641" s="6">
        <f t="shared" si="36"/>
        <v>636</v>
      </c>
      <c r="B641" s="63"/>
      <c r="C641" s="63" t="str">
        <f t="shared" si="37"/>
        <v/>
      </c>
      <c r="D641" s="63" t="str">
        <f t="shared" si="38"/>
        <v/>
      </c>
      <c r="E641" s="7"/>
      <c r="F641" s="7"/>
      <c r="G641" s="7"/>
      <c r="H641" s="9"/>
      <c r="I641" s="40" t="str">
        <f t="shared" si="39"/>
        <v/>
      </c>
    </row>
    <row r="642" spans="1:9">
      <c r="A642" s="6">
        <f t="shared" si="36"/>
        <v>637</v>
      </c>
      <c r="B642" s="63"/>
      <c r="C642" s="63" t="str">
        <f t="shared" si="37"/>
        <v/>
      </c>
      <c r="D642" s="63" t="str">
        <f t="shared" si="38"/>
        <v/>
      </c>
      <c r="E642" s="7"/>
      <c r="F642" s="7"/>
      <c r="G642" s="7"/>
      <c r="H642" s="9"/>
      <c r="I642" s="40" t="str">
        <f t="shared" si="39"/>
        <v/>
      </c>
    </row>
    <row r="643" spans="1:9">
      <c r="A643" s="6">
        <f t="shared" si="36"/>
        <v>638</v>
      </c>
      <c r="B643" s="63"/>
      <c r="C643" s="63" t="str">
        <f t="shared" si="37"/>
        <v/>
      </c>
      <c r="D643" s="63" t="str">
        <f t="shared" si="38"/>
        <v/>
      </c>
      <c r="E643" s="7"/>
      <c r="F643" s="7"/>
      <c r="G643" s="7"/>
      <c r="H643" s="9"/>
      <c r="I643" s="40" t="str">
        <f t="shared" si="39"/>
        <v/>
      </c>
    </row>
    <row r="644" spans="1:9">
      <c r="A644" s="6">
        <f t="shared" si="36"/>
        <v>639</v>
      </c>
      <c r="B644" s="63"/>
      <c r="C644" s="63" t="str">
        <f t="shared" si="37"/>
        <v/>
      </c>
      <c r="D644" s="63" t="str">
        <f t="shared" si="38"/>
        <v/>
      </c>
      <c r="E644" s="7"/>
      <c r="F644" s="7"/>
      <c r="G644" s="7"/>
      <c r="H644" s="9"/>
      <c r="I644" s="40" t="str">
        <f t="shared" si="39"/>
        <v/>
      </c>
    </row>
    <row r="645" spans="1:9">
      <c r="A645" s="6">
        <f t="shared" si="36"/>
        <v>640</v>
      </c>
      <c r="B645" s="63"/>
      <c r="C645" s="63" t="str">
        <f t="shared" si="37"/>
        <v/>
      </c>
      <c r="D645" s="63" t="str">
        <f t="shared" si="38"/>
        <v/>
      </c>
      <c r="E645" s="7"/>
      <c r="F645" s="7"/>
      <c r="G645" s="7"/>
      <c r="H645" s="9"/>
      <c r="I645" s="40" t="str">
        <f t="shared" si="39"/>
        <v/>
      </c>
    </row>
    <row r="646" spans="1:9">
      <c r="A646" s="6">
        <f t="shared" si="36"/>
        <v>641</v>
      </c>
      <c r="B646" s="63"/>
      <c r="C646" s="63" t="str">
        <f t="shared" si="37"/>
        <v/>
      </c>
      <c r="D646" s="63" t="str">
        <f t="shared" si="38"/>
        <v/>
      </c>
      <c r="E646" s="7"/>
      <c r="F646" s="7"/>
      <c r="G646" s="7"/>
      <c r="H646" s="9"/>
      <c r="I646" s="40" t="str">
        <f t="shared" si="39"/>
        <v/>
      </c>
    </row>
    <row r="647" spans="1:9">
      <c r="A647" s="6">
        <f t="shared" ref="A647:A710" si="40">ROW(A642)</f>
        <v>642</v>
      </c>
      <c r="B647" s="63"/>
      <c r="C647" s="63" t="str">
        <f t="shared" ref="C647:C710" si="41">IF(B647=0,"",TEXT(B647,"mmmm"))</f>
        <v/>
      </c>
      <c r="D647" s="63" t="str">
        <f t="shared" ref="D647:D710" si="42">IF(B647=0,"",TEXT(B647,"yyyy"))</f>
        <v/>
      </c>
      <c r="E647" s="7"/>
      <c r="F647" s="7"/>
      <c r="G647" s="7"/>
      <c r="H647" s="9"/>
      <c r="I647" s="40" t="str">
        <f t="shared" ref="I647:I710" si="43">IF(H647*G647=0,"",H647*G647)</f>
        <v/>
      </c>
    </row>
    <row r="648" spans="1:9">
      <c r="A648" s="6">
        <f t="shared" si="40"/>
        <v>643</v>
      </c>
      <c r="B648" s="63"/>
      <c r="C648" s="63" t="str">
        <f t="shared" si="41"/>
        <v/>
      </c>
      <c r="D648" s="63" t="str">
        <f t="shared" si="42"/>
        <v/>
      </c>
      <c r="E648" s="7"/>
      <c r="F648" s="7"/>
      <c r="G648" s="7"/>
      <c r="H648" s="9"/>
      <c r="I648" s="40" t="str">
        <f t="shared" si="43"/>
        <v/>
      </c>
    </row>
    <row r="649" spans="1:9">
      <c r="A649" s="6">
        <f t="shared" si="40"/>
        <v>644</v>
      </c>
      <c r="B649" s="63"/>
      <c r="C649" s="63" t="str">
        <f t="shared" si="41"/>
        <v/>
      </c>
      <c r="D649" s="63" t="str">
        <f t="shared" si="42"/>
        <v/>
      </c>
      <c r="E649" s="7"/>
      <c r="F649" s="7"/>
      <c r="G649" s="7"/>
      <c r="H649" s="9"/>
      <c r="I649" s="40" t="str">
        <f t="shared" si="43"/>
        <v/>
      </c>
    </row>
    <row r="650" spans="1:9">
      <c r="A650" s="6">
        <f t="shared" si="40"/>
        <v>645</v>
      </c>
      <c r="B650" s="63"/>
      <c r="C650" s="63" t="str">
        <f t="shared" si="41"/>
        <v/>
      </c>
      <c r="D650" s="63" t="str">
        <f t="shared" si="42"/>
        <v/>
      </c>
      <c r="E650" s="7"/>
      <c r="F650" s="7"/>
      <c r="G650" s="7"/>
      <c r="H650" s="9"/>
      <c r="I650" s="40" t="str">
        <f t="shared" si="43"/>
        <v/>
      </c>
    </row>
    <row r="651" spans="1:9">
      <c r="A651" s="6">
        <f t="shared" si="40"/>
        <v>646</v>
      </c>
      <c r="B651" s="63"/>
      <c r="C651" s="63" t="str">
        <f t="shared" si="41"/>
        <v/>
      </c>
      <c r="D651" s="63" t="str">
        <f t="shared" si="42"/>
        <v/>
      </c>
      <c r="E651" s="7"/>
      <c r="F651" s="7"/>
      <c r="G651" s="7"/>
      <c r="H651" s="9"/>
      <c r="I651" s="40" t="str">
        <f t="shared" si="43"/>
        <v/>
      </c>
    </row>
    <row r="652" spans="1:9">
      <c r="A652" s="6">
        <f t="shared" si="40"/>
        <v>647</v>
      </c>
      <c r="B652" s="63"/>
      <c r="C652" s="63" t="str">
        <f t="shared" si="41"/>
        <v/>
      </c>
      <c r="D652" s="63" t="str">
        <f t="shared" si="42"/>
        <v/>
      </c>
      <c r="E652" s="7"/>
      <c r="F652" s="7"/>
      <c r="G652" s="7"/>
      <c r="H652" s="9"/>
      <c r="I652" s="40" t="str">
        <f t="shared" si="43"/>
        <v/>
      </c>
    </row>
    <row r="653" spans="1:9">
      <c r="A653" s="6">
        <f t="shared" si="40"/>
        <v>648</v>
      </c>
      <c r="B653" s="63"/>
      <c r="C653" s="63" t="str">
        <f t="shared" si="41"/>
        <v/>
      </c>
      <c r="D653" s="63" t="str">
        <f t="shared" si="42"/>
        <v/>
      </c>
      <c r="E653" s="7"/>
      <c r="F653" s="7"/>
      <c r="G653" s="7"/>
      <c r="H653" s="9"/>
      <c r="I653" s="40" t="str">
        <f t="shared" si="43"/>
        <v/>
      </c>
    </row>
    <row r="654" spans="1:9">
      <c r="A654" s="6">
        <f t="shared" si="40"/>
        <v>649</v>
      </c>
      <c r="B654" s="63"/>
      <c r="C654" s="63" t="str">
        <f t="shared" si="41"/>
        <v/>
      </c>
      <c r="D654" s="63" t="str">
        <f t="shared" si="42"/>
        <v/>
      </c>
      <c r="E654" s="7"/>
      <c r="F654" s="7"/>
      <c r="G654" s="7"/>
      <c r="H654" s="9"/>
      <c r="I654" s="40" t="str">
        <f t="shared" si="43"/>
        <v/>
      </c>
    </row>
    <row r="655" spans="1:9">
      <c r="A655" s="6">
        <f t="shared" si="40"/>
        <v>650</v>
      </c>
      <c r="B655" s="63"/>
      <c r="C655" s="63" t="str">
        <f t="shared" si="41"/>
        <v/>
      </c>
      <c r="D655" s="63" t="str">
        <f t="shared" si="42"/>
        <v/>
      </c>
      <c r="E655" s="7"/>
      <c r="F655" s="7"/>
      <c r="G655" s="7"/>
      <c r="H655" s="9"/>
      <c r="I655" s="40" t="str">
        <f t="shared" si="43"/>
        <v/>
      </c>
    </row>
    <row r="656" spans="1:9">
      <c r="A656" s="6">
        <f t="shared" si="40"/>
        <v>651</v>
      </c>
      <c r="B656" s="63"/>
      <c r="C656" s="63" t="str">
        <f t="shared" si="41"/>
        <v/>
      </c>
      <c r="D656" s="63" t="str">
        <f t="shared" si="42"/>
        <v/>
      </c>
      <c r="E656" s="7"/>
      <c r="F656" s="7"/>
      <c r="G656" s="7"/>
      <c r="H656" s="9"/>
      <c r="I656" s="40" t="str">
        <f t="shared" si="43"/>
        <v/>
      </c>
    </row>
    <row r="657" spans="1:9">
      <c r="A657" s="6">
        <f t="shared" si="40"/>
        <v>652</v>
      </c>
      <c r="B657" s="63"/>
      <c r="C657" s="63" t="str">
        <f t="shared" si="41"/>
        <v/>
      </c>
      <c r="D657" s="63" t="str">
        <f t="shared" si="42"/>
        <v/>
      </c>
      <c r="E657" s="7"/>
      <c r="F657" s="7"/>
      <c r="G657" s="7"/>
      <c r="H657" s="9"/>
      <c r="I657" s="40" t="str">
        <f t="shared" si="43"/>
        <v/>
      </c>
    </row>
    <row r="658" spans="1:9">
      <c r="A658" s="6">
        <f t="shared" si="40"/>
        <v>653</v>
      </c>
      <c r="B658" s="63"/>
      <c r="C658" s="63" t="str">
        <f t="shared" si="41"/>
        <v/>
      </c>
      <c r="D658" s="63" t="str">
        <f t="shared" si="42"/>
        <v/>
      </c>
      <c r="E658" s="7"/>
      <c r="F658" s="7"/>
      <c r="G658" s="7"/>
      <c r="H658" s="9"/>
      <c r="I658" s="40" t="str">
        <f t="shared" si="43"/>
        <v/>
      </c>
    </row>
    <row r="659" spans="1:9">
      <c r="A659" s="6">
        <f t="shared" si="40"/>
        <v>654</v>
      </c>
      <c r="B659" s="63"/>
      <c r="C659" s="63" t="str">
        <f t="shared" si="41"/>
        <v/>
      </c>
      <c r="D659" s="63" t="str">
        <f t="shared" si="42"/>
        <v/>
      </c>
      <c r="E659" s="7"/>
      <c r="F659" s="7"/>
      <c r="G659" s="7"/>
      <c r="H659" s="9"/>
      <c r="I659" s="40" t="str">
        <f t="shared" si="43"/>
        <v/>
      </c>
    </row>
    <row r="660" spans="1:9">
      <c r="A660" s="6">
        <f t="shared" si="40"/>
        <v>655</v>
      </c>
      <c r="B660" s="63"/>
      <c r="C660" s="63" t="str">
        <f t="shared" si="41"/>
        <v/>
      </c>
      <c r="D660" s="63" t="str">
        <f t="shared" si="42"/>
        <v/>
      </c>
      <c r="E660" s="7"/>
      <c r="F660" s="7"/>
      <c r="G660" s="7"/>
      <c r="H660" s="9"/>
      <c r="I660" s="40" t="str">
        <f t="shared" si="43"/>
        <v/>
      </c>
    </row>
    <row r="661" spans="1:9">
      <c r="A661" s="6">
        <f t="shared" si="40"/>
        <v>656</v>
      </c>
      <c r="B661" s="63"/>
      <c r="C661" s="63" t="str">
        <f t="shared" si="41"/>
        <v/>
      </c>
      <c r="D661" s="63" t="str">
        <f t="shared" si="42"/>
        <v/>
      </c>
      <c r="E661" s="7"/>
      <c r="F661" s="7"/>
      <c r="G661" s="7"/>
      <c r="H661" s="9"/>
      <c r="I661" s="40" t="str">
        <f t="shared" si="43"/>
        <v/>
      </c>
    </row>
    <row r="662" spans="1:9">
      <c r="A662" s="6">
        <f t="shared" si="40"/>
        <v>657</v>
      </c>
      <c r="B662" s="63"/>
      <c r="C662" s="63" t="str">
        <f t="shared" si="41"/>
        <v/>
      </c>
      <c r="D662" s="63" t="str">
        <f t="shared" si="42"/>
        <v/>
      </c>
      <c r="E662" s="7"/>
      <c r="F662" s="7"/>
      <c r="G662" s="7"/>
      <c r="H662" s="9"/>
      <c r="I662" s="40" t="str">
        <f t="shared" si="43"/>
        <v/>
      </c>
    </row>
    <row r="663" spans="1:9">
      <c r="A663" s="6">
        <f t="shared" si="40"/>
        <v>658</v>
      </c>
      <c r="B663" s="63"/>
      <c r="C663" s="63" t="str">
        <f t="shared" si="41"/>
        <v/>
      </c>
      <c r="D663" s="63" t="str">
        <f t="shared" si="42"/>
        <v/>
      </c>
      <c r="E663" s="7"/>
      <c r="F663" s="7"/>
      <c r="G663" s="7"/>
      <c r="H663" s="9"/>
      <c r="I663" s="40" t="str">
        <f t="shared" si="43"/>
        <v/>
      </c>
    </row>
    <row r="664" spans="1:9">
      <c r="A664" s="6">
        <f t="shared" si="40"/>
        <v>659</v>
      </c>
      <c r="B664" s="63"/>
      <c r="C664" s="63" t="str">
        <f t="shared" si="41"/>
        <v/>
      </c>
      <c r="D664" s="63" t="str">
        <f t="shared" si="42"/>
        <v/>
      </c>
      <c r="E664" s="7"/>
      <c r="F664" s="7"/>
      <c r="G664" s="7"/>
      <c r="H664" s="9"/>
      <c r="I664" s="40" t="str">
        <f t="shared" si="43"/>
        <v/>
      </c>
    </row>
    <row r="665" spans="1:9">
      <c r="A665" s="6">
        <f t="shared" si="40"/>
        <v>660</v>
      </c>
      <c r="B665" s="63"/>
      <c r="C665" s="63" t="str">
        <f t="shared" si="41"/>
        <v/>
      </c>
      <c r="D665" s="63" t="str">
        <f t="shared" si="42"/>
        <v/>
      </c>
      <c r="E665" s="7"/>
      <c r="F665" s="7"/>
      <c r="G665" s="7"/>
      <c r="H665" s="9"/>
      <c r="I665" s="40" t="str">
        <f t="shared" si="43"/>
        <v/>
      </c>
    </row>
    <row r="666" spans="1:9">
      <c r="A666" s="6">
        <f t="shared" si="40"/>
        <v>661</v>
      </c>
      <c r="B666" s="63"/>
      <c r="C666" s="63" t="str">
        <f t="shared" si="41"/>
        <v/>
      </c>
      <c r="D666" s="63" t="str">
        <f t="shared" si="42"/>
        <v/>
      </c>
      <c r="E666" s="7"/>
      <c r="F666" s="7"/>
      <c r="G666" s="7"/>
      <c r="H666" s="9"/>
      <c r="I666" s="40" t="str">
        <f t="shared" si="43"/>
        <v/>
      </c>
    </row>
    <row r="667" spans="1:9">
      <c r="A667" s="6">
        <f t="shared" si="40"/>
        <v>662</v>
      </c>
      <c r="B667" s="63"/>
      <c r="C667" s="63" t="str">
        <f t="shared" si="41"/>
        <v/>
      </c>
      <c r="D667" s="63" t="str">
        <f t="shared" si="42"/>
        <v/>
      </c>
      <c r="E667" s="7"/>
      <c r="F667" s="7"/>
      <c r="G667" s="7"/>
      <c r="H667" s="9"/>
      <c r="I667" s="40" t="str">
        <f t="shared" si="43"/>
        <v/>
      </c>
    </row>
    <row r="668" spans="1:9">
      <c r="A668" s="6">
        <f t="shared" si="40"/>
        <v>663</v>
      </c>
      <c r="B668" s="63"/>
      <c r="C668" s="63" t="str">
        <f t="shared" si="41"/>
        <v/>
      </c>
      <c r="D668" s="63" t="str">
        <f t="shared" si="42"/>
        <v/>
      </c>
      <c r="E668" s="7"/>
      <c r="F668" s="7"/>
      <c r="G668" s="7"/>
      <c r="H668" s="9"/>
      <c r="I668" s="40" t="str">
        <f t="shared" si="43"/>
        <v/>
      </c>
    </row>
    <row r="669" spans="1:9">
      <c r="A669" s="6">
        <f t="shared" si="40"/>
        <v>664</v>
      </c>
      <c r="B669" s="63"/>
      <c r="C669" s="63" t="str">
        <f t="shared" si="41"/>
        <v/>
      </c>
      <c r="D669" s="63" t="str">
        <f t="shared" si="42"/>
        <v/>
      </c>
      <c r="E669" s="7"/>
      <c r="F669" s="7"/>
      <c r="G669" s="7"/>
      <c r="H669" s="9"/>
      <c r="I669" s="40" t="str">
        <f t="shared" si="43"/>
        <v/>
      </c>
    </row>
    <row r="670" spans="1:9">
      <c r="A670" s="6">
        <f t="shared" si="40"/>
        <v>665</v>
      </c>
      <c r="B670" s="63"/>
      <c r="C670" s="63" t="str">
        <f t="shared" si="41"/>
        <v/>
      </c>
      <c r="D670" s="63" t="str">
        <f t="shared" si="42"/>
        <v/>
      </c>
      <c r="E670" s="7"/>
      <c r="F670" s="7"/>
      <c r="G670" s="7"/>
      <c r="H670" s="9"/>
      <c r="I670" s="40" t="str">
        <f t="shared" si="43"/>
        <v/>
      </c>
    </row>
    <row r="671" spans="1:9">
      <c r="A671" s="6">
        <f t="shared" si="40"/>
        <v>666</v>
      </c>
      <c r="B671" s="63"/>
      <c r="C671" s="63" t="str">
        <f t="shared" si="41"/>
        <v/>
      </c>
      <c r="D671" s="63" t="str">
        <f t="shared" si="42"/>
        <v/>
      </c>
      <c r="E671" s="7"/>
      <c r="F671" s="7"/>
      <c r="G671" s="7"/>
      <c r="H671" s="9"/>
      <c r="I671" s="40" t="str">
        <f t="shared" si="43"/>
        <v/>
      </c>
    </row>
    <row r="672" spans="1:9">
      <c r="A672" s="6">
        <f t="shared" si="40"/>
        <v>667</v>
      </c>
      <c r="B672" s="63"/>
      <c r="C672" s="63" t="str">
        <f t="shared" si="41"/>
        <v/>
      </c>
      <c r="D672" s="63" t="str">
        <f t="shared" si="42"/>
        <v/>
      </c>
      <c r="E672" s="7"/>
      <c r="F672" s="7"/>
      <c r="G672" s="7"/>
      <c r="H672" s="9"/>
      <c r="I672" s="40" t="str">
        <f t="shared" si="43"/>
        <v/>
      </c>
    </row>
    <row r="673" spans="1:9">
      <c r="A673" s="6">
        <f t="shared" si="40"/>
        <v>668</v>
      </c>
      <c r="B673" s="63"/>
      <c r="C673" s="63" t="str">
        <f t="shared" si="41"/>
        <v/>
      </c>
      <c r="D673" s="63" t="str">
        <f t="shared" si="42"/>
        <v/>
      </c>
      <c r="E673" s="7"/>
      <c r="F673" s="7"/>
      <c r="G673" s="7"/>
      <c r="H673" s="9"/>
      <c r="I673" s="40" t="str">
        <f t="shared" si="43"/>
        <v/>
      </c>
    </row>
    <row r="674" spans="1:9">
      <c r="A674" s="6">
        <f t="shared" si="40"/>
        <v>669</v>
      </c>
      <c r="B674" s="63"/>
      <c r="C674" s="63" t="str">
        <f t="shared" si="41"/>
        <v/>
      </c>
      <c r="D674" s="63" t="str">
        <f t="shared" si="42"/>
        <v/>
      </c>
      <c r="E674" s="7"/>
      <c r="F674" s="7"/>
      <c r="G674" s="7"/>
      <c r="H674" s="9"/>
      <c r="I674" s="40" t="str">
        <f t="shared" si="43"/>
        <v/>
      </c>
    </row>
    <row r="675" spans="1:9">
      <c r="A675" s="6">
        <f t="shared" si="40"/>
        <v>670</v>
      </c>
      <c r="B675" s="63"/>
      <c r="C675" s="63" t="str">
        <f t="shared" si="41"/>
        <v/>
      </c>
      <c r="D675" s="63" t="str">
        <f t="shared" si="42"/>
        <v/>
      </c>
      <c r="E675" s="7"/>
      <c r="F675" s="7"/>
      <c r="G675" s="7"/>
      <c r="H675" s="9"/>
      <c r="I675" s="40" t="str">
        <f t="shared" si="43"/>
        <v/>
      </c>
    </row>
    <row r="676" spans="1:9">
      <c r="A676" s="6">
        <f t="shared" si="40"/>
        <v>671</v>
      </c>
      <c r="B676" s="63"/>
      <c r="C676" s="63" t="str">
        <f t="shared" si="41"/>
        <v/>
      </c>
      <c r="D676" s="63" t="str">
        <f t="shared" si="42"/>
        <v/>
      </c>
      <c r="E676" s="7"/>
      <c r="F676" s="7"/>
      <c r="G676" s="7"/>
      <c r="H676" s="9"/>
      <c r="I676" s="40" t="str">
        <f t="shared" si="43"/>
        <v/>
      </c>
    </row>
    <row r="677" spans="1:9">
      <c r="A677" s="6">
        <f t="shared" si="40"/>
        <v>672</v>
      </c>
      <c r="B677" s="63"/>
      <c r="C677" s="63" t="str">
        <f t="shared" si="41"/>
        <v/>
      </c>
      <c r="D677" s="63" t="str">
        <f t="shared" si="42"/>
        <v/>
      </c>
      <c r="E677" s="7"/>
      <c r="F677" s="7"/>
      <c r="G677" s="7"/>
      <c r="H677" s="9"/>
      <c r="I677" s="40" t="str">
        <f t="shared" si="43"/>
        <v/>
      </c>
    </row>
    <row r="678" spans="1:9">
      <c r="A678" s="6">
        <f t="shared" si="40"/>
        <v>673</v>
      </c>
      <c r="B678" s="63"/>
      <c r="C678" s="63" t="str">
        <f t="shared" si="41"/>
        <v/>
      </c>
      <c r="D678" s="63" t="str">
        <f t="shared" si="42"/>
        <v/>
      </c>
      <c r="E678" s="7"/>
      <c r="F678" s="7"/>
      <c r="G678" s="7"/>
      <c r="H678" s="9"/>
      <c r="I678" s="40" t="str">
        <f t="shared" si="43"/>
        <v/>
      </c>
    </row>
    <row r="679" spans="1:9">
      <c r="A679" s="6">
        <f t="shared" si="40"/>
        <v>674</v>
      </c>
      <c r="B679" s="63"/>
      <c r="C679" s="63" t="str">
        <f t="shared" si="41"/>
        <v/>
      </c>
      <c r="D679" s="63" t="str">
        <f t="shared" si="42"/>
        <v/>
      </c>
      <c r="E679" s="7"/>
      <c r="F679" s="7"/>
      <c r="G679" s="7"/>
      <c r="H679" s="9"/>
      <c r="I679" s="40" t="str">
        <f t="shared" si="43"/>
        <v/>
      </c>
    </row>
    <row r="680" spans="1:9">
      <c r="A680" s="6">
        <f t="shared" si="40"/>
        <v>675</v>
      </c>
      <c r="B680" s="63"/>
      <c r="C680" s="63" t="str">
        <f t="shared" si="41"/>
        <v/>
      </c>
      <c r="D680" s="63" t="str">
        <f t="shared" si="42"/>
        <v/>
      </c>
      <c r="E680" s="7"/>
      <c r="F680" s="7"/>
      <c r="G680" s="7"/>
      <c r="H680" s="9"/>
      <c r="I680" s="40" t="str">
        <f t="shared" si="43"/>
        <v/>
      </c>
    </row>
    <row r="681" spans="1:9">
      <c r="A681" s="6">
        <f t="shared" si="40"/>
        <v>676</v>
      </c>
      <c r="B681" s="63"/>
      <c r="C681" s="63" t="str">
        <f t="shared" si="41"/>
        <v/>
      </c>
      <c r="D681" s="63" t="str">
        <f t="shared" si="42"/>
        <v/>
      </c>
      <c r="E681" s="7"/>
      <c r="F681" s="7"/>
      <c r="G681" s="7"/>
      <c r="H681" s="9"/>
      <c r="I681" s="40" t="str">
        <f t="shared" si="43"/>
        <v/>
      </c>
    </row>
    <row r="682" spans="1:9">
      <c r="A682" s="6">
        <f t="shared" si="40"/>
        <v>677</v>
      </c>
      <c r="B682" s="63"/>
      <c r="C682" s="63" t="str">
        <f t="shared" si="41"/>
        <v/>
      </c>
      <c r="D682" s="63" t="str">
        <f t="shared" si="42"/>
        <v/>
      </c>
      <c r="E682" s="7"/>
      <c r="F682" s="7"/>
      <c r="G682" s="7"/>
      <c r="H682" s="9"/>
      <c r="I682" s="40" t="str">
        <f t="shared" si="43"/>
        <v/>
      </c>
    </row>
    <row r="683" spans="1:9">
      <c r="A683" s="6">
        <f t="shared" si="40"/>
        <v>678</v>
      </c>
      <c r="B683" s="63"/>
      <c r="C683" s="63" t="str">
        <f t="shared" si="41"/>
        <v/>
      </c>
      <c r="D683" s="63" t="str">
        <f t="shared" si="42"/>
        <v/>
      </c>
      <c r="E683" s="7"/>
      <c r="F683" s="7"/>
      <c r="G683" s="7"/>
      <c r="H683" s="9"/>
      <c r="I683" s="40" t="str">
        <f t="shared" si="43"/>
        <v/>
      </c>
    </row>
    <row r="684" spans="1:9">
      <c r="A684" s="6">
        <f t="shared" si="40"/>
        <v>679</v>
      </c>
      <c r="B684" s="63"/>
      <c r="C684" s="63" t="str">
        <f t="shared" si="41"/>
        <v/>
      </c>
      <c r="D684" s="63" t="str">
        <f t="shared" si="42"/>
        <v/>
      </c>
      <c r="E684" s="7"/>
      <c r="F684" s="7"/>
      <c r="G684" s="7"/>
      <c r="H684" s="9"/>
      <c r="I684" s="40" t="str">
        <f t="shared" si="43"/>
        <v/>
      </c>
    </row>
    <row r="685" spans="1:9">
      <c r="A685" s="6">
        <f t="shared" si="40"/>
        <v>680</v>
      </c>
      <c r="B685" s="63"/>
      <c r="C685" s="63" t="str">
        <f t="shared" si="41"/>
        <v/>
      </c>
      <c r="D685" s="63" t="str">
        <f t="shared" si="42"/>
        <v/>
      </c>
      <c r="E685" s="7"/>
      <c r="F685" s="7"/>
      <c r="G685" s="7"/>
      <c r="H685" s="9"/>
      <c r="I685" s="40" t="str">
        <f t="shared" si="43"/>
        <v/>
      </c>
    </row>
    <row r="686" spans="1:9">
      <c r="A686" s="6">
        <f t="shared" si="40"/>
        <v>681</v>
      </c>
      <c r="B686" s="63"/>
      <c r="C686" s="63" t="str">
        <f t="shared" si="41"/>
        <v/>
      </c>
      <c r="D686" s="63" t="str">
        <f t="shared" si="42"/>
        <v/>
      </c>
      <c r="E686" s="7"/>
      <c r="F686" s="7"/>
      <c r="G686" s="7"/>
      <c r="H686" s="9"/>
      <c r="I686" s="40" t="str">
        <f t="shared" si="43"/>
        <v/>
      </c>
    </row>
    <row r="687" spans="1:9">
      <c r="A687" s="6">
        <f t="shared" si="40"/>
        <v>682</v>
      </c>
      <c r="B687" s="63"/>
      <c r="C687" s="63" t="str">
        <f t="shared" si="41"/>
        <v/>
      </c>
      <c r="D687" s="63" t="str">
        <f t="shared" si="42"/>
        <v/>
      </c>
      <c r="E687" s="7"/>
      <c r="F687" s="7"/>
      <c r="G687" s="7"/>
      <c r="H687" s="9"/>
      <c r="I687" s="40" t="str">
        <f t="shared" si="43"/>
        <v/>
      </c>
    </row>
    <row r="688" spans="1:9">
      <c r="A688" s="6">
        <f t="shared" si="40"/>
        <v>683</v>
      </c>
      <c r="B688" s="63"/>
      <c r="C688" s="63" t="str">
        <f t="shared" si="41"/>
        <v/>
      </c>
      <c r="D688" s="63" t="str">
        <f t="shared" si="42"/>
        <v/>
      </c>
      <c r="E688" s="7"/>
      <c r="F688" s="7"/>
      <c r="G688" s="7"/>
      <c r="H688" s="9"/>
      <c r="I688" s="40" t="str">
        <f t="shared" si="43"/>
        <v/>
      </c>
    </row>
    <row r="689" spans="1:9">
      <c r="A689" s="6">
        <f t="shared" si="40"/>
        <v>684</v>
      </c>
      <c r="B689" s="63"/>
      <c r="C689" s="63" t="str">
        <f t="shared" si="41"/>
        <v/>
      </c>
      <c r="D689" s="63" t="str">
        <f t="shared" si="42"/>
        <v/>
      </c>
      <c r="E689" s="7"/>
      <c r="F689" s="7"/>
      <c r="G689" s="7"/>
      <c r="H689" s="9"/>
      <c r="I689" s="40" t="str">
        <f t="shared" si="43"/>
        <v/>
      </c>
    </row>
    <row r="690" spans="1:9">
      <c r="A690" s="6">
        <f t="shared" si="40"/>
        <v>685</v>
      </c>
      <c r="B690" s="63"/>
      <c r="C690" s="63" t="str">
        <f t="shared" si="41"/>
        <v/>
      </c>
      <c r="D690" s="63" t="str">
        <f t="shared" si="42"/>
        <v/>
      </c>
      <c r="E690" s="7"/>
      <c r="F690" s="7"/>
      <c r="G690" s="7"/>
      <c r="H690" s="9"/>
      <c r="I690" s="40" t="str">
        <f t="shared" si="43"/>
        <v/>
      </c>
    </row>
    <row r="691" spans="1:9">
      <c r="A691" s="6">
        <f t="shared" si="40"/>
        <v>686</v>
      </c>
      <c r="B691" s="63"/>
      <c r="C691" s="63" t="str">
        <f t="shared" si="41"/>
        <v/>
      </c>
      <c r="D691" s="63" t="str">
        <f t="shared" si="42"/>
        <v/>
      </c>
      <c r="E691" s="7"/>
      <c r="F691" s="7"/>
      <c r="G691" s="7"/>
      <c r="H691" s="9"/>
      <c r="I691" s="40" t="str">
        <f t="shared" si="43"/>
        <v/>
      </c>
    </row>
    <row r="692" spans="1:9">
      <c r="A692" s="6">
        <f t="shared" si="40"/>
        <v>687</v>
      </c>
      <c r="B692" s="63"/>
      <c r="C692" s="63" t="str">
        <f t="shared" si="41"/>
        <v/>
      </c>
      <c r="D692" s="63" t="str">
        <f t="shared" si="42"/>
        <v/>
      </c>
      <c r="E692" s="7"/>
      <c r="F692" s="7"/>
      <c r="G692" s="7"/>
      <c r="H692" s="9"/>
      <c r="I692" s="40" t="str">
        <f t="shared" si="43"/>
        <v/>
      </c>
    </row>
    <row r="693" spans="1:9">
      <c r="A693" s="6">
        <f t="shared" si="40"/>
        <v>688</v>
      </c>
      <c r="B693" s="63"/>
      <c r="C693" s="63" t="str">
        <f t="shared" si="41"/>
        <v/>
      </c>
      <c r="D693" s="63" t="str">
        <f t="shared" si="42"/>
        <v/>
      </c>
      <c r="E693" s="7"/>
      <c r="F693" s="7"/>
      <c r="G693" s="7"/>
      <c r="H693" s="9"/>
      <c r="I693" s="40" t="str">
        <f t="shared" si="43"/>
        <v/>
      </c>
    </row>
    <row r="694" spans="1:9">
      <c r="A694" s="6">
        <f t="shared" si="40"/>
        <v>689</v>
      </c>
      <c r="B694" s="63"/>
      <c r="C694" s="63" t="str">
        <f t="shared" si="41"/>
        <v/>
      </c>
      <c r="D694" s="63" t="str">
        <f t="shared" si="42"/>
        <v/>
      </c>
      <c r="E694" s="7"/>
      <c r="F694" s="7"/>
      <c r="G694" s="7"/>
      <c r="H694" s="9"/>
      <c r="I694" s="40" t="str">
        <f t="shared" si="43"/>
        <v/>
      </c>
    </row>
    <row r="695" spans="1:9">
      <c r="A695" s="6">
        <f t="shared" si="40"/>
        <v>690</v>
      </c>
      <c r="B695" s="63"/>
      <c r="C695" s="63" t="str">
        <f t="shared" si="41"/>
        <v/>
      </c>
      <c r="D695" s="63" t="str">
        <f t="shared" si="42"/>
        <v/>
      </c>
      <c r="E695" s="7"/>
      <c r="F695" s="7"/>
      <c r="G695" s="7"/>
      <c r="H695" s="9"/>
      <c r="I695" s="40" t="str">
        <f t="shared" si="43"/>
        <v/>
      </c>
    </row>
    <row r="696" spans="1:9">
      <c r="A696" s="6">
        <f t="shared" si="40"/>
        <v>691</v>
      </c>
      <c r="B696" s="63"/>
      <c r="C696" s="63" t="str">
        <f t="shared" si="41"/>
        <v/>
      </c>
      <c r="D696" s="63" t="str">
        <f t="shared" si="42"/>
        <v/>
      </c>
      <c r="E696" s="7"/>
      <c r="F696" s="7"/>
      <c r="G696" s="7"/>
      <c r="H696" s="9"/>
      <c r="I696" s="40" t="str">
        <f t="shared" si="43"/>
        <v/>
      </c>
    </row>
    <row r="697" spans="1:9">
      <c r="A697" s="6">
        <f t="shared" si="40"/>
        <v>692</v>
      </c>
      <c r="B697" s="63"/>
      <c r="C697" s="63" t="str">
        <f t="shared" si="41"/>
        <v/>
      </c>
      <c r="D697" s="63" t="str">
        <f t="shared" si="42"/>
        <v/>
      </c>
      <c r="E697" s="7"/>
      <c r="F697" s="7"/>
      <c r="G697" s="7"/>
      <c r="H697" s="9"/>
      <c r="I697" s="40" t="str">
        <f t="shared" si="43"/>
        <v/>
      </c>
    </row>
    <row r="698" spans="1:9">
      <c r="A698" s="6">
        <f t="shared" si="40"/>
        <v>693</v>
      </c>
      <c r="B698" s="63"/>
      <c r="C698" s="63" t="str">
        <f t="shared" si="41"/>
        <v/>
      </c>
      <c r="D698" s="63" t="str">
        <f t="shared" si="42"/>
        <v/>
      </c>
      <c r="E698" s="7"/>
      <c r="F698" s="7"/>
      <c r="G698" s="7"/>
      <c r="H698" s="9"/>
      <c r="I698" s="40" t="str">
        <f t="shared" si="43"/>
        <v/>
      </c>
    </row>
    <row r="699" spans="1:9">
      <c r="A699" s="6">
        <f t="shared" si="40"/>
        <v>694</v>
      </c>
      <c r="B699" s="63"/>
      <c r="C699" s="63" t="str">
        <f t="shared" si="41"/>
        <v/>
      </c>
      <c r="D699" s="63" t="str">
        <f t="shared" si="42"/>
        <v/>
      </c>
      <c r="E699" s="7"/>
      <c r="F699" s="7"/>
      <c r="G699" s="7"/>
      <c r="H699" s="9"/>
      <c r="I699" s="40" t="str">
        <f t="shared" si="43"/>
        <v/>
      </c>
    </row>
    <row r="700" spans="1:9">
      <c r="A700" s="6">
        <f t="shared" si="40"/>
        <v>695</v>
      </c>
      <c r="B700" s="63"/>
      <c r="C700" s="63" t="str">
        <f t="shared" si="41"/>
        <v/>
      </c>
      <c r="D700" s="63" t="str">
        <f t="shared" si="42"/>
        <v/>
      </c>
      <c r="E700" s="7"/>
      <c r="F700" s="7"/>
      <c r="G700" s="7"/>
      <c r="H700" s="9"/>
      <c r="I700" s="40" t="str">
        <f t="shared" si="43"/>
        <v/>
      </c>
    </row>
    <row r="701" spans="1:9">
      <c r="A701" s="6">
        <f t="shared" si="40"/>
        <v>696</v>
      </c>
      <c r="B701" s="63"/>
      <c r="C701" s="63" t="str">
        <f t="shared" si="41"/>
        <v/>
      </c>
      <c r="D701" s="63" t="str">
        <f t="shared" si="42"/>
        <v/>
      </c>
      <c r="E701" s="7"/>
      <c r="F701" s="7"/>
      <c r="G701" s="7"/>
      <c r="H701" s="9"/>
      <c r="I701" s="40" t="str">
        <f t="shared" si="43"/>
        <v/>
      </c>
    </row>
    <row r="702" spans="1:9">
      <c r="A702" s="6">
        <f t="shared" si="40"/>
        <v>697</v>
      </c>
      <c r="B702" s="63"/>
      <c r="C702" s="63" t="str">
        <f t="shared" si="41"/>
        <v/>
      </c>
      <c r="D702" s="63" t="str">
        <f t="shared" si="42"/>
        <v/>
      </c>
      <c r="E702" s="7"/>
      <c r="F702" s="7"/>
      <c r="G702" s="7"/>
      <c r="H702" s="9"/>
      <c r="I702" s="40" t="str">
        <f t="shared" si="43"/>
        <v/>
      </c>
    </row>
    <row r="703" spans="1:9">
      <c r="A703" s="6">
        <f t="shared" si="40"/>
        <v>698</v>
      </c>
      <c r="B703" s="63"/>
      <c r="C703" s="63" t="str">
        <f t="shared" si="41"/>
        <v/>
      </c>
      <c r="D703" s="63" t="str">
        <f t="shared" si="42"/>
        <v/>
      </c>
      <c r="E703" s="7"/>
      <c r="F703" s="7"/>
      <c r="G703" s="7"/>
      <c r="H703" s="9"/>
      <c r="I703" s="40" t="str">
        <f t="shared" si="43"/>
        <v/>
      </c>
    </row>
    <row r="704" spans="1:9">
      <c r="A704" s="6">
        <f t="shared" si="40"/>
        <v>699</v>
      </c>
      <c r="B704" s="63"/>
      <c r="C704" s="63" t="str">
        <f t="shared" si="41"/>
        <v/>
      </c>
      <c r="D704" s="63" t="str">
        <f t="shared" si="42"/>
        <v/>
      </c>
      <c r="E704" s="7"/>
      <c r="F704" s="7"/>
      <c r="G704" s="7"/>
      <c r="H704" s="9"/>
      <c r="I704" s="40" t="str">
        <f t="shared" si="43"/>
        <v/>
      </c>
    </row>
    <row r="705" spans="1:9">
      <c r="A705" s="6">
        <f t="shared" si="40"/>
        <v>700</v>
      </c>
      <c r="B705" s="63"/>
      <c r="C705" s="63" t="str">
        <f t="shared" si="41"/>
        <v/>
      </c>
      <c r="D705" s="63" t="str">
        <f t="shared" si="42"/>
        <v/>
      </c>
      <c r="E705" s="7"/>
      <c r="F705" s="7"/>
      <c r="G705" s="7"/>
      <c r="H705" s="9"/>
      <c r="I705" s="40" t="str">
        <f t="shared" si="43"/>
        <v/>
      </c>
    </row>
    <row r="706" spans="1:9">
      <c r="A706" s="6">
        <f t="shared" si="40"/>
        <v>701</v>
      </c>
      <c r="B706" s="63"/>
      <c r="C706" s="63" t="str">
        <f t="shared" si="41"/>
        <v/>
      </c>
      <c r="D706" s="63" t="str">
        <f t="shared" si="42"/>
        <v/>
      </c>
      <c r="E706" s="7"/>
      <c r="F706" s="7"/>
      <c r="G706" s="7"/>
      <c r="H706" s="9"/>
      <c r="I706" s="40" t="str">
        <f t="shared" si="43"/>
        <v/>
      </c>
    </row>
    <row r="707" spans="1:9">
      <c r="A707" s="6">
        <f t="shared" si="40"/>
        <v>702</v>
      </c>
      <c r="B707" s="63"/>
      <c r="C707" s="63" t="str">
        <f t="shared" si="41"/>
        <v/>
      </c>
      <c r="D707" s="63" t="str">
        <f t="shared" si="42"/>
        <v/>
      </c>
      <c r="E707" s="7"/>
      <c r="F707" s="7"/>
      <c r="G707" s="7"/>
      <c r="H707" s="9"/>
      <c r="I707" s="40" t="str">
        <f t="shared" si="43"/>
        <v/>
      </c>
    </row>
    <row r="708" spans="1:9">
      <c r="A708" s="6">
        <f t="shared" si="40"/>
        <v>703</v>
      </c>
      <c r="B708" s="63"/>
      <c r="C708" s="63" t="str">
        <f t="shared" si="41"/>
        <v/>
      </c>
      <c r="D708" s="63" t="str">
        <f t="shared" si="42"/>
        <v/>
      </c>
      <c r="E708" s="7"/>
      <c r="F708" s="7"/>
      <c r="G708" s="7"/>
      <c r="H708" s="9"/>
      <c r="I708" s="40" t="str">
        <f t="shared" si="43"/>
        <v/>
      </c>
    </row>
    <row r="709" spans="1:9">
      <c r="A709" s="6">
        <f t="shared" si="40"/>
        <v>704</v>
      </c>
      <c r="B709" s="63"/>
      <c r="C709" s="63" t="str">
        <f t="shared" si="41"/>
        <v/>
      </c>
      <c r="D709" s="63" t="str">
        <f t="shared" si="42"/>
        <v/>
      </c>
      <c r="E709" s="7"/>
      <c r="F709" s="7"/>
      <c r="G709" s="7"/>
      <c r="H709" s="9"/>
      <c r="I709" s="40" t="str">
        <f t="shared" si="43"/>
        <v/>
      </c>
    </row>
    <row r="710" spans="1:9">
      <c r="A710" s="6">
        <f t="shared" si="40"/>
        <v>705</v>
      </c>
      <c r="B710" s="63"/>
      <c r="C710" s="63" t="str">
        <f t="shared" si="41"/>
        <v/>
      </c>
      <c r="D710" s="63" t="str">
        <f t="shared" si="42"/>
        <v/>
      </c>
      <c r="E710" s="7"/>
      <c r="F710" s="7"/>
      <c r="G710" s="7"/>
      <c r="H710" s="9"/>
      <c r="I710" s="40" t="str">
        <f t="shared" si="43"/>
        <v/>
      </c>
    </row>
    <row r="711" spans="1:9">
      <c r="A711" s="6">
        <f t="shared" ref="A711:A774" si="44">ROW(A706)</f>
        <v>706</v>
      </c>
      <c r="B711" s="63"/>
      <c r="C711" s="63" t="str">
        <f t="shared" ref="C711:C774" si="45">IF(B711=0,"",TEXT(B711,"mmmm"))</f>
        <v/>
      </c>
      <c r="D711" s="63" t="str">
        <f t="shared" ref="D711:D774" si="46">IF(B711=0,"",TEXT(B711,"yyyy"))</f>
        <v/>
      </c>
      <c r="E711" s="7"/>
      <c r="F711" s="7"/>
      <c r="G711" s="7"/>
      <c r="H711" s="9"/>
      <c r="I711" s="40" t="str">
        <f t="shared" ref="I711:I774" si="47">IF(H711*G711=0,"",H711*G711)</f>
        <v/>
      </c>
    </row>
    <row r="712" spans="1:9">
      <c r="A712" s="6">
        <f t="shared" si="44"/>
        <v>707</v>
      </c>
      <c r="B712" s="63"/>
      <c r="C712" s="63" t="str">
        <f t="shared" si="45"/>
        <v/>
      </c>
      <c r="D712" s="63" t="str">
        <f t="shared" si="46"/>
        <v/>
      </c>
      <c r="E712" s="7"/>
      <c r="F712" s="7"/>
      <c r="G712" s="7"/>
      <c r="H712" s="9"/>
      <c r="I712" s="40" t="str">
        <f t="shared" si="47"/>
        <v/>
      </c>
    </row>
    <row r="713" spans="1:9">
      <c r="A713" s="6">
        <f t="shared" si="44"/>
        <v>708</v>
      </c>
      <c r="B713" s="63"/>
      <c r="C713" s="63" t="str">
        <f t="shared" si="45"/>
        <v/>
      </c>
      <c r="D713" s="63" t="str">
        <f t="shared" si="46"/>
        <v/>
      </c>
      <c r="E713" s="7"/>
      <c r="F713" s="7"/>
      <c r="G713" s="7"/>
      <c r="H713" s="9"/>
      <c r="I713" s="40" t="str">
        <f t="shared" si="47"/>
        <v/>
      </c>
    </row>
    <row r="714" spans="1:9">
      <c r="A714" s="6">
        <f t="shared" si="44"/>
        <v>709</v>
      </c>
      <c r="B714" s="63"/>
      <c r="C714" s="63" t="str">
        <f t="shared" si="45"/>
        <v/>
      </c>
      <c r="D714" s="63" t="str">
        <f t="shared" si="46"/>
        <v/>
      </c>
      <c r="E714" s="7"/>
      <c r="F714" s="7"/>
      <c r="G714" s="7"/>
      <c r="H714" s="9"/>
      <c r="I714" s="40" t="str">
        <f t="shared" si="47"/>
        <v/>
      </c>
    </row>
    <row r="715" spans="1:9">
      <c r="A715" s="6">
        <f t="shared" si="44"/>
        <v>710</v>
      </c>
      <c r="B715" s="63"/>
      <c r="C715" s="63" t="str">
        <f t="shared" si="45"/>
        <v/>
      </c>
      <c r="D715" s="63" t="str">
        <f t="shared" si="46"/>
        <v/>
      </c>
      <c r="E715" s="7"/>
      <c r="F715" s="7"/>
      <c r="G715" s="7"/>
      <c r="H715" s="9"/>
      <c r="I715" s="40" t="str">
        <f t="shared" si="47"/>
        <v/>
      </c>
    </row>
    <row r="716" spans="1:9">
      <c r="A716" s="6">
        <f t="shared" si="44"/>
        <v>711</v>
      </c>
      <c r="B716" s="63"/>
      <c r="C716" s="63" t="str">
        <f t="shared" si="45"/>
        <v/>
      </c>
      <c r="D716" s="63" t="str">
        <f t="shared" si="46"/>
        <v/>
      </c>
      <c r="E716" s="7"/>
      <c r="F716" s="7"/>
      <c r="G716" s="7"/>
      <c r="H716" s="9"/>
      <c r="I716" s="40" t="str">
        <f t="shared" si="47"/>
        <v/>
      </c>
    </row>
    <row r="717" spans="1:9">
      <c r="A717" s="6">
        <f t="shared" si="44"/>
        <v>712</v>
      </c>
      <c r="B717" s="63"/>
      <c r="C717" s="63" t="str">
        <f t="shared" si="45"/>
        <v/>
      </c>
      <c r="D717" s="63" t="str">
        <f t="shared" si="46"/>
        <v/>
      </c>
      <c r="E717" s="7"/>
      <c r="F717" s="7"/>
      <c r="G717" s="7"/>
      <c r="H717" s="9"/>
      <c r="I717" s="40" t="str">
        <f t="shared" si="47"/>
        <v/>
      </c>
    </row>
    <row r="718" spans="1:9">
      <c r="A718" s="6">
        <f t="shared" si="44"/>
        <v>713</v>
      </c>
      <c r="B718" s="63"/>
      <c r="C718" s="63" t="str">
        <f t="shared" si="45"/>
        <v/>
      </c>
      <c r="D718" s="63" t="str">
        <f t="shared" si="46"/>
        <v/>
      </c>
      <c r="E718" s="7"/>
      <c r="F718" s="7"/>
      <c r="G718" s="7"/>
      <c r="H718" s="9"/>
      <c r="I718" s="40" t="str">
        <f t="shared" si="47"/>
        <v/>
      </c>
    </row>
    <row r="719" spans="1:9">
      <c r="A719" s="6">
        <f t="shared" si="44"/>
        <v>714</v>
      </c>
      <c r="B719" s="63"/>
      <c r="C719" s="63" t="str">
        <f t="shared" si="45"/>
        <v/>
      </c>
      <c r="D719" s="63" t="str">
        <f t="shared" si="46"/>
        <v/>
      </c>
      <c r="E719" s="7"/>
      <c r="F719" s="7"/>
      <c r="G719" s="7"/>
      <c r="H719" s="9"/>
      <c r="I719" s="40" t="str">
        <f t="shared" si="47"/>
        <v/>
      </c>
    </row>
    <row r="720" spans="1:9">
      <c r="A720" s="6">
        <f t="shared" si="44"/>
        <v>715</v>
      </c>
      <c r="B720" s="63"/>
      <c r="C720" s="63" t="str">
        <f t="shared" si="45"/>
        <v/>
      </c>
      <c r="D720" s="63" t="str">
        <f t="shared" si="46"/>
        <v/>
      </c>
      <c r="E720" s="7"/>
      <c r="F720" s="7"/>
      <c r="G720" s="7"/>
      <c r="H720" s="9"/>
      <c r="I720" s="40" t="str">
        <f t="shared" si="47"/>
        <v/>
      </c>
    </row>
    <row r="721" spans="1:9">
      <c r="A721" s="6">
        <f t="shared" si="44"/>
        <v>716</v>
      </c>
      <c r="B721" s="63"/>
      <c r="C721" s="63" t="str">
        <f t="shared" si="45"/>
        <v/>
      </c>
      <c r="D721" s="63" t="str">
        <f t="shared" si="46"/>
        <v/>
      </c>
      <c r="E721" s="7"/>
      <c r="F721" s="7"/>
      <c r="G721" s="7"/>
      <c r="H721" s="9"/>
      <c r="I721" s="40" t="str">
        <f t="shared" si="47"/>
        <v/>
      </c>
    </row>
    <row r="722" spans="1:9">
      <c r="A722" s="6">
        <f t="shared" si="44"/>
        <v>717</v>
      </c>
      <c r="B722" s="63"/>
      <c r="C722" s="63" t="str">
        <f t="shared" si="45"/>
        <v/>
      </c>
      <c r="D722" s="63" t="str">
        <f t="shared" si="46"/>
        <v/>
      </c>
      <c r="E722" s="7"/>
      <c r="F722" s="7"/>
      <c r="G722" s="7"/>
      <c r="H722" s="9"/>
      <c r="I722" s="40" t="str">
        <f t="shared" si="47"/>
        <v/>
      </c>
    </row>
    <row r="723" spans="1:9">
      <c r="A723" s="6">
        <f t="shared" si="44"/>
        <v>718</v>
      </c>
      <c r="B723" s="63"/>
      <c r="C723" s="63" t="str">
        <f t="shared" si="45"/>
        <v/>
      </c>
      <c r="D723" s="63" t="str">
        <f t="shared" si="46"/>
        <v/>
      </c>
      <c r="E723" s="7"/>
      <c r="F723" s="7"/>
      <c r="G723" s="7"/>
      <c r="H723" s="9"/>
      <c r="I723" s="40" t="str">
        <f t="shared" si="47"/>
        <v/>
      </c>
    </row>
    <row r="724" spans="1:9">
      <c r="A724" s="6">
        <f t="shared" si="44"/>
        <v>719</v>
      </c>
      <c r="B724" s="63"/>
      <c r="C724" s="63" t="str">
        <f t="shared" si="45"/>
        <v/>
      </c>
      <c r="D724" s="63" t="str">
        <f t="shared" si="46"/>
        <v/>
      </c>
      <c r="E724" s="7"/>
      <c r="F724" s="7"/>
      <c r="G724" s="7"/>
      <c r="H724" s="9"/>
      <c r="I724" s="40" t="str">
        <f t="shared" si="47"/>
        <v/>
      </c>
    </row>
    <row r="725" spans="1:9">
      <c r="A725" s="6">
        <f t="shared" si="44"/>
        <v>720</v>
      </c>
      <c r="B725" s="63"/>
      <c r="C725" s="63" t="str">
        <f t="shared" si="45"/>
        <v/>
      </c>
      <c r="D725" s="63" t="str">
        <f t="shared" si="46"/>
        <v/>
      </c>
      <c r="E725" s="7"/>
      <c r="F725" s="7"/>
      <c r="G725" s="7"/>
      <c r="H725" s="9"/>
      <c r="I725" s="40" t="str">
        <f t="shared" si="47"/>
        <v/>
      </c>
    </row>
    <row r="726" spans="1:9">
      <c r="A726" s="6">
        <f t="shared" si="44"/>
        <v>721</v>
      </c>
      <c r="B726" s="63"/>
      <c r="C726" s="63" t="str">
        <f t="shared" si="45"/>
        <v/>
      </c>
      <c r="D726" s="63" t="str">
        <f t="shared" si="46"/>
        <v/>
      </c>
      <c r="E726" s="7"/>
      <c r="F726" s="7"/>
      <c r="G726" s="7"/>
      <c r="H726" s="9"/>
      <c r="I726" s="40" t="str">
        <f t="shared" si="47"/>
        <v/>
      </c>
    </row>
    <row r="727" spans="1:9">
      <c r="A727" s="6">
        <f t="shared" si="44"/>
        <v>722</v>
      </c>
      <c r="B727" s="63"/>
      <c r="C727" s="63" t="str">
        <f t="shared" si="45"/>
        <v/>
      </c>
      <c r="D727" s="63" t="str">
        <f t="shared" si="46"/>
        <v/>
      </c>
      <c r="E727" s="7"/>
      <c r="F727" s="7"/>
      <c r="G727" s="7"/>
      <c r="H727" s="9"/>
      <c r="I727" s="40" t="str">
        <f t="shared" si="47"/>
        <v/>
      </c>
    </row>
    <row r="728" spans="1:9">
      <c r="A728" s="6">
        <f t="shared" si="44"/>
        <v>723</v>
      </c>
      <c r="B728" s="63"/>
      <c r="C728" s="63" t="str">
        <f t="shared" si="45"/>
        <v/>
      </c>
      <c r="D728" s="63" t="str">
        <f t="shared" si="46"/>
        <v/>
      </c>
      <c r="E728" s="7"/>
      <c r="F728" s="7"/>
      <c r="G728" s="7"/>
      <c r="H728" s="9"/>
      <c r="I728" s="40" t="str">
        <f t="shared" si="47"/>
        <v/>
      </c>
    </row>
    <row r="729" spans="1:9">
      <c r="A729" s="6">
        <f t="shared" si="44"/>
        <v>724</v>
      </c>
      <c r="B729" s="63"/>
      <c r="C729" s="63" t="str">
        <f t="shared" si="45"/>
        <v/>
      </c>
      <c r="D729" s="63" t="str">
        <f t="shared" si="46"/>
        <v/>
      </c>
      <c r="E729" s="7"/>
      <c r="F729" s="7"/>
      <c r="G729" s="7"/>
      <c r="H729" s="9"/>
      <c r="I729" s="40" t="str">
        <f t="shared" si="47"/>
        <v/>
      </c>
    </row>
    <row r="730" spans="1:9">
      <c r="A730" s="6">
        <f t="shared" si="44"/>
        <v>725</v>
      </c>
      <c r="B730" s="63"/>
      <c r="C730" s="63" t="str">
        <f t="shared" si="45"/>
        <v/>
      </c>
      <c r="D730" s="63" t="str">
        <f t="shared" si="46"/>
        <v/>
      </c>
      <c r="E730" s="7"/>
      <c r="F730" s="7"/>
      <c r="G730" s="7"/>
      <c r="H730" s="9"/>
      <c r="I730" s="40" t="str">
        <f t="shared" si="47"/>
        <v/>
      </c>
    </row>
    <row r="731" spans="1:9">
      <c r="A731" s="6">
        <f t="shared" si="44"/>
        <v>726</v>
      </c>
      <c r="B731" s="63"/>
      <c r="C731" s="63" t="str">
        <f t="shared" si="45"/>
        <v/>
      </c>
      <c r="D731" s="63" t="str">
        <f t="shared" si="46"/>
        <v/>
      </c>
      <c r="E731" s="7"/>
      <c r="F731" s="7"/>
      <c r="G731" s="7"/>
      <c r="H731" s="9"/>
      <c r="I731" s="40" t="str">
        <f t="shared" si="47"/>
        <v/>
      </c>
    </row>
    <row r="732" spans="1:9">
      <c r="A732" s="6">
        <f t="shared" si="44"/>
        <v>727</v>
      </c>
      <c r="B732" s="63"/>
      <c r="C732" s="63" t="str">
        <f t="shared" si="45"/>
        <v/>
      </c>
      <c r="D732" s="63" t="str">
        <f t="shared" si="46"/>
        <v/>
      </c>
      <c r="E732" s="7"/>
      <c r="F732" s="7"/>
      <c r="G732" s="7"/>
      <c r="H732" s="9"/>
      <c r="I732" s="40" t="str">
        <f t="shared" si="47"/>
        <v/>
      </c>
    </row>
    <row r="733" spans="1:9">
      <c r="A733" s="6">
        <f t="shared" si="44"/>
        <v>728</v>
      </c>
      <c r="B733" s="63"/>
      <c r="C733" s="63" t="str">
        <f t="shared" si="45"/>
        <v/>
      </c>
      <c r="D733" s="63" t="str">
        <f t="shared" si="46"/>
        <v/>
      </c>
      <c r="E733" s="7"/>
      <c r="F733" s="7"/>
      <c r="G733" s="7"/>
      <c r="H733" s="9"/>
      <c r="I733" s="40" t="str">
        <f t="shared" si="47"/>
        <v/>
      </c>
    </row>
    <row r="734" spans="1:9">
      <c r="A734" s="6">
        <f t="shared" si="44"/>
        <v>729</v>
      </c>
      <c r="B734" s="63"/>
      <c r="C734" s="63" t="str">
        <f t="shared" si="45"/>
        <v/>
      </c>
      <c r="D734" s="63" t="str">
        <f t="shared" si="46"/>
        <v/>
      </c>
      <c r="E734" s="7"/>
      <c r="F734" s="7"/>
      <c r="G734" s="7"/>
      <c r="H734" s="9"/>
      <c r="I734" s="40" t="str">
        <f t="shared" si="47"/>
        <v/>
      </c>
    </row>
    <row r="735" spans="1:9">
      <c r="A735" s="6">
        <f t="shared" si="44"/>
        <v>730</v>
      </c>
      <c r="B735" s="63"/>
      <c r="C735" s="63" t="str">
        <f t="shared" si="45"/>
        <v/>
      </c>
      <c r="D735" s="63" t="str">
        <f t="shared" si="46"/>
        <v/>
      </c>
      <c r="E735" s="7"/>
      <c r="F735" s="7"/>
      <c r="G735" s="7"/>
      <c r="H735" s="9"/>
      <c r="I735" s="40" t="str">
        <f t="shared" si="47"/>
        <v/>
      </c>
    </row>
    <row r="736" spans="1:9">
      <c r="A736" s="6">
        <f t="shared" si="44"/>
        <v>731</v>
      </c>
      <c r="B736" s="63"/>
      <c r="C736" s="63" t="str">
        <f t="shared" si="45"/>
        <v/>
      </c>
      <c r="D736" s="63" t="str">
        <f t="shared" si="46"/>
        <v/>
      </c>
      <c r="E736" s="7"/>
      <c r="F736" s="7"/>
      <c r="G736" s="7"/>
      <c r="H736" s="9"/>
      <c r="I736" s="40" t="str">
        <f t="shared" si="47"/>
        <v/>
      </c>
    </row>
    <row r="737" spans="1:9">
      <c r="A737" s="6">
        <f t="shared" si="44"/>
        <v>732</v>
      </c>
      <c r="B737" s="63"/>
      <c r="C737" s="63" t="str">
        <f t="shared" si="45"/>
        <v/>
      </c>
      <c r="D737" s="63" t="str">
        <f t="shared" si="46"/>
        <v/>
      </c>
      <c r="E737" s="7"/>
      <c r="F737" s="7"/>
      <c r="G737" s="7"/>
      <c r="H737" s="9"/>
      <c r="I737" s="40" t="str">
        <f t="shared" si="47"/>
        <v/>
      </c>
    </row>
    <row r="738" spans="1:9">
      <c r="A738" s="6">
        <f t="shared" si="44"/>
        <v>733</v>
      </c>
      <c r="B738" s="63"/>
      <c r="C738" s="63" t="str">
        <f t="shared" si="45"/>
        <v/>
      </c>
      <c r="D738" s="63" t="str">
        <f t="shared" si="46"/>
        <v/>
      </c>
      <c r="E738" s="7"/>
      <c r="F738" s="7"/>
      <c r="G738" s="7"/>
      <c r="H738" s="9"/>
      <c r="I738" s="40" t="str">
        <f t="shared" si="47"/>
        <v/>
      </c>
    </row>
    <row r="739" spans="1:9">
      <c r="A739" s="6">
        <f t="shared" si="44"/>
        <v>734</v>
      </c>
      <c r="B739" s="63"/>
      <c r="C739" s="63" t="str">
        <f t="shared" si="45"/>
        <v/>
      </c>
      <c r="D739" s="63" t="str">
        <f t="shared" si="46"/>
        <v/>
      </c>
      <c r="E739" s="7"/>
      <c r="F739" s="7"/>
      <c r="G739" s="7"/>
      <c r="H739" s="9"/>
      <c r="I739" s="40" t="str">
        <f t="shared" si="47"/>
        <v/>
      </c>
    </row>
    <row r="740" spans="1:9">
      <c r="A740" s="6">
        <f t="shared" si="44"/>
        <v>735</v>
      </c>
      <c r="B740" s="63"/>
      <c r="C740" s="63" t="str">
        <f t="shared" si="45"/>
        <v/>
      </c>
      <c r="D740" s="63" t="str">
        <f t="shared" si="46"/>
        <v/>
      </c>
      <c r="E740" s="7"/>
      <c r="F740" s="7"/>
      <c r="G740" s="7"/>
      <c r="H740" s="9"/>
      <c r="I740" s="40" t="str">
        <f t="shared" si="47"/>
        <v/>
      </c>
    </row>
    <row r="741" spans="1:9">
      <c r="A741" s="6">
        <f t="shared" si="44"/>
        <v>736</v>
      </c>
      <c r="B741" s="63"/>
      <c r="C741" s="63" t="str">
        <f t="shared" si="45"/>
        <v/>
      </c>
      <c r="D741" s="63" t="str">
        <f t="shared" si="46"/>
        <v/>
      </c>
      <c r="E741" s="7"/>
      <c r="F741" s="7"/>
      <c r="G741" s="7"/>
      <c r="H741" s="9"/>
      <c r="I741" s="40" t="str">
        <f t="shared" si="47"/>
        <v/>
      </c>
    </row>
    <row r="742" spans="1:9">
      <c r="A742" s="6">
        <f t="shared" si="44"/>
        <v>737</v>
      </c>
      <c r="B742" s="63"/>
      <c r="C742" s="63" t="str">
        <f t="shared" si="45"/>
        <v/>
      </c>
      <c r="D742" s="63" t="str">
        <f t="shared" si="46"/>
        <v/>
      </c>
      <c r="E742" s="7"/>
      <c r="F742" s="7"/>
      <c r="G742" s="7"/>
      <c r="H742" s="9"/>
      <c r="I742" s="40" t="str">
        <f t="shared" si="47"/>
        <v/>
      </c>
    </row>
    <row r="743" spans="1:9">
      <c r="A743" s="6">
        <f t="shared" si="44"/>
        <v>738</v>
      </c>
      <c r="B743" s="63"/>
      <c r="C743" s="63" t="str">
        <f t="shared" si="45"/>
        <v/>
      </c>
      <c r="D743" s="63" t="str">
        <f t="shared" si="46"/>
        <v/>
      </c>
      <c r="E743" s="7"/>
      <c r="F743" s="7"/>
      <c r="G743" s="7"/>
      <c r="H743" s="9"/>
      <c r="I743" s="40" t="str">
        <f t="shared" si="47"/>
        <v/>
      </c>
    </row>
    <row r="744" spans="1:9">
      <c r="A744" s="6">
        <f t="shared" si="44"/>
        <v>739</v>
      </c>
      <c r="B744" s="63"/>
      <c r="C744" s="63" t="str">
        <f t="shared" si="45"/>
        <v/>
      </c>
      <c r="D744" s="63" t="str">
        <f t="shared" si="46"/>
        <v/>
      </c>
      <c r="E744" s="7"/>
      <c r="F744" s="7"/>
      <c r="G744" s="7"/>
      <c r="H744" s="9"/>
      <c r="I744" s="40" t="str">
        <f t="shared" si="47"/>
        <v/>
      </c>
    </row>
    <row r="745" spans="1:9">
      <c r="A745" s="6">
        <f t="shared" si="44"/>
        <v>740</v>
      </c>
      <c r="B745" s="63"/>
      <c r="C745" s="63" t="str">
        <f t="shared" si="45"/>
        <v/>
      </c>
      <c r="D745" s="63" t="str">
        <f t="shared" si="46"/>
        <v/>
      </c>
      <c r="E745" s="7"/>
      <c r="F745" s="7"/>
      <c r="G745" s="7"/>
      <c r="H745" s="9"/>
      <c r="I745" s="40" t="str">
        <f t="shared" si="47"/>
        <v/>
      </c>
    </row>
    <row r="746" spans="1:9">
      <c r="A746" s="6">
        <f t="shared" si="44"/>
        <v>741</v>
      </c>
      <c r="B746" s="63"/>
      <c r="C746" s="63" t="str">
        <f t="shared" si="45"/>
        <v/>
      </c>
      <c r="D746" s="63" t="str">
        <f t="shared" si="46"/>
        <v/>
      </c>
      <c r="E746" s="7"/>
      <c r="F746" s="7"/>
      <c r="G746" s="7"/>
      <c r="H746" s="9"/>
      <c r="I746" s="40" t="str">
        <f t="shared" si="47"/>
        <v/>
      </c>
    </row>
    <row r="747" spans="1:9">
      <c r="A747" s="6">
        <f t="shared" si="44"/>
        <v>742</v>
      </c>
      <c r="B747" s="63"/>
      <c r="C747" s="63" t="str">
        <f t="shared" si="45"/>
        <v/>
      </c>
      <c r="D747" s="63" t="str">
        <f t="shared" si="46"/>
        <v/>
      </c>
      <c r="E747" s="7"/>
      <c r="F747" s="7"/>
      <c r="G747" s="7"/>
      <c r="H747" s="9"/>
      <c r="I747" s="40" t="str">
        <f t="shared" si="47"/>
        <v/>
      </c>
    </row>
    <row r="748" spans="1:9">
      <c r="A748" s="6">
        <f t="shared" si="44"/>
        <v>743</v>
      </c>
      <c r="B748" s="63"/>
      <c r="C748" s="63" t="str">
        <f t="shared" si="45"/>
        <v/>
      </c>
      <c r="D748" s="63" t="str">
        <f t="shared" si="46"/>
        <v/>
      </c>
      <c r="E748" s="7"/>
      <c r="F748" s="7"/>
      <c r="G748" s="7"/>
      <c r="H748" s="9"/>
      <c r="I748" s="40" t="str">
        <f t="shared" si="47"/>
        <v/>
      </c>
    </row>
    <row r="749" spans="1:9">
      <c r="A749" s="6">
        <f t="shared" si="44"/>
        <v>744</v>
      </c>
      <c r="B749" s="63"/>
      <c r="C749" s="63" t="str">
        <f t="shared" si="45"/>
        <v/>
      </c>
      <c r="D749" s="63" t="str">
        <f t="shared" si="46"/>
        <v/>
      </c>
      <c r="E749" s="7"/>
      <c r="F749" s="7"/>
      <c r="G749" s="7"/>
      <c r="H749" s="9"/>
      <c r="I749" s="40" t="str">
        <f t="shared" si="47"/>
        <v/>
      </c>
    </row>
    <row r="750" spans="1:9">
      <c r="A750" s="6">
        <f t="shared" si="44"/>
        <v>745</v>
      </c>
      <c r="B750" s="63"/>
      <c r="C750" s="63" t="str">
        <f t="shared" si="45"/>
        <v/>
      </c>
      <c r="D750" s="63" t="str">
        <f t="shared" si="46"/>
        <v/>
      </c>
      <c r="E750" s="7"/>
      <c r="F750" s="7"/>
      <c r="G750" s="7"/>
      <c r="H750" s="9"/>
      <c r="I750" s="40" t="str">
        <f t="shared" si="47"/>
        <v/>
      </c>
    </row>
    <row r="751" spans="1:9">
      <c r="A751" s="6">
        <f t="shared" si="44"/>
        <v>746</v>
      </c>
      <c r="B751" s="63"/>
      <c r="C751" s="63" t="str">
        <f t="shared" si="45"/>
        <v/>
      </c>
      <c r="D751" s="63" t="str">
        <f t="shared" si="46"/>
        <v/>
      </c>
      <c r="E751" s="7"/>
      <c r="F751" s="7"/>
      <c r="G751" s="7"/>
      <c r="H751" s="9"/>
      <c r="I751" s="40" t="str">
        <f t="shared" si="47"/>
        <v/>
      </c>
    </row>
    <row r="752" spans="1:9">
      <c r="A752" s="6">
        <f t="shared" si="44"/>
        <v>747</v>
      </c>
      <c r="B752" s="63"/>
      <c r="C752" s="63" t="str">
        <f t="shared" si="45"/>
        <v/>
      </c>
      <c r="D752" s="63" t="str">
        <f t="shared" si="46"/>
        <v/>
      </c>
      <c r="E752" s="7"/>
      <c r="F752" s="7"/>
      <c r="G752" s="7"/>
      <c r="H752" s="9"/>
      <c r="I752" s="40" t="str">
        <f t="shared" si="47"/>
        <v/>
      </c>
    </row>
    <row r="753" spans="1:9">
      <c r="A753" s="6">
        <f t="shared" si="44"/>
        <v>748</v>
      </c>
      <c r="B753" s="63"/>
      <c r="C753" s="63" t="str">
        <f t="shared" si="45"/>
        <v/>
      </c>
      <c r="D753" s="63" t="str">
        <f t="shared" si="46"/>
        <v/>
      </c>
      <c r="E753" s="7"/>
      <c r="F753" s="7"/>
      <c r="G753" s="7"/>
      <c r="H753" s="9"/>
      <c r="I753" s="40" t="str">
        <f t="shared" si="47"/>
        <v/>
      </c>
    </row>
    <row r="754" spans="1:9">
      <c r="A754" s="6">
        <f t="shared" si="44"/>
        <v>749</v>
      </c>
      <c r="B754" s="63"/>
      <c r="C754" s="63" t="str">
        <f t="shared" si="45"/>
        <v/>
      </c>
      <c r="D754" s="63" t="str">
        <f t="shared" si="46"/>
        <v/>
      </c>
      <c r="E754" s="7"/>
      <c r="F754" s="7"/>
      <c r="G754" s="7"/>
      <c r="H754" s="9"/>
      <c r="I754" s="40" t="str">
        <f t="shared" si="47"/>
        <v/>
      </c>
    </row>
    <row r="755" spans="1:9">
      <c r="A755" s="6">
        <f t="shared" si="44"/>
        <v>750</v>
      </c>
      <c r="B755" s="63"/>
      <c r="C755" s="63" t="str">
        <f t="shared" si="45"/>
        <v/>
      </c>
      <c r="D755" s="63" t="str">
        <f t="shared" si="46"/>
        <v/>
      </c>
      <c r="E755" s="7"/>
      <c r="F755" s="7"/>
      <c r="G755" s="7"/>
      <c r="H755" s="9"/>
      <c r="I755" s="40" t="str">
        <f t="shared" si="47"/>
        <v/>
      </c>
    </row>
    <row r="756" spans="1:9">
      <c r="A756" s="6">
        <f t="shared" si="44"/>
        <v>751</v>
      </c>
      <c r="B756" s="63"/>
      <c r="C756" s="63" t="str">
        <f t="shared" si="45"/>
        <v/>
      </c>
      <c r="D756" s="63" t="str">
        <f t="shared" si="46"/>
        <v/>
      </c>
      <c r="E756" s="7"/>
      <c r="F756" s="7"/>
      <c r="G756" s="7"/>
      <c r="H756" s="9"/>
      <c r="I756" s="40" t="str">
        <f t="shared" si="47"/>
        <v/>
      </c>
    </row>
    <row r="757" spans="1:9">
      <c r="A757" s="6">
        <f t="shared" si="44"/>
        <v>752</v>
      </c>
      <c r="B757" s="63"/>
      <c r="C757" s="63" t="str">
        <f t="shared" si="45"/>
        <v/>
      </c>
      <c r="D757" s="63" t="str">
        <f t="shared" si="46"/>
        <v/>
      </c>
      <c r="E757" s="7"/>
      <c r="F757" s="7"/>
      <c r="G757" s="7"/>
      <c r="H757" s="9"/>
      <c r="I757" s="40" t="str">
        <f t="shared" si="47"/>
        <v/>
      </c>
    </row>
    <row r="758" spans="1:9">
      <c r="A758" s="6">
        <f t="shared" si="44"/>
        <v>753</v>
      </c>
      <c r="B758" s="63"/>
      <c r="C758" s="63" t="str">
        <f t="shared" si="45"/>
        <v/>
      </c>
      <c r="D758" s="63" t="str">
        <f t="shared" si="46"/>
        <v/>
      </c>
      <c r="E758" s="7"/>
      <c r="F758" s="7"/>
      <c r="G758" s="7"/>
      <c r="H758" s="9"/>
      <c r="I758" s="40" t="str">
        <f t="shared" si="47"/>
        <v/>
      </c>
    </row>
    <row r="759" spans="1:9">
      <c r="A759" s="6">
        <f t="shared" si="44"/>
        <v>754</v>
      </c>
      <c r="B759" s="63"/>
      <c r="C759" s="63" t="str">
        <f t="shared" si="45"/>
        <v/>
      </c>
      <c r="D759" s="63" t="str">
        <f t="shared" si="46"/>
        <v/>
      </c>
      <c r="E759" s="7"/>
      <c r="F759" s="7"/>
      <c r="G759" s="7"/>
      <c r="H759" s="9"/>
      <c r="I759" s="40" t="str">
        <f t="shared" si="47"/>
        <v/>
      </c>
    </row>
    <row r="760" spans="1:9">
      <c r="A760" s="6">
        <f t="shared" si="44"/>
        <v>755</v>
      </c>
      <c r="B760" s="63"/>
      <c r="C760" s="63" t="str">
        <f t="shared" si="45"/>
        <v/>
      </c>
      <c r="D760" s="63" t="str">
        <f t="shared" si="46"/>
        <v/>
      </c>
      <c r="E760" s="7"/>
      <c r="F760" s="7"/>
      <c r="G760" s="7"/>
      <c r="H760" s="9"/>
      <c r="I760" s="40" t="str">
        <f t="shared" si="47"/>
        <v/>
      </c>
    </row>
    <row r="761" spans="1:9">
      <c r="A761" s="6">
        <f t="shared" si="44"/>
        <v>756</v>
      </c>
      <c r="B761" s="63"/>
      <c r="C761" s="63" t="str">
        <f t="shared" si="45"/>
        <v/>
      </c>
      <c r="D761" s="63" t="str">
        <f t="shared" si="46"/>
        <v/>
      </c>
      <c r="E761" s="7"/>
      <c r="F761" s="7"/>
      <c r="G761" s="7"/>
      <c r="H761" s="9"/>
      <c r="I761" s="40" t="str">
        <f t="shared" si="47"/>
        <v/>
      </c>
    </row>
    <row r="762" spans="1:9">
      <c r="A762" s="6">
        <f t="shared" si="44"/>
        <v>757</v>
      </c>
      <c r="B762" s="63"/>
      <c r="C762" s="63" t="str">
        <f t="shared" si="45"/>
        <v/>
      </c>
      <c r="D762" s="63" t="str">
        <f t="shared" si="46"/>
        <v/>
      </c>
      <c r="E762" s="7"/>
      <c r="F762" s="7"/>
      <c r="G762" s="7"/>
      <c r="H762" s="9"/>
      <c r="I762" s="40" t="str">
        <f t="shared" si="47"/>
        <v/>
      </c>
    </row>
    <row r="763" spans="1:9">
      <c r="A763" s="6">
        <f t="shared" si="44"/>
        <v>758</v>
      </c>
      <c r="B763" s="63"/>
      <c r="C763" s="63" t="str">
        <f t="shared" si="45"/>
        <v/>
      </c>
      <c r="D763" s="63" t="str">
        <f t="shared" si="46"/>
        <v/>
      </c>
      <c r="E763" s="7"/>
      <c r="F763" s="7"/>
      <c r="G763" s="7"/>
      <c r="H763" s="9"/>
      <c r="I763" s="40" t="str">
        <f t="shared" si="47"/>
        <v/>
      </c>
    </row>
    <row r="764" spans="1:9">
      <c r="A764" s="6">
        <f t="shared" si="44"/>
        <v>759</v>
      </c>
      <c r="B764" s="63"/>
      <c r="C764" s="63" t="str">
        <f t="shared" si="45"/>
        <v/>
      </c>
      <c r="D764" s="63" t="str">
        <f t="shared" si="46"/>
        <v/>
      </c>
      <c r="E764" s="7"/>
      <c r="F764" s="7"/>
      <c r="G764" s="7"/>
      <c r="H764" s="9"/>
      <c r="I764" s="40" t="str">
        <f t="shared" si="47"/>
        <v/>
      </c>
    </row>
    <row r="765" spans="1:9">
      <c r="A765" s="6">
        <f t="shared" si="44"/>
        <v>760</v>
      </c>
      <c r="B765" s="63"/>
      <c r="C765" s="63" t="str">
        <f t="shared" si="45"/>
        <v/>
      </c>
      <c r="D765" s="63" t="str">
        <f t="shared" si="46"/>
        <v/>
      </c>
      <c r="E765" s="7"/>
      <c r="F765" s="7"/>
      <c r="G765" s="7"/>
      <c r="H765" s="9"/>
      <c r="I765" s="40" t="str">
        <f t="shared" si="47"/>
        <v/>
      </c>
    </row>
    <row r="766" spans="1:9">
      <c r="A766" s="6">
        <f t="shared" si="44"/>
        <v>761</v>
      </c>
      <c r="B766" s="63"/>
      <c r="C766" s="63" t="str">
        <f t="shared" si="45"/>
        <v/>
      </c>
      <c r="D766" s="63" t="str">
        <f t="shared" si="46"/>
        <v/>
      </c>
      <c r="E766" s="7"/>
      <c r="F766" s="7"/>
      <c r="G766" s="7"/>
      <c r="H766" s="9"/>
      <c r="I766" s="40" t="str">
        <f t="shared" si="47"/>
        <v/>
      </c>
    </row>
    <row r="767" spans="1:9">
      <c r="A767" s="6">
        <f t="shared" si="44"/>
        <v>762</v>
      </c>
      <c r="B767" s="63"/>
      <c r="C767" s="63" t="str">
        <f t="shared" si="45"/>
        <v/>
      </c>
      <c r="D767" s="63" t="str">
        <f t="shared" si="46"/>
        <v/>
      </c>
      <c r="E767" s="7"/>
      <c r="F767" s="7"/>
      <c r="G767" s="7"/>
      <c r="H767" s="9"/>
      <c r="I767" s="40" t="str">
        <f t="shared" si="47"/>
        <v/>
      </c>
    </row>
    <row r="768" spans="1:9">
      <c r="A768" s="6">
        <f t="shared" si="44"/>
        <v>763</v>
      </c>
      <c r="B768" s="63"/>
      <c r="C768" s="63" t="str">
        <f t="shared" si="45"/>
        <v/>
      </c>
      <c r="D768" s="63" t="str">
        <f t="shared" si="46"/>
        <v/>
      </c>
      <c r="E768" s="7"/>
      <c r="F768" s="7"/>
      <c r="G768" s="7"/>
      <c r="H768" s="9"/>
      <c r="I768" s="40" t="str">
        <f t="shared" si="47"/>
        <v/>
      </c>
    </row>
    <row r="769" spans="1:9">
      <c r="A769" s="6">
        <f t="shared" si="44"/>
        <v>764</v>
      </c>
      <c r="B769" s="63"/>
      <c r="C769" s="63" t="str">
        <f t="shared" si="45"/>
        <v/>
      </c>
      <c r="D769" s="63" t="str">
        <f t="shared" si="46"/>
        <v/>
      </c>
      <c r="E769" s="7"/>
      <c r="F769" s="7"/>
      <c r="G769" s="7"/>
      <c r="H769" s="9"/>
      <c r="I769" s="40" t="str">
        <f t="shared" si="47"/>
        <v/>
      </c>
    </row>
    <row r="770" spans="1:9">
      <c r="A770" s="6">
        <f t="shared" si="44"/>
        <v>765</v>
      </c>
      <c r="B770" s="63"/>
      <c r="C770" s="63" t="str">
        <f t="shared" si="45"/>
        <v/>
      </c>
      <c r="D770" s="63" t="str">
        <f t="shared" si="46"/>
        <v/>
      </c>
      <c r="E770" s="7"/>
      <c r="F770" s="7"/>
      <c r="G770" s="7"/>
      <c r="H770" s="9"/>
      <c r="I770" s="40" t="str">
        <f t="shared" si="47"/>
        <v/>
      </c>
    </row>
    <row r="771" spans="1:9">
      <c r="A771" s="6">
        <f t="shared" si="44"/>
        <v>766</v>
      </c>
      <c r="B771" s="63"/>
      <c r="C771" s="63" t="str">
        <f t="shared" si="45"/>
        <v/>
      </c>
      <c r="D771" s="63" t="str">
        <f t="shared" si="46"/>
        <v/>
      </c>
      <c r="E771" s="7"/>
      <c r="F771" s="7"/>
      <c r="G771" s="7"/>
      <c r="H771" s="9"/>
      <c r="I771" s="40" t="str">
        <f t="shared" si="47"/>
        <v/>
      </c>
    </row>
    <row r="772" spans="1:9">
      <c r="A772" s="6">
        <f t="shared" si="44"/>
        <v>767</v>
      </c>
      <c r="B772" s="63"/>
      <c r="C772" s="63" t="str">
        <f t="shared" si="45"/>
        <v/>
      </c>
      <c r="D772" s="63" t="str">
        <f t="shared" si="46"/>
        <v/>
      </c>
      <c r="E772" s="7"/>
      <c r="F772" s="7"/>
      <c r="G772" s="7"/>
      <c r="H772" s="9"/>
      <c r="I772" s="40" t="str">
        <f t="shared" si="47"/>
        <v/>
      </c>
    </row>
    <row r="773" spans="1:9">
      <c r="A773" s="6">
        <f t="shared" si="44"/>
        <v>768</v>
      </c>
      <c r="B773" s="63"/>
      <c r="C773" s="63" t="str">
        <f t="shared" si="45"/>
        <v/>
      </c>
      <c r="D773" s="63" t="str">
        <f t="shared" si="46"/>
        <v/>
      </c>
      <c r="E773" s="7"/>
      <c r="F773" s="7"/>
      <c r="G773" s="7"/>
      <c r="H773" s="9"/>
      <c r="I773" s="40" t="str">
        <f t="shared" si="47"/>
        <v/>
      </c>
    </row>
    <row r="774" spans="1:9">
      <c r="A774" s="6">
        <f t="shared" si="44"/>
        <v>769</v>
      </c>
      <c r="B774" s="63"/>
      <c r="C774" s="63" t="str">
        <f t="shared" si="45"/>
        <v/>
      </c>
      <c r="D774" s="63" t="str">
        <f t="shared" si="46"/>
        <v/>
      </c>
      <c r="E774" s="7"/>
      <c r="F774" s="7"/>
      <c r="G774" s="7"/>
      <c r="H774" s="9"/>
      <c r="I774" s="40" t="str">
        <f t="shared" si="47"/>
        <v/>
      </c>
    </row>
    <row r="775" spans="1:9">
      <c r="A775" s="6">
        <f t="shared" ref="A775:A838" si="48">ROW(A770)</f>
        <v>770</v>
      </c>
      <c r="B775" s="63"/>
      <c r="C775" s="63" t="str">
        <f t="shared" ref="C775:C838" si="49">IF(B775=0,"",TEXT(B775,"mmmm"))</f>
        <v/>
      </c>
      <c r="D775" s="63" t="str">
        <f t="shared" ref="D775:D838" si="50">IF(B775=0,"",TEXT(B775,"yyyy"))</f>
        <v/>
      </c>
      <c r="E775" s="7"/>
      <c r="F775" s="7"/>
      <c r="G775" s="7"/>
      <c r="H775" s="9"/>
      <c r="I775" s="40" t="str">
        <f t="shared" ref="I775:I838" si="51">IF(H775*G775=0,"",H775*G775)</f>
        <v/>
      </c>
    </row>
    <row r="776" spans="1:9">
      <c r="A776" s="6">
        <f t="shared" si="48"/>
        <v>771</v>
      </c>
      <c r="B776" s="63"/>
      <c r="C776" s="63" t="str">
        <f t="shared" si="49"/>
        <v/>
      </c>
      <c r="D776" s="63" t="str">
        <f t="shared" si="50"/>
        <v/>
      </c>
      <c r="E776" s="7"/>
      <c r="F776" s="7"/>
      <c r="G776" s="7"/>
      <c r="H776" s="9"/>
      <c r="I776" s="40" t="str">
        <f t="shared" si="51"/>
        <v/>
      </c>
    </row>
    <row r="777" spans="1:9">
      <c r="A777" s="6">
        <f t="shared" si="48"/>
        <v>772</v>
      </c>
      <c r="B777" s="63"/>
      <c r="C777" s="63" t="str">
        <f t="shared" si="49"/>
        <v/>
      </c>
      <c r="D777" s="63" t="str">
        <f t="shared" si="50"/>
        <v/>
      </c>
      <c r="E777" s="7"/>
      <c r="F777" s="7"/>
      <c r="G777" s="7"/>
      <c r="H777" s="9"/>
      <c r="I777" s="40" t="str">
        <f t="shared" si="51"/>
        <v/>
      </c>
    </row>
    <row r="778" spans="1:9">
      <c r="A778" s="6">
        <f t="shared" si="48"/>
        <v>773</v>
      </c>
      <c r="B778" s="63"/>
      <c r="C778" s="63" t="str">
        <f t="shared" si="49"/>
        <v/>
      </c>
      <c r="D778" s="63" t="str">
        <f t="shared" si="50"/>
        <v/>
      </c>
      <c r="E778" s="7"/>
      <c r="F778" s="7"/>
      <c r="G778" s="7"/>
      <c r="H778" s="9"/>
      <c r="I778" s="40" t="str">
        <f t="shared" si="51"/>
        <v/>
      </c>
    </row>
    <row r="779" spans="1:9">
      <c r="A779" s="6">
        <f t="shared" si="48"/>
        <v>774</v>
      </c>
      <c r="B779" s="63"/>
      <c r="C779" s="63" t="str">
        <f t="shared" si="49"/>
        <v/>
      </c>
      <c r="D779" s="63" t="str">
        <f t="shared" si="50"/>
        <v/>
      </c>
      <c r="E779" s="7"/>
      <c r="F779" s="7"/>
      <c r="G779" s="7"/>
      <c r="H779" s="9"/>
      <c r="I779" s="40" t="str">
        <f t="shared" si="51"/>
        <v/>
      </c>
    </row>
    <row r="780" spans="1:9">
      <c r="A780" s="6">
        <f t="shared" si="48"/>
        <v>775</v>
      </c>
      <c r="B780" s="63"/>
      <c r="C780" s="63" t="str">
        <f t="shared" si="49"/>
        <v/>
      </c>
      <c r="D780" s="63" t="str">
        <f t="shared" si="50"/>
        <v/>
      </c>
      <c r="E780" s="7"/>
      <c r="F780" s="7"/>
      <c r="G780" s="7"/>
      <c r="H780" s="9"/>
      <c r="I780" s="40" t="str">
        <f t="shared" si="51"/>
        <v/>
      </c>
    </row>
    <row r="781" spans="1:9">
      <c r="A781" s="6">
        <f t="shared" si="48"/>
        <v>776</v>
      </c>
      <c r="B781" s="63"/>
      <c r="C781" s="63" t="str">
        <f t="shared" si="49"/>
        <v/>
      </c>
      <c r="D781" s="63" t="str">
        <f t="shared" si="50"/>
        <v/>
      </c>
      <c r="E781" s="7"/>
      <c r="F781" s="7"/>
      <c r="G781" s="7"/>
      <c r="H781" s="9"/>
      <c r="I781" s="40" t="str">
        <f t="shared" si="51"/>
        <v/>
      </c>
    </row>
    <row r="782" spans="1:9">
      <c r="A782" s="6">
        <f t="shared" si="48"/>
        <v>777</v>
      </c>
      <c r="B782" s="63"/>
      <c r="C782" s="63" t="str">
        <f t="shared" si="49"/>
        <v/>
      </c>
      <c r="D782" s="63" t="str">
        <f t="shared" si="50"/>
        <v/>
      </c>
      <c r="E782" s="7"/>
      <c r="F782" s="7"/>
      <c r="G782" s="7"/>
      <c r="H782" s="9"/>
      <c r="I782" s="40" t="str">
        <f t="shared" si="51"/>
        <v/>
      </c>
    </row>
    <row r="783" spans="1:9">
      <c r="A783" s="6">
        <f t="shared" si="48"/>
        <v>778</v>
      </c>
      <c r="B783" s="63"/>
      <c r="C783" s="63" t="str">
        <f t="shared" si="49"/>
        <v/>
      </c>
      <c r="D783" s="63" t="str">
        <f t="shared" si="50"/>
        <v/>
      </c>
      <c r="E783" s="7"/>
      <c r="F783" s="7"/>
      <c r="G783" s="7"/>
      <c r="H783" s="9"/>
      <c r="I783" s="40" t="str">
        <f t="shared" si="51"/>
        <v/>
      </c>
    </row>
    <row r="784" spans="1:9">
      <c r="A784" s="6">
        <f t="shared" si="48"/>
        <v>779</v>
      </c>
      <c r="B784" s="63"/>
      <c r="C784" s="63" t="str">
        <f t="shared" si="49"/>
        <v/>
      </c>
      <c r="D784" s="63" t="str">
        <f t="shared" si="50"/>
        <v/>
      </c>
      <c r="E784" s="7"/>
      <c r="F784" s="7"/>
      <c r="G784" s="7"/>
      <c r="H784" s="9"/>
      <c r="I784" s="40" t="str">
        <f t="shared" si="51"/>
        <v/>
      </c>
    </row>
    <row r="785" spans="1:9">
      <c r="A785" s="6">
        <f t="shared" si="48"/>
        <v>780</v>
      </c>
      <c r="B785" s="63"/>
      <c r="C785" s="63" t="str">
        <f t="shared" si="49"/>
        <v/>
      </c>
      <c r="D785" s="63" t="str">
        <f t="shared" si="50"/>
        <v/>
      </c>
      <c r="E785" s="7"/>
      <c r="F785" s="7"/>
      <c r="G785" s="7"/>
      <c r="H785" s="9"/>
      <c r="I785" s="40" t="str">
        <f t="shared" si="51"/>
        <v/>
      </c>
    </row>
    <row r="786" spans="1:9">
      <c r="A786" s="6">
        <f t="shared" si="48"/>
        <v>781</v>
      </c>
      <c r="B786" s="63"/>
      <c r="C786" s="63" t="str">
        <f t="shared" si="49"/>
        <v/>
      </c>
      <c r="D786" s="63" t="str">
        <f t="shared" si="50"/>
        <v/>
      </c>
      <c r="E786" s="7"/>
      <c r="F786" s="7"/>
      <c r="G786" s="7"/>
      <c r="H786" s="9"/>
      <c r="I786" s="40" t="str">
        <f t="shared" si="51"/>
        <v/>
      </c>
    </row>
    <row r="787" spans="1:9">
      <c r="A787" s="6">
        <f t="shared" si="48"/>
        <v>782</v>
      </c>
      <c r="B787" s="63"/>
      <c r="C787" s="63" t="str">
        <f t="shared" si="49"/>
        <v/>
      </c>
      <c r="D787" s="63" t="str">
        <f t="shared" si="50"/>
        <v/>
      </c>
      <c r="E787" s="7"/>
      <c r="F787" s="7"/>
      <c r="G787" s="7"/>
      <c r="H787" s="9"/>
      <c r="I787" s="40" t="str">
        <f t="shared" si="51"/>
        <v/>
      </c>
    </row>
    <row r="788" spans="1:9">
      <c r="A788" s="6">
        <f t="shared" si="48"/>
        <v>783</v>
      </c>
      <c r="B788" s="63"/>
      <c r="C788" s="63" t="str">
        <f t="shared" si="49"/>
        <v/>
      </c>
      <c r="D788" s="63" t="str">
        <f t="shared" si="50"/>
        <v/>
      </c>
      <c r="E788" s="7"/>
      <c r="F788" s="7"/>
      <c r="G788" s="7"/>
      <c r="H788" s="9"/>
      <c r="I788" s="40" t="str">
        <f t="shared" si="51"/>
        <v/>
      </c>
    </row>
    <row r="789" spans="1:9">
      <c r="A789" s="6">
        <f t="shared" si="48"/>
        <v>784</v>
      </c>
      <c r="B789" s="63"/>
      <c r="C789" s="63" t="str">
        <f t="shared" si="49"/>
        <v/>
      </c>
      <c r="D789" s="63" t="str">
        <f t="shared" si="50"/>
        <v/>
      </c>
      <c r="E789" s="7"/>
      <c r="F789" s="7"/>
      <c r="G789" s="7"/>
      <c r="H789" s="9"/>
      <c r="I789" s="40" t="str">
        <f t="shared" si="51"/>
        <v/>
      </c>
    </row>
    <row r="790" spans="1:9">
      <c r="A790" s="6">
        <f t="shared" si="48"/>
        <v>785</v>
      </c>
      <c r="B790" s="63"/>
      <c r="C790" s="63" t="str">
        <f t="shared" si="49"/>
        <v/>
      </c>
      <c r="D790" s="63" t="str">
        <f t="shared" si="50"/>
        <v/>
      </c>
      <c r="E790" s="7"/>
      <c r="F790" s="7"/>
      <c r="G790" s="7"/>
      <c r="H790" s="9"/>
      <c r="I790" s="40" t="str">
        <f t="shared" si="51"/>
        <v/>
      </c>
    </row>
    <row r="791" spans="1:9">
      <c r="A791" s="6">
        <f t="shared" si="48"/>
        <v>786</v>
      </c>
      <c r="B791" s="63"/>
      <c r="C791" s="63" t="str">
        <f t="shared" si="49"/>
        <v/>
      </c>
      <c r="D791" s="63" t="str">
        <f t="shared" si="50"/>
        <v/>
      </c>
      <c r="E791" s="7"/>
      <c r="F791" s="7"/>
      <c r="G791" s="7"/>
      <c r="H791" s="9"/>
      <c r="I791" s="40" t="str">
        <f t="shared" si="51"/>
        <v/>
      </c>
    </row>
    <row r="792" spans="1:9">
      <c r="A792" s="6">
        <f t="shared" si="48"/>
        <v>787</v>
      </c>
      <c r="B792" s="63"/>
      <c r="C792" s="63" t="str">
        <f t="shared" si="49"/>
        <v/>
      </c>
      <c r="D792" s="63" t="str">
        <f t="shared" si="50"/>
        <v/>
      </c>
      <c r="E792" s="7"/>
      <c r="F792" s="7"/>
      <c r="G792" s="7"/>
      <c r="H792" s="9"/>
      <c r="I792" s="40" t="str">
        <f t="shared" si="51"/>
        <v/>
      </c>
    </row>
    <row r="793" spans="1:9">
      <c r="A793" s="6">
        <f t="shared" si="48"/>
        <v>788</v>
      </c>
      <c r="B793" s="63"/>
      <c r="C793" s="63" t="str">
        <f t="shared" si="49"/>
        <v/>
      </c>
      <c r="D793" s="63" t="str">
        <f t="shared" si="50"/>
        <v/>
      </c>
      <c r="E793" s="7"/>
      <c r="F793" s="7"/>
      <c r="G793" s="7"/>
      <c r="H793" s="9"/>
      <c r="I793" s="40" t="str">
        <f t="shared" si="51"/>
        <v/>
      </c>
    </row>
    <row r="794" spans="1:9">
      <c r="A794" s="6">
        <f t="shared" si="48"/>
        <v>789</v>
      </c>
      <c r="B794" s="63"/>
      <c r="C794" s="63" t="str">
        <f t="shared" si="49"/>
        <v/>
      </c>
      <c r="D794" s="63" t="str">
        <f t="shared" si="50"/>
        <v/>
      </c>
      <c r="E794" s="7"/>
      <c r="F794" s="7"/>
      <c r="G794" s="7"/>
      <c r="H794" s="9"/>
      <c r="I794" s="40" t="str">
        <f t="shared" si="51"/>
        <v/>
      </c>
    </row>
    <row r="795" spans="1:9">
      <c r="A795" s="6">
        <f t="shared" si="48"/>
        <v>790</v>
      </c>
      <c r="B795" s="63"/>
      <c r="C795" s="63" t="str">
        <f t="shared" si="49"/>
        <v/>
      </c>
      <c r="D795" s="63" t="str">
        <f t="shared" si="50"/>
        <v/>
      </c>
      <c r="E795" s="7"/>
      <c r="F795" s="7"/>
      <c r="G795" s="7"/>
      <c r="H795" s="9"/>
      <c r="I795" s="40" t="str">
        <f t="shared" si="51"/>
        <v/>
      </c>
    </row>
    <row r="796" spans="1:9">
      <c r="A796" s="6">
        <f t="shared" si="48"/>
        <v>791</v>
      </c>
      <c r="B796" s="63"/>
      <c r="C796" s="63" t="str">
        <f t="shared" si="49"/>
        <v/>
      </c>
      <c r="D796" s="63" t="str">
        <f t="shared" si="50"/>
        <v/>
      </c>
      <c r="E796" s="7"/>
      <c r="F796" s="7"/>
      <c r="G796" s="7"/>
      <c r="H796" s="9"/>
      <c r="I796" s="40" t="str">
        <f t="shared" si="51"/>
        <v/>
      </c>
    </row>
    <row r="797" spans="1:9">
      <c r="A797" s="6">
        <f t="shared" si="48"/>
        <v>792</v>
      </c>
      <c r="B797" s="63"/>
      <c r="C797" s="63" t="str">
        <f t="shared" si="49"/>
        <v/>
      </c>
      <c r="D797" s="63" t="str">
        <f t="shared" si="50"/>
        <v/>
      </c>
      <c r="E797" s="7"/>
      <c r="F797" s="7"/>
      <c r="G797" s="7"/>
      <c r="H797" s="9"/>
      <c r="I797" s="40" t="str">
        <f t="shared" si="51"/>
        <v/>
      </c>
    </row>
    <row r="798" spans="1:9">
      <c r="A798" s="6">
        <f t="shared" si="48"/>
        <v>793</v>
      </c>
      <c r="B798" s="63"/>
      <c r="C798" s="63" t="str">
        <f t="shared" si="49"/>
        <v/>
      </c>
      <c r="D798" s="63" t="str">
        <f t="shared" si="50"/>
        <v/>
      </c>
      <c r="E798" s="7"/>
      <c r="F798" s="7"/>
      <c r="G798" s="7"/>
      <c r="H798" s="9"/>
      <c r="I798" s="40" t="str">
        <f t="shared" si="51"/>
        <v/>
      </c>
    </row>
    <row r="799" spans="1:9">
      <c r="A799" s="6">
        <f t="shared" si="48"/>
        <v>794</v>
      </c>
      <c r="B799" s="63"/>
      <c r="C799" s="63" t="str">
        <f t="shared" si="49"/>
        <v/>
      </c>
      <c r="D799" s="63" t="str">
        <f t="shared" si="50"/>
        <v/>
      </c>
      <c r="E799" s="7"/>
      <c r="F799" s="7"/>
      <c r="G799" s="7"/>
      <c r="H799" s="9"/>
      <c r="I799" s="40" t="str">
        <f t="shared" si="51"/>
        <v/>
      </c>
    </row>
    <row r="800" spans="1:9">
      <c r="A800" s="6">
        <f t="shared" si="48"/>
        <v>795</v>
      </c>
      <c r="B800" s="63"/>
      <c r="C800" s="63" t="str">
        <f t="shared" si="49"/>
        <v/>
      </c>
      <c r="D800" s="63" t="str">
        <f t="shared" si="50"/>
        <v/>
      </c>
      <c r="E800" s="7"/>
      <c r="F800" s="7"/>
      <c r="G800" s="7"/>
      <c r="H800" s="9"/>
      <c r="I800" s="40" t="str">
        <f t="shared" si="51"/>
        <v/>
      </c>
    </row>
    <row r="801" spans="1:9">
      <c r="A801" s="6">
        <f t="shared" si="48"/>
        <v>796</v>
      </c>
      <c r="B801" s="63"/>
      <c r="C801" s="63" t="str">
        <f t="shared" si="49"/>
        <v/>
      </c>
      <c r="D801" s="63" t="str">
        <f t="shared" si="50"/>
        <v/>
      </c>
      <c r="E801" s="7"/>
      <c r="F801" s="7"/>
      <c r="G801" s="7"/>
      <c r="H801" s="9"/>
      <c r="I801" s="40" t="str">
        <f t="shared" si="51"/>
        <v/>
      </c>
    </row>
    <row r="802" spans="1:9">
      <c r="A802" s="6">
        <f t="shared" si="48"/>
        <v>797</v>
      </c>
      <c r="B802" s="63"/>
      <c r="C802" s="63" t="str">
        <f t="shared" si="49"/>
        <v/>
      </c>
      <c r="D802" s="63" t="str">
        <f t="shared" si="50"/>
        <v/>
      </c>
      <c r="E802" s="7"/>
      <c r="F802" s="7"/>
      <c r="G802" s="7"/>
      <c r="H802" s="9"/>
      <c r="I802" s="40" t="str">
        <f t="shared" si="51"/>
        <v/>
      </c>
    </row>
    <row r="803" spans="1:9">
      <c r="A803" s="6">
        <f t="shared" si="48"/>
        <v>798</v>
      </c>
      <c r="B803" s="63"/>
      <c r="C803" s="63" t="str">
        <f t="shared" si="49"/>
        <v/>
      </c>
      <c r="D803" s="63" t="str">
        <f t="shared" si="50"/>
        <v/>
      </c>
      <c r="E803" s="7"/>
      <c r="F803" s="7"/>
      <c r="G803" s="7"/>
      <c r="H803" s="9"/>
      <c r="I803" s="40" t="str">
        <f t="shared" si="51"/>
        <v/>
      </c>
    </row>
    <row r="804" spans="1:9">
      <c r="A804" s="6">
        <f t="shared" si="48"/>
        <v>799</v>
      </c>
      <c r="B804" s="63"/>
      <c r="C804" s="63" t="str">
        <f t="shared" si="49"/>
        <v/>
      </c>
      <c r="D804" s="63" t="str">
        <f t="shared" si="50"/>
        <v/>
      </c>
      <c r="E804" s="7"/>
      <c r="F804" s="7"/>
      <c r="G804" s="7"/>
      <c r="H804" s="9"/>
      <c r="I804" s="40" t="str">
        <f t="shared" si="51"/>
        <v/>
      </c>
    </row>
    <row r="805" spans="1:9">
      <c r="A805" s="6">
        <f t="shared" si="48"/>
        <v>800</v>
      </c>
      <c r="B805" s="63"/>
      <c r="C805" s="63" t="str">
        <f t="shared" si="49"/>
        <v/>
      </c>
      <c r="D805" s="63" t="str">
        <f t="shared" si="50"/>
        <v/>
      </c>
      <c r="E805" s="7"/>
      <c r="F805" s="7"/>
      <c r="G805" s="7"/>
      <c r="H805" s="9"/>
      <c r="I805" s="40" t="str">
        <f t="shared" si="51"/>
        <v/>
      </c>
    </row>
    <row r="806" spans="1:9">
      <c r="A806" s="6">
        <f t="shared" si="48"/>
        <v>801</v>
      </c>
      <c r="B806" s="63"/>
      <c r="C806" s="63" t="str">
        <f t="shared" si="49"/>
        <v/>
      </c>
      <c r="D806" s="63" t="str">
        <f t="shared" si="50"/>
        <v/>
      </c>
      <c r="E806" s="7"/>
      <c r="F806" s="7"/>
      <c r="G806" s="7"/>
      <c r="H806" s="9"/>
      <c r="I806" s="40" t="str">
        <f t="shared" si="51"/>
        <v/>
      </c>
    </row>
    <row r="807" spans="1:9">
      <c r="A807" s="6">
        <f t="shared" si="48"/>
        <v>802</v>
      </c>
      <c r="B807" s="63"/>
      <c r="C807" s="63" t="str">
        <f t="shared" si="49"/>
        <v/>
      </c>
      <c r="D807" s="63" t="str">
        <f t="shared" si="50"/>
        <v/>
      </c>
      <c r="E807" s="7"/>
      <c r="F807" s="7"/>
      <c r="G807" s="7"/>
      <c r="H807" s="9"/>
      <c r="I807" s="40" t="str">
        <f t="shared" si="51"/>
        <v/>
      </c>
    </row>
    <row r="808" spans="1:9">
      <c r="A808" s="6">
        <f t="shared" si="48"/>
        <v>803</v>
      </c>
      <c r="B808" s="63"/>
      <c r="C808" s="63" t="str">
        <f t="shared" si="49"/>
        <v/>
      </c>
      <c r="D808" s="63" t="str">
        <f t="shared" si="50"/>
        <v/>
      </c>
      <c r="E808" s="7"/>
      <c r="F808" s="7"/>
      <c r="G808" s="7"/>
      <c r="H808" s="9"/>
      <c r="I808" s="40" t="str">
        <f t="shared" si="51"/>
        <v/>
      </c>
    </row>
    <row r="809" spans="1:9">
      <c r="A809" s="6">
        <f t="shared" si="48"/>
        <v>804</v>
      </c>
      <c r="B809" s="63"/>
      <c r="C809" s="63" t="str">
        <f t="shared" si="49"/>
        <v/>
      </c>
      <c r="D809" s="63" t="str">
        <f t="shared" si="50"/>
        <v/>
      </c>
      <c r="E809" s="7"/>
      <c r="F809" s="7"/>
      <c r="G809" s="7"/>
      <c r="H809" s="9"/>
      <c r="I809" s="40" t="str">
        <f t="shared" si="51"/>
        <v/>
      </c>
    </row>
    <row r="810" spans="1:9">
      <c r="A810" s="6">
        <f t="shared" si="48"/>
        <v>805</v>
      </c>
      <c r="B810" s="63"/>
      <c r="C810" s="63" t="str">
        <f t="shared" si="49"/>
        <v/>
      </c>
      <c r="D810" s="63" t="str">
        <f t="shared" si="50"/>
        <v/>
      </c>
      <c r="E810" s="7"/>
      <c r="F810" s="7"/>
      <c r="G810" s="7"/>
      <c r="H810" s="9"/>
      <c r="I810" s="40" t="str">
        <f t="shared" si="51"/>
        <v/>
      </c>
    </row>
    <row r="811" spans="1:9">
      <c r="A811" s="6">
        <f t="shared" si="48"/>
        <v>806</v>
      </c>
      <c r="B811" s="63"/>
      <c r="C811" s="63" t="str">
        <f t="shared" si="49"/>
        <v/>
      </c>
      <c r="D811" s="63" t="str">
        <f t="shared" si="50"/>
        <v/>
      </c>
      <c r="E811" s="7"/>
      <c r="F811" s="7"/>
      <c r="G811" s="7"/>
      <c r="H811" s="9"/>
      <c r="I811" s="40" t="str">
        <f t="shared" si="51"/>
        <v/>
      </c>
    </row>
    <row r="812" spans="1:9">
      <c r="A812" s="6">
        <f t="shared" si="48"/>
        <v>807</v>
      </c>
      <c r="B812" s="63"/>
      <c r="C812" s="63" t="str">
        <f t="shared" si="49"/>
        <v/>
      </c>
      <c r="D812" s="63" t="str">
        <f t="shared" si="50"/>
        <v/>
      </c>
      <c r="E812" s="7"/>
      <c r="F812" s="7"/>
      <c r="G812" s="7"/>
      <c r="H812" s="9"/>
      <c r="I812" s="40" t="str">
        <f t="shared" si="51"/>
        <v/>
      </c>
    </row>
    <row r="813" spans="1:9">
      <c r="A813" s="6">
        <f t="shared" si="48"/>
        <v>808</v>
      </c>
      <c r="B813" s="63"/>
      <c r="C813" s="63" t="str">
        <f t="shared" si="49"/>
        <v/>
      </c>
      <c r="D813" s="63" t="str">
        <f t="shared" si="50"/>
        <v/>
      </c>
      <c r="E813" s="7"/>
      <c r="F813" s="7"/>
      <c r="G813" s="7"/>
      <c r="H813" s="9"/>
      <c r="I813" s="40" t="str">
        <f t="shared" si="51"/>
        <v/>
      </c>
    </row>
    <row r="814" spans="1:9">
      <c r="A814" s="6">
        <f t="shared" si="48"/>
        <v>809</v>
      </c>
      <c r="B814" s="63"/>
      <c r="C814" s="63" t="str">
        <f t="shared" si="49"/>
        <v/>
      </c>
      <c r="D814" s="63" t="str">
        <f t="shared" si="50"/>
        <v/>
      </c>
      <c r="E814" s="7"/>
      <c r="F814" s="7"/>
      <c r="G814" s="7"/>
      <c r="H814" s="9"/>
      <c r="I814" s="40" t="str">
        <f t="shared" si="51"/>
        <v/>
      </c>
    </row>
    <row r="815" spans="1:9">
      <c r="A815" s="6">
        <f t="shared" si="48"/>
        <v>810</v>
      </c>
      <c r="B815" s="63"/>
      <c r="C815" s="63" t="str">
        <f t="shared" si="49"/>
        <v/>
      </c>
      <c r="D815" s="63" t="str">
        <f t="shared" si="50"/>
        <v/>
      </c>
      <c r="E815" s="7"/>
      <c r="F815" s="7"/>
      <c r="G815" s="7"/>
      <c r="H815" s="9"/>
      <c r="I815" s="40" t="str">
        <f t="shared" si="51"/>
        <v/>
      </c>
    </row>
    <row r="816" spans="1:9">
      <c r="A816" s="6">
        <f t="shared" si="48"/>
        <v>811</v>
      </c>
      <c r="B816" s="63"/>
      <c r="C816" s="63" t="str">
        <f t="shared" si="49"/>
        <v/>
      </c>
      <c r="D816" s="63" t="str">
        <f t="shared" si="50"/>
        <v/>
      </c>
      <c r="E816" s="7"/>
      <c r="F816" s="7"/>
      <c r="G816" s="7"/>
      <c r="H816" s="9"/>
      <c r="I816" s="40" t="str">
        <f t="shared" si="51"/>
        <v/>
      </c>
    </row>
    <row r="817" spans="1:9">
      <c r="A817" s="6">
        <f t="shared" si="48"/>
        <v>812</v>
      </c>
      <c r="B817" s="63"/>
      <c r="C817" s="63" t="str">
        <f t="shared" si="49"/>
        <v/>
      </c>
      <c r="D817" s="63" t="str">
        <f t="shared" si="50"/>
        <v/>
      </c>
      <c r="E817" s="7"/>
      <c r="F817" s="7"/>
      <c r="G817" s="7"/>
      <c r="H817" s="9"/>
      <c r="I817" s="40" t="str">
        <f t="shared" si="51"/>
        <v/>
      </c>
    </row>
    <row r="818" spans="1:9">
      <c r="A818" s="6">
        <f t="shared" si="48"/>
        <v>813</v>
      </c>
      <c r="B818" s="63"/>
      <c r="C818" s="63" t="str">
        <f t="shared" si="49"/>
        <v/>
      </c>
      <c r="D818" s="63" t="str">
        <f t="shared" si="50"/>
        <v/>
      </c>
      <c r="E818" s="7"/>
      <c r="F818" s="7"/>
      <c r="G818" s="7"/>
      <c r="H818" s="9"/>
      <c r="I818" s="40" t="str">
        <f t="shared" si="51"/>
        <v/>
      </c>
    </row>
    <row r="819" spans="1:9">
      <c r="A819" s="6">
        <f t="shared" si="48"/>
        <v>814</v>
      </c>
      <c r="B819" s="63"/>
      <c r="C819" s="63" t="str">
        <f t="shared" si="49"/>
        <v/>
      </c>
      <c r="D819" s="63" t="str">
        <f t="shared" si="50"/>
        <v/>
      </c>
      <c r="E819" s="7"/>
      <c r="F819" s="7"/>
      <c r="G819" s="7"/>
      <c r="H819" s="9"/>
      <c r="I819" s="40" t="str">
        <f t="shared" si="51"/>
        <v/>
      </c>
    </row>
    <row r="820" spans="1:9">
      <c r="A820" s="6">
        <f t="shared" si="48"/>
        <v>815</v>
      </c>
      <c r="B820" s="63"/>
      <c r="C820" s="63" t="str">
        <f t="shared" si="49"/>
        <v/>
      </c>
      <c r="D820" s="63" t="str">
        <f t="shared" si="50"/>
        <v/>
      </c>
      <c r="E820" s="7"/>
      <c r="F820" s="7"/>
      <c r="G820" s="7"/>
      <c r="H820" s="9"/>
      <c r="I820" s="40" t="str">
        <f t="shared" si="51"/>
        <v/>
      </c>
    </row>
    <row r="821" spans="1:9">
      <c r="A821" s="6">
        <f t="shared" si="48"/>
        <v>816</v>
      </c>
      <c r="B821" s="63"/>
      <c r="C821" s="63" t="str">
        <f t="shared" si="49"/>
        <v/>
      </c>
      <c r="D821" s="63" t="str">
        <f t="shared" si="50"/>
        <v/>
      </c>
      <c r="E821" s="7"/>
      <c r="F821" s="7"/>
      <c r="G821" s="7"/>
      <c r="H821" s="9"/>
      <c r="I821" s="40" t="str">
        <f t="shared" si="51"/>
        <v/>
      </c>
    </row>
    <row r="822" spans="1:9">
      <c r="A822" s="6">
        <f t="shared" si="48"/>
        <v>817</v>
      </c>
      <c r="B822" s="63"/>
      <c r="C822" s="63" t="str">
        <f t="shared" si="49"/>
        <v/>
      </c>
      <c r="D822" s="63" t="str">
        <f t="shared" si="50"/>
        <v/>
      </c>
      <c r="E822" s="7"/>
      <c r="F822" s="7"/>
      <c r="G822" s="7"/>
      <c r="H822" s="9"/>
      <c r="I822" s="40" t="str">
        <f t="shared" si="51"/>
        <v/>
      </c>
    </row>
    <row r="823" spans="1:9">
      <c r="A823" s="6">
        <f t="shared" si="48"/>
        <v>818</v>
      </c>
      <c r="B823" s="63"/>
      <c r="C823" s="63" t="str">
        <f t="shared" si="49"/>
        <v/>
      </c>
      <c r="D823" s="63" t="str">
        <f t="shared" si="50"/>
        <v/>
      </c>
      <c r="E823" s="7"/>
      <c r="F823" s="7"/>
      <c r="G823" s="7"/>
      <c r="H823" s="9"/>
      <c r="I823" s="40" t="str">
        <f t="shared" si="51"/>
        <v/>
      </c>
    </row>
    <row r="824" spans="1:9">
      <c r="A824" s="6">
        <f t="shared" si="48"/>
        <v>819</v>
      </c>
      <c r="B824" s="63"/>
      <c r="C824" s="63" t="str">
        <f t="shared" si="49"/>
        <v/>
      </c>
      <c r="D824" s="63" t="str">
        <f t="shared" si="50"/>
        <v/>
      </c>
      <c r="E824" s="7"/>
      <c r="F824" s="7"/>
      <c r="G824" s="7"/>
      <c r="H824" s="9"/>
      <c r="I824" s="40" t="str">
        <f t="shared" si="51"/>
        <v/>
      </c>
    </row>
    <row r="825" spans="1:9">
      <c r="A825" s="6">
        <f t="shared" si="48"/>
        <v>820</v>
      </c>
      <c r="B825" s="63"/>
      <c r="C825" s="63" t="str">
        <f t="shared" si="49"/>
        <v/>
      </c>
      <c r="D825" s="63" t="str">
        <f t="shared" si="50"/>
        <v/>
      </c>
      <c r="E825" s="7"/>
      <c r="F825" s="7"/>
      <c r="G825" s="7"/>
      <c r="H825" s="9"/>
      <c r="I825" s="40" t="str">
        <f t="shared" si="51"/>
        <v/>
      </c>
    </row>
    <row r="826" spans="1:9">
      <c r="A826" s="6">
        <f t="shared" si="48"/>
        <v>821</v>
      </c>
      <c r="B826" s="63"/>
      <c r="C826" s="63" t="str">
        <f t="shared" si="49"/>
        <v/>
      </c>
      <c r="D826" s="63" t="str">
        <f t="shared" si="50"/>
        <v/>
      </c>
      <c r="E826" s="7"/>
      <c r="F826" s="7"/>
      <c r="G826" s="7"/>
      <c r="H826" s="9"/>
      <c r="I826" s="40" t="str">
        <f t="shared" si="51"/>
        <v/>
      </c>
    </row>
    <row r="827" spans="1:9">
      <c r="A827" s="6">
        <f t="shared" si="48"/>
        <v>822</v>
      </c>
      <c r="B827" s="63"/>
      <c r="C827" s="63" t="str">
        <f t="shared" si="49"/>
        <v/>
      </c>
      <c r="D827" s="63" t="str">
        <f t="shared" si="50"/>
        <v/>
      </c>
      <c r="E827" s="7"/>
      <c r="F827" s="7"/>
      <c r="G827" s="7"/>
      <c r="H827" s="9"/>
      <c r="I827" s="40" t="str">
        <f t="shared" si="51"/>
        <v/>
      </c>
    </row>
    <row r="828" spans="1:9">
      <c r="A828" s="6">
        <f t="shared" si="48"/>
        <v>823</v>
      </c>
      <c r="B828" s="63"/>
      <c r="C828" s="63" t="str">
        <f t="shared" si="49"/>
        <v/>
      </c>
      <c r="D828" s="63" t="str">
        <f t="shared" si="50"/>
        <v/>
      </c>
      <c r="E828" s="7"/>
      <c r="F828" s="7"/>
      <c r="G828" s="7"/>
      <c r="H828" s="9"/>
      <c r="I828" s="40" t="str">
        <f t="shared" si="51"/>
        <v/>
      </c>
    </row>
    <row r="829" spans="1:9">
      <c r="A829" s="6">
        <f t="shared" si="48"/>
        <v>824</v>
      </c>
      <c r="B829" s="63"/>
      <c r="C829" s="63" t="str">
        <f t="shared" si="49"/>
        <v/>
      </c>
      <c r="D829" s="63" t="str">
        <f t="shared" si="50"/>
        <v/>
      </c>
      <c r="E829" s="7"/>
      <c r="F829" s="7"/>
      <c r="G829" s="7"/>
      <c r="H829" s="9"/>
      <c r="I829" s="40" t="str">
        <f t="shared" si="51"/>
        <v/>
      </c>
    </row>
    <row r="830" spans="1:9">
      <c r="A830" s="6">
        <f t="shared" si="48"/>
        <v>825</v>
      </c>
      <c r="B830" s="63"/>
      <c r="C830" s="63" t="str">
        <f t="shared" si="49"/>
        <v/>
      </c>
      <c r="D830" s="63" t="str">
        <f t="shared" si="50"/>
        <v/>
      </c>
      <c r="E830" s="7"/>
      <c r="F830" s="7"/>
      <c r="G830" s="7"/>
      <c r="H830" s="9"/>
      <c r="I830" s="40" t="str">
        <f t="shared" si="51"/>
        <v/>
      </c>
    </row>
    <row r="831" spans="1:9">
      <c r="A831" s="6">
        <f t="shared" si="48"/>
        <v>826</v>
      </c>
      <c r="B831" s="63"/>
      <c r="C831" s="63" t="str">
        <f t="shared" si="49"/>
        <v/>
      </c>
      <c r="D831" s="63" t="str">
        <f t="shared" si="50"/>
        <v/>
      </c>
      <c r="E831" s="7"/>
      <c r="F831" s="7"/>
      <c r="G831" s="7"/>
      <c r="H831" s="9"/>
      <c r="I831" s="40" t="str">
        <f t="shared" si="51"/>
        <v/>
      </c>
    </row>
    <row r="832" spans="1:9">
      <c r="A832" s="6">
        <f t="shared" si="48"/>
        <v>827</v>
      </c>
      <c r="B832" s="63"/>
      <c r="C832" s="63" t="str">
        <f t="shared" si="49"/>
        <v/>
      </c>
      <c r="D832" s="63" t="str">
        <f t="shared" si="50"/>
        <v/>
      </c>
      <c r="E832" s="7"/>
      <c r="F832" s="7"/>
      <c r="G832" s="7"/>
      <c r="H832" s="9"/>
      <c r="I832" s="40" t="str">
        <f t="shared" si="51"/>
        <v/>
      </c>
    </row>
    <row r="833" spans="1:9">
      <c r="A833" s="6">
        <f t="shared" si="48"/>
        <v>828</v>
      </c>
      <c r="B833" s="63"/>
      <c r="C833" s="63" t="str">
        <f t="shared" si="49"/>
        <v/>
      </c>
      <c r="D833" s="63" t="str">
        <f t="shared" si="50"/>
        <v/>
      </c>
      <c r="E833" s="7"/>
      <c r="F833" s="7"/>
      <c r="G833" s="7"/>
      <c r="H833" s="9"/>
      <c r="I833" s="40" t="str">
        <f t="shared" si="51"/>
        <v/>
      </c>
    </row>
    <row r="834" spans="1:9">
      <c r="A834" s="6">
        <f t="shared" si="48"/>
        <v>829</v>
      </c>
      <c r="B834" s="63"/>
      <c r="C834" s="63" t="str">
        <f t="shared" si="49"/>
        <v/>
      </c>
      <c r="D834" s="63" t="str">
        <f t="shared" si="50"/>
        <v/>
      </c>
      <c r="E834" s="7"/>
      <c r="F834" s="7"/>
      <c r="G834" s="7"/>
      <c r="H834" s="9"/>
      <c r="I834" s="40" t="str">
        <f t="shared" si="51"/>
        <v/>
      </c>
    </row>
    <row r="835" spans="1:9">
      <c r="A835" s="6">
        <f t="shared" si="48"/>
        <v>830</v>
      </c>
      <c r="B835" s="63"/>
      <c r="C835" s="63" t="str">
        <f t="shared" si="49"/>
        <v/>
      </c>
      <c r="D835" s="63" t="str">
        <f t="shared" si="50"/>
        <v/>
      </c>
      <c r="E835" s="7"/>
      <c r="F835" s="7"/>
      <c r="G835" s="7"/>
      <c r="H835" s="9"/>
      <c r="I835" s="40" t="str">
        <f t="shared" si="51"/>
        <v/>
      </c>
    </row>
    <row r="836" spans="1:9">
      <c r="A836" s="6">
        <f t="shared" si="48"/>
        <v>831</v>
      </c>
      <c r="B836" s="63"/>
      <c r="C836" s="63" t="str">
        <f t="shared" si="49"/>
        <v/>
      </c>
      <c r="D836" s="63" t="str">
        <f t="shared" si="50"/>
        <v/>
      </c>
      <c r="E836" s="7"/>
      <c r="F836" s="7"/>
      <c r="G836" s="7"/>
      <c r="H836" s="9"/>
      <c r="I836" s="40" t="str">
        <f t="shared" si="51"/>
        <v/>
      </c>
    </row>
    <row r="837" spans="1:9">
      <c r="A837" s="6">
        <f t="shared" si="48"/>
        <v>832</v>
      </c>
      <c r="B837" s="63"/>
      <c r="C837" s="63" t="str">
        <f t="shared" si="49"/>
        <v/>
      </c>
      <c r="D837" s="63" t="str">
        <f t="shared" si="50"/>
        <v/>
      </c>
      <c r="E837" s="7"/>
      <c r="F837" s="7"/>
      <c r="G837" s="7"/>
      <c r="H837" s="9"/>
      <c r="I837" s="40" t="str">
        <f t="shared" si="51"/>
        <v/>
      </c>
    </row>
    <row r="838" spans="1:9">
      <c r="A838" s="6">
        <f t="shared" si="48"/>
        <v>833</v>
      </c>
      <c r="B838" s="63"/>
      <c r="C838" s="63" t="str">
        <f t="shared" si="49"/>
        <v/>
      </c>
      <c r="D838" s="63" t="str">
        <f t="shared" si="50"/>
        <v/>
      </c>
      <c r="E838" s="7"/>
      <c r="F838" s="7"/>
      <c r="G838" s="7"/>
      <c r="H838" s="9"/>
      <c r="I838" s="40" t="str">
        <f t="shared" si="51"/>
        <v/>
      </c>
    </row>
    <row r="839" spans="1:9">
      <c r="A839" s="6">
        <f t="shared" ref="A839:A885" si="52">ROW(A834)</f>
        <v>834</v>
      </c>
      <c r="B839" s="63"/>
      <c r="C839" s="63" t="str">
        <f t="shared" ref="C839:C885" si="53">IF(B839=0,"",TEXT(B839,"mmmm"))</f>
        <v/>
      </c>
      <c r="D839" s="63" t="str">
        <f t="shared" ref="D839:D885" si="54">IF(B839=0,"",TEXT(B839,"yyyy"))</f>
        <v/>
      </c>
      <c r="E839" s="7"/>
      <c r="F839" s="7"/>
      <c r="G839" s="7"/>
      <c r="H839" s="9"/>
      <c r="I839" s="40" t="str">
        <f t="shared" ref="I839:I885" si="55">IF(H839*G839=0,"",H839*G839)</f>
        <v/>
      </c>
    </row>
    <row r="840" spans="1:9">
      <c r="A840" s="6">
        <f t="shared" si="52"/>
        <v>835</v>
      </c>
      <c r="B840" s="63"/>
      <c r="C840" s="63" t="str">
        <f t="shared" si="53"/>
        <v/>
      </c>
      <c r="D840" s="63" t="str">
        <f t="shared" si="54"/>
        <v/>
      </c>
      <c r="E840" s="7"/>
      <c r="F840" s="7"/>
      <c r="G840" s="7"/>
      <c r="H840" s="9"/>
      <c r="I840" s="40" t="str">
        <f t="shared" si="55"/>
        <v/>
      </c>
    </row>
    <row r="841" spans="1:9">
      <c r="A841" s="6">
        <f t="shared" si="52"/>
        <v>836</v>
      </c>
      <c r="B841" s="63"/>
      <c r="C841" s="63" t="str">
        <f t="shared" si="53"/>
        <v/>
      </c>
      <c r="D841" s="63" t="str">
        <f t="shared" si="54"/>
        <v/>
      </c>
      <c r="E841" s="7"/>
      <c r="F841" s="7"/>
      <c r="G841" s="7"/>
      <c r="H841" s="9"/>
      <c r="I841" s="40" t="str">
        <f t="shared" si="55"/>
        <v/>
      </c>
    </row>
    <row r="842" spans="1:9">
      <c r="A842" s="6">
        <f t="shared" si="52"/>
        <v>837</v>
      </c>
      <c r="B842" s="63"/>
      <c r="C842" s="63" t="str">
        <f t="shared" si="53"/>
        <v/>
      </c>
      <c r="D842" s="63" t="str">
        <f t="shared" si="54"/>
        <v/>
      </c>
      <c r="E842" s="7"/>
      <c r="F842" s="7"/>
      <c r="G842" s="7"/>
      <c r="H842" s="9"/>
      <c r="I842" s="40" t="str">
        <f t="shared" si="55"/>
        <v/>
      </c>
    </row>
    <row r="843" spans="1:9">
      <c r="A843" s="6">
        <f t="shared" si="52"/>
        <v>838</v>
      </c>
      <c r="B843" s="63"/>
      <c r="C843" s="63" t="str">
        <f t="shared" si="53"/>
        <v/>
      </c>
      <c r="D843" s="63" t="str">
        <f t="shared" si="54"/>
        <v/>
      </c>
      <c r="E843" s="7"/>
      <c r="F843" s="7"/>
      <c r="G843" s="7"/>
      <c r="H843" s="9"/>
      <c r="I843" s="40" t="str">
        <f t="shared" si="55"/>
        <v/>
      </c>
    </row>
    <row r="844" spans="1:9">
      <c r="A844" s="6">
        <f t="shared" si="52"/>
        <v>839</v>
      </c>
      <c r="B844" s="63"/>
      <c r="C844" s="63" t="str">
        <f t="shared" si="53"/>
        <v/>
      </c>
      <c r="D844" s="63" t="str">
        <f t="shared" si="54"/>
        <v/>
      </c>
      <c r="E844" s="7"/>
      <c r="F844" s="7"/>
      <c r="G844" s="7"/>
      <c r="H844" s="9"/>
      <c r="I844" s="40" t="str">
        <f t="shared" si="55"/>
        <v/>
      </c>
    </row>
    <row r="845" spans="1:9">
      <c r="A845" s="6">
        <f t="shared" si="52"/>
        <v>840</v>
      </c>
      <c r="B845" s="63"/>
      <c r="C845" s="63" t="str">
        <f t="shared" si="53"/>
        <v/>
      </c>
      <c r="D845" s="63" t="str">
        <f t="shared" si="54"/>
        <v/>
      </c>
      <c r="E845" s="7"/>
      <c r="F845" s="7"/>
      <c r="G845" s="7"/>
      <c r="H845" s="9"/>
      <c r="I845" s="40" t="str">
        <f t="shared" si="55"/>
        <v/>
      </c>
    </row>
    <row r="846" spans="1:9">
      <c r="A846" s="6">
        <f t="shared" si="52"/>
        <v>841</v>
      </c>
      <c r="B846" s="63"/>
      <c r="C846" s="63" t="str">
        <f t="shared" si="53"/>
        <v/>
      </c>
      <c r="D846" s="63" t="str">
        <f t="shared" si="54"/>
        <v/>
      </c>
      <c r="E846" s="7"/>
      <c r="F846" s="7"/>
      <c r="G846" s="7"/>
      <c r="H846" s="9"/>
      <c r="I846" s="40" t="str">
        <f t="shared" si="55"/>
        <v/>
      </c>
    </row>
    <row r="847" spans="1:9">
      <c r="A847" s="6">
        <f t="shared" si="52"/>
        <v>842</v>
      </c>
      <c r="B847" s="63"/>
      <c r="C847" s="63" t="str">
        <f t="shared" si="53"/>
        <v/>
      </c>
      <c r="D847" s="63" t="str">
        <f t="shared" si="54"/>
        <v/>
      </c>
      <c r="E847" s="7"/>
      <c r="F847" s="7"/>
      <c r="G847" s="7"/>
      <c r="H847" s="9"/>
      <c r="I847" s="40" t="str">
        <f t="shared" si="55"/>
        <v/>
      </c>
    </row>
    <row r="848" spans="1:9">
      <c r="A848" s="6">
        <f t="shared" si="52"/>
        <v>843</v>
      </c>
      <c r="B848" s="63"/>
      <c r="C848" s="63" t="str">
        <f t="shared" si="53"/>
        <v/>
      </c>
      <c r="D848" s="63" t="str">
        <f t="shared" si="54"/>
        <v/>
      </c>
      <c r="E848" s="7"/>
      <c r="F848" s="7"/>
      <c r="G848" s="7"/>
      <c r="H848" s="9"/>
      <c r="I848" s="40" t="str">
        <f t="shared" si="55"/>
        <v/>
      </c>
    </row>
    <row r="849" spans="1:9">
      <c r="A849" s="6">
        <f t="shared" si="52"/>
        <v>844</v>
      </c>
      <c r="B849" s="63"/>
      <c r="C849" s="63" t="str">
        <f t="shared" si="53"/>
        <v/>
      </c>
      <c r="D849" s="63" t="str">
        <f t="shared" si="54"/>
        <v/>
      </c>
      <c r="E849" s="7"/>
      <c r="F849" s="7"/>
      <c r="G849" s="7"/>
      <c r="H849" s="9"/>
      <c r="I849" s="40" t="str">
        <f t="shared" si="55"/>
        <v/>
      </c>
    </row>
    <row r="850" spans="1:9">
      <c r="A850" s="6">
        <f t="shared" si="52"/>
        <v>845</v>
      </c>
      <c r="B850" s="63"/>
      <c r="C850" s="63" t="str">
        <f t="shared" si="53"/>
        <v/>
      </c>
      <c r="D850" s="63" t="str">
        <f t="shared" si="54"/>
        <v/>
      </c>
      <c r="E850" s="7"/>
      <c r="F850" s="7"/>
      <c r="G850" s="7"/>
      <c r="H850" s="9"/>
      <c r="I850" s="40" t="str">
        <f t="shared" si="55"/>
        <v/>
      </c>
    </row>
    <row r="851" spans="1:9">
      <c r="A851" s="6">
        <f t="shared" si="52"/>
        <v>846</v>
      </c>
      <c r="B851" s="63"/>
      <c r="C851" s="63" t="str">
        <f t="shared" si="53"/>
        <v/>
      </c>
      <c r="D851" s="63" t="str">
        <f t="shared" si="54"/>
        <v/>
      </c>
      <c r="E851" s="7"/>
      <c r="F851" s="7"/>
      <c r="G851" s="7"/>
      <c r="H851" s="9"/>
      <c r="I851" s="40" t="str">
        <f t="shared" si="55"/>
        <v/>
      </c>
    </row>
    <row r="852" spans="1:9">
      <c r="A852" s="6">
        <f t="shared" si="52"/>
        <v>847</v>
      </c>
      <c r="B852" s="63"/>
      <c r="C852" s="63" t="str">
        <f t="shared" si="53"/>
        <v/>
      </c>
      <c r="D852" s="63" t="str">
        <f t="shared" si="54"/>
        <v/>
      </c>
      <c r="E852" s="7"/>
      <c r="F852" s="7"/>
      <c r="G852" s="7"/>
      <c r="H852" s="9"/>
      <c r="I852" s="40" t="str">
        <f t="shared" si="55"/>
        <v/>
      </c>
    </row>
    <row r="853" spans="1:9">
      <c r="A853" s="6">
        <f t="shared" si="52"/>
        <v>848</v>
      </c>
      <c r="B853" s="63"/>
      <c r="C853" s="63" t="str">
        <f t="shared" si="53"/>
        <v/>
      </c>
      <c r="D853" s="63" t="str">
        <f t="shared" si="54"/>
        <v/>
      </c>
      <c r="E853" s="7"/>
      <c r="F853" s="7"/>
      <c r="G853" s="7"/>
      <c r="H853" s="9"/>
      <c r="I853" s="40" t="str">
        <f t="shared" si="55"/>
        <v/>
      </c>
    </row>
    <row r="854" spans="1:9">
      <c r="A854" s="6">
        <f t="shared" si="52"/>
        <v>849</v>
      </c>
      <c r="B854" s="63"/>
      <c r="C854" s="63" t="str">
        <f t="shared" si="53"/>
        <v/>
      </c>
      <c r="D854" s="63" t="str">
        <f t="shared" si="54"/>
        <v/>
      </c>
      <c r="E854" s="7"/>
      <c r="F854" s="7"/>
      <c r="G854" s="7"/>
      <c r="H854" s="9"/>
      <c r="I854" s="40" t="str">
        <f t="shared" si="55"/>
        <v/>
      </c>
    </row>
    <row r="855" spans="1:9">
      <c r="A855" s="6">
        <f t="shared" si="52"/>
        <v>850</v>
      </c>
      <c r="B855" s="63"/>
      <c r="C855" s="63" t="str">
        <f t="shared" si="53"/>
        <v/>
      </c>
      <c r="D855" s="63" t="str">
        <f t="shared" si="54"/>
        <v/>
      </c>
      <c r="E855" s="7"/>
      <c r="F855" s="7"/>
      <c r="G855" s="7"/>
      <c r="H855" s="9"/>
      <c r="I855" s="40" t="str">
        <f t="shared" si="55"/>
        <v/>
      </c>
    </row>
    <row r="856" spans="1:9">
      <c r="A856" s="6">
        <f t="shared" si="52"/>
        <v>851</v>
      </c>
      <c r="B856" s="63"/>
      <c r="C856" s="63" t="str">
        <f t="shared" si="53"/>
        <v/>
      </c>
      <c r="D856" s="63" t="str">
        <f t="shared" si="54"/>
        <v/>
      </c>
      <c r="E856" s="7"/>
      <c r="F856" s="7"/>
      <c r="G856" s="7"/>
      <c r="H856" s="9"/>
      <c r="I856" s="40" t="str">
        <f t="shared" si="55"/>
        <v/>
      </c>
    </row>
    <row r="857" spans="1:9">
      <c r="A857" s="6">
        <f t="shared" si="52"/>
        <v>852</v>
      </c>
      <c r="B857" s="63"/>
      <c r="C857" s="63" t="str">
        <f t="shared" si="53"/>
        <v/>
      </c>
      <c r="D857" s="63" t="str">
        <f t="shared" si="54"/>
        <v/>
      </c>
      <c r="E857" s="7"/>
      <c r="F857" s="7"/>
      <c r="G857" s="7"/>
      <c r="H857" s="9"/>
      <c r="I857" s="40" t="str">
        <f t="shared" si="55"/>
        <v/>
      </c>
    </row>
    <row r="858" spans="1:9">
      <c r="A858" s="6">
        <f t="shared" si="52"/>
        <v>853</v>
      </c>
      <c r="B858" s="63"/>
      <c r="C858" s="63" t="str">
        <f t="shared" si="53"/>
        <v/>
      </c>
      <c r="D858" s="63" t="str">
        <f t="shared" si="54"/>
        <v/>
      </c>
      <c r="E858" s="7"/>
      <c r="F858" s="7"/>
      <c r="G858" s="7"/>
      <c r="H858" s="9"/>
      <c r="I858" s="40" t="str">
        <f t="shared" si="55"/>
        <v/>
      </c>
    </row>
    <row r="859" spans="1:9">
      <c r="A859" s="6">
        <f t="shared" si="52"/>
        <v>854</v>
      </c>
      <c r="B859" s="63"/>
      <c r="C859" s="63" t="str">
        <f t="shared" si="53"/>
        <v/>
      </c>
      <c r="D859" s="63" t="str">
        <f t="shared" si="54"/>
        <v/>
      </c>
      <c r="E859" s="7"/>
      <c r="F859" s="7"/>
      <c r="G859" s="7"/>
      <c r="H859" s="9"/>
      <c r="I859" s="40" t="str">
        <f t="shared" si="55"/>
        <v/>
      </c>
    </row>
    <row r="860" spans="1:9">
      <c r="A860" s="6">
        <f t="shared" si="52"/>
        <v>855</v>
      </c>
      <c r="B860" s="63"/>
      <c r="C860" s="63" t="str">
        <f t="shared" si="53"/>
        <v/>
      </c>
      <c r="D860" s="63" t="str">
        <f t="shared" si="54"/>
        <v/>
      </c>
      <c r="E860" s="7"/>
      <c r="F860" s="7"/>
      <c r="G860" s="7"/>
      <c r="H860" s="9"/>
      <c r="I860" s="40" t="str">
        <f t="shared" si="55"/>
        <v/>
      </c>
    </row>
    <row r="861" spans="1:9">
      <c r="A861" s="6">
        <f t="shared" si="52"/>
        <v>856</v>
      </c>
      <c r="B861" s="63"/>
      <c r="C861" s="63" t="str">
        <f t="shared" si="53"/>
        <v/>
      </c>
      <c r="D861" s="63" t="str">
        <f t="shared" si="54"/>
        <v/>
      </c>
      <c r="E861" s="7"/>
      <c r="F861" s="7"/>
      <c r="G861" s="7"/>
      <c r="H861" s="9"/>
      <c r="I861" s="40" t="str">
        <f t="shared" si="55"/>
        <v/>
      </c>
    </row>
    <row r="862" spans="1:9">
      <c r="A862" s="6">
        <f t="shared" si="52"/>
        <v>857</v>
      </c>
      <c r="B862" s="63"/>
      <c r="C862" s="63" t="str">
        <f t="shared" si="53"/>
        <v/>
      </c>
      <c r="D862" s="63" t="str">
        <f t="shared" si="54"/>
        <v/>
      </c>
      <c r="E862" s="7"/>
      <c r="F862" s="7"/>
      <c r="G862" s="7"/>
      <c r="H862" s="9"/>
      <c r="I862" s="40" t="str">
        <f t="shared" si="55"/>
        <v/>
      </c>
    </row>
    <row r="863" spans="1:9">
      <c r="A863" s="6">
        <f t="shared" si="52"/>
        <v>858</v>
      </c>
      <c r="B863" s="63"/>
      <c r="C863" s="63" t="str">
        <f t="shared" si="53"/>
        <v/>
      </c>
      <c r="D863" s="63" t="str">
        <f t="shared" si="54"/>
        <v/>
      </c>
      <c r="E863" s="7"/>
      <c r="F863" s="7"/>
      <c r="G863" s="7"/>
      <c r="H863" s="9"/>
      <c r="I863" s="40" t="str">
        <f t="shared" si="55"/>
        <v/>
      </c>
    </row>
    <row r="864" spans="1:9">
      <c r="A864" s="6">
        <f t="shared" si="52"/>
        <v>859</v>
      </c>
      <c r="B864" s="63"/>
      <c r="C864" s="63" t="str">
        <f t="shared" si="53"/>
        <v/>
      </c>
      <c r="D864" s="63" t="str">
        <f t="shared" si="54"/>
        <v/>
      </c>
      <c r="E864" s="7"/>
      <c r="F864" s="7"/>
      <c r="G864" s="7"/>
      <c r="H864" s="9"/>
      <c r="I864" s="40" t="str">
        <f t="shared" si="55"/>
        <v/>
      </c>
    </row>
    <row r="865" spans="1:9">
      <c r="A865" s="6">
        <f t="shared" si="52"/>
        <v>860</v>
      </c>
      <c r="B865" s="63"/>
      <c r="C865" s="63" t="str">
        <f t="shared" si="53"/>
        <v/>
      </c>
      <c r="D865" s="63" t="str">
        <f t="shared" si="54"/>
        <v/>
      </c>
      <c r="E865" s="7"/>
      <c r="F865" s="7"/>
      <c r="G865" s="7"/>
      <c r="H865" s="9"/>
      <c r="I865" s="40" t="str">
        <f t="shared" si="55"/>
        <v/>
      </c>
    </row>
    <row r="866" spans="1:9">
      <c r="A866" s="6">
        <f t="shared" si="52"/>
        <v>861</v>
      </c>
      <c r="B866" s="63"/>
      <c r="C866" s="63" t="str">
        <f t="shared" si="53"/>
        <v/>
      </c>
      <c r="D866" s="63" t="str">
        <f t="shared" si="54"/>
        <v/>
      </c>
      <c r="E866" s="7"/>
      <c r="F866" s="7"/>
      <c r="G866" s="7"/>
      <c r="H866" s="9"/>
      <c r="I866" s="40" t="str">
        <f t="shared" si="55"/>
        <v/>
      </c>
    </row>
    <row r="867" spans="1:9">
      <c r="A867" s="6">
        <f t="shared" si="52"/>
        <v>862</v>
      </c>
      <c r="B867" s="63"/>
      <c r="C867" s="63" t="str">
        <f t="shared" si="53"/>
        <v/>
      </c>
      <c r="D867" s="63" t="str">
        <f t="shared" si="54"/>
        <v/>
      </c>
      <c r="E867" s="7"/>
      <c r="F867" s="7"/>
      <c r="G867" s="7"/>
      <c r="H867" s="9"/>
      <c r="I867" s="40" t="str">
        <f t="shared" si="55"/>
        <v/>
      </c>
    </row>
    <row r="868" spans="1:9">
      <c r="A868" s="6">
        <f t="shared" si="52"/>
        <v>863</v>
      </c>
      <c r="B868" s="63"/>
      <c r="C868" s="63" t="str">
        <f t="shared" si="53"/>
        <v/>
      </c>
      <c r="D868" s="63" t="str">
        <f t="shared" si="54"/>
        <v/>
      </c>
      <c r="E868" s="7"/>
      <c r="F868" s="7"/>
      <c r="G868" s="7"/>
      <c r="H868" s="9"/>
      <c r="I868" s="40" t="str">
        <f t="shared" si="55"/>
        <v/>
      </c>
    </row>
    <row r="869" spans="1:9">
      <c r="A869" s="6">
        <f t="shared" si="52"/>
        <v>864</v>
      </c>
      <c r="B869" s="63"/>
      <c r="C869" s="63" t="str">
        <f t="shared" si="53"/>
        <v/>
      </c>
      <c r="D869" s="63" t="str">
        <f t="shared" si="54"/>
        <v/>
      </c>
      <c r="E869" s="7"/>
      <c r="F869" s="7"/>
      <c r="G869" s="7"/>
      <c r="H869" s="9"/>
      <c r="I869" s="40" t="str">
        <f t="shared" si="55"/>
        <v/>
      </c>
    </row>
    <row r="870" spans="1:9">
      <c r="A870" s="6">
        <f t="shared" si="52"/>
        <v>865</v>
      </c>
      <c r="B870" s="63"/>
      <c r="C870" s="63" t="str">
        <f t="shared" si="53"/>
        <v/>
      </c>
      <c r="D870" s="63" t="str">
        <f t="shared" si="54"/>
        <v/>
      </c>
      <c r="E870" s="7"/>
      <c r="F870" s="7"/>
      <c r="G870" s="7"/>
      <c r="H870" s="9"/>
      <c r="I870" s="40" t="str">
        <f t="shared" si="55"/>
        <v/>
      </c>
    </row>
    <row r="871" spans="1:9">
      <c r="A871" s="6">
        <f t="shared" si="52"/>
        <v>866</v>
      </c>
      <c r="B871" s="63"/>
      <c r="C871" s="63" t="str">
        <f t="shared" si="53"/>
        <v/>
      </c>
      <c r="D871" s="63" t="str">
        <f t="shared" si="54"/>
        <v/>
      </c>
      <c r="E871" s="7"/>
      <c r="F871" s="7"/>
      <c r="G871" s="7"/>
      <c r="H871" s="9"/>
      <c r="I871" s="40" t="str">
        <f t="shared" si="55"/>
        <v/>
      </c>
    </row>
    <row r="872" spans="1:9">
      <c r="A872" s="6">
        <f t="shared" si="52"/>
        <v>867</v>
      </c>
      <c r="B872" s="63"/>
      <c r="C872" s="63" t="str">
        <f t="shared" si="53"/>
        <v/>
      </c>
      <c r="D872" s="63" t="str">
        <f t="shared" si="54"/>
        <v/>
      </c>
      <c r="E872" s="7"/>
      <c r="F872" s="7"/>
      <c r="G872" s="7"/>
      <c r="H872" s="9"/>
      <c r="I872" s="40" t="str">
        <f t="shared" si="55"/>
        <v/>
      </c>
    </row>
    <row r="873" spans="1:9">
      <c r="A873" s="6">
        <f t="shared" si="52"/>
        <v>868</v>
      </c>
      <c r="B873" s="63"/>
      <c r="C873" s="63" t="str">
        <f t="shared" si="53"/>
        <v/>
      </c>
      <c r="D873" s="63" t="str">
        <f t="shared" si="54"/>
        <v/>
      </c>
      <c r="E873" s="7"/>
      <c r="F873" s="7"/>
      <c r="G873" s="7"/>
      <c r="H873" s="9"/>
      <c r="I873" s="40" t="str">
        <f t="shared" si="55"/>
        <v/>
      </c>
    </row>
    <row r="874" spans="1:9">
      <c r="A874" s="6">
        <f t="shared" si="52"/>
        <v>869</v>
      </c>
      <c r="B874" s="63"/>
      <c r="C874" s="63" t="str">
        <f t="shared" si="53"/>
        <v/>
      </c>
      <c r="D874" s="63" t="str">
        <f t="shared" si="54"/>
        <v/>
      </c>
      <c r="E874" s="7"/>
      <c r="F874" s="7"/>
      <c r="G874" s="7"/>
      <c r="H874" s="9"/>
      <c r="I874" s="40" t="str">
        <f t="shared" si="55"/>
        <v/>
      </c>
    </row>
    <row r="875" spans="1:9">
      <c r="A875" s="6">
        <f t="shared" si="52"/>
        <v>870</v>
      </c>
      <c r="B875" s="63"/>
      <c r="C875" s="63" t="str">
        <f t="shared" si="53"/>
        <v/>
      </c>
      <c r="D875" s="63" t="str">
        <f t="shared" si="54"/>
        <v/>
      </c>
      <c r="E875" s="7"/>
      <c r="F875" s="7"/>
      <c r="G875" s="7"/>
      <c r="H875" s="9"/>
      <c r="I875" s="40" t="str">
        <f t="shared" si="55"/>
        <v/>
      </c>
    </row>
    <row r="876" spans="1:9">
      <c r="A876" s="6">
        <f t="shared" si="52"/>
        <v>871</v>
      </c>
      <c r="B876" s="63"/>
      <c r="C876" s="63" t="str">
        <f t="shared" si="53"/>
        <v/>
      </c>
      <c r="D876" s="63" t="str">
        <f t="shared" si="54"/>
        <v/>
      </c>
      <c r="E876" s="7"/>
      <c r="F876" s="7"/>
      <c r="G876" s="7"/>
      <c r="H876" s="9"/>
      <c r="I876" s="40" t="str">
        <f t="shared" si="55"/>
        <v/>
      </c>
    </row>
    <row r="877" spans="1:9">
      <c r="A877" s="6">
        <f t="shared" si="52"/>
        <v>872</v>
      </c>
      <c r="B877" s="63"/>
      <c r="C877" s="63" t="str">
        <f t="shared" si="53"/>
        <v/>
      </c>
      <c r="D877" s="63" t="str">
        <f t="shared" si="54"/>
        <v/>
      </c>
      <c r="E877" s="7"/>
      <c r="F877" s="7"/>
      <c r="G877" s="7"/>
      <c r="H877" s="9"/>
      <c r="I877" s="40" t="str">
        <f t="shared" si="55"/>
        <v/>
      </c>
    </row>
    <row r="878" spans="1:9">
      <c r="A878" s="6">
        <f t="shared" si="52"/>
        <v>873</v>
      </c>
      <c r="B878" s="63"/>
      <c r="C878" s="63" t="str">
        <f t="shared" si="53"/>
        <v/>
      </c>
      <c r="D878" s="63" t="str">
        <f t="shared" si="54"/>
        <v/>
      </c>
      <c r="E878" s="7"/>
      <c r="F878" s="7"/>
      <c r="G878" s="7"/>
      <c r="H878" s="9"/>
      <c r="I878" s="40" t="str">
        <f t="shared" si="55"/>
        <v/>
      </c>
    </row>
    <row r="879" spans="1:9">
      <c r="A879" s="6">
        <f t="shared" si="52"/>
        <v>874</v>
      </c>
      <c r="B879" s="63"/>
      <c r="C879" s="63" t="str">
        <f t="shared" si="53"/>
        <v/>
      </c>
      <c r="D879" s="63" t="str">
        <f t="shared" si="54"/>
        <v/>
      </c>
      <c r="E879" s="7"/>
      <c r="F879" s="7"/>
      <c r="G879" s="7"/>
      <c r="H879" s="9"/>
      <c r="I879" s="40" t="str">
        <f t="shared" si="55"/>
        <v/>
      </c>
    </row>
    <row r="880" spans="1:9">
      <c r="A880" s="6">
        <f t="shared" si="52"/>
        <v>875</v>
      </c>
      <c r="B880" s="63"/>
      <c r="C880" s="63" t="str">
        <f t="shared" si="53"/>
        <v/>
      </c>
      <c r="D880" s="63" t="str">
        <f t="shared" si="54"/>
        <v/>
      </c>
      <c r="E880" s="7"/>
      <c r="F880" s="7"/>
      <c r="G880" s="7"/>
      <c r="H880" s="9"/>
      <c r="I880" s="40" t="str">
        <f t="shared" si="55"/>
        <v/>
      </c>
    </row>
    <row r="881" spans="1:9">
      <c r="A881" s="6">
        <f t="shared" si="52"/>
        <v>876</v>
      </c>
      <c r="B881" s="63"/>
      <c r="C881" s="63" t="str">
        <f t="shared" si="53"/>
        <v/>
      </c>
      <c r="D881" s="63" t="str">
        <f t="shared" si="54"/>
        <v/>
      </c>
      <c r="E881" s="7"/>
      <c r="F881" s="7"/>
      <c r="G881" s="7"/>
      <c r="H881" s="9"/>
      <c r="I881" s="40" t="str">
        <f t="shared" si="55"/>
        <v/>
      </c>
    </row>
    <row r="882" spans="1:9">
      <c r="A882" s="6">
        <f t="shared" si="52"/>
        <v>877</v>
      </c>
      <c r="B882" s="63"/>
      <c r="C882" s="63" t="str">
        <f t="shared" si="53"/>
        <v/>
      </c>
      <c r="D882" s="63" t="str">
        <f t="shared" si="54"/>
        <v/>
      </c>
      <c r="E882" s="7"/>
      <c r="F882" s="7"/>
      <c r="G882" s="7"/>
      <c r="H882" s="9"/>
      <c r="I882" s="40" t="str">
        <f t="shared" si="55"/>
        <v/>
      </c>
    </row>
    <row r="883" spans="1:9">
      <c r="A883" s="6">
        <f t="shared" si="52"/>
        <v>878</v>
      </c>
      <c r="B883" s="63"/>
      <c r="C883" s="63" t="str">
        <f t="shared" si="53"/>
        <v/>
      </c>
      <c r="D883" s="63" t="str">
        <f t="shared" si="54"/>
        <v/>
      </c>
      <c r="E883" s="7"/>
      <c r="F883" s="7"/>
      <c r="G883" s="7"/>
      <c r="H883" s="9"/>
      <c r="I883" s="40" t="str">
        <f t="shared" si="55"/>
        <v/>
      </c>
    </row>
    <row r="884" spans="1:9">
      <c r="A884" s="6">
        <f t="shared" si="52"/>
        <v>879</v>
      </c>
      <c r="B884" s="63"/>
      <c r="C884" s="63" t="str">
        <f t="shared" si="53"/>
        <v/>
      </c>
      <c r="D884" s="63" t="str">
        <f t="shared" si="54"/>
        <v/>
      </c>
      <c r="E884" s="7"/>
      <c r="F884" s="7"/>
      <c r="G884" s="7"/>
      <c r="H884" s="9"/>
      <c r="I884" s="40" t="str">
        <f t="shared" si="55"/>
        <v/>
      </c>
    </row>
    <row r="885" spans="1:9">
      <c r="A885" s="6">
        <f t="shared" si="52"/>
        <v>880</v>
      </c>
      <c r="B885" s="63"/>
      <c r="C885" s="63" t="str">
        <f t="shared" si="53"/>
        <v/>
      </c>
      <c r="D885" s="63" t="str">
        <f t="shared" si="54"/>
        <v/>
      </c>
      <c r="E885" s="7"/>
      <c r="F885" s="7"/>
      <c r="G885" s="7"/>
      <c r="H885" s="9"/>
      <c r="I885" s="40" t="str">
        <f t="shared" si="55"/>
        <v/>
      </c>
    </row>
  </sheetData>
  <mergeCells count="2">
    <mergeCell ref="A1:I2"/>
    <mergeCell ref="A4:I4"/>
  </mergeCells>
  <dataValidations count="1">
    <dataValidation type="list" allowBlank="1" showInputMessage="1" showErrorMessage="1" sqref="E6:E885" xr:uid="{F79BDDB3-8A21-F640-AE2E-F0C8B3821A24}">
      <formula1>$AC$5:$AC$9</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01A98-F1E1-C449-9BCF-EB24235920D6}">
  <sheetPr codeName="Sheet11"/>
  <dimension ref="A1"/>
  <sheetViews>
    <sheetView showGridLines="0" workbookViewId="0">
      <selection activeCell="L12" sqref="L12"/>
    </sheetView>
  </sheetViews>
  <sheetFormatPr baseColWidth="10" defaultRowHeight="16"/>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FC44C-22FA-A746-9628-4B30DAF66437}">
  <sheetPr codeName="Sheet12"/>
  <dimension ref="B1:H2724"/>
  <sheetViews>
    <sheetView workbookViewId="0">
      <selection activeCell="G1" sqref="G1"/>
    </sheetView>
  </sheetViews>
  <sheetFormatPr baseColWidth="10" defaultRowHeight="16"/>
  <cols>
    <col min="4" max="4" width="12.33203125" bestFit="1" customWidth="1"/>
  </cols>
  <sheetData>
    <row r="1" spans="2:8">
      <c r="B1" t="str">
        <f ca="1">IF('MASTER RECORD'!F6="Active",'MASTER RECORD'!C6,"")</f>
        <v>MALE</v>
      </c>
      <c r="D1" t="s">
        <v>142</v>
      </c>
      <c r="E1">
        <f ca="1">COUNTIF($B$1:$B$2000,"MALE")</f>
        <v>8</v>
      </c>
      <c r="F1" t="s">
        <v>146</v>
      </c>
      <c r="G1">
        <f>COUNTIF($H$1:$H$2000,"MALE")</f>
        <v>3</v>
      </c>
      <c r="H1" t="str">
        <f>IF('MASTER RECORD'!G6="Sold",'MASTER RECORD'!C6,"")</f>
        <v/>
      </c>
    </row>
    <row r="2" spans="2:8">
      <c r="B2" t="str">
        <f ca="1">IF('MASTER RECORD'!F7="Active",'MASTER RECORD'!C7,"")</f>
        <v>MALE</v>
      </c>
      <c r="D2" t="s">
        <v>143</v>
      </c>
      <c r="E2">
        <f ca="1">COUNTIF($B$1:$B$2000,"FEMALE")</f>
        <v>10</v>
      </c>
      <c r="F2" t="s">
        <v>147</v>
      </c>
      <c r="G2">
        <f>COUNTIF($H$1:$H$2000,"FEMALE")</f>
        <v>1</v>
      </c>
      <c r="H2" t="str">
        <f>IF('MASTER RECORD'!G7="Sold",'MASTER RECORD'!C7,"")</f>
        <v/>
      </c>
    </row>
    <row r="3" spans="2:8">
      <c r="B3" t="str">
        <f ca="1">IF('MASTER RECORD'!F8="Active",'MASTER RECORD'!C8,"")</f>
        <v/>
      </c>
      <c r="E3">
        <f ca="1">E1+E2</f>
        <v>18</v>
      </c>
      <c r="H3" t="str">
        <f>IF('MASTER RECORD'!G8="Sold",'MASTER RECORD'!C8,"")</f>
        <v>FEMALE</v>
      </c>
    </row>
    <row r="4" spans="2:8">
      <c r="B4" t="str">
        <f ca="1">IF('MASTER RECORD'!F9="Active",'MASTER RECORD'!C9,"")</f>
        <v>FEMALE</v>
      </c>
      <c r="D4" s="111"/>
      <c r="E4" s="10"/>
      <c r="H4" t="str">
        <f>IF('MASTER RECORD'!G9="Sold",'MASTER RECORD'!C9,"")</f>
        <v/>
      </c>
    </row>
    <row r="5" spans="2:8">
      <c r="B5" t="str">
        <f ca="1">IF('MASTER RECORD'!F10="Active",'MASTER RECORD'!C10,"")</f>
        <v/>
      </c>
      <c r="D5" s="111"/>
      <c r="E5" s="10"/>
      <c r="H5" t="str">
        <f>IF('MASTER RECORD'!G10="Sold",'MASTER RECORD'!C10,"")</f>
        <v>MALE</v>
      </c>
    </row>
    <row r="6" spans="2:8">
      <c r="B6" t="str">
        <f ca="1">IF('MASTER RECORD'!F11="Active",'MASTER RECORD'!C11,"")</f>
        <v/>
      </c>
      <c r="H6" t="str">
        <f>IF('MASTER RECORD'!G11="Sold",'MASTER RECORD'!C11,"")</f>
        <v>MALE</v>
      </c>
    </row>
    <row r="7" spans="2:8">
      <c r="B7" t="str">
        <f ca="1">IF('MASTER RECORD'!F12="Active",'MASTER RECORD'!C12,"")</f>
        <v/>
      </c>
      <c r="H7" t="str">
        <f>IF('MASTER RECORD'!G12="Sold",'MASTER RECORD'!C12,"")</f>
        <v>MALE</v>
      </c>
    </row>
    <row r="8" spans="2:8">
      <c r="B8" t="str">
        <f ca="1">IF('MASTER RECORD'!F13="Active",'MASTER RECORD'!C13,"")</f>
        <v>FEMALE</v>
      </c>
      <c r="H8" t="str">
        <f>IF('MASTER RECORD'!G13="Sold",'MASTER RECORD'!C13,"")</f>
        <v/>
      </c>
    </row>
    <row r="9" spans="2:8">
      <c r="B9" t="str">
        <f ca="1">IF('MASTER RECORD'!F14="Active",'MASTER RECORD'!C14,"")</f>
        <v>MALE</v>
      </c>
      <c r="H9" t="str">
        <f>IF('MASTER RECORD'!G14="Sold",'MASTER RECORD'!C14,"")</f>
        <v/>
      </c>
    </row>
    <row r="10" spans="2:8">
      <c r="B10" t="str">
        <f ca="1">IF('MASTER RECORD'!F15="Active",'MASTER RECORD'!C15,"")</f>
        <v/>
      </c>
      <c r="H10" t="str">
        <f>IF('MASTER RECORD'!G15="Sold",'MASTER RECORD'!C15,"")</f>
        <v/>
      </c>
    </row>
    <row r="11" spans="2:8">
      <c r="B11" t="str">
        <f ca="1">IF('MASTER RECORD'!F16="Active",'MASTER RECORD'!C16,"")</f>
        <v>FEMALE</v>
      </c>
      <c r="H11" t="str">
        <f>IF('MASTER RECORD'!G16="Sold",'MASTER RECORD'!C16,"")</f>
        <v/>
      </c>
    </row>
    <row r="12" spans="2:8">
      <c r="B12" t="str">
        <f ca="1">IF('MASTER RECORD'!F17="Active",'MASTER RECORD'!C17,"")</f>
        <v>MALE</v>
      </c>
      <c r="H12" t="str">
        <f>IF('MASTER RECORD'!G17="Sold",'MASTER RECORD'!C17,"")</f>
        <v/>
      </c>
    </row>
    <row r="13" spans="2:8">
      <c r="B13" t="str">
        <f ca="1">IF('MASTER RECORD'!F18="Active",'MASTER RECORD'!C18,"")</f>
        <v/>
      </c>
      <c r="H13" t="str">
        <f>IF('MASTER RECORD'!G18="Sold",'MASTER RECORD'!C18,"")</f>
        <v/>
      </c>
    </row>
    <row r="14" spans="2:8">
      <c r="B14" t="str">
        <f ca="1">IF('MASTER RECORD'!F19="Active",'MASTER RECORD'!C19,"")</f>
        <v/>
      </c>
      <c r="H14" t="str">
        <f>IF('MASTER RECORD'!G19="Sold",'MASTER RECORD'!C19,"")</f>
        <v/>
      </c>
    </row>
    <row r="15" spans="2:8">
      <c r="B15" t="str">
        <f ca="1">IF('MASTER RECORD'!F20="Active",'MASTER RECORD'!C20,"")</f>
        <v>MALE</v>
      </c>
      <c r="H15" t="str">
        <f>IF('MASTER RECORD'!G20="Sold",'MASTER RECORD'!C20,"")</f>
        <v/>
      </c>
    </row>
    <row r="16" spans="2:8">
      <c r="B16" t="str">
        <f ca="1">IF('MASTER RECORD'!F21="Active",'MASTER RECORD'!C21,"")</f>
        <v>FEMALE</v>
      </c>
      <c r="H16" t="str">
        <f>IF('MASTER RECORD'!G21="Sold",'MASTER RECORD'!C21,"")</f>
        <v/>
      </c>
    </row>
    <row r="17" spans="2:8">
      <c r="B17" t="str">
        <f ca="1">IF('MASTER RECORD'!F22="Active",'MASTER RECORD'!C22,"")</f>
        <v>FEMALE</v>
      </c>
      <c r="H17" t="str">
        <f>IF('MASTER RECORD'!G22="Sold",'MASTER RECORD'!C22,"")</f>
        <v/>
      </c>
    </row>
    <row r="18" spans="2:8">
      <c r="B18" t="str">
        <f ca="1">IF('MASTER RECORD'!F23="Active",'MASTER RECORD'!C23,"")</f>
        <v>FEMALE</v>
      </c>
      <c r="H18" t="str">
        <f>IF('MASTER RECORD'!G23="Sold",'MASTER RECORD'!C23,"")</f>
        <v/>
      </c>
    </row>
    <row r="19" spans="2:8">
      <c r="B19" t="str">
        <f ca="1">IF('MASTER RECORD'!F24="Active",'MASTER RECORD'!C24,"")</f>
        <v>FEMALE</v>
      </c>
      <c r="H19" t="str">
        <f>IF('MASTER RECORD'!G24="Sold",'MASTER RECORD'!C24,"")</f>
        <v/>
      </c>
    </row>
    <row r="20" spans="2:8">
      <c r="B20" t="str">
        <f ca="1">IF('MASTER RECORD'!F25="Active",'MASTER RECORD'!C25,"")</f>
        <v>FEMALE</v>
      </c>
      <c r="H20" t="str">
        <f>IF('MASTER RECORD'!G25="Sold",'MASTER RECORD'!C25,"")</f>
        <v/>
      </c>
    </row>
    <row r="21" spans="2:8">
      <c r="B21" t="str">
        <f ca="1">IF('MASTER RECORD'!F26="Active",'MASTER RECORD'!C26,"")</f>
        <v>FEMALE</v>
      </c>
      <c r="H21" t="str">
        <f>IF('MASTER RECORD'!G26="Sold",'MASTER RECORD'!C26,"")</f>
        <v/>
      </c>
    </row>
    <row r="22" spans="2:8">
      <c r="B22" t="str">
        <f ca="1">IF('MASTER RECORD'!F27="Active",'MASTER RECORD'!C27,"")</f>
        <v>MALE</v>
      </c>
      <c r="H22" t="str">
        <f>IF('MASTER RECORD'!G27="Sold",'MASTER RECORD'!C27,"")</f>
        <v/>
      </c>
    </row>
    <row r="23" spans="2:8">
      <c r="B23" t="str">
        <f ca="1">IF('MASTER RECORD'!F28="Active",'MASTER RECORD'!C28,"")</f>
        <v>MALE</v>
      </c>
      <c r="H23" t="str">
        <f>IF('MASTER RECORD'!G28="Sold",'MASTER RECORD'!C28,"")</f>
        <v/>
      </c>
    </row>
    <row r="24" spans="2:8">
      <c r="B24" t="str">
        <f ca="1">IF('MASTER RECORD'!F29="Active",'MASTER RECORD'!C29,"")</f>
        <v>FEMALE</v>
      </c>
      <c r="H24" t="str">
        <f>IF('MASTER RECORD'!G29="Sold",'MASTER RECORD'!C29,"")</f>
        <v/>
      </c>
    </row>
    <row r="25" spans="2:8">
      <c r="B25" t="str">
        <f ca="1">IF('MASTER RECORD'!F30="Active",'MASTER RECORD'!C30,"")</f>
        <v>MALE</v>
      </c>
      <c r="H25" t="str">
        <f>IF('MASTER RECORD'!G30="Sold",'MASTER RECORD'!C30,"")</f>
        <v/>
      </c>
    </row>
    <row r="26" spans="2:8">
      <c r="B26" t="str">
        <f ca="1">IF('MASTER RECORD'!F31="Active",'MASTER RECORD'!C31,"")</f>
        <v/>
      </c>
      <c r="H26" t="str">
        <f>IF('MASTER RECORD'!G31="Sold",'MASTER RECORD'!C31,"")</f>
        <v/>
      </c>
    </row>
    <row r="27" spans="2:8">
      <c r="B27" t="str">
        <f ca="1">IF('MASTER RECORD'!F32="Active",'MASTER RECORD'!C32,"")</f>
        <v/>
      </c>
      <c r="H27" t="str">
        <f>IF('MASTER RECORD'!G32="Sold",'MASTER RECORD'!C32,"")</f>
        <v/>
      </c>
    </row>
    <row r="28" spans="2:8">
      <c r="B28" t="str">
        <f ca="1">IF('MASTER RECORD'!F33="Active",'MASTER RECORD'!C33,"")</f>
        <v/>
      </c>
      <c r="H28" t="str">
        <f>IF('MASTER RECORD'!G33="Sold",'MASTER RECORD'!C33,"")</f>
        <v/>
      </c>
    </row>
    <row r="29" spans="2:8">
      <c r="B29" t="str">
        <f ca="1">IF('MASTER RECORD'!F34="Active",'MASTER RECORD'!C34,"")</f>
        <v/>
      </c>
      <c r="H29" t="str">
        <f>IF('MASTER RECORD'!G34="Sold",'MASTER RECORD'!C34,"")</f>
        <v/>
      </c>
    </row>
    <row r="30" spans="2:8">
      <c r="B30" t="str">
        <f ca="1">IF('MASTER RECORD'!F35="Active",'MASTER RECORD'!C35,"")</f>
        <v/>
      </c>
      <c r="H30" t="str">
        <f>IF('MASTER RECORD'!G35="Sold",'MASTER RECORD'!C35,"")</f>
        <v/>
      </c>
    </row>
    <row r="31" spans="2:8">
      <c r="B31" t="str">
        <f ca="1">IF('MASTER RECORD'!F36="Active",'MASTER RECORD'!C36,"")</f>
        <v/>
      </c>
      <c r="H31" t="str">
        <f>IF('MASTER RECORD'!G36="Sold",'MASTER RECORD'!C36,"")</f>
        <v/>
      </c>
    </row>
    <row r="32" spans="2:8">
      <c r="B32" t="str">
        <f ca="1">IF('MASTER RECORD'!F37="Active",'MASTER RECORD'!C37,"")</f>
        <v/>
      </c>
      <c r="H32" t="str">
        <f>IF('MASTER RECORD'!G37="Sold",'MASTER RECORD'!C37,"")</f>
        <v/>
      </c>
    </row>
    <row r="33" spans="2:8">
      <c r="B33" t="str">
        <f ca="1">IF('MASTER RECORD'!F38="Active",'MASTER RECORD'!C38,"")</f>
        <v/>
      </c>
      <c r="H33" t="str">
        <f>IF('MASTER RECORD'!G38="Sold",'MASTER RECORD'!C38,"")</f>
        <v/>
      </c>
    </row>
    <row r="34" spans="2:8">
      <c r="B34" t="str">
        <f ca="1">IF('MASTER RECORD'!F39="Active",'MASTER RECORD'!C39,"")</f>
        <v/>
      </c>
      <c r="H34" t="str">
        <f>IF('MASTER RECORD'!G39="Sold",'MASTER RECORD'!C39,"")</f>
        <v/>
      </c>
    </row>
    <row r="35" spans="2:8">
      <c r="B35" t="str">
        <f ca="1">IF('MASTER RECORD'!F40="Active",'MASTER RECORD'!C40,"")</f>
        <v/>
      </c>
      <c r="H35" t="str">
        <f>IF('MASTER RECORD'!G40="Sold",'MASTER RECORD'!C40,"")</f>
        <v/>
      </c>
    </row>
    <row r="36" spans="2:8">
      <c r="B36" t="str">
        <f ca="1">IF('MASTER RECORD'!F41="Active",'MASTER RECORD'!C41,"")</f>
        <v/>
      </c>
      <c r="H36" t="str">
        <f>IF('MASTER RECORD'!G41="Sold",'MASTER RECORD'!C41,"")</f>
        <v/>
      </c>
    </row>
    <row r="37" spans="2:8">
      <c r="B37" t="str">
        <f ca="1">IF('MASTER RECORD'!F42="Active",'MASTER RECORD'!C42,"")</f>
        <v/>
      </c>
      <c r="H37" t="str">
        <f>IF('MASTER RECORD'!G42="Sold",'MASTER RECORD'!C42,"")</f>
        <v/>
      </c>
    </row>
    <row r="38" spans="2:8">
      <c r="B38" t="str">
        <f ca="1">IF('MASTER RECORD'!F43="Active",'MASTER RECORD'!C43,"")</f>
        <v/>
      </c>
      <c r="H38" t="str">
        <f>IF('MASTER RECORD'!G43="Sold",'MASTER RECORD'!C43,"")</f>
        <v/>
      </c>
    </row>
    <row r="39" spans="2:8">
      <c r="B39" t="str">
        <f ca="1">IF('MASTER RECORD'!F44="Active",'MASTER RECORD'!C44,"")</f>
        <v/>
      </c>
      <c r="H39" t="str">
        <f>IF('MASTER RECORD'!G44="Sold",'MASTER RECORD'!C44,"")</f>
        <v/>
      </c>
    </row>
    <row r="40" spans="2:8">
      <c r="B40" t="str">
        <f ca="1">IF('MASTER RECORD'!F45="Active",'MASTER RECORD'!C45,"")</f>
        <v/>
      </c>
      <c r="H40" t="str">
        <f>IF('MASTER RECORD'!G45="Sold",'MASTER RECORD'!C45,"")</f>
        <v/>
      </c>
    </row>
    <row r="41" spans="2:8">
      <c r="B41" t="str">
        <f ca="1">IF('MASTER RECORD'!F46="Active",'MASTER RECORD'!C46,"")</f>
        <v/>
      </c>
      <c r="H41" t="str">
        <f>IF('MASTER RECORD'!G46="Sold",'MASTER RECORD'!C46,"")</f>
        <v/>
      </c>
    </row>
    <row r="42" spans="2:8">
      <c r="B42" t="str">
        <f ca="1">IF('MASTER RECORD'!F47="Active",'MASTER RECORD'!C47,"")</f>
        <v/>
      </c>
      <c r="H42" t="str">
        <f>IF('MASTER RECORD'!G47="Sold",'MASTER RECORD'!C47,"")</f>
        <v/>
      </c>
    </row>
    <row r="43" spans="2:8">
      <c r="B43" t="str">
        <f ca="1">IF('MASTER RECORD'!F48="Active",'MASTER RECORD'!C48,"")</f>
        <v/>
      </c>
      <c r="H43" t="str">
        <f>IF('MASTER RECORD'!G48="Sold",'MASTER RECORD'!C48,"")</f>
        <v/>
      </c>
    </row>
    <row r="44" spans="2:8">
      <c r="B44" t="str">
        <f ca="1">IF('MASTER RECORD'!F49="Active",'MASTER RECORD'!C49,"")</f>
        <v/>
      </c>
      <c r="H44" t="str">
        <f>IF('MASTER RECORD'!G49="Sold",'MASTER RECORD'!C49,"")</f>
        <v/>
      </c>
    </row>
    <row r="45" spans="2:8">
      <c r="B45" t="str">
        <f ca="1">IF('MASTER RECORD'!F50="Active",'MASTER RECORD'!C50,"")</f>
        <v/>
      </c>
      <c r="H45" t="str">
        <f>IF('MASTER RECORD'!G50="Sold",'MASTER RECORD'!C50,"")</f>
        <v/>
      </c>
    </row>
    <row r="46" spans="2:8">
      <c r="B46" t="str">
        <f ca="1">IF('MASTER RECORD'!F51="Active",'MASTER RECORD'!C51,"")</f>
        <v/>
      </c>
      <c r="H46" t="str">
        <f>IF('MASTER RECORD'!G51="Sold",'MASTER RECORD'!C51,"")</f>
        <v/>
      </c>
    </row>
    <row r="47" spans="2:8">
      <c r="B47" t="str">
        <f ca="1">IF('MASTER RECORD'!F52="Active",'MASTER RECORD'!C52,"")</f>
        <v/>
      </c>
      <c r="H47" t="str">
        <f>IF('MASTER RECORD'!G52="Sold",'MASTER RECORD'!C52,"")</f>
        <v/>
      </c>
    </row>
    <row r="48" spans="2:8">
      <c r="B48" t="str">
        <f ca="1">IF('MASTER RECORD'!F53="Active",'MASTER RECORD'!C53,"")</f>
        <v/>
      </c>
      <c r="H48" t="str">
        <f>IF('MASTER RECORD'!G53="Sold",'MASTER RECORD'!C53,"")</f>
        <v/>
      </c>
    </row>
    <row r="49" spans="2:8">
      <c r="B49" t="str">
        <f ca="1">IF('MASTER RECORD'!F54="Active",'MASTER RECORD'!C54,"")</f>
        <v/>
      </c>
      <c r="H49" t="str">
        <f>IF('MASTER RECORD'!G54="Sold",'MASTER RECORD'!C54,"")</f>
        <v/>
      </c>
    </row>
    <row r="50" spans="2:8">
      <c r="B50" t="str">
        <f ca="1">IF('MASTER RECORD'!F55="Active",'MASTER RECORD'!C55,"")</f>
        <v/>
      </c>
      <c r="H50" t="str">
        <f>IF('MASTER RECORD'!G55="Sold",'MASTER RECORD'!C55,"")</f>
        <v/>
      </c>
    </row>
    <row r="51" spans="2:8">
      <c r="B51" t="str">
        <f ca="1">IF('MASTER RECORD'!F56="Active",'MASTER RECORD'!C56,"")</f>
        <v/>
      </c>
      <c r="H51" t="str">
        <f>IF('MASTER RECORD'!G56="Sold",'MASTER RECORD'!C56,"")</f>
        <v/>
      </c>
    </row>
    <row r="52" spans="2:8">
      <c r="B52" t="str">
        <f ca="1">IF('MASTER RECORD'!F57="Active",'MASTER RECORD'!C57,"")</f>
        <v/>
      </c>
      <c r="H52" t="str">
        <f>IF('MASTER RECORD'!G57="Sold",'MASTER RECORD'!C57,"")</f>
        <v/>
      </c>
    </row>
    <row r="53" spans="2:8">
      <c r="B53" t="str">
        <f ca="1">IF('MASTER RECORD'!F58="Active",'MASTER RECORD'!C58,"")</f>
        <v/>
      </c>
      <c r="H53" t="str">
        <f>IF('MASTER RECORD'!G58="Sold",'MASTER RECORD'!C58,"")</f>
        <v/>
      </c>
    </row>
    <row r="54" spans="2:8">
      <c r="B54" t="str">
        <f ca="1">IF('MASTER RECORD'!F59="Active",'MASTER RECORD'!C59,"")</f>
        <v/>
      </c>
      <c r="H54" t="str">
        <f>IF('MASTER RECORD'!G59="Sold",'MASTER RECORD'!C59,"")</f>
        <v/>
      </c>
    </row>
    <row r="55" spans="2:8">
      <c r="B55" t="str">
        <f ca="1">IF('MASTER RECORD'!F60="Active",'MASTER RECORD'!C60,"")</f>
        <v/>
      </c>
      <c r="H55" t="str">
        <f>IF('MASTER RECORD'!G60="Sold",'MASTER RECORD'!C60,"")</f>
        <v/>
      </c>
    </row>
    <row r="56" spans="2:8">
      <c r="B56" t="str">
        <f ca="1">IF('MASTER RECORD'!F61="Active",'MASTER RECORD'!C61,"")</f>
        <v/>
      </c>
      <c r="H56" t="str">
        <f>IF('MASTER RECORD'!G61="Sold",'MASTER RECORD'!C61,"")</f>
        <v/>
      </c>
    </row>
    <row r="57" spans="2:8">
      <c r="B57" t="str">
        <f ca="1">IF('MASTER RECORD'!F62="Active",'MASTER RECORD'!C62,"")</f>
        <v/>
      </c>
      <c r="H57" t="str">
        <f>IF('MASTER RECORD'!G62="Sold",'MASTER RECORD'!C62,"")</f>
        <v/>
      </c>
    </row>
    <row r="58" spans="2:8">
      <c r="B58" t="str">
        <f ca="1">IF('MASTER RECORD'!F63="Active",'MASTER RECORD'!C63,"")</f>
        <v/>
      </c>
      <c r="H58" t="str">
        <f>IF('MASTER RECORD'!G63="Sold",'MASTER RECORD'!C63,"")</f>
        <v/>
      </c>
    </row>
    <row r="59" spans="2:8">
      <c r="B59" t="str">
        <f ca="1">IF('MASTER RECORD'!F64="Active",'MASTER RECORD'!C64,"")</f>
        <v/>
      </c>
      <c r="H59" t="str">
        <f>IF('MASTER RECORD'!G64="Sold",'MASTER RECORD'!C64,"")</f>
        <v/>
      </c>
    </row>
    <row r="60" spans="2:8">
      <c r="B60" t="str">
        <f ca="1">IF('MASTER RECORD'!F65="Active",'MASTER RECORD'!C65,"")</f>
        <v/>
      </c>
      <c r="H60" t="str">
        <f>IF('MASTER RECORD'!G65="Sold",'MASTER RECORD'!C65,"")</f>
        <v/>
      </c>
    </row>
    <row r="61" spans="2:8">
      <c r="B61" t="str">
        <f ca="1">IF('MASTER RECORD'!F66="Active",'MASTER RECORD'!C66,"")</f>
        <v/>
      </c>
      <c r="H61" t="str">
        <f>IF('MASTER RECORD'!G66="Sold",'MASTER RECORD'!C66,"")</f>
        <v/>
      </c>
    </row>
    <row r="62" spans="2:8">
      <c r="B62" t="str">
        <f ca="1">IF('MASTER RECORD'!F67="Active",'MASTER RECORD'!C67,"")</f>
        <v/>
      </c>
      <c r="H62" t="str">
        <f>IF('MASTER RECORD'!G67="Sold",'MASTER RECORD'!C67,"")</f>
        <v/>
      </c>
    </row>
    <row r="63" spans="2:8">
      <c r="B63" t="str">
        <f ca="1">IF('MASTER RECORD'!F68="Active",'MASTER RECORD'!C68,"")</f>
        <v/>
      </c>
      <c r="H63" t="str">
        <f>IF('MASTER RECORD'!G68="Sold",'MASTER RECORD'!C68,"")</f>
        <v/>
      </c>
    </row>
    <row r="64" spans="2:8">
      <c r="B64" t="str">
        <f ca="1">IF('MASTER RECORD'!F69="Active",'MASTER RECORD'!C69,"")</f>
        <v/>
      </c>
      <c r="H64" t="str">
        <f>IF('MASTER RECORD'!G69="Sold",'MASTER RECORD'!C69,"")</f>
        <v/>
      </c>
    </row>
    <row r="65" spans="2:8">
      <c r="B65" t="str">
        <f ca="1">IF('MASTER RECORD'!F70="Active",'MASTER RECORD'!C70,"")</f>
        <v/>
      </c>
      <c r="H65" t="str">
        <f>IF('MASTER RECORD'!G70="Sold",'MASTER RECORD'!C70,"")</f>
        <v/>
      </c>
    </row>
    <row r="66" spans="2:8">
      <c r="B66" t="str">
        <f ca="1">IF('MASTER RECORD'!F71="Active",'MASTER RECORD'!C71,"")</f>
        <v/>
      </c>
      <c r="H66" t="str">
        <f>IF('MASTER RECORD'!G71="Sold",'MASTER RECORD'!C71,"")</f>
        <v/>
      </c>
    </row>
    <row r="67" spans="2:8">
      <c r="B67" t="str">
        <f ca="1">IF('MASTER RECORD'!F72="Active",'MASTER RECORD'!C72,"")</f>
        <v/>
      </c>
      <c r="H67" t="str">
        <f>IF('MASTER RECORD'!G72="Sold",'MASTER RECORD'!C72,"")</f>
        <v/>
      </c>
    </row>
    <row r="68" spans="2:8">
      <c r="B68" t="str">
        <f ca="1">IF('MASTER RECORD'!F73="Active",'MASTER RECORD'!C73,"")</f>
        <v/>
      </c>
      <c r="H68" t="str">
        <f>IF('MASTER RECORD'!G73="Sold",'MASTER RECORD'!C73,"")</f>
        <v/>
      </c>
    </row>
    <row r="69" spans="2:8">
      <c r="B69" t="str">
        <f ca="1">IF('MASTER RECORD'!F74="Active",'MASTER RECORD'!C74,"")</f>
        <v/>
      </c>
      <c r="H69" t="str">
        <f>IF('MASTER RECORD'!G74="Sold",'MASTER RECORD'!C74,"")</f>
        <v/>
      </c>
    </row>
    <row r="70" spans="2:8">
      <c r="B70" t="str">
        <f ca="1">IF('MASTER RECORD'!F75="Active",'MASTER RECORD'!C75,"")</f>
        <v/>
      </c>
      <c r="H70" t="str">
        <f>IF('MASTER RECORD'!G75="Sold",'MASTER RECORD'!C75,"")</f>
        <v/>
      </c>
    </row>
    <row r="71" spans="2:8">
      <c r="B71" t="str">
        <f ca="1">IF('MASTER RECORD'!F76="Active",'MASTER RECORD'!C76,"")</f>
        <v/>
      </c>
      <c r="H71" t="str">
        <f>IF('MASTER RECORD'!G76="Sold",'MASTER RECORD'!C76,"")</f>
        <v/>
      </c>
    </row>
    <row r="72" spans="2:8">
      <c r="B72" t="str">
        <f ca="1">IF('MASTER RECORD'!F77="Active",'MASTER RECORD'!C77,"")</f>
        <v/>
      </c>
      <c r="H72" t="str">
        <f>IF('MASTER RECORD'!G77="Sold",'MASTER RECORD'!C77,"")</f>
        <v/>
      </c>
    </row>
    <row r="73" spans="2:8">
      <c r="B73" t="str">
        <f ca="1">IF('MASTER RECORD'!F78="Active",'MASTER RECORD'!C78,"")</f>
        <v/>
      </c>
      <c r="H73" t="str">
        <f>IF('MASTER RECORD'!G78="Sold",'MASTER RECORD'!C78,"")</f>
        <v/>
      </c>
    </row>
    <row r="74" spans="2:8">
      <c r="B74" t="str">
        <f ca="1">IF('MASTER RECORD'!F79="Active",'MASTER RECORD'!C79,"")</f>
        <v/>
      </c>
      <c r="H74" t="str">
        <f>IF('MASTER RECORD'!G79="Sold",'MASTER RECORD'!C79,"")</f>
        <v/>
      </c>
    </row>
    <row r="75" spans="2:8">
      <c r="B75" t="str">
        <f ca="1">IF('MASTER RECORD'!F80="Active",'MASTER RECORD'!C80,"")</f>
        <v/>
      </c>
      <c r="H75" t="str">
        <f>IF('MASTER RECORD'!G80="Sold",'MASTER RECORD'!C80,"")</f>
        <v/>
      </c>
    </row>
    <row r="76" spans="2:8">
      <c r="B76" t="str">
        <f ca="1">IF('MASTER RECORD'!F81="Active",'MASTER RECORD'!C81,"")</f>
        <v/>
      </c>
      <c r="H76" t="str">
        <f>IF('MASTER RECORD'!G81="Sold",'MASTER RECORD'!C81,"")</f>
        <v/>
      </c>
    </row>
    <row r="77" spans="2:8">
      <c r="B77" t="str">
        <f ca="1">IF('MASTER RECORD'!F82="Active",'MASTER RECORD'!C82,"")</f>
        <v/>
      </c>
      <c r="H77" t="str">
        <f>IF('MASTER RECORD'!G82="Sold",'MASTER RECORD'!C82,"")</f>
        <v/>
      </c>
    </row>
    <row r="78" spans="2:8">
      <c r="B78" t="str">
        <f ca="1">IF('MASTER RECORD'!F83="Active",'MASTER RECORD'!C83,"")</f>
        <v/>
      </c>
      <c r="H78" t="str">
        <f>IF('MASTER RECORD'!G83="Sold",'MASTER RECORD'!C83,"")</f>
        <v/>
      </c>
    </row>
    <row r="79" spans="2:8">
      <c r="B79" t="str">
        <f ca="1">IF('MASTER RECORD'!F84="Active",'MASTER RECORD'!C84,"")</f>
        <v/>
      </c>
      <c r="H79" t="str">
        <f>IF('MASTER RECORD'!G84="Sold",'MASTER RECORD'!C84,"")</f>
        <v/>
      </c>
    </row>
    <row r="80" spans="2:8">
      <c r="B80" t="str">
        <f ca="1">IF('MASTER RECORD'!F85="Active",'MASTER RECORD'!C85,"")</f>
        <v/>
      </c>
      <c r="H80" t="str">
        <f>IF('MASTER RECORD'!G85="Sold",'MASTER RECORD'!C85,"")</f>
        <v/>
      </c>
    </row>
    <row r="81" spans="2:8">
      <c r="B81" t="str">
        <f ca="1">IF('MASTER RECORD'!F86="Active",'MASTER RECORD'!C86,"")</f>
        <v/>
      </c>
      <c r="H81" t="str">
        <f>IF('MASTER RECORD'!G86="Sold",'MASTER RECORD'!C86,"")</f>
        <v/>
      </c>
    </row>
    <row r="82" spans="2:8">
      <c r="B82" t="str">
        <f ca="1">IF('MASTER RECORD'!F87="Active",'MASTER RECORD'!C87,"")</f>
        <v/>
      </c>
      <c r="H82" t="str">
        <f>IF('MASTER RECORD'!G87="Sold",'MASTER RECORD'!C87,"")</f>
        <v/>
      </c>
    </row>
    <row r="83" spans="2:8">
      <c r="B83" t="str">
        <f ca="1">IF('MASTER RECORD'!F88="Active",'MASTER RECORD'!C88,"")</f>
        <v/>
      </c>
      <c r="H83" t="str">
        <f>IF('MASTER RECORD'!G88="Sold",'MASTER RECORD'!C88,"")</f>
        <v/>
      </c>
    </row>
    <row r="84" spans="2:8">
      <c r="B84" t="str">
        <f ca="1">IF('MASTER RECORD'!F89="Active",'MASTER RECORD'!C89,"")</f>
        <v/>
      </c>
      <c r="H84" t="str">
        <f>IF('MASTER RECORD'!G89="Sold",'MASTER RECORD'!C89,"")</f>
        <v/>
      </c>
    </row>
    <row r="85" spans="2:8">
      <c r="B85" t="str">
        <f ca="1">IF('MASTER RECORD'!F90="Active",'MASTER RECORD'!C90,"")</f>
        <v/>
      </c>
      <c r="H85" t="str">
        <f>IF('MASTER RECORD'!G90="Sold",'MASTER RECORD'!C90,"")</f>
        <v/>
      </c>
    </row>
    <row r="86" spans="2:8">
      <c r="B86" t="str">
        <f ca="1">IF('MASTER RECORD'!F91="Active",'MASTER RECORD'!C91,"")</f>
        <v/>
      </c>
      <c r="H86" t="str">
        <f>IF('MASTER RECORD'!G91="Sold",'MASTER RECORD'!C91,"")</f>
        <v/>
      </c>
    </row>
    <row r="87" spans="2:8">
      <c r="B87" t="str">
        <f ca="1">IF('MASTER RECORD'!F92="Active",'MASTER RECORD'!C92,"")</f>
        <v/>
      </c>
      <c r="H87" t="str">
        <f>IF('MASTER RECORD'!G92="Sold",'MASTER RECORD'!C92,"")</f>
        <v/>
      </c>
    </row>
    <row r="88" spans="2:8">
      <c r="B88" t="str">
        <f ca="1">IF('MASTER RECORD'!F93="Active",'MASTER RECORD'!C93,"")</f>
        <v/>
      </c>
      <c r="H88" t="str">
        <f>IF('MASTER RECORD'!G93="Sold",'MASTER RECORD'!C93,"")</f>
        <v/>
      </c>
    </row>
    <row r="89" spans="2:8">
      <c r="B89" t="str">
        <f ca="1">IF('MASTER RECORD'!F94="Active",'MASTER RECORD'!C94,"")</f>
        <v/>
      </c>
      <c r="H89" t="str">
        <f>IF('MASTER RECORD'!G94="Sold",'MASTER RECORD'!C94,"")</f>
        <v/>
      </c>
    </row>
    <row r="90" spans="2:8">
      <c r="B90" t="str">
        <f ca="1">IF('MASTER RECORD'!F95="Active",'MASTER RECORD'!C95,"")</f>
        <v/>
      </c>
      <c r="H90" t="str">
        <f>IF('MASTER RECORD'!G95="Sold",'MASTER RECORD'!C95,"")</f>
        <v/>
      </c>
    </row>
    <row r="91" spans="2:8">
      <c r="B91" t="str">
        <f ca="1">IF('MASTER RECORD'!F96="Active",'MASTER RECORD'!C96,"")</f>
        <v/>
      </c>
      <c r="H91" t="str">
        <f>IF('MASTER RECORD'!G96="Sold",'MASTER RECORD'!C96,"")</f>
        <v/>
      </c>
    </row>
    <row r="92" spans="2:8">
      <c r="B92" t="str">
        <f ca="1">IF('MASTER RECORD'!F97="Active",'MASTER RECORD'!C97,"")</f>
        <v/>
      </c>
      <c r="H92" t="str">
        <f>IF('MASTER RECORD'!G97="Sold",'MASTER RECORD'!C97,"")</f>
        <v/>
      </c>
    </row>
    <row r="93" spans="2:8">
      <c r="B93" t="str">
        <f ca="1">IF('MASTER RECORD'!F98="Active",'MASTER RECORD'!C98,"")</f>
        <v/>
      </c>
      <c r="H93" t="str">
        <f>IF('MASTER RECORD'!G98="Sold",'MASTER RECORD'!C98,"")</f>
        <v/>
      </c>
    </row>
    <row r="94" spans="2:8">
      <c r="B94" t="str">
        <f ca="1">IF('MASTER RECORD'!F99="Active",'MASTER RECORD'!C99,"")</f>
        <v/>
      </c>
      <c r="H94" t="str">
        <f>IF('MASTER RECORD'!G99="Sold",'MASTER RECORD'!C99,"")</f>
        <v/>
      </c>
    </row>
    <row r="95" spans="2:8">
      <c r="B95" t="str">
        <f ca="1">IF('MASTER RECORD'!F100="Active",'MASTER RECORD'!C100,"")</f>
        <v/>
      </c>
      <c r="H95" t="str">
        <f>IF('MASTER RECORD'!G100="Sold",'MASTER RECORD'!C100,"")</f>
        <v/>
      </c>
    </row>
    <row r="96" spans="2:8">
      <c r="B96" t="str">
        <f ca="1">IF('MASTER RECORD'!F101="Active",'MASTER RECORD'!C101,"")</f>
        <v/>
      </c>
      <c r="H96" t="str">
        <f>IF('MASTER RECORD'!G101="Sold",'MASTER RECORD'!C101,"")</f>
        <v/>
      </c>
    </row>
    <row r="97" spans="2:8">
      <c r="B97" t="str">
        <f ca="1">IF('MASTER RECORD'!F102="Active",'MASTER RECORD'!C102,"")</f>
        <v/>
      </c>
      <c r="H97" t="str">
        <f>IF('MASTER RECORD'!G102="Sold",'MASTER RECORD'!C102,"")</f>
        <v/>
      </c>
    </row>
    <row r="98" spans="2:8">
      <c r="B98" t="str">
        <f ca="1">IF('MASTER RECORD'!F103="Active",'MASTER RECORD'!C103,"")</f>
        <v/>
      </c>
      <c r="H98" t="str">
        <f>IF('MASTER RECORD'!G103="Sold",'MASTER RECORD'!C103,"")</f>
        <v/>
      </c>
    </row>
    <row r="99" spans="2:8">
      <c r="B99" t="str">
        <f ca="1">IF('MASTER RECORD'!F104="Active",'MASTER RECORD'!C104,"")</f>
        <v/>
      </c>
      <c r="H99" t="str">
        <f>IF('MASTER RECORD'!G104="Sold",'MASTER RECORD'!C104,"")</f>
        <v/>
      </c>
    </row>
    <row r="100" spans="2:8">
      <c r="B100" t="str">
        <f ca="1">IF('MASTER RECORD'!F105="Active",'MASTER RECORD'!C105,"")</f>
        <v/>
      </c>
      <c r="H100" t="str">
        <f>IF('MASTER RECORD'!G105="Sold",'MASTER RECORD'!C105,"")</f>
        <v/>
      </c>
    </row>
    <row r="101" spans="2:8">
      <c r="B101" t="str">
        <f ca="1">IF('MASTER RECORD'!F106="Active",'MASTER RECORD'!C106,"")</f>
        <v/>
      </c>
      <c r="H101" t="str">
        <f>IF('MASTER RECORD'!G106="Sold",'MASTER RECORD'!C106,"")</f>
        <v/>
      </c>
    </row>
    <row r="102" spans="2:8">
      <c r="B102" t="str">
        <f ca="1">IF('MASTER RECORD'!F107="Active",'MASTER RECORD'!C107,"")</f>
        <v/>
      </c>
      <c r="H102" t="str">
        <f>IF('MASTER RECORD'!G107="Sold",'MASTER RECORD'!C107,"")</f>
        <v/>
      </c>
    </row>
    <row r="103" spans="2:8">
      <c r="B103" t="str">
        <f ca="1">IF('MASTER RECORD'!F108="Active",'MASTER RECORD'!C108,"")</f>
        <v/>
      </c>
      <c r="H103" t="str">
        <f>IF('MASTER RECORD'!G108="Sold",'MASTER RECORD'!C108,"")</f>
        <v/>
      </c>
    </row>
    <row r="104" spans="2:8">
      <c r="B104" t="str">
        <f ca="1">IF('MASTER RECORD'!F109="Active",'MASTER RECORD'!C109,"")</f>
        <v/>
      </c>
      <c r="H104" t="str">
        <f>IF('MASTER RECORD'!G109="Sold",'MASTER RECORD'!C109,"")</f>
        <v/>
      </c>
    </row>
    <row r="105" spans="2:8">
      <c r="B105" t="str">
        <f ca="1">IF('MASTER RECORD'!F110="Active",'MASTER RECORD'!C110,"")</f>
        <v/>
      </c>
      <c r="H105" t="str">
        <f>IF('MASTER RECORD'!G110="Sold",'MASTER RECORD'!C110,"")</f>
        <v/>
      </c>
    </row>
    <row r="106" spans="2:8">
      <c r="B106" t="str">
        <f ca="1">IF('MASTER RECORD'!F111="Active",'MASTER RECORD'!C111,"")</f>
        <v/>
      </c>
      <c r="H106" t="str">
        <f>IF('MASTER RECORD'!G111="Sold",'MASTER RECORD'!C111,"")</f>
        <v/>
      </c>
    </row>
    <row r="107" spans="2:8">
      <c r="B107" t="str">
        <f ca="1">IF('MASTER RECORD'!F112="Active",'MASTER RECORD'!C112,"")</f>
        <v/>
      </c>
      <c r="H107" t="str">
        <f>IF('MASTER RECORD'!G112="Sold",'MASTER RECORD'!C112,"")</f>
        <v/>
      </c>
    </row>
    <row r="108" spans="2:8">
      <c r="B108" t="str">
        <f ca="1">IF('MASTER RECORD'!F113="Active",'MASTER RECORD'!C113,"")</f>
        <v/>
      </c>
      <c r="H108" t="str">
        <f>IF('MASTER RECORD'!G113="Sold",'MASTER RECORD'!C113,"")</f>
        <v/>
      </c>
    </row>
    <row r="109" spans="2:8">
      <c r="B109" t="str">
        <f ca="1">IF('MASTER RECORD'!F114="Active",'MASTER RECORD'!C114,"")</f>
        <v/>
      </c>
      <c r="H109" t="str">
        <f>IF('MASTER RECORD'!G114="Sold",'MASTER RECORD'!C114,"")</f>
        <v/>
      </c>
    </row>
    <row r="110" spans="2:8">
      <c r="B110" t="str">
        <f ca="1">IF('MASTER RECORD'!F115="Active",'MASTER RECORD'!C115,"")</f>
        <v/>
      </c>
      <c r="H110" t="str">
        <f>IF('MASTER RECORD'!G115="Sold",'MASTER RECORD'!C115,"")</f>
        <v/>
      </c>
    </row>
    <row r="111" spans="2:8">
      <c r="B111" t="str">
        <f ca="1">IF('MASTER RECORD'!F116="Active",'MASTER RECORD'!C116,"")</f>
        <v/>
      </c>
      <c r="H111" t="str">
        <f>IF('MASTER RECORD'!G116="Sold",'MASTER RECORD'!C116,"")</f>
        <v/>
      </c>
    </row>
    <row r="112" spans="2:8">
      <c r="B112" t="str">
        <f ca="1">IF('MASTER RECORD'!F117="Active",'MASTER RECORD'!C117,"")</f>
        <v/>
      </c>
      <c r="H112" t="str">
        <f>IF('MASTER RECORD'!G117="Sold",'MASTER RECORD'!C117,"")</f>
        <v/>
      </c>
    </row>
    <row r="113" spans="2:8">
      <c r="B113" t="str">
        <f ca="1">IF('MASTER RECORD'!F118="Active",'MASTER RECORD'!C118,"")</f>
        <v/>
      </c>
      <c r="H113" t="str">
        <f>IF('MASTER RECORD'!G118="Sold",'MASTER RECORD'!C118,"")</f>
        <v/>
      </c>
    </row>
    <row r="114" spans="2:8">
      <c r="B114" t="str">
        <f ca="1">IF('MASTER RECORD'!F119="Active",'MASTER RECORD'!C119,"")</f>
        <v/>
      </c>
      <c r="H114" t="str">
        <f>IF('MASTER RECORD'!G119="Sold",'MASTER RECORD'!C119,"")</f>
        <v/>
      </c>
    </row>
    <row r="115" spans="2:8">
      <c r="B115" t="str">
        <f ca="1">IF('MASTER RECORD'!F120="Active",'MASTER RECORD'!C120,"")</f>
        <v/>
      </c>
      <c r="H115" t="str">
        <f>IF('MASTER RECORD'!G120="Sold",'MASTER RECORD'!C120,"")</f>
        <v/>
      </c>
    </row>
    <row r="116" spans="2:8">
      <c r="B116" t="str">
        <f ca="1">IF('MASTER RECORD'!F121="Active",'MASTER RECORD'!C121,"")</f>
        <v/>
      </c>
      <c r="H116" t="str">
        <f>IF('MASTER RECORD'!G121="Sold",'MASTER RECORD'!C121,"")</f>
        <v/>
      </c>
    </row>
    <row r="117" spans="2:8">
      <c r="B117" t="str">
        <f ca="1">IF('MASTER RECORD'!F122="Active",'MASTER RECORD'!C122,"")</f>
        <v/>
      </c>
      <c r="H117" t="str">
        <f>IF('MASTER RECORD'!G122="Sold",'MASTER RECORD'!C122,"")</f>
        <v/>
      </c>
    </row>
    <row r="118" spans="2:8">
      <c r="B118" t="str">
        <f ca="1">IF('MASTER RECORD'!F123="Active",'MASTER RECORD'!C123,"")</f>
        <v/>
      </c>
      <c r="H118" t="str">
        <f>IF('MASTER RECORD'!G123="Sold",'MASTER RECORD'!C123,"")</f>
        <v/>
      </c>
    </row>
    <row r="119" spans="2:8">
      <c r="B119" t="str">
        <f ca="1">IF('MASTER RECORD'!F124="Active",'MASTER RECORD'!C124,"")</f>
        <v/>
      </c>
      <c r="H119" t="str">
        <f>IF('MASTER RECORD'!G124="Sold",'MASTER RECORD'!C124,"")</f>
        <v/>
      </c>
    </row>
    <row r="120" spans="2:8">
      <c r="B120" t="str">
        <f ca="1">IF('MASTER RECORD'!F125="Active",'MASTER RECORD'!C125,"")</f>
        <v/>
      </c>
      <c r="H120" t="str">
        <f>IF('MASTER RECORD'!G125="Sold",'MASTER RECORD'!C125,"")</f>
        <v/>
      </c>
    </row>
    <row r="121" spans="2:8">
      <c r="B121" t="str">
        <f ca="1">IF('MASTER RECORD'!F126="Active",'MASTER RECORD'!C126,"")</f>
        <v/>
      </c>
      <c r="H121" t="str">
        <f>IF('MASTER RECORD'!G126="Sold",'MASTER RECORD'!C126,"")</f>
        <v/>
      </c>
    </row>
    <row r="122" spans="2:8">
      <c r="B122" t="str">
        <f ca="1">IF('MASTER RECORD'!F127="Active",'MASTER RECORD'!C127,"")</f>
        <v/>
      </c>
      <c r="H122" t="str">
        <f>IF('MASTER RECORD'!G127="Sold",'MASTER RECORD'!C127,"")</f>
        <v/>
      </c>
    </row>
    <row r="123" spans="2:8">
      <c r="B123" t="str">
        <f ca="1">IF('MASTER RECORD'!F128="Active",'MASTER RECORD'!C128,"")</f>
        <v/>
      </c>
      <c r="H123" t="str">
        <f>IF('MASTER RECORD'!G128="Sold",'MASTER RECORD'!C128,"")</f>
        <v/>
      </c>
    </row>
    <row r="124" spans="2:8">
      <c r="B124" t="str">
        <f ca="1">IF('MASTER RECORD'!F129="Active",'MASTER RECORD'!C129,"")</f>
        <v/>
      </c>
      <c r="H124" t="str">
        <f>IF('MASTER RECORD'!G129="Sold",'MASTER RECORD'!C129,"")</f>
        <v/>
      </c>
    </row>
    <row r="125" spans="2:8">
      <c r="B125" t="str">
        <f ca="1">IF('MASTER RECORD'!F130="Active",'MASTER RECORD'!C130,"")</f>
        <v/>
      </c>
      <c r="H125" t="str">
        <f>IF('MASTER RECORD'!G130="Sold",'MASTER RECORD'!C130,"")</f>
        <v/>
      </c>
    </row>
    <row r="126" spans="2:8">
      <c r="B126" t="str">
        <f ca="1">IF('MASTER RECORD'!F131="Active",'MASTER RECORD'!C131,"")</f>
        <v/>
      </c>
      <c r="H126" t="str">
        <f>IF('MASTER RECORD'!G131="Sold",'MASTER RECORD'!C131,"")</f>
        <v/>
      </c>
    </row>
    <row r="127" spans="2:8">
      <c r="B127" t="str">
        <f ca="1">IF('MASTER RECORD'!F132="Active",'MASTER RECORD'!C132,"")</f>
        <v/>
      </c>
      <c r="H127" t="str">
        <f>IF('MASTER RECORD'!G132="Sold",'MASTER RECORD'!C132,"")</f>
        <v/>
      </c>
    </row>
    <row r="128" spans="2:8">
      <c r="B128" t="str">
        <f ca="1">IF('MASTER RECORD'!F133="Active",'MASTER RECORD'!C133,"")</f>
        <v/>
      </c>
      <c r="H128" t="str">
        <f>IF('MASTER RECORD'!G133="Sold",'MASTER RECORD'!C133,"")</f>
        <v/>
      </c>
    </row>
    <row r="129" spans="2:8">
      <c r="B129" t="str">
        <f ca="1">IF('MASTER RECORD'!F134="Active",'MASTER RECORD'!C134,"")</f>
        <v/>
      </c>
      <c r="H129" t="str">
        <f>IF('MASTER RECORD'!G134="Sold",'MASTER RECORD'!C134,"")</f>
        <v/>
      </c>
    </row>
    <row r="130" spans="2:8">
      <c r="B130" t="str">
        <f ca="1">IF('MASTER RECORD'!F135="Active",'MASTER RECORD'!C135,"")</f>
        <v/>
      </c>
      <c r="H130" t="str">
        <f>IF('MASTER RECORD'!G135="Sold",'MASTER RECORD'!C135,"")</f>
        <v/>
      </c>
    </row>
    <row r="131" spans="2:8">
      <c r="B131" t="str">
        <f ca="1">IF('MASTER RECORD'!F136="Active",'MASTER RECORD'!C136,"")</f>
        <v/>
      </c>
      <c r="H131" t="str">
        <f>IF('MASTER RECORD'!G136="Sold",'MASTER RECORD'!C136,"")</f>
        <v/>
      </c>
    </row>
    <row r="132" spans="2:8">
      <c r="B132" t="str">
        <f ca="1">IF('MASTER RECORD'!F137="Active",'MASTER RECORD'!C137,"")</f>
        <v/>
      </c>
      <c r="H132" t="str">
        <f>IF('MASTER RECORD'!G137="Sold",'MASTER RECORD'!C137,"")</f>
        <v/>
      </c>
    </row>
    <row r="133" spans="2:8">
      <c r="B133" t="str">
        <f ca="1">IF('MASTER RECORD'!F138="Active",'MASTER RECORD'!C138,"")</f>
        <v/>
      </c>
      <c r="H133" t="str">
        <f>IF('MASTER RECORD'!G138="Sold",'MASTER RECORD'!C138,"")</f>
        <v/>
      </c>
    </row>
    <row r="134" spans="2:8">
      <c r="B134" t="str">
        <f ca="1">IF('MASTER RECORD'!F139="Active",'MASTER RECORD'!C139,"")</f>
        <v/>
      </c>
      <c r="H134" t="str">
        <f>IF('MASTER RECORD'!G139="Sold",'MASTER RECORD'!C139,"")</f>
        <v/>
      </c>
    </row>
    <row r="135" spans="2:8">
      <c r="B135" t="str">
        <f ca="1">IF('MASTER RECORD'!F140="Active",'MASTER RECORD'!C140,"")</f>
        <v/>
      </c>
      <c r="H135" t="str">
        <f>IF('MASTER RECORD'!G140="Sold",'MASTER RECORD'!C140,"")</f>
        <v/>
      </c>
    </row>
    <row r="136" spans="2:8">
      <c r="B136" t="str">
        <f ca="1">IF('MASTER RECORD'!F141="Active",'MASTER RECORD'!C141,"")</f>
        <v/>
      </c>
      <c r="H136" t="str">
        <f>IF('MASTER RECORD'!G141="Sold",'MASTER RECORD'!C141,"")</f>
        <v/>
      </c>
    </row>
    <row r="137" spans="2:8">
      <c r="B137" t="str">
        <f ca="1">IF('MASTER RECORD'!F142="Active",'MASTER RECORD'!C142,"")</f>
        <v/>
      </c>
      <c r="H137" t="str">
        <f>IF('MASTER RECORD'!G142="Sold",'MASTER RECORD'!C142,"")</f>
        <v/>
      </c>
    </row>
    <row r="138" spans="2:8">
      <c r="B138" t="str">
        <f ca="1">IF('MASTER RECORD'!F143="Active",'MASTER RECORD'!C143,"")</f>
        <v/>
      </c>
      <c r="H138" t="str">
        <f>IF('MASTER RECORD'!G143="Sold",'MASTER RECORD'!C143,"")</f>
        <v/>
      </c>
    </row>
    <row r="139" spans="2:8">
      <c r="B139" t="str">
        <f ca="1">IF('MASTER RECORD'!F144="Active",'MASTER RECORD'!C144,"")</f>
        <v/>
      </c>
      <c r="H139" t="str">
        <f>IF('MASTER RECORD'!G144="Sold",'MASTER RECORD'!C144,"")</f>
        <v/>
      </c>
    </row>
    <row r="140" spans="2:8">
      <c r="B140" t="str">
        <f ca="1">IF('MASTER RECORD'!F145="Active",'MASTER RECORD'!C145,"")</f>
        <v/>
      </c>
      <c r="H140" t="str">
        <f>IF('MASTER RECORD'!G145="Sold",'MASTER RECORD'!C145,"")</f>
        <v/>
      </c>
    </row>
    <row r="141" spans="2:8">
      <c r="B141" t="str">
        <f ca="1">IF('MASTER RECORD'!F146="Active",'MASTER RECORD'!C146,"")</f>
        <v/>
      </c>
      <c r="H141" t="str">
        <f>IF('MASTER RECORD'!G146="Sold",'MASTER RECORD'!C146,"")</f>
        <v/>
      </c>
    </row>
    <row r="142" spans="2:8">
      <c r="B142" t="str">
        <f ca="1">IF('MASTER RECORD'!F147="Active",'MASTER RECORD'!C147,"")</f>
        <v/>
      </c>
      <c r="H142" t="str">
        <f>IF('MASTER RECORD'!G147="Sold",'MASTER RECORD'!C147,"")</f>
        <v/>
      </c>
    </row>
    <row r="143" spans="2:8">
      <c r="B143" t="str">
        <f ca="1">IF('MASTER RECORD'!F148="Active",'MASTER RECORD'!C148,"")</f>
        <v/>
      </c>
      <c r="H143" t="str">
        <f>IF('MASTER RECORD'!G148="Sold",'MASTER RECORD'!C148,"")</f>
        <v/>
      </c>
    </row>
    <row r="144" spans="2:8">
      <c r="B144" t="str">
        <f ca="1">IF('MASTER RECORD'!F149="Active",'MASTER RECORD'!C149,"")</f>
        <v/>
      </c>
      <c r="H144" t="str">
        <f>IF('MASTER RECORD'!G149="Sold",'MASTER RECORD'!C149,"")</f>
        <v/>
      </c>
    </row>
    <row r="145" spans="2:8">
      <c r="B145" t="str">
        <f ca="1">IF('MASTER RECORD'!F150="Active",'MASTER RECORD'!C150,"")</f>
        <v/>
      </c>
      <c r="H145" t="str">
        <f>IF('MASTER RECORD'!G150="Sold",'MASTER RECORD'!C150,"")</f>
        <v/>
      </c>
    </row>
    <row r="146" spans="2:8">
      <c r="B146" t="str">
        <f ca="1">IF('MASTER RECORD'!F151="Active",'MASTER RECORD'!C151,"")</f>
        <v/>
      </c>
      <c r="H146" t="str">
        <f>IF('MASTER RECORD'!G151="Sold",'MASTER RECORD'!C151,"")</f>
        <v/>
      </c>
    </row>
    <row r="147" spans="2:8">
      <c r="B147" t="str">
        <f ca="1">IF('MASTER RECORD'!F152="Active",'MASTER RECORD'!C152,"")</f>
        <v/>
      </c>
      <c r="H147" t="str">
        <f>IF('MASTER RECORD'!G152="Sold",'MASTER RECORD'!C152,"")</f>
        <v/>
      </c>
    </row>
    <row r="148" spans="2:8">
      <c r="B148" t="str">
        <f ca="1">IF('MASTER RECORD'!F153="Active",'MASTER RECORD'!C153,"")</f>
        <v/>
      </c>
      <c r="H148" t="str">
        <f>IF('MASTER RECORD'!G153="Sold",'MASTER RECORD'!C153,"")</f>
        <v/>
      </c>
    </row>
    <row r="149" spans="2:8">
      <c r="B149" t="str">
        <f ca="1">IF('MASTER RECORD'!F154="Active",'MASTER RECORD'!C154,"")</f>
        <v/>
      </c>
      <c r="H149" t="str">
        <f>IF('MASTER RECORD'!G154="Sold",'MASTER RECORD'!C154,"")</f>
        <v/>
      </c>
    </row>
    <row r="150" spans="2:8">
      <c r="B150" t="str">
        <f ca="1">IF('MASTER RECORD'!F155="Active",'MASTER RECORD'!C155,"")</f>
        <v/>
      </c>
      <c r="H150" t="str">
        <f>IF('MASTER RECORD'!G155="Sold",'MASTER RECORD'!C155,"")</f>
        <v/>
      </c>
    </row>
    <row r="151" spans="2:8">
      <c r="B151" t="str">
        <f ca="1">IF('MASTER RECORD'!F156="Active",'MASTER RECORD'!C156,"")</f>
        <v/>
      </c>
      <c r="H151" t="str">
        <f>IF('MASTER RECORD'!G156="Sold",'MASTER RECORD'!C156,"")</f>
        <v/>
      </c>
    </row>
    <row r="152" spans="2:8">
      <c r="B152" t="str">
        <f ca="1">IF('MASTER RECORD'!F157="Active",'MASTER RECORD'!C157,"")</f>
        <v/>
      </c>
      <c r="H152" t="str">
        <f>IF('MASTER RECORD'!G157="Sold",'MASTER RECORD'!C157,"")</f>
        <v/>
      </c>
    </row>
    <row r="153" spans="2:8">
      <c r="B153" t="str">
        <f ca="1">IF('MASTER RECORD'!F158="Active",'MASTER RECORD'!C158,"")</f>
        <v/>
      </c>
      <c r="H153" t="str">
        <f>IF('MASTER RECORD'!G158="Sold",'MASTER RECORD'!C158,"")</f>
        <v/>
      </c>
    </row>
    <row r="154" spans="2:8">
      <c r="B154" t="str">
        <f ca="1">IF('MASTER RECORD'!F159="Active",'MASTER RECORD'!C159,"")</f>
        <v/>
      </c>
      <c r="H154" t="str">
        <f>IF('MASTER RECORD'!G159="Sold",'MASTER RECORD'!C159,"")</f>
        <v/>
      </c>
    </row>
    <row r="155" spans="2:8">
      <c r="B155" t="str">
        <f ca="1">IF('MASTER RECORD'!F160="Active",'MASTER RECORD'!C160,"")</f>
        <v/>
      </c>
      <c r="H155" t="str">
        <f>IF('MASTER RECORD'!G160="Sold",'MASTER RECORD'!C160,"")</f>
        <v/>
      </c>
    </row>
    <row r="156" spans="2:8">
      <c r="B156" t="str">
        <f ca="1">IF('MASTER RECORD'!F161="Active",'MASTER RECORD'!C161,"")</f>
        <v/>
      </c>
      <c r="H156" t="str">
        <f>IF('MASTER RECORD'!G161="Sold",'MASTER RECORD'!C161,"")</f>
        <v/>
      </c>
    </row>
    <row r="157" spans="2:8">
      <c r="B157" t="str">
        <f ca="1">IF('MASTER RECORD'!F162="Active",'MASTER RECORD'!C162,"")</f>
        <v/>
      </c>
      <c r="H157" t="str">
        <f>IF('MASTER RECORD'!G162="Sold",'MASTER RECORD'!C162,"")</f>
        <v/>
      </c>
    </row>
    <row r="158" spans="2:8">
      <c r="B158" t="str">
        <f ca="1">IF('MASTER RECORD'!F163="Active",'MASTER RECORD'!C163,"")</f>
        <v/>
      </c>
      <c r="H158" t="str">
        <f>IF('MASTER RECORD'!G163="Sold",'MASTER RECORD'!C163,"")</f>
        <v/>
      </c>
    </row>
    <row r="159" spans="2:8">
      <c r="B159" t="str">
        <f ca="1">IF('MASTER RECORD'!F164="Active",'MASTER RECORD'!C164,"")</f>
        <v/>
      </c>
      <c r="H159" t="str">
        <f>IF('MASTER RECORD'!G164="Sold",'MASTER RECORD'!C164,"")</f>
        <v/>
      </c>
    </row>
    <row r="160" spans="2:8">
      <c r="B160" t="str">
        <f ca="1">IF('MASTER RECORD'!F165="Active",'MASTER RECORD'!C165,"")</f>
        <v/>
      </c>
      <c r="H160" t="str">
        <f>IF('MASTER RECORD'!G165="Sold",'MASTER RECORD'!C165,"")</f>
        <v/>
      </c>
    </row>
    <row r="161" spans="2:8">
      <c r="B161" t="str">
        <f ca="1">IF('MASTER RECORD'!F166="Active",'MASTER RECORD'!C166,"")</f>
        <v/>
      </c>
      <c r="H161" t="str">
        <f>IF('MASTER RECORD'!G166="Sold",'MASTER RECORD'!C166,"")</f>
        <v/>
      </c>
    </row>
    <row r="162" spans="2:8">
      <c r="B162" t="str">
        <f ca="1">IF('MASTER RECORD'!F167="Active",'MASTER RECORD'!C167,"")</f>
        <v/>
      </c>
      <c r="H162" t="str">
        <f>IF('MASTER RECORD'!G167="Sold",'MASTER RECORD'!C167,"")</f>
        <v/>
      </c>
    </row>
    <row r="163" spans="2:8">
      <c r="B163" t="str">
        <f ca="1">IF('MASTER RECORD'!F168="Active",'MASTER RECORD'!C168,"")</f>
        <v/>
      </c>
      <c r="H163" t="str">
        <f>IF('MASTER RECORD'!G168="Sold",'MASTER RECORD'!C168,"")</f>
        <v/>
      </c>
    </row>
    <row r="164" spans="2:8">
      <c r="B164" t="str">
        <f ca="1">IF('MASTER RECORD'!F169="Active",'MASTER RECORD'!C169,"")</f>
        <v/>
      </c>
      <c r="H164" t="str">
        <f>IF('MASTER RECORD'!G169="Sold",'MASTER RECORD'!C169,"")</f>
        <v/>
      </c>
    </row>
    <row r="165" spans="2:8">
      <c r="B165" t="str">
        <f ca="1">IF('MASTER RECORD'!F170="Active",'MASTER RECORD'!C170,"")</f>
        <v/>
      </c>
      <c r="H165" t="str">
        <f>IF('MASTER RECORD'!G170="Sold",'MASTER RECORD'!C170,"")</f>
        <v/>
      </c>
    </row>
    <row r="166" spans="2:8">
      <c r="B166" t="str">
        <f ca="1">IF('MASTER RECORD'!F171="Active",'MASTER RECORD'!C171,"")</f>
        <v/>
      </c>
      <c r="H166" t="str">
        <f>IF('MASTER RECORD'!G171="Sold",'MASTER RECORD'!C171,"")</f>
        <v/>
      </c>
    </row>
    <row r="167" spans="2:8">
      <c r="B167" t="str">
        <f ca="1">IF('MASTER RECORD'!F172="Active",'MASTER RECORD'!C172,"")</f>
        <v/>
      </c>
      <c r="H167" t="str">
        <f>IF('MASTER RECORD'!G172="Sold",'MASTER RECORD'!C172,"")</f>
        <v/>
      </c>
    </row>
    <row r="168" spans="2:8">
      <c r="B168" t="str">
        <f ca="1">IF('MASTER RECORD'!F173="Active",'MASTER RECORD'!C173,"")</f>
        <v/>
      </c>
      <c r="H168" t="str">
        <f>IF('MASTER RECORD'!G173="Sold",'MASTER RECORD'!C173,"")</f>
        <v/>
      </c>
    </row>
    <row r="169" spans="2:8">
      <c r="B169" t="str">
        <f ca="1">IF('MASTER RECORD'!F174="Active",'MASTER RECORD'!C174,"")</f>
        <v/>
      </c>
      <c r="H169" t="str">
        <f>IF('MASTER RECORD'!G174="Sold",'MASTER RECORD'!C174,"")</f>
        <v/>
      </c>
    </row>
    <row r="170" spans="2:8">
      <c r="B170" t="str">
        <f ca="1">IF('MASTER RECORD'!F175="Active",'MASTER RECORD'!C175,"")</f>
        <v/>
      </c>
      <c r="H170" t="str">
        <f>IF('MASTER RECORD'!G175="Sold",'MASTER RECORD'!C175,"")</f>
        <v/>
      </c>
    </row>
    <row r="171" spans="2:8">
      <c r="B171" t="str">
        <f ca="1">IF('MASTER RECORD'!F176="Active",'MASTER RECORD'!C176,"")</f>
        <v/>
      </c>
      <c r="H171" t="str">
        <f>IF('MASTER RECORD'!G176="Sold",'MASTER RECORD'!C176,"")</f>
        <v/>
      </c>
    </row>
    <row r="172" spans="2:8">
      <c r="B172" t="str">
        <f ca="1">IF('MASTER RECORD'!F177="Active",'MASTER RECORD'!C177,"")</f>
        <v/>
      </c>
      <c r="H172" t="str">
        <f>IF('MASTER RECORD'!G177="Sold",'MASTER RECORD'!C177,"")</f>
        <v/>
      </c>
    </row>
    <row r="173" spans="2:8">
      <c r="B173" t="str">
        <f ca="1">IF('MASTER RECORD'!F178="Active",'MASTER RECORD'!C178,"")</f>
        <v/>
      </c>
      <c r="H173" t="str">
        <f>IF('MASTER RECORD'!G178="Sold",'MASTER RECORD'!C178,"")</f>
        <v/>
      </c>
    </row>
    <row r="174" spans="2:8">
      <c r="B174" t="str">
        <f ca="1">IF('MASTER RECORD'!F179="Active",'MASTER RECORD'!C179,"")</f>
        <v/>
      </c>
      <c r="H174" t="str">
        <f>IF('MASTER RECORD'!G179="Sold",'MASTER RECORD'!C179,"")</f>
        <v/>
      </c>
    </row>
    <row r="175" spans="2:8">
      <c r="B175" t="str">
        <f ca="1">IF('MASTER RECORD'!F180="Active",'MASTER RECORD'!C180,"")</f>
        <v/>
      </c>
      <c r="H175" t="str">
        <f>IF('MASTER RECORD'!G180="Sold",'MASTER RECORD'!C180,"")</f>
        <v/>
      </c>
    </row>
    <row r="176" spans="2:8">
      <c r="B176" t="str">
        <f ca="1">IF('MASTER RECORD'!F181="Active",'MASTER RECORD'!C181,"")</f>
        <v/>
      </c>
      <c r="H176" t="str">
        <f>IF('MASTER RECORD'!G181="Sold",'MASTER RECORD'!C181,"")</f>
        <v/>
      </c>
    </row>
    <row r="177" spans="2:8">
      <c r="B177" t="str">
        <f ca="1">IF('MASTER RECORD'!F182="Active",'MASTER RECORD'!C182,"")</f>
        <v/>
      </c>
      <c r="H177" t="str">
        <f>IF('MASTER RECORD'!G182="Sold",'MASTER RECORD'!C182,"")</f>
        <v/>
      </c>
    </row>
    <row r="178" spans="2:8">
      <c r="B178" t="str">
        <f ca="1">IF('MASTER RECORD'!F183="Active",'MASTER RECORD'!C183,"")</f>
        <v/>
      </c>
      <c r="H178" t="str">
        <f>IF('MASTER RECORD'!G183="Sold",'MASTER RECORD'!C183,"")</f>
        <v/>
      </c>
    </row>
    <row r="179" spans="2:8">
      <c r="B179" t="str">
        <f ca="1">IF('MASTER RECORD'!F184="Active",'MASTER RECORD'!C184,"")</f>
        <v/>
      </c>
      <c r="H179" t="str">
        <f>IF('MASTER RECORD'!G184="Sold",'MASTER RECORD'!C184,"")</f>
        <v/>
      </c>
    </row>
    <row r="180" spans="2:8">
      <c r="B180" t="str">
        <f ca="1">IF('MASTER RECORD'!F185="Active",'MASTER RECORD'!C185,"")</f>
        <v/>
      </c>
      <c r="H180" t="str">
        <f>IF('MASTER RECORD'!G185="Sold",'MASTER RECORD'!C185,"")</f>
        <v/>
      </c>
    </row>
    <row r="181" spans="2:8">
      <c r="B181" t="str">
        <f ca="1">IF('MASTER RECORD'!F186="Active",'MASTER RECORD'!C186,"")</f>
        <v/>
      </c>
      <c r="H181" t="str">
        <f>IF('MASTER RECORD'!G186="Sold",'MASTER RECORD'!C186,"")</f>
        <v/>
      </c>
    </row>
    <row r="182" spans="2:8">
      <c r="B182" t="str">
        <f ca="1">IF('MASTER RECORD'!F187="Active",'MASTER RECORD'!C187,"")</f>
        <v/>
      </c>
      <c r="H182" t="str">
        <f>IF('MASTER RECORD'!G187="Sold",'MASTER RECORD'!C187,"")</f>
        <v/>
      </c>
    </row>
    <row r="183" spans="2:8">
      <c r="B183" t="str">
        <f ca="1">IF('MASTER RECORD'!F188="Active",'MASTER RECORD'!C188,"")</f>
        <v/>
      </c>
      <c r="H183" t="str">
        <f>IF('MASTER RECORD'!G188="Sold",'MASTER RECORD'!C188,"")</f>
        <v/>
      </c>
    </row>
    <row r="184" spans="2:8">
      <c r="B184" t="str">
        <f ca="1">IF('MASTER RECORD'!F189="Active",'MASTER RECORD'!C189,"")</f>
        <v/>
      </c>
      <c r="H184" t="str">
        <f>IF('MASTER RECORD'!G189="Sold",'MASTER RECORD'!C189,"")</f>
        <v/>
      </c>
    </row>
    <row r="185" spans="2:8">
      <c r="B185" t="str">
        <f ca="1">IF('MASTER RECORD'!F190="Active",'MASTER RECORD'!C190,"")</f>
        <v/>
      </c>
      <c r="H185" t="str">
        <f>IF('MASTER RECORD'!G190="Sold",'MASTER RECORD'!C190,"")</f>
        <v/>
      </c>
    </row>
    <row r="186" spans="2:8">
      <c r="B186" t="str">
        <f ca="1">IF('MASTER RECORD'!F191="Active",'MASTER RECORD'!C191,"")</f>
        <v/>
      </c>
      <c r="H186" t="str">
        <f>IF('MASTER RECORD'!G191="Sold",'MASTER RECORD'!C191,"")</f>
        <v/>
      </c>
    </row>
    <row r="187" spans="2:8">
      <c r="B187" t="str">
        <f ca="1">IF('MASTER RECORD'!F192="Active",'MASTER RECORD'!C192,"")</f>
        <v/>
      </c>
      <c r="H187" t="str">
        <f>IF('MASTER RECORD'!G192="Sold",'MASTER RECORD'!C192,"")</f>
        <v/>
      </c>
    </row>
    <row r="188" spans="2:8">
      <c r="B188" t="str">
        <f ca="1">IF('MASTER RECORD'!F193="Active",'MASTER RECORD'!C193,"")</f>
        <v/>
      </c>
      <c r="H188" t="str">
        <f>IF('MASTER RECORD'!G193="Sold",'MASTER RECORD'!C193,"")</f>
        <v/>
      </c>
    </row>
    <row r="189" spans="2:8">
      <c r="B189" t="str">
        <f ca="1">IF('MASTER RECORD'!F194="Active",'MASTER RECORD'!C194,"")</f>
        <v/>
      </c>
      <c r="H189" t="str">
        <f>IF('MASTER RECORD'!G194="Sold",'MASTER RECORD'!C194,"")</f>
        <v/>
      </c>
    </row>
    <row r="190" spans="2:8">
      <c r="B190" t="str">
        <f ca="1">IF('MASTER RECORD'!F195="Active",'MASTER RECORD'!C195,"")</f>
        <v/>
      </c>
      <c r="H190" t="str">
        <f>IF('MASTER RECORD'!G195="Sold",'MASTER RECORD'!C195,"")</f>
        <v/>
      </c>
    </row>
    <row r="191" spans="2:8">
      <c r="B191" t="str">
        <f ca="1">IF('MASTER RECORD'!F196="Active",'MASTER RECORD'!C196,"")</f>
        <v/>
      </c>
      <c r="H191" t="str">
        <f>IF('MASTER RECORD'!G196="Sold",'MASTER RECORD'!C196,"")</f>
        <v/>
      </c>
    </row>
    <row r="192" spans="2:8">
      <c r="B192" t="str">
        <f ca="1">IF('MASTER RECORD'!F197="Active",'MASTER RECORD'!C197,"")</f>
        <v/>
      </c>
      <c r="H192" t="str">
        <f>IF('MASTER RECORD'!G197="Sold",'MASTER RECORD'!C197,"")</f>
        <v/>
      </c>
    </row>
    <row r="193" spans="2:8">
      <c r="B193" t="str">
        <f ca="1">IF('MASTER RECORD'!F198="Active",'MASTER RECORD'!C198,"")</f>
        <v/>
      </c>
      <c r="H193" t="str">
        <f>IF('MASTER RECORD'!G198="Sold",'MASTER RECORD'!C198,"")</f>
        <v/>
      </c>
    </row>
    <row r="194" spans="2:8">
      <c r="B194" t="str">
        <f ca="1">IF('MASTER RECORD'!F199="Active",'MASTER RECORD'!C199,"")</f>
        <v/>
      </c>
      <c r="H194" t="str">
        <f>IF('MASTER RECORD'!G199="Sold",'MASTER RECORD'!C199,"")</f>
        <v/>
      </c>
    </row>
    <row r="195" spans="2:8">
      <c r="B195" t="str">
        <f ca="1">IF('MASTER RECORD'!F200="Active",'MASTER RECORD'!C200,"")</f>
        <v/>
      </c>
      <c r="H195" t="str">
        <f>IF('MASTER RECORD'!G200="Sold",'MASTER RECORD'!C200,"")</f>
        <v/>
      </c>
    </row>
    <row r="196" spans="2:8">
      <c r="B196" t="str">
        <f ca="1">IF('MASTER RECORD'!F201="Active",'MASTER RECORD'!C201,"")</f>
        <v/>
      </c>
      <c r="H196" t="str">
        <f>IF('MASTER RECORD'!G201="Sold",'MASTER RECORD'!C201,"")</f>
        <v/>
      </c>
    </row>
    <row r="197" spans="2:8">
      <c r="B197" t="str">
        <f ca="1">IF('MASTER RECORD'!F202="Active",'MASTER RECORD'!C202,"")</f>
        <v/>
      </c>
      <c r="H197" t="str">
        <f>IF('MASTER RECORD'!G202="Sold",'MASTER RECORD'!C202,"")</f>
        <v/>
      </c>
    </row>
    <row r="198" spans="2:8">
      <c r="B198" t="str">
        <f ca="1">IF('MASTER RECORD'!F203="Active",'MASTER RECORD'!C203,"")</f>
        <v/>
      </c>
      <c r="H198" t="str">
        <f>IF('MASTER RECORD'!G203="Sold",'MASTER RECORD'!C203,"")</f>
        <v/>
      </c>
    </row>
    <row r="199" spans="2:8">
      <c r="B199" t="str">
        <f ca="1">IF('MASTER RECORD'!F204="Active",'MASTER RECORD'!C204,"")</f>
        <v/>
      </c>
      <c r="H199" t="str">
        <f>IF('MASTER RECORD'!G204="Sold",'MASTER RECORD'!C204,"")</f>
        <v/>
      </c>
    </row>
    <row r="200" spans="2:8">
      <c r="B200" t="str">
        <f ca="1">IF('MASTER RECORD'!F205="Active",'MASTER RECORD'!C205,"")</f>
        <v/>
      </c>
      <c r="H200" t="str">
        <f>IF('MASTER RECORD'!G205="Sold",'MASTER RECORD'!C205,"")</f>
        <v/>
      </c>
    </row>
    <row r="201" spans="2:8">
      <c r="B201" t="str">
        <f ca="1">IF('MASTER RECORD'!F206="Active",'MASTER RECORD'!C206,"")</f>
        <v/>
      </c>
      <c r="H201" t="str">
        <f>IF('MASTER RECORD'!G206="Sold",'MASTER RECORD'!C206,"")</f>
        <v/>
      </c>
    </row>
    <row r="202" spans="2:8">
      <c r="B202" t="str">
        <f ca="1">IF('MASTER RECORD'!F207="Active",'MASTER RECORD'!C207,"")</f>
        <v/>
      </c>
      <c r="H202" t="str">
        <f>IF('MASTER RECORD'!G207="Sold",'MASTER RECORD'!C207,"")</f>
        <v/>
      </c>
    </row>
    <row r="203" spans="2:8">
      <c r="B203" t="str">
        <f ca="1">IF('MASTER RECORD'!F208="Active",'MASTER RECORD'!C208,"")</f>
        <v/>
      </c>
      <c r="H203" t="str">
        <f>IF('MASTER RECORD'!G208="Sold",'MASTER RECORD'!C208,"")</f>
        <v/>
      </c>
    </row>
    <row r="204" spans="2:8">
      <c r="B204" t="str">
        <f ca="1">IF('MASTER RECORD'!F209="Active",'MASTER RECORD'!C209,"")</f>
        <v/>
      </c>
      <c r="H204" t="str">
        <f>IF('MASTER RECORD'!G209="Sold",'MASTER RECORD'!C209,"")</f>
        <v/>
      </c>
    </row>
    <row r="205" spans="2:8">
      <c r="B205" t="str">
        <f ca="1">IF('MASTER RECORD'!F210="Active",'MASTER RECORD'!C210,"")</f>
        <v/>
      </c>
      <c r="H205" t="str">
        <f>IF('MASTER RECORD'!G210="Sold",'MASTER RECORD'!C210,"")</f>
        <v/>
      </c>
    </row>
    <row r="206" spans="2:8">
      <c r="B206" t="str">
        <f ca="1">IF('MASTER RECORD'!F211="Active",'MASTER RECORD'!C211,"")</f>
        <v/>
      </c>
      <c r="H206" t="str">
        <f>IF('MASTER RECORD'!G211="Sold",'MASTER RECORD'!C211,"")</f>
        <v/>
      </c>
    </row>
    <row r="207" spans="2:8">
      <c r="B207" t="str">
        <f ca="1">IF('MASTER RECORD'!F212="Active",'MASTER RECORD'!C212,"")</f>
        <v/>
      </c>
      <c r="H207" t="str">
        <f>IF('MASTER RECORD'!G212="Sold",'MASTER RECORD'!C212,"")</f>
        <v/>
      </c>
    </row>
    <row r="208" spans="2:8">
      <c r="B208" t="str">
        <f ca="1">IF('MASTER RECORD'!F213="Active",'MASTER RECORD'!C213,"")</f>
        <v/>
      </c>
      <c r="H208" t="str">
        <f>IF('MASTER RECORD'!G213="Sold",'MASTER RECORD'!C213,"")</f>
        <v/>
      </c>
    </row>
    <row r="209" spans="2:8">
      <c r="B209" t="str">
        <f ca="1">IF('MASTER RECORD'!F214="Active",'MASTER RECORD'!C214,"")</f>
        <v/>
      </c>
      <c r="H209" t="str">
        <f>IF('MASTER RECORD'!G214="Sold",'MASTER RECORD'!C214,"")</f>
        <v/>
      </c>
    </row>
    <row r="210" spans="2:8">
      <c r="B210" t="str">
        <f ca="1">IF('MASTER RECORD'!F215="Active",'MASTER RECORD'!C215,"")</f>
        <v/>
      </c>
      <c r="H210" t="str">
        <f>IF('MASTER RECORD'!G215="Sold",'MASTER RECORD'!C215,"")</f>
        <v/>
      </c>
    </row>
    <row r="211" spans="2:8">
      <c r="B211" t="str">
        <f ca="1">IF('MASTER RECORD'!F216="Active",'MASTER RECORD'!C216,"")</f>
        <v/>
      </c>
      <c r="H211" t="str">
        <f>IF('MASTER RECORD'!G216="Sold",'MASTER RECORD'!C216,"")</f>
        <v/>
      </c>
    </row>
    <row r="212" spans="2:8">
      <c r="B212" t="str">
        <f ca="1">IF('MASTER RECORD'!F217="Active",'MASTER RECORD'!C217,"")</f>
        <v/>
      </c>
      <c r="H212" t="str">
        <f>IF('MASTER RECORD'!G217="Sold",'MASTER RECORD'!C217,"")</f>
        <v/>
      </c>
    </row>
    <row r="213" spans="2:8">
      <c r="B213" t="str">
        <f ca="1">IF('MASTER RECORD'!F218="Active",'MASTER RECORD'!C218,"")</f>
        <v/>
      </c>
      <c r="H213" t="str">
        <f>IF('MASTER RECORD'!G218="Sold",'MASTER RECORD'!C218,"")</f>
        <v/>
      </c>
    </row>
    <row r="214" spans="2:8">
      <c r="B214" t="str">
        <f ca="1">IF('MASTER RECORD'!F219="Active",'MASTER RECORD'!C219,"")</f>
        <v/>
      </c>
      <c r="H214" t="str">
        <f>IF('MASTER RECORD'!G219="Sold",'MASTER RECORD'!C219,"")</f>
        <v/>
      </c>
    </row>
    <row r="215" spans="2:8">
      <c r="B215" t="str">
        <f ca="1">IF('MASTER RECORD'!F220="Active",'MASTER RECORD'!C220,"")</f>
        <v/>
      </c>
      <c r="H215" t="str">
        <f>IF('MASTER RECORD'!G220="Sold",'MASTER RECORD'!C220,"")</f>
        <v/>
      </c>
    </row>
    <row r="216" spans="2:8">
      <c r="B216" t="str">
        <f ca="1">IF('MASTER RECORD'!F221="Active",'MASTER RECORD'!C221,"")</f>
        <v/>
      </c>
      <c r="H216" t="str">
        <f>IF('MASTER RECORD'!G221="Sold",'MASTER RECORD'!C221,"")</f>
        <v/>
      </c>
    </row>
    <row r="217" spans="2:8">
      <c r="B217" t="str">
        <f ca="1">IF('MASTER RECORD'!F222="Active",'MASTER RECORD'!C222,"")</f>
        <v/>
      </c>
      <c r="H217" t="str">
        <f>IF('MASTER RECORD'!G222="Sold",'MASTER RECORD'!C222,"")</f>
        <v/>
      </c>
    </row>
    <row r="218" spans="2:8">
      <c r="B218" t="str">
        <f ca="1">IF('MASTER RECORD'!F223="Active",'MASTER RECORD'!C223,"")</f>
        <v/>
      </c>
      <c r="H218" t="str">
        <f>IF('MASTER RECORD'!G223="Sold",'MASTER RECORD'!C223,"")</f>
        <v/>
      </c>
    </row>
    <row r="219" spans="2:8">
      <c r="B219" t="str">
        <f ca="1">IF('MASTER RECORD'!F224="Active",'MASTER RECORD'!C224,"")</f>
        <v/>
      </c>
      <c r="H219" t="str">
        <f>IF('MASTER RECORD'!G224="Sold",'MASTER RECORD'!C224,"")</f>
        <v/>
      </c>
    </row>
    <row r="220" spans="2:8">
      <c r="B220" t="str">
        <f ca="1">IF('MASTER RECORD'!F225="Active",'MASTER RECORD'!C225,"")</f>
        <v/>
      </c>
      <c r="H220" t="str">
        <f>IF('MASTER RECORD'!G225="Sold",'MASTER RECORD'!C225,"")</f>
        <v/>
      </c>
    </row>
    <row r="221" spans="2:8">
      <c r="B221" t="str">
        <f ca="1">IF('MASTER RECORD'!F226="Active",'MASTER RECORD'!C226,"")</f>
        <v/>
      </c>
      <c r="H221" t="str">
        <f>IF('MASTER RECORD'!G226="Sold",'MASTER RECORD'!C226,"")</f>
        <v/>
      </c>
    </row>
    <row r="222" spans="2:8">
      <c r="B222" t="str">
        <f ca="1">IF('MASTER RECORD'!F227="Active",'MASTER RECORD'!C227,"")</f>
        <v/>
      </c>
      <c r="H222" t="str">
        <f>IF('MASTER RECORD'!G227="Sold",'MASTER RECORD'!C227,"")</f>
        <v/>
      </c>
    </row>
    <row r="223" spans="2:8">
      <c r="B223" t="str">
        <f ca="1">IF('MASTER RECORD'!F228="Active",'MASTER RECORD'!C228,"")</f>
        <v/>
      </c>
      <c r="H223" t="str">
        <f>IF('MASTER RECORD'!G228="Sold",'MASTER RECORD'!C228,"")</f>
        <v/>
      </c>
    </row>
    <row r="224" spans="2:8">
      <c r="B224" t="str">
        <f ca="1">IF('MASTER RECORD'!F229="Active",'MASTER RECORD'!C229,"")</f>
        <v/>
      </c>
      <c r="H224" t="str">
        <f>IF('MASTER RECORD'!G229="Sold",'MASTER RECORD'!C229,"")</f>
        <v/>
      </c>
    </row>
    <row r="225" spans="2:8">
      <c r="B225" t="str">
        <f ca="1">IF('MASTER RECORD'!F230="Active",'MASTER RECORD'!C230,"")</f>
        <v/>
      </c>
      <c r="H225" t="str">
        <f>IF('MASTER RECORD'!G230="Sold",'MASTER RECORD'!C230,"")</f>
        <v/>
      </c>
    </row>
    <row r="226" spans="2:8">
      <c r="B226" t="str">
        <f ca="1">IF('MASTER RECORD'!F231="Active",'MASTER RECORD'!C231,"")</f>
        <v/>
      </c>
      <c r="H226" t="str">
        <f>IF('MASTER RECORD'!G231="Sold",'MASTER RECORD'!C231,"")</f>
        <v/>
      </c>
    </row>
    <row r="227" spans="2:8">
      <c r="B227" t="str">
        <f ca="1">IF('MASTER RECORD'!F232="Active",'MASTER RECORD'!C232,"")</f>
        <v/>
      </c>
      <c r="H227" t="str">
        <f>IF('MASTER RECORD'!G232="Sold",'MASTER RECORD'!C232,"")</f>
        <v/>
      </c>
    </row>
    <row r="228" spans="2:8">
      <c r="B228" t="str">
        <f ca="1">IF('MASTER RECORD'!F233="Active",'MASTER RECORD'!C233,"")</f>
        <v/>
      </c>
      <c r="H228" t="str">
        <f>IF('MASTER RECORD'!G233="Sold",'MASTER RECORD'!C233,"")</f>
        <v/>
      </c>
    </row>
    <row r="229" spans="2:8">
      <c r="B229" t="str">
        <f ca="1">IF('MASTER RECORD'!F234="Active",'MASTER RECORD'!C234,"")</f>
        <v/>
      </c>
      <c r="H229" t="str">
        <f>IF('MASTER RECORD'!G234="Sold",'MASTER RECORD'!C234,"")</f>
        <v/>
      </c>
    </row>
    <row r="230" spans="2:8">
      <c r="B230" t="str">
        <f ca="1">IF('MASTER RECORD'!F235="Active",'MASTER RECORD'!C235,"")</f>
        <v/>
      </c>
      <c r="H230" t="str">
        <f>IF('MASTER RECORD'!G235="Sold",'MASTER RECORD'!C235,"")</f>
        <v/>
      </c>
    </row>
    <row r="231" spans="2:8">
      <c r="B231" t="str">
        <f ca="1">IF('MASTER RECORD'!F236="Active",'MASTER RECORD'!C236,"")</f>
        <v/>
      </c>
      <c r="H231" t="str">
        <f>IF('MASTER RECORD'!G236="Sold",'MASTER RECORD'!C236,"")</f>
        <v/>
      </c>
    </row>
    <row r="232" spans="2:8">
      <c r="B232" t="str">
        <f ca="1">IF('MASTER RECORD'!F237="Active",'MASTER RECORD'!C237,"")</f>
        <v/>
      </c>
      <c r="H232" t="str">
        <f>IF('MASTER RECORD'!G237="Sold",'MASTER RECORD'!C237,"")</f>
        <v/>
      </c>
    </row>
    <row r="233" spans="2:8">
      <c r="B233" t="str">
        <f ca="1">IF('MASTER RECORD'!F238="Active",'MASTER RECORD'!C238,"")</f>
        <v/>
      </c>
      <c r="H233" t="str">
        <f>IF('MASTER RECORD'!G238="Sold",'MASTER RECORD'!C238,"")</f>
        <v/>
      </c>
    </row>
    <row r="234" spans="2:8">
      <c r="B234" t="str">
        <f ca="1">IF('MASTER RECORD'!F239="Active",'MASTER RECORD'!C239,"")</f>
        <v/>
      </c>
      <c r="H234" t="str">
        <f>IF('MASTER RECORD'!G239="Sold",'MASTER RECORD'!C239,"")</f>
        <v/>
      </c>
    </row>
    <row r="235" spans="2:8">
      <c r="B235" t="str">
        <f ca="1">IF('MASTER RECORD'!F240="Active",'MASTER RECORD'!C240,"")</f>
        <v/>
      </c>
      <c r="H235" t="str">
        <f>IF('MASTER RECORD'!G240="Sold",'MASTER RECORD'!C240,"")</f>
        <v/>
      </c>
    </row>
    <row r="236" spans="2:8">
      <c r="B236" t="str">
        <f ca="1">IF('MASTER RECORD'!F241="Active",'MASTER RECORD'!C241,"")</f>
        <v/>
      </c>
      <c r="H236" t="str">
        <f>IF('MASTER RECORD'!G241="Sold",'MASTER RECORD'!C241,"")</f>
        <v/>
      </c>
    </row>
    <row r="237" spans="2:8">
      <c r="B237" t="str">
        <f ca="1">IF('MASTER RECORD'!F242="Active",'MASTER RECORD'!C242,"")</f>
        <v/>
      </c>
      <c r="H237" t="str">
        <f>IF('MASTER RECORD'!G242="Sold",'MASTER RECORD'!C242,"")</f>
        <v/>
      </c>
    </row>
    <row r="238" spans="2:8">
      <c r="B238" t="str">
        <f ca="1">IF('MASTER RECORD'!F243="Active",'MASTER RECORD'!C243,"")</f>
        <v/>
      </c>
      <c r="H238" t="str">
        <f>IF('MASTER RECORD'!G243="Sold",'MASTER RECORD'!C243,"")</f>
        <v/>
      </c>
    </row>
    <row r="239" spans="2:8">
      <c r="B239" t="str">
        <f ca="1">IF('MASTER RECORD'!F244="Active",'MASTER RECORD'!C244,"")</f>
        <v/>
      </c>
      <c r="H239" t="str">
        <f>IF('MASTER RECORD'!G244="Sold",'MASTER RECORD'!C244,"")</f>
        <v/>
      </c>
    </row>
    <row r="240" spans="2:8">
      <c r="B240" t="str">
        <f ca="1">IF('MASTER RECORD'!F245="Active",'MASTER RECORD'!C245,"")</f>
        <v/>
      </c>
      <c r="H240" t="str">
        <f>IF('MASTER RECORD'!G245="Sold",'MASTER RECORD'!C245,"")</f>
        <v/>
      </c>
    </row>
    <row r="241" spans="2:8">
      <c r="B241" t="str">
        <f ca="1">IF('MASTER RECORD'!F246="Active",'MASTER RECORD'!C246,"")</f>
        <v/>
      </c>
      <c r="H241" t="str">
        <f>IF('MASTER RECORD'!G246="Sold",'MASTER RECORD'!C246,"")</f>
        <v/>
      </c>
    </row>
    <row r="242" spans="2:8">
      <c r="B242" t="str">
        <f ca="1">IF('MASTER RECORD'!F247="Active",'MASTER RECORD'!C247,"")</f>
        <v/>
      </c>
      <c r="H242" t="str">
        <f>IF('MASTER RECORD'!G247="Sold",'MASTER RECORD'!C247,"")</f>
        <v/>
      </c>
    </row>
    <row r="243" spans="2:8">
      <c r="B243" t="str">
        <f ca="1">IF('MASTER RECORD'!F248="Active",'MASTER RECORD'!C248,"")</f>
        <v/>
      </c>
      <c r="H243" t="str">
        <f>IF('MASTER RECORD'!G248="Sold",'MASTER RECORD'!C248,"")</f>
        <v/>
      </c>
    </row>
    <row r="244" spans="2:8">
      <c r="B244" t="str">
        <f ca="1">IF('MASTER RECORD'!F249="Active",'MASTER RECORD'!C249,"")</f>
        <v/>
      </c>
      <c r="H244" t="str">
        <f>IF('MASTER RECORD'!G249="Sold",'MASTER RECORD'!C249,"")</f>
        <v/>
      </c>
    </row>
    <row r="245" spans="2:8">
      <c r="B245" t="str">
        <f ca="1">IF('MASTER RECORD'!F250="Active",'MASTER RECORD'!C250,"")</f>
        <v/>
      </c>
      <c r="H245" t="str">
        <f>IF('MASTER RECORD'!G250="Sold",'MASTER RECORD'!C250,"")</f>
        <v/>
      </c>
    </row>
    <row r="246" spans="2:8">
      <c r="B246" t="str">
        <f ca="1">IF('MASTER RECORD'!F251="Active",'MASTER RECORD'!C251,"")</f>
        <v/>
      </c>
      <c r="H246" t="str">
        <f>IF('MASTER RECORD'!G251="Sold",'MASTER RECORD'!C251,"")</f>
        <v/>
      </c>
    </row>
    <row r="247" spans="2:8">
      <c r="B247" t="str">
        <f ca="1">IF('MASTER RECORD'!F252="Active",'MASTER RECORD'!C252,"")</f>
        <v/>
      </c>
      <c r="H247" t="str">
        <f>IF('MASTER RECORD'!G252="Sold",'MASTER RECORD'!C252,"")</f>
        <v/>
      </c>
    </row>
    <row r="248" spans="2:8">
      <c r="B248" t="str">
        <f ca="1">IF('MASTER RECORD'!F253="Active",'MASTER RECORD'!C253,"")</f>
        <v/>
      </c>
      <c r="H248" t="str">
        <f>IF('MASTER RECORD'!G253="Sold",'MASTER RECORD'!C253,"")</f>
        <v/>
      </c>
    </row>
    <row r="249" spans="2:8">
      <c r="B249" t="str">
        <f ca="1">IF('MASTER RECORD'!F254="Active",'MASTER RECORD'!C254,"")</f>
        <v/>
      </c>
      <c r="H249" t="str">
        <f>IF('MASTER RECORD'!G254="Sold",'MASTER RECORD'!C254,"")</f>
        <v/>
      </c>
    </row>
    <row r="250" spans="2:8">
      <c r="B250" t="str">
        <f ca="1">IF('MASTER RECORD'!F255="Active",'MASTER RECORD'!C255,"")</f>
        <v/>
      </c>
      <c r="H250" t="str">
        <f>IF('MASTER RECORD'!G255="Sold",'MASTER RECORD'!C255,"")</f>
        <v/>
      </c>
    </row>
    <row r="251" spans="2:8">
      <c r="B251" t="str">
        <f ca="1">IF('MASTER RECORD'!F256="Active",'MASTER RECORD'!C256,"")</f>
        <v/>
      </c>
      <c r="H251" t="str">
        <f>IF('MASTER RECORD'!G256="Sold",'MASTER RECORD'!C256,"")</f>
        <v/>
      </c>
    </row>
    <row r="252" spans="2:8">
      <c r="B252" t="str">
        <f ca="1">IF('MASTER RECORD'!F257="Active",'MASTER RECORD'!C257,"")</f>
        <v/>
      </c>
      <c r="H252" t="str">
        <f>IF('MASTER RECORD'!G257="Sold",'MASTER RECORD'!C257,"")</f>
        <v/>
      </c>
    </row>
    <row r="253" spans="2:8">
      <c r="B253" t="str">
        <f ca="1">IF('MASTER RECORD'!F258="Active",'MASTER RECORD'!C258,"")</f>
        <v/>
      </c>
      <c r="H253" t="str">
        <f>IF('MASTER RECORD'!G258="Sold",'MASTER RECORD'!C258,"")</f>
        <v/>
      </c>
    </row>
    <row r="254" spans="2:8">
      <c r="B254" t="str">
        <f ca="1">IF('MASTER RECORD'!F259="Active",'MASTER RECORD'!C259,"")</f>
        <v/>
      </c>
      <c r="H254" t="str">
        <f>IF('MASTER RECORD'!G259="Sold",'MASTER RECORD'!C259,"")</f>
        <v/>
      </c>
    </row>
    <row r="255" spans="2:8">
      <c r="B255" t="str">
        <f ca="1">IF('MASTER RECORD'!F260="Active",'MASTER RECORD'!C260,"")</f>
        <v/>
      </c>
      <c r="H255" t="str">
        <f>IF('MASTER RECORD'!G260="Sold",'MASTER RECORD'!C260,"")</f>
        <v/>
      </c>
    </row>
    <row r="256" spans="2:8">
      <c r="B256" t="str">
        <f ca="1">IF('MASTER RECORD'!F261="Active",'MASTER RECORD'!C261,"")</f>
        <v/>
      </c>
      <c r="H256" t="str">
        <f>IF('MASTER RECORD'!G261="Sold",'MASTER RECORD'!C261,"")</f>
        <v/>
      </c>
    </row>
    <row r="257" spans="2:8">
      <c r="B257" t="str">
        <f ca="1">IF('MASTER RECORD'!F262="Active",'MASTER RECORD'!C262,"")</f>
        <v/>
      </c>
      <c r="H257" t="str">
        <f>IF('MASTER RECORD'!G262="Sold",'MASTER RECORD'!C262,"")</f>
        <v/>
      </c>
    </row>
    <row r="258" spans="2:8">
      <c r="B258" t="str">
        <f ca="1">IF('MASTER RECORD'!F263="Active",'MASTER RECORD'!C263,"")</f>
        <v/>
      </c>
      <c r="H258" t="str">
        <f>IF('MASTER RECORD'!G263="Sold",'MASTER RECORD'!C263,"")</f>
        <v/>
      </c>
    </row>
    <row r="259" spans="2:8">
      <c r="B259" t="str">
        <f ca="1">IF('MASTER RECORD'!F264="Active",'MASTER RECORD'!C264,"")</f>
        <v/>
      </c>
      <c r="H259" t="str">
        <f>IF('MASTER RECORD'!G264="Sold",'MASTER RECORD'!C264,"")</f>
        <v/>
      </c>
    </row>
    <row r="260" spans="2:8">
      <c r="B260" t="str">
        <f ca="1">IF('MASTER RECORD'!F265="Active",'MASTER RECORD'!C265,"")</f>
        <v/>
      </c>
      <c r="H260" t="str">
        <f>IF('MASTER RECORD'!G265="Sold",'MASTER RECORD'!C265,"")</f>
        <v/>
      </c>
    </row>
    <row r="261" spans="2:8">
      <c r="B261" t="str">
        <f ca="1">IF('MASTER RECORD'!F266="Active",'MASTER RECORD'!C266,"")</f>
        <v/>
      </c>
      <c r="H261" t="str">
        <f>IF('MASTER RECORD'!G266="Sold",'MASTER RECORD'!C266,"")</f>
        <v/>
      </c>
    </row>
    <row r="262" spans="2:8">
      <c r="B262" t="str">
        <f ca="1">IF('MASTER RECORD'!F267="Active",'MASTER RECORD'!C267,"")</f>
        <v/>
      </c>
      <c r="H262" t="str">
        <f>IF('MASTER RECORD'!G267="Sold",'MASTER RECORD'!C267,"")</f>
        <v/>
      </c>
    </row>
    <row r="263" spans="2:8">
      <c r="B263" t="str">
        <f ca="1">IF('MASTER RECORD'!F268="Active",'MASTER RECORD'!C268,"")</f>
        <v/>
      </c>
      <c r="H263" t="str">
        <f>IF('MASTER RECORD'!G268="Sold",'MASTER RECORD'!C268,"")</f>
        <v/>
      </c>
    </row>
    <row r="264" spans="2:8">
      <c r="B264" t="str">
        <f ca="1">IF('MASTER RECORD'!F269="Active",'MASTER RECORD'!C269,"")</f>
        <v/>
      </c>
      <c r="H264" t="str">
        <f>IF('MASTER RECORD'!G269="Sold",'MASTER RECORD'!C269,"")</f>
        <v/>
      </c>
    </row>
    <row r="265" spans="2:8">
      <c r="B265" t="str">
        <f ca="1">IF('MASTER RECORD'!F270="Active",'MASTER RECORD'!C270,"")</f>
        <v/>
      </c>
      <c r="H265" t="str">
        <f>IF('MASTER RECORD'!G270="Sold",'MASTER RECORD'!C270,"")</f>
        <v/>
      </c>
    </row>
    <row r="266" spans="2:8">
      <c r="B266" t="str">
        <f ca="1">IF('MASTER RECORD'!F271="Active",'MASTER RECORD'!C271,"")</f>
        <v/>
      </c>
      <c r="H266" t="str">
        <f>IF('MASTER RECORD'!G271="Sold",'MASTER RECORD'!C271,"")</f>
        <v/>
      </c>
    </row>
    <row r="267" spans="2:8">
      <c r="B267" t="str">
        <f ca="1">IF('MASTER RECORD'!F272="Active",'MASTER RECORD'!C272,"")</f>
        <v/>
      </c>
      <c r="H267" t="str">
        <f>IF('MASTER RECORD'!G272="Sold",'MASTER RECORD'!C272,"")</f>
        <v/>
      </c>
    </row>
    <row r="268" spans="2:8">
      <c r="B268" t="str">
        <f ca="1">IF('MASTER RECORD'!F273="Active",'MASTER RECORD'!C273,"")</f>
        <v/>
      </c>
      <c r="H268" t="str">
        <f>IF('MASTER RECORD'!G273="Sold",'MASTER RECORD'!C273,"")</f>
        <v/>
      </c>
    </row>
    <row r="269" spans="2:8">
      <c r="B269" t="str">
        <f ca="1">IF('MASTER RECORD'!F274="Active",'MASTER RECORD'!C274,"")</f>
        <v/>
      </c>
      <c r="H269" t="str">
        <f>IF('MASTER RECORD'!G274="Sold",'MASTER RECORD'!C274,"")</f>
        <v/>
      </c>
    </row>
    <row r="270" spans="2:8">
      <c r="B270" t="str">
        <f ca="1">IF('MASTER RECORD'!F275="Active",'MASTER RECORD'!C275,"")</f>
        <v/>
      </c>
      <c r="H270" t="str">
        <f>IF('MASTER RECORD'!G275="Sold",'MASTER RECORD'!C275,"")</f>
        <v/>
      </c>
    </row>
    <row r="271" spans="2:8">
      <c r="B271" t="str">
        <f ca="1">IF('MASTER RECORD'!F276="Active",'MASTER RECORD'!C276,"")</f>
        <v/>
      </c>
      <c r="H271" t="str">
        <f>IF('MASTER RECORD'!G276="Sold",'MASTER RECORD'!C276,"")</f>
        <v/>
      </c>
    </row>
    <row r="272" spans="2:8">
      <c r="B272" t="str">
        <f ca="1">IF('MASTER RECORD'!F277="Active",'MASTER RECORD'!C277,"")</f>
        <v/>
      </c>
      <c r="H272" t="str">
        <f>IF('MASTER RECORD'!G277="Sold",'MASTER RECORD'!C277,"")</f>
        <v/>
      </c>
    </row>
    <row r="273" spans="2:8">
      <c r="B273" t="str">
        <f ca="1">IF('MASTER RECORD'!F278="Active",'MASTER RECORD'!C278,"")</f>
        <v/>
      </c>
      <c r="H273" t="str">
        <f>IF('MASTER RECORD'!G278="Sold",'MASTER RECORD'!C278,"")</f>
        <v/>
      </c>
    </row>
    <row r="274" spans="2:8">
      <c r="B274" t="str">
        <f ca="1">IF('MASTER RECORD'!F279="Active",'MASTER RECORD'!C279,"")</f>
        <v/>
      </c>
      <c r="H274" t="str">
        <f>IF('MASTER RECORD'!G279="Sold",'MASTER RECORD'!C279,"")</f>
        <v/>
      </c>
    </row>
    <row r="275" spans="2:8">
      <c r="B275" t="str">
        <f ca="1">IF('MASTER RECORD'!F280="Active",'MASTER RECORD'!C280,"")</f>
        <v/>
      </c>
      <c r="H275" t="str">
        <f>IF('MASTER RECORD'!G280="Sold",'MASTER RECORD'!C280,"")</f>
        <v/>
      </c>
    </row>
    <row r="276" spans="2:8">
      <c r="B276" t="str">
        <f ca="1">IF('MASTER RECORD'!F281="Active",'MASTER RECORD'!C281,"")</f>
        <v/>
      </c>
      <c r="H276" t="str">
        <f>IF('MASTER RECORD'!G281="Sold",'MASTER RECORD'!C281,"")</f>
        <v/>
      </c>
    </row>
    <row r="277" spans="2:8">
      <c r="B277" t="str">
        <f ca="1">IF('MASTER RECORD'!F282="Active",'MASTER RECORD'!C282,"")</f>
        <v/>
      </c>
      <c r="H277" t="str">
        <f>IF('MASTER RECORD'!G282="Sold",'MASTER RECORD'!C282,"")</f>
        <v/>
      </c>
    </row>
    <row r="278" spans="2:8">
      <c r="B278" t="str">
        <f ca="1">IF('MASTER RECORD'!F283="Active",'MASTER RECORD'!C283,"")</f>
        <v/>
      </c>
      <c r="H278" t="str">
        <f>IF('MASTER RECORD'!G283="Sold",'MASTER RECORD'!C283,"")</f>
        <v/>
      </c>
    </row>
    <row r="279" spans="2:8">
      <c r="B279" t="str">
        <f ca="1">IF('MASTER RECORD'!F284="Active",'MASTER RECORD'!C284,"")</f>
        <v/>
      </c>
      <c r="H279" t="str">
        <f>IF('MASTER RECORD'!G284="Sold",'MASTER RECORD'!C284,"")</f>
        <v/>
      </c>
    </row>
    <row r="280" spans="2:8">
      <c r="B280" t="str">
        <f ca="1">IF('MASTER RECORD'!F285="Active",'MASTER RECORD'!C285,"")</f>
        <v/>
      </c>
      <c r="H280" t="str">
        <f>IF('MASTER RECORD'!G285="Sold",'MASTER RECORD'!C285,"")</f>
        <v/>
      </c>
    </row>
    <row r="281" spans="2:8">
      <c r="B281" t="str">
        <f ca="1">IF('MASTER RECORD'!F286="Active",'MASTER RECORD'!C286,"")</f>
        <v/>
      </c>
      <c r="H281" t="str">
        <f>IF('MASTER RECORD'!G286="Sold",'MASTER RECORD'!C286,"")</f>
        <v/>
      </c>
    </row>
    <row r="282" spans="2:8">
      <c r="B282" t="str">
        <f ca="1">IF('MASTER RECORD'!F287="Active",'MASTER RECORD'!C287,"")</f>
        <v/>
      </c>
      <c r="H282" t="str">
        <f>IF('MASTER RECORD'!G287="Sold",'MASTER RECORD'!C287,"")</f>
        <v/>
      </c>
    </row>
    <row r="283" spans="2:8">
      <c r="B283" t="str">
        <f ca="1">IF('MASTER RECORD'!F288="Active",'MASTER RECORD'!C288,"")</f>
        <v/>
      </c>
      <c r="H283" t="str">
        <f>IF('MASTER RECORD'!G288="Sold",'MASTER RECORD'!C288,"")</f>
        <v/>
      </c>
    </row>
    <row r="284" spans="2:8">
      <c r="B284" t="str">
        <f ca="1">IF('MASTER RECORD'!F289="Active",'MASTER RECORD'!C289,"")</f>
        <v/>
      </c>
      <c r="H284" t="str">
        <f>IF('MASTER RECORD'!G289="Sold",'MASTER RECORD'!C289,"")</f>
        <v/>
      </c>
    </row>
    <row r="285" spans="2:8">
      <c r="B285" t="str">
        <f ca="1">IF('MASTER RECORD'!F290="Active",'MASTER RECORD'!C290,"")</f>
        <v/>
      </c>
      <c r="H285" t="str">
        <f>IF('MASTER RECORD'!G290="Sold",'MASTER RECORD'!C290,"")</f>
        <v/>
      </c>
    </row>
    <row r="286" spans="2:8">
      <c r="B286" t="str">
        <f ca="1">IF('MASTER RECORD'!F291="Active",'MASTER RECORD'!C291,"")</f>
        <v/>
      </c>
      <c r="H286" t="str">
        <f>IF('MASTER RECORD'!G291="Sold",'MASTER RECORD'!C291,"")</f>
        <v/>
      </c>
    </row>
    <row r="287" spans="2:8">
      <c r="B287" t="str">
        <f ca="1">IF('MASTER RECORD'!F292="Active",'MASTER RECORD'!C292,"")</f>
        <v/>
      </c>
      <c r="H287" t="str">
        <f>IF('MASTER RECORD'!G292="Sold",'MASTER RECORD'!C292,"")</f>
        <v/>
      </c>
    </row>
    <row r="288" spans="2:8">
      <c r="B288" t="str">
        <f ca="1">IF('MASTER RECORD'!F293="Active",'MASTER RECORD'!C293,"")</f>
        <v/>
      </c>
      <c r="H288" t="str">
        <f>IF('MASTER RECORD'!G293="Sold",'MASTER RECORD'!C293,"")</f>
        <v/>
      </c>
    </row>
    <row r="289" spans="2:8">
      <c r="B289" t="str">
        <f ca="1">IF('MASTER RECORD'!F294="Active",'MASTER RECORD'!C294,"")</f>
        <v/>
      </c>
      <c r="H289" t="str">
        <f>IF('MASTER RECORD'!G294="Sold",'MASTER RECORD'!C294,"")</f>
        <v/>
      </c>
    </row>
    <row r="290" spans="2:8">
      <c r="B290" t="str">
        <f ca="1">IF('MASTER RECORD'!F295="Active",'MASTER RECORD'!C295,"")</f>
        <v/>
      </c>
      <c r="H290" t="str">
        <f>IF('MASTER RECORD'!G295="Sold",'MASTER RECORD'!C295,"")</f>
        <v/>
      </c>
    </row>
    <row r="291" spans="2:8">
      <c r="B291" t="str">
        <f ca="1">IF('MASTER RECORD'!F296="Active",'MASTER RECORD'!C296,"")</f>
        <v/>
      </c>
      <c r="H291" t="str">
        <f>IF('MASTER RECORD'!G296="Sold",'MASTER RECORD'!C296,"")</f>
        <v/>
      </c>
    </row>
    <row r="292" spans="2:8">
      <c r="B292" t="str">
        <f ca="1">IF('MASTER RECORD'!F297="Active",'MASTER RECORD'!C297,"")</f>
        <v/>
      </c>
      <c r="H292" t="str">
        <f>IF('MASTER RECORD'!G297="Sold",'MASTER RECORD'!C297,"")</f>
        <v/>
      </c>
    </row>
    <row r="293" spans="2:8">
      <c r="B293" t="str">
        <f ca="1">IF('MASTER RECORD'!F298="Active",'MASTER RECORD'!C298,"")</f>
        <v/>
      </c>
      <c r="H293" t="str">
        <f>IF('MASTER RECORD'!G298="Sold",'MASTER RECORD'!C298,"")</f>
        <v/>
      </c>
    </row>
    <row r="294" spans="2:8">
      <c r="B294" t="str">
        <f ca="1">IF('MASTER RECORD'!F299="Active",'MASTER RECORD'!C299,"")</f>
        <v/>
      </c>
      <c r="H294" t="str">
        <f>IF('MASTER RECORD'!G299="Sold",'MASTER RECORD'!C299,"")</f>
        <v/>
      </c>
    </row>
    <row r="295" spans="2:8">
      <c r="B295" t="str">
        <f ca="1">IF('MASTER RECORD'!F300="Active",'MASTER RECORD'!C300,"")</f>
        <v/>
      </c>
      <c r="H295" t="str">
        <f>IF('MASTER RECORD'!G300="Sold",'MASTER RECORD'!C300,"")</f>
        <v/>
      </c>
    </row>
    <row r="296" spans="2:8">
      <c r="B296" t="str">
        <f ca="1">IF('MASTER RECORD'!F301="Active",'MASTER RECORD'!C301,"")</f>
        <v/>
      </c>
      <c r="H296" t="str">
        <f>IF('MASTER RECORD'!G301="Sold",'MASTER RECORD'!C301,"")</f>
        <v/>
      </c>
    </row>
    <row r="297" spans="2:8">
      <c r="B297" t="str">
        <f ca="1">IF('MASTER RECORD'!F302="Active",'MASTER RECORD'!C302,"")</f>
        <v/>
      </c>
      <c r="H297" t="str">
        <f>IF('MASTER RECORD'!G302="Sold",'MASTER RECORD'!C302,"")</f>
        <v/>
      </c>
    </row>
    <row r="298" spans="2:8">
      <c r="B298" t="str">
        <f ca="1">IF('MASTER RECORD'!F303="Active",'MASTER RECORD'!C303,"")</f>
        <v/>
      </c>
      <c r="H298" t="str">
        <f>IF('MASTER RECORD'!G303="Sold",'MASTER RECORD'!C303,"")</f>
        <v/>
      </c>
    </row>
    <row r="299" spans="2:8">
      <c r="B299" t="str">
        <f ca="1">IF('MASTER RECORD'!F304="Active",'MASTER RECORD'!C304,"")</f>
        <v/>
      </c>
      <c r="H299" t="str">
        <f>IF('MASTER RECORD'!G304="Sold",'MASTER RECORD'!C304,"")</f>
        <v/>
      </c>
    </row>
    <row r="300" spans="2:8">
      <c r="B300" t="str">
        <f ca="1">IF('MASTER RECORD'!F305="Active",'MASTER RECORD'!C305,"")</f>
        <v/>
      </c>
      <c r="H300" t="str">
        <f>IF('MASTER RECORD'!G305="Sold",'MASTER RECORD'!C305,"")</f>
        <v/>
      </c>
    </row>
    <row r="301" spans="2:8">
      <c r="B301" t="str">
        <f ca="1">IF('MASTER RECORD'!F306="Active",'MASTER RECORD'!C306,"")</f>
        <v/>
      </c>
      <c r="H301" t="str">
        <f>IF('MASTER RECORD'!G306="Sold",'MASTER RECORD'!C306,"")</f>
        <v/>
      </c>
    </row>
    <row r="302" spans="2:8">
      <c r="B302" t="str">
        <f ca="1">IF('MASTER RECORD'!F307="Active",'MASTER RECORD'!C307,"")</f>
        <v/>
      </c>
      <c r="H302" t="str">
        <f>IF('MASTER RECORD'!G307="Sold",'MASTER RECORD'!C307,"")</f>
        <v/>
      </c>
    </row>
    <row r="303" spans="2:8">
      <c r="B303" t="str">
        <f ca="1">IF('MASTER RECORD'!F308="Active",'MASTER RECORD'!C308,"")</f>
        <v/>
      </c>
      <c r="H303" t="str">
        <f>IF('MASTER RECORD'!G308="Sold",'MASTER RECORD'!C308,"")</f>
        <v/>
      </c>
    </row>
    <row r="304" spans="2:8">
      <c r="B304" t="str">
        <f ca="1">IF('MASTER RECORD'!F309="Active",'MASTER RECORD'!C309,"")</f>
        <v/>
      </c>
      <c r="H304" t="str">
        <f>IF('MASTER RECORD'!G309="Sold",'MASTER RECORD'!C309,"")</f>
        <v/>
      </c>
    </row>
    <row r="305" spans="2:8">
      <c r="B305" t="str">
        <f ca="1">IF('MASTER RECORD'!F310="Active",'MASTER RECORD'!C310,"")</f>
        <v/>
      </c>
      <c r="H305" t="str">
        <f>IF('MASTER RECORD'!G310="Sold",'MASTER RECORD'!C310,"")</f>
        <v/>
      </c>
    </row>
    <row r="306" spans="2:8">
      <c r="B306" t="str">
        <f ca="1">IF('MASTER RECORD'!F311="Active",'MASTER RECORD'!C311,"")</f>
        <v/>
      </c>
      <c r="H306" t="str">
        <f>IF('MASTER RECORD'!G311="Sold",'MASTER RECORD'!C311,"")</f>
        <v/>
      </c>
    </row>
    <row r="307" spans="2:8">
      <c r="B307" t="str">
        <f ca="1">IF('MASTER RECORD'!F312="Active",'MASTER RECORD'!C312,"")</f>
        <v/>
      </c>
      <c r="H307" t="str">
        <f>IF('MASTER RECORD'!G312="Sold",'MASTER RECORD'!C312,"")</f>
        <v/>
      </c>
    </row>
    <row r="308" spans="2:8">
      <c r="B308" t="str">
        <f ca="1">IF('MASTER RECORD'!F313="Active",'MASTER RECORD'!C313,"")</f>
        <v/>
      </c>
      <c r="H308" t="str">
        <f>IF('MASTER RECORD'!G313="Sold",'MASTER RECORD'!C313,"")</f>
        <v/>
      </c>
    </row>
    <row r="309" spans="2:8">
      <c r="B309" t="str">
        <f ca="1">IF('MASTER RECORD'!F314="Active",'MASTER RECORD'!C314,"")</f>
        <v/>
      </c>
      <c r="H309" t="str">
        <f>IF('MASTER RECORD'!G314="Sold",'MASTER RECORD'!C314,"")</f>
        <v/>
      </c>
    </row>
    <row r="310" spans="2:8">
      <c r="B310" t="str">
        <f ca="1">IF('MASTER RECORD'!F315="Active",'MASTER RECORD'!C315,"")</f>
        <v/>
      </c>
      <c r="H310" t="str">
        <f>IF('MASTER RECORD'!G315="Sold",'MASTER RECORD'!C315,"")</f>
        <v/>
      </c>
    </row>
    <row r="311" spans="2:8">
      <c r="B311" t="str">
        <f ca="1">IF('MASTER RECORD'!F316="Active",'MASTER RECORD'!C316,"")</f>
        <v/>
      </c>
      <c r="H311" t="str">
        <f>IF('MASTER RECORD'!G316="Sold",'MASTER RECORD'!C316,"")</f>
        <v/>
      </c>
    </row>
    <row r="312" spans="2:8">
      <c r="B312" t="str">
        <f ca="1">IF('MASTER RECORD'!F317="Active",'MASTER RECORD'!C317,"")</f>
        <v/>
      </c>
      <c r="H312" t="str">
        <f>IF('MASTER RECORD'!G317="Sold",'MASTER RECORD'!C317,"")</f>
        <v/>
      </c>
    </row>
    <row r="313" spans="2:8">
      <c r="B313" t="str">
        <f ca="1">IF('MASTER RECORD'!F318="Active",'MASTER RECORD'!C318,"")</f>
        <v/>
      </c>
      <c r="H313" t="str">
        <f>IF('MASTER RECORD'!G318="Sold",'MASTER RECORD'!C318,"")</f>
        <v/>
      </c>
    </row>
    <row r="314" spans="2:8">
      <c r="B314" t="str">
        <f ca="1">IF('MASTER RECORD'!F319="Active",'MASTER RECORD'!C319,"")</f>
        <v/>
      </c>
      <c r="H314" t="str">
        <f>IF('MASTER RECORD'!G319="Sold",'MASTER RECORD'!C319,"")</f>
        <v/>
      </c>
    </row>
    <row r="315" spans="2:8">
      <c r="B315" t="str">
        <f ca="1">IF('MASTER RECORD'!F320="Active",'MASTER RECORD'!C320,"")</f>
        <v/>
      </c>
      <c r="H315" t="str">
        <f>IF('MASTER RECORD'!G320="Sold",'MASTER RECORD'!C320,"")</f>
        <v/>
      </c>
    </row>
    <row r="316" spans="2:8">
      <c r="B316" t="str">
        <f ca="1">IF('MASTER RECORD'!F321="Active",'MASTER RECORD'!C321,"")</f>
        <v/>
      </c>
      <c r="H316" t="str">
        <f>IF('MASTER RECORD'!G321="Sold",'MASTER RECORD'!C321,"")</f>
        <v/>
      </c>
    </row>
    <row r="317" spans="2:8">
      <c r="B317" t="str">
        <f ca="1">IF('MASTER RECORD'!F322="Active",'MASTER RECORD'!C322,"")</f>
        <v/>
      </c>
      <c r="H317" t="str">
        <f>IF('MASTER RECORD'!G322="Sold",'MASTER RECORD'!C322,"")</f>
        <v/>
      </c>
    </row>
    <row r="318" spans="2:8">
      <c r="B318" t="str">
        <f ca="1">IF('MASTER RECORD'!F323="Active",'MASTER RECORD'!C323,"")</f>
        <v/>
      </c>
      <c r="H318" t="str">
        <f>IF('MASTER RECORD'!G323="Sold",'MASTER RECORD'!C323,"")</f>
        <v/>
      </c>
    </row>
    <row r="319" spans="2:8">
      <c r="B319" t="str">
        <f ca="1">IF('MASTER RECORD'!F324="Active",'MASTER RECORD'!C324,"")</f>
        <v/>
      </c>
      <c r="H319" t="str">
        <f>IF('MASTER RECORD'!G324="Sold",'MASTER RECORD'!C324,"")</f>
        <v/>
      </c>
    </row>
    <row r="320" spans="2:8">
      <c r="B320" t="str">
        <f ca="1">IF('MASTER RECORD'!F325="Active",'MASTER RECORD'!C325,"")</f>
        <v/>
      </c>
      <c r="H320" t="str">
        <f>IF('MASTER RECORD'!G325="Sold",'MASTER RECORD'!C325,"")</f>
        <v/>
      </c>
    </row>
    <row r="321" spans="2:8">
      <c r="B321" t="str">
        <f ca="1">IF('MASTER RECORD'!F326="Active",'MASTER RECORD'!C326,"")</f>
        <v/>
      </c>
      <c r="H321" t="str">
        <f>IF('MASTER RECORD'!G326="Sold",'MASTER RECORD'!C326,"")</f>
        <v/>
      </c>
    </row>
    <row r="322" spans="2:8">
      <c r="B322" t="str">
        <f ca="1">IF('MASTER RECORD'!F327="Active",'MASTER RECORD'!C327,"")</f>
        <v/>
      </c>
      <c r="H322" t="str">
        <f>IF('MASTER RECORD'!G327="Sold",'MASTER RECORD'!C327,"")</f>
        <v/>
      </c>
    </row>
    <row r="323" spans="2:8">
      <c r="B323" t="str">
        <f ca="1">IF('MASTER RECORD'!F328="Active",'MASTER RECORD'!C328,"")</f>
        <v/>
      </c>
      <c r="H323" t="str">
        <f>IF('MASTER RECORD'!G328="Sold",'MASTER RECORD'!C328,"")</f>
        <v/>
      </c>
    </row>
    <row r="324" spans="2:8">
      <c r="B324" t="str">
        <f ca="1">IF('MASTER RECORD'!F329="Active",'MASTER RECORD'!C329,"")</f>
        <v/>
      </c>
      <c r="H324" t="str">
        <f>IF('MASTER RECORD'!G329="Sold",'MASTER RECORD'!C329,"")</f>
        <v/>
      </c>
    </row>
    <row r="325" spans="2:8">
      <c r="B325" t="str">
        <f ca="1">IF('MASTER RECORD'!F330="Active",'MASTER RECORD'!C330,"")</f>
        <v/>
      </c>
      <c r="H325" t="str">
        <f>IF('MASTER RECORD'!G330="Sold",'MASTER RECORD'!C330,"")</f>
        <v/>
      </c>
    </row>
    <row r="326" spans="2:8">
      <c r="B326" t="str">
        <f ca="1">IF('MASTER RECORD'!F331="Active",'MASTER RECORD'!C331,"")</f>
        <v/>
      </c>
      <c r="H326" t="str">
        <f>IF('MASTER RECORD'!G331="Sold",'MASTER RECORD'!C331,"")</f>
        <v/>
      </c>
    </row>
    <row r="327" spans="2:8">
      <c r="B327" t="str">
        <f ca="1">IF('MASTER RECORD'!F332="Active",'MASTER RECORD'!C332,"")</f>
        <v/>
      </c>
      <c r="H327" t="str">
        <f>IF('MASTER RECORD'!G332="Sold",'MASTER RECORD'!C332,"")</f>
        <v/>
      </c>
    </row>
    <row r="328" spans="2:8">
      <c r="B328" t="str">
        <f ca="1">IF('MASTER RECORD'!F333="Active",'MASTER RECORD'!C333,"")</f>
        <v/>
      </c>
      <c r="H328" t="str">
        <f>IF('MASTER RECORD'!G333="Sold",'MASTER RECORD'!C333,"")</f>
        <v/>
      </c>
    </row>
    <row r="329" spans="2:8">
      <c r="B329" t="str">
        <f ca="1">IF('MASTER RECORD'!F334="Active",'MASTER RECORD'!C334,"")</f>
        <v/>
      </c>
      <c r="H329" t="str">
        <f>IF('MASTER RECORD'!G334="Sold",'MASTER RECORD'!C334,"")</f>
        <v/>
      </c>
    </row>
    <row r="330" spans="2:8">
      <c r="B330" t="str">
        <f ca="1">IF('MASTER RECORD'!F335="Active",'MASTER RECORD'!C335,"")</f>
        <v/>
      </c>
      <c r="H330" t="str">
        <f>IF('MASTER RECORD'!G335="Sold",'MASTER RECORD'!C335,"")</f>
        <v/>
      </c>
    </row>
    <row r="331" spans="2:8">
      <c r="B331" t="str">
        <f ca="1">IF('MASTER RECORD'!F336="Active",'MASTER RECORD'!C336,"")</f>
        <v/>
      </c>
      <c r="H331" t="str">
        <f>IF('MASTER RECORD'!G336="Sold",'MASTER RECORD'!C336,"")</f>
        <v/>
      </c>
    </row>
    <row r="332" spans="2:8">
      <c r="B332" t="str">
        <f ca="1">IF('MASTER RECORD'!F337="Active",'MASTER RECORD'!C337,"")</f>
        <v/>
      </c>
      <c r="H332" t="str">
        <f>IF('MASTER RECORD'!G337="Sold",'MASTER RECORD'!C337,"")</f>
        <v/>
      </c>
    </row>
    <row r="333" spans="2:8">
      <c r="B333" t="str">
        <f ca="1">IF('MASTER RECORD'!F338="Active",'MASTER RECORD'!C338,"")</f>
        <v/>
      </c>
      <c r="H333" t="str">
        <f>IF('MASTER RECORD'!G338="Sold",'MASTER RECORD'!C338,"")</f>
        <v/>
      </c>
    </row>
    <row r="334" spans="2:8">
      <c r="B334" t="str">
        <f ca="1">IF('MASTER RECORD'!F339="Active",'MASTER RECORD'!C339,"")</f>
        <v/>
      </c>
      <c r="H334" t="str">
        <f>IF('MASTER RECORD'!G339="Sold",'MASTER RECORD'!C339,"")</f>
        <v/>
      </c>
    </row>
    <row r="335" spans="2:8">
      <c r="B335" t="str">
        <f ca="1">IF('MASTER RECORD'!F340="Active",'MASTER RECORD'!C340,"")</f>
        <v/>
      </c>
      <c r="H335" t="str">
        <f>IF('MASTER RECORD'!G340="Sold",'MASTER RECORD'!C340,"")</f>
        <v/>
      </c>
    </row>
    <row r="336" spans="2:8">
      <c r="B336" t="str">
        <f ca="1">IF('MASTER RECORD'!F341="Active",'MASTER RECORD'!C341,"")</f>
        <v/>
      </c>
      <c r="H336" t="str">
        <f>IF('MASTER RECORD'!G341="Sold",'MASTER RECORD'!C341,"")</f>
        <v/>
      </c>
    </row>
    <row r="337" spans="2:8">
      <c r="B337" t="str">
        <f ca="1">IF('MASTER RECORD'!F342="Active",'MASTER RECORD'!C342,"")</f>
        <v/>
      </c>
      <c r="H337" t="str">
        <f>IF('MASTER RECORD'!G342="Sold",'MASTER RECORD'!C342,"")</f>
        <v/>
      </c>
    </row>
    <row r="338" spans="2:8">
      <c r="B338" t="str">
        <f ca="1">IF('MASTER RECORD'!F343="Active",'MASTER RECORD'!C343,"")</f>
        <v/>
      </c>
      <c r="H338" t="str">
        <f>IF('MASTER RECORD'!G343="Sold",'MASTER RECORD'!C343,"")</f>
        <v/>
      </c>
    </row>
    <row r="339" spans="2:8">
      <c r="B339" t="str">
        <f ca="1">IF('MASTER RECORD'!F344="Active",'MASTER RECORD'!C344,"")</f>
        <v/>
      </c>
      <c r="H339" t="str">
        <f>IF('MASTER RECORD'!G344="Sold",'MASTER RECORD'!C344,"")</f>
        <v/>
      </c>
    </row>
    <row r="340" spans="2:8">
      <c r="B340" t="str">
        <f ca="1">IF('MASTER RECORD'!F345="Active",'MASTER RECORD'!C345,"")</f>
        <v/>
      </c>
      <c r="H340" t="str">
        <f>IF('MASTER RECORD'!G345="Sold",'MASTER RECORD'!C345,"")</f>
        <v/>
      </c>
    </row>
    <row r="341" spans="2:8">
      <c r="B341" t="str">
        <f ca="1">IF('MASTER RECORD'!F346="Active",'MASTER RECORD'!C346,"")</f>
        <v/>
      </c>
      <c r="H341" t="str">
        <f>IF('MASTER RECORD'!G346="Sold",'MASTER RECORD'!C346,"")</f>
        <v/>
      </c>
    </row>
    <row r="342" spans="2:8">
      <c r="B342" t="str">
        <f ca="1">IF('MASTER RECORD'!F347="Active",'MASTER RECORD'!C347,"")</f>
        <v/>
      </c>
      <c r="H342" t="str">
        <f>IF('MASTER RECORD'!G347="Sold",'MASTER RECORD'!C347,"")</f>
        <v/>
      </c>
    </row>
    <row r="343" spans="2:8">
      <c r="B343" t="str">
        <f ca="1">IF('MASTER RECORD'!F348="Active",'MASTER RECORD'!C348,"")</f>
        <v/>
      </c>
      <c r="H343" t="str">
        <f>IF('MASTER RECORD'!G348="Sold",'MASTER RECORD'!C348,"")</f>
        <v/>
      </c>
    </row>
    <row r="344" spans="2:8">
      <c r="B344" t="str">
        <f ca="1">IF('MASTER RECORD'!F349="Active",'MASTER RECORD'!C349,"")</f>
        <v/>
      </c>
      <c r="H344" t="str">
        <f>IF('MASTER RECORD'!G349="Sold",'MASTER RECORD'!C349,"")</f>
        <v/>
      </c>
    </row>
    <row r="345" spans="2:8">
      <c r="B345" t="str">
        <f ca="1">IF('MASTER RECORD'!F350="Active",'MASTER RECORD'!C350,"")</f>
        <v/>
      </c>
      <c r="H345" t="str">
        <f>IF('MASTER RECORD'!G350="Sold",'MASTER RECORD'!C350,"")</f>
        <v/>
      </c>
    </row>
    <row r="346" spans="2:8">
      <c r="B346" t="str">
        <f ca="1">IF('MASTER RECORD'!F351="Active",'MASTER RECORD'!C351,"")</f>
        <v/>
      </c>
      <c r="H346" t="str">
        <f>IF('MASTER RECORD'!G351="Sold",'MASTER RECORD'!C351,"")</f>
        <v/>
      </c>
    </row>
    <row r="347" spans="2:8">
      <c r="B347" t="str">
        <f ca="1">IF('MASTER RECORD'!F352="Active",'MASTER RECORD'!C352,"")</f>
        <v/>
      </c>
      <c r="H347" t="str">
        <f>IF('MASTER RECORD'!G352="Sold",'MASTER RECORD'!C352,"")</f>
        <v/>
      </c>
    </row>
    <row r="348" spans="2:8">
      <c r="B348" t="str">
        <f ca="1">IF('MASTER RECORD'!F353="Active",'MASTER RECORD'!C353,"")</f>
        <v/>
      </c>
      <c r="H348" t="str">
        <f>IF('MASTER RECORD'!G353="Sold",'MASTER RECORD'!C353,"")</f>
        <v/>
      </c>
    </row>
    <row r="349" spans="2:8">
      <c r="B349" t="str">
        <f ca="1">IF('MASTER RECORD'!F354="Active",'MASTER RECORD'!C354,"")</f>
        <v/>
      </c>
      <c r="H349" t="str">
        <f>IF('MASTER RECORD'!G354="Sold",'MASTER RECORD'!C354,"")</f>
        <v/>
      </c>
    </row>
    <row r="350" spans="2:8">
      <c r="B350" t="str">
        <f ca="1">IF('MASTER RECORD'!F355="Active",'MASTER RECORD'!C355,"")</f>
        <v/>
      </c>
      <c r="H350" t="str">
        <f>IF('MASTER RECORD'!G355="Sold",'MASTER RECORD'!C355,"")</f>
        <v/>
      </c>
    </row>
    <row r="351" spans="2:8">
      <c r="B351" t="str">
        <f ca="1">IF('MASTER RECORD'!F356="Active",'MASTER RECORD'!C356,"")</f>
        <v/>
      </c>
      <c r="H351" t="str">
        <f>IF('MASTER RECORD'!G356="Sold",'MASTER RECORD'!C356,"")</f>
        <v/>
      </c>
    </row>
    <row r="352" spans="2:8">
      <c r="B352" t="str">
        <f ca="1">IF('MASTER RECORD'!F357="Active",'MASTER RECORD'!C357,"")</f>
        <v/>
      </c>
      <c r="H352" t="str">
        <f>IF('MASTER RECORD'!G357="Sold",'MASTER RECORD'!C357,"")</f>
        <v/>
      </c>
    </row>
    <row r="353" spans="2:8">
      <c r="B353" t="str">
        <f ca="1">IF('MASTER RECORD'!F358="Active",'MASTER RECORD'!C358,"")</f>
        <v/>
      </c>
      <c r="H353" t="str">
        <f>IF('MASTER RECORD'!G358="Sold",'MASTER RECORD'!C358,"")</f>
        <v/>
      </c>
    </row>
    <row r="354" spans="2:8">
      <c r="B354" t="str">
        <f ca="1">IF('MASTER RECORD'!F359="Active",'MASTER RECORD'!C359,"")</f>
        <v/>
      </c>
      <c r="H354" t="str">
        <f>IF('MASTER RECORD'!G359="Sold",'MASTER RECORD'!C359,"")</f>
        <v/>
      </c>
    </row>
    <row r="355" spans="2:8">
      <c r="B355" t="str">
        <f ca="1">IF('MASTER RECORD'!F360="Active",'MASTER RECORD'!C360,"")</f>
        <v/>
      </c>
      <c r="H355" t="str">
        <f>IF('MASTER RECORD'!G360="Sold",'MASTER RECORD'!C360,"")</f>
        <v/>
      </c>
    </row>
    <row r="356" spans="2:8">
      <c r="B356" t="str">
        <f ca="1">IF('MASTER RECORD'!F361="Active",'MASTER RECORD'!C361,"")</f>
        <v/>
      </c>
      <c r="H356" t="str">
        <f>IF('MASTER RECORD'!G361="Sold",'MASTER RECORD'!C361,"")</f>
        <v/>
      </c>
    </row>
    <row r="357" spans="2:8">
      <c r="B357" t="str">
        <f ca="1">IF('MASTER RECORD'!F362="Active",'MASTER RECORD'!C362,"")</f>
        <v/>
      </c>
      <c r="H357" t="str">
        <f>IF('MASTER RECORD'!G362="Sold",'MASTER RECORD'!C362,"")</f>
        <v/>
      </c>
    </row>
    <row r="358" spans="2:8">
      <c r="B358" t="str">
        <f ca="1">IF('MASTER RECORD'!F363="Active",'MASTER RECORD'!C363,"")</f>
        <v/>
      </c>
      <c r="H358" t="str">
        <f>IF('MASTER RECORD'!G363="Sold",'MASTER RECORD'!C363,"")</f>
        <v/>
      </c>
    </row>
    <row r="359" spans="2:8">
      <c r="B359" t="str">
        <f ca="1">IF('MASTER RECORD'!F364="Active",'MASTER RECORD'!C364,"")</f>
        <v/>
      </c>
      <c r="H359" t="str">
        <f>IF('MASTER RECORD'!G364="Sold",'MASTER RECORD'!C364,"")</f>
        <v/>
      </c>
    </row>
    <row r="360" spans="2:8">
      <c r="B360" t="str">
        <f ca="1">IF('MASTER RECORD'!F365="Active",'MASTER RECORD'!C365,"")</f>
        <v/>
      </c>
      <c r="H360" t="str">
        <f>IF('MASTER RECORD'!G365="Sold",'MASTER RECORD'!C365,"")</f>
        <v/>
      </c>
    </row>
    <row r="361" spans="2:8">
      <c r="B361" t="str">
        <f ca="1">IF('MASTER RECORD'!F366="Active",'MASTER RECORD'!C366,"")</f>
        <v/>
      </c>
      <c r="H361" t="str">
        <f>IF('MASTER RECORD'!G366="Sold",'MASTER RECORD'!C366,"")</f>
        <v/>
      </c>
    </row>
    <row r="362" spans="2:8">
      <c r="B362" t="str">
        <f ca="1">IF('MASTER RECORD'!F367="Active",'MASTER RECORD'!C367,"")</f>
        <v/>
      </c>
      <c r="H362" t="str">
        <f>IF('MASTER RECORD'!G367="Sold",'MASTER RECORD'!C367,"")</f>
        <v/>
      </c>
    </row>
    <row r="363" spans="2:8">
      <c r="B363" t="str">
        <f ca="1">IF('MASTER RECORD'!F368="Active",'MASTER RECORD'!C368,"")</f>
        <v/>
      </c>
      <c r="H363" t="str">
        <f>IF('MASTER RECORD'!G368="Sold",'MASTER RECORD'!C368,"")</f>
        <v/>
      </c>
    </row>
    <row r="364" spans="2:8">
      <c r="B364" t="str">
        <f ca="1">IF('MASTER RECORD'!F369="Active",'MASTER RECORD'!C369,"")</f>
        <v/>
      </c>
      <c r="H364" t="str">
        <f>IF('MASTER RECORD'!G369="Sold",'MASTER RECORD'!C369,"")</f>
        <v/>
      </c>
    </row>
    <row r="365" spans="2:8">
      <c r="B365" t="str">
        <f ca="1">IF('MASTER RECORD'!F370="Active",'MASTER RECORD'!C370,"")</f>
        <v/>
      </c>
      <c r="H365" t="str">
        <f>IF('MASTER RECORD'!G370="Sold",'MASTER RECORD'!C370,"")</f>
        <v/>
      </c>
    </row>
    <row r="366" spans="2:8">
      <c r="B366" t="str">
        <f ca="1">IF('MASTER RECORD'!F371="Active",'MASTER RECORD'!C371,"")</f>
        <v/>
      </c>
      <c r="H366" t="str">
        <f>IF('MASTER RECORD'!G371="Sold",'MASTER RECORD'!C371,"")</f>
        <v/>
      </c>
    </row>
    <row r="367" spans="2:8">
      <c r="B367" t="str">
        <f ca="1">IF('MASTER RECORD'!F372="Active",'MASTER RECORD'!C372,"")</f>
        <v/>
      </c>
      <c r="H367" t="str">
        <f>IF('MASTER RECORD'!G372="Sold",'MASTER RECORD'!C372,"")</f>
        <v/>
      </c>
    </row>
    <row r="368" spans="2:8">
      <c r="B368" t="str">
        <f ca="1">IF('MASTER RECORD'!F373="Active",'MASTER RECORD'!C373,"")</f>
        <v/>
      </c>
      <c r="H368" t="str">
        <f>IF('MASTER RECORD'!G373="Sold",'MASTER RECORD'!C373,"")</f>
        <v/>
      </c>
    </row>
    <row r="369" spans="2:8">
      <c r="B369" t="str">
        <f ca="1">IF('MASTER RECORD'!F374="Active",'MASTER RECORD'!C374,"")</f>
        <v/>
      </c>
      <c r="H369" t="str">
        <f>IF('MASTER RECORD'!G374="Sold",'MASTER RECORD'!C374,"")</f>
        <v/>
      </c>
    </row>
    <row r="370" spans="2:8">
      <c r="B370" t="str">
        <f ca="1">IF('MASTER RECORD'!F375="Active",'MASTER RECORD'!C375,"")</f>
        <v/>
      </c>
      <c r="H370" t="str">
        <f>IF('MASTER RECORD'!G375="Sold",'MASTER RECORD'!C375,"")</f>
        <v/>
      </c>
    </row>
    <row r="371" spans="2:8">
      <c r="B371" t="str">
        <f ca="1">IF('MASTER RECORD'!F376="Active",'MASTER RECORD'!C376,"")</f>
        <v/>
      </c>
      <c r="H371" t="str">
        <f>IF('MASTER RECORD'!G376="Sold",'MASTER RECORD'!C376,"")</f>
        <v/>
      </c>
    </row>
    <row r="372" spans="2:8">
      <c r="B372" t="str">
        <f ca="1">IF('MASTER RECORD'!F377="Active",'MASTER RECORD'!C377,"")</f>
        <v/>
      </c>
      <c r="H372" t="str">
        <f>IF('MASTER RECORD'!G377="Sold",'MASTER RECORD'!C377,"")</f>
        <v/>
      </c>
    </row>
    <row r="373" spans="2:8">
      <c r="B373" t="str">
        <f ca="1">IF('MASTER RECORD'!F378="Active",'MASTER RECORD'!C378,"")</f>
        <v/>
      </c>
      <c r="H373" t="str">
        <f>IF('MASTER RECORD'!G378="Sold",'MASTER RECORD'!C378,"")</f>
        <v/>
      </c>
    </row>
    <row r="374" spans="2:8">
      <c r="B374" t="str">
        <f ca="1">IF('MASTER RECORD'!F379="Active",'MASTER RECORD'!C379,"")</f>
        <v/>
      </c>
      <c r="H374" t="str">
        <f>IF('MASTER RECORD'!G379="Sold",'MASTER RECORD'!C379,"")</f>
        <v/>
      </c>
    </row>
    <row r="375" spans="2:8">
      <c r="B375" t="str">
        <f ca="1">IF('MASTER RECORD'!F380="Active",'MASTER RECORD'!C380,"")</f>
        <v/>
      </c>
      <c r="H375" t="str">
        <f>IF('MASTER RECORD'!G380="Sold",'MASTER RECORD'!C380,"")</f>
        <v/>
      </c>
    </row>
    <row r="376" spans="2:8">
      <c r="B376" t="str">
        <f ca="1">IF('MASTER RECORD'!F381="Active",'MASTER RECORD'!C381,"")</f>
        <v/>
      </c>
      <c r="H376" t="str">
        <f>IF('MASTER RECORD'!G381="Sold",'MASTER RECORD'!C381,"")</f>
        <v/>
      </c>
    </row>
    <row r="377" spans="2:8">
      <c r="B377" t="str">
        <f ca="1">IF('MASTER RECORD'!F382="Active",'MASTER RECORD'!C382,"")</f>
        <v/>
      </c>
      <c r="H377" t="str">
        <f>IF('MASTER RECORD'!G382="Sold",'MASTER RECORD'!C382,"")</f>
        <v/>
      </c>
    </row>
    <row r="378" spans="2:8">
      <c r="B378" t="str">
        <f ca="1">IF('MASTER RECORD'!F383="Active",'MASTER RECORD'!C383,"")</f>
        <v/>
      </c>
      <c r="H378" t="str">
        <f>IF('MASTER RECORD'!G383="Sold",'MASTER RECORD'!C383,"")</f>
        <v/>
      </c>
    </row>
    <row r="379" spans="2:8">
      <c r="B379" t="str">
        <f ca="1">IF('MASTER RECORD'!F384="Active",'MASTER RECORD'!C384,"")</f>
        <v/>
      </c>
      <c r="H379" t="str">
        <f>IF('MASTER RECORD'!G384="Sold",'MASTER RECORD'!C384,"")</f>
        <v/>
      </c>
    </row>
    <row r="380" spans="2:8">
      <c r="B380" t="str">
        <f ca="1">IF('MASTER RECORD'!F385="Active",'MASTER RECORD'!C385,"")</f>
        <v/>
      </c>
      <c r="H380" t="str">
        <f>IF('MASTER RECORD'!G385="Sold",'MASTER RECORD'!C385,"")</f>
        <v/>
      </c>
    </row>
    <row r="381" spans="2:8">
      <c r="B381" t="str">
        <f ca="1">IF('MASTER RECORD'!F386="Active",'MASTER RECORD'!C386,"")</f>
        <v/>
      </c>
      <c r="H381" t="str">
        <f>IF('MASTER RECORD'!G386="Sold",'MASTER RECORD'!C386,"")</f>
        <v/>
      </c>
    </row>
    <row r="382" spans="2:8">
      <c r="B382" t="str">
        <f ca="1">IF('MASTER RECORD'!F387="Active",'MASTER RECORD'!C387,"")</f>
        <v/>
      </c>
      <c r="H382" t="str">
        <f>IF('MASTER RECORD'!G387="Sold",'MASTER RECORD'!C387,"")</f>
        <v/>
      </c>
    </row>
    <row r="383" spans="2:8">
      <c r="B383" t="str">
        <f ca="1">IF('MASTER RECORD'!F388="Active",'MASTER RECORD'!C388,"")</f>
        <v/>
      </c>
      <c r="H383" t="str">
        <f>IF('MASTER RECORD'!G388="Sold",'MASTER RECORD'!C388,"")</f>
        <v/>
      </c>
    </row>
    <row r="384" spans="2:8">
      <c r="B384" t="str">
        <f ca="1">IF('MASTER RECORD'!F389="Active",'MASTER RECORD'!C389,"")</f>
        <v/>
      </c>
      <c r="H384" t="str">
        <f>IF('MASTER RECORD'!G389="Sold",'MASTER RECORD'!C389,"")</f>
        <v/>
      </c>
    </row>
    <row r="385" spans="2:8">
      <c r="B385" t="str">
        <f ca="1">IF('MASTER RECORD'!F390="Active",'MASTER RECORD'!C390,"")</f>
        <v/>
      </c>
      <c r="H385" t="str">
        <f>IF('MASTER RECORD'!G390="Sold",'MASTER RECORD'!C390,"")</f>
        <v/>
      </c>
    </row>
    <row r="386" spans="2:8">
      <c r="B386" t="str">
        <f ca="1">IF('MASTER RECORD'!F391="Active",'MASTER RECORD'!C391,"")</f>
        <v/>
      </c>
      <c r="H386" t="str">
        <f>IF('MASTER RECORD'!G391="Sold",'MASTER RECORD'!C391,"")</f>
        <v/>
      </c>
    </row>
    <row r="387" spans="2:8">
      <c r="B387" t="str">
        <f ca="1">IF('MASTER RECORD'!F392="Active",'MASTER RECORD'!C392,"")</f>
        <v/>
      </c>
      <c r="H387" t="str">
        <f>IF('MASTER RECORD'!G392="Sold",'MASTER RECORD'!C392,"")</f>
        <v/>
      </c>
    </row>
    <row r="388" spans="2:8">
      <c r="B388" t="str">
        <f ca="1">IF('MASTER RECORD'!F393="Active",'MASTER RECORD'!C393,"")</f>
        <v/>
      </c>
      <c r="H388" t="str">
        <f>IF('MASTER RECORD'!G393="Sold",'MASTER RECORD'!C393,"")</f>
        <v/>
      </c>
    </row>
    <row r="389" spans="2:8">
      <c r="B389" t="str">
        <f ca="1">IF('MASTER RECORD'!F394="Active",'MASTER RECORD'!C394,"")</f>
        <v/>
      </c>
      <c r="H389" t="str">
        <f>IF('MASTER RECORD'!G394="Sold",'MASTER RECORD'!C394,"")</f>
        <v/>
      </c>
    </row>
    <row r="390" spans="2:8">
      <c r="B390" t="str">
        <f ca="1">IF('MASTER RECORD'!F395="Active",'MASTER RECORD'!C395,"")</f>
        <v/>
      </c>
      <c r="H390" t="str">
        <f>IF('MASTER RECORD'!G395="Sold",'MASTER RECORD'!C395,"")</f>
        <v/>
      </c>
    </row>
    <row r="391" spans="2:8">
      <c r="B391" t="str">
        <f ca="1">IF('MASTER RECORD'!F396="Active",'MASTER RECORD'!C396,"")</f>
        <v/>
      </c>
      <c r="H391" t="str">
        <f>IF('MASTER RECORD'!G396="Sold",'MASTER RECORD'!C396,"")</f>
        <v/>
      </c>
    </row>
    <row r="392" spans="2:8">
      <c r="B392" t="str">
        <f ca="1">IF('MASTER RECORD'!F397="Active",'MASTER RECORD'!C397,"")</f>
        <v/>
      </c>
      <c r="H392" t="str">
        <f>IF('MASTER RECORD'!G397="Sold",'MASTER RECORD'!C397,"")</f>
        <v/>
      </c>
    </row>
    <row r="393" spans="2:8">
      <c r="B393" t="str">
        <f ca="1">IF('MASTER RECORD'!F398="Active",'MASTER RECORD'!C398,"")</f>
        <v/>
      </c>
      <c r="H393" t="str">
        <f>IF('MASTER RECORD'!G398="Sold",'MASTER RECORD'!C398,"")</f>
        <v/>
      </c>
    </row>
    <row r="394" spans="2:8">
      <c r="B394" t="str">
        <f ca="1">IF('MASTER RECORD'!F399="Active",'MASTER RECORD'!C399,"")</f>
        <v/>
      </c>
      <c r="H394" t="str">
        <f>IF('MASTER RECORD'!G399="Sold",'MASTER RECORD'!C399,"")</f>
        <v/>
      </c>
    </row>
    <row r="395" spans="2:8">
      <c r="B395" t="str">
        <f ca="1">IF('MASTER RECORD'!F400="Active",'MASTER RECORD'!C400,"")</f>
        <v/>
      </c>
      <c r="H395" t="str">
        <f>IF('MASTER RECORD'!G400="Sold",'MASTER RECORD'!C400,"")</f>
        <v/>
      </c>
    </row>
    <row r="396" spans="2:8">
      <c r="B396" t="str">
        <f ca="1">IF('MASTER RECORD'!F401="Active",'MASTER RECORD'!C401,"")</f>
        <v/>
      </c>
      <c r="H396" t="str">
        <f>IF('MASTER RECORD'!G401="Sold",'MASTER RECORD'!C401,"")</f>
        <v/>
      </c>
    </row>
    <row r="397" spans="2:8">
      <c r="B397" t="str">
        <f ca="1">IF('MASTER RECORD'!F402="Active",'MASTER RECORD'!C402,"")</f>
        <v/>
      </c>
      <c r="H397" t="str">
        <f>IF('MASTER RECORD'!G402="Sold",'MASTER RECORD'!C402,"")</f>
        <v/>
      </c>
    </row>
    <row r="398" spans="2:8">
      <c r="B398" t="str">
        <f ca="1">IF('MASTER RECORD'!F403="Active",'MASTER RECORD'!C403,"")</f>
        <v/>
      </c>
      <c r="H398" t="str">
        <f>IF('MASTER RECORD'!G403="Sold",'MASTER RECORD'!C403,"")</f>
        <v/>
      </c>
    </row>
    <row r="399" spans="2:8">
      <c r="B399" t="str">
        <f ca="1">IF('MASTER RECORD'!F404="Active",'MASTER RECORD'!C404,"")</f>
        <v/>
      </c>
      <c r="H399" t="str">
        <f>IF('MASTER RECORD'!G404="Sold",'MASTER RECORD'!C404,"")</f>
        <v/>
      </c>
    </row>
    <row r="400" spans="2:8">
      <c r="B400" t="str">
        <f ca="1">IF('MASTER RECORD'!F405="Active",'MASTER RECORD'!C405,"")</f>
        <v/>
      </c>
      <c r="H400" t="str">
        <f>IF('MASTER RECORD'!G405="Sold",'MASTER RECORD'!C405,"")</f>
        <v/>
      </c>
    </row>
    <row r="401" spans="2:8">
      <c r="B401" t="str">
        <f ca="1">IF('MASTER RECORD'!F406="Active",'MASTER RECORD'!C406,"")</f>
        <v/>
      </c>
      <c r="H401" t="str">
        <f>IF('MASTER RECORD'!G406="Sold",'MASTER RECORD'!C406,"")</f>
        <v/>
      </c>
    </row>
    <row r="402" spans="2:8">
      <c r="B402" t="str">
        <f ca="1">IF('MASTER RECORD'!F407="Active",'MASTER RECORD'!C407,"")</f>
        <v/>
      </c>
      <c r="H402" t="str">
        <f>IF('MASTER RECORD'!G407="Sold",'MASTER RECORD'!C407,"")</f>
        <v/>
      </c>
    </row>
    <row r="403" spans="2:8">
      <c r="B403" t="str">
        <f ca="1">IF('MASTER RECORD'!F408="Active",'MASTER RECORD'!C408,"")</f>
        <v/>
      </c>
      <c r="H403" t="str">
        <f>IF('MASTER RECORD'!G408="Sold",'MASTER RECORD'!C408,"")</f>
        <v/>
      </c>
    </row>
    <row r="404" spans="2:8">
      <c r="B404" t="str">
        <f ca="1">IF('MASTER RECORD'!F409="Active",'MASTER RECORD'!C409,"")</f>
        <v/>
      </c>
      <c r="H404" t="str">
        <f>IF('MASTER RECORD'!G409="Sold",'MASTER RECORD'!C409,"")</f>
        <v/>
      </c>
    </row>
    <row r="405" spans="2:8">
      <c r="B405" t="str">
        <f ca="1">IF('MASTER RECORD'!F410="Active",'MASTER RECORD'!C410,"")</f>
        <v/>
      </c>
      <c r="H405" t="str">
        <f>IF('MASTER RECORD'!G410="Sold",'MASTER RECORD'!C410,"")</f>
        <v/>
      </c>
    </row>
    <row r="406" spans="2:8">
      <c r="B406" t="str">
        <f ca="1">IF('MASTER RECORD'!F411="Active",'MASTER RECORD'!C411,"")</f>
        <v/>
      </c>
      <c r="H406" t="str">
        <f>IF('MASTER RECORD'!G411="Sold",'MASTER RECORD'!C411,"")</f>
        <v/>
      </c>
    </row>
    <row r="407" spans="2:8">
      <c r="B407" t="str">
        <f ca="1">IF('MASTER RECORD'!F412="Active",'MASTER RECORD'!C412,"")</f>
        <v/>
      </c>
      <c r="H407" t="str">
        <f>IF('MASTER RECORD'!G412="Sold",'MASTER RECORD'!C412,"")</f>
        <v/>
      </c>
    </row>
    <row r="408" spans="2:8">
      <c r="B408" t="str">
        <f ca="1">IF('MASTER RECORD'!F413="Active",'MASTER RECORD'!C413,"")</f>
        <v/>
      </c>
      <c r="H408" t="str">
        <f>IF('MASTER RECORD'!G413="Sold",'MASTER RECORD'!C413,"")</f>
        <v/>
      </c>
    </row>
    <row r="409" spans="2:8">
      <c r="B409" t="str">
        <f ca="1">IF('MASTER RECORD'!F414="Active",'MASTER RECORD'!C414,"")</f>
        <v/>
      </c>
      <c r="H409" t="str">
        <f>IF('MASTER RECORD'!G414="Sold",'MASTER RECORD'!C414,"")</f>
        <v/>
      </c>
    </row>
    <row r="410" spans="2:8">
      <c r="B410" t="str">
        <f ca="1">IF('MASTER RECORD'!F415="Active",'MASTER RECORD'!C415,"")</f>
        <v/>
      </c>
      <c r="H410" t="str">
        <f>IF('MASTER RECORD'!G415="Sold",'MASTER RECORD'!C415,"")</f>
        <v/>
      </c>
    </row>
    <row r="411" spans="2:8">
      <c r="B411" t="str">
        <f ca="1">IF('MASTER RECORD'!F416="Active",'MASTER RECORD'!C416,"")</f>
        <v/>
      </c>
      <c r="H411" t="str">
        <f>IF('MASTER RECORD'!G416="Sold",'MASTER RECORD'!C416,"")</f>
        <v/>
      </c>
    </row>
    <row r="412" spans="2:8">
      <c r="B412" t="str">
        <f ca="1">IF('MASTER RECORD'!F417="Active",'MASTER RECORD'!C417,"")</f>
        <v/>
      </c>
      <c r="H412" t="str">
        <f>IF('MASTER RECORD'!G417="Sold",'MASTER RECORD'!C417,"")</f>
        <v/>
      </c>
    </row>
    <row r="413" spans="2:8">
      <c r="B413" t="str">
        <f ca="1">IF('MASTER RECORD'!F418="Active",'MASTER RECORD'!C418,"")</f>
        <v/>
      </c>
      <c r="H413" t="str">
        <f>IF('MASTER RECORD'!G418="Sold",'MASTER RECORD'!C418,"")</f>
        <v/>
      </c>
    </row>
    <row r="414" spans="2:8">
      <c r="B414" t="str">
        <f ca="1">IF('MASTER RECORD'!F419="Active",'MASTER RECORD'!C419,"")</f>
        <v/>
      </c>
      <c r="H414" t="str">
        <f>IF('MASTER RECORD'!G419="Sold",'MASTER RECORD'!C419,"")</f>
        <v/>
      </c>
    </row>
    <row r="415" spans="2:8">
      <c r="B415" t="str">
        <f ca="1">IF('MASTER RECORD'!F420="Active",'MASTER RECORD'!C420,"")</f>
        <v/>
      </c>
      <c r="H415" t="str">
        <f>IF('MASTER RECORD'!G420="Sold",'MASTER RECORD'!C420,"")</f>
        <v/>
      </c>
    </row>
    <row r="416" spans="2:8">
      <c r="B416" t="str">
        <f ca="1">IF('MASTER RECORD'!F421="Active",'MASTER RECORD'!C421,"")</f>
        <v/>
      </c>
      <c r="H416" t="str">
        <f>IF('MASTER RECORD'!G421="Sold",'MASTER RECORD'!C421,"")</f>
        <v/>
      </c>
    </row>
    <row r="417" spans="2:8">
      <c r="B417" t="str">
        <f ca="1">IF('MASTER RECORD'!F422="Active",'MASTER RECORD'!C422,"")</f>
        <v/>
      </c>
      <c r="H417" t="str">
        <f>IF('MASTER RECORD'!G422="Sold",'MASTER RECORD'!C422,"")</f>
        <v/>
      </c>
    </row>
    <row r="418" spans="2:8">
      <c r="B418" t="str">
        <f ca="1">IF('MASTER RECORD'!F423="Active",'MASTER RECORD'!C423,"")</f>
        <v/>
      </c>
      <c r="H418" t="str">
        <f>IF('MASTER RECORD'!G423="Sold",'MASTER RECORD'!C423,"")</f>
        <v/>
      </c>
    </row>
    <row r="419" spans="2:8">
      <c r="B419" t="str">
        <f ca="1">IF('MASTER RECORD'!F424="Active",'MASTER RECORD'!C424,"")</f>
        <v/>
      </c>
      <c r="H419" t="str">
        <f>IF('MASTER RECORD'!G424="Sold",'MASTER RECORD'!C424,"")</f>
        <v/>
      </c>
    </row>
    <row r="420" spans="2:8">
      <c r="B420" t="str">
        <f ca="1">IF('MASTER RECORD'!F425="Active",'MASTER RECORD'!C425,"")</f>
        <v/>
      </c>
      <c r="H420" t="str">
        <f>IF('MASTER RECORD'!G425="Sold",'MASTER RECORD'!C425,"")</f>
        <v/>
      </c>
    </row>
    <row r="421" spans="2:8">
      <c r="B421" t="str">
        <f ca="1">IF('MASTER RECORD'!F426="Active",'MASTER RECORD'!C426,"")</f>
        <v/>
      </c>
      <c r="H421" t="str">
        <f>IF('MASTER RECORD'!G426="Sold",'MASTER RECORD'!C426,"")</f>
        <v/>
      </c>
    </row>
    <row r="422" spans="2:8">
      <c r="B422" t="str">
        <f ca="1">IF('MASTER RECORD'!F427="Active",'MASTER RECORD'!C427,"")</f>
        <v/>
      </c>
      <c r="H422" t="str">
        <f>IF('MASTER RECORD'!G427="Sold",'MASTER RECORD'!C427,"")</f>
        <v/>
      </c>
    </row>
    <row r="423" spans="2:8">
      <c r="B423" t="str">
        <f ca="1">IF('MASTER RECORD'!F428="Active",'MASTER RECORD'!C428,"")</f>
        <v/>
      </c>
      <c r="H423" t="str">
        <f>IF('MASTER RECORD'!G428="Sold",'MASTER RECORD'!C428,"")</f>
        <v/>
      </c>
    </row>
    <row r="424" spans="2:8">
      <c r="B424" t="str">
        <f ca="1">IF('MASTER RECORD'!F429="Active",'MASTER RECORD'!C429,"")</f>
        <v/>
      </c>
      <c r="H424" t="str">
        <f>IF('MASTER RECORD'!G429="Sold",'MASTER RECORD'!C429,"")</f>
        <v/>
      </c>
    </row>
    <row r="425" spans="2:8">
      <c r="B425" t="str">
        <f ca="1">IF('MASTER RECORD'!F430="Active",'MASTER RECORD'!C430,"")</f>
        <v/>
      </c>
      <c r="H425" t="str">
        <f>IF('MASTER RECORD'!G430="Sold",'MASTER RECORD'!C430,"")</f>
        <v/>
      </c>
    </row>
    <row r="426" spans="2:8">
      <c r="B426" t="str">
        <f ca="1">IF('MASTER RECORD'!F431="Active",'MASTER RECORD'!C431,"")</f>
        <v/>
      </c>
      <c r="H426" t="str">
        <f>IF('MASTER RECORD'!G431="Sold",'MASTER RECORD'!C431,"")</f>
        <v/>
      </c>
    </row>
    <row r="427" spans="2:8">
      <c r="B427" t="str">
        <f ca="1">IF('MASTER RECORD'!F432="Active",'MASTER RECORD'!C432,"")</f>
        <v/>
      </c>
      <c r="H427" t="str">
        <f>IF('MASTER RECORD'!G432="Sold",'MASTER RECORD'!C432,"")</f>
        <v/>
      </c>
    </row>
    <row r="428" spans="2:8">
      <c r="B428" t="str">
        <f ca="1">IF('MASTER RECORD'!F433="Active",'MASTER RECORD'!C433,"")</f>
        <v/>
      </c>
      <c r="H428" t="str">
        <f>IF('MASTER RECORD'!G433="Sold",'MASTER RECORD'!C433,"")</f>
        <v/>
      </c>
    </row>
    <row r="429" spans="2:8">
      <c r="B429" t="str">
        <f ca="1">IF('MASTER RECORD'!F434="Active",'MASTER RECORD'!C434,"")</f>
        <v/>
      </c>
      <c r="H429" t="str">
        <f>IF('MASTER RECORD'!G434="Sold",'MASTER RECORD'!C434,"")</f>
        <v/>
      </c>
    </row>
    <row r="430" spans="2:8">
      <c r="B430" t="str">
        <f ca="1">IF('MASTER RECORD'!F435="Active",'MASTER RECORD'!C435,"")</f>
        <v/>
      </c>
      <c r="H430" t="str">
        <f>IF('MASTER RECORD'!G435="Sold",'MASTER RECORD'!C435,"")</f>
        <v/>
      </c>
    </row>
    <row r="431" spans="2:8">
      <c r="B431" t="str">
        <f ca="1">IF('MASTER RECORD'!F436="Active",'MASTER RECORD'!C436,"")</f>
        <v/>
      </c>
      <c r="H431" t="str">
        <f>IF('MASTER RECORD'!G436="Sold",'MASTER RECORD'!C436,"")</f>
        <v/>
      </c>
    </row>
    <row r="432" spans="2:8">
      <c r="B432" t="str">
        <f ca="1">IF('MASTER RECORD'!F437="Active",'MASTER RECORD'!C437,"")</f>
        <v/>
      </c>
      <c r="H432" t="str">
        <f>IF('MASTER RECORD'!G437="Sold",'MASTER RECORD'!C437,"")</f>
        <v/>
      </c>
    </row>
    <row r="433" spans="2:8">
      <c r="B433" t="str">
        <f ca="1">IF('MASTER RECORD'!F438="Active",'MASTER RECORD'!C438,"")</f>
        <v/>
      </c>
      <c r="H433" t="str">
        <f>IF('MASTER RECORD'!G438="Sold",'MASTER RECORD'!C438,"")</f>
        <v/>
      </c>
    </row>
    <row r="434" spans="2:8">
      <c r="B434" t="str">
        <f ca="1">IF('MASTER RECORD'!F439="Active",'MASTER RECORD'!C439,"")</f>
        <v/>
      </c>
      <c r="H434" t="str">
        <f>IF('MASTER RECORD'!G439="Sold",'MASTER RECORD'!C439,"")</f>
        <v/>
      </c>
    </row>
    <row r="435" spans="2:8">
      <c r="B435" t="str">
        <f ca="1">IF('MASTER RECORD'!F440="Active",'MASTER RECORD'!C440,"")</f>
        <v/>
      </c>
      <c r="H435" t="str">
        <f>IF('MASTER RECORD'!G440="Sold",'MASTER RECORD'!C440,"")</f>
        <v/>
      </c>
    </row>
    <row r="436" spans="2:8">
      <c r="B436" t="str">
        <f ca="1">IF('MASTER RECORD'!F441="Active",'MASTER RECORD'!C441,"")</f>
        <v/>
      </c>
      <c r="H436" t="str">
        <f>IF('MASTER RECORD'!G441="Sold",'MASTER RECORD'!C441,"")</f>
        <v/>
      </c>
    </row>
    <row r="437" spans="2:8">
      <c r="B437" t="str">
        <f ca="1">IF('MASTER RECORD'!F442="Active",'MASTER RECORD'!C442,"")</f>
        <v/>
      </c>
      <c r="H437" t="str">
        <f>IF('MASTER RECORD'!G442="Sold",'MASTER RECORD'!C442,"")</f>
        <v/>
      </c>
    </row>
    <row r="438" spans="2:8">
      <c r="B438" t="str">
        <f ca="1">IF('MASTER RECORD'!F443="Active",'MASTER RECORD'!C443,"")</f>
        <v/>
      </c>
      <c r="H438" t="str">
        <f>IF('MASTER RECORD'!G443="Sold",'MASTER RECORD'!C443,"")</f>
        <v/>
      </c>
    </row>
    <row r="439" spans="2:8">
      <c r="B439" t="str">
        <f ca="1">IF('MASTER RECORD'!F444="Active",'MASTER RECORD'!C444,"")</f>
        <v/>
      </c>
      <c r="H439" t="str">
        <f>IF('MASTER RECORD'!G444="Sold",'MASTER RECORD'!C444,"")</f>
        <v/>
      </c>
    </row>
    <row r="440" spans="2:8">
      <c r="B440" t="str">
        <f ca="1">IF('MASTER RECORD'!F445="Active",'MASTER RECORD'!C445,"")</f>
        <v/>
      </c>
      <c r="H440" t="str">
        <f>IF('MASTER RECORD'!G445="Sold",'MASTER RECORD'!C445,"")</f>
        <v/>
      </c>
    </row>
    <row r="441" spans="2:8">
      <c r="B441" t="str">
        <f ca="1">IF('MASTER RECORD'!F446="Active",'MASTER RECORD'!C446,"")</f>
        <v/>
      </c>
      <c r="H441" t="str">
        <f>IF('MASTER RECORD'!G446="Sold",'MASTER RECORD'!C446,"")</f>
        <v/>
      </c>
    </row>
    <row r="442" spans="2:8">
      <c r="B442" t="str">
        <f ca="1">IF('MASTER RECORD'!F447="Active",'MASTER RECORD'!C447,"")</f>
        <v/>
      </c>
      <c r="H442" t="str">
        <f>IF('MASTER RECORD'!G447="Sold",'MASTER RECORD'!C447,"")</f>
        <v/>
      </c>
    </row>
    <row r="443" spans="2:8">
      <c r="B443" t="str">
        <f ca="1">IF('MASTER RECORD'!F448="Active",'MASTER RECORD'!C448,"")</f>
        <v/>
      </c>
      <c r="H443" t="str">
        <f>IF('MASTER RECORD'!G448="Sold",'MASTER RECORD'!C448,"")</f>
        <v/>
      </c>
    </row>
    <row r="444" spans="2:8">
      <c r="B444" t="str">
        <f ca="1">IF('MASTER RECORD'!F449="Active",'MASTER RECORD'!C449,"")</f>
        <v/>
      </c>
      <c r="H444" t="str">
        <f>IF('MASTER RECORD'!G449="Sold",'MASTER RECORD'!C449,"")</f>
        <v/>
      </c>
    </row>
    <row r="445" spans="2:8">
      <c r="B445" t="str">
        <f ca="1">IF('MASTER RECORD'!F450="Active",'MASTER RECORD'!C450,"")</f>
        <v/>
      </c>
      <c r="H445" t="str">
        <f>IF('MASTER RECORD'!G450="Sold",'MASTER RECORD'!C450,"")</f>
        <v/>
      </c>
    </row>
    <row r="446" spans="2:8">
      <c r="B446" t="str">
        <f ca="1">IF('MASTER RECORD'!F451="Active",'MASTER RECORD'!C451,"")</f>
        <v/>
      </c>
      <c r="H446" t="str">
        <f>IF('MASTER RECORD'!G451="Sold",'MASTER RECORD'!C451,"")</f>
        <v/>
      </c>
    </row>
    <row r="447" spans="2:8">
      <c r="B447" t="str">
        <f ca="1">IF('MASTER RECORD'!F452="Active",'MASTER RECORD'!C452,"")</f>
        <v/>
      </c>
      <c r="H447" t="str">
        <f>IF('MASTER RECORD'!G452="Sold",'MASTER RECORD'!C452,"")</f>
        <v/>
      </c>
    </row>
    <row r="448" spans="2:8">
      <c r="B448" t="str">
        <f ca="1">IF('MASTER RECORD'!F453="Active",'MASTER RECORD'!C453,"")</f>
        <v/>
      </c>
      <c r="H448" t="str">
        <f>IF('MASTER RECORD'!G453="Sold",'MASTER RECORD'!C453,"")</f>
        <v/>
      </c>
    </row>
    <row r="449" spans="2:8">
      <c r="B449" t="str">
        <f ca="1">IF('MASTER RECORD'!F454="Active",'MASTER RECORD'!C454,"")</f>
        <v/>
      </c>
      <c r="H449" t="str">
        <f>IF('MASTER RECORD'!G454="Sold",'MASTER RECORD'!C454,"")</f>
        <v/>
      </c>
    </row>
    <row r="450" spans="2:8">
      <c r="B450" t="str">
        <f ca="1">IF('MASTER RECORD'!F455="Active",'MASTER RECORD'!C455,"")</f>
        <v/>
      </c>
      <c r="H450" t="str">
        <f>IF('MASTER RECORD'!G455="Sold",'MASTER RECORD'!C455,"")</f>
        <v/>
      </c>
    </row>
    <row r="451" spans="2:8">
      <c r="B451" t="str">
        <f ca="1">IF('MASTER RECORD'!F456="Active",'MASTER RECORD'!C456,"")</f>
        <v/>
      </c>
      <c r="H451" t="str">
        <f>IF('MASTER RECORD'!G456="Sold",'MASTER RECORD'!C456,"")</f>
        <v/>
      </c>
    </row>
    <row r="452" spans="2:8">
      <c r="B452" t="str">
        <f ca="1">IF('MASTER RECORD'!F457="Active",'MASTER RECORD'!C457,"")</f>
        <v/>
      </c>
      <c r="H452" t="str">
        <f>IF('MASTER RECORD'!G457="Sold",'MASTER RECORD'!C457,"")</f>
        <v/>
      </c>
    </row>
    <row r="453" spans="2:8">
      <c r="B453" t="str">
        <f ca="1">IF('MASTER RECORD'!F458="Active",'MASTER RECORD'!C458,"")</f>
        <v/>
      </c>
      <c r="H453" t="str">
        <f>IF('MASTER RECORD'!G458="Sold",'MASTER RECORD'!C458,"")</f>
        <v/>
      </c>
    </row>
    <row r="454" spans="2:8">
      <c r="B454" t="str">
        <f ca="1">IF('MASTER RECORD'!F459="Active",'MASTER RECORD'!C459,"")</f>
        <v/>
      </c>
      <c r="H454" t="str">
        <f>IF('MASTER RECORD'!G459="Sold",'MASTER RECORD'!C459,"")</f>
        <v/>
      </c>
    </row>
    <row r="455" spans="2:8">
      <c r="B455" t="str">
        <f ca="1">IF('MASTER RECORD'!F460="Active",'MASTER RECORD'!C460,"")</f>
        <v/>
      </c>
      <c r="H455" t="str">
        <f>IF('MASTER RECORD'!G460="Sold",'MASTER RECORD'!C460,"")</f>
        <v/>
      </c>
    </row>
    <row r="456" spans="2:8">
      <c r="B456" t="str">
        <f ca="1">IF('MASTER RECORD'!F461="Active",'MASTER RECORD'!C461,"")</f>
        <v/>
      </c>
      <c r="H456" t="str">
        <f>IF('MASTER RECORD'!G461="Sold",'MASTER RECORD'!C461,"")</f>
        <v/>
      </c>
    </row>
    <row r="457" spans="2:8">
      <c r="B457" t="str">
        <f ca="1">IF('MASTER RECORD'!F462="Active",'MASTER RECORD'!C462,"")</f>
        <v/>
      </c>
      <c r="H457" t="str">
        <f>IF('MASTER RECORD'!G462="Sold",'MASTER RECORD'!C462,"")</f>
        <v/>
      </c>
    </row>
    <row r="458" spans="2:8">
      <c r="B458" t="str">
        <f ca="1">IF('MASTER RECORD'!F463="Active",'MASTER RECORD'!C463,"")</f>
        <v/>
      </c>
      <c r="H458" t="str">
        <f>IF('MASTER RECORD'!G463="Sold",'MASTER RECORD'!C463,"")</f>
        <v/>
      </c>
    </row>
    <row r="459" spans="2:8">
      <c r="B459" t="str">
        <f ca="1">IF('MASTER RECORD'!F464="Active",'MASTER RECORD'!C464,"")</f>
        <v/>
      </c>
      <c r="H459" t="str">
        <f>IF('MASTER RECORD'!G464="Sold",'MASTER RECORD'!C464,"")</f>
        <v/>
      </c>
    </row>
    <row r="460" spans="2:8">
      <c r="B460" t="str">
        <f ca="1">IF('MASTER RECORD'!F465="Active",'MASTER RECORD'!C465,"")</f>
        <v/>
      </c>
      <c r="H460" t="str">
        <f>IF('MASTER RECORD'!G465="Sold",'MASTER RECORD'!C465,"")</f>
        <v/>
      </c>
    </row>
    <row r="461" spans="2:8">
      <c r="B461" t="str">
        <f ca="1">IF('MASTER RECORD'!F466="Active",'MASTER RECORD'!C466,"")</f>
        <v/>
      </c>
      <c r="H461" t="str">
        <f>IF('MASTER RECORD'!G466="Sold",'MASTER RECORD'!C466,"")</f>
        <v/>
      </c>
    </row>
    <row r="462" spans="2:8">
      <c r="B462" t="str">
        <f ca="1">IF('MASTER RECORD'!F467="Active",'MASTER RECORD'!C467,"")</f>
        <v/>
      </c>
      <c r="H462" t="str">
        <f>IF('MASTER RECORD'!G467="Sold",'MASTER RECORD'!C467,"")</f>
        <v/>
      </c>
    </row>
    <row r="463" spans="2:8">
      <c r="B463" t="str">
        <f ca="1">IF('MASTER RECORD'!F468="Active",'MASTER RECORD'!C468,"")</f>
        <v/>
      </c>
      <c r="H463" t="str">
        <f>IF('MASTER RECORD'!G468="Sold",'MASTER RECORD'!C468,"")</f>
        <v/>
      </c>
    </row>
    <row r="464" spans="2:8">
      <c r="B464" t="str">
        <f ca="1">IF('MASTER RECORD'!F469="Active",'MASTER RECORD'!C469,"")</f>
        <v/>
      </c>
      <c r="H464" t="str">
        <f>IF('MASTER RECORD'!G469="Sold",'MASTER RECORD'!C469,"")</f>
        <v/>
      </c>
    </row>
    <row r="465" spans="2:8">
      <c r="B465" t="str">
        <f ca="1">IF('MASTER RECORD'!F470="Active",'MASTER RECORD'!C470,"")</f>
        <v/>
      </c>
      <c r="H465" t="str">
        <f>IF('MASTER RECORD'!G470="Sold",'MASTER RECORD'!C470,"")</f>
        <v/>
      </c>
    </row>
    <row r="466" spans="2:8">
      <c r="B466" t="str">
        <f ca="1">IF('MASTER RECORD'!F471="Active",'MASTER RECORD'!C471,"")</f>
        <v/>
      </c>
      <c r="H466" t="str">
        <f>IF('MASTER RECORD'!G471="Sold",'MASTER RECORD'!C471,"")</f>
        <v/>
      </c>
    </row>
    <row r="467" spans="2:8">
      <c r="B467" t="str">
        <f ca="1">IF('MASTER RECORD'!F472="Active",'MASTER RECORD'!C472,"")</f>
        <v/>
      </c>
      <c r="H467" t="str">
        <f>IF('MASTER RECORD'!G472="Sold",'MASTER RECORD'!C472,"")</f>
        <v/>
      </c>
    </row>
    <row r="468" spans="2:8">
      <c r="B468" t="str">
        <f ca="1">IF('MASTER RECORD'!F473="Active",'MASTER RECORD'!C473,"")</f>
        <v/>
      </c>
      <c r="H468" t="str">
        <f>IF('MASTER RECORD'!G473="Sold",'MASTER RECORD'!C473,"")</f>
        <v/>
      </c>
    </row>
    <row r="469" spans="2:8">
      <c r="B469" t="str">
        <f ca="1">IF('MASTER RECORD'!F474="Active",'MASTER RECORD'!C474,"")</f>
        <v/>
      </c>
      <c r="H469" t="str">
        <f>IF('MASTER RECORD'!G474="Sold",'MASTER RECORD'!C474,"")</f>
        <v/>
      </c>
    </row>
    <row r="470" spans="2:8">
      <c r="B470" t="str">
        <f ca="1">IF('MASTER RECORD'!F475="Active",'MASTER RECORD'!C475,"")</f>
        <v/>
      </c>
      <c r="H470" t="str">
        <f>IF('MASTER RECORD'!G475="Sold",'MASTER RECORD'!C475,"")</f>
        <v/>
      </c>
    </row>
    <row r="471" spans="2:8">
      <c r="B471" t="str">
        <f ca="1">IF('MASTER RECORD'!F476="Active",'MASTER RECORD'!C476,"")</f>
        <v/>
      </c>
      <c r="H471" t="str">
        <f>IF('MASTER RECORD'!G476="Sold",'MASTER RECORD'!C476,"")</f>
        <v/>
      </c>
    </row>
    <row r="472" spans="2:8">
      <c r="B472" t="str">
        <f ca="1">IF('MASTER RECORD'!F477="Active",'MASTER RECORD'!C477,"")</f>
        <v/>
      </c>
      <c r="H472" t="str">
        <f>IF('MASTER RECORD'!G477="Sold",'MASTER RECORD'!C477,"")</f>
        <v/>
      </c>
    </row>
    <row r="473" spans="2:8">
      <c r="B473" t="str">
        <f ca="1">IF('MASTER RECORD'!F478="Active",'MASTER RECORD'!C478,"")</f>
        <v/>
      </c>
      <c r="H473" t="str">
        <f>IF('MASTER RECORD'!G478="Sold",'MASTER RECORD'!C478,"")</f>
        <v/>
      </c>
    </row>
    <row r="474" spans="2:8">
      <c r="B474" t="str">
        <f ca="1">IF('MASTER RECORD'!F479="Active",'MASTER RECORD'!C479,"")</f>
        <v/>
      </c>
      <c r="H474" t="str">
        <f>IF('MASTER RECORD'!G479="Sold",'MASTER RECORD'!C479,"")</f>
        <v/>
      </c>
    </row>
    <row r="475" spans="2:8">
      <c r="B475" t="str">
        <f ca="1">IF('MASTER RECORD'!F480="Active",'MASTER RECORD'!C480,"")</f>
        <v/>
      </c>
      <c r="H475" t="str">
        <f>IF('MASTER RECORD'!G480="Sold",'MASTER RECORD'!C480,"")</f>
        <v/>
      </c>
    </row>
    <row r="476" spans="2:8">
      <c r="B476" t="str">
        <f ca="1">IF('MASTER RECORD'!F481="Active",'MASTER RECORD'!C481,"")</f>
        <v/>
      </c>
      <c r="H476" t="str">
        <f>IF('MASTER RECORD'!G481="Sold",'MASTER RECORD'!C481,"")</f>
        <v/>
      </c>
    </row>
    <row r="477" spans="2:8">
      <c r="B477" t="str">
        <f ca="1">IF('MASTER RECORD'!F482="Active",'MASTER RECORD'!C482,"")</f>
        <v/>
      </c>
      <c r="H477" t="str">
        <f>IF('MASTER RECORD'!G482="Sold",'MASTER RECORD'!C482,"")</f>
        <v/>
      </c>
    </row>
    <row r="478" spans="2:8">
      <c r="B478" t="str">
        <f ca="1">IF('MASTER RECORD'!F483="Active",'MASTER RECORD'!C483,"")</f>
        <v/>
      </c>
      <c r="H478" t="str">
        <f>IF('MASTER RECORD'!G483="Sold",'MASTER RECORD'!C483,"")</f>
        <v/>
      </c>
    </row>
    <row r="479" spans="2:8">
      <c r="B479" t="str">
        <f ca="1">IF('MASTER RECORD'!F484="Active",'MASTER RECORD'!C484,"")</f>
        <v/>
      </c>
      <c r="H479" t="str">
        <f>IF('MASTER RECORD'!G484="Sold",'MASTER RECORD'!C484,"")</f>
        <v/>
      </c>
    </row>
    <row r="480" spans="2:8">
      <c r="B480" t="str">
        <f ca="1">IF('MASTER RECORD'!F485="Active",'MASTER RECORD'!C485,"")</f>
        <v/>
      </c>
      <c r="H480" t="str">
        <f>IF('MASTER RECORD'!G485="Sold",'MASTER RECORD'!C485,"")</f>
        <v/>
      </c>
    </row>
    <row r="481" spans="2:8">
      <c r="B481" t="str">
        <f ca="1">IF('MASTER RECORD'!F486="Active",'MASTER RECORD'!C486,"")</f>
        <v/>
      </c>
      <c r="H481" t="str">
        <f>IF('MASTER RECORD'!G486="Sold",'MASTER RECORD'!C486,"")</f>
        <v/>
      </c>
    </row>
    <row r="482" spans="2:8">
      <c r="B482" t="str">
        <f ca="1">IF('MASTER RECORD'!F487="Active",'MASTER RECORD'!C487,"")</f>
        <v/>
      </c>
      <c r="H482" t="str">
        <f>IF('MASTER RECORD'!G487="Sold",'MASTER RECORD'!C487,"")</f>
        <v/>
      </c>
    </row>
    <row r="483" spans="2:8">
      <c r="B483" t="str">
        <f ca="1">IF('MASTER RECORD'!F488="Active",'MASTER RECORD'!C488,"")</f>
        <v/>
      </c>
      <c r="H483" t="str">
        <f>IF('MASTER RECORD'!G488="Sold",'MASTER RECORD'!C488,"")</f>
        <v/>
      </c>
    </row>
    <row r="484" spans="2:8">
      <c r="B484" t="str">
        <f ca="1">IF('MASTER RECORD'!F489="Active",'MASTER RECORD'!C489,"")</f>
        <v/>
      </c>
      <c r="H484" t="str">
        <f>IF('MASTER RECORD'!G489="Sold",'MASTER RECORD'!C489,"")</f>
        <v/>
      </c>
    </row>
    <row r="485" spans="2:8">
      <c r="B485" t="str">
        <f ca="1">IF('MASTER RECORD'!F490="Active",'MASTER RECORD'!C490,"")</f>
        <v/>
      </c>
      <c r="H485" t="str">
        <f>IF('MASTER RECORD'!G490="Sold",'MASTER RECORD'!C490,"")</f>
        <v/>
      </c>
    </row>
    <row r="486" spans="2:8">
      <c r="B486" t="str">
        <f ca="1">IF('MASTER RECORD'!F491="Active",'MASTER RECORD'!C491,"")</f>
        <v/>
      </c>
      <c r="H486" t="str">
        <f>IF('MASTER RECORD'!G491="Sold",'MASTER RECORD'!C491,"")</f>
        <v/>
      </c>
    </row>
    <row r="487" spans="2:8">
      <c r="B487" t="str">
        <f ca="1">IF('MASTER RECORD'!F492="Active",'MASTER RECORD'!C492,"")</f>
        <v/>
      </c>
      <c r="H487" t="str">
        <f>IF('MASTER RECORD'!G492="Sold",'MASTER RECORD'!C492,"")</f>
        <v/>
      </c>
    </row>
    <row r="488" spans="2:8">
      <c r="B488" t="str">
        <f ca="1">IF('MASTER RECORD'!F493="Active",'MASTER RECORD'!C493,"")</f>
        <v/>
      </c>
      <c r="H488" t="str">
        <f>IF('MASTER RECORD'!G493="Sold",'MASTER RECORD'!C493,"")</f>
        <v/>
      </c>
    </row>
    <row r="489" spans="2:8">
      <c r="B489" t="str">
        <f ca="1">IF('MASTER RECORD'!F494="Active",'MASTER RECORD'!C494,"")</f>
        <v/>
      </c>
      <c r="H489" t="str">
        <f>IF('MASTER RECORD'!G494="Sold",'MASTER RECORD'!C494,"")</f>
        <v/>
      </c>
    </row>
    <row r="490" spans="2:8">
      <c r="B490" t="str">
        <f ca="1">IF('MASTER RECORD'!F495="Active",'MASTER RECORD'!C495,"")</f>
        <v/>
      </c>
      <c r="H490" t="str">
        <f>IF('MASTER RECORD'!G495="Sold",'MASTER RECORD'!C495,"")</f>
        <v/>
      </c>
    </row>
    <row r="491" spans="2:8">
      <c r="B491" t="str">
        <f ca="1">IF('MASTER RECORD'!F496="Active",'MASTER RECORD'!C496,"")</f>
        <v/>
      </c>
      <c r="H491" t="str">
        <f>IF('MASTER RECORD'!G496="Sold",'MASTER RECORD'!C496,"")</f>
        <v/>
      </c>
    </row>
    <row r="492" spans="2:8">
      <c r="B492" t="str">
        <f ca="1">IF('MASTER RECORD'!F497="Active",'MASTER RECORD'!C497,"")</f>
        <v/>
      </c>
      <c r="H492" t="str">
        <f>IF('MASTER RECORD'!G497="Sold",'MASTER RECORD'!C497,"")</f>
        <v/>
      </c>
    </row>
    <row r="493" spans="2:8">
      <c r="B493" t="str">
        <f ca="1">IF('MASTER RECORD'!F498="Active",'MASTER RECORD'!C498,"")</f>
        <v/>
      </c>
      <c r="H493" t="str">
        <f>IF('MASTER RECORD'!G498="Sold",'MASTER RECORD'!C498,"")</f>
        <v/>
      </c>
    </row>
    <row r="494" spans="2:8">
      <c r="B494" t="str">
        <f ca="1">IF('MASTER RECORD'!F499="Active",'MASTER RECORD'!C499,"")</f>
        <v/>
      </c>
      <c r="H494" t="str">
        <f>IF('MASTER RECORD'!G499="Sold",'MASTER RECORD'!C499,"")</f>
        <v/>
      </c>
    </row>
    <row r="495" spans="2:8">
      <c r="B495" t="str">
        <f ca="1">IF('MASTER RECORD'!F500="Active",'MASTER RECORD'!C500,"")</f>
        <v/>
      </c>
      <c r="H495" t="str">
        <f>IF('MASTER RECORD'!G500="Sold",'MASTER RECORD'!C500,"")</f>
        <v/>
      </c>
    </row>
    <row r="496" spans="2:8">
      <c r="B496" t="str">
        <f ca="1">IF('MASTER RECORD'!F501="Active",'MASTER RECORD'!C501,"")</f>
        <v/>
      </c>
      <c r="H496" t="str">
        <f>IF('MASTER RECORD'!G501="Sold",'MASTER RECORD'!C501,"")</f>
        <v/>
      </c>
    </row>
    <row r="497" spans="2:8">
      <c r="B497" t="str">
        <f ca="1">IF('MASTER RECORD'!F502="Active",'MASTER RECORD'!C502,"")</f>
        <v/>
      </c>
      <c r="H497" t="str">
        <f>IF('MASTER RECORD'!G502="Sold",'MASTER RECORD'!C502,"")</f>
        <v/>
      </c>
    </row>
    <row r="498" spans="2:8">
      <c r="B498" t="str">
        <f ca="1">IF('MASTER RECORD'!F503="Active",'MASTER RECORD'!C503,"")</f>
        <v/>
      </c>
      <c r="H498" t="str">
        <f>IF('MASTER RECORD'!G503="Sold",'MASTER RECORD'!C503,"")</f>
        <v/>
      </c>
    </row>
    <row r="499" spans="2:8">
      <c r="B499" t="str">
        <f ca="1">IF('MASTER RECORD'!F504="Active",'MASTER RECORD'!C504,"")</f>
        <v/>
      </c>
      <c r="H499" t="str">
        <f>IF('MASTER RECORD'!G504="Sold",'MASTER RECORD'!C504,"")</f>
        <v/>
      </c>
    </row>
    <row r="500" spans="2:8">
      <c r="B500" t="str">
        <f>IF('MASTER RECORD'!F505="Active",'MASTER RECORD'!C505,"")</f>
        <v/>
      </c>
      <c r="H500" t="str">
        <f>IF('MASTER RECORD'!G505="Sold",'MASTER RECORD'!C505,"")</f>
        <v/>
      </c>
    </row>
    <row r="501" spans="2:8">
      <c r="B501" t="str">
        <f>IF('MASTER RECORD'!F506="Active",'MASTER RECORD'!C506,"")</f>
        <v/>
      </c>
      <c r="H501" t="str">
        <f>IF('MASTER RECORD'!G506="Sold",'MASTER RECORD'!C506,"")</f>
        <v/>
      </c>
    </row>
    <row r="502" spans="2:8">
      <c r="B502" t="str">
        <f>IF('MASTER RECORD'!F507="Active",'MASTER RECORD'!C507,"")</f>
        <v/>
      </c>
      <c r="H502" t="str">
        <f>IF('MASTER RECORD'!G507="Sold",'MASTER RECORD'!C507,"")</f>
        <v/>
      </c>
    </row>
    <row r="503" spans="2:8">
      <c r="B503" t="str">
        <f>IF('MASTER RECORD'!F508="Active",'MASTER RECORD'!C508,"")</f>
        <v/>
      </c>
      <c r="H503" t="str">
        <f>IF('MASTER RECORD'!G508="Sold",'MASTER RECORD'!C508,"")</f>
        <v/>
      </c>
    </row>
    <row r="504" spans="2:8">
      <c r="B504" t="str">
        <f>IF('MASTER RECORD'!F509="Active",'MASTER RECORD'!C509,"")</f>
        <v/>
      </c>
      <c r="H504" t="str">
        <f>IF('MASTER RECORD'!G509="Sold",'MASTER RECORD'!C509,"")</f>
        <v/>
      </c>
    </row>
    <row r="505" spans="2:8">
      <c r="B505" t="str">
        <f>IF('MASTER RECORD'!F510="Active",'MASTER RECORD'!C510,"")</f>
        <v/>
      </c>
      <c r="H505" t="str">
        <f>IF('MASTER RECORD'!G510="Sold",'MASTER RECORD'!C510,"")</f>
        <v/>
      </c>
    </row>
    <row r="506" spans="2:8">
      <c r="B506" t="str">
        <f>IF('MASTER RECORD'!F511="Active",'MASTER RECORD'!C511,"")</f>
        <v/>
      </c>
      <c r="H506" t="str">
        <f>IF('MASTER RECORD'!G511="Sold",'MASTER RECORD'!C511,"")</f>
        <v/>
      </c>
    </row>
    <row r="507" spans="2:8">
      <c r="B507" t="str">
        <f>IF('MASTER RECORD'!F512="Active",'MASTER RECORD'!C512,"")</f>
        <v/>
      </c>
      <c r="H507" t="str">
        <f>IF('MASTER RECORD'!G512="Sold",'MASTER RECORD'!C512,"")</f>
        <v/>
      </c>
    </row>
    <row r="508" spans="2:8">
      <c r="B508" t="str">
        <f>IF('MASTER RECORD'!F513="Active",'MASTER RECORD'!C513,"")</f>
        <v/>
      </c>
      <c r="H508" t="str">
        <f>IF('MASTER RECORD'!G513="Sold",'MASTER RECORD'!C513,"")</f>
        <v/>
      </c>
    </row>
    <row r="509" spans="2:8">
      <c r="B509" t="str">
        <f>IF('MASTER RECORD'!F514="Active",'MASTER RECORD'!C514,"")</f>
        <v/>
      </c>
      <c r="H509" t="str">
        <f>IF('MASTER RECORD'!G514="Sold",'MASTER RECORD'!C514,"")</f>
        <v/>
      </c>
    </row>
    <row r="510" spans="2:8">
      <c r="B510" t="str">
        <f>IF('MASTER RECORD'!F515="Active",'MASTER RECORD'!C515,"")</f>
        <v/>
      </c>
      <c r="H510" t="str">
        <f>IF('MASTER RECORD'!G515="Sold",'MASTER RECORD'!C515,"")</f>
        <v/>
      </c>
    </row>
    <row r="511" spans="2:8">
      <c r="B511" t="str">
        <f>IF('MASTER RECORD'!F516="Active",'MASTER RECORD'!C516,"")</f>
        <v/>
      </c>
      <c r="H511" t="str">
        <f>IF('MASTER RECORD'!G516="Sold",'MASTER RECORD'!C516,"")</f>
        <v/>
      </c>
    </row>
    <row r="512" spans="2:8">
      <c r="B512" t="str">
        <f>IF('MASTER RECORD'!F517="Active",'MASTER RECORD'!C517,"")</f>
        <v/>
      </c>
      <c r="H512" t="str">
        <f>IF('MASTER RECORD'!G517="Sold",'MASTER RECORD'!C517,"")</f>
        <v/>
      </c>
    </row>
    <row r="513" spans="2:8">
      <c r="B513" t="str">
        <f>IF('MASTER RECORD'!F518="Active",'MASTER RECORD'!C518,"")</f>
        <v/>
      </c>
      <c r="H513" t="str">
        <f>IF('MASTER RECORD'!G518="Sold",'MASTER RECORD'!C518,"")</f>
        <v/>
      </c>
    </row>
    <row r="514" spans="2:8">
      <c r="B514" t="str">
        <f>IF('MASTER RECORD'!F519="Active",'MASTER RECORD'!C519,"")</f>
        <v/>
      </c>
      <c r="H514" t="str">
        <f>IF('MASTER RECORD'!G519="Sold",'MASTER RECORD'!C519,"")</f>
        <v/>
      </c>
    </row>
    <row r="515" spans="2:8">
      <c r="B515" t="str">
        <f>IF('MASTER RECORD'!F520="Active",'MASTER RECORD'!C520,"")</f>
        <v/>
      </c>
      <c r="H515" t="str">
        <f>IF('MASTER RECORD'!G520="Sold",'MASTER RECORD'!C520,"")</f>
        <v/>
      </c>
    </row>
    <row r="516" spans="2:8">
      <c r="B516" t="str">
        <f>IF('MASTER RECORD'!F521="Active",'MASTER RECORD'!C521,"")</f>
        <v/>
      </c>
      <c r="H516" t="str">
        <f>IF('MASTER RECORD'!G521="Sold",'MASTER RECORD'!C521,"")</f>
        <v/>
      </c>
    </row>
    <row r="517" spans="2:8">
      <c r="B517" t="str">
        <f>IF('MASTER RECORD'!F522="Active",'MASTER RECORD'!C522,"")</f>
        <v/>
      </c>
      <c r="H517" t="str">
        <f>IF('MASTER RECORD'!G522="Sold",'MASTER RECORD'!C522,"")</f>
        <v/>
      </c>
    </row>
    <row r="518" spans="2:8">
      <c r="B518" t="str">
        <f>IF('MASTER RECORD'!F523="Active",'MASTER RECORD'!C523,"")</f>
        <v/>
      </c>
      <c r="H518" t="str">
        <f>IF('MASTER RECORD'!G523="Sold",'MASTER RECORD'!C523,"")</f>
        <v/>
      </c>
    </row>
    <row r="519" spans="2:8">
      <c r="B519" t="str">
        <f>IF('MASTER RECORD'!F524="Active",'MASTER RECORD'!C524,"")</f>
        <v/>
      </c>
      <c r="H519" t="str">
        <f>IF('MASTER RECORD'!G524="Sold",'MASTER RECORD'!C524,"")</f>
        <v/>
      </c>
    </row>
    <row r="520" spans="2:8">
      <c r="B520" t="str">
        <f>IF('MASTER RECORD'!F525="Active",'MASTER RECORD'!C525,"")</f>
        <v/>
      </c>
      <c r="H520" t="str">
        <f>IF('MASTER RECORD'!G525="Sold",'MASTER RECORD'!C525,"")</f>
        <v/>
      </c>
    </row>
    <row r="521" spans="2:8">
      <c r="B521" t="str">
        <f>IF('MASTER RECORD'!F526="Active",'MASTER RECORD'!C526,"")</f>
        <v/>
      </c>
      <c r="H521" t="str">
        <f>IF('MASTER RECORD'!G526="Sold",'MASTER RECORD'!C526,"")</f>
        <v/>
      </c>
    </row>
    <row r="522" spans="2:8">
      <c r="B522" t="str">
        <f>IF('MASTER RECORD'!F527="Active",'MASTER RECORD'!C527,"")</f>
        <v/>
      </c>
      <c r="H522" t="str">
        <f>IF('MASTER RECORD'!G527="Sold",'MASTER RECORD'!C527,"")</f>
        <v/>
      </c>
    </row>
    <row r="523" spans="2:8">
      <c r="B523" t="str">
        <f>IF('MASTER RECORD'!F528="Active",'MASTER RECORD'!C528,"")</f>
        <v/>
      </c>
      <c r="H523" t="str">
        <f>IF('MASTER RECORD'!G528="Sold",'MASTER RECORD'!C528,"")</f>
        <v/>
      </c>
    </row>
    <row r="524" spans="2:8">
      <c r="B524" t="str">
        <f>IF('MASTER RECORD'!F529="Active",'MASTER RECORD'!C529,"")</f>
        <v/>
      </c>
      <c r="H524" t="str">
        <f>IF('MASTER RECORD'!G529="Sold",'MASTER RECORD'!C529,"")</f>
        <v/>
      </c>
    </row>
    <row r="525" spans="2:8">
      <c r="B525" t="str">
        <f>IF('MASTER RECORD'!F530="Active",'MASTER RECORD'!C530,"")</f>
        <v/>
      </c>
      <c r="H525" t="str">
        <f>IF('MASTER RECORD'!G530="Sold",'MASTER RECORD'!C530,"")</f>
        <v/>
      </c>
    </row>
    <row r="526" spans="2:8">
      <c r="B526" t="str">
        <f>IF('MASTER RECORD'!F531="Active",'MASTER RECORD'!C531,"")</f>
        <v/>
      </c>
      <c r="H526" t="str">
        <f>IF('MASTER RECORD'!G531="Sold",'MASTER RECORD'!C531,"")</f>
        <v/>
      </c>
    </row>
    <row r="527" spans="2:8">
      <c r="B527" t="str">
        <f>IF('MASTER RECORD'!F532="Active",'MASTER RECORD'!C532,"")</f>
        <v/>
      </c>
      <c r="H527" t="str">
        <f>IF('MASTER RECORD'!G532="Sold",'MASTER RECORD'!C532,"")</f>
        <v/>
      </c>
    </row>
    <row r="528" spans="2:8">
      <c r="B528" t="str">
        <f>IF('MASTER RECORD'!F533="Active",'MASTER RECORD'!C533,"")</f>
        <v/>
      </c>
      <c r="H528" t="str">
        <f>IF('MASTER RECORD'!G533="Sold",'MASTER RECORD'!C533,"")</f>
        <v/>
      </c>
    </row>
    <row r="529" spans="2:8">
      <c r="B529" t="str">
        <f>IF('MASTER RECORD'!F534="Active",'MASTER RECORD'!C534,"")</f>
        <v/>
      </c>
      <c r="H529" t="str">
        <f>IF('MASTER RECORD'!G534="Sold",'MASTER RECORD'!C534,"")</f>
        <v/>
      </c>
    </row>
    <row r="530" spans="2:8">
      <c r="B530" t="str">
        <f>IF('MASTER RECORD'!F535="Active",'MASTER RECORD'!C535,"")</f>
        <v/>
      </c>
      <c r="H530" t="str">
        <f>IF('MASTER RECORD'!G535="Sold",'MASTER RECORD'!C535,"")</f>
        <v/>
      </c>
    </row>
    <row r="531" spans="2:8">
      <c r="B531" t="str">
        <f>IF('MASTER RECORD'!F536="Active",'MASTER RECORD'!C536,"")</f>
        <v/>
      </c>
      <c r="H531" t="str">
        <f>IF('MASTER RECORD'!G536="Sold",'MASTER RECORD'!C536,"")</f>
        <v/>
      </c>
    </row>
    <row r="532" spans="2:8">
      <c r="B532" t="str">
        <f>IF('MASTER RECORD'!F537="Active",'MASTER RECORD'!C537,"")</f>
        <v/>
      </c>
      <c r="H532" t="str">
        <f>IF('MASTER RECORD'!G537="Sold",'MASTER RECORD'!C537,"")</f>
        <v/>
      </c>
    </row>
    <row r="533" spans="2:8">
      <c r="B533" t="str">
        <f>IF('MASTER RECORD'!F538="Active",'MASTER RECORD'!C538,"")</f>
        <v/>
      </c>
      <c r="H533" t="str">
        <f>IF('MASTER RECORD'!G538="Sold",'MASTER RECORD'!C538,"")</f>
        <v/>
      </c>
    </row>
    <row r="534" spans="2:8">
      <c r="B534" t="str">
        <f>IF('MASTER RECORD'!F539="Active",'MASTER RECORD'!C539,"")</f>
        <v/>
      </c>
      <c r="H534" t="str">
        <f>IF('MASTER RECORD'!G539="Sold",'MASTER RECORD'!C539,"")</f>
        <v/>
      </c>
    </row>
    <row r="535" spans="2:8">
      <c r="B535" t="str">
        <f>IF('MASTER RECORD'!F540="Active",'MASTER RECORD'!C540,"")</f>
        <v/>
      </c>
      <c r="H535" t="str">
        <f>IF('MASTER RECORD'!G540="Sold",'MASTER RECORD'!C540,"")</f>
        <v/>
      </c>
    </row>
    <row r="536" spans="2:8">
      <c r="B536" t="str">
        <f>IF('MASTER RECORD'!F541="Active",'MASTER RECORD'!C541,"")</f>
        <v/>
      </c>
      <c r="H536" t="str">
        <f>IF('MASTER RECORD'!G541="Sold",'MASTER RECORD'!C541,"")</f>
        <v/>
      </c>
    </row>
    <row r="537" spans="2:8">
      <c r="B537" t="str">
        <f>IF('MASTER RECORD'!F542="Active",'MASTER RECORD'!C542,"")</f>
        <v/>
      </c>
      <c r="H537" t="str">
        <f>IF('MASTER RECORD'!G542="Sold",'MASTER RECORD'!C542,"")</f>
        <v/>
      </c>
    </row>
    <row r="538" spans="2:8">
      <c r="B538" t="str">
        <f>IF('MASTER RECORD'!F543="Active",'MASTER RECORD'!C543,"")</f>
        <v/>
      </c>
      <c r="H538" t="str">
        <f>IF('MASTER RECORD'!G543="Sold",'MASTER RECORD'!C543,"")</f>
        <v/>
      </c>
    </row>
    <row r="539" spans="2:8">
      <c r="B539" t="str">
        <f>IF('MASTER RECORD'!F544="Active",'MASTER RECORD'!C544,"")</f>
        <v/>
      </c>
      <c r="H539" t="str">
        <f>IF('MASTER RECORD'!G544="Sold",'MASTER RECORD'!C544,"")</f>
        <v/>
      </c>
    </row>
    <row r="540" spans="2:8">
      <c r="B540" t="str">
        <f>IF('MASTER RECORD'!F545="Active",'MASTER RECORD'!C545,"")</f>
        <v/>
      </c>
      <c r="H540" t="str">
        <f>IF('MASTER RECORD'!G545="Sold",'MASTER RECORD'!C545,"")</f>
        <v/>
      </c>
    </row>
    <row r="541" spans="2:8">
      <c r="B541" t="str">
        <f>IF('MASTER RECORD'!F546="Active",'MASTER RECORD'!C546,"")</f>
        <v/>
      </c>
      <c r="H541" t="str">
        <f>IF('MASTER RECORD'!G546="Sold",'MASTER RECORD'!C546,"")</f>
        <v/>
      </c>
    </row>
    <row r="542" spans="2:8">
      <c r="B542" t="str">
        <f>IF('MASTER RECORD'!F547="Active",'MASTER RECORD'!C547,"")</f>
        <v/>
      </c>
      <c r="H542" t="str">
        <f>IF('MASTER RECORD'!G547="Sold",'MASTER RECORD'!C547,"")</f>
        <v/>
      </c>
    </row>
    <row r="543" spans="2:8">
      <c r="B543" t="str">
        <f>IF('MASTER RECORD'!F548="Active",'MASTER RECORD'!C548,"")</f>
        <v/>
      </c>
      <c r="H543" t="str">
        <f>IF('MASTER RECORD'!G548="Sold",'MASTER RECORD'!C548,"")</f>
        <v/>
      </c>
    </row>
    <row r="544" spans="2:8">
      <c r="B544" t="str">
        <f>IF('MASTER RECORD'!F549="Active",'MASTER RECORD'!C549,"")</f>
        <v/>
      </c>
      <c r="H544" t="str">
        <f>IF('MASTER RECORD'!G549="Sold",'MASTER RECORD'!C549,"")</f>
        <v/>
      </c>
    </row>
    <row r="545" spans="2:8">
      <c r="B545" t="str">
        <f>IF('MASTER RECORD'!F550="Active",'MASTER RECORD'!C550,"")</f>
        <v/>
      </c>
      <c r="H545" t="str">
        <f>IF('MASTER RECORD'!G550="Sold",'MASTER RECORD'!C550,"")</f>
        <v/>
      </c>
    </row>
    <row r="546" spans="2:8">
      <c r="B546" t="str">
        <f>IF('MASTER RECORD'!F551="Active",'MASTER RECORD'!C551,"")</f>
        <v/>
      </c>
      <c r="H546" t="str">
        <f>IF('MASTER RECORD'!G551="Sold",'MASTER RECORD'!C551,"")</f>
        <v/>
      </c>
    </row>
    <row r="547" spans="2:8">
      <c r="B547" t="str">
        <f>IF('MASTER RECORD'!F552="Active",'MASTER RECORD'!C552,"")</f>
        <v/>
      </c>
      <c r="H547" t="str">
        <f>IF('MASTER RECORD'!G552="Sold",'MASTER RECORD'!C552,"")</f>
        <v/>
      </c>
    </row>
    <row r="548" spans="2:8">
      <c r="B548" t="str">
        <f>IF('MASTER RECORD'!F553="Active",'MASTER RECORD'!C553,"")</f>
        <v/>
      </c>
      <c r="H548" t="str">
        <f>IF('MASTER RECORD'!G553="Sold",'MASTER RECORD'!C553,"")</f>
        <v/>
      </c>
    </row>
    <row r="549" spans="2:8">
      <c r="B549" t="str">
        <f>IF('MASTER RECORD'!F554="Active",'MASTER RECORD'!C554,"")</f>
        <v/>
      </c>
      <c r="H549" t="str">
        <f>IF('MASTER RECORD'!G554="Sold",'MASTER RECORD'!C554,"")</f>
        <v/>
      </c>
    </row>
    <row r="550" spans="2:8">
      <c r="B550" t="str">
        <f>IF('MASTER RECORD'!F555="Active",'MASTER RECORD'!C555,"")</f>
        <v/>
      </c>
      <c r="H550" t="str">
        <f>IF('MASTER RECORD'!G555="Sold",'MASTER RECORD'!C555,"")</f>
        <v/>
      </c>
    </row>
    <row r="551" spans="2:8">
      <c r="B551" t="str">
        <f>IF('MASTER RECORD'!F556="Active",'MASTER RECORD'!C556,"")</f>
        <v/>
      </c>
      <c r="H551" t="str">
        <f>IF('MASTER RECORD'!G556="Sold",'MASTER RECORD'!C556,"")</f>
        <v/>
      </c>
    </row>
    <row r="552" spans="2:8">
      <c r="B552" t="str">
        <f>IF('MASTER RECORD'!F557="Active",'MASTER RECORD'!C557,"")</f>
        <v/>
      </c>
      <c r="H552" t="str">
        <f>IF('MASTER RECORD'!G557="Sold",'MASTER RECORD'!C557,"")</f>
        <v/>
      </c>
    </row>
    <row r="553" spans="2:8">
      <c r="B553" t="str">
        <f>IF('MASTER RECORD'!F558="Active",'MASTER RECORD'!C558,"")</f>
        <v/>
      </c>
      <c r="H553" t="str">
        <f>IF('MASTER RECORD'!G558="Sold",'MASTER RECORD'!C558,"")</f>
        <v/>
      </c>
    </row>
    <row r="554" spans="2:8">
      <c r="B554" t="str">
        <f>IF('MASTER RECORD'!F559="Active",'MASTER RECORD'!C559,"")</f>
        <v/>
      </c>
      <c r="H554" t="str">
        <f>IF('MASTER RECORD'!G559="Sold",'MASTER RECORD'!C559,"")</f>
        <v/>
      </c>
    </row>
    <row r="555" spans="2:8">
      <c r="B555" t="str">
        <f>IF('MASTER RECORD'!F560="Active",'MASTER RECORD'!C560,"")</f>
        <v/>
      </c>
      <c r="H555" t="str">
        <f>IF('MASTER RECORD'!G560="Sold",'MASTER RECORD'!C560,"")</f>
        <v/>
      </c>
    </row>
    <row r="556" spans="2:8">
      <c r="B556" t="str">
        <f>IF('MASTER RECORD'!F561="Active",'MASTER RECORD'!C561,"")</f>
        <v/>
      </c>
      <c r="H556" t="str">
        <f>IF('MASTER RECORD'!G561="Sold",'MASTER RECORD'!C561,"")</f>
        <v/>
      </c>
    </row>
    <row r="557" spans="2:8">
      <c r="B557" t="str">
        <f>IF('MASTER RECORD'!F562="Active",'MASTER RECORD'!C562,"")</f>
        <v/>
      </c>
      <c r="H557" t="str">
        <f>IF('MASTER RECORD'!G562="Sold",'MASTER RECORD'!C562,"")</f>
        <v/>
      </c>
    </row>
    <row r="558" spans="2:8">
      <c r="B558" t="str">
        <f>IF('MASTER RECORD'!F563="Active",'MASTER RECORD'!C563,"")</f>
        <v/>
      </c>
      <c r="H558" t="str">
        <f>IF('MASTER RECORD'!G563="Sold",'MASTER RECORD'!C563,"")</f>
        <v/>
      </c>
    </row>
    <row r="559" spans="2:8">
      <c r="B559" t="str">
        <f>IF('MASTER RECORD'!F564="Active",'MASTER RECORD'!C564,"")</f>
        <v/>
      </c>
      <c r="H559" t="str">
        <f>IF('MASTER RECORD'!G564="Sold",'MASTER RECORD'!C564,"")</f>
        <v/>
      </c>
    </row>
    <row r="560" spans="2:8">
      <c r="B560" t="str">
        <f>IF('MASTER RECORD'!F565="Active",'MASTER RECORD'!C565,"")</f>
        <v/>
      </c>
      <c r="H560" t="str">
        <f>IF('MASTER RECORD'!G565="Sold",'MASTER RECORD'!C565,"")</f>
        <v/>
      </c>
    </row>
    <row r="561" spans="2:8">
      <c r="B561" t="str">
        <f>IF('MASTER RECORD'!F566="Active",'MASTER RECORD'!C566,"")</f>
        <v/>
      </c>
      <c r="H561" t="str">
        <f>IF('MASTER RECORD'!G566="Sold",'MASTER RECORD'!C566,"")</f>
        <v/>
      </c>
    </row>
    <row r="562" spans="2:8">
      <c r="B562" t="str">
        <f>IF('MASTER RECORD'!F567="Active",'MASTER RECORD'!C567,"")</f>
        <v/>
      </c>
      <c r="H562" t="str">
        <f>IF('MASTER RECORD'!G567="Sold",'MASTER RECORD'!C567,"")</f>
        <v/>
      </c>
    </row>
    <row r="563" spans="2:8">
      <c r="B563" t="str">
        <f>IF('MASTER RECORD'!F568="Active",'MASTER RECORD'!C568,"")</f>
        <v/>
      </c>
      <c r="H563" t="str">
        <f>IF('MASTER RECORD'!G568="Sold",'MASTER RECORD'!C568,"")</f>
        <v/>
      </c>
    </row>
    <row r="564" spans="2:8">
      <c r="B564" t="str">
        <f>IF('MASTER RECORD'!F569="Active",'MASTER RECORD'!C569,"")</f>
        <v/>
      </c>
      <c r="H564" t="str">
        <f>IF('MASTER RECORD'!G569="Sold",'MASTER RECORD'!C569,"")</f>
        <v/>
      </c>
    </row>
    <row r="565" spans="2:8">
      <c r="B565" t="str">
        <f>IF('MASTER RECORD'!F570="Active",'MASTER RECORD'!C570,"")</f>
        <v/>
      </c>
      <c r="H565" t="str">
        <f>IF('MASTER RECORD'!G570="Sold",'MASTER RECORD'!C570,"")</f>
        <v/>
      </c>
    </row>
    <row r="566" spans="2:8">
      <c r="B566" t="str">
        <f>IF('MASTER RECORD'!F571="Active",'MASTER RECORD'!C571,"")</f>
        <v/>
      </c>
      <c r="H566" t="str">
        <f>IF('MASTER RECORD'!G571="Sold",'MASTER RECORD'!C571,"")</f>
        <v/>
      </c>
    </row>
    <row r="567" spans="2:8">
      <c r="B567" t="str">
        <f>IF('MASTER RECORD'!F572="Active",'MASTER RECORD'!C572,"")</f>
        <v/>
      </c>
      <c r="H567" t="str">
        <f>IF('MASTER RECORD'!G572="Sold",'MASTER RECORD'!C572,"")</f>
        <v/>
      </c>
    </row>
    <row r="568" spans="2:8">
      <c r="B568" t="str">
        <f>IF('MASTER RECORD'!F573="Active",'MASTER RECORD'!C573,"")</f>
        <v/>
      </c>
      <c r="H568" t="str">
        <f>IF('MASTER RECORD'!G573="Sold",'MASTER RECORD'!C573,"")</f>
        <v/>
      </c>
    </row>
    <row r="569" spans="2:8">
      <c r="B569" t="str">
        <f>IF('MASTER RECORD'!F574="Active",'MASTER RECORD'!C574,"")</f>
        <v/>
      </c>
      <c r="H569" t="str">
        <f>IF('MASTER RECORD'!G574="Sold",'MASTER RECORD'!C574,"")</f>
        <v/>
      </c>
    </row>
    <row r="570" spans="2:8">
      <c r="B570" t="str">
        <f>IF('MASTER RECORD'!F575="Active",'MASTER RECORD'!C575,"")</f>
        <v/>
      </c>
      <c r="H570" t="str">
        <f>IF('MASTER RECORD'!G575="Sold",'MASTER RECORD'!C575,"")</f>
        <v/>
      </c>
    </row>
    <row r="571" spans="2:8">
      <c r="B571" t="str">
        <f>IF('MASTER RECORD'!F576="Active",'MASTER RECORD'!C576,"")</f>
        <v/>
      </c>
      <c r="H571" t="str">
        <f>IF('MASTER RECORD'!G576="Sold",'MASTER RECORD'!C576,"")</f>
        <v/>
      </c>
    </row>
    <row r="572" spans="2:8">
      <c r="B572" t="str">
        <f>IF('MASTER RECORD'!F577="Active",'MASTER RECORD'!C577,"")</f>
        <v/>
      </c>
      <c r="H572" t="str">
        <f>IF('MASTER RECORD'!G577="Sold",'MASTER RECORD'!C577,"")</f>
        <v/>
      </c>
    </row>
    <row r="573" spans="2:8">
      <c r="B573" t="str">
        <f>IF('MASTER RECORD'!F578="Active",'MASTER RECORD'!C578,"")</f>
        <v/>
      </c>
      <c r="H573" t="str">
        <f>IF('MASTER RECORD'!G578="Sold",'MASTER RECORD'!C578,"")</f>
        <v/>
      </c>
    </row>
    <row r="574" spans="2:8">
      <c r="B574" t="str">
        <f>IF('MASTER RECORD'!F579="Active",'MASTER RECORD'!C579,"")</f>
        <v/>
      </c>
      <c r="H574" t="str">
        <f>IF('MASTER RECORD'!G579="Sold",'MASTER RECORD'!C579,"")</f>
        <v/>
      </c>
    </row>
    <row r="575" spans="2:8">
      <c r="B575" t="str">
        <f>IF('MASTER RECORD'!F580="Active",'MASTER RECORD'!C580,"")</f>
        <v/>
      </c>
      <c r="H575" t="str">
        <f>IF('MASTER RECORD'!G580="Sold",'MASTER RECORD'!C580,"")</f>
        <v/>
      </c>
    </row>
    <row r="576" spans="2:8">
      <c r="B576" t="str">
        <f>IF('MASTER RECORD'!F581="Active",'MASTER RECORD'!C581,"")</f>
        <v/>
      </c>
      <c r="H576" t="str">
        <f>IF('MASTER RECORD'!G581="Sold",'MASTER RECORD'!C581,"")</f>
        <v/>
      </c>
    </row>
    <row r="577" spans="2:8">
      <c r="B577" t="str">
        <f>IF('MASTER RECORD'!F582="Active",'MASTER RECORD'!C582,"")</f>
        <v/>
      </c>
      <c r="H577" t="str">
        <f>IF('MASTER RECORD'!G582="Sold",'MASTER RECORD'!C582,"")</f>
        <v/>
      </c>
    </row>
    <row r="578" spans="2:8">
      <c r="B578" t="str">
        <f>IF('MASTER RECORD'!F583="Active",'MASTER RECORD'!C583,"")</f>
        <v/>
      </c>
      <c r="H578" t="str">
        <f>IF('MASTER RECORD'!G583="Sold",'MASTER RECORD'!C583,"")</f>
        <v/>
      </c>
    </row>
    <row r="579" spans="2:8">
      <c r="B579" t="str">
        <f>IF('MASTER RECORD'!F584="Active",'MASTER RECORD'!C584,"")</f>
        <v/>
      </c>
      <c r="H579" t="str">
        <f>IF('MASTER RECORD'!G584="Sold",'MASTER RECORD'!C584,"")</f>
        <v/>
      </c>
    </row>
    <row r="580" spans="2:8">
      <c r="B580" t="str">
        <f>IF('MASTER RECORD'!F585="Active",'MASTER RECORD'!C585,"")</f>
        <v/>
      </c>
      <c r="H580" t="str">
        <f>IF('MASTER RECORD'!G585="Sold",'MASTER RECORD'!C585,"")</f>
        <v/>
      </c>
    </row>
    <row r="581" spans="2:8">
      <c r="B581" t="str">
        <f>IF('MASTER RECORD'!F586="Active",'MASTER RECORD'!C586,"")</f>
        <v/>
      </c>
      <c r="H581" t="str">
        <f>IF('MASTER RECORD'!G586="Sold",'MASTER RECORD'!C586,"")</f>
        <v/>
      </c>
    </row>
    <row r="582" spans="2:8">
      <c r="B582" t="str">
        <f>IF('MASTER RECORD'!F587="Active",'MASTER RECORD'!C587,"")</f>
        <v/>
      </c>
      <c r="H582" t="str">
        <f>IF('MASTER RECORD'!G587="Sold",'MASTER RECORD'!C587,"")</f>
        <v/>
      </c>
    </row>
    <row r="583" spans="2:8">
      <c r="B583" t="str">
        <f>IF('MASTER RECORD'!F588="Active",'MASTER RECORD'!C588,"")</f>
        <v/>
      </c>
      <c r="H583" t="str">
        <f>IF('MASTER RECORD'!G588="Sold",'MASTER RECORD'!C588,"")</f>
        <v/>
      </c>
    </row>
    <row r="584" spans="2:8">
      <c r="B584" t="str">
        <f>IF('MASTER RECORD'!F589="Active",'MASTER RECORD'!C589,"")</f>
        <v/>
      </c>
      <c r="H584" t="str">
        <f>IF('MASTER RECORD'!G589="Sold",'MASTER RECORD'!C589,"")</f>
        <v/>
      </c>
    </row>
    <row r="585" spans="2:8">
      <c r="B585" t="str">
        <f>IF('MASTER RECORD'!F590="Active",'MASTER RECORD'!C590,"")</f>
        <v/>
      </c>
      <c r="H585" t="str">
        <f>IF('MASTER RECORD'!G590="Sold",'MASTER RECORD'!C590,"")</f>
        <v/>
      </c>
    </row>
    <row r="586" spans="2:8">
      <c r="B586" t="str">
        <f>IF('MASTER RECORD'!F591="Active",'MASTER RECORD'!C591,"")</f>
        <v/>
      </c>
      <c r="H586" t="str">
        <f>IF('MASTER RECORD'!G591="Sold",'MASTER RECORD'!C591,"")</f>
        <v/>
      </c>
    </row>
    <row r="587" spans="2:8">
      <c r="B587" t="str">
        <f>IF('MASTER RECORD'!F592="Active",'MASTER RECORD'!C592,"")</f>
        <v/>
      </c>
      <c r="H587" t="str">
        <f>IF('MASTER RECORD'!G592="Sold",'MASTER RECORD'!C592,"")</f>
        <v/>
      </c>
    </row>
    <row r="588" spans="2:8">
      <c r="B588" t="str">
        <f>IF('MASTER RECORD'!F593="Active",'MASTER RECORD'!C593,"")</f>
        <v/>
      </c>
      <c r="H588" t="str">
        <f>IF('MASTER RECORD'!G593="Sold",'MASTER RECORD'!C593,"")</f>
        <v/>
      </c>
    </row>
    <row r="589" spans="2:8">
      <c r="B589" t="str">
        <f>IF('MASTER RECORD'!F594="Active",'MASTER RECORD'!C594,"")</f>
        <v/>
      </c>
      <c r="H589" t="str">
        <f>IF('MASTER RECORD'!G594="Sold",'MASTER RECORD'!C594,"")</f>
        <v/>
      </c>
    </row>
    <row r="590" spans="2:8">
      <c r="B590" t="str">
        <f>IF('MASTER RECORD'!F595="Active",'MASTER RECORD'!C595,"")</f>
        <v/>
      </c>
      <c r="H590" t="str">
        <f>IF('MASTER RECORD'!G595="Sold",'MASTER RECORD'!C595,"")</f>
        <v/>
      </c>
    </row>
    <row r="591" spans="2:8">
      <c r="B591" t="str">
        <f>IF('MASTER RECORD'!F596="Active",'MASTER RECORD'!C596,"")</f>
        <v/>
      </c>
      <c r="H591" t="str">
        <f>IF('MASTER RECORD'!G596="Sold",'MASTER RECORD'!C596,"")</f>
        <v/>
      </c>
    </row>
    <row r="592" spans="2:8">
      <c r="B592" t="str">
        <f>IF('MASTER RECORD'!F597="Active",'MASTER RECORD'!C597,"")</f>
        <v/>
      </c>
      <c r="H592" t="str">
        <f>IF('MASTER RECORD'!G597="Sold",'MASTER RECORD'!C597,"")</f>
        <v/>
      </c>
    </row>
    <row r="593" spans="2:8">
      <c r="B593" t="str">
        <f>IF('MASTER RECORD'!F598="Active",'MASTER RECORD'!C598,"")</f>
        <v/>
      </c>
      <c r="H593" t="str">
        <f>IF('MASTER RECORD'!G598="Sold",'MASTER RECORD'!C598,"")</f>
        <v/>
      </c>
    </row>
    <row r="594" spans="2:8">
      <c r="B594" t="str">
        <f>IF('MASTER RECORD'!F599="Active",'MASTER RECORD'!C599,"")</f>
        <v/>
      </c>
      <c r="H594" t="str">
        <f>IF('MASTER RECORD'!G599="Sold",'MASTER RECORD'!C599,"")</f>
        <v/>
      </c>
    </row>
    <row r="595" spans="2:8">
      <c r="B595" t="str">
        <f>IF('MASTER RECORD'!F600="Active",'MASTER RECORD'!C600,"")</f>
        <v/>
      </c>
      <c r="H595" t="str">
        <f>IF('MASTER RECORD'!G600="Sold",'MASTER RECORD'!C600,"")</f>
        <v/>
      </c>
    </row>
    <row r="596" spans="2:8">
      <c r="B596" t="str">
        <f>IF('MASTER RECORD'!F601="Active",'MASTER RECORD'!C601,"")</f>
        <v/>
      </c>
      <c r="H596" t="str">
        <f>IF('MASTER RECORD'!G601="Sold",'MASTER RECORD'!C601,"")</f>
        <v/>
      </c>
    </row>
    <row r="597" spans="2:8">
      <c r="B597" t="str">
        <f>IF('MASTER RECORD'!F602="Active",'MASTER RECORD'!C602,"")</f>
        <v/>
      </c>
      <c r="H597" t="str">
        <f>IF('MASTER RECORD'!G602="Sold",'MASTER RECORD'!C602,"")</f>
        <v/>
      </c>
    </row>
    <row r="598" spans="2:8">
      <c r="B598" t="str">
        <f>IF('MASTER RECORD'!F603="Active",'MASTER RECORD'!C603,"")</f>
        <v/>
      </c>
      <c r="H598" t="str">
        <f>IF('MASTER RECORD'!G603="Sold",'MASTER RECORD'!C603,"")</f>
        <v/>
      </c>
    </row>
    <row r="599" spans="2:8">
      <c r="B599" t="str">
        <f>IF('MASTER RECORD'!F604="Active",'MASTER RECORD'!C604,"")</f>
        <v/>
      </c>
      <c r="H599" t="str">
        <f>IF('MASTER RECORD'!G604="Sold",'MASTER RECORD'!C604,"")</f>
        <v/>
      </c>
    </row>
    <row r="600" spans="2:8">
      <c r="B600" t="str">
        <f>IF('MASTER RECORD'!F605="Active",'MASTER RECORD'!C605,"")</f>
        <v/>
      </c>
      <c r="H600" t="str">
        <f>IF('MASTER RECORD'!G605="Sold",'MASTER RECORD'!C605,"")</f>
        <v/>
      </c>
    </row>
    <row r="601" spans="2:8">
      <c r="B601" t="str">
        <f>IF('MASTER RECORD'!F606="Active",'MASTER RECORD'!C606,"")</f>
        <v/>
      </c>
      <c r="H601" t="str">
        <f>IF('MASTER RECORD'!G606="Sold",'MASTER RECORD'!C606,"")</f>
        <v/>
      </c>
    </row>
    <row r="602" spans="2:8">
      <c r="B602" t="str">
        <f>IF('MASTER RECORD'!F607="Active",'MASTER RECORD'!C607,"")</f>
        <v/>
      </c>
      <c r="H602" t="str">
        <f>IF('MASTER RECORD'!G607="Sold",'MASTER RECORD'!C607,"")</f>
        <v/>
      </c>
    </row>
    <row r="603" spans="2:8">
      <c r="B603" t="str">
        <f>IF('MASTER RECORD'!F608="Active",'MASTER RECORD'!C608,"")</f>
        <v/>
      </c>
      <c r="H603" t="str">
        <f>IF('MASTER RECORD'!G608="Sold",'MASTER RECORD'!C608,"")</f>
        <v/>
      </c>
    </row>
    <row r="604" spans="2:8">
      <c r="B604" t="str">
        <f>IF('MASTER RECORD'!F609="Active",'MASTER RECORD'!C609,"")</f>
        <v/>
      </c>
      <c r="H604" t="str">
        <f>IF('MASTER RECORD'!G609="Sold",'MASTER RECORD'!C609,"")</f>
        <v/>
      </c>
    </row>
    <row r="605" spans="2:8">
      <c r="B605" t="str">
        <f>IF('MASTER RECORD'!F610="Active",'MASTER RECORD'!C610,"")</f>
        <v/>
      </c>
      <c r="H605" t="str">
        <f>IF('MASTER RECORD'!G610="Sold",'MASTER RECORD'!C610,"")</f>
        <v/>
      </c>
    </row>
    <row r="606" spans="2:8">
      <c r="B606" t="str">
        <f>IF('MASTER RECORD'!F611="Active",'MASTER RECORD'!C611,"")</f>
        <v/>
      </c>
      <c r="H606" t="str">
        <f>IF('MASTER RECORD'!G611="Sold",'MASTER RECORD'!C611,"")</f>
        <v/>
      </c>
    </row>
    <row r="607" spans="2:8">
      <c r="B607" t="str">
        <f>IF('MASTER RECORD'!F612="Active",'MASTER RECORD'!C612,"")</f>
        <v/>
      </c>
      <c r="H607" t="str">
        <f>IF('MASTER RECORD'!G612="Sold",'MASTER RECORD'!C612,"")</f>
        <v/>
      </c>
    </row>
    <row r="608" spans="2:8">
      <c r="B608" t="str">
        <f>IF('MASTER RECORD'!F613="Active",'MASTER RECORD'!C613,"")</f>
        <v/>
      </c>
      <c r="H608" t="str">
        <f>IF('MASTER RECORD'!G613="Sold",'MASTER RECORD'!C613,"")</f>
        <v/>
      </c>
    </row>
    <row r="609" spans="2:8">
      <c r="B609" t="str">
        <f>IF('MASTER RECORD'!F614="Active",'MASTER RECORD'!C614,"")</f>
        <v/>
      </c>
      <c r="H609" t="str">
        <f>IF('MASTER RECORD'!G614="Sold",'MASTER RECORD'!C614,"")</f>
        <v/>
      </c>
    </row>
    <row r="610" spans="2:8">
      <c r="B610" t="str">
        <f>IF('MASTER RECORD'!F615="Active",'MASTER RECORD'!C615,"")</f>
        <v/>
      </c>
      <c r="H610" t="str">
        <f>IF('MASTER RECORD'!G615="Sold",'MASTER RECORD'!C615,"")</f>
        <v/>
      </c>
    </row>
    <row r="611" spans="2:8">
      <c r="B611" t="str">
        <f>IF('MASTER RECORD'!F616="Active",'MASTER RECORD'!C616,"")</f>
        <v/>
      </c>
      <c r="H611" t="str">
        <f>IF('MASTER RECORD'!G616="Sold",'MASTER RECORD'!C616,"")</f>
        <v/>
      </c>
    </row>
    <row r="612" spans="2:8">
      <c r="B612" t="str">
        <f>IF('MASTER RECORD'!F617="Active",'MASTER RECORD'!C617,"")</f>
        <v/>
      </c>
      <c r="H612" t="str">
        <f>IF('MASTER RECORD'!G617="Sold",'MASTER RECORD'!C617,"")</f>
        <v/>
      </c>
    </row>
    <row r="613" spans="2:8">
      <c r="B613" t="str">
        <f>IF('MASTER RECORD'!F618="Active",'MASTER RECORD'!C618,"")</f>
        <v/>
      </c>
      <c r="H613" t="str">
        <f>IF('MASTER RECORD'!G618="Sold",'MASTER RECORD'!C618,"")</f>
        <v/>
      </c>
    </row>
    <row r="614" spans="2:8">
      <c r="B614" t="str">
        <f>IF('MASTER RECORD'!F619="Active",'MASTER RECORD'!C619,"")</f>
        <v/>
      </c>
      <c r="H614" t="str">
        <f>IF('MASTER RECORD'!G619="Sold",'MASTER RECORD'!C619,"")</f>
        <v/>
      </c>
    </row>
    <row r="615" spans="2:8">
      <c r="B615" t="str">
        <f>IF('MASTER RECORD'!F620="Active",'MASTER RECORD'!C620,"")</f>
        <v/>
      </c>
      <c r="H615" t="str">
        <f>IF('MASTER RECORD'!G620="Sold",'MASTER RECORD'!C620,"")</f>
        <v/>
      </c>
    </row>
    <row r="616" spans="2:8">
      <c r="B616" t="str">
        <f>IF('MASTER RECORD'!F621="Active",'MASTER RECORD'!C621,"")</f>
        <v/>
      </c>
      <c r="H616" t="str">
        <f>IF('MASTER RECORD'!G621="Sold",'MASTER RECORD'!C621,"")</f>
        <v/>
      </c>
    </row>
    <row r="617" spans="2:8">
      <c r="B617" t="str">
        <f>IF('MASTER RECORD'!F622="Active",'MASTER RECORD'!C622,"")</f>
        <v/>
      </c>
      <c r="H617" t="str">
        <f>IF('MASTER RECORD'!G622="Sold",'MASTER RECORD'!C622,"")</f>
        <v/>
      </c>
    </row>
    <row r="618" spans="2:8">
      <c r="B618" t="str">
        <f>IF('MASTER RECORD'!F623="Active",'MASTER RECORD'!C623,"")</f>
        <v/>
      </c>
      <c r="H618" t="str">
        <f>IF('MASTER RECORD'!G623="Sold",'MASTER RECORD'!C623,"")</f>
        <v/>
      </c>
    </row>
    <row r="619" spans="2:8">
      <c r="B619" t="str">
        <f>IF('MASTER RECORD'!F624="Active",'MASTER RECORD'!C624,"")</f>
        <v/>
      </c>
      <c r="H619" t="str">
        <f>IF('MASTER RECORD'!G624="Sold",'MASTER RECORD'!C624,"")</f>
        <v/>
      </c>
    </row>
    <row r="620" spans="2:8">
      <c r="B620" t="str">
        <f>IF('MASTER RECORD'!F625="Active",'MASTER RECORD'!C625,"")</f>
        <v/>
      </c>
      <c r="H620" t="str">
        <f>IF('MASTER RECORD'!G625="Sold",'MASTER RECORD'!C625,"")</f>
        <v/>
      </c>
    </row>
    <row r="621" spans="2:8">
      <c r="B621" t="str">
        <f>IF('MASTER RECORD'!F626="Active",'MASTER RECORD'!C626,"")</f>
        <v/>
      </c>
      <c r="H621" t="str">
        <f>IF('MASTER RECORD'!G626="Sold",'MASTER RECORD'!C626,"")</f>
        <v/>
      </c>
    </row>
    <row r="622" spans="2:8">
      <c r="B622" t="str">
        <f>IF('MASTER RECORD'!F627="Active",'MASTER RECORD'!C627,"")</f>
        <v/>
      </c>
      <c r="H622" t="str">
        <f>IF('MASTER RECORD'!G627="Sold",'MASTER RECORD'!C627,"")</f>
        <v/>
      </c>
    </row>
    <row r="623" spans="2:8">
      <c r="B623" t="str">
        <f>IF('MASTER RECORD'!F628="Active",'MASTER RECORD'!C628,"")</f>
        <v/>
      </c>
      <c r="H623" t="str">
        <f>IF('MASTER RECORD'!G628="Sold",'MASTER RECORD'!C628,"")</f>
        <v/>
      </c>
    </row>
    <row r="624" spans="2:8">
      <c r="B624" t="str">
        <f>IF('MASTER RECORD'!F629="Active",'MASTER RECORD'!C629,"")</f>
        <v/>
      </c>
      <c r="H624" t="str">
        <f>IF('MASTER RECORD'!G629="Sold",'MASTER RECORD'!C629,"")</f>
        <v/>
      </c>
    </row>
    <row r="625" spans="2:8">
      <c r="B625" t="str">
        <f>IF('MASTER RECORD'!F630="Active",'MASTER RECORD'!C630,"")</f>
        <v/>
      </c>
      <c r="H625" t="str">
        <f>IF('MASTER RECORD'!G630="Sold",'MASTER RECORD'!C630,"")</f>
        <v/>
      </c>
    </row>
    <row r="626" spans="2:8">
      <c r="B626" t="str">
        <f>IF('MASTER RECORD'!F631="Active",'MASTER RECORD'!C631,"")</f>
        <v/>
      </c>
      <c r="H626" t="str">
        <f>IF('MASTER RECORD'!G631="Sold",'MASTER RECORD'!C631,"")</f>
        <v/>
      </c>
    </row>
    <row r="627" spans="2:8">
      <c r="B627" t="str">
        <f>IF('MASTER RECORD'!F632="Active",'MASTER RECORD'!C632,"")</f>
        <v/>
      </c>
      <c r="H627" t="str">
        <f>IF('MASTER RECORD'!G632="Sold",'MASTER RECORD'!C632,"")</f>
        <v/>
      </c>
    </row>
    <row r="628" spans="2:8">
      <c r="B628" t="str">
        <f>IF('MASTER RECORD'!F633="Active",'MASTER RECORD'!C633,"")</f>
        <v/>
      </c>
      <c r="H628" t="str">
        <f>IF('MASTER RECORD'!G633="Sold",'MASTER RECORD'!C633,"")</f>
        <v/>
      </c>
    </row>
    <row r="629" spans="2:8">
      <c r="B629" t="str">
        <f>IF('MASTER RECORD'!F634="Active",'MASTER RECORD'!C634,"")</f>
        <v/>
      </c>
      <c r="H629" t="str">
        <f>IF('MASTER RECORD'!G634="Sold",'MASTER RECORD'!C634,"")</f>
        <v/>
      </c>
    </row>
    <row r="630" spans="2:8">
      <c r="B630" t="str">
        <f>IF('MASTER RECORD'!F635="Active",'MASTER RECORD'!C635,"")</f>
        <v/>
      </c>
      <c r="H630" t="str">
        <f>IF('MASTER RECORD'!G635="Sold",'MASTER RECORD'!C635,"")</f>
        <v/>
      </c>
    </row>
    <row r="631" spans="2:8">
      <c r="B631" t="str">
        <f>IF('MASTER RECORD'!F636="Active",'MASTER RECORD'!C636,"")</f>
        <v/>
      </c>
      <c r="H631" t="str">
        <f>IF('MASTER RECORD'!G636="Sold",'MASTER RECORD'!C636,"")</f>
        <v/>
      </c>
    </row>
    <row r="632" spans="2:8">
      <c r="B632" t="str">
        <f>IF('MASTER RECORD'!F637="Active",'MASTER RECORD'!C637,"")</f>
        <v/>
      </c>
      <c r="H632" t="str">
        <f>IF('MASTER RECORD'!G637="Sold",'MASTER RECORD'!C637,"")</f>
        <v/>
      </c>
    </row>
    <row r="633" spans="2:8">
      <c r="B633" t="str">
        <f>IF('MASTER RECORD'!F638="Active",'MASTER RECORD'!C638,"")</f>
        <v/>
      </c>
      <c r="H633" t="str">
        <f>IF('MASTER RECORD'!G638="Sold",'MASTER RECORD'!C638,"")</f>
        <v/>
      </c>
    </row>
    <row r="634" spans="2:8">
      <c r="B634" t="str">
        <f>IF('MASTER RECORD'!F639="Active",'MASTER RECORD'!C639,"")</f>
        <v/>
      </c>
      <c r="H634" t="str">
        <f>IF('MASTER RECORD'!G639="Sold",'MASTER RECORD'!C639,"")</f>
        <v/>
      </c>
    </row>
    <row r="635" spans="2:8">
      <c r="B635" t="str">
        <f>IF('MASTER RECORD'!F640="Active",'MASTER RECORD'!C640,"")</f>
        <v/>
      </c>
      <c r="H635" t="str">
        <f>IF('MASTER RECORD'!G640="Sold",'MASTER RECORD'!C640,"")</f>
        <v/>
      </c>
    </row>
    <row r="636" spans="2:8">
      <c r="B636" t="str">
        <f>IF('MASTER RECORD'!F641="Active",'MASTER RECORD'!C641,"")</f>
        <v/>
      </c>
      <c r="H636" t="str">
        <f>IF('MASTER RECORD'!G641="Sold",'MASTER RECORD'!C641,"")</f>
        <v/>
      </c>
    </row>
    <row r="637" spans="2:8">
      <c r="B637" t="str">
        <f>IF('MASTER RECORD'!F642="Active",'MASTER RECORD'!C642,"")</f>
        <v/>
      </c>
      <c r="H637" t="str">
        <f>IF('MASTER RECORD'!G642="Sold",'MASTER RECORD'!C642,"")</f>
        <v/>
      </c>
    </row>
    <row r="638" spans="2:8">
      <c r="B638" t="str">
        <f>IF('MASTER RECORD'!F643="Active",'MASTER RECORD'!C643,"")</f>
        <v/>
      </c>
      <c r="H638" t="str">
        <f>IF('MASTER RECORD'!G643="Sold",'MASTER RECORD'!C643,"")</f>
        <v/>
      </c>
    </row>
    <row r="639" spans="2:8">
      <c r="B639" t="str">
        <f>IF('MASTER RECORD'!F644="Active",'MASTER RECORD'!C644,"")</f>
        <v/>
      </c>
      <c r="H639" t="str">
        <f>IF('MASTER RECORD'!G644="Sold",'MASTER RECORD'!C644,"")</f>
        <v/>
      </c>
    </row>
    <row r="640" spans="2:8">
      <c r="B640" t="str">
        <f>IF('MASTER RECORD'!F645="Active",'MASTER RECORD'!C645,"")</f>
        <v/>
      </c>
      <c r="H640" t="str">
        <f>IF('MASTER RECORD'!G645="Sold",'MASTER RECORD'!C645,"")</f>
        <v/>
      </c>
    </row>
    <row r="641" spans="2:8">
      <c r="B641" t="str">
        <f>IF('MASTER RECORD'!F646="Active",'MASTER RECORD'!C646,"")</f>
        <v/>
      </c>
      <c r="H641" t="str">
        <f>IF('MASTER RECORD'!G646="Sold",'MASTER RECORD'!C646,"")</f>
        <v/>
      </c>
    </row>
    <row r="642" spans="2:8">
      <c r="B642" t="str">
        <f>IF('MASTER RECORD'!F647="Active",'MASTER RECORD'!C647,"")</f>
        <v/>
      </c>
      <c r="H642" t="str">
        <f>IF('MASTER RECORD'!G647="Sold",'MASTER RECORD'!C647,"")</f>
        <v/>
      </c>
    </row>
    <row r="643" spans="2:8">
      <c r="B643" t="str">
        <f>IF('MASTER RECORD'!F648="Active",'MASTER RECORD'!C648,"")</f>
        <v/>
      </c>
      <c r="H643" t="str">
        <f>IF('MASTER RECORD'!G648="Sold",'MASTER RECORD'!C648,"")</f>
        <v/>
      </c>
    </row>
    <row r="644" spans="2:8">
      <c r="B644" t="str">
        <f>IF('MASTER RECORD'!F649="Active",'MASTER RECORD'!C649,"")</f>
        <v/>
      </c>
      <c r="H644" t="str">
        <f>IF('MASTER RECORD'!G649="Sold",'MASTER RECORD'!C649,"")</f>
        <v/>
      </c>
    </row>
    <row r="645" spans="2:8">
      <c r="B645" t="str">
        <f>IF('MASTER RECORD'!F650="Active",'MASTER RECORD'!C650,"")</f>
        <v/>
      </c>
      <c r="H645" t="str">
        <f>IF('MASTER RECORD'!G650="Sold",'MASTER RECORD'!C650,"")</f>
        <v/>
      </c>
    </row>
    <row r="646" spans="2:8">
      <c r="B646" t="str">
        <f>IF('MASTER RECORD'!F651="Active",'MASTER RECORD'!C651,"")</f>
        <v/>
      </c>
      <c r="H646" t="str">
        <f>IF('MASTER RECORD'!G651="Sold",'MASTER RECORD'!C651,"")</f>
        <v/>
      </c>
    </row>
    <row r="647" spans="2:8">
      <c r="B647" t="str">
        <f>IF('MASTER RECORD'!F652="Active",'MASTER RECORD'!C652,"")</f>
        <v/>
      </c>
      <c r="H647" t="str">
        <f>IF('MASTER RECORD'!G652="Sold",'MASTER RECORD'!C652,"")</f>
        <v/>
      </c>
    </row>
    <row r="648" spans="2:8">
      <c r="B648" t="str">
        <f>IF('MASTER RECORD'!F653="Active",'MASTER RECORD'!C653,"")</f>
        <v/>
      </c>
      <c r="H648" t="str">
        <f>IF('MASTER RECORD'!G653="Sold",'MASTER RECORD'!C653,"")</f>
        <v/>
      </c>
    </row>
    <row r="649" spans="2:8">
      <c r="B649" t="str">
        <f>IF('MASTER RECORD'!F654="Active",'MASTER RECORD'!C654,"")</f>
        <v/>
      </c>
      <c r="H649" t="str">
        <f>IF('MASTER RECORD'!G654="Sold",'MASTER RECORD'!C654,"")</f>
        <v/>
      </c>
    </row>
    <row r="650" spans="2:8">
      <c r="B650" t="str">
        <f>IF('MASTER RECORD'!F655="Active",'MASTER RECORD'!C655,"")</f>
        <v/>
      </c>
      <c r="H650" t="str">
        <f>IF('MASTER RECORD'!G655="Sold",'MASTER RECORD'!C655,"")</f>
        <v/>
      </c>
    </row>
    <row r="651" spans="2:8">
      <c r="B651" t="str">
        <f>IF('MASTER RECORD'!F656="Active",'MASTER RECORD'!C656,"")</f>
        <v/>
      </c>
      <c r="H651" t="str">
        <f>IF('MASTER RECORD'!G656="Sold",'MASTER RECORD'!C656,"")</f>
        <v/>
      </c>
    </row>
    <row r="652" spans="2:8">
      <c r="B652" t="str">
        <f>IF('MASTER RECORD'!F657="Active",'MASTER RECORD'!C657,"")</f>
        <v/>
      </c>
      <c r="H652" t="str">
        <f>IF('MASTER RECORD'!G657="Sold",'MASTER RECORD'!C657,"")</f>
        <v/>
      </c>
    </row>
    <row r="653" spans="2:8">
      <c r="B653" t="str">
        <f>IF('MASTER RECORD'!F658="Active",'MASTER RECORD'!C658,"")</f>
        <v/>
      </c>
      <c r="H653" t="str">
        <f>IF('MASTER RECORD'!G658="Sold",'MASTER RECORD'!C658,"")</f>
        <v/>
      </c>
    </row>
    <row r="654" spans="2:8">
      <c r="B654" t="str">
        <f>IF('MASTER RECORD'!F659="Active",'MASTER RECORD'!C659,"")</f>
        <v/>
      </c>
      <c r="H654" t="str">
        <f>IF('MASTER RECORD'!G659="Sold",'MASTER RECORD'!C659,"")</f>
        <v/>
      </c>
    </row>
    <row r="655" spans="2:8">
      <c r="B655" t="str">
        <f>IF('MASTER RECORD'!F660="Active",'MASTER RECORD'!C660,"")</f>
        <v/>
      </c>
      <c r="H655" t="str">
        <f>IF('MASTER RECORD'!G660="Sold",'MASTER RECORD'!C660,"")</f>
        <v/>
      </c>
    </row>
    <row r="656" spans="2:8">
      <c r="B656" t="str">
        <f>IF('MASTER RECORD'!F661="Active",'MASTER RECORD'!C661,"")</f>
        <v/>
      </c>
      <c r="H656" t="str">
        <f>IF('MASTER RECORD'!G661="Sold",'MASTER RECORD'!C661,"")</f>
        <v/>
      </c>
    </row>
    <row r="657" spans="2:8">
      <c r="B657" t="str">
        <f>IF('MASTER RECORD'!F662="Active",'MASTER RECORD'!C662,"")</f>
        <v/>
      </c>
      <c r="H657" t="str">
        <f>IF('MASTER RECORD'!G662="Sold",'MASTER RECORD'!C662,"")</f>
        <v/>
      </c>
    </row>
    <row r="658" spans="2:8">
      <c r="B658" t="str">
        <f>IF('MASTER RECORD'!F663="Active",'MASTER RECORD'!C663,"")</f>
        <v/>
      </c>
      <c r="H658" t="str">
        <f>IF('MASTER RECORD'!G663="Sold",'MASTER RECORD'!C663,"")</f>
        <v/>
      </c>
    </row>
    <row r="659" spans="2:8">
      <c r="B659" t="str">
        <f>IF('MASTER RECORD'!F664="Active",'MASTER RECORD'!C664,"")</f>
        <v/>
      </c>
      <c r="H659" t="str">
        <f>IF('MASTER RECORD'!G664="Sold",'MASTER RECORD'!C664,"")</f>
        <v/>
      </c>
    </row>
    <row r="660" spans="2:8">
      <c r="B660" t="str">
        <f>IF('MASTER RECORD'!F665="Active",'MASTER RECORD'!C665,"")</f>
        <v/>
      </c>
      <c r="H660" t="str">
        <f>IF('MASTER RECORD'!G665="Sold",'MASTER RECORD'!C665,"")</f>
        <v/>
      </c>
    </row>
    <row r="661" spans="2:8">
      <c r="B661" t="str">
        <f>IF('MASTER RECORD'!F666="Active",'MASTER RECORD'!C666,"")</f>
        <v/>
      </c>
      <c r="H661" t="str">
        <f>IF('MASTER RECORD'!G666="Sold",'MASTER RECORD'!C666,"")</f>
        <v/>
      </c>
    </row>
    <row r="662" spans="2:8">
      <c r="B662" t="str">
        <f>IF('MASTER RECORD'!F667="Active",'MASTER RECORD'!C667,"")</f>
        <v/>
      </c>
      <c r="H662" t="str">
        <f>IF('MASTER RECORD'!G667="Sold",'MASTER RECORD'!C667,"")</f>
        <v/>
      </c>
    </row>
    <row r="663" spans="2:8">
      <c r="B663" t="str">
        <f>IF('MASTER RECORD'!F668="Active",'MASTER RECORD'!C668,"")</f>
        <v/>
      </c>
      <c r="H663" t="str">
        <f>IF('MASTER RECORD'!G668="Sold",'MASTER RECORD'!C668,"")</f>
        <v/>
      </c>
    </row>
    <row r="664" spans="2:8">
      <c r="B664" t="str">
        <f>IF('MASTER RECORD'!F669="Active",'MASTER RECORD'!C669,"")</f>
        <v/>
      </c>
      <c r="H664" t="str">
        <f>IF('MASTER RECORD'!G669="Sold",'MASTER RECORD'!C669,"")</f>
        <v/>
      </c>
    </row>
    <row r="665" spans="2:8">
      <c r="B665" t="str">
        <f>IF('MASTER RECORD'!F670="Active",'MASTER RECORD'!C670,"")</f>
        <v/>
      </c>
      <c r="H665" t="str">
        <f>IF('MASTER RECORD'!G670="Sold",'MASTER RECORD'!C670,"")</f>
        <v/>
      </c>
    </row>
    <row r="666" spans="2:8">
      <c r="B666" t="str">
        <f>IF('MASTER RECORD'!F671="Active",'MASTER RECORD'!C671,"")</f>
        <v/>
      </c>
      <c r="H666" t="str">
        <f>IF('MASTER RECORD'!G671="Sold",'MASTER RECORD'!C671,"")</f>
        <v/>
      </c>
    </row>
    <row r="667" spans="2:8">
      <c r="B667" t="str">
        <f>IF('MASTER RECORD'!F672="Active",'MASTER RECORD'!C672,"")</f>
        <v/>
      </c>
      <c r="H667" t="str">
        <f>IF('MASTER RECORD'!G672="Sold",'MASTER RECORD'!C672,"")</f>
        <v/>
      </c>
    </row>
    <row r="668" spans="2:8">
      <c r="B668" t="str">
        <f>IF('MASTER RECORD'!F673="Active",'MASTER RECORD'!C673,"")</f>
        <v/>
      </c>
      <c r="H668" t="str">
        <f>IF('MASTER RECORD'!G673="Sold",'MASTER RECORD'!C673,"")</f>
        <v/>
      </c>
    </row>
    <row r="669" spans="2:8">
      <c r="B669" t="str">
        <f>IF('MASTER RECORD'!F674="Active",'MASTER RECORD'!C674,"")</f>
        <v/>
      </c>
      <c r="H669" t="str">
        <f>IF('MASTER RECORD'!G674="Sold",'MASTER RECORD'!C674,"")</f>
        <v/>
      </c>
    </row>
    <row r="670" spans="2:8">
      <c r="B670" t="str">
        <f>IF('MASTER RECORD'!F675="Active",'MASTER RECORD'!C675,"")</f>
        <v/>
      </c>
      <c r="H670" t="str">
        <f>IF('MASTER RECORD'!G675="Sold",'MASTER RECORD'!C675,"")</f>
        <v/>
      </c>
    </row>
    <row r="671" spans="2:8">
      <c r="B671" t="str">
        <f>IF('MASTER RECORD'!F676="Active",'MASTER RECORD'!C676,"")</f>
        <v/>
      </c>
      <c r="H671" t="str">
        <f>IF('MASTER RECORD'!G676="Sold",'MASTER RECORD'!C676,"")</f>
        <v/>
      </c>
    </row>
    <row r="672" spans="2:8">
      <c r="B672" t="str">
        <f>IF('MASTER RECORD'!F677="Active",'MASTER RECORD'!C677,"")</f>
        <v/>
      </c>
      <c r="H672" t="str">
        <f>IF('MASTER RECORD'!G677="Sold",'MASTER RECORD'!C677,"")</f>
        <v/>
      </c>
    </row>
    <row r="673" spans="2:8">
      <c r="B673" t="str">
        <f>IF('MASTER RECORD'!F678="Active",'MASTER RECORD'!C678,"")</f>
        <v/>
      </c>
      <c r="H673" t="str">
        <f>IF('MASTER RECORD'!G678="Sold",'MASTER RECORD'!C678,"")</f>
        <v/>
      </c>
    </row>
    <row r="674" spans="2:8">
      <c r="B674" t="str">
        <f>IF('MASTER RECORD'!F679="Active",'MASTER RECORD'!C679,"")</f>
        <v/>
      </c>
      <c r="H674" t="str">
        <f>IF('MASTER RECORD'!G679="Sold",'MASTER RECORD'!C679,"")</f>
        <v/>
      </c>
    </row>
    <row r="675" spans="2:8">
      <c r="B675" t="str">
        <f>IF('MASTER RECORD'!F680="Active",'MASTER RECORD'!C680,"")</f>
        <v/>
      </c>
      <c r="H675" t="str">
        <f>IF('MASTER RECORD'!G680="Sold",'MASTER RECORD'!C680,"")</f>
        <v/>
      </c>
    </row>
    <row r="676" spans="2:8">
      <c r="B676" t="str">
        <f>IF('MASTER RECORD'!F681="Active",'MASTER RECORD'!C681,"")</f>
        <v/>
      </c>
      <c r="H676" t="str">
        <f>IF('MASTER RECORD'!G681="Sold",'MASTER RECORD'!C681,"")</f>
        <v/>
      </c>
    </row>
    <row r="677" spans="2:8">
      <c r="B677" t="str">
        <f>IF('MASTER RECORD'!F682="Active",'MASTER RECORD'!C682,"")</f>
        <v/>
      </c>
      <c r="H677" t="str">
        <f>IF('MASTER RECORD'!G682="Sold",'MASTER RECORD'!C682,"")</f>
        <v/>
      </c>
    </row>
    <row r="678" spans="2:8">
      <c r="B678" t="str">
        <f>IF('MASTER RECORD'!F683="Active",'MASTER RECORD'!C683,"")</f>
        <v/>
      </c>
      <c r="H678" t="str">
        <f>IF('MASTER RECORD'!G683="Sold",'MASTER RECORD'!C683,"")</f>
        <v/>
      </c>
    </row>
    <row r="679" spans="2:8">
      <c r="B679" t="str">
        <f>IF('MASTER RECORD'!F684="Active",'MASTER RECORD'!C684,"")</f>
        <v/>
      </c>
      <c r="H679" t="str">
        <f>IF('MASTER RECORD'!G684="Sold",'MASTER RECORD'!C684,"")</f>
        <v/>
      </c>
    </row>
    <row r="680" spans="2:8">
      <c r="B680" t="str">
        <f>IF('MASTER RECORD'!F685="Active",'MASTER RECORD'!C685,"")</f>
        <v/>
      </c>
      <c r="H680" t="str">
        <f>IF('MASTER RECORD'!G685="Sold",'MASTER RECORD'!C685,"")</f>
        <v/>
      </c>
    </row>
    <row r="681" spans="2:8">
      <c r="B681" t="str">
        <f>IF('MASTER RECORD'!F686="Active",'MASTER RECORD'!C686,"")</f>
        <v/>
      </c>
      <c r="H681" t="str">
        <f>IF('MASTER RECORD'!G686="Sold",'MASTER RECORD'!C686,"")</f>
        <v/>
      </c>
    </row>
    <row r="682" spans="2:8">
      <c r="B682" t="str">
        <f>IF('MASTER RECORD'!F687="Active",'MASTER RECORD'!C687,"")</f>
        <v/>
      </c>
      <c r="H682" t="str">
        <f>IF('MASTER RECORD'!G687="Sold",'MASTER RECORD'!C687,"")</f>
        <v/>
      </c>
    </row>
    <row r="683" spans="2:8">
      <c r="B683" t="str">
        <f>IF('MASTER RECORD'!F688="Active",'MASTER RECORD'!C688,"")</f>
        <v/>
      </c>
      <c r="H683" t="str">
        <f>IF('MASTER RECORD'!G688="Sold",'MASTER RECORD'!C688,"")</f>
        <v/>
      </c>
    </row>
    <row r="684" spans="2:8">
      <c r="B684" t="str">
        <f>IF('MASTER RECORD'!F689="Active",'MASTER RECORD'!C689,"")</f>
        <v/>
      </c>
      <c r="H684" t="str">
        <f>IF('MASTER RECORD'!G689="Sold",'MASTER RECORD'!C689,"")</f>
        <v/>
      </c>
    </row>
    <row r="685" spans="2:8">
      <c r="B685" t="str">
        <f>IF('MASTER RECORD'!F690="Active",'MASTER RECORD'!C690,"")</f>
        <v/>
      </c>
      <c r="H685" t="str">
        <f>IF('MASTER RECORD'!G690="Sold",'MASTER RECORD'!C690,"")</f>
        <v/>
      </c>
    </row>
    <row r="686" spans="2:8">
      <c r="B686" t="str">
        <f>IF('MASTER RECORD'!F691="Active",'MASTER RECORD'!C691,"")</f>
        <v/>
      </c>
      <c r="H686" t="str">
        <f>IF('MASTER RECORD'!G691="Sold",'MASTER RECORD'!C691,"")</f>
        <v/>
      </c>
    </row>
    <row r="687" spans="2:8">
      <c r="B687" t="str">
        <f>IF('MASTER RECORD'!F692="Active",'MASTER RECORD'!C692,"")</f>
        <v/>
      </c>
      <c r="H687" t="str">
        <f>IF('MASTER RECORD'!G692="Sold",'MASTER RECORD'!C692,"")</f>
        <v/>
      </c>
    </row>
    <row r="688" spans="2:8">
      <c r="B688" t="str">
        <f>IF('MASTER RECORD'!F693="Active",'MASTER RECORD'!C693,"")</f>
        <v/>
      </c>
      <c r="H688" t="str">
        <f>IF('MASTER RECORD'!G693="Sold",'MASTER RECORD'!C693,"")</f>
        <v/>
      </c>
    </row>
    <row r="689" spans="2:8">
      <c r="B689" t="str">
        <f>IF('MASTER RECORD'!F694="Active",'MASTER RECORD'!C694,"")</f>
        <v/>
      </c>
      <c r="H689" t="str">
        <f>IF('MASTER RECORD'!G694="Sold",'MASTER RECORD'!C694,"")</f>
        <v/>
      </c>
    </row>
    <row r="690" spans="2:8">
      <c r="B690" t="str">
        <f>IF('MASTER RECORD'!F695="Active",'MASTER RECORD'!C695,"")</f>
        <v/>
      </c>
      <c r="H690" t="str">
        <f>IF('MASTER RECORD'!G695="Sold",'MASTER RECORD'!C695,"")</f>
        <v/>
      </c>
    </row>
    <row r="691" spans="2:8">
      <c r="B691" t="str">
        <f>IF('MASTER RECORD'!F696="Active",'MASTER RECORD'!C696,"")</f>
        <v/>
      </c>
      <c r="H691" t="str">
        <f>IF('MASTER RECORD'!G696="Sold",'MASTER RECORD'!C696,"")</f>
        <v/>
      </c>
    </row>
    <row r="692" spans="2:8">
      <c r="B692" t="str">
        <f>IF('MASTER RECORD'!F697="Active",'MASTER RECORD'!C697,"")</f>
        <v/>
      </c>
      <c r="H692" t="str">
        <f>IF('MASTER RECORD'!G697="Sold",'MASTER RECORD'!C697,"")</f>
        <v/>
      </c>
    </row>
    <row r="693" spans="2:8">
      <c r="B693" t="str">
        <f>IF('MASTER RECORD'!F698="Active",'MASTER RECORD'!C698,"")</f>
        <v/>
      </c>
      <c r="H693" t="str">
        <f>IF('MASTER RECORD'!G698="Sold",'MASTER RECORD'!C698,"")</f>
        <v/>
      </c>
    </row>
    <row r="694" spans="2:8">
      <c r="B694" t="str">
        <f>IF('MASTER RECORD'!F699="Active",'MASTER RECORD'!C699,"")</f>
        <v/>
      </c>
      <c r="H694" t="str">
        <f>IF('MASTER RECORD'!G699="Sold",'MASTER RECORD'!C699,"")</f>
        <v/>
      </c>
    </row>
    <row r="695" spans="2:8">
      <c r="B695" t="str">
        <f>IF('MASTER RECORD'!F700="Active",'MASTER RECORD'!C700,"")</f>
        <v/>
      </c>
      <c r="H695" t="str">
        <f>IF('MASTER RECORD'!G700="Sold",'MASTER RECORD'!C700,"")</f>
        <v/>
      </c>
    </row>
    <row r="696" spans="2:8">
      <c r="B696" t="str">
        <f>IF('MASTER RECORD'!F701="Active",'MASTER RECORD'!C701,"")</f>
        <v/>
      </c>
      <c r="H696" t="str">
        <f>IF('MASTER RECORD'!G701="Sold",'MASTER RECORD'!C701,"")</f>
        <v/>
      </c>
    </row>
    <row r="697" spans="2:8">
      <c r="B697" t="str">
        <f>IF('MASTER RECORD'!F702="Active",'MASTER RECORD'!C702,"")</f>
        <v/>
      </c>
      <c r="H697" t="str">
        <f>IF('MASTER RECORD'!G702="Sold",'MASTER RECORD'!C702,"")</f>
        <v/>
      </c>
    </row>
    <row r="698" spans="2:8">
      <c r="B698" t="str">
        <f>IF('MASTER RECORD'!F703="Active",'MASTER RECORD'!C703,"")</f>
        <v/>
      </c>
      <c r="H698" t="str">
        <f>IF('MASTER RECORD'!G703="Sold",'MASTER RECORD'!C703,"")</f>
        <v/>
      </c>
    </row>
    <row r="699" spans="2:8">
      <c r="B699" t="str">
        <f>IF('MASTER RECORD'!F704="Active",'MASTER RECORD'!C704,"")</f>
        <v/>
      </c>
      <c r="H699" t="str">
        <f>IF('MASTER RECORD'!G704="Sold",'MASTER RECORD'!C704,"")</f>
        <v/>
      </c>
    </row>
    <row r="700" spans="2:8">
      <c r="B700" t="str">
        <f>IF('MASTER RECORD'!F705="Active",'MASTER RECORD'!C705,"")</f>
        <v/>
      </c>
      <c r="H700" t="str">
        <f>IF('MASTER RECORD'!G705="Sold",'MASTER RECORD'!C705,"")</f>
        <v/>
      </c>
    </row>
    <row r="701" spans="2:8">
      <c r="B701" t="str">
        <f>IF('MASTER RECORD'!F706="Active",'MASTER RECORD'!C706,"")</f>
        <v/>
      </c>
      <c r="H701" t="str">
        <f>IF('MASTER RECORD'!G706="Sold",'MASTER RECORD'!C706,"")</f>
        <v/>
      </c>
    </row>
    <row r="702" spans="2:8">
      <c r="B702" t="str">
        <f>IF('MASTER RECORD'!F707="Active",'MASTER RECORD'!C707,"")</f>
        <v/>
      </c>
      <c r="H702" t="str">
        <f>IF('MASTER RECORD'!G707="Sold",'MASTER RECORD'!C707,"")</f>
        <v/>
      </c>
    </row>
    <row r="703" spans="2:8">
      <c r="B703" t="str">
        <f>IF('MASTER RECORD'!F708="Active",'MASTER RECORD'!C708,"")</f>
        <v/>
      </c>
      <c r="H703" t="str">
        <f>IF('MASTER RECORD'!G708="Sold",'MASTER RECORD'!C708,"")</f>
        <v/>
      </c>
    </row>
    <row r="704" spans="2:8">
      <c r="B704" t="str">
        <f>IF('MASTER RECORD'!F709="Active",'MASTER RECORD'!C709,"")</f>
        <v/>
      </c>
      <c r="H704" t="str">
        <f>IF('MASTER RECORD'!G709="Sold",'MASTER RECORD'!C709,"")</f>
        <v/>
      </c>
    </row>
    <row r="705" spans="2:8">
      <c r="B705" t="str">
        <f>IF('MASTER RECORD'!F710="Active",'MASTER RECORD'!C710,"")</f>
        <v/>
      </c>
      <c r="H705" t="str">
        <f>IF('MASTER RECORD'!G710="Sold",'MASTER RECORD'!C710,"")</f>
        <v/>
      </c>
    </row>
    <row r="706" spans="2:8">
      <c r="B706" t="str">
        <f>IF('MASTER RECORD'!F711="Active",'MASTER RECORD'!C711,"")</f>
        <v/>
      </c>
      <c r="H706" t="str">
        <f>IF('MASTER RECORD'!G711="Sold",'MASTER RECORD'!C711,"")</f>
        <v/>
      </c>
    </row>
    <row r="707" spans="2:8">
      <c r="B707" t="str">
        <f>IF('MASTER RECORD'!F712="Active",'MASTER RECORD'!C712,"")</f>
        <v/>
      </c>
      <c r="H707" t="str">
        <f>IF('MASTER RECORD'!G712="Sold",'MASTER RECORD'!C712,"")</f>
        <v/>
      </c>
    </row>
    <row r="708" spans="2:8">
      <c r="B708" t="str">
        <f>IF('MASTER RECORD'!F713="Active",'MASTER RECORD'!C713,"")</f>
        <v/>
      </c>
      <c r="H708" t="str">
        <f>IF('MASTER RECORD'!G713="Sold",'MASTER RECORD'!C713,"")</f>
        <v/>
      </c>
    </row>
    <row r="709" spans="2:8">
      <c r="B709" t="str">
        <f>IF('MASTER RECORD'!F714="Active",'MASTER RECORD'!C714,"")</f>
        <v/>
      </c>
      <c r="H709" t="str">
        <f>IF('MASTER RECORD'!G714="Sold",'MASTER RECORD'!C714,"")</f>
        <v/>
      </c>
    </row>
    <row r="710" spans="2:8">
      <c r="B710" t="str">
        <f>IF('MASTER RECORD'!F715="Active",'MASTER RECORD'!C715,"")</f>
        <v/>
      </c>
      <c r="H710" t="str">
        <f>IF('MASTER RECORD'!G715="Sold",'MASTER RECORD'!C715,"")</f>
        <v/>
      </c>
    </row>
    <row r="711" spans="2:8">
      <c r="B711" t="str">
        <f>IF('MASTER RECORD'!F716="Active",'MASTER RECORD'!C716,"")</f>
        <v/>
      </c>
      <c r="H711" t="str">
        <f>IF('MASTER RECORD'!G716="Sold",'MASTER RECORD'!C716,"")</f>
        <v/>
      </c>
    </row>
    <row r="712" spans="2:8">
      <c r="B712" t="str">
        <f>IF('MASTER RECORD'!F717="Active",'MASTER RECORD'!C717,"")</f>
        <v/>
      </c>
      <c r="H712" t="str">
        <f>IF('MASTER RECORD'!G717="Sold",'MASTER RECORD'!C717,"")</f>
        <v/>
      </c>
    </row>
    <row r="713" spans="2:8">
      <c r="B713" t="str">
        <f>IF('MASTER RECORD'!F718="Active",'MASTER RECORD'!C718,"")</f>
        <v/>
      </c>
      <c r="H713" t="str">
        <f>IF('MASTER RECORD'!G718="Sold",'MASTER RECORD'!C718,"")</f>
        <v/>
      </c>
    </row>
    <row r="714" spans="2:8">
      <c r="B714" t="str">
        <f>IF('MASTER RECORD'!F719="Active",'MASTER RECORD'!C719,"")</f>
        <v/>
      </c>
      <c r="H714" t="str">
        <f>IF('MASTER RECORD'!G719="Sold",'MASTER RECORD'!C719,"")</f>
        <v/>
      </c>
    </row>
    <row r="715" spans="2:8">
      <c r="B715" t="str">
        <f>IF('MASTER RECORD'!F720="Active",'MASTER RECORD'!C720,"")</f>
        <v/>
      </c>
      <c r="H715" t="str">
        <f>IF('MASTER RECORD'!G720="Sold",'MASTER RECORD'!C720,"")</f>
        <v/>
      </c>
    </row>
    <row r="716" spans="2:8">
      <c r="B716" t="str">
        <f>IF('MASTER RECORD'!F721="Active",'MASTER RECORD'!C721,"")</f>
        <v/>
      </c>
      <c r="H716" t="str">
        <f>IF('MASTER RECORD'!G721="Sold",'MASTER RECORD'!C721,"")</f>
        <v/>
      </c>
    </row>
    <row r="717" spans="2:8">
      <c r="B717" t="str">
        <f>IF('MASTER RECORD'!F722="Active",'MASTER RECORD'!C722,"")</f>
        <v/>
      </c>
      <c r="H717" t="str">
        <f>IF('MASTER RECORD'!G722="Sold",'MASTER RECORD'!C722,"")</f>
        <v/>
      </c>
    </row>
    <row r="718" spans="2:8">
      <c r="B718" t="str">
        <f>IF('MASTER RECORD'!F723="Active",'MASTER RECORD'!C723,"")</f>
        <v/>
      </c>
      <c r="H718" t="str">
        <f>IF('MASTER RECORD'!G723="Sold",'MASTER RECORD'!C723,"")</f>
        <v/>
      </c>
    </row>
    <row r="719" spans="2:8">
      <c r="B719" t="str">
        <f>IF('MASTER RECORD'!F724="Active",'MASTER RECORD'!C724,"")</f>
        <v/>
      </c>
      <c r="H719" t="str">
        <f>IF('MASTER RECORD'!G724="Sold",'MASTER RECORD'!C724,"")</f>
        <v/>
      </c>
    </row>
    <row r="720" spans="2:8">
      <c r="B720" t="str">
        <f>IF('MASTER RECORD'!F725="Active",'MASTER RECORD'!C725,"")</f>
        <v/>
      </c>
      <c r="H720" t="str">
        <f>IF('MASTER RECORD'!G725="Sold",'MASTER RECORD'!C725,"")</f>
        <v/>
      </c>
    </row>
    <row r="721" spans="2:8">
      <c r="B721" t="str">
        <f>IF('MASTER RECORD'!F726="Active",'MASTER RECORD'!C726,"")</f>
        <v/>
      </c>
      <c r="H721" t="str">
        <f>IF('MASTER RECORD'!G726="Sold",'MASTER RECORD'!C726,"")</f>
        <v/>
      </c>
    </row>
    <row r="722" spans="2:8">
      <c r="B722" t="str">
        <f>IF('MASTER RECORD'!F727="Active",'MASTER RECORD'!C727,"")</f>
        <v/>
      </c>
      <c r="H722" t="str">
        <f>IF('MASTER RECORD'!G727="Sold",'MASTER RECORD'!C727,"")</f>
        <v/>
      </c>
    </row>
    <row r="723" spans="2:8">
      <c r="B723" t="str">
        <f>IF('MASTER RECORD'!F728="Active",'MASTER RECORD'!C728,"")</f>
        <v/>
      </c>
      <c r="H723" t="str">
        <f>IF('MASTER RECORD'!G728="Sold",'MASTER RECORD'!C728,"")</f>
        <v/>
      </c>
    </row>
    <row r="724" spans="2:8">
      <c r="B724" t="str">
        <f>IF('MASTER RECORD'!F729="Active",'MASTER RECORD'!C729,"")</f>
        <v/>
      </c>
      <c r="H724" t="str">
        <f>IF('MASTER RECORD'!G729="Sold",'MASTER RECORD'!C729,"")</f>
        <v/>
      </c>
    </row>
    <row r="725" spans="2:8">
      <c r="B725" t="str">
        <f>IF('MASTER RECORD'!F730="Active",'MASTER RECORD'!C730,"")</f>
        <v/>
      </c>
      <c r="H725" t="str">
        <f>IF('MASTER RECORD'!G730="Sold",'MASTER RECORD'!C730,"")</f>
        <v/>
      </c>
    </row>
    <row r="726" spans="2:8">
      <c r="B726" t="str">
        <f>IF('MASTER RECORD'!F731="Active",'MASTER RECORD'!C731,"")</f>
        <v/>
      </c>
      <c r="H726" t="str">
        <f>IF('MASTER RECORD'!G731="Sold",'MASTER RECORD'!C731,"")</f>
        <v/>
      </c>
    </row>
    <row r="727" spans="2:8">
      <c r="B727" t="str">
        <f>IF('MASTER RECORD'!F732="Active",'MASTER RECORD'!C732,"")</f>
        <v/>
      </c>
      <c r="H727" t="str">
        <f>IF('MASTER RECORD'!G732="Sold",'MASTER RECORD'!C732,"")</f>
        <v/>
      </c>
    </row>
    <row r="728" spans="2:8">
      <c r="B728" t="str">
        <f>IF('MASTER RECORD'!F733="Active",'MASTER RECORD'!C733,"")</f>
        <v/>
      </c>
      <c r="H728" t="str">
        <f>IF('MASTER RECORD'!G733="Sold",'MASTER RECORD'!C733,"")</f>
        <v/>
      </c>
    </row>
    <row r="729" spans="2:8">
      <c r="B729" t="str">
        <f>IF('MASTER RECORD'!F734="Active",'MASTER RECORD'!C734,"")</f>
        <v/>
      </c>
      <c r="H729" t="str">
        <f>IF('MASTER RECORD'!G734="Sold",'MASTER RECORD'!C734,"")</f>
        <v/>
      </c>
    </row>
    <row r="730" spans="2:8">
      <c r="B730" t="str">
        <f>IF('MASTER RECORD'!F735="Active",'MASTER RECORD'!C735,"")</f>
        <v/>
      </c>
      <c r="H730" t="str">
        <f>IF('MASTER RECORD'!G735="Sold",'MASTER RECORD'!C735,"")</f>
        <v/>
      </c>
    </row>
    <row r="731" spans="2:8">
      <c r="B731" t="str">
        <f>IF('MASTER RECORD'!F736="Active",'MASTER RECORD'!C736,"")</f>
        <v/>
      </c>
      <c r="H731" t="str">
        <f>IF('MASTER RECORD'!G736="Sold",'MASTER RECORD'!C736,"")</f>
        <v/>
      </c>
    </row>
    <row r="732" spans="2:8">
      <c r="B732" t="str">
        <f>IF('MASTER RECORD'!F737="Active",'MASTER RECORD'!C737,"")</f>
        <v/>
      </c>
      <c r="H732" t="str">
        <f>IF('MASTER RECORD'!G737="Sold",'MASTER RECORD'!C737,"")</f>
        <v/>
      </c>
    </row>
    <row r="733" spans="2:8">
      <c r="B733" t="str">
        <f>IF('MASTER RECORD'!F738="Active",'MASTER RECORD'!C738,"")</f>
        <v/>
      </c>
      <c r="H733" t="str">
        <f>IF('MASTER RECORD'!G738="Sold",'MASTER RECORD'!C738,"")</f>
        <v/>
      </c>
    </row>
    <row r="734" spans="2:8">
      <c r="B734" t="str">
        <f>IF('MASTER RECORD'!F739="Active",'MASTER RECORD'!C739,"")</f>
        <v/>
      </c>
      <c r="H734" t="str">
        <f>IF('MASTER RECORD'!G739="Sold",'MASTER RECORD'!C739,"")</f>
        <v/>
      </c>
    </row>
    <row r="735" spans="2:8">
      <c r="B735" t="str">
        <f>IF('MASTER RECORD'!F740="Active",'MASTER RECORD'!C740,"")</f>
        <v/>
      </c>
      <c r="H735" t="str">
        <f>IF('MASTER RECORD'!G740="Sold",'MASTER RECORD'!C740,"")</f>
        <v/>
      </c>
    </row>
    <row r="736" spans="2:8">
      <c r="B736" t="str">
        <f>IF('MASTER RECORD'!F741="Active",'MASTER RECORD'!C741,"")</f>
        <v/>
      </c>
      <c r="H736" t="str">
        <f>IF('MASTER RECORD'!G741="Sold",'MASTER RECORD'!C741,"")</f>
        <v/>
      </c>
    </row>
    <row r="737" spans="2:8">
      <c r="B737" t="str">
        <f>IF('MASTER RECORD'!F742="Active",'MASTER RECORD'!C742,"")</f>
        <v/>
      </c>
      <c r="H737" t="str">
        <f>IF('MASTER RECORD'!G742="Sold",'MASTER RECORD'!C742,"")</f>
        <v/>
      </c>
    </row>
    <row r="738" spans="2:8">
      <c r="B738" t="str">
        <f>IF('MASTER RECORD'!F743="Active",'MASTER RECORD'!C743,"")</f>
        <v/>
      </c>
      <c r="H738" t="str">
        <f>IF('MASTER RECORD'!G743="Sold",'MASTER RECORD'!C743,"")</f>
        <v/>
      </c>
    </row>
    <row r="739" spans="2:8">
      <c r="B739" t="str">
        <f>IF('MASTER RECORD'!F744="Active",'MASTER RECORD'!C744,"")</f>
        <v/>
      </c>
      <c r="H739" t="str">
        <f>IF('MASTER RECORD'!G744="Sold",'MASTER RECORD'!C744,"")</f>
        <v/>
      </c>
    </row>
    <row r="740" spans="2:8">
      <c r="B740" t="str">
        <f>IF('MASTER RECORD'!F745="Active",'MASTER RECORD'!C745,"")</f>
        <v/>
      </c>
      <c r="H740" t="str">
        <f>IF('MASTER RECORD'!G745="Sold",'MASTER RECORD'!C745,"")</f>
        <v/>
      </c>
    </row>
    <row r="741" spans="2:8">
      <c r="B741" t="str">
        <f>IF('MASTER RECORD'!F746="Active",'MASTER RECORD'!C746,"")</f>
        <v/>
      </c>
      <c r="H741" t="str">
        <f>IF('MASTER RECORD'!G746="Sold",'MASTER RECORD'!C746,"")</f>
        <v/>
      </c>
    </row>
    <row r="742" spans="2:8">
      <c r="B742" t="str">
        <f>IF('MASTER RECORD'!F747="Active",'MASTER RECORD'!C747,"")</f>
        <v/>
      </c>
      <c r="H742" t="str">
        <f>IF('MASTER RECORD'!G747="Sold",'MASTER RECORD'!C747,"")</f>
        <v/>
      </c>
    </row>
    <row r="743" spans="2:8">
      <c r="B743" t="str">
        <f>IF('MASTER RECORD'!F748="Active",'MASTER RECORD'!C748,"")</f>
        <v/>
      </c>
      <c r="H743" t="str">
        <f>IF('MASTER RECORD'!G748="Sold",'MASTER RECORD'!C748,"")</f>
        <v/>
      </c>
    </row>
    <row r="744" spans="2:8">
      <c r="B744" t="str">
        <f>IF('MASTER RECORD'!F749="Active",'MASTER RECORD'!C749,"")</f>
        <v/>
      </c>
      <c r="H744" t="str">
        <f>IF('MASTER RECORD'!G749="Sold",'MASTER RECORD'!C749,"")</f>
        <v/>
      </c>
    </row>
    <row r="745" spans="2:8">
      <c r="B745" t="str">
        <f>IF('MASTER RECORD'!F750="Active",'MASTER RECORD'!C750,"")</f>
        <v/>
      </c>
      <c r="H745" t="str">
        <f>IF('MASTER RECORD'!G750="Sold",'MASTER RECORD'!C750,"")</f>
        <v/>
      </c>
    </row>
    <row r="746" spans="2:8">
      <c r="B746" t="str">
        <f>IF('MASTER RECORD'!F751="Active",'MASTER RECORD'!C751,"")</f>
        <v/>
      </c>
      <c r="H746" t="str">
        <f>IF('MASTER RECORD'!G751="Sold",'MASTER RECORD'!C751,"")</f>
        <v/>
      </c>
    </row>
    <row r="747" spans="2:8">
      <c r="B747" t="str">
        <f>IF('MASTER RECORD'!F752="Active",'MASTER RECORD'!C752,"")</f>
        <v/>
      </c>
      <c r="H747" t="str">
        <f>IF('MASTER RECORD'!G752="Sold",'MASTER RECORD'!C752,"")</f>
        <v/>
      </c>
    </row>
    <row r="748" spans="2:8">
      <c r="B748" t="str">
        <f>IF('MASTER RECORD'!F753="Active",'MASTER RECORD'!C753,"")</f>
        <v/>
      </c>
      <c r="H748" t="str">
        <f>IF('MASTER RECORD'!G753="Sold",'MASTER RECORD'!C753,"")</f>
        <v/>
      </c>
    </row>
    <row r="749" spans="2:8">
      <c r="B749" t="str">
        <f>IF('MASTER RECORD'!F754="Active",'MASTER RECORD'!C754,"")</f>
        <v/>
      </c>
      <c r="H749" t="str">
        <f>IF('MASTER RECORD'!G754="Sold",'MASTER RECORD'!C754,"")</f>
        <v/>
      </c>
    </row>
    <row r="750" spans="2:8">
      <c r="B750" t="str">
        <f>IF('MASTER RECORD'!F755="Active",'MASTER RECORD'!C755,"")</f>
        <v/>
      </c>
      <c r="H750" t="str">
        <f>IF('MASTER RECORD'!G755="Sold",'MASTER RECORD'!C755,"")</f>
        <v/>
      </c>
    </row>
    <row r="751" spans="2:8">
      <c r="B751" t="str">
        <f>IF('MASTER RECORD'!F756="Active",'MASTER RECORD'!C756,"")</f>
        <v/>
      </c>
      <c r="H751" t="str">
        <f>IF('MASTER RECORD'!G756="Sold",'MASTER RECORD'!C756,"")</f>
        <v/>
      </c>
    </row>
    <row r="752" spans="2:8">
      <c r="B752" t="str">
        <f>IF('MASTER RECORD'!F757="Active",'MASTER RECORD'!C757,"")</f>
        <v/>
      </c>
      <c r="H752" t="str">
        <f>IF('MASTER RECORD'!G757="Sold",'MASTER RECORD'!C757,"")</f>
        <v/>
      </c>
    </row>
    <row r="753" spans="2:8">
      <c r="B753" t="str">
        <f>IF('MASTER RECORD'!F758="Active",'MASTER RECORD'!C758,"")</f>
        <v/>
      </c>
      <c r="H753" t="str">
        <f>IF('MASTER RECORD'!G758="Sold",'MASTER RECORD'!C758,"")</f>
        <v/>
      </c>
    </row>
    <row r="754" spans="2:8">
      <c r="B754" t="str">
        <f>IF('MASTER RECORD'!F759="Active",'MASTER RECORD'!C759,"")</f>
        <v/>
      </c>
      <c r="H754" t="str">
        <f>IF('MASTER RECORD'!G759="Sold",'MASTER RECORD'!C759,"")</f>
        <v/>
      </c>
    </row>
    <row r="755" spans="2:8">
      <c r="B755" t="str">
        <f>IF('MASTER RECORD'!F760="Active",'MASTER RECORD'!C760,"")</f>
        <v/>
      </c>
      <c r="H755" t="str">
        <f>IF('MASTER RECORD'!G760="Sold",'MASTER RECORD'!C760,"")</f>
        <v/>
      </c>
    </row>
    <row r="756" spans="2:8">
      <c r="B756" t="str">
        <f>IF('MASTER RECORD'!F761="Active",'MASTER RECORD'!C761,"")</f>
        <v/>
      </c>
      <c r="H756" t="str">
        <f>IF('MASTER RECORD'!G761="Sold",'MASTER RECORD'!C761,"")</f>
        <v/>
      </c>
    </row>
    <row r="757" spans="2:8">
      <c r="B757" t="str">
        <f>IF('MASTER RECORD'!F762="Active",'MASTER RECORD'!C762,"")</f>
        <v/>
      </c>
      <c r="H757" t="str">
        <f>IF('MASTER RECORD'!G762="Sold",'MASTER RECORD'!C762,"")</f>
        <v/>
      </c>
    </row>
    <row r="758" spans="2:8">
      <c r="B758" t="str">
        <f>IF('MASTER RECORD'!F763="Active",'MASTER RECORD'!C763,"")</f>
        <v/>
      </c>
      <c r="H758" t="str">
        <f>IF('MASTER RECORD'!G763="Sold",'MASTER RECORD'!C763,"")</f>
        <v/>
      </c>
    </row>
    <row r="759" spans="2:8">
      <c r="B759" t="str">
        <f>IF('MASTER RECORD'!F764="Active",'MASTER RECORD'!C764,"")</f>
        <v/>
      </c>
      <c r="H759" t="str">
        <f>IF('MASTER RECORD'!G764="Sold",'MASTER RECORD'!C764,"")</f>
        <v/>
      </c>
    </row>
    <row r="760" spans="2:8">
      <c r="B760" t="str">
        <f>IF('MASTER RECORD'!F765="Active",'MASTER RECORD'!C765,"")</f>
        <v/>
      </c>
      <c r="H760" t="str">
        <f>IF('MASTER RECORD'!G765="Sold",'MASTER RECORD'!C765,"")</f>
        <v/>
      </c>
    </row>
    <row r="761" spans="2:8">
      <c r="B761" t="str">
        <f>IF('MASTER RECORD'!F766="Active",'MASTER RECORD'!C766,"")</f>
        <v/>
      </c>
      <c r="H761" t="str">
        <f>IF('MASTER RECORD'!G766="Sold",'MASTER RECORD'!C766,"")</f>
        <v/>
      </c>
    </row>
    <row r="762" spans="2:8">
      <c r="B762" t="str">
        <f>IF('MASTER RECORD'!F767="Active",'MASTER RECORD'!C767,"")</f>
        <v/>
      </c>
      <c r="H762" t="str">
        <f>IF('MASTER RECORD'!G767="Sold",'MASTER RECORD'!C767,"")</f>
        <v/>
      </c>
    </row>
    <row r="763" spans="2:8">
      <c r="B763" t="str">
        <f>IF('MASTER RECORD'!F768="Active",'MASTER RECORD'!C768,"")</f>
        <v/>
      </c>
      <c r="H763" t="str">
        <f>IF('MASTER RECORD'!G768="Sold",'MASTER RECORD'!C768,"")</f>
        <v/>
      </c>
    </row>
    <row r="764" spans="2:8">
      <c r="B764" t="str">
        <f>IF('MASTER RECORD'!F769="Active",'MASTER RECORD'!C769,"")</f>
        <v/>
      </c>
      <c r="H764" t="str">
        <f>IF('MASTER RECORD'!G769="Sold",'MASTER RECORD'!C769,"")</f>
        <v/>
      </c>
    </row>
    <row r="765" spans="2:8">
      <c r="B765" t="str">
        <f>IF('MASTER RECORD'!F770="Active",'MASTER RECORD'!C770,"")</f>
        <v/>
      </c>
      <c r="H765" t="str">
        <f>IF('MASTER RECORD'!G770="Sold",'MASTER RECORD'!C770,"")</f>
        <v/>
      </c>
    </row>
    <row r="766" spans="2:8">
      <c r="B766" t="str">
        <f>IF('MASTER RECORD'!F771="Active",'MASTER RECORD'!C771,"")</f>
        <v/>
      </c>
      <c r="H766" t="str">
        <f>IF('MASTER RECORD'!G771="Sold",'MASTER RECORD'!C771,"")</f>
        <v/>
      </c>
    </row>
    <row r="767" spans="2:8">
      <c r="B767" t="str">
        <f>IF('MASTER RECORD'!F772="Active",'MASTER RECORD'!C772,"")</f>
        <v/>
      </c>
      <c r="H767" t="str">
        <f>IF('MASTER RECORD'!G772="Sold",'MASTER RECORD'!C772,"")</f>
        <v/>
      </c>
    </row>
    <row r="768" spans="2:8">
      <c r="B768" t="str">
        <f>IF('MASTER RECORD'!F773="Active",'MASTER RECORD'!C773,"")</f>
        <v/>
      </c>
      <c r="H768" t="str">
        <f>IF('MASTER RECORD'!G773="Sold",'MASTER RECORD'!C773,"")</f>
        <v/>
      </c>
    </row>
    <row r="769" spans="2:8">
      <c r="B769" t="str">
        <f>IF('MASTER RECORD'!F774="Active",'MASTER RECORD'!C774,"")</f>
        <v/>
      </c>
      <c r="H769" t="str">
        <f>IF('MASTER RECORD'!G774="Sold",'MASTER RECORD'!C774,"")</f>
        <v/>
      </c>
    </row>
    <row r="770" spans="2:8">
      <c r="B770" t="str">
        <f>IF('MASTER RECORD'!F775="Active",'MASTER RECORD'!C775,"")</f>
        <v/>
      </c>
      <c r="H770" t="str">
        <f>IF('MASTER RECORD'!G775="Sold",'MASTER RECORD'!C775,"")</f>
        <v/>
      </c>
    </row>
    <row r="771" spans="2:8">
      <c r="B771" t="str">
        <f>IF('MASTER RECORD'!F776="Active",'MASTER RECORD'!C776,"")</f>
        <v/>
      </c>
      <c r="H771" t="str">
        <f>IF('MASTER RECORD'!G776="Sold",'MASTER RECORD'!C776,"")</f>
        <v/>
      </c>
    </row>
    <row r="772" spans="2:8">
      <c r="B772" t="str">
        <f>IF('MASTER RECORD'!F777="Active",'MASTER RECORD'!C777,"")</f>
        <v/>
      </c>
      <c r="H772" t="str">
        <f>IF('MASTER RECORD'!G777="Sold",'MASTER RECORD'!C777,"")</f>
        <v/>
      </c>
    </row>
    <row r="773" spans="2:8">
      <c r="B773" t="str">
        <f>IF('MASTER RECORD'!F778="Active",'MASTER RECORD'!C778,"")</f>
        <v/>
      </c>
      <c r="H773" t="str">
        <f>IF('MASTER RECORD'!G778="Sold",'MASTER RECORD'!C778,"")</f>
        <v/>
      </c>
    </row>
    <row r="774" spans="2:8">
      <c r="B774" t="str">
        <f>IF('MASTER RECORD'!F779="Active",'MASTER RECORD'!C779,"")</f>
        <v/>
      </c>
      <c r="H774" t="str">
        <f>IF('MASTER RECORD'!G779="Sold",'MASTER RECORD'!C779,"")</f>
        <v/>
      </c>
    </row>
    <row r="775" spans="2:8">
      <c r="B775" t="str">
        <f>IF('MASTER RECORD'!F780="Active",'MASTER RECORD'!C780,"")</f>
        <v/>
      </c>
      <c r="H775" t="str">
        <f>IF('MASTER RECORD'!G780="Sold",'MASTER RECORD'!C780,"")</f>
        <v/>
      </c>
    </row>
    <row r="776" spans="2:8">
      <c r="B776" t="str">
        <f>IF('MASTER RECORD'!F781="Active",'MASTER RECORD'!C781,"")</f>
        <v/>
      </c>
      <c r="H776" t="str">
        <f>IF('MASTER RECORD'!G781="Sold",'MASTER RECORD'!C781,"")</f>
        <v/>
      </c>
    </row>
    <row r="777" spans="2:8">
      <c r="B777" t="str">
        <f>IF('MASTER RECORD'!F782="Active",'MASTER RECORD'!C782,"")</f>
        <v/>
      </c>
      <c r="H777" t="str">
        <f>IF('MASTER RECORD'!G782="Sold",'MASTER RECORD'!C782,"")</f>
        <v/>
      </c>
    </row>
    <row r="778" spans="2:8">
      <c r="B778" t="str">
        <f>IF('MASTER RECORD'!F783="Active",'MASTER RECORD'!C783,"")</f>
        <v/>
      </c>
      <c r="H778" t="str">
        <f>IF('MASTER RECORD'!G783="Sold",'MASTER RECORD'!C783,"")</f>
        <v/>
      </c>
    </row>
    <row r="779" spans="2:8">
      <c r="B779" t="str">
        <f>IF('MASTER RECORD'!F784="Active",'MASTER RECORD'!C784,"")</f>
        <v/>
      </c>
      <c r="H779" t="str">
        <f>IF('MASTER RECORD'!G784="Sold",'MASTER RECORD'!C784,"")</f>
        <v/>
      </c>
    </row>
    <row r="780" spans="2:8">
      <c r="B780" t="str">
        <f>IF('MASTER RECORD'!F785="Active",'MASTER RECORD'!C785,"")</f>
        <v/>
      </c>
      <c r="H780" t="str">
        <f>IF('MASTER RECORD'!G785="Sold",'MASTER RECORD'!C785,"")</f>
        <v/>
      </c>
    </row>
    <row r="781" spans="2:8">
      <c r="B781" t="str">
        <f>IF('MASTER RECORD'!F786="Active",'MASTER RECORD'!C786,"")</f>
        <v/>
      </c>
      <c r="H781" t="str">
        <f>IF('MASTER RECORD'!G786="Sold",'MASTER RECORD'!C786,"")</f>
        <v/>
      </c>
    </row>
    <row r="782" spans="2:8">
      <c r="B782" t="str">
        <f>IF('MASTER RECORD'!F787="Active",'MASTER RECORD'!C787,"")</f>
        <v/>
      </c>
      <c r="H782" t="str">
        <f>IF('MASTER RECORD'!G787="Sold",'MASTER RECORD'!C787,"")</f>
        <v/>
      </c>
    </row>
    <row r="783" spans="2:8">
      <c r="B783" t="str">
        <f>IF('MASTER RECORD'!F788="Active",'MASTER RECORD'!C788,"")</f>
        <v/>
      </c>
      <c r="H783" t="str">
        <f>IF('MASTER RECORD'!G788="Sold",'MASTER RECORD'!C788,"")</f>
        <v/>
      </c>
    </row>
    <row r="784" spans="2:8">
      <c r="B784" t="str">
        <f>IF('MASTER RECORD'!F789="Active",'MASTER RECORD'!C789,"")</f>
        <v/>
      </c>
      <c r="H784" t="str">
        <f>IF('MASTER RECORD'!G789="Sold",'MASTER RECORD'!C789,"")</f>
        <v/>
      </c>
    </row>
    <row r="785" spans="2:8">
      <c r="B785" t="str">
        <f>IF('MASTER RECORD'!F790="Active",'MASTER RECORD'!C790,"")</f>
        <v/>
      </c>
      <c r="H785" t="str">
        <f>IF('MASTER RECORD'!G790="Sold",'MASTER RECORD'!C790,"")</f>
        <v/>
      </c>
    </row>
    <row r="786" spans="2:8">
      <c r="B786" t="str">
        <f>IF('MASTER RECORD'!F791="Active",'MASTER RECORD'!C791,"")</f>
        <v/>
      </c>
      <c r="H786" t="str">
        <f>IF('MASTER RECORD'!G791="Sold",'MASTER RECORD'!C791,"")</f>
        <v/>
      </c>
    </row>
    <row r="787" spans="2:8">
      <c r="B787" t="str">
        <f>IF('MASTER RECORD'!F792="Active",'MASTER RECORD'!C792,"")</f>
        <v/>
      </c>
      <c r="H787" t="str">
        <f>IF('MASTER RECORD'!G792="Sold",'MASTER RECORD'!C792,"")</f>
        <v/>
      </c>
    </row>
    <row r="788" spans="2:8">
      <c r="B788" t="str">
        <f>IF('MASTER RECORD'!F793="Active",'MASTER RECORD'!C793,"")</f>
        <v/>
      </c>
      <c r="H788" t="str">
        <f>IF('MASTER RECORD'!G793="Sold",'MASTER RECORD'!C793,"")</f>
        <v/>
      </c>
    </row>
    <row r="789" spans="2:8">
      <c r="B789" t="str">
        <f>IF('MASTER RECORD'!F794="Active",'MASTER RECORD'!C794,"")</f>
        <v/>
      </c>
      <c r="H789" t="str">
        <f>IF('MASTER RECORD'!G794="Sold",'MASTER RECORD'!C794,"")</f>
        <v/>
      </c>
    </row>
    <row r="790" spans="2:8">
      <c r="B790" t="str">
        <f>IF('MASTER RECORD'!F795="Active",'MASTER RECORD'!C795,"")</f>
        <v/>
      </c>
      <c r="H790" t="str">
        <f>IF('MASTER RECORD'!G795="Sold",'MASTER RECORD'!C795,"")</f>
        <v/>
      </c>
    </row>
    <row r="791" spans="2:8">
      <c r="B791" t="str">
        <f>IF('MASTER RECORD'!F796="Active",'MASTER RECORD'!C796,"")</f>
        <v/>
      </c>
      <c r="H791" t="str">
        <f>IF('MASTER RECORD'!G796="Sold",'MASTER RECORD'!C796,"")</f>
        <v/>
      </c>
    </row>
    <row r="792" spans="2:8">
      <c r="B792" t="str">
        <f>IF('MASTER RECORD'!F797="Active",'MASTER RECORD'!C797,"")</f>
        <v/>
      </c>
      <c r="H792" t="str">
        <f>IF('MASTER RECORD'!G797="Sold",'MASTER RECORD'!C797,"")</f>
        <v/>
      </c>
    </row>
    <row r="793" spans="2:8">
      <c r="B793" t="str">
        <f>IF('MASTER RECORD'!F798="Active",'MASTER RECORD'!C798,"")</f>
        <v/>
      </c>
      <c r="H793" t="str">
        <f>IF('MASTER RECORD'!G798="Sold",'MASTER RECORD'!C798,"")</f>
        <v/>
      </c>
    </row>
    <row r="794" spans="2:8">
      <c r="B794" t="str">
        <f>IF('MASTER RECORD'!F799="Active",'MASTER RECORD'!C799,"")</f>
        <v/>
      </c>
      <c r="H794" t="str">
        <f>IF('MASTER RECORD'!G799="Sold",'MASTER RECORD'!C799,"")</f>
        <v/>
      </c>
    </row>
    <row r="795" spans="2:8">
      <c r="B795" t="str">
        <f>IF('MASTER RECORD'!F800="Active",'MASTER RECORD'!C800,"")</f>
        <v/>
      </c>
      <c r="H795" t="str">
        <f>IF('MASTER RECORD'!G800="Sold",'MASTER RECORD'!C800,"")</f>
        <v/>
      </c>
    </row>
    <row r="796" spans="2:8">
      <c r="B796" t="str">
        <f>IF('MASTER RECORD'!F801="Active",'MASTER RECORD'!C801,"")</f>
        <v/>
      </c>
      <c r="H796" t="str">
        <f>IF('MASTER RECORD'!G801="Sold",'MASTER RECORD'!C801,"")</f>
        <v/>
      </c>
    </row>
    <row r="797" spans="2:8">
      <c r="B797" t="str">
        <f>IF('MASTER RECORD'!F802="Active",'MASTER RECORD'!C802,"")</f>
        <v/>
      </c>
      <c r="H797" t="str">
        <f>IF('MASTER RECORD'!G802="Sold",'MASTER RECORD'!C802,"")</f>
        <v/>
      </c>
    </row>
    <row r="798" spans="2:8">
      <c r="B798" t="str">
        <f>IF('MASTER RECORD'!F803="Active",'MASTER RECORD'!C803,"")</f>
        <v/>
      </c>
      <c r="H798" t="str">
        <f>IF('MASTER RECORD'!G803="Sold",'MASTER RECORD'!C803,"")</f>
        <v/>
      </c>
    </row>
    <row r="799" spans="2:8">
      <c r="B799" t="str">
        <f>IF('MASTER RECORD'!F804="Active",'MASTER RECORD'!C804,"")</f>
        <v/>
      </c>
      <c r="H799" t="str">
        <f>IF('MASTER RECORD'!G804="Sold",'MASTER RECORD'!C804,"")</f>
        <v/>
      </c>
    </row>
    <row r="800" spans="2:8">
      <c r="B800" t="str">
        <f>IF('MASTER RECORD'!F805="Active",'MASTER RECORD'!C805,"")</f>
        <v/>
      </c>
      <c r="H800" t="str">
        <f>IF('MASTER RECORD'!G805="Sold",'MASTER RECORD'!C805,"")</f>
        <v/>
      </c>
    </row>
    <row r="801" spans="2:8">
      <c r="B801" t="str">
        <f>IF('MASTER RECORD'!F806="Active",'MASTER RECORD'!C806,"")</f>
        <v/>
      </c>
      <c r="H801" t="str">
        <f>IF('MASTER RECORD'!G806="Sold",'MASTER RECORD'!C806,"")</f>
        <v/>
      </c>
    </row>
    <row r="802" spans="2:8">
      <c r="B802" t="str">
        <f>IF('MASTER RECORD'!F807="Active",'MASTER RECORD'!C807,"")</f>
        <v/>
      </c>
      <c r="H802" t="str">
        <f>IF('MASTER RECORD'!G807="Sold",'MASTER RECORD'!C807,"")</f>
        <v/>
      </c>
    </row>
    <row r="803" spans="2:8">
      <c r="B803" t="str">
        <f>IF('MASTER RECORD'!F808="Active",'MASTER RECORD'!C808,"")</f>
        <v/>
      </c>
      <c r="H803" t="str">
        <f>IF('MASTER RECORD'!G808="Sold",'MASTER RECORD'!C808,"")</f>
        <v/>
      </c>
    </row>
    <row r="804" spans="2:8">
      <c r="B804" t="str">
        <f>IF('MASTER RECORD'!F809="Active",'MASTER RECORD'!C809,"")</f>
        <v/>
      </c>
      <c r="H804" t="str">
        <f>IF('MASTER RECORD'!G809="Sold",'MASTER RECORD'!C809,"")</f>
        <v/>
      </c>
    </row>
    <row r="805" spans="2:8">
      <c r="B805" t="str">
        <f>IF('MASTER RECORD'!F810="Active",'MASTER RECORD'!C810,"")</f>
        <v/>
      </c>
      <c r="H805" t="str">
        <f>IF('MASTER RECORD'!G810="Sold",'MASTER RECORD'!C810,"")</f>
        <v/>
      </c>
    </row>
    <row r="806" spans="2:8">
      <c r="B806" t="str">
        <f>IF('MASTER RECORD'!F811="Active",'MASTER RECORD'!C811,"")</f>
        <v/>
      </c>
      <c r="H806" t="str">
        <f>IF('MASTER RECORD'!G811="Sold",'MASTER RECORD'!C811,"")</f>
        <v/>
      </c>
    </row>
    <row r="807" spans="2:8">
      <c r="B807" t="str">
        <f>IF('MASTER RECORD'!F812="Active",'MASTER RECORD'!C812,"")</f>
        <v/>
      </c>
      <c r="H807" t="str">
        <f>IF('MASTER RECORD'!G812="Sold",'MASTER RECORD'!C812,"")</f>
        <v/>
      </c>
    </row>
    <row r="808" spans="2:8">
      <c r="B808" t="str">
        <f>IF('MASTER RECORD'!F813="Active",'MASTER RECORD'!C813,"")</f>
        <v/>
      </c>
      <c r="H808" t="str">
        <f>IF('MASTER RECORD'!G813="Sold",'MASTER RECORD'!C813,"")</f>
        <v/>
      </c>
    </row>
    <row r="809" spans="2:8">
      <c r="B809" t="str">
        <f>IF('MASTER RECORD'!F814="Active",'MASTER RECORD'!C814,"")</f>
        <v/>
      </c>
      <c r="H809" t="str">
        <f>IF('MASTER RECORD'!G814="Sold",'MASTER RECORD'!C814,"")</f>
        <v/>
      </c>
    </row>
    <row r="810" spans="2:8">
      <c r="B810" t="str">
        <f>IF('MASTER RECORD'!F815="Active",'MASTER RECORD'!C815,"")</f>
        <v/>
      </c>
      <c r="H810" t="str">
        <f>IF('MASTER RECORD'!G815="Sold",'MASTER RECORD'!C815,"")</f>
        <v/>
      </c>
    </row>
    <row r="811" spans="2:8">
      <c r="B811" t="str">
        <f>IF('MASTER RECORD'!F816="Active",'MASTER RECORD'!C816,"")</f>
        <v/>
      </c>
      <c r="H811" t="str">
        <f>IF('MASTER RECORD'!G816="Sold",'MASTER RECORD'!C816,"")</f>
        <v/>
      </c>
    </row>
    <row r="812" spans="2:8">
      <c r="B812" t="str">
        <f>IF('MASTER RECORD'!F817="Active",'MASTER RECORD'!C817,"")</f>
        <v/>
      </c>
      <c r="H812" t="str">
        <f>IF('MASTER RECORD'!G817="Sold",'MASTER RECORD'!C817,"")</f>
        <v/>
      </c>
    </row>
    <row r="813" spans="2:8">
      <c r="B813" t="str">
        <f>IF('MASTER RECORD'!F818="Active",'MASTER RECORD'!C818,"")</f>
        <v/>
      </c>
      <c r="H813" t="str">
        <f>IF('MASTER RECORD'!G818="Sold",'MASTER RECORD'!C818,"")</f>
        <v/>
      </c>
    </row>
    <row r="814" spans="2:8">
      <c r="B814" t="str">
        <f>IF('MASTER RECORD'!F819="Active",'MASTER RECORD'!C819,"")</f>
        <v/>
      </c>
      <c r="H814" t="str">
        <f>IF('MASTER RECORD'!G819="Sold",'MASTER RECORD'!C819,"")</f>
        <v/>
      </c>
    </row>
    <row r="815" spans="2:8">
      <c r="B815" t="str">
        <f>IF('MASTER RECORD'!F820="Active",'MASTER RECORD'!C820,"")</f>
        <v/>
      </c>
      <c r="H815" t="str">
        <f>IF('MASTER RECORD'!G820="Sold",'MASTER RECORD'!C820,"")</f>
        <v/>
      </c>
    </row>
    <row r="816" spans="2:8">
      <c r="B816" t="str">
        <f>IF('MASTER RECORD'!F821="Active",'MASTER RECORD'!C821,"")</f>
        <v/>
      </c>
      <c r="H816" t="str">
        <f>IF('MASTER RECORD'!G821="Sold",'MASTER RECORD'!C821,"")</f>
        <v/>
      </c>
    </row>
    <row r="817" spans="2:8">
      <c r="B817" t="str">
        <f>IF('MASTER RECORD'!F822="Active",'MASTER RECORD'!C822,"")</f>
        <v/>
      </c>
      <c r="H817" t="str">
        <f>IF('MASTER RECORD'!G822="Sold",'MASTER RECORD'!C822,"")</f>
        <v/>
      </c>
    </row>
    <row r="818" spans="2:8">
      <c r="B818" t="str">
        <f>IF('MASTER RECORD'!F823="Active",'MASTER RECORD'!C823,"")</f>
        <v/>
      </c>
      <c r="H818" t="str">
        <f>IF('MASTER RECORD'!G823="Sold",'MASTER RECORD'!C823,"")</f>
        <v/>
      </c>
    </row>
    <row r="819" spans="2:8">
      <c r="B819" t="str">
        <f>IF('MASTER RECORD'!F824="Active",'MASTER RECORD'!C824,"")</f>
        <v/>
      </c>
      <c r="H819" t="str">
        <f>IF('MASTER RECORD'!G824="Sold",'MASTER RECORD'!C824,"")</f>
        <v/>
      </c>
    </row>
    <row r="820" spans="2:8">
      <c r="B820" t="str">
        <f>IF('MASTER RECORD'!F825="Active",'MASTER RECORD'!C825,"")</f>
        <v/>
      </c>
      <c r="H820" t="str">
        <f>IF('MASTER RECORD'!G825="Sold",'MASTER RECORD'!C825,"")</f>
        <v/>
      </c>
    </row>
    <row r="821" spans="2:8">
      <c r="B821" t="str">
        <f>IF('MASTER RECORD'!F826="Active",'MASTER RECORD'!C826,"")</f>
        <v/>
      </c>
      <c r="H821" t="str">
        <f>IF('MASTER RECORD'!G826="Sold",'MASTER RECORD'!C826,"")</f>
        <v/>
      </c>
    </row>
    <row r="822" spans="2:8">
      <c r="B822" t="str">
        <f>IF('MASTER RECORD'!F827="Active",'MASTER RECORD'!C827,"")</f>
        <v/>
      </c>
      <c r="H822" t="str">
        <f>IF('MASTER RECORD'!G827="Sold",'MASTER RECORD'!C827,"")</f>
        <v/>
      </c>
    </row>
    <row r="823" spans="2:8">
      <c r="B823" t="str">
        <f>IF('MASTER RECORD'!F828="Active",'MASTER RECORD'!C828,"")</f>
        <v/>
      </c>
      <c r="H823" t="str">
        <f>IF('MASTER RECORD'!G828="Sold",'MASTER RECORD'!C828,"")</f>
        <v/>
      </c>
    </row>
    <row r="824" spans="2:8">
      <c r="B824" t="str">
        <f>IF('MASTER RECORD'!F829="Active",'MASTER RECORD'!C829,"")</f>
        <v/>
      </c>
      <c r="H824" t="str">
        <f>IF('MASTER RECORD'!G829="Sold",'MASTER RECORD'!C829,"")</f>
        <v/>
      </c>
    </row>
    <row r="825" spans="2:8">
      <c r="B825" t="str">
        <f>IF('MASTER RECORD'!F830="Active",'MASTER RECORD'!C830,"")</f>
        <v/>
      </c>
      <c r="H825" t="str">
        <f>IF('MASTER RECORD'!G830="Sold",'MASTER RECORD'!C830,"")</f>
        <v/>
      </c>
    </row>
    <row r="826" spans="2:8">
      <c r="B826" t="str">
        <f>IF('MASTER RECORD'!F831="Active",'MASTER RECORD'!C831,"")</f>
        <v/>
      </c>
      <c r="H826" t="str">
        <f>IF('MASTER RECORD'!G831="Sold",'MASTER RECORD'!C831,"")</f>
        <v/>
      </c>
    </row>
    <row r="827" spans="2:8">
      <c r="B827" t="str">
        <f>IF('MASTER RECORD'!F832="Active",'MASTER RECORD'!C832,"")</f>
        <v/>
      </c>
      <c r="H827" t="str">
        <f>IF('MASTER RECORD'!G832="Sold",'MASTER RECORD'!C832,"")</f>
        <v/>
      </c>
    </row>
    <row r="828" spans="2:8">
      <c r="B828" t="str">
        <f>IF('MASTER RECORD'!F833="Active",'MASTER RECORD'!C833,"")</f>
        <v/>
      </c>
      <c r="H828" t="str">
        <f>IF('MASTER RECORD'!G833="Sold",'MASTER RECORD'!C833,"")</f>
        <v/>
      </c>
    </row>
    <row r="829" spans="2:8">
      <c r="B829" t="str">
        <f>IF('MASTER RECORD'!F834="Active",'MASTER RECORD'!C834,"")</f>
        <v/>
      </c>
      <c r="H829" t="str">
        <f>IF('MASTER RECORD'!G834="Sold",'MASTER RECORD'!C834,"")</f>
        <v/>
      </c>
    </row>
    <row r="830" spans="2:8">
      <c r="B830" t="str">
        <f>IF('MASTER RECORD'!F835="Active",'MASTER RECORD'!C835,"")</f>
        <v/>
      </c>
      <c r="H830" t="str">
        <f>IF('MASTER RECORD'!G835="Sold",'MASTER RECORD'!C835,"")</f>
        <v/>
      </c>
    </row>
    <row r="831" spans="2:8">
      <c r="B831" t="str">
        <f>IF('MASTER RECORD'!F836="Active",'MASTER RECORD'!C836,"")</f>
        <v/>
      </c>
      <c r="H831" t="str">
        <f>IF('MASTER RECORD'!G836="Sold",'MASTER RECORD'!C836,"")</f>
        <v/>
      </c>
    </row>
    <row r="832" spans="2:8">
      <c r="B832" t="str">
        <f>IF('MASTER RECORD'!F837="Active",'MASTER RECORD'!C837,"")</f>
        <v/>
      </c>
      <c r="H832" t="str">
        <f>IF('MASTER RECORD'!G837="Sold",'MASTER RECORD'!C837,"")</f>
        <v/>
      </c>
    </row>
    <row r="833" spans="2:8">
      <c r="B833" t="str">
        <f>IF('MASTER RECORD'!F838="Active",'MASTER RECORD'!C838,"")</f>
        <v/>
      </c>
      <c r="H833" t="str">
        <f>IF('MASTER RECORD'!G838="Sold",'MASTER RECORD'!C838,"")</f>
        <v/>
      </c>
    </row>
    <row r="834" spans="2:8">
      <c r="B834" t="str">
        <f>IF('MASTER RECORD'!F839="Active",'MASTER RECORD'!C839,"")</f>
        <v/>
      </c>
      <c r="H834" t="str">
        <f>IF('MASTER RECORD'!G839="Sold",'MASTER RECORD'!C839,"")</f>
        <v/>
      </c>
    </row>
    <row r="835" spans="2:8">
      <c r="B835" t="str">
        <f>IF('MASTER RECORD'!F840="Active",'MASTER RECORD'!C840,"")</f>
        <v/>
      </c>
      <c r="H835" t="str">
        <f>IF('MASTER RECORD'!G840="Sold",'MASTER RECORD'!C840,"")</f>
        <v/>
      </c>
    </row>
    <row r="836" spans="2:8">
      <c r="B836" t="str">
        <f>IF('MASTER RECORD'!F841="Active",'MASTER RECORD'!C841,"")</f>
        <v/>
      </c>
      <c r="H836" t="str">
        <f>IF('MASTER RECORD'!G841="Sold",'MASTER RECORD'!C841,"")</f>
        <v/>
      </c>
    </row>
    <row r="837" spans="2:8">
      <c r="B837" t="str">
        <f>IF('MASTER RECORD'!F842="Active",'MASTER RECORD'!C842,"")</f>
        <v/>
      </c>
      <c r="H837" t="str">
        <f>IF('MASTER RECORD'!G842="Sold",'MASTER RECORD'!C842,"")</f>
        <v/>
      </c>
    </row>
    <row r="838" spans="2:8">
      <c r="B838" t="str">
        <f>IF('MASTER RECORD'!F843="Active",'MASTER RECORD'!C843,"")</f>
        <v/>
      </c>
      <c r="H838" t="str">
        <f>IF('MASTER RECORD'!G843="Sold",'MASTER RECORD'!C843,"")</f>
        <v/>
      </c>
    </row>
    <row r="839" spans="2:8">
      <c r="B839" t="str">
        <f>IF('MASTER RECORD'!F844="Active",'MASTER RECORD'!C844,"")</f>
        <v/>
      </c>
      <c r="H839" t="str">
        <f>IF('MASTER RECORD'!G844="Sold",'MASTER RECORD'!C844,"")</f>
        <v/>
      </c>
    </row>
    <row r="840" spans="2:8">
      <c r="B840" t="str">
        <f>IF('MASTER RECORD'!F845="Active",'MASTER RECORD'!C845,"")</f>
        <v/>
      </c>
      <c r="H840" t="str">
        <f>IF('MASTER RECORD'!G845="Sold",'MASTER RECORD'!C845,"")</f>
        <v/>
      </c>
    </row>
    <row r="841" spans="2:8">
      <c r="B841" t="str">
        <f>IF('MASTER RECORD'!F846="Active",'MASTER RECORD'!C846,"")</f>
        <v/>
      </c>
      <c r="H841" t="str">
        <f>IF('MASTER RECORD'!G846="Sold",'MASTER RECORD'!C846,"")</f>
        <v/>
      </c>
    </row>
    <row r="842" spans="2:8">
      <c r="B842" t="str">
        <f>IF('MASTER RECORD'!F847="Active",'MASTER RECORD'!C847,"")</f>
        <v/>
      </c>
      <c r="H842" t="str">
        <f>IF('MASTER RECORD'!G847="Sold",'MASTER RECORD'!C847,"")</f>
        <v/>
      </c>
    </row>
    <row r="843" spans="2:8">
      <c r="B843" t="str">
        <f>IF('MASTER RECORD'!F848="Active",'MASTER RECORD'!C848,"")</f>
        <v/>
      </c>
      <c r="H843" t="str">
        <f>IF('MASTER RECORD'!G848="Sold",'MASTER RECORD'!C848,"")</f>
        <v/>
      </c>
    </row>
    <row r="844" spans="2:8">
      <c r="B844" t="str">
        <f>IF('MASTER RECORD'!F849="Active",'MASTER RECORD'!C849,"")</f>
        <v/>
      </c>
      <c r="H844" t="str">
        <f>IF('MASTER RECORD'!G849="Sold",'MASTER RECORD'!C849,"")</f>
        <v/>
      </c>
    </row>
    <row r="845" spans="2:8">
      <c r="B845" t="str">
        <f>IF('MASTER RECORD'!F850="Active",'MASTER RECORD'!C850,"")</f>
        <v/>
      </c>
      <c r="H845" t="str">
        <f>IF('MASTER RECORD'!G850="Sold",'MASTER RECORD'!C850,"")</f>
        <v/>
      </c>
    </row>
    <row r="846" spans="2:8">
      <c r="B846" t="str">
        <f>IF('MASTER RECORD'!F851="Active",'MASTER RECORD'!C851,"")</f>
        <v/>
      </c>
      <c r="H846" t="str">
        <f>IF('MASTER RECORD'!G851="Sold",'MASTER RECORD'!C851,"")</f>
        <v/>
      </c>
    </row>
    <row r="847" spans="2:8">
      <c r="B847" t="str">
        <f>IF('MASTER RECORD'!F852="Active",'MASTER RECORD'!C852,"")</f>
        <v/>
      </c>
      <c r="H847" t="str">
        <f>IF('MASTER RECORD'!G852="Sold",'MASTER RECORD'!C852,"")</f>
        <v/>
      </c>
    </row>
    <row r="848" spans="2:8">
      <c r="B848" t="str">
        <f>IF('MASTER RECORD'!F853="Active",'MASTER RECORD'!C853,"")</f>
        <v/>
      </c>
      <c r="H848" t="str">
        <f>IF('MASTER RECORD'!G853="Sold",'MASTER RECORD'!C853,"")</f>
        <v/>
      </c>
    </row>
    <row r="849" spans="2:8">
      <c r="B849" t="str">
        <f>IF('MASTER RECORD'!F854="Active",'MASTER RECORD'!C854,"")</f>
        <v/>
      </c>
      <c r="H849" t="str">
        <f>IF('MASTER RECORD'!G854="Sold",'MASTER RECORD'!C854,"")</f>
        <v/>
      </c>
    </row>
    <row r="850" spans="2:8">
      <c r="B850" t="str">
        <f>IF('MASTER RECORD'!F855="Active",'MASTER RECORD'!C855,"")</f>
        <v/>
      </c>
      <c r="H850" t="str">
        <f>IF('MASTER RECORD'!G855="Sold",'MASTER RECORD'!C855,"")</f>
        <v/>
      </c>
    </row>
    <row r="851" spans="2:8">
      <c r="B851" t="str">
        <f>IF('MASTER RECORD'!F856="Active",'MASTER RECORD'!C856,"")</f>
        <v/>
      </c>
      <c r="H851" t="str">
        <f>IF('MASTER RECORD'!G856="Sold",'MASTER RECORD'!C856,"")</f>
        <v/>
      </c>
    </row>
    <row r="852" spans="2:8">
      <c r="B852" t="str">
        <f>IF('MASTER RECORD'!F857="Active",'MASTER RECORD'!C857,"")</f>
        <v/>
      </c>
      <c r="H852" t="str">
        <f>IF('MASTER RECORD'!G857="Sold",'MASTER RECORD'!C857,"")</f>
        <v/>
      </c>
    </row>
    <row r="853" spans="2:8">
      <c r="B853" t="str">
        <f>IF('MASTER RECORD'!F858="Active",'MASTER RECORD'!C858,"")</f>
        <v/>
      </c>
      <c r="H853" t="str">
        <f>IF('MASTER RECORD'!G858="Sold",'MASTER RECORD'!C858,"")</f>
        <v/>
      </c>
    </row>
    <row r="854" spans="2:8">
      <c r="B854" t="str">
        <f>IF('MASTER RECORD'!F859="Active",'MASTER RECORD'!C859,"")</f>
        <v/>
      </c>
      <c r="H854" t="str">
        <f>IF('MASTER RECORD'!G859="Sold",'MASTER RECORD'!C859,"")</f>
        <v/>
      </c>
    </row>
    <row r="855" spans="2:8">
      <c r="B855" t="str">
        <f>IF('MASTER RECORD'!F860="Active",'MASTER RECORD'!C860,"")</f>
        <v/>
      </c>
      <c r="H855" t="str">
        <f>IF('MASTER RECORD'!G860="Sold",'MASTER RECORD'!C860,"")</f>
        <v/>
      </c>
    </row>
    <row r="856" spans="2:8">
      <c r="B856" t="str">
        <f>IF('MASTER RECORD'!F861="Active",'MASTER RECORD'!C861,"")</f>
        <v/>
      </c>
      <c r="H856" t="str">
        <f>IF('MASTER RECORD'!G861="Sold",'MASTER RECORD'!C861,"")</f>
        <v/>
      </c>
    </row>
    <row r="857" spans="2:8">
      <c r="B857" t="str">
        <f>IF('MASTER RECORD'!F862="Active",'MASTER RECORD'!C862,"")</f>
        <v/>
      </c>
      <c r="H857" t="str">
        <f>IF('MASTER RECORD'!G862="Sold",'MASTER RECORD'!C862,"")</f>
        <v/>
      </c>
    </row>
    <row r="858" spans="2:8">
      <c r="B858" t="str">
        <f>IF('MASTER RECORD'!F863="Active",'MASTER RECORD'!C863,"")</f>
        <v/>
      </c>
      <c r="H858" t="str">
        <f>IF('MASTER RECORD'!G863="Sold",'MASTER RECORD'!C863,"")</f>
        <v/>
      </c>
    </row>
    <row r="859" spans="2:8">
      <c r="B859" t="str">
        <f>IF('MASTER RECORD'!F864="Active",'MASTER RECORD'!C864,"")</f>
        <v/>
      </c>
      <c r="H859" t="str">
        <f>IF('MASTER RECORD'!G864="Sold",'MASTER RECORD'!C864,"")</f>
        <v/>
      </c>
    </row>
    <row r="860" spans="2:8">
      <c r="B860" t="str">
        <f>IF('MASTER RECORD'!F865="Active",'MASTER RECORD'!C865,"")</f>
        <v/>
      </c>
      <c r="H860" t="str">
        <f>IF('MASTER RECORD'!G865="Sold",'MASTER RECORD'!C865,"")</f>
        <v/>
      </c>
    </row>
    <row r="861" spans="2:8">
      <c r="B861" t="str">
        <f>IF('MASTER RECORD'!F866="Active",'MASTER RECORD'!C866,"")</f>
        <v/>
      </c>
      <c r="H861" t="str">
        <f>IF('MASTER RECORD'!G866="Sold",'MASTER RECORD'!C866,"")</f>
        <v/>
      </c>
    </row>
    <row r="862" spans="2:8">
      <c r="B862" t="str">
        <f>IF('MASTER RECORD'!F867="Active",'MASTER RECORD'!C867,"")</f>
        <v/>
      </c>
      <c r="H862" t="str">
        <f>IF('MASTER RECORD'!G867="Sold",'MASTER RECORD'!C867,"")</f>
        <v/>
      </c>
    </row>
    <row r="863" spans="2:8">
      <c r="B863" t="str">
        <f>IF('MASTER RECORD'!F868="Active",'MASTER RECORD'!C868,"")</f>
        <v/>
      </c>
      <c r="H863" t="str">
        <f>IF('MASTER RECORD'!G868="Sold",'MASTER RECORD'!C868,"")</f>
        <v/>
      </c>
    </row>
    <row r="864" spans="2:8">
      <c r="B864" t="str">
        <f>IF('MASTER RECORD'!F869="Active",'MASTER RECORD'!C869,"")</f>
        <v/>
      </c>
      <c r="H864" t="str">
        <f>IF('MASTER RECORD'!G869="Sold",'MASTER RECORD'!C869,"")</f>
        <v/>
      </c>
    </row>
    <row r="865" spans="2:8">
      <c r="B865" t="str">
        <f>IF('MASTER RECORD'!F870="Active",'MASTER RECORD'!C870,"")</f>
        <v/>
      </c>
      <c r="H865" t="str">
        <f>IF('MASTER RECORD'!G870="Sold",'MASTER RECORD'!C870,"")</f>
        <v/>
      </c>
    </row>
    <row r="866" spans="2:8">
      <c r="B866" t="str">
        <f>IF('MASTER RECORD'!F871="Active",'MASTER RECORD'!C871,"")</f>
        <v/>
      </c>
      <c r="H866" t="str">
        <f>IF('MASTER RECORD'!G871="Sold",'MASTER RECORD'!C871,"")</f>
        <v/>
      </c>
    </row>
    <row r="867" spans="2:8">
      <c r="B867" t="str">
        <f>IF('MASTER RECORD'!F872="Active",'MASTER RECORD'!C872,"")</f>
        <v/>
      </c>
      <c r="H867" t="str">
        <f>IF('MASTER RECORD'!G872="Sold",'MASTER RECORD'!C872,"")</f>
        <v/>
      </c>
    </row>
    <row r="868" spans="2:8">
      <c r="B868" t="str">
        <f>IF('MASTER RECORD'!F873="Active",'MASTER RECORD'!C873,"")</f>
        <v/>
      </c>
      <c r="H868" t="str">
        <f>IF('MASTER RECORD'!G873="Sold",'MASTER RECORD'!C873,"")</f>
        <v/>
      </c>
    </row>
    <row r="869" spans="2:8">
      <c r="B869" t="str">
        <f>IF('MASTER RECORD'!F874="Active",'MASTER RECORD'!C874,"")</f>
        <v/>
      </c>
      <c r="H869" t="str">
        <f>IF('MASTER RECORD'!G874="Sold",'MASTER RECORD'!C874,"")</f>
        <v/>
      </c>
    </row>
    <row r="870" spans="2:8">
      <c r="B870" t="str">
        <f>IF('MASTER RECORD'!F875="Active",'MASTER RECORD'!C875,"")</f>
        <v/>
      </c>
      <c r="H870" t="str">
        <f>IF('MASTER RECORD'!G875="Sold",'MASTER RECORD'!C875,"")</f>
        <v/>
      </c>
    </row>
    <row r="871" spans="2:8">
      <c r="B871" t="str">
        <f>IF('MASTER RECORD'!F876="Active",'MASTER RECORD'!C876,"")</f>
        <v/>
      </c>
      <c r="H871" t="str">
        <f>IF('MASTER RECORD'!G876="Sold",'MASTER RECORD'!C876,"")</f>
        <v/>
      </c>
    </row>
    <row r="872" spans="2:8">
      <c r="B872" t="str">
        <f>IF('MASTER RECORD'!F877="Active",'MASTER RECORD'!C877,"")</f>
        <v/>
      </c>
      <c r="H872" t="str">
        <f>IF('MASTER RECORD'!G877="Sold",'MASTER RECORD'!C877,"")</f>
        <v/>
      </c>
    </row>
    <row r="873" spans="2:8">
      <c r="B873" t="str">
        <f>IF('MASTER RECORD'!F878="Active",'MASTER RECORD'!C878,"")</f>
        <v/>
      </c>
      <c r="H873" t="str">
        <f>IF('MASTER RECORD'!G878="Sold",'MASTER RECORD'!C878,"")</f>
        <v/>
      </c>
    </row>
    <row r="874" spans="2:8">
      <c r="B874" t="str">
        <f>IF('MASTER RECORD'!F879="Active",'MASTER RECORD'!C879,"")</f>
        <v/>
      </c>
      <c r="H874" t="str">
        <f>IF('MASTER RECORD'!G879="Sold",'MASTER RECORD'!C879,"")</f>
        <v/>
      </c>
    </row>
    <row r="875" spans="2:8">
      <c r="B875" t="str">
        <f>IF('MASTER RECORD'!F880="Active",'MASTER RECORD'!C880,"")</f>
        <v/>
      </c>
      <c r="H875" t="str">
        <f>IF('MASTER RECORD'!G880="Sold",'MASTER RECORD'!C880,"")</f>
        <v/>
      </c>
    </row>
    <row r="876" spans="2:8">
      <c r="B876" t="str">
        <f>IF('MASTER RECORD'!F881="Active",'MASTER RECORD'!C881,"")</f>
        <v/>
      </c>
      <c r="H876" t="str">
        <f>IF('MASTER RECORD'!G881="Sold",'MASTER RECORD'!C881,"")</f>
        <v/>
      </c>
    </row>
    <row r="877" spans="2:8">
      <c r="B877" t="str">
        <f>IF('MASTER RECORD'!F882="Active",'MASTER RECORD'!C882,"")</f>
        <v/>
      </c>
      <c r="H877" t="str">
        <f>IF('MASTER RECORD'!G882="Sold",'MASTER RECORD'!C882,"")</f>
        <v/>
      </c>
    </row>
    <row r="878" spans="2:8">
      <c r="B878" t="str">
        <f>IF('MASTER RECORD'!F883="Active",'MASTER RECORD'!C883,"")</f>
        <v/>
      </c>
      <c r="H878" t="str">
        <f>IF('MASTER RECORD'!G883="Sold",'MASTER RECORD'!C883,"")</f>
        <v/>
      </c>
    </row>
    <row r="879" spans="2:8">
      <c r="B879" t="str">
        <f>IF('MASTER RECORD'!F884="Active",'MASTER RECORD'!C884,"")</f>
        <v/>
      </c>
      <c r="H879" t="str">
        <f>IF('MASTER RECORD'!G884="Sold",'MASTER RECORD'!C884,"")</f>
        <v/>
      </c>
    </row>
    <row r="880" spans="2:8">
      <c r="B880" t="str">
        <f>IF('MASTER RECORD'!F885="Active",'MASTER RECORD'!C885,"")</f>
        <v/>
      </c>
      <c r="H880" t="str">
        <f>IF('MASTER RECORD'!G885="Sold",'MASTER RECORD'!C885,"")</f>
        <v/>
      </c>
    </row>
    <row r="881" spans="2:8">
      <c r="B881" t="str">
        <f>IF('MASTER RECORD'!F886="Active",'MASTER RECORD'!C886,"")</f>
        <v/>
      </c>
      <c r="H881" t="str">
        <f>IF('MASTER RECORD'!G886="Sold",'MASTER RECORD'!C886,"")</f>
        <v/>
      </c>
    </row>
    <row r="882" spans="2:8">
      <c r="B882" t="str">
        <f>IF('MASTER RECORD'!F887="Active",'MASTER RECORD'!C887,"")</f>
        <v/>
      </c>
      <c r="H882" t="str">
        <f>IF('MASTER RECORD'!G887="Sold",'MASTER RECORD'!C887,"")</f>
        <v/>
      </c>
    </row>
    <row r="883" spans="2:8">
      <c r="B883" t="str">
        <f>IF('MASTER RECORD'!F888="Active",'MASTER RECORD'!C888,"")</f>
        <v/>
      </c>
      <c r="H883" t="str">
        <f>IF('MASTER RECORD'!G888="Sold",'MASTER RECORD'!C888,"")</f>
        <v/>
      </c>
    </row>
    <row r="884" spans="2:8">
      <c r="B884" t="str">
        <f>IF('MASTER RECORD'!F889="Active",'MASTER RECORD'!C889,"")</f>
        <v/>
      </c>
      <c r="H884" t="str">
        <f>IF('MASTER RECORD'!G889="Sold",'MASTER RECORD'!C889,"")</f>
        <v/>
      </c>
    </row>
    <row r="885" spans="2:8">
      <c r="B885" t="str">
        <f>IF('MASTER RECORD'!F890="Active",'MASTER RECORD'!C890,"")</f>
        <v/>
      </c>
      <c r="H885" t="str">
        <f>IF('MASTER RECORD'!G890="Sold",'MASTER RECORD'!C890,"")</f>
        <v/>
      </c>
    </row>
    <row r="886" spans="2:8">
      <c r="B886" t="str">
        <f>IF('MASTER RECORD'!F891="Active",'MASTER RECORD'!C891,"")</f>
        <v/>
      </c>
      <c r="H886" t="str">
        <f>IF('MASTER RECORD'!G891="Sold",'MASTER RECORD'!C891,"")</f>
        <v/>
      </c>
    </row>
    <row r="887" spans="2:8">
      <c r="B887" t="str">
        <f>IF('MASTER RECORD'!F892="Active",'MASTER RECORD'!C892,"")</f>
        <v/>
      </c>
      <c r="H887" t="str">
        <f>IF('MASTER RECORD'!G892="Sold",'MASTER RECORD'!C892,"")</f>
        <v/>
      </c>
    </row>
    <row r="888" spans="2:8">
      <c r="B888" t="str">
        <f>IF('MASTER RECORD'!F893="Active",'MASTER RECORD'!C893,"")</f>
        <v/>
      </c>
      <c r="H888" t="str">
        <f>IF('MASTER RECORD'!G893="Sold",'MASTER RECORD'!C893,"")</f>
        <v/>
      </c>
    </row>
    <row r="889" spans="2:8">
      <c r="B889" t="str">
        <f>IF('MASTER RECORD'!F894="Active",'MASTER RECORD'!C894,"")</f>
        <v/>
      </c>
      <c r="H889" t="str">
        <f>IF('MASTER RECORD'!G894="Sold",'MASTER RECORD'!C894,"")</f>
        <v/>
      </c>
    </row>
    <row r="890" spans="2:8">
      <c r="B890" t="str">
        <f>IF('MASTER RECORD'!F895="Active",'MASTER RECORD'!C895,"")</f>
        <v/>
      </c>
      <c r="H890" t="str">
        <f>IF('MASTER RECORD'!G895="Sold",'MASTER RECORD'!C895,"")</f>
        <v/>
      </c>
    </row>
    <row r="891" spans="2:8">
      <c r="B891" t="str">
        <f>IF('MASTER RECORD'!F896="Active",'MASTER RECORD'!C896,"")</f>
        <v/>
      </c>
      <c r="H891" t="str">
        <f>IF('MASTER RECORD'!G896="Sold",'MASTER RECORD'!C896,"")</f>
        <v/>
      </c>
    </row>
    <row r="892" spans="2:8">
      <c r="B892" t="str">
        <f>IF('MASTER RECORD'!F897="Active",'MASTER RECORD'!C897,"")</f>
        <v/>
      </c>
      <c r="H892" t="str">
        <f>IF('MASTER RECORD'!G897="Sold",'MASTER RECORD'!C897,"")</f>
        <v/>
      </c>
    </row>
    <row r="893" spans="2:8">
      <c r="B893" t="str">
        <f>IF('MASTER RECORD'!F898="Active",'MASTER RECORD'!C898,"")</f>
        <v/>
      </c>
      <c r="H893" t="str">
        <f>IF('MASTER RECORD'!G898="Sold",'MASTER RECORD'!C898,"")</f>
        <v/>
      </c>
    </row>
    <row r="894" spans="2:8">
      <c r="B894" t="str">
        <f>IF('MASTER RECORD'!F899="Active",'MASTER RECORD'!C899,"")</f>
        <v/>
      </c>
      <c r="H894" t="str">
        <f>IF('MASTER RECORD'!G899="Sold",'MASTER RECORD'!C899,"")</f>
        <v/>
      </c>
    </row>
    <row r="895" spans="2:8">
      <c r="B895" t="str">
        <f>IF('MASTER RECORD'!F900="Active",'MASTER RECORD'!C900,"")</f>
        <v/>
      </c>
      <c r="H895" t="str">
        <f>IF('MASTER RECORD'!G900="Sold",'MASTER RECORD'!C900,"")</f>
        <v/>
      </c>
    </row>
    <row r="896" spans="2:8">
      <c r="B896" t="str">
        <f>IF('MASTER RECORD'!F901="Active",'MASTER RECORD'!C901,"")</f>
        <v/>
      </c>
      <c r="H896" t="str">
        <f>IF('MASTER RECORD'!G901="Sold",'MASTER RECORD'!C901,"")</f>
        <v/>
      </c>
    </row>
    <row r="897" spans="2:8">
      <c r="B897" t="str">
        <f>IF('MASTER RECORD'!F902="Active",'MASTER RECORD'!C902,"")</f>
        <v/>
      </c>
      <c r="H897" t="str">
        <f>IF('MASTER RECORD'!G902="Sold",'MASTER RECORD'!C902,"")</f>
        <v/>
      </c>
    </row>
    <row r="898" spans="2:8">
      <c r="B898" t="str">
        <f>IF('MASTER RECORD'!F903="Active",'MASTER RECORD'!C903,"")</f>
        <v/>
      </c>
      <c r="H898" t="str">
        <f>IF('MASTER RECORD'!G903="Sold",'MASTER RECORD'!C903,"")</f>
        <v/>
      </c>
    </row>
    <row r="899" spans="2:8">
      <c r="B899" t="str">
        <f>IF('MASTER RECORD'!F904="Active",'MASTER RECORD'!C904,"")</f>
        <v/>
      </c>
      <c r="H899" t="str">
        <f>IF('MASTER RECORD'!G904="Sold",'MASTER RECORD'!C904,"")</f>
        <v/>
      </c>
    </row>
    <row r="900" spans="2:8">
      <c r="B900" t="str">
        <f>IF('MASTER RECORD'!F905="Active",'MASTER RECORD'!C905,"")</f>
        <v/>
      </c>
      <c r="H900" t="str">
        <f>IF('MASTER RECORD'!G905="Sold",'MASTER RECORD'!C905,"")</f>
        <v/>
      </c>
    </row>
    <row r="901" spans="2:8">
      <c r="B901" t="str">
        <f>IF('MASTER RECORD'!F906="Active",'MASTER RECORD'!C906,"")</f>
        <v/>
      </c>
      <c r="H901" t="str">
        <f>IF('MASTER RECORD'!G906="Sold",'MASTER RECORD'!C906,"")</f>
        <v/>
      </c>
    </row>
    <row r="902" spans="2:8">
      <c r="B902" t="str">
        <f>IF('MASTER RECORD'!F907="Active",'MASTER RECORD'!C907,"")</f>
        <v/>
      </c>
      <c r="H902" t="str">
        <f>IF('MASTER RECORD'!G907="Sold",'MASTER RECORD'!C907,"")</f>
        <v/>
      </c>
    </row>
    <row r="903" spans="2:8">
      <c r="B903" t="str">
        <f>IF('MASTER RECORD'!F908="Active",'MASTER RECORD'!C908,"")</f>
        <v/>
      </c>
      <c r="H903" t="str">
        <f>IF('MASTER RECORD'!G908="Sold",'MASTER RECORD'!C908,"")</f>
        <v/>
      </c>
    </row>
    <row r="904" spans="2:8">
      <c r="B904" t="str">
        <f>IF('MASTER RECORD'!F909="Active",'MASTER RECORD'!C909,"")</f>
        <v/>
      </c>
      <c r="H904" t="str">
        <f>IF('MASTER RECORD'!G909="Sold",'MASTER RECORD'!C909,"")</f>
        <v/>
      </c>
    </row>
    <row r="905" spans="2:8">
      <c r="B905" t="str">
        <f>IF('MASTER RECORD'!F910="Active",'MASTER RECORD'!C910,"")</f>
        <v/>
      </c>
      <c r="H905" t="str">
        <f>IF('MASTER RECORD'!G910="Sold",'MASTER RECORD'!C910,"")</f>
        <v/>
      </c>
    </row>
    <row r="906" spans="2:8">
      <c r="B906" t="str">
        <f>IF('MASTER RECORD'!F911="Active",'MASTER RECORD'!C911,"")</f>
        <v/>
      </c>
      <c r="H906" t="str">
        <f>IF('MASTER RECORD'!G911="Sold",'MASTER RECORD'!C911,"")</f>
        <v/>
      </c>
    </row>
    <row r="907" spans="2:8">
      <c r="B907" t="str">
        <f>IF('MASTER RECORD'!F912="Active",'MASTER RECORD'!C912,"")</f>
        <v/>
      </c>
      <c r="H907" t="str">
        <f>IF('MASTER RECORD'!G912="Sold",'MASTER RECORD'!C912,"")</f>
        <v/>
      </c>
    </row>
    <row r="908" spans="2:8">
      <c r="B908" t="str">
        <f>IF('MASTER RECORD'!F913="Active",'MASTER RECORD'!C913,"")</f>
        <v/>
      </c>
      <c r="H908" t="str">
        <f>IF('MASTER RECORD'!G913="Sold",'MASTER RECORD'!C913,"")</f>
        <v/>
      </c>
    </row>
    <row r="909" spans="2:8">
      <c r="B909" t="str">
        <f>IF('MASTER RECORD'!F914="Active",'MASTER RECORD'!C914,"")</f>
        <v/>
      </c>
      <c r="H909" t="str">
        <f>IF('MASTER RECORD'!G914="Sold",'MASTER RECORD'!C914,"")</f>
        <v/>
      </c>
    </row>
    <row r="910" spans="2:8">
      <c r="B910" t="str">
        <f>IF('MASTER RECORD'!F915="Active",'MASTER RECORD'!C915,"")</f>
        <v/>
      </c>
      <c r="H910" t="str">
        <f>IF('MASTER RECORD'!G915="Sold",'MASTER RECORD'!C915,"")</f>
        <v/>
      </c>
    </row>
    <row r="911" spans="2:8">
      <c r="B911" t="str">
        <f>IF('MASTER RECORD'!F916="Active",'MASTER RECORD'!C916,"")</f>
        <v/>
      </c>
      <c r="H911" t="str">
        <f>IF('MASTER RECORD'!G916="Sold",'MASTER RECORD'!C916,"")</f>
        <v/>
      </c>
    </row>
    <row r="912" spans="2:8">
      <c r="B912" t="str">
        <f>IF('MASTER RECORD'!F917="Active",'MASTER RECORD'!C917,"")</f>
        <v/>
      </c>
      <c r="H912" t="str">
        <f>IF('MASTER RECORD'!G917="Sold",'MASTER RECORD'!C917,"")</f>
        <v/>
      </c>
    </row>
    <row r="913" spans="2:8">
      <c r="B913" t="str">
        <f>IF('MASTER RECORD'!F918="Active",'MASTER RECORD'!C918,"")</f>
        <v/>
      </c>
      <c r="H913" t="str">
        <f>IF('MASTER RECORD'!G918="Sold",'MASTER RECORD'!C918,"")</f>
        <v/>
      </c>
    </row>
    <row r="914" spans="2:8">
      <c r="B914" t="str">
        <f>IF('MASTER RECORD'!F919="Active",'MASTER RECORD'!C919,"")</f>
        <v/>
      </c>
      <c r="H914" t="str">
        <f>IF('MASTER RECORD'!G919="Sold",'MASTER RECORD'!C919,"")</f>
        <v/>
      </c>
    </row>
    <row r="915" spans="2:8">
      <c r="B915" t="str">
        <f>IF('MASTER RECORD'!F920="Active",'MASTER RECORD'!C920,"")</f>
        <v/>
      </c>
      <c r="H915" t="str">
        <f>IF('MASTER RECORD'!G920="Sold",'MASTER RECORD'!C920,"")</f>
        <v/>
      </c>
    </row>
    <row r="916" spans="2:8">
      <c r="B916" t="str">
        <f>IF('MASTER RECORD'!F921="Active",'MASTER RECORD'!C921,"")</f>
        <v/>
      </c>
      <c r="H916" t="str">
        <f>IF('MASTER RECORD'!G921="Sold",'MASTER RECORD'!C921,"")</f>
        <v/>
      </c>
    </row>
    <row r="917" spans="2:8">
      <c r="B917" t="str">
        <f>IF('MASTER RECORD'!F922="Active",'MASTER RECORD'!C922,"")</f>
        <v/>
      </c>
      <c r="H917" t="str">
        <f>IF('MASTER RECORD'!G922="Sold",'MASTER RECORD'!C922,"")</f>
        <v/>
      </c>
    </row>
    <row r="918" spans="2:8">
      <c r="B918" t="str">
        <f>IF('MASTER RECORD'!F923="Active",'MASTER RECORD'!C923,"")</f>
        <v/>
      </c>
      <c r="H918" t="str">
        <f>IF('MASTER RECORD'!G923="Sold",'MASTER RECORD'!C923,"")</f>
        <v/>
      </c>
    </row>
    <row r="919" spans="2:8">
      <c r="B919" t="str">
        <f>IF('MASTER RECORD'!F924="Active",'MASTER RECORD'!C924,"")</f>
        <v/>
      </c>
      <c r="H919" t="str">
        <f>IF('MASTER RECORD'!G924="Sold",'MASTER RECORD'!C924,"")</f>
        <v/>
      </c>
    </row>
    <row r="920" spans="2:8">
      <c r="B920" t="str">
        <f>IF('MASTER RECORD'!F925="Active",'MASTER RECORD'!C925,"")</f>
        <v/>
      </c>
      <c r="H920" t="str">
        <f>IF('MASTER RECORD'!G925="Sold",'MASTER RECORD'!C925,"")</f>
        <v/>
      </c>
    </row>
    <row r="921" spans="2:8">
      <c r="B921" t="str">
        <f>IF('MASTER RECORD'!F926="Active",'MASTER RECORD'!C926,"")</f>
        <v/>
      </c>
      <c r="H921" t="str">
        <f>IF('MASTER RECORD'!G926="Sold",'MASTER RECORD'!C926,"")</f>
        <v/>
      </c>
    </row>
    <row r="922" spans="2:8">
      <c r="B922" t="str">
        <f>IF('MASTER RECORD'!F927="Active",'MASTER RECORD'!C927,"")</f>
        <v/>
      </c>
      <c r="H922" t="str">
        <f>IF('MASTER RECORD'!G927="Sold",'MASTER RECORD'!C927,"")</f>
        <v/>
      </c>
    </row>
    <row r="923" spans="2:8">
      <c r="B923" t="str">
        <f>IF('MASTER RECORD'!F928="Active",'MASTER RECORD'!C928,"")</f>
        <v/>
      </c>
      <c r="H923" t="str">
        <f>IF('MASTER RECORD'!G928="Sold",'MASTER RECORD'!C928,"")</f>
        <v/>
      </c>
    </row>
    <row r="924" spans="2:8">
      <c r="B924" t="str">
        <f>IF('MASTER RECORD'!F929="Active",'MASTER RECORD'!C929,"")</f>
        <v/>
      </c>
      <c r="H924" t="str">
        <f>IF('MASTER RECORD'!G929="Sold",'MASTER RECORD'!C929,"")</f>
        <v/>
      </c>
    </row>
    <row r="925" spans="2:8">
      <c r="B925" t="str">
        <f>IF('MASTER RECORD'!F930="Active",'MASTER RECORD'!C930,"")</f>
        <v/>
      </c>
      <c r="H925" t="str">
        <f>IF('MASTER RECORD'!G930="Sold",'MASTER RECORD'!C930,"")</f>
        <v/>
      </c>
    </row>
    <row r="926" spans="2:8">
      <c r="B926" t="str">
        <f>IF('MASTER RECORD'!F931="Active",'MASTER RECORD'!C931,"")</f>
        <v/>
      </c>
      <c r="H926" t="str">
        <f>IF('MASTER RECORD'!G931="Sold",'MASTER RECORD'!C931,"")</f>
        <v/>
      </c>
    </row>
    <row r="927" spans="2:8">
      <c r="B927" t="str">
        <f>IF('MASTER RECORD'!F932="Active",'MASTER RECORD'!C932,"")</f>
        <v/>
      </c>
      <c r="H927" t="str">
        <f>IF('MASTER RECORD'!G932="Sold",'MASTER RECORD'!C932,"")</f>
        <v/>
      </c>
    </row>
    <row r="928" spans="2:8">
      <c r="B928" t="str">
        <f>IF('MASTER RECORD'!F933="Active",'MASTER RECORD'!C933,"")</f>
        <v/>
      </c>
      <c r="H928" t="str">
        <f>IF('MASTER RECORD'!G933="Sold",'MASTER RECORD'!C933,"")</f>
        <v/>
      </c>
    </row>
    <row r="929" spans="2:8">
      <c r="B929" t="str">
        <f>IF('MASTER RECORD'!F934="Active",'MASTER RECORD'!C934,"")</f>
        <v/>
      </c>
      <c r="H929" t="str">
        <f>IF('MASTER RECORD'!G934="Sold",'MASTER RECORD'!C934,"")</f>
        <v/>
      </c>
    </row>
    <row r="930" spans="2:8">
      <c r="B930" t="str">
        <f>IF('MASTER RECORD'!F935="Active",'MASTER RECORD'!C935,"")</f>
        <v/>
      </c>
      <c r="H930" t="str">
        <f>IF('MASTER RECORD'!G935="Sold",'MASTER RECORD'!C935,"")</f>
        <v/>
      </c>
    </row>
    <row r="931" spans="2:8">
      <c r="B931" t="str">
        <f>IF('MASTER RECORD'!F936="Active",'MASTER RECORD'!C936,"")</f>
        <v/>
      </c>
      <c r="H931" t="str">
        <f>IF('MASTER RECORD'!G936="Sold",'MASTER RECORD'!C936,"")</f>
        <v/>
      </c>
    </row>
    <row r="932" spans="2:8">
      <c r="B932" t="str">
        <f>IF('MASTER RECORD'!F937="Active",'MASTER RECORD'!C937,"")</f>
        <v/>
      </c>
      <c r="H932" t="str">
        <f>IF('MASTER RECORD'!G937="Sold",'MASTER RECORD'!C937,"")</f>
        <v/>
      </c>
    </row>
    <row r="933" spans="2:8">
      <c r="B933" t="str">
        <f>IF('MASTER RECORD'!F938="Active",'MASTER RECORD'!C938,"")</f>
        <v/>
      </c>
      <c r="H933" t="str">
        <f>IF('MASTER RECORD'!G938="Sold",'MASTER RECORD'!C938,"")</f>
        <v/>
      </c>
    </row>
    <row r="934" spans="2:8">
      <c r="B934" t="str">
        <f>IF('MASTER RECORD'!F939="Active",'MASTER RECORD'!C939,"")</f>
        <v/>
      </c>
      <c r="H934" t="str">
        <f>IF('MASTER RECORD'!G939="Sold",'MASTER RECORD'!C939,"")</f>
        <v/>
      </c>
    </row>
    <row r="935" spans="2:8">
      <c r="B935" t="str">
        <f>IF('MASTER RECORD'!F940="Active",'MASTER RECORD'!C940,"")</f>
        <v/>
      </c>
      <c r="H935" t="str">
        <f>IF('MASTER RECORD'!G940="Sold",'MASTER RECORD'!C940,"")</f>
        <v/>
      </c>
    </row>
    <row r="936" spans="2:8">
      <c r="B936" t="str">
        <f>IF('MASTER RECORD'!F941="Active",'MASTER RECORD'!C941,"")</f>
        <v/>
      </c>
      <c r="H936" t="str">
        <f>IF('MASTER RECORD'!G941="Sold",'MASTER RECORD'!C941,"")</f>
        <v/>
      </c>
    </row>
    <row r="937" spans="2:8">
      <c r="B937" t="str">
        <f>IF('MASTER RECORD'!F942="Active",'MASTER RECORD'!C942,"")</f>
        <v/>
      </c>
      <c r="H937" t="str">
        <f>IF('MASTER RECORD'!G942="Sold",'MASTER RECORD'!C942,"")</f>
        <v/>
      </c>
    </row>
    <row r="938" spans="2:8">
      <c r="B938" t="str">
        <f>IF('MASTER RECORD'!F943="Active",'MASTER RECORD'!C943,"")</f>
        <v/>
      </c>
      <c r="H938" t="str">
        <f>IF('MASTER RECORD'!G943="Sold",'MASTER RECORD'!C943,"")</f>
        <v/>
      </c>
    </row>
    <row r="939" spans="2:8">
      <c r="B939" t="str">
        <f>IF('MASTER RECORD'!F944="Active",'MASTER RECORD'!C944,"")</f>
        <v/>
      </c>
      <c r="H939" t="str">
        <f>IF('MASTER RECORD'!G944="Sold",'MASTER RECORD'!C944,"")</f>
        <v/>
      </c>
    </row>
    <row r="940" spans="2:8">
      <c r="B940" t="str">
        <f>IF('MASTER RECORD'!F945="Active",'MASTER RECORD'!C945,"")</f>
        <v/>
      </c>
      <c r="H940" t="str">
        <f>IF('MASTER RECORD'!G945="Sold",'MASTER RECORD'!C945,"")</f>
        <v/>
      </c>
    </row>
    <row r="941" spans="2:8">
      <c r="B941" t="str">
        <f>IF('MASTER RECORD'!F946="Active",'MASTER RECORD'!C946,"")</f>
        <v/>
      </c>
      <c r="H941" t="str">
        <f>IF('MASTER RECORD'!G946="Sold",'MASTER RECORD'!C946,"")</f>
        <v/>
      </c>
    </row>
    <row r="942" spans="2:8">
      <c r="B942" t="str">
        <f>IF('MASTER RECORD'!F947="Active",'MASTER RECORD'!C947,"")</f>
        <v/>
      </c>
      <c r="H942" t="str">
        <f>IF('MASTER RECORD'!G947="Sold",'MASTER RECORD'!C947,"")</f>
        <v/>
      </c>
    </row>
    <row r="943" spans="2:8">
      <c r="B943" t="str">
        <f>IF('MASTER RECORD'!F948="Active",'MASTER RECORD'!C948,"")</f>
        <v/>
      </c>
      <c r="H943" t="str">
        <f>IF('MASTER RECORD'!G948="Sold",'MASTER RECORD'!C948,"")</f>
        <v/>
      </c>
    </row>
    <row r="944" spans="2:8">
      <c r="B944" t="str">
        <f>IF('MASTER RECORD'!F949="Active",'MASTER RECORD'!C949,"")</f>
        <v/>
      </c>
      <c r="H944" t="str">
        <f>IF('MASTER RECORD'!G949="Sold",'MASTER RECORD'!C949,"")</f>
        <v/>
      </c>
    </row>
    <row r="945" spans="2:8">
      <c r="B945" t="str">
        <f>IF('MASTER RECORD'!F950="Active",'MASTER RECORD'!C950,"")</f>
        <v/>
      </c>
      <c r="H945" t="str">
        <f>IF('MASTER RECORD'!G950="Sold",'MASTER RECORD'!C950,"")</f>
        <v/>
      </c>
    </row>
    <row r="946" spans="2:8">
      <c r="B946" t="str">
        <f>IF('MASTER RECORD'!F951="Active",'MASTER RECORD'!C951,"")</f>
        <v/>
      </c>
      <c r="H946" t="str">
        <f>IF('MASTER RECORD'!G951="Sold",'MASTER RECORD'!C951,"")</f>
        <v/>
      </c>
    </row>
    <row r="947" spans="2:8">
      <c r="B947" t="str">
        <f>IF('MASTER RECORD'!F952="Active",'MASTER RECORD'!C952,"")</f>
        <v/>
      </c>
      <c r="H947" t="str">
        <f>IF('MASTER RECORD'!G952="Sold",'MASTER RECORD'!C952,"")</f>
        <v/>
      </c>
    </row>
    <row r="948" spans="2:8">
      <c r="B948" t="str">
        <f>IF('MASTER RECORD'!F953="Active",'MASTER RECORD'!C953,"")</f>
        <v/>
      </c>
      <c r="H948" t="str">
        <f>IF('MASTER RECORD'!G953="Sold",'MASTER RECORD'!C953,"")</f>
        <v/>
      </c>
    </row>
    <row r="949" spans="2:8">
      <c r="B949" t="str">
        <f>IF('MASTER RECORD'!F954="Active",'MASTER RECORD'!C954,"")</f>
        <v/>
      </c>
      <c r="H949" t="str">
        <f>IF('MASTER RECORD'!G954="Sold",'MASTER RECORD'!C954,"")</f>
        <v/>
      </c>
    </row>
    <row r="950" spans="2:8">
      <c r="B950" t="str">
        <f>IF('MASTER RECORD'!F955="Active",'MASTER RECORD'!C955,"")</f>
        <v/>
      </c>
      <c r="H950" t="str">
        <f>IF('MASTER RECORD'!G955="Sold",'MASTER RECORD'!C955,"")</f>
        <v/>
      </c>
    </row>
    <row r="951" spans="2:8">
      <c r="B951" t="str">
        <f>IF('MASTER RECORD'!F956="Active",'MASTER RECORD'!C956,"")</f>
        <v/>
      </c>
      <c r="H951" t="str">
        <f>IF('MASTER RECORD'!G956="Sold",'MASTER RECORD'!C956,"")</f>
        <v/>
      </c>
    </row>
    <row r="952" spans="2:8">
      <c r="B952" t="str">
        <f>IF('MASTER RECORD'!F957="Active",'MASTER RECORD'!C957,"")</f>
        <v/>
      </c>
      <c r="H952" t="str">
        <f>IF('MASTER RECORD'!G957="Sold",'MASTER RECORD'!C957,"")</f>
        <v/>
      </c>
    </row>
    <row r="953" spans="2:8">
      <c r="B953" t="str">
        <f>IF('MASTER RECORD'!F958="Active",'MASTER RECORD'!C958,"")</f>
        <v/>
      </c>
      <c r="H953" t="str">
        <f>IF('MASTER RECORD'!G958="Sold",'MASTER RECORD'!C958,"")</f>
        <v/>
      </c>
    </row>
    <row r="954" spans="2:8">
      <c r="B954" t="str">
        <f>IF('MASTER RECORD'!F959="Active",'MASTER RECORD'!C959,"")</f>
        <v/>
      </c>
      <c r="H954" t="str">
        <f>IF('MASTER RECORD'!G959="Sold",'MASTER RECORD'!C959,"")</f>
        <v/>
      </c>
    </row>
    <row r="955" spans="2:8">
      <c r="B955" t="str">
        <f>IF('MASTER RECORD'!F960="Active",'MASTER RECORD'!C960,"")</f>
        <v/>
      </c>
      <c r="H955" t="str">
        <f>IF('MASTER RECORD'!G960="Sold",'MASTER RECORD'!C960,"")</f>
        <v/>
      </c>
    </row>
    <row r="956" spans="2:8">
      <c r="B956" t="str">
        <f>IF('MASTER RECORD'!F961="Active",'MASTER RECORD'!C961,"")</f>
        <v/>
      </c>
      <c r="H956" t="str">
        <f>IF('MASTER RECORD'!G961="Sold",'MASTER RECORD'!C961,"")</f>
        <v/>
      </c>
    </row>
    <row r="957" spans="2:8">
      <c r="B957" t="str">
        <f>IF('MASTER RECORD'!F962="Active",'MASTER RECORD'!C962,"")</f>
        <v/>
      </c>
      <c r="H957" t="str">
        <f>IF('MASTER RECORD'!G962="Sold",'MASTER RECORD'!C962,"")</f>
        <v/>
      </c>
    </row>
    <row r="958" spans="2:8">
      <c r="B958" t="str">
        <f>IF('MASTER RECORD'!F963="Active",'MASTER RECORD'!C963,"")</f>
        <v/>
      </c>
      <c r="H958" t="str">
        <f>IF('MASTER RECORD'!G963="Sold",'MASTER RECORD'!C963,"")</f>
        <v/>
      </c>
    </row>
    <row r="959" spans="2:8">
      <c r="B959" t="str">
        <f>IF('MASTER RECORD'!F964="Active",'MASTER RECORD'!C964,"")</f>
        <v/>
      </c>
      <c r="H959" t="str">
        <f>IF('MASTER RECORD'!G964="Sold",'MASTER RECORD'!C964,"")</f>
        <v/>
      </c>
    </row>
    <row r="960" spans="2:8">
      <c r="B960" t="str">
        <f>IF('MASTER RECORD'!F965="Active",'MASTER RECORD'!C965,"")</f>
        <v/>
      </c>
      <c r="H960" t="str">
        <f>IF('MASTER RECORD'!G965="Sold",'MASTER RECORD'!C965,"")</f>
        <v/>
      </c>
    </row>
    <row r="961" spans="2:8">
      <c r="B961" t="str">
        <f>IF('MASTER RECORD'!F966="Active",'MASTER RECORD'!C966,"")</f>
        <v/>
      </c>
      <c r="H961" t="str">
        <f>IF('MASTER RECORD'!G966="Sold",'MASTER RECORD'!C966,"")</f>
        <v/>
      </c>
    </row>
    <row r="962" spans="2:8">
      <c r="B962" t="str">
        <f>IF('MASTER RECORD'!F967="Active",'MASTER RECORD'!C967,"")</f>
        <v/>
      </c>
      <c r="H962" t="str">
        <f>IF('MASTER RECORD'!G967="Sold",'MASTER RECORD'!C967,"")</f>
        <v/>
      </c>
    </row>
    <row r="963" spans="2:8">
      <c r="B963" t="str">
        <f>IF('MASTER RECORD'!F968="Active",'MASTER RECORD'!C968,"")</f>
        <v/>
      </c>
      <c r="H963" t="str">
        <f>IF('MASTER RECORD'!G968="Sold",'MASTER RECORD'!C968,"")</f>
        <v/>
      </c>
    </row>
    <row r="964" spans="2:8">
      <c r="B964" t="str">
        <f>IF('MASTER RECORD'!F969="Active",'MASTER RECORD'!C969,"")</f>
        <v/>
      </c>
      <c r="H964" t="str">
        <f>IF('MASTER RECORD'!G969="Sold",'MASTER RECORD'!C969,"")</f>
        <v/>
      </c>
    </row>
    <row r="965" spans="2:8">
      <c r="B965" t="str">
        <f>IF('MASTER RECORD'!F970="Active",'MASTER RECORD'!C970,"")</f>
        <v/>
      </c>
      <c r="H965" t="str">
        <f>IF('MASTER RECORD'!G970="Sold",'MASTER RECORD'!C970,"")</f>
        <v/>
      </c>
    </row>
    <row r="966" spans="2:8">
      <c r="B966" t="str">
        <f>IF('MASTER RECORD'!F971="Active",'MASTER RECORD'!C971,"")</f>
        <v/>
      </c>
      <c r="H966" t="str">
        <f>IF('MASTER RECORD'!G971="Sold",'MASTER RECORD'!C971,"")</f>
        <v/>
      </c>
    </row>
    <row r="967" spans="2:8">
      <c r="B967" t="str">
        <f>IF('MASTER RECORD'!F972="Active",'MASTER RECORD'!C972,"")</f>
        <v/>
      </c>
      <c r="H967" t="str">
        <f>IF('MASTER RECORD'!G972="Sold",'MASTER RECORD'!C972,"")</f>
        <v/>
      </c>
    </row>
    <row r="968" spans="2:8">
      <c r="B968" t="str">
        <f>IF('MASTER RECORD'!F973="Active",'MASTER RECORD'!C973,"")</f>
        <v/>
      </c>
      <c r="H968" t="str">
        <f>IF('MASTER RECORD'!G973="Sold",'MASTER RECORD'!C973,"")</f>
        <v/>
      </c>
    </row>
    <row r="969" spans="2:8">
      <c r="B969" t="str">
        <f>IF('MASTER RECORD'!F974="Active",'MASTER RECORD'!C974,"")</f>
        <v/>
      </c>
      <c r="H969" t="str">
        <f>IF('MASTER RECORD'!G974="Sold",'MASTER RECORD'!C974,"")</f>
        <v/>
      </c>
    </row>
    <row r="970" spans="2:8">
      <c r="B970" t="str">
        <f>IF('MASTER RECORD'!F975="Active",'MASTER RECORD'!C975,"")</f>
        <v/>
      </c>
      <c r="H970" t="str">
        <f>IF('MASTER RECORD'!G975="Sold",'MASTER RECORD'!C975,"")</f>
        <v/>
      </c>
    </row>
    <row r="971" spans="2:8">
      <c r="B971" t="str">
        <f>IF('MASTER RECORD'!F976="Active",'MASTER RECORD'!C976,"")</f>
        <v/>
      </c>
      <c r="H971" t="str">
        <f>IF('MASTER RECORD'!G976="Sold",'MASTER RECORD'!C976,"")</f>
        <v/>
      </c>
    </row>
    <row r="972" spans="2:8">
      <c r="B972" t="str">
        <f>IF('MASTER RECORD'!F977="Active",'MASTER RECORD'!C977,"")</f>
        <v/>
      </c>
      <c r="H972" t="str">
        <f>IF('MASTER RECORD'!G977="Sold",'MASTER RECORD'!C977,"")</f>
        <v/>
      </c>
    </row>
    <row r="973" spans="2:8">
      <c r="B973" t="str">
        <f>IF('MASTER RECORD'!F978="Active",'MASTER RECORD'!C978,"")</f>
        <v/>
      </c>
      <c r="H973" t="str">
        <f>IF('MASTER RECORD'!G978="Sold",'MASTER RECORD'!C978,"")</f>
        <v/>
      </c>
    </row>
    <row r="974" spans="2:8">
      <c r="B974" t="str">
        <f>IF('MASTER RECORD'!F979="Active",'MASTER RECORD'!C979,"")</f>
        <v/>
      </c>
      <c r="H974" t="str">
        <f>IF('MASTER RECORD'!G979="Sold",'MASTER RECORD'!C979,"")</f>
        <v/>
      </c>
    </row>
    <row r="975" spans="2:8">
      <c r="B975" t="str">
        <f>IF('MASTER RECORD'!F980="Active",'MASTER RECORD'!C980,"")</f>
        <v/>
      </c>
      <c r="H975" t="str">
        <f>IF('MASTER RECORD'!G980="Sold",'MASTER RECORD'!C980,"")</f>
        <v/>
      </c>
    </row>
    <row r="976" spans="2:8">
      <c r="B976" t="str">
        <f>IF('MASTER RECORD'!F981="Active",'MASTER RECORD'!C981,"")</f>
        <v/>
      </c>
      <c r="H976" t="str">
        <f>IF('MASTER RECORD'!G981="Sold",'MASTER RECORD'!C981,"")</f>
        <v/>
      </c>
    </row>
    <row r="977" spans="2:8">
      <c r="B977" t="str">
        <f>IF('MASTER RECORD'!F982="Active",'MASTER RECORD'!C982,"")</f>
        <v/>
      </c>
      <c r="H977" t="str">
        <f>IF('MASTER RECORD'!G982="Sold",'MASTER RECORD'!C982,"")</f>
        <v/>
      </c>
    </row>
    <row r="978" spans="2:8">
      <c r="B978" t="str">
        <f>IF('MASTER RECORD'!F983="Active",'MASTER RECORD'!C983,"")</f>
        <v/>
      </c>
      <c r="H978" t="str">
        <f>IF('MASTER RECORD'!G983="Sold",'MASTER RECORD'!C983,"")</f>
        <v/>
      </c>
    </row>
    <row r="979" spans="2:8">
      <c r="B979" t="str">
        <f>IF('MASTER RECORD'!F984="Active",'MASTER RECORD'!C984,"")</f>
        <v/>
      </c>
      <c r="H979" t="str">
        <f>IF('MASTER RECORD'!G984="Sold",'MASTER RECORD'!C984,"")</f>
        <v/>
      </c>
    </row>
    <row r="980" spans="2:8">
      <c r="B980" t="str">
        <f>IF('MASTER RECORD'!F985="Active",'MASTER RECORD'!C985,"")</f>
        <v/>
      </c>
      <c r="H980" t="str">
        <f>IF('MASTER RECORD'!G985="Sold",'MASTER RECORD'!C985,"")</f>
        <v/>
      </c>
    </row>
    <row r="981" spans="2:8">
      <c r="B981" t="str">
        <f>IF('MASTER RECORD'!F986="Active",'MASTER RECORD'!C986,"")</f>
        <v/>
      </c>
      <c r="H981" t="str">
        <f>IF('MASTER RECORD'!G986="Sold",'MASTER RECORD'!C986,"")</f>
        <v/>
      </c>
    </row>
    <row r="982" spans="2:8">
      <c r="B982" t="str">
        <f>IF('MASTER RECORD'!F987="Active",'MASTER RECORD'!C987,"")</f>
        <v/>
      </c>
      <c r="H982" t="str">
        <f>IF('MASTER RECORD'!G987="Sold",'MASTER RECORD'!C987,"")</f>
        <v/>
      </c>
    </row>
    <row r="983" spans="2:8">
      <c r="B983" t="str">
        <f>IF('MASTER RECORD'!F988="Active",'MASTER RECORD'!C988,"")</f>
        <v/>
      </c>
      <c r="H983" t="str">
        <f>IF('MASTER RECORD'!G988="Sold",'MASTER RECORD'!C988,"")</f>
        <v/>
      </c>
    </row>
    <row r="984" spans="2:8">
      <c r="B984" t="str">
        <f>IF('MASTER RECORD'!F989="Active",'MASTER RECORD'!C989,"")</f>
        <v/>
      </c>
      <c r="H984" t="str">
        <f>IF('MASTER RECORD'!G989="Sold",'MASTER RECORD'!C989,"")</f>
        <v/>
      </c>
    </row>
    <row r="985" spans="2:8">
      <c r="B985" t="str">
        <f>IF('MASTER RECORD'!F990="Active",'MASTER RECORD'!C990,"")</f>
        <v/>
      </c>
      <c r="H985" t="str">
        <f>IF('MASTER RECORD'!G990="Sold",'MASTER RECORD'!C990,"")</f>
        <v/>
      </c>
    </row>
    <row r="986" spans="2:8">
      <c r="B986" t="str">
        <f>IF('MASTER RECORD'!F991="Active",'MASTER RECORD'!C991,"")</f>
        <v/>
      </c>
      <c r="H986" t="str">
        <f>IF('MASTER RECORD'!G991="Sold",'MASTER RECORD'!C991,"")</f>
        <v/>
      </c>
    </row>
    <row r="987" spans="2:8">
      <c r="B987" t="str">
        <f>IF('MASTER RECORD'!F992="Active",'MASTER RECORD'!C992,"")</f>
        <v/>
      </c>
      <c r="H987" t="str">
        <f>IF('MASTER RECORD'!G992="Sold",'MASTER RECORD'!C992,"")</f>
        <v/>
      </c>
    </row>
    <row r="988" spans="2:8">
      <c r="B988" t="str">
        <f>IF('MASTER RECORD'!F993="Active",'MASTER RECORD'!C993,"")</f>
        <v/>
      </c>
      <c r="H988" t="str">
        <f>IF('MASTER RECORD'!G993="Sold",'MASTER RECORD'!C993,"")</f>
        <v/>
      </c>
    </row>
    <row r="989" spans="2:8">
      <c r="B989" t="str">
        <f>IF('MASTER RECORD'!F994="Active",'MASTER RECORD'!C994,"")</f>
        <v/>
      </c>
      <c r="H989" t="str">
        <f>IF('MASTER RECORD'!G994="Sold",'MASTER RECORD'!C994,"")</f>
        <v/>
      </c>
    </row>
    <row r="990" spans="2:8">
      <c r="B990" t="str">
        <f>IF('MASTER RECORD'!F995="Active",'MASTER RECORD'!C995,"")</f>
        <v/>
      </c>
      <c r="H990" t="str">
        <f>IF('MASTER RECORD'!G995="Sold",'MASTER RECORD'!C995,"")</f>
        <v/>
      </c>
    </row>
    <row r="991" spans="2:8">
      <c r="B991" t="str">
        <f>IF('MASTER RECORD'!F996="Active",'MASTER RECORD'!C996,"")</f>
        <v/>
      </c>
      <c r="H991" t="str">
        <f>IF('MASTER RECORD'!G996="Sold",'MASTER RECORD'!C996,"")</f>
        <v/>
      </c>
    </row>
    <row r="992" spans="2:8">
      <c r="B992" t="str">
        <f>IF('MASTER RECORD'!F997="Active",'MASTER RECORD'!C997,"")</f>
        <v/>
      </c>
      <c r="H992" t="str">
        <f>IF('MASTER RECORD'!G997="Sold",'MASTER RECORD'!C997,"")</f>
        <v/>
      </c>
    </row>
    <row r="993" spans="2:8">
      <c r="B993" t="str">
        <f>IF('MASTER RECORD'!F998="Active",'MASTER RECORD'!C998,"")</f>
        <v/>
      </c>
      <c r="H993" t="str">
        <f>IF('MASTER RECORD'!G998="Sold",'MASTER RECORD'!C998,"")</f>
        <v/>
      </c>
    </row>
    <row r="994" spans="2:8">
      <c r="B994" t="str">
        <f>IF('MASTER RECORD'!F999="Active",'MASTER RECORD'!C999,"")</f>
        <v/>
      </c>
      <c r="H994" t="str">
        <f>IF('MASTER RECORD'!G999="Sold",'MASTER RECORD'!C999,"")</f>
        <v/>
      </c>
    </row>
    <row r="995" spans="2:8">
      <c r="B995" t="str">
        <f>IF('MASTER RECORD'!F1000="Active",'MASTER RECORD'!C1000,"")</f>
        <v/>
      </c>
      <c r="H995" t="str">
        <f>IF('MASTER RECORD'!G1000="Sold",'MASTER RECORD'!C1000,"")</f>
        <v/>
      </c>
    </row>
    <row r="996" spans="2:8">
      <c r="B996" t="str">
        <f>IF('MASTER RECORD'!F1001="Active",'MASTER RECORD'!C1001,"")</f>
        <v/>
      </c>
      <c r="H996" t="str">
        <f>IF('MASTER RECORD'!G1001="Sold",'MASTER RECORD'!C1001,"")</f>
        <v/>
      </c>
    </row>
    <row r="997" spans="2:8">
      <c r="B997" t="str">
        <f>IF('MASTER RECORD'!F1002="Active",'MASTER RECORD'!C1002,"")</f>
        <v/>
      </c>
      <c r="H997" t="str">
        <f>IF('MASTER RECORD'!G1002="Sold",'MASTER RECORD'!C1002,"")</f>
        <v/>
      </c>
    </row>
    <row r="998" spans="2:8">
      <c r="B998" t="str">
        <f>IF('MASTER RECORD'!F1003="Active",'MASTER RECORD'!C1003,"")</f>
        <v/>
      </c>
      <c r="H998" t="str">
        <f>IF('MASTER RECORD'!G1003="Sold",'MASTER RECORD'!C1003,"")</f>
        <v/>
      </c>
    </row>
    <row r="999" spans="2:8">
      <c r="B999" t="str">
        <f>IF('MASTER RECORD'!F1004="Active",'MASTER RECORD'!C1004,"")</f>
        <v/>
      </c>
      <c r="H999" t="str">
        <f>IF('MASTER RECORD'!G1004="Sold",'MASTER RECORD'!C1004,"")</f>
        <v/>
      </c>
    </row>
    <row r="1000" spans="2:8">
      <c r="B1000" t="str">
        <f>IF('MASTER RECORD'!F1005="Active",'MASTER RECORD'!C1005,"")</f>
        <v/>
      </c>
      <c r="H1000" t="str">
        <f>IF('MASTER RECORD'!G1005="Sold",'MASTER RECORD'!C1005,"")</f>
        <v/>
      </c>
    </row>
    <row r="1001" spans="2:8">
      <c r="B1001" t="str">
        <f>IF('MASTER RECORD'!F1006="Active",'MASTER RECORD'!C1006,"")</f>
        <v/>
      </c>
      <c r="H1001" t="str">
        <f>IF('MASTER RECORD'!G1006="Sold",'MASTER RECORD'!C1006,"")</f>
        <v/>
      </c>
    </row>
    <row r="1002" spans="2:8">
      <c r="B1002" t="str">
        <f>IF('MASTER RECORD'!F1007="Active",'MASTER RECORD'!C1007,"")</f>
        <v/>
      </c>
      <c r="H1002" t="str">
        <f>IF('MASTER RECORD'!G1007="Sold",'MASTER RECORD'!C1007,"")</f>
        <v/>
      </c>
    </row>
    <row r="1003" spans="2:8">
      <c r="B1003" t="str">
        <f>IF('MASTER RECORD'!F1008="Active",'MASTER RECORD'!C1008,"")</f>
        <v/>
      </c>
      <c r="H1003" t="str">
        <f>IF('MASTER RECORD'!G1008="Sold",'MASTER RECORD'!C1008,"")</f>
        <v/>
      </c>
    </row>
    <row r="1004" spans="2:8">
      <c r="B1004" t="str">
        <f>IF('MASTER RECORD'!F1009="Active",'MASTER RECORD'!C1009,"")</f>
        <v/>
      </c>
      <c r="H1004" t="str">
        <f>IF('MASTER RECORD'!G1009="Sold",'MASTER RECORD'!C1009,"")</f>
        <v/>
      </c>
    </row>
    <row r="1005" spans="2:8">
      <c r="B1005" t="str">
        <f>IF('MASTER RECORD'!F1010="Active",'MASTER RECORD'!C1010,"")</f>
        <v/>
      </c>
      <c r="H1005" t="str">
        <f>IF('MASTER RECORD'!G1010="Sold",'MASTER RECORD'!C1010,"")</f>
        <v/>
      </c>
    </row>
    <row r="1006" spans="2:8">
      <c r="B1006" t="str">
        <f>IF('MASTER RECORD'!F1011="Active",'MASTER RECORD'!C1011,"")</f>
        <v/>
      </c>
      <c r="H1006" t="str">
        <f>IF('MASTER RECORD'!G1011="Sold",'MASTER RECORD'!C1011,"")</f>
        <v/>
      </c>
    </row>
    <row r="1007" spans="2:8">
      <c r="B1007" t="str">
        <f>IF('MASTER RECORD'!F1012="Active",'MASTER RECORD'!C1012,"")</f>
        <v/>
      </c>
      <c r="H1007" t="str">
        <f>IF('MASTER RECORD'!G1012="Sold",'MASTER RECORD'!C1012,"")</f>
        <v/>
      </c>
    </row>
    <row r="1008" spans="2:8">
      <c r="B1008" t="str">
        <f>IF('MASTER RECORD'!F1013="Active",'MASTER RECORD'!C1013,"")</f>
        <v/>
      </c>
      <c r="H1008" t="str">
        <f>IF('MASTER RECORD'!G1013="Sold",'MASTER RECORD'!C1013,"")</f>
        <v/>
      </c>
    </row>
    <row r="1009" spans="2:8">
      <c r="B1009" t="str">
        <f>IF('MASTER RECORD'!F1014="Active",'MASTER RECORD'!C1014,"")</f>
        <v/>
      </c>
      <c r="H1009" t="str">
        <f>IF('MASTER RECORD'!G1014="Sold",'MASTER RECORD'!C1014,"")</f>
        <v/>
      </c>
    </row>
    <row r="1010" spans="2:8">
      <c r="B1010" t="str">
        <f>IF('MASTER RECORD'!F1015="Active",'MASTER RECORD'!C1015,"")</f>
        <v/>
      </c>
      <c r="H1010" t="str">
        <f>IF('MASTER RECORD'!G1015="Sold",'MASTER RECORD'!C1015,"")</f>
        <v/>
      </c>
    </row>
    <row r="1011" spans="2:8">
      <c r="B1011" t="str">
        <f>IF('MASTER RECORD'!F1016="Active",'MASTER RECORD'!C1016,"")</f>
        <v/>
      </c>
      <c r="H1011" t="str">
        <f>IF('MASTER RECORD'!G1016="Sold",'MASTER RECORD'!C1016,"")</f>
        <v/>
      </c>
    </row>
    <row r="1012" spans="2:8">
      <c r="B1012" t="str">
        <f>IF('MASTER RECORD'!F1017="Active",'MASTER RECORD'!C1017,"")</f>
        <v/>
      </c>
      <c r="H1012" t="str">
        <f>IF('MASTER RECORD'!G1017="Sold",'MASTER RECORD'!C1017,"")</f>
        <v/>
      </c>
    </row>
    <row r="1013" spans="2:8">
      <c r="B1013" t="str">
        <f>IF('MASTER RECORD'!F1018="Active",'MASTER RECORD'!C1018,"")</f>
        <v/>
      </c>
      <c r="H1013" t="str">
        <f>IF('MASTER RECORD'!G1018="Sold",'MASTER RECORD'!C1018,"")</f>
        <v/>
      </c>
    </row>
    <row r="1014" spans="2:8">
      <c r="B1014" t="str">
        <f>IF('MASTER RECORD'!F1019="Active",'MASTER RECORD'!C1019,"")</f>
        <v/>
      </c>
      <c r="H1014" t="str">
        <f>IF('MASTER RECORD'!G1019="Sold",'MASTER RECORD'!C1019,"")</f>
        <v/>
      </c>
    </row>
    <row r="1015" spans="2:8">
      <c r="B1015" t="str">
        <f>IF('MASTER RECORD'!F1020="Active",'MASTER RECORD'!C1020,"")</f>
        <v/>
      </c>
      <c r="H1015" t="str">
        <f>IF('MASTER RECORD'!G1020="Sold",'MASTER RECORD'!C1020,"")</f>
        <v/>
      </c>
    </row>
    <row r="1016" spans="2:8">
      <c r="B1016" t="str">
        <f>IF('MASTER RECORD'!F1021="Active",'MASTER RECORD'!C1021,"")</f>
        <v/>
      </c>
      <c r="H1016" t="str">
        <f>IF('MASTER RECORD'!G1021="Sold",'MASTER RECORD'!C1021,"")</f>
        <v/>
      </c>
    </row>
    <row r="1017" spans="2:8">
      <c r="B1017" t="str">
        <f>IF('MASTER RECORD'!F1022="Active",'MASTER RECORD'!C1022,"")</f>
        <v/>
      </c>
      <c r="H1017" t="str">
        <f>IF('MASTER RECORD'!G1022="Sold",'MASTER RECORD'!C1022,"")</f>
        <v/>
      </c>
    </row>
    <row r="1018" spans="2:8">
      <c r="B1018" t="str">
        <f>IF('MASTER RECORD'!F1023="Active",'MASTER RECORD'!C1023,"")</f>
        <v/>
      </c>
      <c r="H1018" t="str">
        <f>IF('MASTER RECORD'!G1023="Sold",'MASTER RECORD'!C1023,"")</f>
        <v/>
      </c>
    </row>
    <row r="1019" spans="2:8">
      <c r="B1019" t="str">
        <f>IF('MASTER RECORD'!F1024="Active",'MASTER RECORD'!C1024,"")</f>
        <v/>
      </c>
      <c r="H1019" t="str">
        <f>IF('MASTER RECORD'!G1024="Sold",'MASTER RECORD'!C1024,"")</f>
        <v/>
      </c>
    </row>
    <row r="1020" spans="2:8">
      <c r="B1020" t="str">
        <f>IF('MASTER RECORD'!F1025="Active",'MASTER RECORD'!C1025,"")</f>
        <v/>
      </c>
      <c r="H1020" t="str">
        <f>IF('MASTER RECORD'!G1025="Sold",'MASTER RECORD'!C1025,"")</f>
        <v/>
      </c>
    </row>
    <row r="1021" spans="2:8">
      <c r="B1021" t="str">
        <f>IF('MASTER RECORD'!F1026="Active",'MASTER RECORD'!C1026,"")</f>
        <v/>
      </c>
      <c r="H1021" t="str">
        <f>IF('MASTER RECORD'!G1026="Sold",'MASTER RECORD'!C1026,"")</f>
        <v/>
      </c>
    </row>
    <row r="1022" spans="2:8">
      <c r="B1022" t="str">
        <f>IF('MASTER RECORD'!F1027="Active",'MASTER RECORD'!C1027,"")</f>
        <v/>
      </c>
      <c r="H1022" t="str">
        <f>IF('MASTER RECORD'!G1027="Sold",'MASTER RECORD'!C1027,"")</f>
        <v/>
      </c>
    </row>
    <row r="1023" spans="2:8">
      <c r="B1023" t="str">
        <f>IF('MASTER RECORD'!F1028="Active",'MASTER RECORD'!C1028,"")</f>
        <v/>
      </c>
      <c r="H1023" t="str">
        <f>IF('MASTER RECORD'!G1028="Sold",'MASTER RECORD'!C1028,"")</f>
        <v/>
      </c>
    </row>
    <row r="1024" spans="2:8">
      <c r="B1024" t="str">
        <f>IF('MASTER RECORD'!F1029="Active",'MASTER RECORD'!C1029,"")</f>
        <v/>
      </c>
      <c r="H1024" t="str">
        <f>IF('MASTER RECORD'!G1029="Sold",'MASTER RECORD'!C1029,"")</f>
        <v/>
      </c>
    </row>
    <row r="1025" spans="2:8">
      <c r="B1025" t="str">
        <f>IF('MASTER RECORD'!F1030="Active",'MASTER RECORD'!C1030,"")</f>
        <v/>
      </c>
      <c r="H1025" t="str">
        <f>IF('MASTER RECORD'!G1030="Sold",'MASTER RECORD'!C1030,"")</f>
        <v/>
      </c>
    </row>
    <row r="1026" spans="2:8">
      <c r="B1026" t="str">
        <f>IF('MASTER RECORD'!F1031="Active",'MASTER RECORD'!C1031,"")</f>
        <v/>
      </c>
      <c r="H1026" t="str">
        <f>IF('MASTER RECORD'!G1031="Sold",'MASTER RECORD'!C1031,"")</f>
        <v/>
      </c>
    </row>
    <row r="1027" spans="2:8">
      <c r="B1027" t="str">
        <f>IF('MASTER RECORD'!F1032="Active",'MASTER RECORD'!C1032,"")</f>
        <v/>
      </c>
      <c r="H1027" t="str">
        <f>IF('MASTER RECORD'!G1032="Sold",'MASTER RECORD'!C1032,"")</f>
        <v/>
      </c>
    </row>
    <row r="1028" spans="2:8">
      <c r="B1028" t="str">
        <f>IF('MASTER RECORD'!F1033="Active",'MASTER RECORD'!C1033,"")</f>
        <v/>
      </c>
      <c r="H1028" t="str">
        <f>IF('MASTER RECORD'!G1033="Sold",'MASTER RECORD'!C1033,"")</f>
        <v/>
      </c>
    </row>
    <row r="1029" spans="2:8">
      <c r="B1029" t="str">
        <f>IF('MASTER RECORD'!F1034="Active",'MASTER RECORD'!C1034,"")</f>
        <v/>
      </c>
      <c r="H1029" t="str">
        <f>IF('MASTER RECORD'!G1034="Sold",'MASTER RECORD'!C1034,"")</f>
        <v/>
      </c>
    </row>
    <row r="1030" spans="2:8">
      <c r="B1030" t="str">
        <f>IF('MASTER RECORD'!F1035="Active",'MASTER RECORD'!C1035,"")</f>
        <v/>
      </c>
      <c r="H1030" t="str">
        <f>IF('MASTER RECORD'!G1035="Sold",'MASTER RECORD'!C1035,"")</f>
        <v/>
      </c>
    </row>
    <row r="1031" spans="2:8">
      <c r="B1031" t="str">
        <f>IF('MASTER RECORD'!F1036="Active",'MASTER RECORD'!C1036,"")</f>
        <v/>
      </c>
      <c r="H1031" t="str">
        <f>IF('MASTER RECORD'!G1036="Sold",'MASTER RECORD'!C1036,"")</f>
        <v/>
      </c>
    </row>
    <row r="1032" spans="2:8">
      <c r="B1032" t="str">
        <f>IF('MASTER RECORD'!F1037="Active",'MASTER RECORD'!C1037,"")</f>
        <v/>
      </c>
      <c r="H1032" t="str">
        <f>IF('MASTER RECORD'!G1037="Sold",'MASTER RECORD'!C1037,"")</f>
        <v/>
      </c>
    </row>
    <row r="1033" spans="2:8">
      <c r="B1033" t="str">
        <f>IF('MASTER RECORD'!F1038="Active",'MASTER RECORD'!C1038,"")</f>
        <v/>
      </c>
      <c r="H1033" t="str">
        <f>IF('MASTER RECORD'!G1038="Sold",'MASTER RECORD'!C1038,"")</f>
        <v/>
      </c>
    </row>
    <row r="1034" spans="2:8">
      <c r="B1034" t="str">
        <f>IF('MASTER RECORD'!F1039="Active",'MASTER RECORD'!C1039,"")</f>
        <v/>
      </c>
      <c r="H1034" t="str">
        <f>IF('MASTER RECORD'!G1039="Sold",'MASTER RECORD'!C1039,"")</f>
        <v/>
      </c>
    </row>
    <row r="1035" spans="2:8">
      <c r="B1035" t="str">
        <f>IF('MASTER RECORD'!F1040="Active",'MASTER RECORD'!C1040,"")</f>
        <v/>
      </c>
      <c r="H1035" t="str">
        <f>IF('MASTER RECORD'!G1040="Sold",'MASTER RECORD'!C1040,"")</f>
        <v/>
      </c>
    </row>
    <row r="1036" spans="2:8">
      <c r="B1036" t="str">
        <f>IF('MASTER RECORD'!F1041="Active",'MASTER RECORD'!C1041,"")</f>
        <v/>
      </c>
      <c r="H1036" t="str">
        <f>IF('MASTER RECORD'!G1041="Sold",'MASTER RECORD'!C1041,"")</f>
        <v/>
      </c>
    </row>
    <row r="1037" spans="2:8">
      <c r="B1037" t="str">
        <f>IF('MASTER RECORD'!F1042="Active",'MASTER RECORD'!C1042,"")</f>
        <v/>
      </c>
      <c r="H1037" t="str">
        <f>IF('MASTER RECORD'!G1042="Sold",'MASTER RECORD'!C1042,"")</f>
        <v/>
      </c>
    </row>
    <row r="1038" spans="2:8">
      <c r="B1038" t="str">
        <f>IF('MASTER RECORD'!F1043="Active",'MASTER RECORD'!C1043,"")</f>
        <v/>
      </c>
      <c r="H1038" t="str">
        <f>IF('MASTER RECORD'!G1043="Sold",'MASTER RECORD'!C1043,"")</f>
        <v/>
      </c>
    </row>
    <row r="1039" spans="2:8">
      <c r="B1039" t="str">
        <f>IF('MASTER RECORD'!F1044="Active",'MASTER RECORD'!C1044,"")</f>
        <v/>
      </c>
      <c r="H1039" t="str">
        <f>IF('MASTER RECORD'!G1044="Sold",'MASTER RECORD'!C1044,"")</f>
        <v/>
      </c>
    </row>
    <row r="1040" spans="2:8">
      <c r="B1040" t="str">
        <f>IF('MASTER RECORD'!F1045="Active",'MASTER RECORD'!C1045,"")</f>
        <v/>
      </c>
      <c r="H1040" t="str">
        <f>IF('MASTER RECORD'!G1045="Sold",'MASTER RECORD'!C1045,"")</f>
        <v/>
      </c>
    </row>
    <row r="1041" spans="2:8">
      <c r="B1041" t="str">
        <f>IF('MASTER RECORD'!F1046="Active",'MASTER RECORD'!C1046,"")</f>
        <v/>
      </c>
      <c r="H1041" t="str">
        <f>IF('MASTER RECORD'!G1046="Sold",'MASTER RECORD'!C1046,"")</f>
        <v/>
      </c>
    </row>
    <row r="1042" spans="2:8">
      <c r="B1042" t="str">
        <f>IF('MASTER RECORD'!F1047="Active",'MASTER RECORD'!C1047,"")</f>
        <v/>
      </c>
      <c r="H1042" t="str">
        <f>IF('MASTER RECORD'!G1047="Sold",'MASTER RECORD'!C1047,"")</f>
        <v/>
      </c>
    </row>
    <row r="1043" spans="2:8">
      <c r="B1043" t="str">
        <f>IF('MASTER RECORD'!F1048="Active",'MASTER RECORD'!C1048,"")</f>
        <v/>
      </c>
      <c r="H1043" t="str">
        <f>IF('MASTER RECORD'!G1048="Sold",'MASTER RECORD'!C1048,"")</f>
        <v/>
      </c>
    </row>
    <row r="1044" spans="2:8">
      <c r="B1044" t="str">
        <f>IF('MASTER RECORD'!F1049="Active",'MASTER RECORD'!C1049,"")</f>
        <v/>
      </c>
      <c r="H1044" t="str">
        <f>IF('MASTER RECORD'!G1049="Sold",'MASTER RECORD'!C1049,"")</f>
        <v/>
      </c>
    </row>
    <row r="1045" spans="2:8">
      <c r="B1045" t="str">
        <f>IF('MASTER RECORD'!F1050="Active",'MASTER RECORD'!C1050,"")</f>
        <v/>
      </c>
      <c r="H1045" t="str">
        <f>IF('MASTER RECORD'!G1050="Sold",'MASTER RECORD'!C1050,"")</f>
        <v/>
      </c>
    </row>
    <row r="1046" spans="2:8">
      <c r="B1046" t="str">
        <f>IF('MASTER RECORD'!F1051="Active",'MASTER RECORD'!C1051,"")</f>
        <v/>
      </c>
      <c r="H1046" t="str">
        <f>IF('MASTER RECORD'!G1051="Sold",'MASTER RECORD'!C1051,"")</f>
        <v/>
      </c>
    </row>
    <row r="1047" spans="2:8">
      <c r="B1047" t="str">
        <f>IF('MASTER RECORD'!F1052="Active",'MASTER RECORD'!C1052,"")</f>
        <v/>
      </c>
      <c r="H1047" t="str">
        <f>IF('MASTER RECORD'!G1052="Sold",'MASTER RECORD'!C1052,"")</f>
        <v/>
      </c>
    </row>
    <row r="1048" spans="2:8">
      <c r="B1048" t="str">
        <f>IF('MASTER RECORD'!F1053="Active",'MASTER RECORD'!C1053,"")</f>
        <v/>
      </c>
      <c r="H1048" t="str">
        <f>IF('MASTER RECORD'!G1053="Sold",'MASTER RECORD'!C1053,"")</f>
        <v/>
      </c>
    </row>
    <row r="1049" spans="2:8">
      <c r="B1049" t="str">
        <f>IF('MASTER RECORD'!F1054="Active",'MASTER RECORD'!C1054,"")</f>
        <v/>
      </c>
      <c r="H1049" t="str">
        <f>IF('MASTER RECORD'!G1054="Sold",'MASTER RECORD'!C1054,"")</f>
        <v/>
      </c>
    </row>
    <row r="1050" spans="2:8">
      <c r="B1050" t="str">
        <f>IF('MASTER RECORD'!F1055="Active",'MASTER RECORD'!C1055,"")</f>
        <v/>
      </c>
      <c r="H1050" t="str">
        <f>IF('MASTER RECORD'!G1055="Sold",'MASTER RECORD'!C1055,"")</f>
        <v/>
      </c>
    </row>
    <row r="1051" spans="2:8">
      <c r="B1051" t="str">
        <f>IF('MASTER RECORD'!F1056="Active",'MASTER RECORD'!C1056,"")</f>
        <v/>
      </c>
      <c r="H1051" t="str">
        <f>IF('MASTER RECORD'!G1056="Sold",'MASTER RECORD'!C1056,"")</f>
        <v/>
      </c>
    </row>
    <row r="1052" spans="2:8">
      <c r="B1052" t="str">
        <f>IF('MASTER RECORD'!F1057="Active",'MASTER RECORD'!C1057,"")</f>
        <v/>
      </c>
      <c r="H1052" t="str">
        <f>IF('MASTER RECORD'!G1057="Sold",'MASTER RECORD'!C1057,"")</f>
        <v/>
      </c>
    </row>
    <row r="1053" spans="2:8">
      <c r="B1053" t="str">
        <f>IF('MASTER RECORD'!F1058="Active",'MASTER RECORD'!C1058,"")</f>
        <v/>
      </c>
      <c r="H1053" t="str">
        <f>IF('MASTER RECORD'!G1058="Sold",'MASTER RECORD'!C1058,"")</f>
        <v/>
      </c>
    </row>
    <row r="1054" spans="2:8">
      <c r="B1054" t="str">
        <f>IF('MASTER RECORD'!F1059="Active",'MASTER RECORD'!C1059,"")</f>
        <v/>
      </c>
      <c r="H1054" t="str">
        <f>IF('MASTER RECORD'!G1059="Sold",'MASTER RECORD'!C1059,"")</f>
        <v/>
      </c>
    </row>
    <row r="1055" spans="2:8">
      <c r="B1055" t="str">
        <f>IF('MASTER RECORD'!F1060="Active",'MASTER RECORD'!C1060,"")</f>
        <v/>
      </c>
      <c r="H1055" t="str">
        <f>IF('MASTER RECORD'!G1060="Sold",'MASTER RECORD'!C1060,"")</f>
        <v/>
      </c>
    </row>
    <row r="1056" spans="2:8">
      <c r="B1056" t="str">
        <f>IF('MASTER RECORD'!F1061="Active",'MASTER RECORD'!C1061,"")</f>
        <v/>
      </c>
      <c r="H1056" t="str">
        <f>IF('MASTER RECORD'!G1061="Sold",'MASTER RECORD'!C1061,"")</f>
        <v/>
      </c>
    </row>
    <row r="1057" spans="2:8">
      <c r="B1057" t="str">
        <f>IF('MASTER RECORD'!F1062="Active",'MASTER RECORD'!C1062,"")</f>
        <v/>
      </c>
      <c r="H1057" t="str">
        <f>IF('MASTER RECORD'!G1062="Sold",'MASTER RECORD'!C1062,"")</f>
        <v/>
      </c>
    </row>
    <row r="1058" spans="2:8">
      <c r="B1058" t="str">
        <f>IF('MASTER RECORD'!F1063="Active",'MASTER RECORD'!C1063,"")</f>
        <v/>
      </c>
      <c r="H1058" t="str">
        <f>IF('MASTER RECORD'!G1063="Sold",'MASTER RECORD'!C1063,"")</f>
        <v/>
      </c>
    </row>
    <row r="1059" spans="2:8">
      <c r="B1059" t="str">
        <f>IF('MASTER RECORD'!F1064="Active",'MASTER RECORD'!C1064,"")</f>
        <v/>
      </c>
      <c r="H1059" t="str">
        <f>IF('MASTER RECORD'!G1064="Sold",'MASTER RECORD'!C1064,"")</f>
        <v/>
      </c>
    </row>
    <row r="1060" spans="2:8">
      <c r="B1060" t="str">
        <f>IF('MASTER RECORD'!F1065="Active",'MASTER RECORD'!C1065,"")</f>
        <v/>
      </c>
      <c r="H1060" t="str">
        <f>IF('MASTER RECORD'!G1065="Sold",'MASTER RECORD'!C1065,"")</f>
        <v/>
      </c>
    </row>
    <row r="1061" spans="2:8">
      <c r="B1061" t="str">
        <f>IF('MASTER RECORD'!F1066="Active",'MASTER RECORD'!C1066,"")</f>
        <v/>
      </c>
      <c r="H1061" t="str">
        <f>IF('MASTER RECORD'!G1066="Sold",'MASTER RECORD'!C1066,"")</f>
        <v/>
      </c>
    </row>
    <row r="1062" spans="2:8">
      <c r="B1062" t="str">
        <f>IF('MASTER RECORD'!F1067="Active",'MASTER RECORD'!C1067,"")</f>
        <v/>
      </c>
      <c r="H1062" t="str">
        <f>IF('MASTER RECORD'!G1067="Sold",'MASTER RECORD'!C1067,"")</f>
        <v/>
      </c>
    </row>
    <row r="1063" spans="2:8">
      <c r="B1063" t="str">
        <f>IF('MASTER RECORD'!F1068="Active",'MASTER RECORD'!C1068,"")</f>
        <v/>
      </c>
      <c r="H1063" t="str">
        <f>IF('MASTER RECORD'!G1068="Sold",'MASTER RECORD'!C1068,"")</f>
        <v/>
      </c>
    </row>
    <row r="1064" spans="2:8">
      <c r="B1064" t="str">
        <f>IF('MASTER RECORD'!F1069="Active",'MASTER RECORD'!C1069,"")</f>
        <v/>
      </c>
      <c r="H1064" t="str">
        <f>IF('MASTER RECORD'!G1069="Sold",'MASTER RECORD'!C1069,"")</f>
        <v/>
      </c>
    </row>
    <row r="1065" spans="2:8">
      <c r="B1065" t="str">
        <f>IF('MASTER RECORD'!F1070="Active",'MASTER RECORD'!C1070,"")</f>
        <v/>
      </c>
      <c r="H1065" t="str">
        <f>IF('MASTER RECORD'!G1070="Sold",'MASTER RECORD'!C1070,"")</f>
        <v/>
      </c>
    </row>
    <row r="1066" spans="2:8">
      <c r="B1066" t="str">
        <f>IF('MASTER RECORD'!F1071="Active",'MASTER RECORD'!C1071,"")</f>
        <v/>
      </c>
      <c r="H1066" t="str">
        <f>IF('MASTER RECORD'!G1071="Sold",'MASTER RECORD'!C1071,"")</f>
        <v/>
      </c>
    </row>
    <row r="1067" spans="2:8">
      <c r="B1067" t="str">
        <f>IF('MASTER RECORD'!F1072="Active",'MASTER RECORD'!C1072,"")</f>
        <v/>
      </c>
      <c r="H1067" t="str">
        <f>IF('MASTER RECORD'!G1072="Sold",'MASTER RECORD'!C1072,"")</f>
        <v/>
      </c>
    </row>
    <row r="1068" spans="2:8">
      <c r="B1068" t="str">
        <f>IF('MASTER RECORD'!F1073="Active",'MASTER RECORD'!C1073,"")</f>
        <v/>
      </c>
      <c r="H1068" t="str">
        <f>IF('MASTER RECORD'!G1073="Sold",'MASTER RECORD'!C1073,"")</f>
        <v/>
      </c>
    </row>
    <row r="1069" spans="2:8">
      <c r="B1069" t="str">
        <f>IF('MASTER RECORD'!F1074="Active",'MASTER RECORD'!C1074,"")</f>
        <v/>
      </c>
      <c r="H1069" t="str">
        <f>IF('MASTER RECORD'!G1074="Sold",'MASTER RECORD'!C1074,"")</f>
        <v/>
      </c>
    </row>
    <row r="1070" spans="2:8">
      <c r="B1070" t="str">
        <f>IF('MASTER RECORD'!F1075="Active",'MASTER RECORD'!C1075,"")</f>
        <v/>
      </c>
      <c r="H1070" t="str">
        <f>IF('MASTER RECORD'!G1075="Sold",'MASTER RECORD'!C1075,"")</f>
        <v/>
      </c>
    </row>
    <row r="1071" spans="2:8">
      <c r="B1071" t="str">
        <f>IF('MASTER RECORD'!F1076="Active",'MASTER RECORD'!C1076,"")</f>
        <v/>
      </c>
      <c r="H1071" t="str">
        <f>IF('MASTER RECORD'!G1076="Sold",'MASTER RECORD'!C1076,"")</f>
        <v/>
      </c>
    </row>
    <row r="1072" spans="2:8">
      <c r="B1072" t="str">
        <f>IF('MASTER RECORD'!F1077="Active",'MASTER RECORD'!C1077,"")</f>
        <v/>
      </c>
      <c r="H1072" t="str">
        <f>IF('MASTER RECORD'!G1077="Sold",'MASTER RECORD'!C1077,"")</f>
        <v/>
      </c>
    </row>
    <row r="1073" spans="2:8">
      <c r="B1073" t="str">
        <f>IF('MASTER RECORD'!F1078="Active",'MASTER RECORD'!C1078,"")</f>
        <v/>
      </c>
      <c r="H1073" t="str">
        <f>IF('MASTER RECORD'!G1078="Sold",'MASTER RECORD'!C1078,"")</f>
        <v/>
      </c>
    </row>
    <row r="1074" spans="2:8">
      <c r="B1074" t="str">
        <f>IF('MASTER RECORD'!F1079="Active",'MASTER RECORD'!C1079,"")</f>
        <v/>
      </c>
      <c r="H1074" t="str">
        <f>IF('MASTER RECORD'!G1079="Sold",'MASTER RECORD'!C1079,"")</f>
        <v/>
      </c>
    </row>
    <row r="1075" spans="2:8">
      <c r="B1075" t="str">
        <f>IF('MASTER RECORD'!F1080="Active",'MASTER RECORD'!C1080,"")</f>
        <v/>
      </c>
      <c r="H1075" t="str">
        <f>IF('MASTER RECORD'!G1080="Sold",'MASTER RECORD'!C1080,"")</f>
        <v/>
      </c>
    </row>
    <row r="1076" spans="2:8">
      <c r="B1076" t="str">
        <f>IF('MASTER RECORD'!F1081="Active",'MASTER RECORD'!C1081,"")</f>
        <v/>
      </c>
      <c r="H1076" t="str">
        <f>IF('MASTER RECORD'!G1081="Sold",'MASTER RECORD'!C1081,"")</f>
        <v/>
      </c>
    </row>
    <row r="1077" spans="2:8">
      <c r="B1077" t="str">
        <f>IF('MASTER RECORD'!F1082="Active",'MASTER RECORD'!C1082,"")</f>
        <v/>
      </c>
      <c r="H1077" t="str">
        <f>IF('MASTER RECORD'!G1082="Sold",'MASTER RECORD'!C1082,"")</f>
        <v/>
      </c>
    </row>
    <row r="1078" spans="2:8">
      <c r="B1078" t="str">
        <f>IF('MASTER RECORD'!F1083="Active",'MASTER RECORD'!C1083,"")</f>
        <v/>
      </c>
      <c r="H1078" t="str">
        <f>IF('MASTER RECORD'!G1083="Sold",'MASTER RECORD'!C1083,"")</f>
        <v/>
      </c>
    </row>
    <row r="1079" spans="2:8">
      <c r="B1079" t="str">
        <f>IF('MASTER RECORD'!F1084="Active",'MASTER RECORD'!C1084,"")</f>
        <v/>
      </c>
      <c r="H1079" t="str">
        <f>IF('MASTER RECORD'!G1084="Sold",'MASTER RECORD'!C1084,"")</f>
        <v/>
      </c>
    </row>
    <row r="1080" spans="2:8">
      <c r="B1080" t="str">
        <f>IF('MASTER RECORD'!F1085="Active",'MASTER RECORD'!C1085,"")</f>
        <v/>
      </c>
      <c r="H1080" t="str">
        <f>IF('MASTER RECORD'!G1085="Sold",'MASTER RECORD'!C1085,"")</f>
        <v/>
      </c>
    </row>
    <row r="1081" spans="2:8">
      <c r="B1081" t="str">
        <f>IF('MASTER RECORD'!F1086="Active",'MASTER RECORD'!C1086,"")</f>
        <v/>
      </c>
      <c r="H1081" t="str">
        <f>IF('MASTER RECORD'!G1086="Sold",'MASTER RECORD'!C1086,"")</f>
        <v/>
      </c>
    </row>
    <row r="1082" spans="2:8">
      <c r="B1082" t="str">
        <f>IF('MASTER RECORD'!F1087="Active",'MASTER RECORD'!C1087,"")</f>
        <v/>
      </c>
      <c r="H1082" t="str">
        <f>IF('MASTER RECORD'!G1087="Sold",'MASTER RECORD'!C1087,"")</f>
        <v/>
      </c>
    </row>
    <row r="1083" spans="2:8">
      <c r="B1083" t="str">
        <f>IF('MASTER RECORD'!F1088="Active",'MASTER RECORD'!C1088,"")</f>
        <v/>
      </c>
      <c r="H1083" t="str">
        <f>IF('MASTER RECORD'!G1088="Sold",'MASTER RECORD'!C1088,"")</f>
        <v/>
      </c>
    </row>
    <row r="1084" spans="2:8">
      <c r="B1084" t="str">
        <f>IF('MASTER RECORD'!F1089="Active",'MASTER RECORD'!C1089,"")</f>
        <v/>
      </c>
      <c r="H1084" t="str">
        <f>IF('MASTER RECORD'!G1089="Sold",'MASTER RECORD'!C1089,"")</f>
        <v/>
      </c>
    </row>
    <row r="1085" spans="2:8">
      <c r="B1085" t="str">
        <f>IF('MASTER RECORD'!F1090="Active",'MASTER RECORD'!C1090,"")</f>
        <v/>
      </c>
      <c r="H1085" t="str">
        <f>IF('MASTER RECORD'!G1090="Sold",'MASTER RECORD'!C1090,"")</f>
        <v/>
      </c>
    </row>
    <row r="1086" spans="2:8">
      <c r="B1086" t="str">
        <f>IF('MASTER RECORD'!F1091="Active",'MASTER RECORD'!C1091,"")</f>
        <v/>
      </c>
      <c r="H1086" t="str">
        <f>IF('MASTER RECORD'!G1091="Sold",'MASTER RECORD'!C1091,"")</f>
        <v/>
      </c>
    </row>
    <row r="1087" spans="2:8">
      <c r="B1087" t="str">
        <f>IF('MASTER RECORD'!F1092="Active",'MASTER RECORD'!C1092,"")</f>
        <v/>
      </c>
      <c r="H1087" t="str">
        <f>IF('MASTER RECORD'!G1092="Sold",'MASTER RECORD'!C1092,"")</f>
        <v/>
      </c>
    </row>
    <row r="1088" spans="2:8">
      <c r="B1088" t="str">
        <f>IF('MASTER RECORD'!F1093="Active",'MASTER RECORD'!C1093,"")</f>
        <v/>
      </c>
      <c r="H1088" t="str">
        <f>IF('MASTER RECORD'!G1093="Sold",'MASTER RECORD'!C1093,"")</f>
        <v/>
      </c>
    </row>
    <row r="1089" spans="2:8">
      <c r="B1089" t="str">
        <f>IF('MASTER RECORD'!F1094="Active",'MASTER RECORD'!C1094,"")</f>
        <v/>
      </c>
      <c r="H1089" t="str">
        <f>IF('MASTER RECORD'!G1094="Sold",'MASTER RECORD'!C1094,"")</f>
        <v/>
      </c>
    </row>
    <row r="1090" spans="2:8">
      <c r="B1090" t="str">
        <f>IF('MASTER RECORD'!F1095="Active",'MASTER RECORD'!C1095,"")</f>
        <v/>
      </c>
      <c r="H1090" t="str">
        <f>IF('MASTER RECORD'!G1095="Sold",'MASTER RECORD'!C1095,"")</f>
        <v/>
      </c>
    </row>
    <row r="1091" spans="2:8">
      <c r="B1091" t="str">
        <f>IF('MASTER RECORD'!F1096="Active",'MASTER RECORD'!C1096,"")</f>
        <v/>
      </c>
      <c r="H1091" t="str">
        <f>IF('MASTER RECORD'!G1096="Sold",'MASTER RECORD'!C1096,"")</f>
        <v/>
      </c>
    </row>
    <row r="1092" spans="2:8">
      <c r="B1092" t="str">
        <f>IF('MASTER RECORD'!F1097="Active",'MASTER RECORD'!C1097,"")</f>
        <v/>
      </c>
      <c r="H1092" t="str">
        <f>IF('MASTER RECORD'!G1097="Sold",'MASTER RECORD'!C1097,"")</f>
        <v/>
      </c>
    </row>
    <row r="1093" spans="2:8">
      <c r="B1093" t="str">
        <f>IF('MASTER RECORD'!F1098="Active",'MASTER RECORD'!C1098,"")</f>
        <v/>
      </c>
      <c r="H1093" t="str">
        <f>IF('MASTER RECORD'!G1098="Sold",'MASTER RECORD'!C1098,"")</f>
        <v/>
      </c>
    </row>
    <row r="1094" spans="2:8">
      <c r="B1094" t="str">
        <f>IF('MASTER RECORD'!F1099="Active",'MASTER RECORD'!C1099,"")</f>
        <v/>
      </c>
      <c r="H1094" t="str">
        <f>IF('MASTER RECORD'!G1099="Sold",'MASTER RECORD'!C1099,"")</f>
        <v/>
      </c>
    </row>
    <row r="1095" spans="2:8">
      <c r="B1095" t="str">
        <f>IF('MASTER RECORD'!F1100="Active",'MASTER RECORD'!C1100,"")</f>
        <v/>
      </c>
      <c r="H1095" t="str">
        <f>IF('MASTER RECORD'!G1100="Sold",'MASTER RECORD'!C1100,"")</f>
        <v/>
      </c>
    </row>
    <row r="1096" spans="2:8">
      <c r="B1096" t="str">
        <f>IF('MASTER RECORD'!F1101="Active",'MASTER RECORD'!C1101,"")</f>
        <v/>
      </c>
      <c r="H1096" t="str">
        <f>IF('MASTER RECORD'!G1101="Sold",'MASTER RECORD'!C1101,"")</f>
        <v/>
      </c>
    </row>
    <row r="1097" spans="2:8">
      <c r="B1097" t="str">
        <f>IF('MASTER RECORD'!F1102="Active",'MASTER RECORD'!C1102,"")</f>
        <v/>
      </c>
      <c r="H1097" t="str">
        <f>IF('MASTER RECORD'!G1102="Sold",'MASTER RECORD'!C1102,"")</f>
        <v/>
      </c>
    </row>
    <row r="1098" spans="2:8">
      <c r="B1098" t="str">
        <f>IF('MASTER RECORD'!F1103="Active",'MASTER RECORD'!C1103,"")</f>
        <v/>
      </c>
      <c r="H1098" t="str">
        <f>IF('MASTER RECORD'!G1103="Sold",'MASTER RECORD'!C1103,"")</f>
        <v/>
      </c>
    </row>
    <row r="1099" spans="2:8">
      <c r="B1099" t="str">
        <f>IF('MASTER RECORD'!F1104="Active",'MASTER RECORD'!C1104,"")</f>
        <v/>
      </c>
      <c r="H1099" t="str">
        <f>IF('MASTER RECORD'!G1104="Sold",'MASTER RECORD'!C1104,"")</f>
        <v/>
      </c>
    </row>
    <row r="1100" spans="2:8">
      <c r="B1100" t="str">
        <f>IF('MASTER RECORD'!F1105="Active",'MASTER RECORD'!C1105,"")</f>
        <v/>
      </c>
      <c r="H1100" t="str">
        <f>IF('MASTER RECORD'!G1105="Sold",'MASTER RECORD'!C1105,"")</f>
        <v/>
      </c>
    </row>
    <row r="1101" spans="2:8">
      <c r="B1101" t="str">
        <f>IF('MASTER RECORD'!F1106="Active",'MASTER RECORD'!C1106,"")</f>
        <v/>
      </c>
      <c r="H1101" t="str">
        <f>IF('MASTER RECORD'!G1106="Sold",'MASTER RECORD'!C1106,"")</f>
        <v/>
      </c>
    </row>
    <row r="1102" spans="2:8">
      <c r="B1102" t="str">
        <f>IF('MASTER RECORD'!F1107="Active",'MASTER RECORD'!C1107,"")</f>
        <v/>
      </c>
      <c r="H1102" t="str">
        <f>IF('MASTER RECORD'!G1107="Sold",'MASTER RECORD'!C1107,"")</f>
        <v/>
      </c>
    </row>
    <row r="1103" spans="2:8">
      <c r="B1103" t="str">
        <f>IF('MASTER RECORD'!F1108="Active",'MASTER RECORD'!C1108,"")</f>
        <v/>
      </c>
      <c r="H1103" t="str">
        <f>IF('MASTER RECORD'!G1108="Sold",'MASTER RECORD'!C1108,"")</f>
        <v/>
      </c>
    </row>
    <row r="1104" spans="2:8">
      <c r="B1104" t="str">
        <f>IF('MASTER RECORD'!F1109="Active",'MASTER RECORD'!C1109,"")</f>
        <v/>
      </c>
      <c r="H1104" t="str">
        <f>IF('MASTER RECORD'!G1109="Sold",'MASTER RECORD'!C1109,"")</f>
        <v/>
      </c>
    </row>
    <row r="1105" spans="2:8">
      <c r="B1105" t="str">
        <f>IF('MASTER RECORD'!F1110="Active",'MASTER RECORD'!C1110,"")</f>
        <v/>
      </c>
      <c r="H1105" t="str">
        <f>IF('MASTER RECORD'!G1110="Sold",'MASTER RECORD'!C1110,"")</f>
        <v/>
      </c>
    </row>
    <row r="1106" spans="2:8">
      <c r="B1106" t="str">
        <f>IF('MASTER RECORD'!F1111="Active",'MASTER RECORD'!C1111,"")</f>
        <v/>
      </c>
      <c r="H1106" t="str">
        <f>IF('MASTER RECORD'!G1111="Sold",'MASTER RECORD'!C1111,"")</f>
        <v/>
      </c>
    </row>
    <row r="1107" spans="2:8">
      <c r="B1107" t="str">
        <f>IF('MASTER RECORD'!F1112="Active",'MASTER RECORD'!C1112,"")</f>
        <v/>
      </c>
      <c r="H1107" t="str">
        <f>IF('MASTER RECORD'!G1112="Sold",'MASTER RECORD'!C1112,"")</f>
        <v/>
      </c>
    </row>
    <row r="1108" spans="2:8">
      <c r="B1108" t="str">
        <f>IF('MASTER RECORD'!F1113="Active",'MASTER RECORD'!C1113,"")</f>
        <v/>
      </c>
      <c r="H1108" t="str">
        <f>IF('MASTER RECORD'!G1113="Sold",'MASTER RECORD'!C1113,"")</f>
        <v/>
      </c>
    </row>
    <row r="1109" spans="2:8">
      <c r="B1109" t="str">
        <f>IF('MASTER RECORD'!F1114="Active",'MASTER RECORD'!C1114,"")</f>
        <v/>
      </c>
      <c r="H1109" t="str">
        <f>IF('MASTER RECORD'!G1114="Sold",'MASTER RECORD'!C1114,"")</f>
        <v/>
      </c>
    </row>
    <row r="1110" spans="2:8">
      <c r="B1110" t="str">
        <f>IF('MASTER RECORD'!F1115="Active",'MASTER RECORD'!C1115,"")</f>
        <v/>
      </c>
      <c r="H1110" t="str">
        <f>IF('MASTER RECORD'!G1115="Sold",'MASTER RECORD'!C1115,"")</f>
        <v/>
      </c>
    </row>
    <row r="1111" spans="2:8">
      <c r="B1111" t="str">
        <f>IF('MASTER RECORD'!F1116="Active",'MASTER RECORD'!C1116,"")</f>
        <v/>
      </c>
      <c r="H1111" t="str">
        <f>IF('MASTER RECORD'!G1116="Sold",'MASTER RECORD'!C1116,"")</f>
        <v/>
      </c>
    </row>
    <row r="1112" spans="2:8">
      <c r="B1112" t="str">
        <f>IF('MASTER RECORD'!F1117="Active",'MASTER RECORD'!C1117,"")</f>
        <v/>
      </c>
      <c r="H1112" t="str">
        <f>IF('MASTER RECORD'!G1117="Sold",'MASTER RECORD'!C1117,"")</f>
        <v/>
      </c>
    </row>
    <row r="1113" spans="2:8">
      <c r="B1113" t="str">
        <f>IF('MASTER RECORD'!F1118="Active",'MASTER RECORD'!C1118,"")</f>
        <v/>
      </c>
      <c r="H1113" t="str">
        <f>IF('MASTER RECORD'!G1118="Sold",'MASTER RECORD'!C1118,"")</f>
        <v/>
      </c>
    </row>
    <row r="1114" spans="2:8">
      <c r="B1114" t="str">
        <f>IF('MASTER RECORD'!F1119="Active",'MASTER RECORD'!C1119,"")</f>
        <v/>
      </c>
      <c r="H1114" t="str">
        <f>IF('MASTER RECORD'!G1119="Sold",'MASTER RECORD'!C1119,"")</f>
        <v/>
      </c>
    </row>
    <row r="1115" spans="2:8">
      <c r="B1115" t="str">
        <f>IF('MASTER RECORD'!F1120="Active",'MASTER RECORD'!C1120,"")</f>
        <v/>
      </c>
      <c r="H1115" t="str">
        <f>IF('MASTER RECORD'!G1120="Sold",'MASTER RECORD'!C1120,"")</f>
        <v/>
      </c>
    </row>
    <row r="1116" spans="2:8">
      <c r="B1116" t="str">
        <f>IF('MASTER RECORD'!F1121="Active",'MASTER RECORD'!C1121,"")</f>
        <v/>
      </c>
      <c r="H1116" t="str">
        <f>IF('MASTER RECORD'!G1121="Sold",'MASTER RECORD'!C1121,"")</f>
        <v/>
      </c>
    </row>
    <row r="1117" spans="2:8">
      <c r="B1117" t="str">
        <f>IF('MASTER RECORD'!F1122="Active",'MASTER RECORD'!C1122,"")</f>
        <v/>
      </c>
      <c r="H1117" t="str">
        <f>IF('MASTER RECORD'!G1122="Sold",'MASTER RECORD'!C1122,"")</f>
        <v/>
      </c>
    </row>
    <row r="1118" spans="2:8">
      <c r="B1118" t="str">
        <f>IF('MASTER RECORD'!F1123="Active",'MASTER RECORD'!C1123,"")</f>
        <v/>
      </c>
      <c r="H1118" t="str">
        <f>IF('MASTER RECORD'!G1123="Sold",'MASTER RECORD'!C1123,"")</f>
        <v/>
      </c>
    </row>
    <row r="1119" spans="2:8">
      <c r="B1119" t="str">
        <f>IF('MASTER RECORD'!F1124="Active",'MASTER RECORD'!C1124,"")</f>
        <v/>
      </c>
      <c r="H1119" t="str">
        <f>IF('MASTER RECORD'!G1124="Sold",'MASTER RECORD'!C1124,"")</f>
        <v/>
      </c>
    </row>
    <row r="1120" spans="2:8">
      <c r="B1120" t="str">
        <f>IF('MASTER RECORD'!F1125="Active",'MASTER RECORD'!C1125,"")</f>
        <v/>
      </c>
      <c r="H1120" t="str">
        <f>IF('MASTER RECORD'!G1125="Sold",'MASTER RECORD'!C1125,"")</f>
        <v/>
      </c>
    </row>
    <row r="1121" spans="2:8">
      <c r="B1121" t="str">
        <f>IF('MASTER RECORD'!F1126="Active",'MASTER RECORD'!C1126,"")</f>
        <v/>
      </c>
      <c r="H1121" t="str">
        <f>IF('MASTER RECORD'!G1126="Sold",'MASTER RECORD'!C1126,"")</f>
        <v/>
      </c>
    </row>
    <row r="1122" spans="2:8">
      <c r="B1122" t="str">
        <f>IF('MASTER RECORD'!F1127="Active",'MASTER RECORD'!C1127,"")</f>
        <v/>
      </c>
      <c r="H1122" t="str">
        <f>IF('MASTER RECORD'!G1127="Sold",'MASTER RECORD'!C1127,"")</f>
        <v/>
      </c>
    </row>
    <row r="1123" spans="2:8">
      <c r="B1123" t="str">
        <f>IF('MASTER RECORD'!F1128="Active",'MASTER RECORD'!C1128,"")</f>
        <v/>
      </c>
      <c r="H1123" t="str">
        <f>IF('MASTER RECORD'!G1128="Sold",'MASTER RECORD'!C1128,"")</f>
        <v/>
      </c>
    </row>
    <row r="1124" spans="2:8">
      <c r="B1124" t="str">
        <f>IF('MASTER RECORD'!F1129="Active",'MASTER RECORD'!C1129,"")</f>
        <v/>
      </c>
      <c r="H1124" t="str">
        <f>IF('MASTER RECORD'!G1129="Sold",'MASTER RECORD'!C1129,"")</f>
        <v/>
      </c>
    </row>
    <row r="1125" spans="2:8">
      <c r="B1125" t="str">
        <f>IF('MASTER RECORD'!F1130="Active",'MASTER RECORD'!C1130,"")</f>
        <v/>
      </c>
      <c r="H1125" t="str">
        <f>IF('MASTER RECORD'!G1130="Sold",'MASTER RECORD'!C1130,"")</f>
        <v/>
      </c>
    </row>
    <row r="1126" spans="2:8">
      <c r="B1126" t="str">
        <f>IF('MASTER RECORD'!F1131="Active",'MASTER RECORD'!C1131,"")</f>
        <v/>
      </c>
      <c r="H1126" t="str">
        <f>IF('MASTER RECORD'!G1131="Sold",'MASTER RECORD'!C1131,"")</f>
        <v/>
      </c>
    </row>
    <row r="1127" spans="2:8">
      <c r="B1127" t="str">
        <f>IF('MASTER RECORD'!F1132="Active",'MASTER RECORD'!C1132,"")</f>
        <v/>
      </c>
      <c r="H1127" t="str">
        <f>IF('MASTER RECORD'!G1132="Sold",'MASTER RECORD'!C1132,"")</f>
        <v/>
      </c>
    </row>
    <row r="1128" spans="2:8">
      <c r="B1128" t="str">
        <f>IF('MASTER RECORD'!F1133="Active",'MASTER RECORD'!C1133,"")</f>
        <v/>
      </c>
      <c r="H1128" t="str">
        <f>IF('MASTER RECORD'!G1133="Sold",'MASTER RECORD'!C1133,"")</f>
        <v/>
      </c>
    </row>
    <row r="1129" spans="2:8">
      <c r="B1129" t="str">
        <f>IF('MASTER RECORD'!F1134="Active",'MASTER RECORD'!C1134,"")</f>
        <v/>
      </c>
      <c r="H1129" t="str">
        <f>IF('MASTER RECORD'!G1134="Sold",'MASTER RECORD'!C1134,"")</f>
        <v/>
      </c>
    </row>
    <row r="1130" spans="2:8">
      <c r="B1130" t="str">
        <f>IF('MASTER RECORD'!F1135="Active",'MASTER RECORD'!C1135,"")</f>
        <v/>
      </c>
      <c r="H1130" t="str">
        <f>IF('MASTER RECORD'!G1135="Sold",'MASTER RECORD'!C1135,"")</f>
        <v/>
      </c>
    </row>
    <row r="1131" spans="2:8">
      <c r="B1131" t="str">
        <f>IF('MASTER RECORD'!F1136="Active",'MASTER RECORD'!C1136,"")</f>
        <v/>
      </c>
      <c r="H1131" t="str">
        <f>IF('MASTER RECORD'!G1136="Sold",'MASTER RECORD'!C1136,"")</f>
        <v/>
      </c>
    </row>
    <row r="1132" spans="2:8">
      <c r="B1132" t="str">
        <f>IF('MASTER RECORD'!F1137="Active",'MASTER RECORD'!C1137,"")</f>
        <v/>
      </c>
      <c r="H1132" t="str">
        <f>IF('MASTER RECORD'!G1137="Sold",'MASTER RECORD'!C1137,"")</f>
        <v/>
      </c>
    </row>
    <row r="1133" spans="2:8">
      <c r="B1133" t="str">
        <f>IF('MASTER RECORD'!F1138="Active",'MASTER RECORD'!C1138,"")</f>
        <v/>
      </c>
      <c r="H1133" t="str">
        <f>IF('MASTER RECORD'!G1138="Sold",'MASTER RECORD'!C1138,"")</f>
        <v/>
      </c>
    </row>
    <row r="1134" spans="2:8">
      <c r="B1134" t="str">
        <f>IF('MASTER RECORD'!F1139="Active",'MASTER RECORD'!C1139,"")</f>
        <v/>
      </c>
      <c r="H1134" t="str">
        <f>IF('MASTER RECORD'!G1139="Sold",'MASTER RECORD'!C1139,"")</f>
        <v/>
      </c>
    </row>
    <row r="1135" spans="2:8">
      <c r="B1135" t="str">
        <f>IF('MASTER RECORD'!F1140="Active",'MASTER RECORD'!C1140,"")</f>
        <v/>
      </c>
      <c r="H1135" t="str">
        <f>IF('MASTER RECORD'!G1140="Sold",'MASTER RECORD'!C1140,"")</f>
        <v/>
      </c>
    </row>
    <row r="1136" spans="2:8">
      <c r="B1136" t="str">
        <f>IF('MASTER RECORD'!F1141="Active",'MASTER RECORD'!C1141,"")</f>
        <v/>
      </c>
      <c r="H1136" t="str">
        <f>IF('MASTER RECORD'!G1141="Sold",'MASTER RECORD'!C1141,"")</f>
        <v/>
      </c>
    </row>
    <row r="1137" spans="2:8">
      <c r="B1137" t="str">
        <f>IF('MASTER RECORD'!F1142="Active",'MASTER RECORD'!C1142,"")</f>
        <v/>
      </c>
      <c r="H1137" t="str">
        <f>IF('MASTER RECORD'!G1142="Sold",'MASTER RECORD'!C1142,"")</f>
        <v/>
      </c>
    </row>
    <row r="1138" spans="2:8">
      <c r="B1138" t="str">
        <f>IF('MASTER RECORD'!F1143="Active",'MASTER RECORD'!C1143,"")</f>
        <v/>
      </c>
      <c r="H1138" t="str">
        <f>IF('MASTER RECORD'!G1143="Sold",'MASTER RECORD'!C1143,"")</f>
        <v/>
      </c>
    </row>
    <row r="1139" spans="2:8">
      <c r="B1139" t="str">
        <f>IF('MASTER RECORD'!F1144="Active",'MASTER RECORD'!C1144,"")</f>
        <v/>
      </c>
      <c r="H1139" t="str">
        <f>IF('MASTER RECORD'!G1144="Sold",'MASTER RECORD'!C1144,"")</f>
        <v/>
      </c>
    </row>
    <row r="1140" spans="2:8">
      <c r="B1140" t="str">
        <f>IF('MASTER RECORD'!F1145="Active",'MASTER RECORD'!C1145,"")</f>
        <v/>
      </c>
      <c r="H1140" t="str">
        <f>IF('MASTER RECORD'!G1145="Sold",'MASTER RECORD'!C1145,"")</f>
        <v/>
      </c>
    </row>
    <row r="1141" spans="2:8">
      <c r="B1141" t="str">
        <f>IF('MASTER RECORD'!F1146="Active",'MASTER RECORD'!C1146,"")</f>
        <v/>
      </c>
      <c r="H1141" t="str">
        <f>IF('MASTER RECORD'!G1146="Sold",'MASTER RECORD'!C1146,"")</f>
        <v/>
      </c>
    </row>
    <row r="1142" spans="2:8">
      <c r="B1142" t="str">
        <f>IF('MASTER RECORD'!F1147="Active",'MASTER RECORD'!C1147,"")</f>
        <v/>
      </c>
      <c r="H1142" t="str">
        <f>IF('MASTER RECORD'!G1147="Sold",'MASTER RECORD'!C1147,"")</f>
        <v/>
      </c>
    </row>
    <row r="1143" spans="2:8">
      <c r="B1143" t="str">
        <f>IF('MASTER RECORD'!F1148="Active",'MASTER RECORD'!C1148,"")</f>
        <v/>
      </c>
      <c r="H1143" t="str">
        <f>IF('MASTER RECORD'!G1148="Sold",'MASTER RECORD'!C1148,"")</f>
        <v/>
      </c>
    </row>
    <row r="1144" spans="2:8">
      <c r="B1144" t="str">
        <f>IF('MASTER RECORD'!F1149="Active",'MASTER RECORD'!C1149,"")</f>
        <v/>
      </c>
      <c r="H1144" t="str">
        <f>IF('MASTER RECORD'!G1149="Sold",'MASTER RECORD'!C1149,"")</f>
        <v/>
      </c>
    </row>
    <row r="1145" spans="2:8">
      <c r="B1145" t="str">
        <f>IF('MASTER RECORD'!F1150="Active",'MASTER RECORD'!C1150,"")</f>
        <v/>
      </c>
      <c r="H1145" t="str">
        <f>IF('MASTER RECORD'!G1150="Sold",'MASTER RECORD'!C1150,"")</f>
        <v/>
      </c>
    </row>
    <row r="1146" spans="2:8">
      <c r="B1146" t="str">
        <f>IF('MASTER RECORD'!F1151="Active",'MASTER RECORD'!C1151,"")</f>
        <v/>
      </c>
      <c r="H1146" t="str">
        <f>IF('MASTER RECORD'!G1151="Sold",'MASTER RECORD'!C1151,"")</f>
        <v/>
      </c>
    </row>
    <row r="1147" spans="2:8">
      <c r="B1147" t="str">
        <f>IF('MASTER RECORD'!F1152="Active",'MASTER RECORD'!C1152,"")</f>
        <v/>
      </c>
      <c r="H1147" t="str">
        <f>IF('MASTER RECORD'!G1152="Sold",'MASTER RECORD'!C1152,"")</f>
        <v/>
      </c>
    </row>
    <row r="1148" spans="2:8">
      <c r="B1148" t="str">
        <f>IF('MASTER RECORD'!F1153="Active",'MASTER RECORD'!C1153,"")</f>
        <v/>
      </c>
      <c r="H1148" t="str">
        <f>IF('MASTER RECORD'!G1153="Sold",'MASTER RECORD'!C1153,"")</f>
        <v/>
      </c>
    </row>
    <row r="1149" spans="2:8">
      <c r="B1149" t="str">
        <f>IF('MASTER RECORD'!F1154="Active",'MASTER RECORD'!C1154,"")</f>
        <v/>
      </c>
      <c r="H1149" t="str">
        <f>IF('MASTER RECORD'!G1154="Sold",'MASTER RECORD'!C1154,"")</f>
        <v/>
      </c>
    </row>
    <row r="1150" spans="2:8">
      <c r="B1150" t="str">
        <f>IF('MASTER RECORD'!F1155="Active",'MASTER RECORD'!C1155,"")</f>
        <v/>
      </c>
      <c r="H1150" t="str">
        <f>IF('MASTER RECORD'!G1155="Sold",'MASTER RECORD'!C1155,"")</f>
        <v/>
      </c>
    </row>
    <row r="1151" spans="2:8">
      <c r="B1151" t="str">
        <f>IF('MASTER RECORD'!F1156="Active",'MASTER RECORD'!C1156,"")</f>
        <v/>
      </c>
      <c r="H1151" t="str">
        <f>IF('MASTER RECORD'!G1156="Sold",'MASTER RECORD'!C1156,"")</f>
        <v/>
      </c>
    </row>
    <row r="1152" spans="2:8">
      <c r="B1152" t="str">
        <f>IF('MASTER RECORD'!F1157="Active",'MASTER RECORD'!C1157,"")</f>
        <v/>
      </c>
      <c r="H1152" t="str">
        <f>IF('MASTER RECORD'!G1157="Sold",'MASTER RECORD'!C1157,"")</f>
        <v/>
      </c>
    </row>
    <row r="1153" spans="2:8">
      <c r="B1153" t="str">
        <f>IF('MASTER RECORD'!F1158="Active",'MASTER RECORD'!C1158,"")</f>
        <v/>
      </c>
      <c r="H1153" t="str">
        <f>IF('MASTER RECORD'!G1158="Sold",'MASTER RECORD'!C1158,"")</f>
        <v/>
      </c>
    </row>
    <row r="1154" spans="2:8">
      <c r="B1154" t="str">
        <f>IF('MASTER RECORD'!F1159="Active",'MASTER RECORD'!C1159,"")</f>
        <v/>
      </c>
      <c r="H1154" t="str">
        <f>IF('MASTER RECORD'!G1159="Sold",'MASTER RECORD'!C1159,"")</f>
        <v/>
      </c>
    </row>
    <row r="1155" spans="2:8">
      <c r="B1155" t="str">
        <f>IF('MASTER RECORD'!F1160="Active",'MASTER RECORD'!C1160,"")</f>
        <v/>
      </c>
      <c r="H1155" t="str">
        <f>IF('MASTER RECORD'!G1160="Sold",'MASTER RECORD'!C1160,"")</f>
        <v/>
      </c>
    </row>
    <row r="1156" spans="2:8">
      <c r="B1156" t="str">
        <f>IF('MASTER RECORD'!F1161="Active",'MASTER RECORD'!C1161,"")</f>
        <v/>
      </c>
      <c r="H1156" t="str">
        <f>IF('MASTER RECORD'!G1161="Sold",'MASTER RECORD'!C1161,"")</f>
        <v/>
      </c>
    </row>
    <row r="1157" spans="2:8">
      <c r="B1157" t="str">
        <f>IF('MASTER RECORD'!F1162="Active",'MASTER RECORD'!C1162,"")</f>
        <v/>
      </c>
      <c r="H1157" t="str">
        <f>IF('MASTER RECORD'!G1162="Sold",'MASTER RECORD'!C1162,"")</f>
        <v/>
      </c>
    </row>
    <row r="1158" spans="2:8">
      <c r="B1158" t="str">
        <f>IF('MASTER RECORD'!F1163="Active",'MASTER RECORD'!C1163,"")</f>
        <v/>
      </c>
      <c r="H1158" t="str">
        <f>IF('MASTER RECORD'!G1163="Sold",'MASTER RECORD'!C1163,"")</f>
        <v/>
      </c>
    </row>
    <row r="1159" spans="2:8">
      <c r="B1159" t="str">
        <f>IF('MASTER RECORD'!F1164="Active",'MASTER RECORD'!C1164,"")</f>
        <v/>
      </c>
      <c r="H1159" t="str">
        <f>IF('MASTER RECORD'!G1164="Sold",'MASTER RECORD'!C1164,"")</f>
        <v/>
      </c>
    </row>
    <row r="1160" spans="2:8">
      <c r="B1160" t="str">
        <f>IF('MASTER RECORD'!F1165="Active",'MASTER RECORD'!C1165,"")</f>
        <v/>
      </c>
      <c r="H1160" t="str">
        <f>IF('MASTER RECORD'!G1165="Sold",'MASTER RECORD'!C1165,"")</f>
        <v/>
      </c>
    </row>
    <row r="1161" spans="2:8">
      <c r="B1161" t="str">
        <f>IF('MASTER RECORD'!F1166="Active",'MASTER RECORD'!C1166,"")</f>
        <v/>
      </c>
      <c r="H1161" t="str">
        <f>IF('MASTER RECORD'!G1166="Sold",'MASTER RECORD'!C1166,"")</f>
        <v/>
      </c>
    </row>
    <row r="1162" spans="2:8">
      <c r="B1162" t="str">
        <f>IF('MASTER RECORD'!F1167="Active",'MASTER RECORD'!C1167,"")</f>
        <v/>
      </c>
      <c r="H1162" t="str">
        <f>IF('MASTER RECORD'!G1167="Sold",'MASTER RECORD'!C1167,"")</f>
        <v/>
      </c>
    </row>
    <row r="1163" spans="2:8">
      <c r="B1163" t="str">
        <f>IF('MASTER RECORD'!F1168="Active",'MASTER RECORD'!C1168,"")</f>
        <v/>
      </c>
      <c r="H1163" t="str">
        <f>IF('MASTER RECORD'!G1168="Sold",'MASTER RECORD'!C1168,"")</f>
        <v/>
      </c>
    </row>
    <row r="1164" spans="2:8">
      <c r="B1164" t="str">
        <f>IF('MASTER RECORD'!F1169="Active",'MASTER RECORD'!C1169,"")</f>
        <v/>
      </c>
      <c r="H1164" t="str">
        <f>IF('MASTER RECORD'!G1169="Sold",'MASTER RECORD'!C1169,"")</f>
        <v/>
      </c>
    </row>
    <row r="1165" spans="2:8">
      <c r="B1165" t="str">
        <f>IF('MASTER RECORD'!F1170="Active",'MASTER RECORD'!C1170,"")</f>
        <v/>
      </c>
      <c r="H1165" t="str">
        <f>IF('MASTER RECORD'!G1170="Sold",'MASTER RECORD'!C1170,"")</f>
        <v/>
      </c>
    </row>
    <row r="1166" spans="2:8">
      <c r="B1166" t="str">
        <f>IF('MASTER RECORD'!F1171="Active",'MASTER RECORD'!C1171,"")</f>
        <v/>
      </c>
      <c r="H1166" t="str">
        <f>IF('MASTER RECORD'!G1171="Sold",'MASTER RECORD'!C1171,"")</f>
        <v/>
      </c>
    </row>
    <row r="1167" spans="2:8">
      <c r="B1167" t="str">
        <f>IF('MASTER RECORD'!F1172="Active",'MASTER RECORD'!C1172,"")</f>
        <v/>
      </c>
      <c r="H1167" t="str">
        <f>IF('MASTER RECORD'!G1172="Sold",'MASTER RECORD'!C1172,"")</f>
        <v/>
      </c>
    </row>
    <row r="1168" spans="2:8">
      <c r="B1168" t="str">
        <f>IF('MASTER RECORD'!F1173="Active",'MASTER RECORD'!C1173,"")</f>
        <v/>
      </c>
      <c r="H1168" t="str">
        <f>IF('MASTER RECORD'!G1173="Sold",'MASTER RECORD'!C1173,"")</f>
        <v/>
      </c>
    </row>
    <row r="1169" spans="2:8">
      <c r="B1169" t="str">
        <f>IF('MASTER RECORD'!F1174="Active",'MASTER RECORD'!C1174,"")</f>
        <v/>
      </c>
      <c r="H1169" t="str">
        <f>IF('MASTER RECORD'!G1174="Sold",'MASTER RECORD'!C1174,"")</f>
        <v/>
      </c>
    </row>
    <row r="1170" spans="2:8">
      <c r="B1170" t="str">
        <f>IF('MASTER RECORD'!F1175="Active",'MASTER RECORD'!C1175,"")</f>
        <v/>
      </c>
      <c r="H1170" t="str">
        <f>IF('MASTER RECORD'!G1175="Sold",'MASTER RECORD'!C1175,"")</f>
        <v/>
      </c>
    </row>
    <row r="1171" spans="2:8">
      <c r="B1171" t="str">
        <f>IF('MASTER RECORD'!F1176="Active",'MASTER RECORD'!C1176,"")</f>
        <v/>
      </c>
      <c r="H1171" t="str">
        <f>IF('MASTER RECORD'!G1176="Sold",'MASTER RECORD'!C1176,"")</f>
        <v/>
      </c>
    </row>
    <row r="1172" spans="2:8">
      <c r="B1172" t="str">
        <f>IF('MASTER RECORD'!F1177="Active",'MASTER RECORD'!C1177,"")</f>
        <v/>
      </c>
      <c r="H1172" t="str">
        <f>IF('MASTER RECORD'!G1177="Sold",'MASTER RECORD'!C1177,"")</f>
        <v/>
      </c>
    </row>
    <row r="1173" spans="2:8">
      <c r="B1173" t="str">
        <f>IF('MASTER RECORD'!F1178="Active",'MASTER RECORD'!C1178,"")</f>
        <v/>
      </c>
      <c r="H1173" t="str">
        <f>IF('MASTER RECORD'!G1178="Sold",'MASTER RECORD'!C1178,"")</f>
        <v/>
      </c>
    </row>
    <row r="1174" spans="2:8">
      <c r="B1174" t="str">
        <f>IF('MASTER RECORD'!F1179="Active",'MASTER RECORD'!C1179,"")</f>
        <v/>
      </c>
      <c r="H1174" t="str">
        <f>IF('MASTER RECORD'!G1179="Sold",'MASTER RECORD'!C1179,"")</f>
        <v/>
      </c>
    </row>
    <row r="1175" spans="2:8">
      <c r="B1175" t="str">
        <f>IF('MASTER RECORD'!F1180="Active",'MASTER RECORD'!C1180,"")</f>
        <v/>
      </c>
      <c r="H1175" t="str">
        <f>IF('MASTER RECORD'!G1180="Sold",'MASTER RECORD'!C1180,"")</f>
        <v/>
      </c>
    </row>
    <row r="1176" spans="2:8">
      <c r="B1176" t="str">
        <f>IF('MASTER RECORD'!F1181="Active",'MASTER RECORD'!C1181,"")</f>
        <v/>
      </c>
      <c r="H1176" t="str">
        <f>IF('MASTER RECORD'!G1181="Sold",'MASTER RECORD'!C1181,"")</f>
        <v/>
      </c>
    </row>
    <row r="1177" spans="2:8">
      <c r="B1177" t="str">
        <f>IF('MASTER RECORD'!F1182="Active",'MASTER RECORD'!C1182,"")</f>
        <v/>
      </c>
      <c r="H1177" t="str">
        <f>IF('MASTER RECORD'!G1182="Sold",'MASTER RECORD'!C1182,"")</f>
        <v/>
      </c>
    </row>
    <row r="1178" spans="2:8">
      <c r="B1178" t="str">
        <f>IF('MASTER RECORD'!F1183="Active",'MASTER RECORD'!C1183,"")</f>
        <v/>
      </c>
      <c r="H1178" t="str">
        <f>IF('MASTER RECORD'!G1183="Sold",'MASTER RECORD'!C1183,"")</f>
        <v/>
      </c>
    </row>
    <row r="1179" spans="2:8">
      <c r="B1179" t="str">
        <f>IF('MASTER RECORD'!F1184="Active",'MASTER RECORD'!C1184,"")</f>
        <v/>
      </c>
      <c r="H1179" t="str">
        <f>IF('MASTER RECORD'!G1184="Sold",'MASTER RECORD'!C1184,"")</f>
        <v/>
      </c>
    </row>
    <row r="1180" spans="2:8">
      <c r="B1180" t="str">
        <f>IF('MASTER RECORD'!F1185="Active",'MASTER RECORD'!C1185,"")</f>
        <v/>
      </c>
      <c r="H1180" t="str">
        <f>IF('MASTER RECORD'!G1185="Sold",'MASTER RECORD'!C1185,"")</f>
        <v/>
      </c>
    </row>
    <row r="1181" spans="2:8">
      <c r="B1181" t="str">
        <f>IF('MASTER RECORD'!F1186="Active",'MASTER RECORD'!C1186,"")</f>
        <v/>
      </c>
      <c r="H1181" t="str">
        <f>IF('MASTER RECORD'!G1186="Sold",'MASTER RECORD'!C1186,"")</f>
        <v/>
      </c>
    </row>
    <row r="1182" spans="2:8">
      <c r="B1182" t="str">
        <f>IF('MASTER RECORD'!F1187="Active",'MASTER RECORD'!C1187,"")</f>
        <v/>
      </c>
      <c r="H1182" t="str">
        <f>IF('MASTER RECORD'!G1187="Sold",'MASTER RECORD'!C1187,"")</f>
        <v/>
      </c>
    </row>
    <row r="1183" spans="2:8">
      <c r="B1183" t="str">
        <f>IF('MASTER RECORD'!F1188="Active",'MASTER RECORD'!C1188,"")</f>
        <v/>
      </c>
      <c r="H1183" t="str">
        <f>IF('MASTER RECORD'!G1188="Sold",'MASTER RECORD'!C1188,"")</f>
        <v/>
      </c>
    </row>
    <row r="1184" spans="2:8">
      <c r="B1184" t="str">
        <f>IF('MASTER RECORD'!F1189="Active",'MASTER RECORD'!C1189,"")</f>
        <v/>
      </c>
      <c r="H1184" t="str">
        <f>IF('MASTER RECORD'!G1189="Sold",'MASTER RECORD'!C1189,"")</f>
        <v/>
      </c>
    </row>
    <row r="1185" spans="2:8">
      <c r="B1185" t="str">
        <f>IF('MASTER RECORD'!F1190="Active",'MASTER RECORD'!C1190,"")</f>
        <v/>
      </c>
      <c r="H1185" t="str">
        <f>IF('MASTER RECORD'!G1190="Sold",'MASTER RECORD'!C1190,"")</f>
        <v/>
      </c>
    </row>
    <row r="1186" spans="2:8">
      <c r="B1186" t="str">
        <f>IF('MASTER RECORD'!F1191="Active",'MASTER RECORD'!C1191,"")</f>
        <v/>
      </c>
      <c r="H1186" t="str">
        <f>IF('MASTER RECORD'!G1191="Sold",'MASTER RECORD'!C1191,"")</f>
        <v/>
      </c>
    </row>
    <row r="1187" spans="2:8">
      <c r="B1187" t="str">
        <f>IF('MASTER RECORD'!F1192="Active",'MASTER RECORD'!C1192,"")</f>
        <v/>
      </c>
      <c r="H1187" t="str">
        <f>IF('MASTER RECORD'!G1192="Sold",'MASTER RECORD'!C1192,"")</f>
        <v/>
      </c>
    </row>
    <row r="1188" spans="2:8">
      <c r="B1188" t="str">
        <f>IF('MASTER RECORD'!F1193="Active",'MASTER RECORD'!C1193,"")</f>
        <v/>
      </c>
      <c r="H1188" t="str">
        <f>IF('MASTER RECORD'!G1193="Sold",'MASTER RECORD'!C1193,"")</f>
        <v/>
      </c>
    </row>
    <row r="1189" spans="2:8">
      <c r="B1189" t="str">
        <f>IF('MASTER RECORD'!F1194="Active",'MASTER RECORD'!C1194,"")</f>
        <v/>
      </c>
      <c r="H1189" t="str">
        <f>IF('MASTER RECORD'!G1194="Sold",'MASTER RECORD'!C1194,"")</f>
        <v/>
      </c>
    </row>
    <row r="1190" spans="2:8">
      <c r="B1190" t="str">
        <f>IF('MASTER RECORD'!F1195="Active",'MASTER RECORD'!C1195,"")</f>
        <v/>
      </c>
      <c r="H1190" t="str">
        <f>IF('MASTER RECORD'!G1195="Sold",'MASTER RECORD'!C1195,"")</f>
        <v/>
      </c>
    </row>
    <row r="1191" spans="2:8">
      <c r="B1191" t="str">
        <f>IF('MASTER RECORD'!F1196="Active",'MASTER RECORD'!C1196,"")</f>
        <v/>
      </c>
      <c r="H1191" t="str">
        <f>IF('MASTER RECORD'!G1196="Sold",'MASTER RECORD'!C1196,"")</f>
        <v/>
      </c>
    </row>
    <row r="1192" spans="2:8">
      <c r="B1192" t="str">
        <f>IF('MASTER RECORD'!F1197="Active",'MASTER RECORD'!C1197,"")</f>
        <v/>
      </c>
      <c r="H1192" t="str">
        <f>IF('MASTER RECORD'!G1197="Sold",'MASTER RECORD'!C1197,"")</f>
        <v/>
      </c>
    </row>
    <row r="1193" spans="2:8">
      <c r="B1193" t="str">
        <f>IF('MASTER RECORD'!F1198="Active",'MASTER RECORD'!C1198,"")</f>
        <v/>
      </c>
      <c r="H1193" t="str">
        <f>IF('MASTER RECORD'!G1198="Sold",'MASTER RECORD'!C1198,"")</f>
        <v/>
      </c>
    </row>
    <row r="1194" spans="2:8">
      <c r="B1194" t="str">
        <f>IF('MASTER RECORD'!F1199="Active",'MASTER RECORD'!C1199,"")</f>
        <v/>
      </c>
      <c r="H1194" t="str">
        <f>IF('MASTER RECORD'!G1199="Sold",'MASTER RECORD'!C1199,"")</f>
        <v/>
      </c>
    </row>
    <row r="1195" spans="2:8">
      <c r="B1195" t="str">
        <f>IF('MASTER RECORD'!F1200="Active",'MASTER RECORD'!C1200,"")</f>
        <v/>
      </c>
      <c r="H1195" t="str">
        <f>IF('MASTER RECORD'!G1200="Sold",'MASTER RECORD'!C1200,"")</f>
        <v/>
      </c>
    </row>
    <row r="1196" spans="2:8">
      <c r="B1196" t="str">
        <f>IF('MASTER RECORD'!F1201="Active",'MASTER RECORD'!C1201,"")</f>
        <v/>
      </c>
      <c r="H1196" t="str">
        <f>IF('MASTER RECORD'!G1201="Sold",'MASTER RECORD'!C1201,"")</f>
        <v/>
      </c>
    </row>
    <row r="1197" spans="2:8">
      <c r="B1197" t="str">
        <f>IF('MASTER RECORD'!F1202="Active",'MASTER RECORD'!C1202,"")</f>
        <v/>
      </c>
      <c r="H1197" t="str">
        <f>IF('MASTER RECORD'!G1202="Sold",'MASTER RECORD'!C1202,"")</f>
        <v/>
      </c>
    </row>
    <row r="1198" spans="2:8">
      <c r="B1198" t="str">
        <f>IF('MASTER RECORD'!F1203="Active",'MASTER RECORD'!C1203,"")</f>
        <v/>
      </c>
      <c r="H1198" t="str">
        <f>IF('MASTER RECORD'!G1203="Sold",'MASTER RECORD'!C1203,"")</f>
        <v/>
      </c>
    </row>
    <row r="1199" spans="2:8">
      <c r="B1199" t="str">
        <f>IF('MASTER RECORD'!F1204="Active",'MASTER RECORD'!C1204,"")</f>
        <v/>
      </c>
      <c r="H1199" t="str">
        <f>IF('MASTER RECORD'!G1204="Sold",'MASTER RECORD'!C1204,"")</f>
        <v/>
      </c>
    </row>
    <row r="1200" spans="2:8">
      <c r="B1200" t="str">
        <f>IF('MASTER RECORD'!F1205="Active",'MASTER RECORD'!C1205,"")</f>
        <v/>
      </c>
      <c r="H1200" t="str">
        <f>IF('MASTER RECORD'!G1205="Sold",'MASTER RECORD'!C1205,"")</f>
        <v/>
      </c>
    </row>
    <row r="1201" spans="2:8">
      <c r="B1201" t="str">
        <f>IF('MASTER RECORD'!F1206="Active",'MASTER RECORD'!C1206,"")</f>
        <v/>
      </c>
      <c r="H1201" t="str">
        <f>IF('MASTER RECORD'!G1206="Sold",'MASTER RECORD'!C1206,"")</f>
        <v/>
      </c>
    </row>
    <row r="1202" spans="2:8">
      <c r="B1202" t="str">
        <f>IF('MASTER RECORD'!F1207="Active",'MASTER RECORD'!C1207,"")</f>
        <v/>
      </c>
      <c r="H1202" t="str">
        <f>IF('MASTER RECORD'!G1207="Sold",'MASTER RECORD'!C1207,"")</f>
        <v/>
      </c>
    </row>
    <row r="1203" spans="2:8">
      <c r="B1203" t="str">
        <f>IF('MASTER RECORD'!F1208="Active",'MASTER RECORD'!C1208,"")</f>
        <v/>
      </c>
      <c r="H1203" t="str">
        <f>IF('MASTER RECORD'!G1208="Sold",'MASTER RECORD'!C1208,"")</f>
        <v/>
      </c>
    </row>
    <row r="1204" spans="2:8">
      <c r="B1204" t="str">
        <f>IF('MASTER RECORD'!F1209="Active",'MASTER RECORD'!C1209,"")</f>
        <v/>
      </c>
      <c r="H1204" t="str">
        <f>IF('MASTER RECORD'!G1209="Sold",'MASTER RECORD'!C1209,"")</f>
        <v/>
      </c>
    </row>
    <row r="1205" spans="2:8">
      <c r="B1205" t="str">
        <f>IF('MASTER RECORD'!F1210="Active",'MASTER RECORD'!C1210,"")</f>
        <v/>
      </c>
      <c r="H1205" t="str">
        <f>IF('MASTER RECORD'!G1210="Sold",'MASTER RECORD'!C1210,"")</f>
        <v/>
      </c>
    </row>
    <row r="1206" spans="2:8">
      <c r="B1206" t="str">
        <f>IF('MASTER RECORD'!F1211="Active",'MASTER RECORD'!C1211,"")</f>
        <v/>
      </c>
      <c r="H1206" t="str">
        <f>IF('MASTER RECORD'!G1211="Sold",'MASTER RECORD'!C1211,"")</f>
        <v/>
      </c>
    </row>
    <row r="1207" spans="2:8">
      <c r="B1207" t="str">
        <f>IF('MASTER RECORD'!F1212="Active",'MASTER RECORD'!C1212,"")</f>
        <v/>
      </c>
      <c r="H1207" t="str">
        <f>IF('MASTER RECORD'!G1212="Sold",'MASTER RECORD'!C1212,"")</f>
        <v/>
      </c>
    </row>
    <row r="1208" spans="2:8">
      <c r="B1208" t="str">
        <f>IF('MASTER RECORD'!F1213="Active",'MASTER RECORD'!C1213,"")</f>
        <v/>
      </c>
      <c r="H1208" t="str">
        <f>IF('MASTER RECORD'!G1213="Sold",'MASTER RECORD'!C1213,"")</f>
        <v/>
      </c>
    </row>
    <row r="1209" spans="2:8">
      <c r="B1209" t="str">
        <f>IF('MASTER RECORD'!F1214="Active",'MASTER RECORD'!C1214,"")</f>
        <v/>
      </c>
      <c r="H1209" t="str">
        <f>IF('MASTER RECORD'!G1214="Sold",'MASTER RECORD'!C1214,"")</f>
        <v/>
      </c>
    </row>
    <row r="1210" spans="2:8">
      <c r="B1210" t="str">
        <f>IF('MASTER RECORD'!F1215="Active",'MASTER RECORD'!C1215,"")</f>
        <v/>
      </c>
      <c r="H1210" t="str">
        <f>IF('MASTER RECORD'!G1215="Sold",'MASTER RECORD'!C1215,"")</f>
        <v/>
      </c>
    </row>
    <row r="1211" spans="2:8">
      <c r="B1211" t="str">
        <f>IF('MASTER RECORD'!F1216="Active",'MASTER RECORD'!C1216,"")</f>
        <v/>
      </c>
      <c r="H1211" t="str">
        <f>IF('MASTER RECORD'!G1216="Sold",'MASTER RECORD'!C1216,"")</f>
        <v/>
      </c>
    </row>
    <row r="1212" spans="2:8">
      <c r="B1212" t="str">
        <f>IF('MASTER RECORD'!F1217="Active",'MASTER RECORD'!C1217,"")</f>
        <v/>
      </c>
      <c r="H1212" t="str">
        <f>IF('MASTER RECORD'!G1217="Sold",'MASTER RECORD'!C1217,"")</f>
        <v/>
      </c>
    </row>
    <row r="1213" spans="2:8">
      <c r="B1213" t="str">
        <f>IF('MASTER RECORD'!F1218="Active",'MASTER RECORD'!C1218,"")</f>
        <v/>
      </c>
      <c r="H1213" t="str">
        <f>IF('MASTER RECORD'!G1218="Sold",'MASTER RECORD'!C1218,"")</f>
        <v/>
      </c>
    </row>
    <row r="1214" spans="2:8">
      <c r="B1214" t="str">
        <f>IF('MASTER RECORD'!F1219="Active",'MASTER RECORD'!C1219,"")</f>
        <v/>
      </c>
      <c r="H1214" t="str">
        <f>IF('MASTER RECORD'!G1219="Sold",'MASTER RECORD'!C1219,"")</f>
        <v/>
      </c>
    </row>
    <row r="1215" spans="2:8">
      <c r="B1215" t="str">
        <f>IF('MASTER RECORD'!F1220="Active",'MASTER RECORD'!C1220,"")</f>
        <v/>
      </c>
      <c r="H1215" t="str">
        <f>IF('MASTER RECORD'!G1220="Sold",'MASTER RECORD'!C1220,"")</f>
        <v/>
      </c>
    </row>
    <row r="1216" spans="2:8">
      <c r="B1216" t="str">
        <f>IF('MASTER RECORD'!F1221="Active",'MASTER RECORD'!C1221,"")</f>
        <v/>
      </c>
      <c r="H1216" t="str">
        <f>IF('MASTER RECORD'!G1221="Sold",'MASTER RECORD'!C1221,"")</f>
        <v/>
      </c>
    </row>
    <row r="1217" spans="2:8">
      <c r="B1217" t="str">
        <f>IF('MASTER RECORD'!F1222="Active",'MASTER RECORD'!C1222,"")</f>
        <v/>
      </c>
      <c r="H1217" t="str">
        <f>IF('MASTER RECORD'!G1222="Sold",'MASTER RECORD'!C1222,"")</f>
        <v/>
      </c>
    </row>
    <row r="1218" spans="2:8">
      <c r="B1218" t="str">
        <f>IF('MASTER RECORD'!F1223="Active",'MASTER RECORD'!C1223,"")</f>
        <v/>
      </c>
      <c r="H1218" t="str">
        <f>IF('MASTER RECORD'!G1223="Sold",'MASTER RECORD'!C1223,"")</f>
        <v/>
      </c>
    </row>
    <row r="1219" spans="2:8">
      <c r="B1219" t="str">
        <f>IF('MASTER RECORD'!F1224="Active",'MASTER RECORD'!C1224,"")</f>
        <v/>
      </c>
      <c r="H1219" t="str">
        <f>IF('MASTER RECORD'!G1224="Sold",'MASTER RECORD'!C1224,"")</f>
        <v/>
      </c>
    </row>
    <row r="1220" spans="2:8">
      <c r="B1220" t="str">
        <f>IF('MASTER RECORD'!F1225="Active",'MASTER RECORD'!C1225,"")</f>
        <v/>
      </c>
      <c r="H1220" t="str">
        <f>IF('MASTER RECORD'!G1225="Sold",'MASTER RECORD'!C1225,"")</f>
        <v/>
      </c>
    </row>
    <row r="1221" spans="2:8">
      <c r="B1221" t="str">
        <f>IF('MASTER RECORD'!F1226="Active",'MASTER RECORD'!C1226,"")</f>
        <v/>
      </c>
      <c r="H1221" t="str">
        <f>IF('MASTER RECORD'!G1226="Sold",'MASTER RECORD'!C1226,"")</f>
        <v/>
      </c>
    </row>
    <row r="1222" spans="2:8">
      <c r="B1222" t="str">
        <f>IF('MASTER RECORD'!F1227="Active",'MASTER RECORD'!C1227,"")</f>
        <v/>
      </c>
      <c r="H1222" t="str">
        <f>IF('MASTER RECORD'!G1227="Sold",'MASTER RECORD'!C1227,"")</f>
        <v/>
      </c>
    </row>
    <row r="1223" spans="2:8">
      <c r="B1223" t="str">
        <f>IF('MASTER RECORD'!F1228="Active",'MASTER RECORD'!C1228,"")</f>
        <v/>
      </c>
      <c r="H1223" t="str">
        <f>IF('MASTER RECORD'!G1228="Sold",'MASTER RECORD'!C1228,"")</f>
        <v/>
      </c>
    </row>
    <row r="1224" spans="2:8">
      <c r="B1224" t="str">
        <f>IF('MASTER RECORD'!F1229="Active",'MASTER RECORD'!C1229,"")</f>
        <v/>
      </c>
      <c r="H1224" t="str">
        <f>IF('MASTER RECORD'!G1229="Sold",'MASTER RECORD'!C1229,"")</f>
        <v/>
      </c>
    </row>
    <row r="1225" spans="2:8">
      <c r="B1225" t="str">
        <f>IF('MASTER RECORD'!F1230="Active",'MASTER RECORD'!C1230,"")</f>
        <v/>
      </c>
      <c r="H1225" t="str">
        <f>IF('MASTER RECORD'!G1230="Sold",'MASTER RECORD'!C1230,"")</f>
        <v/>
      </c>
    </row>
    <row r="1226" spans="2:8">
      <c r="B1226" t="str">
        <f>IF('MASTER RECORD'!F1231="Active",'MASTER RECORD'!C1231,"")</f>
        <v/>
      </c>
      <c r="H1226" t="str">
        <f>IF('MASTER RECORD'!G1231="Sold",'MASTER RECORD'!C1231,"")</f>
        <v/>
      </c>
    </row>
    <row r="1227" spans="2:8">
      <c r="B1227" t="str">
        <f>IF('MASTER RECORD'!F1232="Active",'MASTER RECORD'!C1232,"")</f>
        <v/>
      </c>
      <c r="H1227" t="str">
        <f>IF('MASTER RECORD'!G1232="Sold",'MASTER RECORD'!C1232,"")</f>
        <v/>
      </c>
    </row>
    <row r="1228" spans="2:8">
      <c r="B1228" t="str">
        <f>IF('MASTER RECORD'!F1233="Active",'MASTER RECORD'!C1233,"")</f>
        <v/>
      </c>
      <c r="H1228" t="str">
        <f>IF('MASTER RECORD'!G1233="Sold",'MASTER RECORD'!C1233,"")</f>
        <v/>
      </c>
    </row>
    <row r="1229" spans="2:8">
      <c r="B1229" t="str">
        <f>IF('MASTER RECORD'!F1234="Active",'MASTER RECORD'!C1234,"")</f>
        <v/>
      </c>
      <c r="H1229" t="str">
        <f>IF('MASTER RECORD'!G1234="Sold",'MASTER RECORD'!C1234,"")</f>
        <v/>
      </c>
    </row>
    <row r="1230" spans="2:8">
      <c r="B1230" t="str">
        <f>IF('MASTER RECORD'!F1235="Active",'MASTER RECORD'!C1235,"")</f>
        <v/>
      </c>
      <c r="H1230" t="str">
        <f>IF('MASTER RECORD'!G1235="Sold",'MASTER RECORD'!C1235,"")</f>
        <v/>
      </c>
    </row>
    <row r="1231" spans="2:8">
      <c r="B1231" t="str">
        <f>IF('MASTER RECORD'!F1236="Active",'MASTER RECORD'!C1236,"")</f>
        <v/>
      </c>
      <c r="H1231" t="str">
        <f>IF('MASTER RECORD'!G1236="Sold",'MASTER RECORD'!C1236,"")</f>
        <v/>
      </c>
    </row>
    <row r="1232" spans="2:8">
      <c r="B1232" t="str">
        <f>IF('MASTER RECORD'!F1237="Active",'MASTER RECORD'!C1237,"")</f>
        <v/>
      </c>
      <c r="H1232" t="str">
        <f>IF('MASTER RECORD'!G1237="Sold",'MASTER RECORD'!C1237,"")</f>
        <v/>
      </c>
    </row>
    <row r="1233" spans="2:8">
      <c r="B1233" t="str">
        <f>IF('MASTER RECORD'!F1238="Active",'MASTER RECORD'!C1238,"")</f>
        <v/>
      </c>
      <c r="H1233" t="str">
        <f>IF('MASTER RECORD'!G1238="Sold",'MASTER RECORD'!C1238,"")</f>
        <v/>
      </c>
    </row>
    <row r="1234" spans="2:8">
      <c r="B1234" t="str">
        <f>IF('MASTER RECORD'!F1239="Active",'MASTER RECORD'!C1239,"")</f>
        <v/>
      </c>
      <c r="H1234" t="str">
        <f>IF('MASTER RECORD'!G1239="Sold",'MASTER RECORD'!C1239,"")</f>
        <v/>
      </c>
    </row>
    <row r="1235" spans="2:8">
      <c r="B1235" t="str">
        <f>IF('MASTER RECORD'!F1240="Active",'MASTER RECORD'!C1240,"")</f>
        <v/>
      </c>
      <c r="H1235" t="str">
        <f>IF('MASTER RECORD'!G1240="Sold",'MASTER RECORD'!C1240,"")</f>
        <v/>
      </c>
    </row>
    <row r="1236" spans="2:8">
      <c r="B1236" t="str">
        <f>IF('MASTER RECORD'!F1241="Active",'MASTER RECORD'!C1241,"")</f>
        <v/>
      </c>
      <c r="H1236" t="str">
        <f>IF('MASTER RECORD'!G1241="Sold",'MASTER RECORD'!C1241,"")</f>
        <v/>
      </c>
    </row>
    <row r="1237" spans="2:8">
      <c r="B1237" t="str">
        <f>IF('MASTER RECORD'!F1242="Active",'MASTER RECORD'!C1242,"")</f>
        <v/>
      </c>
      <c r="H1237" t="str">
        <f>IF('MASTER RECORD'!G1242="Sold",'MASTER RECORD'!C1242,"")</f>
        <v/>
      </c>
    </row>
    <row r="1238" spans="2:8">
      <c r="B1238" t="str">
        <f>IF('MASTER RECORD'!F1243="Active",'MASTER RECORD'!C1243,"")</f>
        <v/>
      </c>
      <c r="H1238" t="str">
        <f>IF('MASTER RECORD'!G1243="Sold",'MASTER RECORD'!C1243,"")</f>
        <v/>
      </c>
    </row>
    <row r="1239" spans="2:8">
      <c r="B1239" t="str">
        <f>IF('MASTER RECORD'!F1244="Active",'MASTER RECORD'!C1244,"")</f>
        <v/>
      </c>
      <c r="H1239" t="str">
        <f>IF('MASTER RECORD'!G1244="Sold",'MASTER RECORD'!C1244,"")</f>
        <v/>
      </c>
    </row>
    <row r="1240" spans="2:8">
      <c r="B1240" t="str">
        <f>IF('MASTER RECORD'!F1245="Active",'MASTER RECORD'!C1245,"")</f>
        <v/>
      </c>
      <c r="H1240" t="str">
        <f>IF('MASTER RECORD'!G1245="Sold",'MASTER RECORD'!C1245,"")</f>
        <v/>
      </c>
    </row>
    <row r="1241" spans="2:8">
      <c r="B1241" t="str">
        <f>IF('MASTER RECORD'!F1246="Active",'MASTER RECORD'!C1246,"")</f>
        <v/>
      </c>
      <c r="H1241" t="str">
        <f>IF('MASTER RECORD'!G1246="Sold",'MASTER RECORD'!C1246,"")</f>
        <v/>
      </c>
    </row>
    <row r="1242" spans="2:8">
      <c r="B1242" t="str">
        <f>IF('MASTER RECORD'!F1247="Active",'MASTER RECORD'!C1247,"")</f>
        <v/>
      </c>
      <c r="H1242" t="str">
        <f>IF('MASTER RECORD'!G1247="Sold",'MASTER RECORD'!C1247,"")</f>
        <v/>
      </c>
    </row>
    <row r="1243" spans="2:8">
      <c r="B1243" t="str">
        <f>IF('MASTER RECORD'!F1248="Active",'MASTER RECORD'!C1248,"")</f>
        <v/>
      </c>
      <c r="H1243" t="str">
        <f>IF('MASTER RECORD'!G1248="Sold",'MASTER RECORD'!C1248,"")</f>
        <v/>
      </c>
    </row>
    <row r="1244" spans="2:8">
      <c r="B1244" t="str">
        <f>IF('MASTER RECORD'!F1249="Active",'MASTER RECORD'!C1249,"")</f>
        <v/>
      </c>
      <c r="H1244" t="str">
        <f>IF('MASTER RECORD'!G1249="Sold",'MASTER RECORD'!C1249,"")</f>
        <v/>
      </c>
    </row>
    <row r="1245" spans="2:8">
      <c r="B1245" t="str">
        <f>IF('MASTER RECORD'!F1250="Active",'MASTER RECORD'!C1250,"")</f>
        <v/>
      </c>
      <c r="H1245" t="str">
        <f>IF('MASTER RECORD'!G1250="Sold",'MASTER RECORD'!C1250,"")</f>
        <v/>
      </c>
    </row>
    <row r="1246" spans="2:8">
      <c r="B1246" t="str">
        <f>IF('MASTER RECORD'!F1251="Active",'MASTER RECORD'!C1251,"")</f>
        <v/>
      </c>
      <c r="H1246" t="str">
        <f>IF('MASTER RECORD'!G1251="Sold",'MASTER RECORD'!C1251,"")</f>
        <v/>
      </c>
    </row>
    <row r="1247" spans="2:8">
      <c r="B1247" t="str">
        <f>IF('MASTER RECORD'!F1252="Active",'MASTER RECORD'!C1252,"")</f>
        <v/>
      </c>
      <c r="H1247" t="str">
        <f>IF('MASTER RECORD'!G1252="Sold",'MASTER RECORD'!C1252,"")</f>
        <v/>
      </c>
    </row>
    <row r="1248" spans="2:8">
      <c r="B1248" t="str">
        <f>IF('MASTER RECORD'!F1253="Active",'MASTER RECORD'!C1253,"")</f>
        <v/>
      </c>
      <c r="H1248" t="str">
        <f>IF('MASTER RECORD'!G1253="Sold",'MASTER RECORD'!C1253,"")</f>
        <v/>
      </c>
    </row>
    <row r="1249" spans="2:8">
      <c r="B1249" t="str">
        <f>IF('MASTER RECORD'!F1254="Active",'MASTER RECORD'!C1254,"")</f>
        <v/>
      </c>
      <c r="H1249" t="str">
        <f>IF('MASTER RECORD'!G1254="Sold",'MASTER RECORD'!C1254,"")</f>
        <v/>
      </c>
    </row>
    <row r="1250" spans="2:8">
      <c r="B1250" t="str">
        <f>IF('MASTER RECORD'!F1255="Active",'MASTER RECORD'!C1255,"")</f>
        <v/>
      </c>
      <c r="H1250" t="str">
        <f>IF('MASTER RECORD'!G1255="Sold",'MASTER RECORD'!C1255,"")</f>
        <v/>
      </c>
    </row>
    <row r="1251" spans="2:8">
      <c r="B1251" t="str">
        <f>IF('MASTER RECORD'!F1256="Active",'MASTER RECORD'!C1256,"")</f>
        <v/>
      </c>
      <c r="H1251" t="str">
        <f>IF('MASTER RECORD'!G1256="Sold",'MASTER RECORD'!C1256,"")</f>
        <v/>
      </c>
    </row>
    <row r="1252" spans="2:8">
      <c r="B1252" t="str">
        <f>IF('MASTER RECORD'!F1257="Active",'MASTER RECORD'!C1257,"")</f>
        <v/>
      </c>
      <c r="H1252" t="str">
        <f>IF('MASTER RECORD'!G1257="Sold",'MASTER RECORD'!C1257,"")</f>
        <v/>
      </c>
    </row>
    <row r="1253" spans="2:8">
      <c r="B1253" t="str">
        <f>IF('MASTER RECORD'!F1258="Active",'MASTER RECORD'!C1258,"")</f>
        <v/>
      </c>
      <c r="H1253" t="str">
        <f>IF('MASTER RECORD'!G1258="Sold",'MASTER RECORD'!C1258,"")</f>
        <v/>
      </c>
    </row>
    <row r="1254" spans="2:8">
      <c r="B1254" t="str">
        <f>IF('MASTER RECORD'!F1259="Active",'MASTER RECORD'!C1259,"")</f>
        <v/>
      </c>
      <c r="H1254" t="str">
        <f>IF('MASTER RECORD'!G1259="Sold",'MASTER RECORD'!C1259,"")</f>
        <v/>
      </c>
    </row>
    <row r="1255" spans="2:8">
      <c r="B1255" t="str">
        <f>IF('MASTER RECORD'!F1260="Active",'MASTER RECORD'!C1260,"")</f>
        <v/>
      </c>
      <c r="H1255" t="str">
        <f>IF('MASTER RECORD'!G1260="Sold",'MASTER RECORD'!C1260,"")</f>
        <v/>
      </c>
    </row>
    <row r="1256" spans="2:8">
      <c r="B1256" t="str">
        <f>IF('MASTER RECORD'!F1261="Active",'MASTER RECORD'!C1261,"")</f>
        <v/>
      </c>
      <c r="H1256" t="str">
        <f>IF('MASTER RECORD'!G1261="Sold",'MASTER RECORD'!C1261,"")</f>
        <v/>
      </c>
    </row>
    <row r="1257" spans="2:8">
      <c r="B1257" t="str">
        <f>IF('MASTER RECORD'!F1262="Active",'MASTER RECORD'!C1262,"")</f>
        <v/>
      </c>
      <c r="H1257" t="str">
        <f>IF('MASTER RECORD'!G1262="Sold",'MASTER RECORD'!C1262,"")</f>
        <v/>
      </c>
    </row>
    <row r="1258" spans="2:8">
      <c r="B1258" t="str">
        <f>IF('MASTER RECORD'!F1263="Active",'MASTER RECORD'!C1263,"")</f>
        <v/>
      </c>
      <c r="H1258" t="str">
        <f>IF('MASTER RECORD'!G1263="Sold",'MASTER RECORD'!C1263,"")</f>
        <v/>
      </c>
    </row>
    <row r="1259" spans="2:8">
      <c r="B1259" t="str">
        <f>IF('MASTER RECORD'!F1264="Active",'MASTER RECORD'!C1264,"")</f>
        <v/>
      </c>
      <c r="H1259" t="str">
        <f>IF('MASTER RECORD'!G1264="Sold",'MASTER RECORD'!C1264,"")</f>
        <v/>
      </c>
    </row>
    <row r="1260" spans="2:8">
      <c r="B1260" t="str">
        <f>IF('MASTER RECORD'!F1265="Active",'MASTER RECORD'!C1265,"")</f>
        <v/>
      </c>
      <c r="H1260" t="str">
        <f>IF('MASTER RECORD'!G1265="Sold",'MASTER RECORD'!C1265,"")</f>
        <v/>
      </c>
    </row>
    <row r="1261" spans="2:8">
      <c r="B1261" t="str">
        <f>IF('MASTER RECORD'!F1266="Active",'MASTER RECORD'!C1266,"")</f>
        <v/>
      </c>
      <c r="H1261" t="str">
        <f>IF('MASTER RECORD'!G1266="Sold",'MASTER RECORD'!C1266,"")</f>
        <v/>
      </c>
    </row>
    <row r="1262" spans="2:8">
      <c r="B1262" t="str">
        <f>IF('MASTER RECORD'!F1267="Active",'MASTER RECORD'!C1267,"")</f>
        <v/>
      </c>
      <c r="H1262" t="str">
        <f>IF('MASTER RECORD'!G1267="Sold",'MASTER RECORD'!C1267,"")</f>
        <v/>
      </c>
    </row>
    <row r="1263" spans="2:8">
      <c r="B1263" t="str">
        <f>IF('MASTER RECORD'!F1268="Active",'MASTER RECORD'!C1268,"")</f>
        <v/>
      </c>
      <c r="H1263" t="str">
        <f>IF('MASTER RECORD'!G1268="Sold",'MASTER RECORD'!C1268,"")</f>
        <v/>
      </c>
    </row>
    <row r="1264" spans="2:8">
      <c r="B1264" t="str">
        <f>IF('MASTER RECORD'!F1269="Active",'MASTER RECORD'!C1269,"")</f>
        <v/>
      </c>
      <c r="H1264" t="str">
        <f>IF('MASTER RECORD'!G1269="Sold",'MASTER RECORD'!C1269,"")</f>
        <v/>
      </c>
    </row>
    <row r="1265" spans="2:8">
      <c r="B1265" t="str">
        <f>IF('MASTER RECORD'!F1270="Active",'MASTER RECORD'!C1270,"")</f>
        <v/>
      </c>
      <c r="H1265" t="str">
        <f>IF('MASTER RECORD'!G1270="Sold",'MASTER RECORD'!C1270,"")</f>
        <v/>
      </c>
    </row>
    <row r="1266" spans="2:8">
      <c r="B1266" t="str">
        <f>IF('MASTER RECORD'!F1271="Active",'MASTER RECORD'!C1271,"")</f>
        <v/>
      </c>
      <c r="H1266" t="str">
        <f>IF('MASTER RECORD'!G1271="Sold",'MASTER RECORD'!C1271,"")</f>
        <v/>
      </c>
    </row>
    <row r="1267" spans="2:8">
      <c r="B1267" t="str">
        <f>IF('MASTER RECORD'!F1272="Active",'MASTER RECORD'!C1272,"")</f>
        <v/>
      </c>
      <c r="H1267" t="str">
        <f>IF('MASTER RECORD'!G1272="Sold",'MASTER RECORD'!C1272,"")</f>
        <v/>
      </c>
    </row>
    <row r="1268" spans="2:8">
      <c r="B1268" t="str">
        <f>IF('MASTER RECORD'!F1273="Active",'MASTER RECORD'!C1273,"")</f>
        <v/>
      </c>
      <c r="H1268" t="str">
        <f>IF('MASTER RECORD'!G1273="Sold",'MASTER RECORD'!C1273,"")</f>
        <v/>
      </c>
    </row>
    <row r="1269" spans="2:8">
      <c r="B1269" t="str">
        <f>IF('MASTER RECORD'!F1274="Active",'MASTER RECORD'!C1274,"")</f>
        <v/>
      </c>
      <c r="H1269" t="str">
        <f>IF('MASTER RECORD'!G1274="Sold",'MASTER RECORD'!C1274,"")</f>
        <v/>
      </c>
    </row>
    <row r="1270" spans="2:8">
      <c r="B1270" t="str">
        <f>IF('MASTER RECORD'!F1275="Active",'MASTER RECORD'!C1275,"")</f>
        <v/>
      </c>
      <c r="H1270" t="str">
        <f>IF('MASTER RECORD'!G1275="Sold",'MASTER RECORD'!C1275,"")</f>
        <v/>
      </c>
    </row>
    <row r="1271" spans="2:8">
      <c r="B1271" t="str">
        <f>IF('MASTER RECORD'!F1276="Active",'MASTER RECORD'!C1276,"")</f>
        <v/>
      </c>
      <c r="H1271" t="str">
        <f>IF('MASTER RECORD'!G1276="Sold",'MASTER RECORD'!C1276,"")</f>
        <v/>
      </c>
    </row>
    <row r="1272" spans="2:8">
      <c r="B1272" t="str">
        <f>IF('MASTER RECORD'!F1277="Active",'MASTER RECORD'!C1277,"")</f>
        <v/>
      </c>
      <c r="H1272" t="str">
        <f>IF('MASTER RECORD'!G1277="Sold",'MASTER RECORD'!C1277,"")</f>
        <v/>
      </c>
    </row>
    <row r="1273" spans="2:8">
      <c r="B1273" t="str">
        <f>IF('MASTER RECORD'!F1278="Active",'MASTER RECORD'!C1278,"")</f>
        <v/>
      </c>
      <c r="H1273" t="str">
        <f>IF('MASTER RECORD'!G1278="Sold",'MASTER RECORD'!C1278,"")</f>
        <v/>
      </c>
    </row>
    <row r="1274" spans="2:8">
      <c r="B1274" t="str">
        <f>IF('MASTER RECORD'!F1279="Active",'MASTER RECORD'!C1279,"")</f>
        <v/>
      </c>
      <c r="H1274" t="str">
        <f>IF('MASTER RECORD'!G1279="Sold",'MASTER RECORD'!C1279,"")</f>
        <v/>
      </c>
    </row>
    <row r="1275" spans="2:8">
      <c r="B1275" t="str">
        <f>IF('MASTER RECORD'!F1280="Active",'MASTER RECORD'!C1280,"")</f>
        <v/>
      </c>
      <c r="H1275" t="str">
        <f>IF('MASTER RECORD'!G1280="Sold",'MASTER RECORD'!C1280,"")</f>
        <v/>
      </c>
    </row>
    <row r="1276" spans="2:8">
      <c r="B1276" t="str">
        <f>IF('MASTER RECORD'!F1281="Active",'MASTER RECORD'!C1281,"")</f>
        <v/>
      </c>
      <c r="H1276" t="str">
        <f>IF('MASTER RECORD'!G1281="Sold",'MASTER RECORD'!C1281,"")</f>
        <v/>
      </c>
    </row>
    <row r="1277" spans="2:8">
      <c r="B1277" t="str">
        <f>IF('MASTER RECORD'!F1282="Active",'MASTER RECORD'!C1282,"")</f>
        <v/>
      </c>
      <c r="H1277" t="str">
        <f>IF('MASTER RECORD'!G1282="Sold",'MASTER RECORD'!C1282,"")</f>
        <v/>
      </c>
    </row>
    <row r="1278" spans="2:8">
      <c r="B1278" t="str">
        <f>IF('MASTER RECORD'!F1283="Active",'MASTER RECORD'!C1283,"")</f>
        <v/>
      </c>
      <c r="H1278" t="str">
        <f>IF('MASTER RECORD'!G1283="Sold",'MASTER RECORD'!C1283,"")</f>
        <v/>
      </c>
    </row>
    <row r="1279" spans="2:8">
      <c r="B1279" t="str">
        <f>IF('MASTER RECORD'!F1284="Active",'MASTER RECORD'!C1284,"")</f>
        <v/>
      </c>
      <c r="H1279" t="str">
        <f>IF('MASTER RECORD'!G1284="Sold",'MASTER RECORD'!C1284,"")</f>
        <v/>
      </c>
    </row>
    <row r="1280" spans="2:8">
      <c r="B1280" t="str">
        <f>IF('MASTER RECORD'!F1285="Active",'MASTER RECORD'!C1285,"")</f>
        <v/>
      </c>
      <c r="H1280" t="str">
        <f>IF('MASTER RECORD'!G1285="Sold",'MASTER RECORD'!C1285,"")</f>
        <v/>
      </c>
    </row>
    <row r="1281" spans="2:8">
      <c r="B1281" t="str">
        <f>IF('MASTER RECORD'!F1286="Active",'MASTER RECORD'!C1286,"")</f>
        <v/>
      </c>
      <c r="H1281" t="str">
        <f>IF('MASTER RECORD'!G1286="Sold",'MASTER RECORD'!C1286,"")</f>
        <v/>
      </c>
    </row>
    <row r="1282" spans="2:8">
      <c r="B1282" t="str">
        <f>IF('MASTER RECORD'!F1287="Active",'MASTER RECORD'!C1287,"")</f>
        <v/>
      </c>
      <c r="H1282" t="str">
        <f>IF('MASTER RECORD'!G1287="Sold",'MASTER RECORD'!C1287,"")</f>
        <v/>
      </c>
    </row>
    <row r="1283" spans="2:8">
      <c r="B1283" t="str">
        <f>IF('MASTER RECORD'!F1288="Active",'MASTER RECORD'!C1288,"")</f>
        <v/>
      </c>
      <c r="H1283" t="str">
        <f>IF('MASTER RECORD'!G1288="Sold",'MASTER RECORD'!C1288,"")</f>
        <v/>
      </c>
    </row>
    <row r="1284" spans="2:8">
      <c r="B1284" t="str">
        <f>IF('MASTER RECORD'!F1289="Active",'MASTER RECORD'!C1289,"")</f>
        <v/>
      </c>
      <c r="H1284" t="str">
        <f>IF('MASTER RECORD'!G1289="Sold",'MASTER RECORD'!C1289,"")</f>
        <v/>
      </c>
    </row>
    <row r="1285" spans="2:8">
      <c r="B1285" t="str">
        <f>IF('MASTER RECORD'!F1290="Active",'MASTER RECORD'!C1290,"")</f>
        <v/>
      </c>
      <c r="H1285" t="str">
        <f>IF('MASTER RECORD'!G1290="Sold",'MASTER RECORD'!C1290,"")</f>
        <v/>
      </c>
    </row>
    <row r="1286" spans="2:8">
      <c r="B1286" t="str">
        <f>IF('MASTER RECORD'!F1291="Active",'MASTER RECORD'!C1291,"")</f>
        <v/>
      </c>
      <c r="H1286" t="str">
        <f>IF('MASTER RECORD'!G1291="Sold",'MASTER RECORD'!C1291,"")</f>
        <v/>
      </c>
    </row>
    <row r="1287" spans="2:8">
      <c r="B1287" t="str">
        <f>IF('MASTER RECORD'!F1292="Active",'MASTER RECORD'!C1292,"")</f>
        <v/>
      </c>
      <c r="H1287" t="str">
        <f>IF('MASTER RECORD'!G1292="Sold",'MASTER RECORD'!C1292,"")</f>
        <v/>
      </c>
    </row>
    <row r="1288" spans="2:8">
      <c r="B1288" t="str">
        <f>IF('MASTER RECORD'!F1293="Active",'MASTER RECORD'!C1293,"")</f>
        <v/>
      </c>
      <c r="H1288" t="str">
        <f>IF('MASTER RECORD'!G1293="Sold",'MASTER RECORD'!C1293,"")</f>
        <v/>
      </c>
    </row>
    <row r="1289" spans="2:8">
      <c r="B1289" t="str">
        <f>IF('MASTER RECORD'!F1294="Active",'MASTER RECORD'!C1294,"")</f>
        <v/>
      </c>
      <c r="H1289" t="str">
        <f>IF('MASTER RECORD'!G1294="Sold",'MASTER RECORD'!C1294,"")</f>
        <v/>
      </c>
    </row>
    <row r="1290" spans="2:8">
      <c r="B1290" t="str">
        <f>IF('MASTER RECORD'!F1295="Active",'MASTER RECORD'!C1295,"")</f>
        <v/>
      </c>
      <c r="H1290" t="str">
        <f>IF('MASTER RECORD'!G1295="Sold",'MASTER RECORD'!C1295,"")</f>
        <v/>
      </c>
    </row>
    <row r="1291" spans="2:8">
      <c r="B1291" t="str">
        <f>IF('MASTER RECORD'!F1296="Active",'MASTER RECORD'!C1296,"")</f>
        <v/>
      </c>
      <c r="H1291" t="str">
        <f>IF('MASTER RECORD'!G1296="Sold",'MASTER RECORD'!C1296,"")</f>
        <v/>
      </c>
    </row>
    <row r="1292" spans="2:8">
      <c r="B1292" t="str">
        <f>IF('MASTER RECORD'!F1297="Active",'MASTER RECORD'!C1297,"")</f>
        <v/>
      </c>
      <c r="H1292" t="str">
        <f>IF('MASTER RECORD'!G1297="Sold",'MASTER RECORD'!C1297,"")</f>
        <v/>
      </c>
    </row>
    <row r="1293" spans="2:8">
      <c r="B1293" t="str">
        <f>IF('MASTER RECORD'!F1298="Active",'MASTER RECORD'!C1298,"")</f>
        <v/>
      </c>
      <c r="H1293" t="str">
        <f>IF('MASTER RECORD'!G1298="Sold",'MASTER RECORD'!C1298,"")</f>
        <v/>
      </c>
    </row>
    <row r="1294" spans="2:8">
      <c r="B1294" t="str">
        <f>IF('MASTER RECORD'!F1299="Active",'MASTER RECORD'!C1299,"")</f>
        <v/>
      </c>
      <c r="H1294" t="str">
        <f>IF('MASTER RECORD'!G1299="Sold",'MASTER RECORD'!C1299,"")</f>
        <v/>
      </c>
    </row>
    <row r="1295" spans="2:8">
      <c r="B1295" t="str">
        <f>IF('MASTER RECORD'!F1300="Active",'MASTER RECORD'!C1300,"")</f>
        <v/>
      </c>
      <c r="H1295" t="str">
        <f>IF('MASTER RECORD'!G1300="Sold",'MASTER RECORD'!C1300,"")</f>
        <v/>
      </c>
    </row>
    <row r="1296" spans="2:8">
      <c r="B1296" t="str">
        <f>IF('MASTER RECORD'!F1301="Active",'MASTER RECORD'!C1301,"")</f>
        <v/>
      </c>
      <c r="H1296" t="str">
        <f>IF('MASTER RECORD'!G1301="Sold",'MASTER RECORD'!C1301,"")</f>
        <v/>
      </c>
    </row>
    <row r="1297" spans="2:8">
      <c r="B1297" t="str">
        <f>IF('MASTER RECORD'!F1302="Active",'MASTER RECORD'!C1302,"")</f>
        <v/>
      </c>
      <c r="H1297" t="str">
        <f>IF('MASTER RECORD'!G1302="Sold",'MASTER RECORD'!C1302,"")</f>
        <v/>
      </c>
    </row>
    <row r="1298" spans="2:8">
      <c r="B1298" t="str">
        <f>IF('MASTER RECORD'!F1303="Active",'MASTER RECORD'!C1303,"")</f>
        <v/>
      </c>
      <c r="H1298" t="str">
        <f>IF('MASTER RECORD'!G1303="Sold",'MASTER RECORD'!C1303,"")</f>
        <v/>
      </c>
    </row>
    <row r="1299" spans="2:8">
      <c r="B1299" t="str">
        <f>IF('MASTER RECORD'!F1304="Active",'MASTER RECORD'!C1304,"")</f>
        <v/>
      </c>
      <c r="H1299" t="str">
        <f>IF('MASTER RECORD'!G1304="Sold",'MASTER RECORD'!C1304,"")</f>
        <v/>
      </c>
    </row>
    <row r="1300" spans="2:8">
      <c r="B1300" t="str">
        <f>IF('MASTER RECORD'!F1305="Active",'MASTER RECORD'!C1305,"")</f>
        <v/>
      </c>
      <c r="H1300" t="str">
        <f>IF('MASTER RECORD'!G1305="Sold",'MASTER RECORD'!C1305,"")</f>
        <v/>
      </c>
    </row>
    <row r="1301" spans="2:8">
      <c r="B1301" t="str">
        <f>IF('MASTER RECORD'!F1306="Active",'MASTER RECORD'!C1306,"")</f>
        <v/>
      </c>
      <c r="H1301" t="str">
        <f>IF('MASTER RECORD'!G1306="Sold",'MASTER RECORD'!C1306,"")</f>
        <v/>
      </c>
    </row>
    <row r="1302" spans="2:8">
      <c r="B1302" t="str">
        <f>IF('MASTER RECORD'!F1307="Active",'MASTER RECORD'!C1307,"")</f>
        <v/>
      </c>
      <c r="H1302" t="str">
        <f>IF('MASTER RECORD'!G1307="Sold",'MASTER RECORD'!C1307,"")</f>
        <v/>
      </c>
    </row>
    <row r="1303" spans="2:8">
      <c r="B1303" t="str">
        <f>IF('MASTER RECORD'!F1308="Active",'MASTER RECORD'!C1308,"")</f>
        <v/>
      </c>
      <c r="H1303" t="str">
        <f>IF('MASTER RECORD'!G1308="Sold",'MASTER RECORD'!C1308,"")</f>
        <v/>
      </c>
    </row>
    <row r="1304" spans="2:8">
      <c r="B1304" t="str">
        <f>IF('MASTER RECORD'!F1309="Active",'MASTER RECORD'!C1309,"")</f>
        <v/>
      </c>
      <c r="H1304" t="str">
        <f>IF('MASTER RECORD'!G1309="Sold",'MASTER RECORD'!C1309,"")</f>
        <v/>
      </c>
    </row>
    <row r="1305" spans="2:8">
      <c r="B1305" t="str">
        <f>IF('MASTER RECORD'!F1310="Active",'MASTER RECORD'!C1310,"")</f>
        <v/>
      </c>
      <c r="H1305" t="str">
        <f>IF('MASTER RECORD'!G1310="Sold",'MASTER RECORD'!C1310,"")</f>
        <v/>
      </c>
    </row>
    <row r="1306" spans="2:8">
      <c r="B1306" t="str">
        <f>IF('MASTER RECORD'!F1311="Active",'MASTER RECORD'!C1311,"")</f>
        <v/>
      </c>
      <c r="H1306" t="str">
        <f>IF('MASTER RECORD'!G1311="Sold",'MASTER RECORD'!C1311,"")</f>
        <v/>
      </c>
    </row>
    <row r="1307" spans="2:8">
      <c r="B1307" t="str">
        <f>IF('MASTER RECORD'!F1312="Active",'MASTER RECORD'!C1312,"")</f>
        <v/>
      </c>
      <c r="H1307" t="str">
        <f>IF('MASTER RECORD'!G1312="Sold",'MASTER RECORD'!C1312,"")</f>
        <v/>
      </c>
    </row>
    <row r="1308" spans="2:8">
      <c r="B1308" t="str">
        <f>IF('MASTER RECORD'!F1313="Active",'MASTER RECORD'!C1313,"")</f>
        <v/>
      </c>
      <c r="H1308" t="str">
        <f>IF('MASTER RECORD'!G1313="Sold",'MASTER RECORD'!C1313,"")</f>
        <v/>
      </c>
    </row>
    <row r="1309" spans="2:8">
      <c r="B1309" t="str">
        <f>IF('MASTER RECORD'!F1314="Active",'MASTER RECORD'!C1314,"")</f>
        <v/>
      </c>
      <c r="H1309" t="str">
        <f>IF('MASTER RECORD'!G1314="Sold",'MASTER RECORD'!C1314,"")</f>
        <v/>
      </c>
    </row>
    <row r="1310" spans="2:8">
      <c r="B1310" t="str">
        <f>IF('MASTER RECORD'!F1315="Active",'MASTER RECORD'!C1315,"")</f>
        <v/>
      </c>
      <c r="H1310" t="str">
        <f>IF('MASTER RECORD'!G1315="Sold",'MASTER RECORD'!C1315,"")</f>
        <v/>
      </c>
    </row>
    <row r="1311" spans="2:8">
      <c r="B1311" t="str">
        <f>IF('MASTER RECORD'!F1316="Active",'MASTER RECORD'!C1316,"")</f>
        <v/>
      </c>
      <c r="H1311" t="str">
        <f>IF('MASTER RECORD'!G1316="Sold",'MASTER RECORD'!C1316,"")</f>
        <v/>
      </c>
    </row>
    <row r="1312" spans="2:8">
      <c r="B1312" t="str">
        <f>IF('MASTER RECORD'!F1317="Active",'MASTER RECORD'!C1317,"")</f>
        <v/>
      </c>
      <c r="H1312" t="str">
        <f>IF('MASTER RECORD'!G1317="Sold",'MASTER RECORD'!C1317,"")</f>
        <v/>
      </c>
    </row>
    <row r="1313" spans="2:8">
      <c r="B1313" t="str">
        <f>IF('MASTER RECORD'!F1318="Active",'MASTER RECORD'!C1318,"")</f>
        <v/>
      </c>
      <c r="H1313" t="str">
        <f>IF('MASTER RECORD'!G1318="Sold",'MASTER RECORD'!C1318,"")</f>
        <v/>
      </c>
    </row>
    <row r="1314" spans="2:8">
      <c r="B1314" t="str">
        <f>IF('MASTER RECORD'!F1319="Active",'MASTER RECORD'!C1319,"")</f>
        <v/>
      </c>
      <c r="H1314" t="str">
        <f>IF('MASTER RECORD'!G1319="Sold",'MASTER RECORD'!C1319,"")</f>
        <v/>
      </c>
    </row>
    <row r="1315" spans="2:8">
      <c r="B1315" t="str">
        <f>IF('MASTER RECORD'!F1320="Active",'MASTER RECORD'!C1320,"")</f>
        <v/>
      </c>
      <c r="H1315" t="str">
        <f>IF('MASTER RECORD'!G1320="Sold",'MASTER RECORD'!C1320,"")</f>
        <v/>
      </c>
    </row>
    <row r="1316" spans="2:8">
      <c r="B1316" t="str">
        <f>IF('MASTER RECORD'!F1321="Active",'MASTER RECORD'!C1321,"")</f>
        <v/>
      </c>
      <c r="H1316" t="str">
        <f>IF('MASTER RECORD'!G1321="Sold",'MASTER RECORD'!C1321,"")</f>
        <v/>
      </c>
    </row>
    <row r="1317" spans="2:8">
      <c r="B1317" t="str">
        <f>IF('MASTER RECORD'!F1322="Active",'MASTER RECORD'!C1322,"")</f>
        <v/>
      </c>
      <c r="H1317" t="str">
        <f>IF('MASTER RECORD'!G1322="Sold",'MASTER RECORD'!C1322,"")</f>
        <v/>
      </c>
    </row>
    <row r="1318" spans="2:8">
      <c r="B1318" t="str">
        <f>IF('MASTER RECORD'!F1323="Active",'MASTER RECORD'!C1323,"")</f>
        <v/>
      </c>
      <c r="H1318" t="str">
        <f>IF('MASTER RECORD'!G1323="Sold",'MASTER RECORD'!C1323,"")</f>
        <v/>
      </c>
    </row>
    <row r="1319" spans="2:8">
      <c r="B1319" t="str">
        <f>IF('MASTER RECORD'!F1324="Active",'MASTER RECORD'!C1324,"")</f>
        <v/>
      </c>
      <c r="H1319" t="str">
        <f>IF('MASTER RECORD'!G1324="Sold",'MASTER RECORD'!C1324,"")</f>
        <v/>
      </c>
    </row>
    <row r="1320" spans="2:8">
      <c r="B1320" t="str">
        <f>IF('MASTER RECORD'!F1325="Active",'MASTER RECORD'!C1325,"")</f>
        <v/>
      </c>
      <c r="H1320" t="str">
        <f>IF('MASTER RECORD'!G1325="Sold",'MASTER RECORD'!C1325,"")</f>
        <v/>
      </c>
    </row>
    <row r="1321" spans="2:8">
      <c r="B1321" t="str">
        <f>IF('MASTER RECORD'!F1326="Active",'MASTER RECORD'!C1326,"")</f>
        <v/>
      </c>
      <c r="H1321" t="str">
        <f>IF('MASTER RECORD'!G1326="Sold",'MASTER RECORD'!C1326,"")</f>
        <v/>
      </c>
    </row>
    <row r="1322" spans="2:8">
      <c r="B1322" t="str">
        <f>IF('MASTER RECORD'!F1327="Active",'MASTER RECORD'!C1327,"")</f>
        <v/>
      </c>
      <c r="H1322" t="str">
        <f>IF('MASTER RECORD'!G1327="Sold",'MASTER RECORD'!C1327,"")</f>
        <v/>
      </c>
    </row>
    <row r="1323" spans="2:8">
      <c r="B1323" t="str">
        <f>IF('MASTER RECORD'!F1328="Active",'MASTER RECORD'!C1328,"")</f>
        <v/>
      </c>
      <c r="H1323" t="str">
        <f>IF('MASTER RECORD'!G1328="Sold",'MASTER RECORD'!C1328,"")</f>
        <v/>
      </c>
    </row>
    <row r="1324" spans="2:8">
      <c r="B1324" t="str">
        <f>IF('MASTER RECORD'!F1329="Active",'MASTER RECORD'!C1329,"")</f>
        <v/>
      </c>
      <c r="H1324" t="str">
        <f>IF('MASTER RECORD'!G1329="Sold",'MASTER RECORD'!C1329,"")</f>
        <v/>
      </c>
    </row>
    <row r="1325" spans="2:8">
      <c r="B1325" t="str">
        <f>IF('MASTER RECORD'!F1330="Active",'MASTER RECORD'!C1330,"")</f>
        <v/>
      </c>
      <c r="H1325" t="str">
        <f>IF('MASTER RECORD'!G1330="Sold",'MASTER RECORD'!C1330,"")</f>
        <v/>
      </c>
    </row>
    <row r="1326" spans="2:8">
      <c r="B1326" t="str">
        <f>IF('MASTER RECORD'!F1331="Active",'MASTER RECORD'!C1331,"")</f>
        <v/>
      </c>
      <c r="H1326" t="str">
        <f>IF('MASTER RECORD'!G1331="Sold",'MASTER RECORD'!C1331,"")</f>
        <v/>
      </c>
    </row>
    <row r="1327" spans="2:8">
      <c r="B1327" t="str">
        <f>IF('MASTER RECORD'!F1332="Active",'MASTER RECORD'!C1332,"")</f>
        <v/>
      </c>
      <c r="H1327" t="str">
        <f>IF('MASTER RECORD'!G1332="Sold",'MASTER RECORD'!C1332,"")</f>
        <v/>
      </c>
    </row>
    <row r="1328" spans="2:8">
      <c r="B1328" t="str">
        <f>IF('MASTER RECORD'!F1333="Active",'MASTER RECORD'!C1333,"")</f>
        <v/>
      </c>
      <c r="H1328" t="str">
        <f>IF('MASTER RECORD'!G1333="Sold",'MASTER RECORD'!C1333,"")</f>
        <v/>
      </c>
    </row>
    <row r="1329" spans="2:8">
      <c r="B1329" t="str">
        <f>IF('MASTER RECORD'!F1334="Active",'MASTER RECORD'!C1334,"")</f>
        <v/>
      </c>
      <c r="H1329" t="str">
        <f>IF('MASTER RECORD'!G1334="Sold",'MASTER RECORD'!C1334,"")</f>
        <v/>
      </c>
    </row>
    <row r="1330" spans="2:8">
      <c r="B1330" t="str">
        <f>IF('MASTER RECORD'!F1335="Active",'MASTER RECORD'!C1335,"")</f>
        <v/>
      </c>
      <c r="H1330" t="str">
        <f>IF('MASTER RECORD'!G1335="Sold",'MASTER RECORD'!C1335,"")</f>
        <v/>
      </c>
    </row>
    <row r="1331" spans="2:8">
      <c r="B1331" t="str">
        <f>IF('MASTER RECORD'!F1336="Active",'MASTER RECORD'!C1336,"")</f>
        <v/>
      </c>
      <c r="H1331" t="str">
        <f>IF('MASTER RECORD'!G1336="Sold",'MASTER RECORD'!C1336,"")</f>
        <v/>
      </c>
    </row>
    <row r="1332" spans="2:8">
      <c r="B1332" t="str">
        <f>IF('MASTER RECORD'!F1337="Active",'MASTER RECORD'!C1337,"")</f>
        <v/>
      </c>
      <c r="H1332" t="str">
        <f>IF('MASTER RECORD'!G1337="Sold",'MASTER RECORD'!C1337,"")</f>
        <v/>
      </c>
    </row>
    <row r="1333" spans="2:8">
      <c r="B1333" t="str">
        <f>IF('MASTER RECORD'!F1338="Active",'MASTER RECORD'!C1338,"")</f>
        <v/>
      </c>
      <c r="H1333" t="str">
        <f>IF('MASTER RECORD'!G1338="Sold",'MASTER RECORD'!C1338,"")</f>
        <v/>
      </c>
    </row>
    <row r="1334" spans="2:8">
      <c r="B1334" t="str">
        <f>IF('MASTER RECORD'!F1339="Active",'MASTER RECORD'!C1339,"")</f>
        <v/>
      </c>
      <c r="H1334" t="str">
        <f>IF('MASTER RECORD'!G1339="Sold",'MASTER RECORD'!C1339,"")</f>
        <v/>
      </c>
    </row>
    <row r="1335" spans="2:8">
      <c r="B1335" t="str">
        <f>IF('MASTER RECORD'!F1340="Active",'MASTER RECORD'!C1340,"")</f>
        <v/>
      </c>
      <c r="H1335" t="str">
        <f>IF('MASTER RECORD'!G1340="Sold",'MASTER RECORD'!C1340,"")</f>
        <v/>
      </c>
    </row>
    <row r="1336" spans="2:8">
      <c r="B1336" t="str">
        <f>IF('MASTER RECORD'!F1341="Active",'MASTER RECORD'!C1341,"")</f>
        <v/>
      </c>
      <c r="H1336" t="str">
        <f>IF('MASTER RECORD'!G1341="Sold",'MASTER RECORD'!C1341,"")</f>
        <v/>
      </c>
    </row>
    <row r="1337" spans="2:8">
      <c r="B1337" t="str">
        <f>IF('MASTER RECORD'!F1342="Active",'MASTER RECORD'!C1342,"")</f>
        <v/>
      </c>
      <c r="H1337" t="str">
        <f>IF('MASTER RECORD'!G1342="Sold",'MASTER RECORD'!C1342,"")</f>
        <v/>
      </c>
    </row>
    <row r="1338" spans="2:8">
      <c r="B1338" t="str">
        <f>IF('MASTER RECORD'!F1343="Active",'MASTER RECORD'!C1343,"")</f>
        <v/>
      </c>
      <c r="H1338" t="str">
        <f>IF('MASTER RECORD'!G1343="Sold",'MASTER RECORD'!C1343,"")</f>
        <v/>
      </c>
    </row>
    <row r="1339" spans="2:8">
      <c r="B1339" t="str">
        <f>IF('MASTER RECORD'!F1344="Active",'MASTER RECORD'!C1344,"")</f>
        <v/>
      </c>
      <c r="H1339" t="str">
        <f>IF('MASTER RECORD'!G1344="Sold",'MASTER RECORD'!C1344,"")</f>
        <v/>
      </c>
    </row>
    <row r="1340" spans="2:8">
      <c r="B1340" t="str">
        <f>IF('MASTER RECORD'!F1345="Active",'MASTER RECORD'!C1345,"")</f>
        <v/>
      </c>
      <c r="H1340" t="str">
        <f>IF('MASTER RECORD'!G1345="Sold",'MASTER RECORD'!C1345,"")</f>
        <v/>
      </c>
    </row>
    <row r="1341" spans="2:8">
      <c r="B1341" t="str">
        <f>IF('MASTER RECORD'!F1346="Active",'MASTER RECORD'!C1346,"")</f>
        <v/>
      </c>
      <c r="H1341" t="str">
        <f>IF('MASTER RECORD'!G1346="Sold",'MASTER RECORD'!C1346,"")</f>
        <v/>
      </c>
    </row>
    <row r="1342" spans="2:8">
      <c r="B1342" t="str">
        <f>IF('MASTER RECORD'!F1347="Active",'MASTER RECORD'!C1347,"")</f>
        <v/>
      </c>
      <c r="H1342" t="str">
        <f>IF('MASTER RECORD'!G1347="Sold",'MASTER RECORD'!C1347,"")</f>
        <v/>
      </c>
    </row>
    <row r="1343" spans="2:8">
      <c r="B1343" t="str">
        <f>IF('MASTER RECORD'!F1348="Active",'MASTER RECORD'!C1348,"")</f>
        <v/>
      </c>
      <c r="H1343" t="str">
        <f>IF('MASTER RECORD'!G1348="Sold",'MASTER RECORD'!C1348,"")</f>
        <v/>
      </c>
    </row>
    <row r="1344" spans="2:8">
      <c r="B1344" t="str">
        <f>IF('MASTER RECORD'!F1349="Active",'MASTER RECORD'!C1349,"")</f>
        <v/>
      </c>
      <c r="H1344" t="str">
        <f>IF('MASTER RECORD'!G1349="Sold",'MASTER RECORD'!C1349,"")</f>
        <v/>
      </c>
    </row>
    <row r="1345" spans="2:8">
      <c r="B1345" t="str">
        <f>IF('MASTER RECORD'!F1350="Active",'MASTER RECORD'!C1350,"")</f>
        <v/>
      </c>
      <c r="H1345" t="str">
        <f>IF('MASTER RECORD'!G1350="Sold",'MASTER RECORD'!C1350,"")</f>
        <v/>
      </c>
    </row>
    <row r="1346" spans="2:8">
      <c r="B1346" t="str">
        <f>IF('MASTER RECORD'!F1351="Active",'MASTER RECORD'!C1351,"")</f>
        <v/>
      </c>
      <c r="H1346" t="str">
        <f>IF('MASTER RECORD'!G1351="Sold",'MASTER RECORD'!C1351,"")</f>
        <v/>
      </c>
    </row>
    <row r="1347" spans="2:8">
      <c r="B1347" t="str">
        <f>IF('MASTER RECORD'!F1352="Active",'MASTER RECORD'!C1352,"")</f>
        <v/>
      </c>
      <c r="H1347" t="str">
        <f>IF('MASTER RECORD'!G1352="Sold",'MASTER RECORD'!C1352,"")</f>
        <v/>
      </c>
    </row>
    <row r="1348" spans="2:8">
      <c r="B1348" t="str">
        <f>IF('MASTER RECORD'!F1353="Active",'MASTER RECORD'!C1353,"")</f>
        <v/>
      </c>
      <c r="H1348" t="str">
        <f>IF('MASTER RECORD'!G1353="Sold",'MASTER RECORD'!C1353,"")</f>
        <v/>
      </c>
    </row>
    <row r="1349" spans="2:8">
      <c r="B1349" t="str">
        <f>IF('MASTER RECORD'!F1354="Active",'MASTER RECORD'!C1354,"")</f>
        <v/>
      </c>
      <c r="H1349" t="str">
        <f>IF('MASTER RECORD'!G1354="Sold",'MASTER RECORD'!C1354,"")</f>
        <v/>
      </c>
    </row>
    <row r="1350" spans="2:8">
      <c r="B1350" t="str">
        <f>IF('MASTER RECORD'!F1355="Active",'MASTER RECORD'!C1355,"")</f>
        <v/>
      </c>
      <c r="H1350" t="str">
        <f>IF('MASTER RECORD'!G1355="Sold",'MASTER RECORD'!C1355,"")</f>
        <v/>
      </c>
    </row>
    <row r="1351" spans="2:8">
      <c r="B1351" t="str">
        <f>IF('MASTER RECORD'!F1356="Active",'MASTER RECORD'!C1356,"")</f>
        <v/>
      </c>
      <c r="H1351" t="str">
        <f>IF('MASTER RECORD'!G1356="Sold",'MASTER RECORD'!C1356,"")</f>
        <v/>
      </c>
    </row>
    <row r="1352" spans="2:8">
      <c r="B1352" t="str">
        <f>IF('MASTER RECORD'!F1357="Active",'MASTER RECORD'!C1357,"")</f>
        <v/>
      </c>
      <c r="H1352" t="str">
        <f>IF('MASTER RECORD'!G1357="Sold",'MASTER RECORD'!C1357,"")</f>
        <v/>
      </c>
    </row>
    <row r="1353" spans="2:8">
      <c r="B1353" t="str">
        <f>IF('MASTER RECORD'!F1358="Active",'MASTER RECORD'!C1358,"")</f>
        <v/>
      </c>
      <c r="H1353" t="str">
        <f>IF('MASTER RECORD'!G1358="Sold",'MASTER RECORD'!C1358,"")</f>
        <v/>
      </c>
    </row>
    <row r="1354" spans="2:8">
      <c r="B1354" t="str">
        <f>IF('MASTER RECORD'!F1359="Active",'MASTER RECORD'!C1359,"")</f>
        <v/>
      </c>
      <c r="H1354" t="str">
        <f>IF('MASTER RECORD'!G1359="Sold",'MASTER RECORD'!C1359,"")</f>
        <v/>
      </c>
    </row>
    <row r="1355" spans="2:8">
      <c r="B1355" t="str">
        <f>IF('MASTER RECORD'!F1360="Active",'MASTER RECORD'!C1360,"")</f>
        <v/>
      </c>
      <c r="H1355" t="str">
        <f>IF('MASTER RECORD'!G1360="Sold",'MASTER RECORD'!C1360,"")</f>
        <v/>
      </c>
    </row>
    <row r="1356" spans="2:8">
      <c r="B1356" t="str">
        <f>IF('MASTER RECORD'!F1361="Active",'MASTER RECORD'!C1361,"")</f>
        <v/>
      </c>
      <c r="H1356" t="str">
        <f>IF('MASTER RECORD'!G1361="Sold",'MASTER RECORD'!C1361,"")</f>
        <v/>
      </c>
    </row>
    <row r="1357" spans="2:8">
      <c r="B1357" t="str">
        <f>IF('MASTER RECORD'!F1362="Active",'MASTER RECORD'!C1362,"")</f>
        <v/>
      </c>
      <c r="H1357" t="str">
        <f>IF('MASTER RECORD'!G1362="Sold",'MASTER RECORD'!C1362,"")</f>
        <v/>
      </c>
    </row>
    <row r="1358" spans="2:8">
      <c r="B1358" t="str">
        <f>IF('MASTER RECORD'!F1363="Active",'MASTER RECORD'!C1363,"")</f>
        <v/>
      </c>
      <c r="H1358" t="str">
        <f>IF('MASTER RECORD'!G1363="Sold",'MASTER RECORD'!C1363,"")</f>
        <v/>
      </c>
    </row>
    <row r="1359" spans="2:8">
      <c r="B1359" t="str">
        <f>IF('MASTER RECORD'!F1364="Active",'MASTER RECORD'!C1364,"")</f>
        <v/>
      </c>
      <c r="H1359" t="str">
        <f>IF('MASTER RECORD'!G1364="Sold",'MASTER RECORD'!C1364,"")</f>
        <v/>
      </c>
    </row>
    <row r="1360" spans="2:8">
      <c r="B1360" t="str">
        <f>IF('MASTER RECORD'!F1365="Active",'MASTER RECORD'!C1365,"")</f>
        <v/>
      </c>
      <c r="H1360" t="str">
        <f>IF('MASTER RECORD'!G1365="Sold",'MASTER RECORD'!C1365,"")</f>
        <v/>
      </c>
    </row>
    <row r="1361" spans="2:8">
      <c r="B1361" t="str">
        <f>IF('MASTER RECORD'!F1366="Active",'MASTER RECORD'!C1366,"")</f>
        <v/>
      </c>
      <c r="H1361" t="str">
        <f>IF('MASTER RECORD'!G1366="Sold",'MASTER RECORD'!C1366,"")</f>
        <v/>
      </c>
    </row>
    <row r="1362" spans="2:8">
      <c r="B1362" t="str">
        <f>IF('MASTER RECORD'!F1367="Active",'MASTER RECORD'!C1367,"")</f>
        <v/>
      </c>
      <c r="H1362" t="str">
        <f>IF('MASTER RECORD'!G1367="Sold",'MASTER RECORD'!C1367,"")</f>
        <v/>
      </c>
    </row>
    <row r="1363" spans="2:8">
      <c r="B1363" t="str">
        <f>IF('MASTER RECORD'!F1368="Active",'MASTER RECORD'!C1368,"")</f>
        <v/>
      </c>
      <c r="H1363" t="str">
        <f>IF('MASTER RECORD'!G1368="Sold",'MASTER RECORD'!C1368,"")</f>
        <v/>
      </c>
    </row>
    <row r="1364" spans="2:8">
      <c r="B1364" t="str">
        <f>IF('MASTER RECORD'!F1369="Active",'MASTER RECORD'!C1369,"")</f>
        <v/>
      </c>
      <c r="H1364" t="str">
        <f>IF('MASTER RECORD'!G1369="Sold",'MASTER RECORD'!C1369,"")</f>
        <v/>
      </c>
    </row>
    <row r="1365" spans="2:8">
      <c r="B1365" t="str">
        <f>IF('MASTER RECORD'!F1370="Active",'MASTER RECORD'!C1370,"")</f>
        <v/>
      </c>
      <c r="H1365" t="str">
        <f>IF('MASTER RECORD'!G1370="Sold",'MASTER RECORD'!C1370,"")</f>
        <v/>
      </c>
    </row>
    <row r="1366" spans="2:8">
      <c r="B1366" t="str">
        <f>IF('MASTER RECORD'!F1371="Active",'MASTER RECORD'!C1371,"")</f>
        <v/>
      </c>
      <c r="H1366" t="str">
        <f>IF('MASTER RECORD'!G1371="Sold",'MASTER RECORD'!C1371,"")</f>
        <v/>
      </c>
    </row>
    <row r="1367" spans="2:8">
      <c r="B1367" t="str">
        <f>IF('MASTER RECORD'!F1372="Active",'MASTER RECORD'!C1372,"")</f>
        <v/>
      </c>
      <c r="H1367" t="str">
        <f>IF('MASTER RECORD'!G1372="Sold",'MASTER RECORD'!C1372,"")</f>
        <v/>
      </c>
    </row>
    <row r="1368" spans="2:8">
      <c r="B1368" t="str">
        <f>IF('MASTER RECORD'!F1373="Active",'MASTER RECORD'!C1373,"")</f>
        <v/>
      </c>
      <c r="H1368" t="str">
        <f>IF('MASTER RECORD'!G1373="Sold",'MASTER RECORD'!C1373,"")</f>
        <v/>
      </c>
    </row>
    <row r="1369" spans="2:8">
      <c r="B1369" t="str">
        <f>IF('MASTER RECORD'!F1374="Active",'MASTER RECORD'!C1374,"")</f>
        <v/>
      </c>
      <c r="H1369" t="str">
        <f>IF('MASTER RECORD'!G1374="Sold",'MASTER RECORD'!C1374,"")</f>
        <v/>
      </c>
    </row>
    <row r="1370" spans="2:8">
      <c r="B1370" t="str">
        <f>IF('MASTER RECORD'!F1375="Active",'MASTER RECORD'!C1375,"")</f>
        <v/>
      </c>
      <c r="H1370" t="str">
        <f>IF('MASTER RECORD'!G1375="Sold",'MASTER RECORD'!C1375,"")</f>
        <v/>
      </c>
    </row>
    <row r="1371" spans="2:8">
      <c r="B1371" t="str">
        <f>IF('MASTER RECORD'!F1376="Active",'MASTER RECORD'!C1376,"")</f>
        <v/>
      </c>
      <c r="H1371" t="str">
        <f>IF('MASTER RECORD'!G1376="Sold",'MASTER RECORD'!C1376,"")</f>
        <v/>
      </c>
    </row>
    <row r="1372" spans="2:8">
      <c r="B1372" t="str">
        <f>IF('MASTER RECORD'!F1377="Active",'MASTER RECORD'!C1377,"")</f>
        <v/>
      </c>
      <c r="H1372" t="str">
        <f>IF('MASTER RECORD'!G1377="Sold",'MASTER RECORD'!C1377,"")</f>
        <v/>
      </c>
    </row>
    <row r="1373" spans="2:8">
      <c r="B1373" t="str">
        <f>IF('MASTER RECORD'!F1378="Active",'MASTER RECORD'!C1378,"")</f>
        <v/>
      </c>
      <c r="H1373" t="str">
        <f>IF('MASTER RECORD'!G1378="Sold",'MASTER RECORD'!C1378,"")</f>
        <v/>
      </c>
    </row>
    <row r="1374" spans="2:8">
      <c r="B1374" t="str">
        <f>IF('MASTER RECORD'!F1379="Active",'MASTER RECORD'!C1379,"")</f>
        <v/>
      </c>
      <c r="H1374" t="str">
        <f>IF('MASTER RECORD'!G1379="Sold",'MASTER RECORD'!C1379,"")</f>
        <v/>
      </c>
    </row>
    <row r="1375" spans="2:8">
      <c r="B1375" t="str">
        <f>IF('MASTER RECORD'!F1380="Active",'MASTER RECORD'!C1380,"")</f>
        <v/>
      </c>
      <c r="H1375" t="str">
        <f>IF('MASTER RECORD'!G1380="Sold",'MASTER RECORD'!C1380,"")</f>
        <v/>
      </c>
    </row>
    <row r="1376" spans="2:8">
      <c r="B1376" t="str">
        <f>IF('MASTER RECORD'!F1381="Active",'MASTER RECORD'!C1381,"")</f>
        <v/>
      </c>
      <c r="H1376" t="str">
        <f>IF('MASTER RECORD'!G1381="Sold",'MASTER RECORD'!C1381,"")</f>
        <v/>
      </c>
    </row>
    <row r="1377" spans="2:8">
      <c r="B1377" t="str">
        <f>IF('MASTER RECORD'!F1382="Active",'MASTER RECORD'!C1382,"")</f>
        <v/>
      </c>
      <c r="H1377" t="str">
        <f>IF('MASTER RECORD'!G1382="Sold",'MASTER RECORD'!C1382,"")</f>
        <v/>
      </c>
    </row>
    <row r="1378" spans="2:8">
      <c r="B1378" t="str">
        <f>IF('MASTER RECORD'!F1383="Active",'MASTER RECORD'!C1383,"")</f>
        <v/>
      </c>
      <c r="H1378" t="str">
        <f>IF('MASTER RECORD'!G1383="Sold",'MASTER RECORD'!C1383,"")</f>
        <v/>
      </c>
    </row>
    <row r="1379" spans="2:8">
      <c r="B1379" t="str">
        <f>IF('MASTER RECORD'!F1384="Active",'MASTER RECORD'!C1384,"")</f>
        <v/>
      </c>
      <c r="H1379" t="str">
        <f>IF('MASTER RECORD'!G1384="Sold",'MASTER RECORD'!C1384,"")</f>
        <v/>
      </c>
    </row>
    <row r="1380" spans="2:8">
      <c r="B1380" t="str">
        <f>IF('MASTER RECORD'!F1385="Active",'MASTER RECORD'!C1385,"")</f>
        <v/>
      </c>
      <c r="H1380" t="str">
        <f>IF('MASTER RECORD'!G1385="Sold",'MASTER RECORD'!C1385,"")</f>
        <v/>
      </c>
    </row>
    <row r="1381" spans="2:8">
      <c r="B1381" t="str">
        <f>IF('MASTER RECORD'!F1386="Active",'MASTER RECORD'!C1386,"")</f>
        <v/>
      </c>
      <c r="H1381" t="str">
        <f>IF('MASTER RECORD'!G1386="Sold",'MASTER RECORD'!C1386,"")</f>
        <v/>
      </c>
    </row>
    <row r="1382" spans="2:8">
      <c r="B1382" t="str">
        <f>IF('MASTER RECORD'!F1387="Active",'MASTER RECORD'!C1387,"")</f>
        <v/>
      </c>
      <c r="H1382" t="str">
        <f>IF('MASTER RECORD'!G1387="Sold",'MASTER RECORD'!C1387,"")</f>
        <v/>
      </c>
    </row>
    <row r="1383" spans="2:8">
      <c r="B1383" t="str">
        <f>IF('MASTER RECORD'!F1388="Active",'MASTER RECORD'!C1388,"")</f>
        <v/>
      </c>
      <c r="H1383" t="str">
        <f>IF('MASTER RECORD'!G1388="Sold",'MASTER RECORD'!C1388,"")</f>
        <v/>
      </c>
    </row>
    <row r="1384" spans="2:8">
      <c r="B1384" t="str">
        <f>IF('MASTER RECORD'!F1389="Active",'MASTER RECORD'!C1389,"")</f>
        <v/>
      </c>
      <c r="H1384" t="str">
        <f>IF('MASTER RECORD'!G1389="Sold",'MASTER RECORD'!C1389,"")</f>
        <v/>
      </c>
    </row>
    <row r="1385" spans="2:8">
      <c r="B1385" t="str">
        <f>IF('MASTER RECORD'!F1390="Active",'MASTER RECORD'!C1390,"")</f>
        <v/>
      </c>
      <c r="H1385" t="str">
        <f>IF('MASTER RECORD'!G1390="Sold",'MASTER RECORD'!C1390,"")</f>
        <v/>
      </c>
    </row>
    <row r="1386" spans="2:8">
      <c r="B1386" t="str">
        <f>IF('MASTER RECORD'!F1391="Active",'MASTER RECORD'!C1391,"")</f>
        <v/>
      </c>
      <c r="H1386" t="str">
        <f>IF('MASTER RECORD'!G1391="Sold",'MASTER RECORD'!C1391,"")</f>
        <v/>
      </c>
    </row>
    <row r="1387" spans="2:8">
      <c r="B1387" t="str">
        <f>IF('MASTER RECORD'!F1392="Active",'MASTER RECORD'!C1392,"")</f>
        <v/>
      </c>
      <c r="H1387" t="str">
        <f>IF('MASTER RECORD'!G1392="Sold",'MASTER RECORD'!C1392,"")</f>
        <v/>
      </c>
    </row>
    <row r="1388" spans="2:8">
      <c r="B1388" t="str">
        <f>IF('MASTER RECORD'!F1393="Active",'MASTER RECORD'!C1393,"")</f>
        <v/>
      </c>
      <c r="H1388" t="str">
        <f>IF('MASTER RECORD'!G1393="Sold",'MASTER RECORD'!C1393,"")</f>
        <v/>
      </c>
    </row>
    <row r="1389" spans="2:8">
      <c r="B1389" t="str">
        <f>IF('MASTER RECORD'!F1394="Active",'MASTER RECORD'!C1394,"")</f>
        <v/>
      </c>
      <c r="H1389" t="str">
        <f>IF('MASTER RECORD'!G1394="Sold",'MASTER RECORD'!C1394,"")</f>
        <v/>
      </c>
    </row>
    <row r="1390" spans="2:8">
      <c r="B1390" t="str">
        <f>IF('MASTER RECORD'!F1395="Active",'MASTER RECORD'!C1395,"")</f>
        <v/>
      </c>
      <c r="H1390" t="str">
        <f>IF('MASTER RECORD'!G1395="Sold",'MASTER RECORD'!C1395,"")</f>
        <v/>
      </c>
    </row>
    <row r="1391" spans="2:8">
      <c r="B1391" t="str">
        <f>IF('MASTER RECORD'!F1396="Active",'MASTER RECORD'!C1396,"")</f>
        <v/>
      </c>
      <c r="H1391" t="str">
        <f>IF('MASTER RECORD'!G1396="Sold",'MASTER RECORD'!C1396,"")</f>
        <v/>
      </c>
    </row>
    <row r="1392" spans="2:8">
      <c r="B1392" t="str">
        <f>IF('MASTER RECORD'!F1397="Active",'MASTER RECORD'!C1397,"")</f>
        <v/>
      </c>
      <c r="H1392" t="str">
        <f>IF('MASTER RECORD'!G1397="Sold",'MASTER RECORD'!C1397,"")</f>
        <v/>
      </c>
    </row>
    <row r="1393" spans="2:8">
      <c r="B1393" t="str">
        <f>IF('MASTER RECORD'!F1398="Active",'MASTER RECORD'!C1398,"")</f>
        <v/>
      </c>
      <c r="H1393" t="str">
        <f>IF('MASTER RECORD'!G1398="Sold",'MASTER RECORD'!C1398,"")</f>
        <v/>
      </c>
    </row>
    <row r="1394" spans="2:8">
      <c r="B1394" t="str">
        <f>IF('MASTER RECORD'!F1399="Active",'MASTER RECORD'!C1399,"")</f>
        <v/>
      </c>
      <c r="H1394" t="str">
        <f>IF('MASTER RECORD'!G1399="Sold",'MASTER RECORD'!C1399,"")</f>
        <v/>
      </c>
    </row>
    <row r="1395" spans="2:8">
      <c r="B1395" t="str">
        <f>IF('MASTER RECORD'!F1400="Active",'MASTER RECORD'!C1400,"")</f>
        <v/>
      </c>
      <c r="H1395" t="str">
        <f>IF('MASTER RECORD'!G1400="Sold",'MASTER RECORD'!C1400,"")</f>
        <v/>
      </c>
    </row>
    <row r="1396" spans="2:8">
      <c r="B1396" t="str">
        <f>IF('MASTER RECORD'!F1401="Active",'MASTER RECORD'!C1401,"")</f>
        <v/>
      </c>
      <c r="H1396" t="str">
        <f>IF('MASTER RECORD'!G1401="Sold",'MASTER RECORD'!C1401,"")</f>
        <v/>
      </c>
    </row>
    <row r="1397" spans="2:8">
      <c r="B1397" t="str">
        <f>IF('MASTER RECORD'!F1402="Active",'MASTER RECORD'!C1402,"")</f>
        <v/>
      </c>
      <c r="H1397" t="str">
        <f>IF('MASTER RECORD'!G1402="Sold",'MASTER RECORD'!C1402,"")</f>
        <v/>
      </c>
    </row>
    <row r="1398" spans="2:8">
      <c r="B1398" t="str">
        <f>IF('MASTER RECORD'!F1403="Active",'MASTER RECORD'!C1403,"")</f>
        <v/>
      </c>
      <c r="H1398" t="str">
        <f>IF('MASTER RECORD'!G1403="Sold",'MASTER RECORD'!C1403,"")</f>
        <v/>
      </c>
    </row>
    <row r="1399" spans="2:8">
      <c r="B1399" t="str">
        <f>IF('MASTER RECORD'!F1404="Active",'MASTER RECORD'!C1404,"")</f>
        <v/>
      </c>
      <c r="H1399" t="str">
        <f>IF('MASTER RECORD'!G1404="Sold",'MASTER RECORD'!C1404,"")</f>
        <v/>
      </c>
    </row>
    <row r="1400" spans="2:8">
      <c r="B1400" t="str">
        <f>IF('MASTER RECORD'!F1405="Active",'MASTER RECORD'!C1405,"")</f>
        <v/>
      </c>
      <c r="H1400" t="str">
        <f>IF('MASTER RECORD'!G1405="Sold",'MASTER RECORD'!C1405,"")</f>
        <v/>
      </c>
    </row>
    <row r="1401" spans="2:8">
      <c r="B1401" t="str">
        <f>IF('MASTER RECORD'!F1406="Active",'MASTER RECORD'!C1406,"")</f>
        <v/>
      </c>
      <c r="H1401" t="str">
        <f>IF('MASTER RECORD'!G1406="Sold",'MASTER RECORD'!C1406,"")</f>
        <v/>
      </c>
    </row>
    <row r="1402" spans="2:8">
      <c r="B1402" t="str">
        <f>IF('MASTER RECORD'!F1407="Active",'MASTER RECORD'!C1407,"")</f>
        <v/>
      </c>
      <c r="H1402" t="str">
        <f>IF('MASTER RECORD'!G1407="Sold",'MASTER RECORD'!C1407,"")</f>
        <v/>
      </c>
    </row>
    <row r="1403" spans="2:8">
      <c r="B1403" t="str">
        <f>IF('MASTER RECORD'!F1408="Active",'MASTER RECORD'!C1408,"")</f>
        <v/>
      </c>
      <c r="H1403" t="str">
        <f>IF('MASTER RECORD'!G1408="Sold",'MASTER RECORD'!C1408,"")</f>
        <v/>
      </c>
    </row>
    <row r="1404" spans="2:8">
      <c r="B1404" t="str">
        <f>IF('MASTER RECORD'!F1409="Active",'MASTER RECORD'!C1409,"")</f>
        <v/>
      </c>
      <c r="H1404" t="str">
        <f>IF('MASTER RECORD'!G1409="Sold",'MASTER RECORD'!C1409,"")</f>
        <v/>
      </c>
    </row>
    <row r="1405" spans="2:8">
      <c r="B1405" t="str">
        <f>IF('MASTER RECORD'!F1410="Active",'MASTER RECORD'!C1410,"")</f>
        <v/>
      </c>
      <c r="H1405" t="str">
        <f>IF('MASTER RECORD'!G1410="Sold",'MASTER RECORD'!C1410,"")</f>
        <v/>
      </c>
    </row>
    <row r="1406" spans="2:8">
      <c r="B1406" t="str">
        <f>IF('MASTER RECORD'!F1411="Active",'MASTER RECORD'!C1411,"")</f>
        <v/>
      </c>
      <c r="H1406" t="str">
        <f>IF('MASTER RECORD'!G1411="Sold",'MASTER RECORD'!C1411,"")</f>
        <v/>
      </c>
    </row>
    <row r="1407" spans="2:8">
      <c r="B1407" t="str">
        <f>IF('MASTER RECORD'!F1412="Active",'MASTER RECORD'!C1412,"")</f>
        <v/>
      </c>
      <c r="H1407" t="str">
        <f>IF('MASTER RECORD'!G1412="Sold",'MASTER RECORD'!C1412,"")</f>
        <v/>
      </c>
    </row>
    <row r="1408" spans="2:8">
      <c r="B1408" t="str">
        <f>IF('MASTER RECORD'!F1413="Active",'MASTER RECORD'!C1413,"")</f>
        <v/>
      </c>
      <c r="H1408" t="str">
        <f>IF('MASTER RECORD'!G1413="Sold",'MASTER RECORD'!C1413,"")</f>
        <v/>
      </c>
    </row>
    <row r="1409" spans="2:8">
      <c r="B1409" t="str">
        <f>IF('MASTER RECORD'!F1414="Active",'MASTER RECORD'!C1414,"")</f>
        <v/>
      </c>
      <c r="H1409" t="str">
        <f>IF('MASTER RECORD'!G1414="Sold",'MASTER RECORD'!C1414,"")</f>
        <v/>
      </c>
    </row>
    <row r="1410" spans="2:8">
      <c r="B1410" t="str">
        <f>IF('MASTER RECORD'!F1415="Active",'MASTER RECORD'!C1415,"")</f>
        <v/>
      </c>
      <c r="H1410" t="str">
        <f>IF('MASTER RECORD'!G1415="Sold",'MASTER RECORD'!C1415,"")</f>
        <v/>
      </c>
    </row>
    <row r="1411" spans="2:8">
      <c r="B1411" t="str">
        <f>IF('MASTER RECORD'!F1416="Active",'MASTER RECORD'!C1416,"")</f>
        <v/>
      </c>
      <c r="H1411" t="str">
        <f>IF('MASTER RECORD'!G1416="Sold",'MASTER RECORD'!C1416,"")</f>
        <v/>
      </c>
    </row>
    <row r="1412" spans="2:8">
      <c r="B1412" t="str">
        <f>IF('MASTER RECORD'!F1417="Active",'MASTER RECORD'!C1417,"")</f>
        <v/>
      </c>
      <c r="H1412" t="str">
        <f>IF('MASTER RECORD'!G1417="Sold",'MASTER RECORD'!C1417,"")</f>
        <v/>
      </c>
    </row>
    <row r="1413" spans="2:8">
      <c r="B1413" t="str">
        <f>IF('MASTER RECORD'!F1418="Active",'MASTER RECORD'!C1418,"")</f>
        <v/>
      </c>
      <c r="H1413" t="str">
        <f>IF('MASTER RECORD'!G1418="Sold",'MASTER RECORD'!C1418,"")</f>
        <v/>
      </c>
    </row>
    <row r="1414" spans="2:8">
      <c r="B1414" t="str">
        <f>IF('MASTER RECORD'!F1419="Active",'MASTER RECORD'!C1419,"")</f>
        <v/>
      </c>
      <c r="H1414" t="str">
        <f>IF('MASTER RECORD'!G1419="Sold",'MASTER RECORD'!C1419,"")</f>
        <v/>
      </c>
    </row>
    <row r="1415" spans="2:8">
      <c r="B1415" t="str">
        <f>IF('MASTER RECORD'!F1420="Active",'MASTER RECORD'!C1420,"")</f>
        <v/>
      </c>
      <c r="H1415" t="str">
        <f>IF('MASTER RECORD'!G1420="Sold",'MASTER RECORD'!C1420,"")</f>
        <v/>
      </c>
    </row>
    <row r="1416" spans="2:8">
      <c r="B1416" t="str">
        <f>IF('MASTER RECORD'!F1421="Active",'MASTER RECORD'!C1421,"")</f>
        <v/>
      </c>
      <c r="H1416" t="str">
        <f>IF('MASTER RECORD'!G1421="Sold",'MASTER RECORD'!C1421,"")</f>
        <v/>
      </c>
    </row>
    <row r="1417" spans="2:8">
      <c r="B1417" t="str">
        <f>IF('MASTER RECORD'!F1422="Active",'MASTER RECORD'!C1422,"")</f>
        <v/>
      </c>
      <c r="H1417" t="str">
        <f>IF('MASTER RECORD'!G1422="Sold",'MASTER RECORD'!C1422,"")</f>
        <v/>
      </c>
    </row>
    <row r="1418" spans="2:8">
      <c r="B1418" t="str">
        <f>IF('MASTER RECORD'!F1423="Active",'MASTER RECORD'!C1423,"")</f>
        <v/>
      </c>
      <c r="H1418" t="str">
        <f>IF('MASTER RECORD'!G1423="Sold",'MASTER RECORD'!C1423,"")</f>
        <v/>
      </c>
    </row>
    <row r="1419" spans="2:8">
      <c r="B1419" t="str">
        <f>IF('MASTER RECORD'!F1424="Active",'MASTER RECORD'!C1424,"")</f>
        <v/>
      </c>
      <c r="H1419" t="str">
        <f>IF('MASTER RECORD'!G1424="Sold",'MASTER RECORD'!C1424,"")</f>
        <v/>
      </c>
    </row>
    <row r="1420" spans="2:8">
      <c r="B1420" t="str">
        <f>IF('MASTER RECORD'!F1425="Active",'MASTER RECORD'!C1425,"")</f>
        <v/>
      </c>
      <c r="H1420" t="str">
        <f>IF('MASTER RECORD'!G1425="Sold",'MASTER RECORD'!C1425,"")</f>
        <v/>
      </c>
    </row>
    <row r="1421" spans="2:8">
      <c r="B1421" t="str">
        <f>IF('MASTER RECORD'!F1426="Active",'MASTER RECORD'!C1426,"")</f>
        <v/>
      </c>
      <c r="H1421" t="str">
        <f>IF('MASTER RECORD'!G1426="Sold",'MASTER RECORD'!C1426,"")</f>
        <v/>
      </c>
    </row>
    <row r="1422" spans="2:8">
      <c r="B1422" t="str">
        <f>IF('MASTER RECORD'!F1427="Active",'MASTER RECORD'!C1427,"")</f>
        <v/>
      </c>
      <c r="H1422" t="str">
        <f>IF('MASTER RECORD'!G1427="Sold",'MASTER RECORD'!C1427,"")</f>
        <v/>
      </c>
    </row>
    <row r="1423" spans="2:8">
      <c r="B1423" t="str">
        <f>IF('MASTER RECORD'!F1428="Active",'MASTER RECORD'!C1428,"")</f>
        <v/>
      </c>
      <c r="H1423" t="str">
        <f>IF('MASTER RECORD'!G1428="Sold",'MASTER RECORD'!C1428,"")</f>
        <v/>
      </c>
    </row>
    <row r="1424" spans="2:8">
      <c r="B1424" t="str">
        <f>IF('MASTER RECORD'!F1429="Active",'MASTER RECORD'!C1429,"")</f>
        <v/>
      </c>
      <c r="H1424" t="str">
        <f>IF('MASTER RECORD'!G1429="Sold",'MASTER RECORD'!C1429,"")</f>
        <v/>
      </c>
    </row>
    <row r="1425" spans="2:8">
      <c r="B1425" t="str">
        <f>IF('MASTER RECORD'!F1430="Active",'MASTER RECORD'!C1430,"")</f>
        <v/>
      </c>
      <c r="H1425" t="str">
        <f>IF('MASTER RECORD'!G1430="Sold",'MASTER RECORD'!C1430,"")</f>
        <v/>
      </c>
    </row>
    <row r="1426" spans="2:8">
      <c r="B1426" t="str">
        <f>IF('MASTER RECORD'!F1431="Active",'MASTER RECORD'!C1431,"")</f>
        <v/>
      </c>
      <c r="H1426" t="str">
        <f>IF('MASTER RECORD'!G1431="Sold",'MASTER RECORD'!C1431,"")</f>
        <v/>
      </c>
    </row>
    <row r="1427" spans="2:8">
      <c r="B1427" t="str">
        <f>IF('MASTER RECORD'!F1432="Active",'MASTER RECORD'!C1432,"")</f>
        <v/>
      </c>
      <c r="H1427" t="str">
        <f>IF('MASTER RECORD'!G1432="Sold",'MASTER RECORD'!C1432,"")</f>
        <v/>
      </c>
    </row>
    <row r="1428" spans="2:8">
      <c r="B1428" t="str">
        <f>IF('MASTER RECORD'!F1433="Active",'MASTER RECORD'!C1433,"")</f>
        <v/>
      </c>
      <c r="H1428" t="str">
        <f>IF('MASTER RECORD'!G1433="Sold",'MASTER RECORD'!C1433,"")</f>
        <v/>
      </c>
    </row>
    <row r="1429" spans="2:8">
      <c r="B1429" t="str">
        <f>IF('MASTER RECORD'!F1434="Active",'MASTER RECORD'!C1434,"")</f>
        <v/>
      </c>
      <c r="H1429" t="str">
        <f>IF('MASTER RECORD'!G1434="Sold",'MASTER RECORD'!C1434,"")</f>
        <v/>
      </c>
    </row>
    <row r="1430" spans="2:8">
      <c r="B1430" t="str">
        <f>IF('MASTER RECORD'!F1435="Active",'MASTER RECORD'!C1435,"")</f>
        <v/>
      </c>
      <c r="H1430" t="str">
        <f>IF('MASTER RECORD'!G1435="Sold",'MASTER RECORD'!C1435,"")</f>
        <v/>
      </c>
    </row>
    <row r="1431" spans="2:8">
      <c r="B1431" t="str">
        <f>IF('MASTER RECORD'!F1436="Active",'MASTER RECORD'!C1436,"")</f>
        <v/>
      </c>
      <c r="H1431" t="str">
        <f>IF('MASTER RECORD'!G1436="Sold",'MASTER RECORD'!C1436,"")</f>
        <v/>
      </c>
    </row>
    <row r="1432" spans="2:8">
      <c r="B1432" t="str">
        <f>IF('MASTER RECORD'!F1437="Active",'MASTER RECORD'!C1437,"")</f>
        <v/>
      </c>
      <c r="H1432" t="str">
        <f>IF('MASTER RECORD'!G1437="Sold",'MASTER RECORD'!C1437,"")</f>
        <v/>
      </c>
    </row>
    <row r="1433" spans="2:8">
      <c r="B1433" t="str">
        <f>IF('MASTER RECORD'!F1438="Active",'MASTER RECORD'!C1438,"")</f>
        <v/>
      </c>
      <c r="H1433" t="str">
        <f>IF('MASTER RECORD'!G1438="Sold",'MASTER RECORD'!C1438,"")</f>
        <v/>
      </c>
    </row>
    <row r="1434" spans="2:8">
      <c r="B1434" t="str">
        <f>IF('MASTER RECORD'!F1439="Active",'MASTER RECORD'!C1439,"")</f>
        <v/>
      </c>
      <c r="H1434" t="str">
        <f>IF('MASTER RECORD'!G1439="Sold",'MASTER RECORD'!C1439,"")</f>
        <v/>
      </c>
    </row>
    <row r="1435" spans="2:8">
      <c r="B1435" t="str">
        <f>IF('MASTER RECORD'!F1440="Active",'MASTER RECORD'!C1440,"")</f>
        <v/>
      </c>
      <c r="H1435" t="str">
        <f>IF('MASTER RECORD'!G1440="Sold",'MASTER RECORD'!C1440,"")</f>
        <v/>
      </c>
    </row>
    <row r="1436" spans="2:8">
      <c r="B1436" t="str">
        <f>IF('MASTER RECORD'!F1441="Active",'MASTER RECORD'!C1441,"")</f>
        <v/>
      </c>
      <c r="H1436" t="str">
        <f>IF('MASTER RECORD'!G1441="Sold",'MASTER RECORD'!C1441,"")</f>
        <v/>
      </c>
    </row>
    <row r="1437" spans="2:8">
      <c r="B1437" t="str">
        <f>IF('MASTER RECORD'!F1442="Active",'MASTER RECORD'!C1442,"")</f>
        <v/>
      </c>
      <c r="H1437" t="str">
        <f>IF('MASTER RECORD'!G1442="Sold",'MASTER RECORD'!C1442,"")</f>
        <v/>
      </c>
    </row>
    <row r="1438" spans="2:8">
      <c r="B1438" t="str">
        <f>IF('MASTER RECORD'!F1443="Active",'MASTER RECORD'!C1443,"")</f>
        <v/>
      </c>
      <c r="H1438" t="str">
        <f>IF('MASTER RECORD'!G1443="Sold",'MASTER RECORD'!C1443,"")</f>
        <v/>
      </c>
    </row>
    <row r="1439" spans="2:8">
      <c r="B1439" t="str">
        <f>IF('MASTER RECORD'!F1444="Active",'MASTER RECORD'!C1444,"")</f>
        <v/>
      </c>
      <c r="H1439" t="str">
        <f>IF('MASTER RECORD'!G1444="Sold",'MASTER RECORD'!C1444,"")</f>
        <v/>
      </c>
    </row>
    <row r="1440" spans="2:8">
      <c r="B1440" t="str">
        <f>IF('MASTER RECORD'!F1445="Active",'MASTER RECORD'!C1445,"")</f>
        <v/>
      </c>
      <c r="H1440" t="str">
        <f>IF('MASTER RECORD'!G1445="Sold",'MASTER RECORD'!C1445,"")</f>
        <v/>
      </c>
    </row>
    <row r="1441" spans="2:8">
      <c r="B1441" t="str">
        <f>IF('MASTER RECORD'!F1446="Active",'MASTER RECORD'!C1446,"")</f>
        <v/>
      </c>
      <c r="H1441" t="str">
        <f>IF('MASTER RECORD'!G1446="Sold",'MASTER RECORD'!C1446,"")</f>
        <v/>
      </c>
    </row>
    <row r="1442" spans="2:8">
      <c r="B1442" t="str">
        <f>IF('MASTER RECORD'!F1447="Active",'MASTER RECORD'!C1447,"")</f>
        <v/>
      </c>
      <c r="H1442" t="str">
        <f>IF('MASTER RECORD'!G1447="Sold",'MASTER RECORD'!C1447,"")</f>
        <v/>
      </c>
    </row>
    <row r="1443" spans="2:8">
      <c r="B1443" t="str">
        <f>IF('MASTER RECORD'!F1448="Active",'MASTER RECORD'!C1448,"")</f>
        <v/>
      </c>
      <c r="H1443" t="str">
        <f>IF('MASTER RECORD'!G1448="Sold",'MASTER RECORD'!C1448,"")</f>
        <v/>
      </c>
    </row>
    <row r="1444" spans="2:8">
      <c r="B1444" t="str">
        <f>IF('MASTER RECORD'!F1449="Active",'MASTER RECORD'!C1449,"")</f>
        <v/>
      </c>
      <c r="H1444" t="str">
        <f>IF('MASTER RECORD'!G1449="Sold",'MASTER RECORD'!C1449,"")</f>
        <v/>
      </c>
    </row>
    <row r="1445" spans="2:8">
      <c r="B1445" t="str">
        <f>IF('MASTER RECORD'!F1450="Active",'MASTER RECORD'!C1450,"")</f>
        <v/>
      </c>
      <c r="H1445" t="str">
        <f>IF('MASTER RECORD'!G1450="Sold",'MASTER RECORD'!C1450,"")</f>
        <v/>
      </c>
    </row>
    <row r="1446" spans="2:8">
      <c r="B1446" t="str">
        <f>IF('MASTER RECORD'!F1451="Active",'MASTER RECORD'!C1451,"")</f>
        <v/>
      </c>
      <c r="H1446" t="str">
        <f>IF('MASTER RECORD'!G1451="Sold",'MASTER RECORD'!C1451,"")</f>
        <v/>
      </c>
    </row>
    <row r="1447" spans="2:8">
      <c r="B1447" t="str">
        <f>IF('MASTER RECORD'!F1452="Active",'MASTER RECORD'!C1452,"")</f>
        <v/>
      </c>
      <c r="H1447" t="str">
        <f>IF('MASTER RECORD'!G1452="Sold",'MASTER RECORD'!C1452,"")</f>
        <v/>
      </c>
    </row>
    <row r="1448" spans="2:8">
      <c r="B1448" t="str">
        <f>IF('MASTER RECORD'!F1453="Active",'MASTER RECORD'!C1453,"")</f>
        <v/>
      </c>
      <c r="H1448" t="str">
        <f>IF('MASTER RECORD'!G1453="Sold",'MASTER RECORD'!C1453,"")</f>
        <v/>
      </c>
    </row>
    <row r="1449" spans="2:8">
      <c r="B1449" t="str">
        <f>IF('MASTER RECORD'!F1454="Active",'MASTER RECORD'!C1454,"")</f>
        <v/>
      </c>
      <c r="H1449" t="str">
        <f>IF('MASTER RECORD'!G1454="Sold",'MASTER RECORD'!C1454,"")</f>
        <v/>
      </c>
    </row>
    <row r="1450" spans="2:8">
      <c r="B1450" t="str">
        <f>IF('MASTER RECORD'!F1455="Active",'MASTER RECORD'!C1455,"")</f>
        <v/>
      </c>
      <c r="H1450" t="str">
        <f>IF('MASTER RECORD'!G1455="Sold",'MASTER RECORD'!C1455,"")</f>
        <v/>
      </c>
    </row>
    <row r="1451" spans="2:8">
      <c r="B1451" t="str">
        <f>IF('MASTER RECORD'!F1456="Active",'MASTER RECORD'!C1456,"")</f>
        <v/>
      </c>
      <c r="H1451" t="str">
        <f>IF('MASTER RECORD'!G1456="Sold",'MASTER RECORD'!C1456,"")</f>
        <v/>
      </c>
    </row>
    <row r="1452" spans="2:8">
      <c r="B1452" t="str">
        <f>IF('MASTER RECORD'!F1457="Active",'MASTER RECORD'!C1457,"")</f>
        <v/>
      </c>
      <c r="H1452" t="str">
        <f>IF('MASTER RECORD'!G1457="Sold",'MASTER RECORD'!C1457,"")</f>
        <v/>
      </c>
    </row>
    <row r="1453" spans="2:8">
      <c r="B1453" t="str">
        <f>IF('MASTER RECORD'!F1458="Active",'MASTER RECORD'!C1458,"")</f>
        <v/>
      </c>
      <c r="H1453" t="str">
        <f>IF('MASTER RECORD'!G1458="Sold",'MASTER RECORD'!C1458,"")</f>
        <v/>
      </c>
    </row>
    <row r="1454" spans="2:8">
      <c r="B1454" t="str">
        <f>IF('MASTER RECORD'!F1459="Active",'MASTER RECORD'!C1459,"")</f>
        <v/>
      </c>
      <c r="H1454" t="str">
        <f>IF('MASTER RECORD'!G1459="Sold",'MASTER RECORD'!C1459,"")</f>
        <v/>
      </c>
    </row>
    <row r="1455" spans="2:8">
      <c r="B1455" t="str">
        <f>IF('MASTER RECORD'!F1460="Active",'MASTER RECORD'!C1460,"")</f>
        <v/>
      </c>
      <c r="H1455" t="str">
        <f>IF('MASTER RECORD'!G1460="Sold",'MASTER RECORD'!C1460,"")</f>
        <v/>
      </c>
    </row>
    <row r="1456" spans="2:8">
      <c r="B1456" t="str">
        <f>IF('MASTER RECORD'!F1461="Active",'MASTER RECORD'!C1461,"")</f>
        <v/>
      </c>
      <c r="H1456" t="str">
        <f>IF('MASTER RECORD'!G1461="Sold",'MASTER RECORD'!C1461,"")</f>
        <v/>
      </c>
    </row>
    <row r="1457" spans="2:8">
      <c r="B1457" t="str">
        <f>IF('MASTER RECORD'!F1462="Active",'MASTER RECORD'!C1462,"")</f>
        <v/>
      </c>
      <c r="H1457" t="str">
        <f>IF('MASTER RECORD'!G1462="Sold",'MASTER RECORD'!C1462,"")</f>
        <v/>
      </c>
    </row>
    <row r="1458" spans="2:8">
      <c r="B1458" t="str">
        <f>IF('MASTER RECORD'!F1463="Active",'MASTER RECORD'!C1463,"")</f>
        <v/>
      </c>
      <c r="H1458" t="str">
        <f>IF('MASTER RECORD'!G1463="Sold",'MASTER RECORD'!C1463,"")</f>
        <v/>
      </c>
    </row>
    <row r="1459" spans="2:8">
      <c r="B1459" t="str">
        <f>IF('MASTER RECORD'!F1464="Active",'MASTER RECORD'!C1464,"")</f>
        <v/>
      </c>
      <c r="H1459" t="str">
        <f>IF('MASTER RECORD'!G1464="Sold",'MASTER RECORD'!C1464,"")</f>
        <v/>
      </c>
    </row>
    <row r="1460" spans="2:8">
      <c r="B1460" t="str">
        <f>IF('MASTER RECORD'!F1465="Active",'MASTER RECORD'!C1465,"")</f>
        <v/>
      </c>
      <c r="H1460" t="str">
        <f>IF('MASTER RECORD'!G1465="Sold",'MASTER RECORD'!C1465,"")</f>
        <v/>
      </c>
    </row>
    <row r="1461" spans="2:8">
      <c r="B1461" t="str">
        <f>IF('MASTER RECORD'!F1466="Active",'MASTER RECORD'!C1466,"")</f>
        <v/>
      </c>
      <c r="H1461" t="str">
        <f>IF('MASTER RECORD'!G1466="Sold",'MASTER RECORD'!C1466,"")</f>
        <v/>
      </c>
    </row>
    <row r="1462" spans="2:8">
      <c r="B1462" t="str">
        <f>IF('MASTER RECORD'!F1467="Active",'MASTER RECORD'!C1467,"")</f>
        <v/>
      </c>
      <c r="H1462" t="str">
        <f>IF('MASTER RECORD'!G1467="Sold",'MASTER RECORD'!C1467,"")</f>
        <v/>
      </c>
    </row>
    <row r="1463" spans="2:8">
      <c r="B1463" t="str">
        <f>IF('MASTER RECORD'!F1468="Active",'MASTER RECORD'!C1468,"")</f>
        <v/>
      </c>
      <c r="H1463" t="str">
        <f>IF('MASTER RECORD'!G1468="Sold",'MASTER RECORD'!C1468,"")</f>
        <v/>
      </c>
    </row>
    <row r="1464" spans="2:8">
      <c r="B1464" t="str">
        <f>IF('MASTER RECORD'!F1469="Active",'MASTER RECORD'!C1469,"")</f>
        <v/>
      </c>
      <c r="H1464" t="str">
        <f>IF('MASTER RECORD'!G1469="Sold",'MASTER RECORD'!C1469,"")</f>
        <v/>
      </c>
    </row>
    <row r="1465" spans="2:8">
      <c r="B1465" t="str">
        <f>IF('MASTER RECORD'!F1470="Active",'MASTER RECORD'!C1470,"")</f>
        <v/>
      </c>
      <c r="H1465" t="str">
        <f>IF('MASTER RECORD'!G1470="Sold",'MASTER RECORD'!C1470,"")</f>
        <v/>
      </c>
    </row>
    <row r="1466" spans="2:8">
      <c r="B1466" t="str">
        <f>IF('MASTER RECORD'!F1471="Active",'MASTER RECORD'!C1471,"")</f>
        <v/>
      </c>
      <c r="H1466" t="str">
        <f>IF('MASTER RECORD'!G1471="Sold",'MASTER RECORD'!C1471,"")</f>
        <v/>
      </c>
    </row>
    <row r="1467" spans="2:8">
      <c r="B1467" t="str">
        <f>IF('MASTER RECORD'!F1472="Active",'MASTER RECORD'!C1472,"")</f>
        <v/>
      </c>
      <c r="H1467" t="str">
        <f>IF('MASTER RECORD'!G1472="Sold",'MASTER RECORD'!C1472,"")</f>
        <v/>
      </c>
    </row>
    <row r="1468" spans="2:8">
      <c r="B1468" t="str">
        <f>IF('MASTER RECORD'!F1473="Active",'MASTER RECORD'!C1473,"")</f>
        <v/>
      </c>
      <c r="H1468" t="str">
        <f>IF('MASTER RECORD'!G1473="Sold",'MASTER RECORD'!C1473,"")</f>
        <v/>
      </c>
    </row>
    <row r="1469" spans="2:8">
      <c r="B1469" t="str">
        <f>IF('MASTER RECORD'!F1474="Active",'MASTER RECORD'!C1474,"")</f>
        <v/>
      </c>
      <c r="H1469" t="str">
        <f>IF('MASTER RECORD'!G1474="Sold",'MASTER RECORD'!C1474,"")</f>
        <v/>
      </c>
    </row>
    <row r="1470" spans="2:8">
      <c r="B1470" t="str">
        <f>IF('MASTER RECORD'!F1475="Active",'MASTER RECORD'!C1475,"")</f>
        <v/>
      </c>
      <c r="H1470" t="str">
        <f>IF('MASTER RECORD'!G1475="Sold",'MASTER RECORD'!C1475,"")</f>
        <v/>
      </c>
    </row>
    <row r="1471" spans="2:8">
      <c r="B1471" t="str">
        <f>IF('MASTER RECORD'!F1476="Active",'MASTER RECORD'!C1476,"")</f>
        <v/>
      </c>
      <c r="H1471" t="str">
        <f>IF('MASTER RECORD'!G1476="Sold",'MASTER RECORD'!C1476,"")</f>
        <v/>
      </c>
    </row>
    <row r="1472" spans="2:8">
      <c r="B1472" t="str">
        <f>IF('MASTER RECORD'!F1477="Active",'MASTER RECORD'!C1477,"")</f>
        <v/>
      </c>
      <c r="H1472" t="str">
        <f>IF('MASTER RECORD'!G1477="Sold",'MASTER RECORD'!C1477,"")</f>
        <v/>
      </c>
    </row>
    <row r="1473" spans="2:8">
      <c r="B1473" t="str">
        <f>IF('MASTER RECORD'!F1478="Active",'MASTER RECORD'!C1478,"")</f>
        <v/>
      </c>
      <c r="H1473" t="str">
        <f>IF('MASTER RECORD'!G1478="Sold",'MASTER RECORD'!C1478,"")</f>
        <v/>
      </c>
    </row>
    <row r="1474" spans="2:8">
      <c r="B1474" t="str">
        <f>IF('MASTER RECORD'!F1479="Active",'MASTER RECORD'!C1479,"")</f>
        <v/>
      </c>
      <c r="H1474" t="str">
        <f>IF('MASTER RECORD'!G1479="Sold",'MASTER RECORD'!C1479,"")</f>
        <v/>
      </c>
    </row>
    <row r="1475" spans="2:8">
      <c r="B1475" t="str">
        <f>IF('MASTER RECORD'!F1480="Active",'MASTER RECORD'!C1480,"")</f>
        <v/>
      </c>
      <c r="H1475" t="str">
        <f>IF('MASTER RECORD'!G1480="Sold",'MASTER RECORD'!C1480,"")</f>
        <v/>
      </c>
    </row>
    <row r="1476" spans="2:8">
      <c r="B1476" t="str">
        <f>IF('MASTER RECORD'!F1481="Active",'MASTER RECORD'!C1481,"")</f>
        <v/>
      </c>
      <c r="H1476" t="str">
        <f>IF('MASTER RECORD'!G1481="Sold",'MASTER RECORD'!C1481,"")</f>
        <v/>
      </c>
    </row>
    <row r="1477" spans="2:8">
      <c r="B1477" t="str">
        <f>IF('MASTER RECORD'!F1482="Active",'MASTER RECORD'!C1482,"")</f>
        <v/>
      </c>
      <c r="H1477" t="str">
        <f>IF('MASTER RECORD'!G1482="Sold",'MASTER RECORD'!C1482,"")</f>
        <v/>
      </c>
    </row>
    <row r="1478" spans="2:8">
      <c r="B1478" t="str">
        <f>IF('MASTER RECORD'!F1483="Active",'MASTER RECORD'!C1483,"")</f>
        <v/>
      </c>
      <c r="H1478" t="str">
        <f>IF('MASTER RECORD'!G1483="Sold",'MASTER RECORD'!C1483,"")</f>
        <v/>
      </c>
    </row>
    <row r="1479" spans="2:8">
      <c r="B1479" t="str">
        <f>IF('MASTER RECORD'!F1484="Active",'MASTER RECORD'!C1484,"")</f>
        <v/>
      </c>
      <c r="H1479" t="str">
        <f>IF('MASTER RECORD'!G1484="Sold",'MASTER RECORD'!C1484,"")</f>
        <v/>
      </c>
    </row>
    <row r="1480" spans="2:8">
      <c r="B1480" t="str">
        <f>IF('MASTER RECORD'!F1485="Active",'MASTER RECORD'!C1485,"")</f>
        <v/>
      </c>
      <c r="H1480" t="str">
        <f>IF('MASTER RECORD'!G1485="Sold",'MASTER RECORD'!C1485,"")</f>
        <v/>
      </c>
    </row>
    <row r="1481" spans="2:8">
      <c r="B1481" t="str">
        <f>IF('MASTER RECORD'!F1486="Active",'MASTER RECORD'!C1486,"")</f>
        <v/>
      </c>
      <c r="H1481" t="str">
        <f>IF('MASTER RECORD'!G1486="Sold",'MASTER RECORD'!C1486,"")</f>
        <v/>
      </c>
    </row>
    <row r="1482" spans="2:8">
      <c r="B1482" t="str">
        <f>IF('MASTER RECORD'!F1487="Active",'MASTER RECORD'!C1487,"")</f>
        <v/>
      </c>
      <c r="H1482" t="str">
        <f>IF('MASTER RECORD'!G1487="Sold",'MASTER RECORD'!C1487,"")</f>
        <v/>
      </c>
    </row>
    <row r="1483" spans="2:8">
      <c r="B1483" t="str">
        <f>IF('MASTER RECORD'!F1488="Active",'MASTER RECORD'!C1488,"")</f>
        <v/>
      </c>
      <c r="H1483" t="str">
        <f>IF('MASTER RECORD'!G1488="Sold",'MASTER RECORD'!C1488,"")</f>
        <v/>
      </c>
    </row>
    <row r="1484" spans="2:8">
      <c r="B1484" t="str">
        <f>IF('MASTER RECORD'!F1489="Active",'MASTER RECORD'!C1489,"")</f>
        <v/>
      </c>
      <c r="H1484" t="str">
        <f>IF('MASTER RECORD'!G1489="Sold",'MASTER RECORD'!C1489,"")</f>
        <v/>
      </c>
    </row>
    <row r="1485" spans="2:8">
      <c r="B1485" t="str">
        <f>IF('MASTER RECORD'!F1490="Active",'MASTER RECORD'!C1490,"")</f>
        <v/>
      </c>
      <c r="H1485" t="str">
        <f>IF('MASTER RECORD'!G1490="Sold",'MASTER RECORD'!C1490,"")</f>
        <v/>
      </c>
    </row>
    <row r="1486" spans="2:8">
      <c r="B1486" t="str">
        <f>IF('MASTER RECORD'!F1491="Active",'MASTER RECORD'!C1491,"")</f>
        <v/>
      </c>
      <c r="H1486" t="str">
        <f>IF('MASTER RECORD'!G1491="Sold",'MASTER RECORD'!C1491,"")</f>
        <v/>
      </c>
    </row>
    <row r="1487" spans="2:8">
      <c r="B1487" t="str">
        <f>IF('MASTER RECORD'!F1492="Active",'MASTER RECORD'!C1492,"")</f>
        <v/>
      </c>
      <c r="H1487" t="str">
        <f>IF('MASTER RECORD'!G1492="Sold",'MASTER RECORD'!C1492,"")</f>
        <v/>
      </c>
    </row>
    <row r="1488" spans="2:8">
      <c r="B1488" t="str">
        <f>IF('MASTER RECORD'!F1493="Active",'MASTER RECORD'!C1493,"")</f>
        <v/>
      </c>
      <c r="H1488" t="str">
        <f>IF('MASTER RECORD'!G1493="Sold",'MASTER RECORD'!C1493,"")</f>
        <v/>
      </c>
    </row>
    <row r="1489" spans="2:8">
      <c r="B1489" t="str">
        <f>IF('MASTER RECORD'!F1494="Active",'MASTER RECORD'!C1494,"")</f>
        <v/>
      </c>
      <c r="H1489" t="str">
        <f>IF('MASTER RECORD'!G1494="Sold",'MASTER RECORD'!C1494,"")</f>
        <v/>
      </c>
    </row>
    <row r="1490" spans="2:8">
      <c r="B1490" t="str">
        <f>IF('MASTER RECORD'!F1495="Active",'MASTER RECORD'!C1495,"")</f>
        <v/>
      </c>
      <c r="H1490" t="str">
        <f>IF('MASTER RECORD'!G1495="Sold",'MASTER RECORD'!C1495,"")</f>
        <v/>
      </c>
    </row>
    <row r="1491" spans="2:8">
      <c r="B1491" t="str">
        <f>IF('MASTER RECORD'!F1496="Active",'MASTER RECORD'!C1496,"")</f>
        <v/>
      </c>
      <c r="H1491" t="str">
        <f>IF('MASTER RECORD'!G1496="Sold",'MASTER RECORD'!C1496,"")</f>
        <v/>
      </c>
    </row>
    <row r="1492" spans="2:8">
      <c r="B1492" t="str">
        <f>IF('MASTER RECORD'!F1497="Active",'MASTER RECORD'!C1497,"")</f>
        <v/>
      </c>
      <c r="H1492" t="str">
        <f>IF('MASTER RECORD'!G1497="Sold",'MASTER RECORD'!C1497,"")</f>
        <v/>
      </c>
    </row>
    <row r="1493" spans="2:8">
      <c r="B1493" t="str">
        <f>IF('MASTER RECORD'!F1498="Active",'MASTER RECORD'!C1498,"")</f>
        <v/>
      </c>
      <c r="H1493" t="str">
        <f>IF('MASTER RECORD'!G1498="Sold",'MASTER RECORD'!C1498,"")</f>
        <v/>
      </c>
    </row>
    <row r="1494" spans="2:8">
      <c r="B1494" t="str">
        <f>IF('MASTER RECORD'!F1499="Active",'MASTER RECORD'!C1499,"")</f>
        <v/>
      </c>
      <c r="H1494" t="str">
        <f>IF('MASTER RECORD'!G1499="Sold",'MASTER RECORD'!C1499,"")</f>
        <v/>
      </c>
    </row>
    <row r="1495" spans="2:8">
      <c r="B1495" t="str">
        <f>IF('MASTER RECORD'!F1500="Active",'MASTER RECORD'!C1500,"")</f>
        <v/>
      </c>
      <c r="H1495" t="str">
        <f>IF('MASTER RECORD'!G1500="Sold",'MASTER RECORD'!C1500,"")</f>
        <v/>
      </c>
    </row>
    <row r="1496" spans="2:8">
      <c r="B1496" t="str">
        <f>IF('MASTER RECORD'!F1501="Active",'MASTER RECORD'!C1501,"")</f>
        <v/>
      </c>
      <c r="H1496" t="str">
        <f>IF('MASTER RECORD'!G1501="Sold",'MASTER RECORD'!C1501,"")</f>
        <v/>
      </c>
    </row>
    <row r="1497" spans="2:8">
      <c r="B1497" t="str">
        <f>IF('MASTER RECORD'!F1502="Active",'MASTER RECORD'!C1502,"")</f>
        <v/>
      </c>
      <c r="H1497" t="str">
        <f>IF('MASTER RECORD'!G1502="Sold",'MASTER RECORD'!C1502,"")</f>
        <v/>
      </c>
    </row>
    <row r="1498" spans="2:8">
      <c r="B1498" t="str">
        <f>IF('MASTER RECORD'!F1503="Active",'MASTER RECORD'!C1503,"")</f>
        <v/>
      </c>
      <c r="H1498" t="str">
        <f>IF('MASTER RECORD'!G1503="Sold",'MASTER RECORD'!C1503,"")</f>
        <v/>
      </c>
    </row>
    <row r="1499" spans="2:8">
      <c r="B1499" t="str">
        <f>IF('MASTER RECORD'!F1504="Active",'MASTER RECORD'!C1504,"")</f>
        <v/>
      </c>
      <c r="H1499" t="str">
        <f>IF('MASTER RECORD'!G1504="Sold",'MASTER RECORD'!C1504,"")</f>
        <v/>
      </c>
    </row>
    <row r="1500" spans="2:8">
      <c r="B1500" t="str">
        <f>IF('MASTER RECORD'!F1505="Active",'MASTER RECORD'!C1505,"")</f>
        <v/>
      </c>
      <c r="H1500" t="str">
        <f>IF('MASTER RECORD'!G1505="Sold",'MASTER RECORD'!C1505,"")</f>
        <v/>
      </c>
    </row>
    <row r="1501" spans="2:8">
      <c r="B1501" t="str">
        <f>IF('MASTER RECORD'!F1506="Active",'MASTER RECORD'!C1506,"")</f>
        <v/>
      </c>
      <c r="H1501" t="str">
        <f>IF('MASTER RECORD'!G1506="Sold",'MASTER RECORD'!C1506,"")</f>
        <v/>
      </c>
    </row>
    <row r="1502" spans="2:8">
      <c r="B1502" t="str">
        <f>IF('MASTER RECORD'!F1507="Active",'MASTER RECORD'!C1507,"")</f>
        <v/>
      </c>
      <c r="H1502" t="str">
        <f>IF('MASTER RECORD'!G1507="Sold",'MASTER RECORD'!C1507,"")</f>
        <v/>
      </c>
    </row>
    <row r="1503" spans="2:8">
      <c r="B1503" t="str">
        <f>IF('MASTER RECORD'!F1508="Active",'MASTER RECORD'!C1508,"")</f>
        <v/>
      </c>
      <c r="H1503" t="str">
        <f>IF('MASTER RECORD'!G1508="Sold",'MASTER RECORD'!C1508,"")</f>
        <v/>
      </c>
    </row>
    <row r="1504" spans="2:8">
      <c r="B1504" t="str">
        <f>IF('MASTER RECORD'!F1509="Active",'MASTER RECORD'!C1509,"")</f>
        <v/>
      </c>
      <c r="H1504" t="str">
        <f>IF('MASTER RECORD'!G1509="Sold",'MASTER RECORD'!C1509,"")</f>
        <v/>
      </c>
    </row>
    <row r="1505" spans="2:8">
      <c r="B1505" t="str">
        <f>IF('MASTER RECORD'!F1510="Active",'MASTER RECORD'!C1510,"")</f>
        <v/>
      </c>
      <c r="H1505" t="str">
        <f>IF('MASTER RECORD'!G1510="Sold",'MASTER RECORD'!C1510,"")</f>
        <v/>
      </c>
    </row>
    <row r="1506" spans="2:8">
      <c r="B1506" t="str">
        <f>IF('MASTER RECORD'!F1511="Active",'MASTER RECORD'!C1511,"")</f>
        <v/>
      </c>
      <c r="H1506" t="str">
        <f>IF('MASTER RECORD'!G1511="Sold",'MASTER RECORD'!C1511,"")</f>
        <v/>
      </c>
    </row>
    <row r="1507" spans="2:8">
      <c r="B1507" t="str">
        <f>IF('MASTER RECORD'!F1512="Active",'MASTER RECORD'!C1512,"")</f>
        <v/>
      </c>
      <c r="H1507" t="str">
        <f>IF('MASTER RECORD'!G1512="Sold",'MASTER RECORD'!C1512,"")</f>
        <v/>
      </c>
    </row>
    <row r="1508" spans="2:8">
      <c r="B1508" t="str">
        <f>IF('MASTER RECORD'!F1513="Active",'MASTER RECORD'!C1513,"")</f>
        <v/>
      </c>
      <c r="H1508" t="str">
        <f>IF('MASTER RECORD'!G1513="Sold",'MASTER RECORD'!C1513,"")</f>
        <v/>
      </c>
    </row>
    <row r="1509" spans="2:8">
      <c r="B1509" t="str">
        <f>IF('MASTER RECORD'!F1514="Active",'MASTER RECORD'!C1514,"")</f>
        <v/>
      </c>
      <c r="H1509" t="str">
        <f>IF('MASTER RECORD'!G1514="Sold",'MASTER RECORD'!C1514,"")</f>
        <v/>
      </c>
    </row>
    <row r="1510" spans="2:8">
      <c r="B1510" t="str">
        <f>IF('MASTER RECORD'!F1515="Active",'MASTER RECORD'!C1515,"")</f>
        <v/>
      </c>
      <c r="H1510" t="str">
        <f>IF('MASTER RECORD'!G1515="Sold",'MASTER RECORD'!C1515,"")</f>
        <v/>
      </c>
    </row>
    <row r="1511" spans="2:8">
      <c r="B1511" t="str">
        <f>IF('MASTER RECORD'!F1516="Active",'MASTER RECORD'!C1516,"")</f>
        <v/>
      </c>
      <c r="H1511" t="str">
        <f>IF('MASTER RECORD'!G1516="Sold",'MASTER RECORD'!C1516,"")</f>
        <v/>
      </c>
    </row>
    <row r="1512" spans="2:8">
      <c r="B1512" t="str">
        <f>IF('MASTER RECORD'!F1517="Active",'MASTER RECORD'!C1517,"")</f>
        <v/>
      </c>
      <c r="H1512" t="str">
        <f>IF('MASTER RECORD'!G1517="Sold",'MASTER RECORD'!C1517,"")</f>
        <v/>
      </c>
    </row>
    <row r="1513" spans="2:8">
      <c r="B1513" t="str">
        <f>IF('MASTER RECORD'!F1518="Active",'MASTER RECORD'!C1518,"")</f>
        <v/>
      </c>
      <c r="H1513" t="str">
        <f>IF('MASTER RECORD'!G1518="Sold",'MASTER RECORD'!C1518,"")</f>
        <v/>
      </c>
    </row>
    <row r="1514" spans="2:8">
      <c r="B1514" t="str">
        <f>IF('MASTER RECORD'!F1519="Active",'MASTER RECORD'!C1519,"")</f>
        <v/>
      </c>
      <c r="H1514" t="str">
        <f>IF('MASTER RECORD'!G1519="Sold",'MASTER RECORD'!C1519,"")</f>
        <v/>
      </c>
    </row>
    <row r="1515" spans="2:8">
      <c r="B1515" t="str">
        <f>IF('MASTER RECORD'!F1520="Active",'MASTER RECORD'!C1520,"")</f>
        <v/>
      </c>
      <c r="H1515" t="str">
        <f>IF('MASTER RECORD'!G1520="Sold",'MASTER RECORD'!C1520,"")</f>
        <v/>
      </c>
    </row>
    <row r="1516" spans="2:8">
      <c r="B1516" t="str">
        <f>IF('MASTER RECORD'!F1521="Active",'MASTER RECORD'!C1521,"")</f>
        <v/>
      </c>
      <c r="H1516" t="str">
        <f>IF('MASTER RECORD'!G1521="Sold",'MASTER RECORD'!C1521,"")</f>
        <v/>
      </c>
    </row>
    <row r="1517" spans="2:8">
      <c r="B1517" t="str">
        <f>IF('MASTER RECORD'!F1522="Active",'MASTER RECORD'!C1522,"")</f>
        <v/>
      </c>
      <c r="H1517" t="str">
        <f>IF('MASTER RECORD'!G1522="Sold",'MASTER RECORD'!C1522,"")</f>
        <v/>
      </c>
    </row>
    <row r="1518" spans="2:8">
      <c r="B1518" t="str">
        <f>IF('MASTER RECORD'!F1523="Active",'MASTER RECORD'!C1523,"")</f>
        <v/>
      </c>
      <c r="H1518" t="str">
        <f>IF('MASTER RECORD'!G1523="Sold",'MASTER RECORD'!C1523,"")</f>
        <v/>
      </c>
    </row>
    <row r="1519" spans="2:8">
      <c r="B1519" t="str">
        <f>IF('MASTER RECORD'!F1524="Active",'MASTER RECORD'!C1524,"")</f>
        <v/>
      </c>
      <c r="H1519" t="str">
        <f>IF('MASTER RECORD'!G1524="Sold",'MASTER RECORD'!C1524,"")</f>
        <v/>
      </c>
    </row>
    <row r="1520" spans="2:8">
      <c r="B1520" t="str">
        <f>IF('MASTER RECORD'!F1525="Active",'MASTER RECORD'!C1525,"")</f>
        <v/>
      </c>
      <c r="H1520" t="str">
        <f>IF('MASTER RECORD'!G1525="Sold",'MASTER RECORD'!C1525,"")</f>
        <v/>
      </c>
    </row>
    <row r="1521" spans="2:8">
      <c r="B1521" t="str">
        <f>IF('MASTER RECORD'!F1526="Active",'MASTER RECORD'!C1526,"")</f>
        <v/>
      </c>
      <c r="H1521" t="str">
        <f>IF('MASTER RECORD'!G1526="Sold",'MASTER RECORD'!C1526,"")</f>
        <v/>
      </c>
    </row>
    <row r="1522" spans="2:8">
      <c r="B1522" t="str">
        <f>IF('MASTER RECORD'!F1527="Active",'MASTER RECORD'!C1527,"")</f>
        <v/>
      </c>
      <c r="H1522" t="str">
        <f>IF('MASTER RECORD'!G1527="Sold",'MASTER RECORD'!C1527,"")</f>
        <v/>
      </c>
    </row>
    <row r="1523" spans="2:8">
      <c r="B1523" t="str">
        <f>IF('MASTER RECORD'!F1528="Active",'MASTER RECORD'!C1528,"")</f>
        <v/>
      </c>
      <c r="H1523" t="str">
        <f>IF('MASTER RECORD'!G1528="Sold",'MASTER RECORD'!C1528,"")</f>
        <v/>
      </c>
    </row>
    <row r="1524" spans="2:8">
      <c r="B1524" t="str">
        <f>IF('MASTER RECORD'!F1529="Active",'MASTER RECORD'!C1529,"")</f>
        <v/>
      </c>
      <c r="H1524" t="str">
        <f>IF('MASTER RECORD'!G1529="Sold",'MASTER RECORD'!C1529,"")</f>
        <v/>
      </c>
    </row>
    <row r="1525" spans="2:8">
      <c r="B1525" t="str">
        <f>IF('MASTER RECORD'!F1530="Active",'MASTER RECORD'!C1530,"")</f>
        <v/>
      </c>
      <c r="H1525" t="str">
        <f>IF('MASTER RECORD'!G1530="Sold",'MASTER RECORD'!C1530,"")</f>
        <v/>
      </c>
    </row>
    <row r="1526" spans="2:8">
      <c r="B1526" t="str">
        <f>IF('MASTER RECORD'!F1531="Active",'MASTER RECORD'!C1531,"")</f>
        <v/>
      </c>
      <c r="H1526" t="str">
        <f>IF('MASTER RECORD'!G1531="Sold",'MASTER RECORD'!C1531,"")</f>
        <v/>
      </c>
    </row>
    <row r="1527" spans="2:8">
      <c r="B1527" t="str">
        <f>IF('MASTER RECORD'!F1532="Active",'MASTER RECORD'!C1532,"")</f>
        <v/>
      </c>
      <c r="H1527" t="str">
        <f>IF('MASTER RECORD'!G1532="Sold",'MASTER RECORD'!C1532,"")</f>
        <v/>
      </c>
    </row>
    <row r="1528" spans="2:8">
      <c r="B1528" t="str">
        <f>IF('MASTER RECORD'!F1533="Active",'MASTER RECORD'!C1533,"")</f>
        <v/>
      </c>
      <c r="H1528" t="str">
        <f>IF('MASTER RECORD'!G1533="Sold",'MASTER RECORD'!C1533,"")</f>
        <v/>
      </c>
    </row>
    <row r="1529" spans="2:8">
      <c r="B1529" t="str">
        <f>IF('MASTER RECORD'!F1534="Active",'MASTER RECORD'!C1534,"")</f>
        <v/>
      </c>
      <c r="H1529" t="str">
        <f>IF('MASTER RECORD'!G1534="Sold",'MASTER RECORD'!C1534,"")</f>
        <v/>
      </c>
    </row>
    <row r="1530" spans="2:8">
      <c r="B1530" t="str">
        <f>IF('MASTER RECORD'!F1535="Active",'MASTER RECORD'!C1535,"")</f>
        <v/>
      </c>
      <c r="H1530" t="str">
        <f>IF('MASTER RECORD'!G1535="Sold",'MASTER RECORD'!C1535,"")</f>
        <v/>
      </c>
    </row>
    <row r="1531" spans="2:8">
      <c r="B1531" t="str">
        <f>IF('MASTER RECORD'!F1536="Active",'MASTER RECORD'!C1536,"")</f>
        <v/>
      </c>
      <c r="H1531" t="str">
        <f>IF('MASTER RECORD'!G1536="Sold",'MASTER RECORD'!C1536,"")</f>
        <v/>
      </c>
    </row>
    <row r="1532" spans="2:8">
      <c r="B1532" t="str">
        <f>IF('MASTER RECORD'!F1537="Active",'MASTER RECORD'!C1537,"")</f>
        <v/>
      </c>
      <c r="H1532" t="str">
        <f>IF('MASTER RECORD'!G1537="Sold",'MASTER RECORD'!C1537,"")</f>
        <v/>
      </c>
    </row>
    <row r="1533" spans="2:8">
      <c r="B1533" t="str">
        <f>IF('MASTER RECORD'!F1538="Active",'MASTER RECORD'!C1538,"")</f>
        <v/>
      </c>
      <c r="H1533" t="str">
        <f>IF('MASTER RECORD'!G1538="Sold",'MASTER RECORD'!C1538,"")</f>
        <v/>
      </c>
    </row>
    <row r="1534" spans="2:8">
      <c r="B1534" t="str">
        <f>IF('MASTER RECORD'!F1539="Active",'MASTER RECORD'!C1539,"")</f>
        <v/>
      </c>
      <c r="H1534" t="str">
        <f>IF('MASTER RECORD'!G1539="Sold",'MASTER RECORD'!C1539,"")</f>
        <v/>
      </c>
    </row>
    <row r="1535" spans="2:8">
      <c r="B1535" t="str">
        <f>IF('MASTER RECORD'!F1540="Active",'MASTER RECORD'!C1540,"")</f>
        <v/>
      </c>
      <c r="H1535" t="str">
        <f>IF('MASTER RECORD'!G1540="Sold",'MASTER RECORD'!C1540,"")</f>
        <v/>
      </c>
    </row>
    <row r="1536" spans="2:8">
      <c r="B1536" t="str">
        <f>IF('MASTER RECORD'!F1541="Active",'MASTER RECORD'!C1541,"")</f>
        <v/>
      </c>
      <c r="H1536" t="str">
        <f>IF('MASTER RECORD'!G1541="Sold",'MASTER RECORD'!C1541,"")</f>
        <v/>
      </c>
    </row>
    <row r="1537" spans="2:8">
      <c r="B1537" t="str">
        <f>IF('MASTER RECORD'!F1542="Active",'MASTER RECORD'!C1542,"")</f>
        <v/>
      </c>
      <c r="H1537" t="str">
        <f>IF('MASTER RECORD'!G1542="Sold",'MASTER RECORD'!C1542,"")</f>
        <v/>
      </c>
    </row>
    <row r="1538" spans="2:8">
      <c r="B1538" t="str">
        <f>IF('MASTER RECORD'!F1543="Active",'MASTER RECORD'!C1543,"")</f>
        <v/>
      </c>
      <c r="H1538" t="str">
        <f>IF('MASTER RECORD'!G1543="Sold",'MASTER RECORD'!C1543,"")</f>
        <v/>
      </c>
    </row>
    <row r="1539" spans="2:8">
      <c r="B1539" t="str">
        <f>IF('MASTER RECORD'!F1544="Active",'MASTER RECORD'!C1544,"")</f>
        <v/>
      </c>
      <c r="H1539" t="str">
        <f>IF('MASTER RECORD'!G1544="Sold",'MASTER RECORD'!C1544,"")</f>
        <v/>
      </c>
    </row>
    <row r="1540" spans="2:8">
      <c r="B1540" t="str">
        <f>IF('MASTER RECORD'!F1545="Active",'MASTER RECORD'!C1545,"")</f>
        <v/>
      </c>
      <c r="H1540" t="str">
        <f>IF('MASTER RECORD'!G1545="Sold",'MASTER RECORD'!C1545,"")</f>
        <v/>
      </c>
    </row>
    <row r="1541" spans="2:8">
      <c r="B1541" t="str">
        <f>IF('MASTER RECORD'!F1546="Active",'MASTER RECORD'!C1546,"")</f>
        <v/>
      </c>
      <c r="H1541" t="str">
        <f>IF('MASTER RECORD'!G1546="Sold",'MASTER RECORD'!C1546,"")</f>
        <v/>
      </c>
    </row>
    <row r="1542" spans="2:8">
      <c r="B1542" t="str">
        <f>IF('MASTER RECORD'!F1547="Active",'MASTER RECORD'!C1547,"")</f>
        <v/>
      </c>
      <c r="H1542" t="str">
        <f>IF('MASTER RECORD'!G1547="Sold",'MASTER RECORD'!C1547,"")</f>
        <v/>
      </c>
    </row>
    <row r="1543" spans="2:8">
      <c r="B1543" t="str">
        <f>IF('MASTER RECORD'!F1548="Active",'MASTER RECORD'!C1548,"")</f>
        <v/>
      </c>
      <c r="H1543" t="str">
        <f>IF('MASTER RECORD'!G1548="Sold",'MASTER RECORD'!C1548,"")</f>
        <v/>
      </c>
    </row>
    <row r="1544" spans="2:8">
      <c r="B1544" t="str">
        <f>IF('MASTER RECORD'!F1549="Active",'MASTER RECORD'!C1549,"")</f>
        <v/>
      </c>
      <c r="H1544" t="str">
        <f>IF('MASTER RECORD'!G1549="Sold",'MASTER RECORD'!C1549,"")</f>
        <v/>
      </c>
    </row>
    <row r="1545" spans="2:8">
      <c r="B1545" t="str">
        <f>IF('MASTER RECORD'!F1550="Active",'MASTER RECORD'!C1550,"")</f>
        <v/>
      </c>
      <c r="H1545" t="str">
        <f>IF('MASTER RECORD'!G1550="Sold",'MASTER RECORD'!C1550,"")</f>
        <v/>
      </c>
    </row>
    <row r="1546" spans="2:8">
      <c r="B1546" t="str">
        <f>IF('MASTER RECORD'!F1551="Active",'MASTER RECORD'!C1551,"")</f>
        <v/>
      </c>
      <c r="H1546" t="str">
        <f>IF('MASTER RECORD'!G1551="Sold",'MASTER RECORD'!C1551,"")</f>
        <v/>
      </c>
    </row>
    <row r="1547" spans="2:8">
      <c r="B1547" t="str">
        <f>IF('MASTER RECORD'!F1552="Active",'MASTER RECORD'!C1552,"")</f>
        <v/>
      </c>
      <c r="H1547" t="str">
        <f>IF('MASTER RECORD'!G1552="Sold",'MASTER RECORD'!C1552,"")</f>
        <v/>
      </c>
    </row>
    <row r="1548" spans="2:8">
      <c r="B1548" t="str">
        <f>IF('MASTER RECORD'!F1553="Active",'MASTER RECORD'!C1553,"")</f>
        <v/>
      </c>
      <c r="H1548" t="str">
        <f>IF('MASTER RECORD'!G1553="Sold",'MASTER RECORD'!C1553,"")</f>
        <v/>
      </c>
    </row>
    <row r="1549" spans="2:8">
      <c r="B1549" t="str">
        <f>IF('MASTER RECORD'!F1554="Active",'MASTER RECORD'!C1554,"")</f>
        <v/>
      </c>
      <c r="H1549" t="str">
        <f>IF('MASTER RECORD'!G1554="Sold",'MASTER RECORD'!C1554,"")</f>
        <v/>
      </c>
    </row>
    <row r="1550" spans="2:8">
      <c r="B1550" t="str">
        <f>IF('MASTER RECORD'!F1555="Active",'MASTER RECORD'!C1555,"")</f>
        <v/>
      </c>
      <c r="H1550" t="str">
        <f>IF('MASTER RECORD'!G1555="Sold",'MASTER RECORD'!C1555,"")</f>
        <v/>
      </c>
    </row>
    <row r="1551" spans="2:8">
      <c r="B1551" t="str">
        <f>IF('MASTER RECORD'!F1556="Active",'MASTER RECORD'!C1556,"")</f>
        <v/>
      </c>
      <c r="H1551" t="str">
        <f>IF('MASTER RECORD'!G1556="Sold",'MASTER RECORD'!C1556,"")</f>
        <v/>
      </c>
    </row>
    <row r="1552" spans="2:8">
      <c r="B1552" t="str">
        <f>IF('MASTER RECORD'!F1557="Active",'MASTER RECORD'!C1557,"")</f>
        <v/>
      </c>
      <c r="H1552" t="str">
        <f>IF('MASTER RECORD'!G1557="Sold",'MASTER RECORD'!C1557,"")</f>
        <v/>
      </c>
    </row>
    <row r="1553" spans="2:8">
      <c r="B1553" t="str">
        <f>IF('MASTER RECORD'!F1558="Active",'MASTER RECORD'!C1558,"")</f>
        <v/>
      </c>
      <c r="H1553" t="str">
        <f>IF('MASTER RECORD'!G1558="Sold",'MASTER RECORD'!C1558,"")</f>
        <v/>
      </c>
    </row>
    <row r="1554" spans="2:8">
      <c r="B1554" t="str">
        <f>IF('MASTER RECORD'!F1559="Active",'MASTER RECORD'!C1559,"")</f>
        <v/>
      </c>
      <c r="H1554" t="str">
        <f>IF('MASTER RECORD'!G1559="Sold",'MASTER RECORD'!C1559,"")</f>
        <v/>
      </c>
    </row>
    <row r="1555" spans="2:8">
      <c r="B1555" t="str">
        <f>IF('MASTER RECORD'!F1560="Active",'MASTER RECORD'!C1560,"")</f>
        <v/>
      </c>
      <c r="H1555" t="str">
        <f>IF('MASTER RECORD'!G1560="Sold",'MASTER RECORD'!C1560,"")</f>
        <v/>
      </c>
    </row>
    <row r="1556" spans="2:8">
      <c r="B1556" t="str">
        <f>IF('MASTER RECORD'!F1561="Active",'MASTER RECORD'!C1561,"")</f>
        <v/>
      </c>
      <c r="H1556" t="str">
        <f>IF('MASTER RECORD'!G1561="Sold",'MASTER RECORD'!C1561,"")</f>
        <v/>
      </c>
    </row>
    <row r="1557" spans="2:8">
      <c r="B1557" t="str">
        <f>IF('MASTER RECORD'!F1562="Active",'MASTER RECORD'!C1562,"")</f>
        <v/>
      </c>
      <c r="H1557" t="str">
        <f>IF('MASTER RECORD'!G1562="Sold",'MASTER RECORD'!C1562,"")</f>
        <v/>
      </c>
    </row>
    <row r="1558" spans="2:8">
      <c r="B1558" t="str">
        <f>IF('MASTER RECORD'!F1563="Active",'MASTER RECORD'!C1563,"")</f>
        <v/>
      </c>
      <c r="H1558" t="str">
        <f>IF('MASTER RECORD'!G1563="Sold",'MASTER RECORD'!C1563,"")</f>
        <v/>
      </c>
    </row>
    <row r="1559" spans="2:8">
      <c r="B1559" t="str">
        <f>IF('MASTER RECORD'!F1564="Active",'MASTER RECORD'!C1564,"")</f>
        <v/>
      </c>
      <c r="H1559" t="str">
        <f>IF('MASTER RECORD'!G1564="Sold",'MASTER RECORD'!C1564,"")</f>
        <v/>
      </c>
    </row>
    <row r="1560" spans="2:8">
      <c r="B1560" t="str">
        <f>IF('MASTER RECORD'!F1565="Active",'MASTER RECORD'!C1565,"")</f>
        <v/>
      </c>
      <c r="H1560" t="str">
        <f>IF('MASTER RECORD'!G1565="Sold",'MASTER RECORD'!C1565,"")</f>
        <v/>
      </c>
    </row>
    <row r="1561" spans="2:8">
      <c r="B1561" t="str">
        <f>IF('MASTER RECORD'!F1566="Active",'MASTER RECORD'!C1566,"")</f>
        <v/>
      </c>
      <c r="H1561" t="str">
        <f>IF('MASTER RECORD'!G1566="Sold",'MASTER RECORD'!C1566,"")</f>
        <v/>
      </c>
    </row>
    <row r="1562" spans="2:8">
      <c r="B1562" t="str">
        <f>IF('MASTER RECORD'!F1567="Active",'MASTER RECORD'!C1567,"")</f>
        <v/>
      </c>
      <c r="H1562" t="str">
        <f>IF('MASTER RECORD'!G1567="Sold",'MASTER RECORD'!C1567,"")</f>
        <v/>
      </c>
    </row>
    <row r="1563" spans="2:8">
      <c r="B1563" t="str">
        <f>IF('MASTER RECORD'!F1568="Active",'MASTER RECORD'!C1568,"")</f>
        <v/>
      </c>
      <c r="H1563" t="str">
        <f>IF('MASTER RECORD'!G1568="Sold",'MASTER RECORD'!C1568,"")</f>
        <v/>
      </c>
    </row>
    <row r="1564" spans="2:8">
      <c r="B1564" t="str">
        <f>IF('MASTER RECORD'!F1569="Active",'MASTER RECORD'!C1569,"")</f>
        <v/>
      </c>
      <c r="H1564" t="str">
        <f>IF('MASTER RECORD'!G1569="Sold",'MASTER RECORD'!C1569,"")</f>
        <v/>
      </c>
    </row>
    <row r="1565" spans="2:8">
      <c r="B1565" t="str">
        <f>IF('MASTER RECORD'!F1570="Active",'MASTER RECORD'!C1570,"")</f>
        <v/>
      </c>
      <c r="H1565" t="str">
        <f>IF('MASTER RECORD'!G1570="Sold",'MASTER RECORD'!C1570,"")</f>
        <v/>
      </c>
    </row>
    <row r="1566" spans="2:8">
      <c r="B1566" t="str">
        <f>IF('MASTER RECORD'!F1571="Active",'MASTER RECORD'!C1571,"")</f>
        <v/>
      </c>
      <c r="H1566" t="str">
        <f>IF('MASTER RECORD'!G1571="Sold",'MASTER RECORD'!C1571,"")</f>
        <v/>
      </c>
    </row>
    <row r="1567" spans="2:8">
      <c r="B1567" t="str">
        <f>IF('MASTER RECORD'!F1572="Active",'MASTER RECORD'!C1572,"")</f>
        <v/>
      </c>
      <c r="H1567" t="str">
        <f>IF('MASTER RECORD'!G1572="Sold",'MASTER RECORD'!C1572,"")</f>
        <v/>
      </c>
    </row>
    <row r="1568" spans="2:8">
      <c r="B1568" t="str">
        <f>IF('MASTER RECORD'!F1573="Active",'MASTER RECORD'!C1573,"")</f>
        <v/>
      </c>
      <c r="H1568" t="str">
        <f>IF('MASTER RECORD'!G1573="Sold",'MASTER RECORD'!C1573,"")</f>
        <v/>
      </c>
    </row>
    <row r="1569" spans="2:8">
      <c r="B1569" t="str">
        <f>IF('MASTER RECORD'!F1574="Active",'MASTER RECORD'!C1574,"")</f>
        <v/>
      </c>
      <c r="H1569" t="str">
        <f>IF('MASTER RECORD'!G1574="Sold",'MASTER RECORD'!C1574,"")</f>
        <v/>
      </c>
    </row>
    <row r="1570" spans="2:8">
      <c r="B1570" t="str">
        <f>IF('MASTER RECORD'!F1575="Active",'MASTER RECORD'!C1575,"")</f>
        <v/>
      </c>
      <c r="H1570" t="str">
        <f>IF('MASTER RECORD'!G1575="Sold",'MASTER RECORD'!C1575,"")</f>
        <v/>
      </c>
    </row>
    <row r="1571" spans="2:8">
      <c r="B1571" t="str">
        <f>IF('MASTER RECORD'!F1576="Active",'MASTER RECORD'!C1576,"")</f>
        <v/>
      </c>
      <c r="H1571" t="str">
        <f>IF('MASTER RECORD'!G1576="Sold",'MASTER RECORD'!C1576,"")</f>
        <v/>
      </c>
    </row>
    <row r="1572" spans="2:8">
      <c r="B1572" t="str">
        <f>IF('MASTER RECORD'!F1577="Active",'MASTER RECORD'!C1577,"")</f>
        <v/>
      </c>
      <c r="H1572" t="str">
        <f>IF('MASTER RECORD'!G1577="Sold",'MASTER RECORD'!C1577,"")</f>
        <v/>
      </c>
    </row>
    <row r="1573" spans="2:8">
      <c r="B1573" t="str">
        <f>IF('MASTER RECORD'!F1578="Active",'MASTER RECORD'!C1578,"")</f>
        <v/>
      </c>
      <c r="H1573" t="str">
        <f>IF('MASTER RECORD'!G1578="Sold",'MASTER RECORD'!C1578,"")</f>
        <v/>
      </c>
    </row>
    <row r="1574" spans="2:8">
      <c r="B1574" t="str">
        <f>IF('MASTER RECORD'!F1579="Active",'MASTER RECORD'!C1579,"")</f>
        <v/>
      </c>
      <c r="H1574" t="str">
        <f>IF('MASTER RECORD'!G1579="Sold",'MASTER RECORD'!C1579,"")</f>
        <v/>
      </c>
    </row>
    <row r="1575" spans="2:8">
      <c r="B1575" t="str">
        <f>IF('MASTER RECORD'!F1580="Active",'MASTER RECORD'!C1580,"")</f>
        <v/>
      </c>
      <c r="H1575" t="str">
        <f>IF('MASTER RECORD'!G1580="Sold",'MASTER RECORD'!C1580,"")</f>
        <v/>
      </c>
    </row>
    <row r="1576" spans="2:8">
      <c r="B1576" t="str">
        <f>IF('MASTER RECORD'!F1581="Active",'MASTER RECORD'!C1581,"")</f>
        <v/>
      </c>
      <c r="H1576" t="str">
        <f>IF('MASTER RECORD'!G1581="Sold",'MASTER RECORD'!C1581,"")</f>
        <v/>
      </c>
    </row>
    <row r="1577" spans="2:8">
      <c r="B1577" t="str">
        <f>IF('MASTER RECORD'!F1582="Active",'MASTER RECORD'!C1582,"")</f>
        <v/>
      </c>
      <c r="H1577" t="str">
        <f>IF('MASTER RECORD'!G1582="Sold",'MASTER RECORD'!C1582,"")</f>
        <v/>
      </c>
    </row>
    <row r="1578" spans="2:8">
      <c r="B1578" t="str">
        <f>IF('MASTER RECORD'!F1583="Active",'MASTER RECORD'!C1583,"")</f>
        <v/>
      </c>
      <c r="H1578" t="str">
        <f>IF('MASTER RECORD'!G1583="Sold",'MASTER RECORD'!C1583,"")</f>
        <v/>
      </c>
    </row>
    <row r="1579" spans="2:8">
      <c r="B1579" t="str">
        <f>IF('MASTER RECORD'!F1584="Active",'MASTER RECORD'!C1584,"")</f>
        <v/>
      </c>
      <c r="H1579" t="str">
        <f>IF('MASTER RECORD'!G1584="Sold",'MASTER RECORD'!C1584,"")</f>
        <v/>
      </c>
    </row>
    <row r="1580" spans="2:8">
      <c r="B1580" t="str">
        <f>IF('MASTER RECORD'!F1585="Active",'MASTER RECORD'!C1585,"")</f>
        <v/>
      </c>
      <c r="H1580" t="str">
        <f>IF('MASTER RECORD'!G1585="Sold",'MASTER RECORD'!C1585,"")</f>
        <v/>
      </c>
    </row>
    <row r="1581" spans="2:8">
      <c r="B1581" t="str">
        <f>IF('MASTER RECORD'!F1586="Active",'MASTER RECORD'!C1586,"")</f>
        <v/>
      </c>
      <c r="H1581" t="str">
        <f>IF('MASTER RECORD'!G1586="Sold",'MASTER RECORD'!C1586,"")</f>
        <v/>
      </c>
    </row>
    <row r="1582" spans="2:8">
      <c r="B1582" t="str">
        <f>IF('MASTER RECORD'!F1587="Active",'MASTER RECORD'!C1587,"")</f>
        <v/>
      </c>
      <c r="H1582" t="str">
        <f>IF('MASTER RECORD'!G1587="Sold",'MASTER RECORD'!C1587,"")</f>
        <v/>
      </c>
    </row>
    <row r="1583" spans="2:8">
      <c r="B1583" t="str">
        <f>IF('MASTER RECORD'!F1588="Active",'MASTER RECORD'!C1588,"")</f>
        <v/>
      </c>
      <c r="H1583" t="str">
        <f>IF('MASTER RECORD'!G1588="Sold",'MASTER RECORD'!C1588,"")</f>
        <v/>
      </c>
    </row>
    <row r="1584" spans="2:8">
      <c r="B1584" t="str">
        <f>IF('MASTER RECORD'!F1589="Active",'MASTER RECORD'!C1589,"")</f>
        <v/>
      </c>
      <c r="H1584" t="str">
        <f>IF('MASTER RECORD'!G1589="Sold",'MASTER RECORD'!C1589,"")</f>
        <v/>
      </c>
    </row>
    <row r="1585" spans="2:8">
      <c r="B1585" t="str">
        <f>IF('MASTER RECORD'!F1590="Active",'MASTER RECORD'!C1590,"")</f>
        <v/>
      </c>
      <c r="H1585" t="str">
        <f>IF('MASTER RECORD'!G1590="Sold",'MASTER RECORD'!C1590,"")</f>
        <v/>
      </c>
    </row>
    <row r="1586" spans="2:8">
      <c r="B1586" t="str">
        <f>IF('MASTER RECORD'!F1591="Active",'MASTER RECORD'!C1591,"")</f>
        <v/>
      </c>
      <c r="H1586" t="str">
        <f>IF('MASTER RECORD'!G1591="Sold",'MASTER RECORD'!C1591,"")</f>
        <v/>
      </c>
    </row>
    <row r="1587" spans="2:8">
      <c r="B1587" t="str">
        <f>IF('MASTER RECORD'!F1592="Active",'MASTER RECORD'!C1592,"")</f>
        <v/>
      </c>
      <c r="H1587" t="str">
        <f>IF('MASTER RECORD'!G1592="Sold",'MASTER RECORD'!C1592,"")</f>
        <v/>
      </c>
    </row>
    <row r="1588" spans="2:8">
      <c r="B1588" t="str">
        <f>IF('MASTER RECORD'!F1593="Active",'MASTER RECORD'!C1593,"")</f>
        <v/>
      </c>
      <c r="H1588" t="str">
        <f>IF('MASTER RECORD'!G1593="Sold",'MASTER RECORD'!C1593,"")</f>
        <v/>
      </c>
    </row>
    <row r="1589" spans="2:8">
      <c r="B1589" t="str">
        <f>IF('MASTER RECORD'!F1594="Active",'MASTER RECORD'!C1594,"")</f>
        <v/>
      </c>
      <c r="H1589" t="str">
        <f>IF('MASTER RECORD'!G1594="Sold",'MASTER RECORD'!C1594,"")</f>
        <v/>
      </c>
    </row>
    <row r="1590" spans="2:8">
      <c r="B1590" t="str">
        <f>IF('MASTER RECORD'!F1595="Active",'MASTER RECORD'!C1595,"")</f>
        <v/>
      </c>
      <c r="H1590" t="str">
        <f>IF('MASTER RECORD'!G1595="Sold",'MASTER RECORD'!C1595,"")</f>
        <v/>
      </c>
    </row>
    <row r="1591" spans="2:8">
      <c r="B1591" t="str">
        <f>IF('MASTER RECORD'!F1596="Active",'MASTER RECORD'!C1596,"")</f>
        <v/>
      </c>
      <c r="H1591" t="str">
        <f>IF('MASTER RECORD'!G1596="Sold",'MASTER RECORD'!C1596,"")</f>
        <v/>
      </c>
    </row>
    <row r="1592" spans="2:8">
      <c r="B1592" t="str">
        <f>IF('MASTER RECORD'!F1597="Active",'MASTER RECORD'!C1597,"")</f>
        <v/>
      </c>
      <c r="H1592" t="str">
        <f>IF('MASTER RECORD'!G1597="Sold",'MASTER RECORD'!C1597,"")</f>
        <v/>
      </c>
    </row>
    <row r="1593" spans="2:8">
      <c r="B1593" t="str">
        <f>IF('MASTER RECORD'!F1598="Active",'MASTER RECORD'!C1598,"")</f>
        <v/>
      </c>
      <c r="H1593" t="str">
        <f>IF('MASTER RECORD'!G1598="Sold",'MASTER RECORD'!C1598,"")</f>
        <v/>
      </c>
    </row>
    <row r="1594" spans="2:8">
      <c r="B1594" t="str">
        <f>IF('MASTER RECORD'!F1599="Active",'MASTER RECORD'!C1599,"")</f>
        <v/>
      </c>
      <c r="H1594" t="str">
        <f>IF('MASTER RECORD'!G1599="Sold",'MASTER RECORD'!C1599,"")</f>
        <v/>
      </c>
    </row>
    <row r="1595" spans="2:8">
      <c r="B1595" t="str">
        <f>IF('MASTER RECORD'!F1600="Active",'MASTER RECORD'!C1600,"")</f>
        <v/>
      </c>
      <c r="H1595" t="str">
        <f>IF('MASTER RECORD'!G1600="Sold",'MASTER RECORD'!C1600,"")</f>
        <v/>
      </c>
    </row>
    <row r="1596" spans="2:8">
      <c r="B1596" t="str">
        <f>IF('MASTER RECORD'!F1601="Active",'MASTER RECORD'!C1601,"")</f>
        <v/>
      </c>
      <c r="H1596" t="str">
        <f>IF('MASTER RECORD'!G1601="Sold",'MASTER RECORD'!C1601,"")</f>
        <v/>
      </c>
    </row>
    <row r="1597" spans="2:8">
      <c r="B1597" t="str">
        <f>IF('MASTER RECORD'!F1602="Active",'MASTER RECORD'!C1602,"")</f>
        <v/>
      </c>
      <c r="H1597" t="str">
        <f>IF('MASTER RECORD'!G1602="Sold",'MASTER RECORD'!C1602,"")</f>
        <v/>
      </c>
    </row>
    <row r="1598" spans="2:8">
      <c r="B1598" t="str">
        <f>IF('MASTER RECORD'!F1603="Active",'MASTER RECORD'!C1603,"")</f>
        <v/>
      </c>
      <c r="H1598" t="str">
        <f>IF('MASTER RECORD'!G1603="Sold",'MASTER RECORD'!C1603,"")</f>
        <v/>
      </c>
    </row>
    <row r="1599" spans="2:8">
      <c r="B1599" t="str">
        <f>IF('MASTER RECORD'!F1604="Active",'MASTER RECORD'!C1604,"")</f>
        <v/>
      </c>
      <c r="H1599" t="str">
        <f>IF('MASTER RECORD'!G1604="Sold",'MASTER RECORD'!C1604,"")</f>
        <v/>
      </c>
    </row>
    <row r="1600" spans="2:8">
      <c r="B1600" t="str">
        <f>IF('MASTER RECORD'!F1605="Active",'MASTER RECORD'!C1605,"")</f>
        <v/>
      </c>
      <c r="H1600" t="str">
        <f>IF('MASTER RECORD'!G1605="Sold",'MASTER RECORD'!C1605,"")</f>
        <v/>
      </c>
    </row>
    <row r="1601" spans="2:8">
      <c r="B1601" t="str">
        <f>IF('MASTER RECORD'!F1606="Active",'MASTER RECORD'!C1606,"")</f>
        <v/>
      </c>
      <c r="H1601" t="str">
        <f>IF('MASTER RECORD'!G1606="Sold",'MASTER RECORD'!C1606,"")</f>
        <v/>
      </c>
    </row>
    <row r="1602" spans="2:8">
      <c r="B1602" t="str">
        <f>IF('MASTER RECORD'!F1607="Active",'MASTER RECORD'!C1607,"")</f>
        <v/>
      </c>
      <c r="H1602" t="str">
        <f>IF('MASTER RECORD'!G1607="Sold",'MASTER RECORD'!C1607,"")</f>
        <v/>
      </c>
    </row>
    <row r="1603" spans="2:8">
      <c r="B1603" t="str">
        <f>IF('MASTER RECORD'!F1608="Active",'MASTER RECORD'!C1608,"")</f>
        <v/>
      </c>
      <c r="H1603" t="str">
        <f>IF('MASTER RECORD'!G1608="Sold",'MASTER RECORD'!C1608,"")</f>
        <v/>
      </c>
    </row>
    <row r="1604" spans="2:8">
      <c r="B1604" t="str">
        <f>IF('MASTER RECORD'!F1609="Active",'MASTER RECORD'!C1609,"")</f>
        <v/>
      </c>
      <c r="H1604" t="str">
        <f>IF('MASTER RECORD'!G1609="Sold",'MASTER RECORD'!C1609,"")</f>
        <v/>
      </c>
    </row>
    <row r="1605" spans="2:8">
      <c r="B1605" t="str">
        <f>IF('MASTER RECORD'!F1610="Active",'MASTER RECORD'!C1610,"")</f>
        <v/>
      </c>
      <c r="H1605" t="str">
        <f>IF('MASTER RECORD'!G1610="Sold",'MASTER RECORD'!C1610,"")</f>
        <v/>
      </c>
    </row>
    <row r="1606" spans="2:8">
      <c r="B1606" t="str">
        <f>IF('MASTER RECORD'!F1611="Active",'MASTER RECORD'!C1611,"")</f>
        <v/>
      </c>
      <c r="H1606" t="str">
        <f>IF('MASTER RECORD'!G1611="Sold",'MASTER RECORD'!C1611,"")</f>
        <v/>
      </c>
    </row>
    <row r="1607" spans="2:8">
      <c r="B1607" t="str">
        <f>IF('MASTER RECORD'!F1612="Active",'MASTER RECORD'!C1612,"")</f>
        <v/>
      </c>
      <c r="H1607" t="str">
        <f>IF('MASTER RECORD'!G1612="Sold",'MASTER RECORD'!C1612,"")</f>
        <v/>
      </c>
    </row>
    <row r="1608" spans="2:8">
      <c r="B1608" t="str">
        <f>IF('MASTER RECORD'!F1613="Active",'MASTER RECORD'!C1613,"")</f>
        <v/>
      </c>
      <c r="H1608" t="str">
        <f>IF('MASTER RECORD'!G1613="Sold",'MASTER RECORD'!C1613,"")</f>
        <v/>
      </c>
    </row>
    <row r="1609" spans="2:8">
      <c r="B1609" t="str">
        <f>IF('MASTER RECORD'!F1614="Active",'MASTER RECORD'!C1614,"")</f>
        <v/>
      </c>
      <c r="H1609" t="str">
        <f>IF('MASTER RECORD'!G1614="Sold",'MASTER RECORD'!C1614,"")</f>
        <v/>
      </c>
    </row>
    <row r="1610" spans="2:8">
      <c r="B1610" t="str">
        <f>IF('MASTER RECORD'!F1615="Active",'MASTER RECORD'!C1615,"")</f>
        <v/>
      </c>
      <c r="H1610" t="str">
        <f>IF('MASTER RECORD'!G1615="Sold",'MASTER RECORD'!C1615,"")</f>
        <v/>
      </c>
    </row>
    <row r="1611" spans="2:8">
      <c r="B1611" t="str">
        <f>IF('MASTER RECORD'!F1616="Active",'MASTER RECORD'!C1616,"")</f>
        <v/>
      </c>
      <c r="H1611" t="str">
        <f>IF('MASTER RECORD'!G1616="Sold",'MASTER RECORD'!C1616,"")</f>
        <v/>
      </c>
    </row>
    <row r="1612" spans="2:8">
      <c r="B1612" t="str">
        <f>IF('MASTER RECORD'!F1617="Active",'MASTER RECORD'!C1617,"")</f>
        <v/>
      </c>
      <c r="H1612" t="str">
        <f>IF('MASTER RECORD'!G1617="Sold",'MASTER RECORD'!C1617,"")</f>
        <v/>
      </c>
    </row>
    <row r="1613" spans="2:8">
      <c r="B1613" t="str">
        <f>IF('MASTER RECORD'!F1618="Active",'MASTER RECORD'!C1618,"")</f>
        <v/>
      </c>
      <c r="H1613" t="str">
        <f>IF('MASTER RECORD'!G1618="Sold",'MASTER RECORD'!C1618,"")</f>
        <v/>
      </c>
    </row>
    <row r="1614" spans="2:8">
      <c r="B1614" t="str">
        <f>IF('MASTER RECORD'!F1619="Active",'MASTER RECORD'!C1619,"")</f>
        <v/>
      </c>
      <c r="H1614" t="str">
        <f>IF('MASTER RECORD'!G1619="Sold",'MASTER RECORD'!C1619,"")</f>
        <v/>
      </c>
    </row>
    <row r="1615" spans="2:8">
      <c r="B1615" t="str">
        <f>IF('MASTER RECORD'!F1620="Active",'MASTER RECORD'!C1620,"")</f>
        <v/>
      </c>
      <c r="H1615" t="str">
        <f>IF('MASTER RECORD'!G1620="Sold",'MASTER RECORD'!C1620,"")</f>
        <v/>
      </c>
    </row>
    <row r="1616" spans="2:8">
      <c r="B1616" t="str">
        <f>IF('MASTER RECORD'!F1621="Active",'MASTER RECORD'!C1621,"")</f>
        <v/>
      </c>
      <c r="H1616" t="str">
        <f>IF('MASTER RECORD'!G1621="Sold",'MASTER RECORD'!C1621,"")</f>
        <v/>
      </c>
    </row>
    <row r="1617" spans="2:8">
      <c r="B1617" t="str">
        <f>IF('MASTER RECORD'!F1622="Active",'MASTER RECORD'!C1622,"")</f>
        <v/>
      </c>
      <c r="H1617" t="str">
        <f>IF('MASTER RECORD'!G1622="Sold",'MASTER RECORD'!C1622,"")</f>
        <v/>
      </c>
    </row>
    <row r="1618" spans="2:8">
      <c r="B1618" t="str">
        <f>IF('MASTER RECORD'!F1623="Active",'MASTER RECORD'!C1623,"")</f>
        <v/>
      </c>
      <c r="H1618" t="str">
        <f>IF('MASTER RECORD'!G1623="Sold",'MASTER RECORD'!C1623,"")</f>
        <v/>
      </c>
    </row>
    <row r="1619" spans="2:8">
      <c r="B1619" t="str">
        <f>IF('MASTER RECORD'!F1624="Active",'MASTER RECORD'!C1624,"")</f>
        <v/>
      </c>
      <c r="H1619" t="str">
        <f>IF('MASTER RECORD'!G1624="Sold",'MASTER RECORD'!C1624,"")</f>
        <v/>
      </c>
    </row>
    <row r="1620" spans="2:8">
      <c r="B1620" t="str">
        <f>IF('MASTER RECORD'!F1625="Active",'MASTER RECORD'!C1625,"")</f>
        <v/>
      </c>
      <c r="H1620" t="str">
        <f>IF('MASTER RECORD'!G1625="Sold",'MASTER RECORD'!C1625,"")</f>
        <v/>
      </c>
    </row>
    <row r="1621" spans="2:8">
      <c r="B1621" t="str">
        <f>IF('MASTER RECORD'!F1626="Active",'MASTER RECORD'!C1626,"")</f>
        <v/>
      </c>
      <c r="H1621" t="str">
        <f>IF('MASTER RECORD'!G1626="Sold",'MASTER RECORD'!C1626,"")</f>
        <v/>
      </c>
    </row>
    <row r="1622" spans="2:8">
      <c r="B1622" t="str">
        <f>IF('MASTER RECORD'!F1627="Active",'MASTER RECORD'!C1627,"")</f>
        <v/>
      </c>
      <c r="H1622" t="str">
        <f>IF('MASTER RECORD'!G1627="Sold",'MASTER RECORD'!C1627,"")</f>
        <v/>
      </c>
    </row>
    <row r="1623" spans="2:8">
      <c r="B1623" t="str">
        <f>IF('MASTER RECORD'!F1628="Active",'MASTER RECORD'!C1628,"")</f>
        <v/>
      </c>
      <c r="H1623" t="str">
        <f>IF('MASTER RECORD'!G1628="Sold",'MASTER RECORD'!C1628,"")</f>
        <v/>
      </c>
    </row>
    <row r="1624" spans="2:8">
      <c r="B1624" t="str">
        <f>IF('MASTER RECORD'!F1629="Active",'MASTER RECORD'!C1629,"")</f>
        <v/>
      </c>
      <c r="H1624" t="str">
        <f>IF('MASTER RECORD'!G1629="Sold",'MASTER RECORD'!C1629,"")</f>
        <v/>
      </c>
    </row>
    <row r="1625" spans="2:8">
      <c r="B1625" t="str">
        <f>IF('MASTER RECORD'!F1630="Active",'MASTER RECORD'!C1630,"")</f>
        <v/>
      </c>
      <c r="H1625" t="str">
        <f>IF('MASTER RECORD'!G1630="Sold",'MASTER RECORD'!C1630,"")</f>
        <v/>
      </c>
    </row>
    <row r="1626" spans="2:8">
      <c r="B1626" t="str">
        <f>IF('MASTER RECORD'!F1631="Active",'MASTER RECORD'!C1631,"")</f>
        <v/>
      </c>
      <c r="H1626" t="str">
        <f>IF('MASTER RECORD'!G1631="Sold",'MASTER RECORD'!C1631,"")</f>
        <v/>
      </c>
    </row>
    <row r="1627" spans="2:8">
      <c r="B1627" t="str">
        <f>IF('MASTER RECORD'!F1632="Active",'MASTER RECORD'!C1632,"")</f>
        <v/>
      </c>
      <c r="H1627" t="str">
        <f>IF('MASTER RECORD'!G1632="Sold",'MASTER RECORD'!C1632,"")</f>
        <v/>
      </c>
    </row>
    <row r="1628" spans="2:8">
      <c r="B1628" t="str">
        <f>IF('MASTER RECORD'!F1633="Active",'MASTER RECORD'!C1633,"")</f>
        <v/>
      </c>
      <c r="H1628" t="str">
        <f>IF('MASTER RECORD'!G1633="Sold",'MASTER RECORD'!C1633,"")</f>
        <v/>
      </c>
    </row>
    <row r="1629" spans="2:8">
      <c r="B1629" t="str">
        <f>IF('MASTER RECORD'!F1634="Active",'MASTER RECORD'!C1634,"")</f>
        <v/>
      </c>
      <c r="H1629" t="str">
        <f>IF('MASTER RECORD'!G1634="Sold",'MASTER RECORD'!C1634,"")</f>
        <v/>
      </c>
    </row>
    <row r="1630" spans="2:8">
      <c r="B1630" t="str">
        <f>IF('MASTER RECORD'!F1635="Active",'MASTER RECORD'!C1635,"")</f>
        <v/>
      </c>
      <c r="H1630" t="str">
        <f>IF('MASTER RECORD'!G1635="Sold",'MASTER RECORD'!C1635,"")</f>
        <v/>
      </c>
    </row>
    <row r="1631" spans="2:8">
      <c r="B1631" t="str">
        <f>IF('MASTER RECORD'!F1636="Active",'MASTER RECORD'!C1636,"")</f>
        <v/>
      </c>
      <c r="H1631" t="str">
        <f>IF('MASTER RECORD'!G1636="Sold",'MASTER RECORD'!C1636,"")</f>
        <v/>
      </c>
    </row>
    <row r="1632" spans="2:8">
      <c r="B1632" t="str">
        <f>IF('MASTER RECORD'!F1637="Active",'MASTER RECORD'!C1637,"")</f>
        <v/>
      </c>
      <c r="H1632" t="str">
        <f>IF('MASTER RECORD'!G1637="Sold",'MASTER RECORD'!C1637,"")</f>
        <v/>
      </c>
    </row>
    <row r="1633" spans="2:8">
      <c r="B1633" t="str">
        <f>IF('MASTER RECORD'!F1638="Active",'MASTER RECORD'!C1638,"")</f>
        <v/>
      </c>
      <c r="H1633" t="str">
        <f>IF('MASTER RECORD'!G1638="Sold",'MASTER RECORD'!C1638,"")</f>
        <v/>
      </c>
    </row>
    <row r="1634" spans="2:8">
      <c r="B1634" t="str">
        <f>IF('MASTER RECORD'!F1639="Active",'MASTER RECORD'!C1639,"")</f>
        <v/>
      </c>
      <c r="H1634" t="str">
        <f>IF('MASTER RECORD'!G1639="Sold",'MASTER RECORD'!C1639,"")</f>
        <v/>
      </c>
    </row>
    <row r="1635" spans="2:8">
      <c r="B1635" t="str">
        <f>IF('MASTER RECORD'!F1640="Active",'MASTER RECORD'!C1640,"")</f>
        <v/>
      </c>
      <c r="H1635" t="str">
        <f>IF('MASTER RECORD'!G1640="Sold",'MASTER RECORD'!C1640,"")</f>
        <v/>
      </c>
    </row>
    <row r="1636" spans="2:8">
      <c r="B1636" t="str">
        <f>IF('MASTER RECORD'!F1641="Active",'MASTER RECORD'!C1641,"")</f>
        <v/>
      </c>
      <c r="H1636" t="str">
        <f>IF('MASTER RECORD'!G1641="Sold",'MASTER RECORD'!C1641,"")</f>
        <v/>
      </c>
    </row>
    <row r="1637" spans="2:8">
      <c r="B1637" t="str">
        <f>IF('MASTER RECORD'!F1642="Active",'MASTER RECORD'!C1642,"")</f>
        <v/>
      </c>
      <c r="H1637" t="str">
        <f>IF('MASTER RECORD'!G1642="Sold",'MASTER RECORD'!C1642,"")</f>
        <v/>
      </c>
    </row>
    <row r="1638" spans="2:8">
      <c r="B1638" t="str">
        <f>IF('MASTER RECORD'!F1643="Active",'MASTER RECORD'!C1643,"")</f>
        <v/>
      </c>
      <c r="H1638" t="str">
        <f>IF('MASTER RECORD'!G1643="Sold",'MASTER RECORD'!C1643,"")</f>
        <v/>
      </c>
    </row>
    <row r="1639" spans="2:8">
      <c r="B1639" t="str">
        <f>IF('MASTER RECORD'!F1644="Active",'MASTER RECORD'!C1644,"")</f>
        <v/>
      </c>
      <c r="H1639" t="str">
        <f>IF('MASTER RECORD'!G1644="Sold",'MASTER RECORD'!C1644,"")</f>
        <v/>
      </c>
    </row>
    <row r="1640" spans="2:8">
      <c r="B1640" t="str">
        <f>IF('MASTER RECORD'!F1645="Active",'MASTER RECORD'!C1645,"")</f>
        <v/>
      </c>
      <c r="H1640" t="str">
        <f>IF('MASTER RECORD'!G1645="Sold",'MASTER RECORD'!C1645,"")</f>
        <v/>
      </c>
    </row>
    <row r="1641" spans="2:8">
      <c r="B1641" t="str">
        <f>IF('MASTER RECORD'!F1646="Active",'MASTER RECORD'!C1646,"")</f>
        <v/>
      </c>
      <c r="H1641" t="str">
        <f>IF('MASTER RECORD'!G1646="Sold",'MASTER RECORD'!C1646,"")</f>
        <v/>
      </c>
    </row>
    <row r="1642" spans="2:8">
      <c r="B1642" t="str">
        <f>IF('MASTER RECORD'!F1647="Active",'MASTER RECORD'!C1647,"")</f>
        <v/>
      </c>
      <c r="H1642" t="str">
        <f>IF('MASTER RECORD'!G1647="Sold",'MASTER RECORD'!C1647,"")</f>
        <v/>
      </c>
    </row>
    <row r="1643" spans="2:8">
      <c r="B1643" t="str">
        <f>IF('MASTER RECORD'!F1648="Active",'MASTER RECORD'!C1648,"")</f>
        <v/>
      </c>
      <c r="H1643" t="str">
        <f>IF('MASTER RECORD'!G1648="Sold",'MASTER RECORD'!C1648,"")</f>
        <v/>
      </c>
    </row>
    <row r="1644" spans="2:8">
      <c r="B1644" t="str">
        <f>IF('MASTER RECORD'!F1649="Active",'MASTER RECORD'!C1649,"")</f>
        <v/>
      </c>
      <c r="H1644" t="str">
        <f>IF('MASTER RECORD'!G1649="Sold",'MASTER RECORD'!C1649,"")</f>
        <v/>
      </c>
    </row>
    <row r="1645" spans="2:8">
      <c r="B1645" t="str">
        <f>IF('MASTER RECORD'!F1650="Active",'MASTER RECORD'!C1650,"")</f>
        <v/>
      </c>
      <c r="H1645" t="str">
        <f>IF('MASTER RECORD'!G1650="Sold",'MASTER RECORD'!C1650,"")</f>
        <v/>
      </c>
    </row>
    <row r="1646" spans="2:8">
      <c r="B1646" t="str">
        <f>IF('MASTER RECORD'!F1651="Active",'MASTER RECORD'!C1651,"")</f>
        <v/>
      </c>
      <c r="H1646" t="str">
        <f>IF('MASTER RECORD'!G1651="Sold",'MASTER RECORD'!C1651,"")</f>
        <v/>
      </c>
    </row>
    <row r="1647" spans="2:8">
      <c r="B1647" t="str">
        <f>IF('MASTER RECORD'!F1652="Active",'MASTER RECORD'!C1652,"")</f>
        <v/>
      </c>
      <c r="H1647" t="str">
        <f>IF('MASTER RECORD'!G1652="Sold",'MASTER RECORD'!C1652,"")</f>
        <v/>
      </c>
    </row>
    <row r="1648" spans="2:8">
      <c r="B1648" t="str">
        <f>IF('MASTER RECORD'!F1653="Active",'MASTER RECORD'!C1653,"")</f>
        <v/>
      </c>
      <c r="H1648" t="str">
        <f>IF('MASTER RECORD'!G1653="Sold",'MASTER RECORD'!C1653,"")</f>
        <v/>
      </c>
    </row>
    <row r="1649" spans="2:8">
      <c r="B1649" t="str">
        <f>IF('MASTER RECORD'!F1654="Active",'MASTER RECORD'!C1654,"")</f>
        <v/>
      </c>
      <c r="H1649" t="str">
        <f>IF('MASTER RECORD'!G1654="Sold",'MASTER RECORD'!C1654,"")</f>
        <v/>
      </c>
    </row>
    <row r="1650" spans="2:8">
      <c r="B1650" t="str">
        <f>IF('MASTER RECORD'!F1655="Active",'MASTER RECORD'!C1655,"")</f>
        <v/>
      </c>
      <c r="H1650" t="str">
        <f>IF('MASTER RECORD'!G1655="Sold",'MASTER RECORD'!C1655,"")</f>
        <v/>
      </c>
    </row>
    <row r="1651" spans="2:8">
      <c r="B1651" t="str">
        <f>IF('MASTER RECORD'!F1656="Active",'MASTER RECORD'!C1656,"")</f>
        <v/>
      </c>
      <c r="H1651" t="str">
        <f>IF('MASTER RECORD'!G1656="Sold",'MASTER RECORD'!C1656,"")</f>
        <v/>
      </c>
    </row>
    <row r="1652" spans="2:8">
      <c r="B1652" t="str">
        <f>IF('MASTER RECORD'!F1657="Active",'MASTER RECORD'!C1657,"")</f>
        <v/>
      </c>
      <c r="H1652" t="str">
        <f>IF('MASTER RECORD'!G1657="Sold",'MASTER RECORD'!C1657,"")</f>
        <v/>
      </c>
    </row>
    <row r="1653" spans="2:8">
      <c r="B1653" t="str">
        <f>IF('MASTER RECORD'!F1658="Active",'MASTER RECORD'!C1658,"")</f>
        <v/>
      </c>
      <c r="H1653" t="str">
        <f>IF('MASTER RECORD'!G1658="Sold",'MASTER RECORD'!C1658,"")</f>
        <v/>
      </c>
    </row>
    <row r="1654" spans="2:8">
      <c r="B1654" t="str">
        <f>IF('MASTER RECORD'!F1659="Active",'MASTER RECORD'!C1659,"")</f>
        <v/>
      </c>
      <c r="H1654" t="str">
        <f>IF('MASTER RECORD'!G1659="Sold",'MASTER RECORD'!C1659,"")</f>
        <v/>
      </c>
    </row>
    <row r="1655" spans="2:8">
      <c r="B1655" t="str">
        <f>IF('MASTER RECORD'!F1660="Active",'MASTER RECORD'!C1660,"")</f>
        <v/>
      </c>
      <c r="H1655" t="str">
        <f>IF('MASTER RECORD'!G1660="Sold",'MASTER RECORD'!C1660,"")</f>
        <v/>
      </c>
    </row>
    <row r="1656" spans="2:8">
      <c r="B1656" t="str">
        <f>IF('MASTER RECORD'!F1661="Active",'MASTER RECORD'!C1661,"")</f>
        <v/>
      </c>
      <c r="H1656" t="str">
        <f>IF('MASTER RECORD'!G1661="Sold",'MASTER RECORD'!C1661,"")</f>
        <v/>
      </c>
    </row>
    <row r="1657" spans="2:8">
      <c r="B1657" t="str">
        <f>IF('MASTER RECORD'!F1662="Active",'MASTER RECORD'!C1662,"")</f>
        <v/>
      </c>
      <c r="H1657" t="str">
        <f>IF('MASTER RECORD'!G1662="Sold",'MASTER RECORD'!C1662,"")</f>
        <v/>
      </c>
    </row>
    <row r="1658" spans="2:8">
      <c r="B1658" t="str">
        <f>IF('MASTER RECORD'!F1663="Active",'MASTER RECORD'!C1663,"")</f>
        <v/>
      </c>
      <c r="H1658" t="str">
        <f>IF('MASTER RECORD'!G1663="Sold",'MASTER RECORD'!C1663,"")</f>
        <v/>
      </c>
    </row>
    <row r="1659" spans="2:8">
      <c r="B1659" t="str">
        <f>IF('MASTER RECORD'!F1664="Active",'MASTER RECORD'!C1664,"")</f>
        <v/>
      </c>
      <c r="H1659" t="str">
        <f>IF('MASTER RECORD'!G1664="Sold",'MASTER RECORD'!C1664,"")</f>
        <v/>
      </c>
    </row>
    <row r="1660" spans="2:8">
      <c r="B1660" t="str">
        <f>IF('MASTER RECORD'!F1665="Active",'MASTER RECORD'!C1665,"")</f>
        <v/>
      </c>
      <c r="H1660" t="str">
        <f>IF('MASTER RECORD'!G1665="Sold",'MASTER RECORD'!C1665,"")</f>
        <v/>
      </c>
    </row>
    <row r="1661" spans="2:8">
      <c r="B1661" t="str">
        <f>IF('MASTER RECORD'!F1666="Active",'MASTER RECORD'!C1666,"")</f>
        <v/>
      </c>
      <c r="H1661" t="str">
        <f>IF('MASTER RECORD'!G1666="Sold",'MASTER RECORD'!C1666,"")</f>
        <v/>
      </c>
    </row>
    <row r="1662" spans="2:8">
      <c r="B1662" t="str">
        <f>IF('MASTER RECORD'!F1667="Active",'MASTER RECORD'!C1667,"")</f>
        <v/>
      </c>
      <c r="H1662" t="str">
        <f>IF('MASTER RECORD'!G1667="Sold",'MASTER RECORD'!C1667,"")</f>
        <v/>
      </c>
    </row>
    <row r="1663" spans="2:8">
      <c r="B1663" t="str">
        <f>IF('MASTER RECORD'!F1668="Active",'MASTER RECORD'!C1668,"")</f>
        <v/>
      </c>
      <c r="H1663" t="str">
        <f>IF('MASTER RECORD'!G1668="Sold",'MASTER RECORD'!C1668,"")</f>
        <v/>
      </c>
    </row>
    <row r="1664" spans="2:8">
      <c r="B1664" t="str">
        <f>IF('MASTER RECORD'!F1669="Active",'MASTER RECORD'!C1669,"")</f>
        <v/>
      </c>
      <c r="H1664" t="str">
        <f>IF('MASTER RECORD'!G1669="Sold",'MASTER RECORD'!C1669,"")</f>
        <v/>
      </c>
    </row>
    <row r="1665" spans="2:8">
      <c r="B1665" t="str">
        <f>IF('MASTER RECORD'!F1670="Active",'MASTER RECORD'!C1670,"")</f>
        <v/>
      </c>
      <c r="H1665" t="str">
        <f>IF('MASTER RECORD'!G1670="Sold",'MASTER RECORD'!C1670,"")</f>
        <v/>
      </c>
    </row>
    <row r="1666" spans="2:8">
      <c r="B1666" t="str">
        <f>IF('MASTER RECORD'!F1671="Active",'MASTER RECORD'!C1671,"")</f>
        <v/>
      </c>
      <c r="H1666" t="str">
        <f>IF('MASTER RECORD'!G1671="Sold",'MASTER RECORD'!C1671,"")</f>
        <v/>
      </c>
    </row>
    <row r="1667" spans="2:8">
      <c r="B1667" t="str">
        <f>IF('MASTER RECORD'!F1672="Active",'MASTER RECORD'!C1672,"")</f>
        <v/>
      </c>
      <c r="H1667" t="str">
        <f>IF('MASTER RECORD'!G1672="Sold",'MASTER RECORD'!C1672,"")</f>
        <v/>
      </c>
    </row>
    <row r="1668" spans="2:8">
      <c r="B1668" t="str">
        <f>IF('MASTER RECORD'!F1673="Active",'MASTER RECORD'!C1673,"")</f>
        <v/>
      </c>
      <c r="H1668" t="str">
        <f>IF('MASTER RECORD'!G1673="Sold",'MASTER RECORD'!C1673,"")</f>
        <v/>
      </c>
    </row>
    <row r="1669" spans="2:8">
      <c r="B1669" t="str">
        <f>IF('MASTER RECORD'!F1674="Active",'MASTER RECORD'!C1674,"")</f>
        <v/>
      </c>
      <c r="H1669" t="str">
        <f>IF('MASTER RECORD'!G1674="Sold",'MASTER RECORD'!C1674,"")</f>
        <v/>
      </c>
    </row>
    <row r="1670" spans="2:8">
      <c r="B1670" t="str">
        <f>IF('MASTER RECORD'!F1675="Active",'MASTER RECORD'!C1675,"")</f>
        <v/>
      </c>
      <c r="H1670" t="str">
        <f>IF('MASTER RECORD'!G1675="Sold",'MASTER RECORD'!C1675,"")</f>
        <v/>
      </c>
    </row>
    <row r="1671" spans="2:8">
      <c r="B1671" t="str">
        <f>IF('MASTER RECORD'!F1676="Active",'MASTER RECORD'!C1676,"")</f>
        <v/>
      </c>
      <c r="H1671" t="str">
        <f>IF('MASTER RECORD'!G1676="Sold",'MASTER RECORD'!C1676,"")</f>
        <v/>
      </c>
    </row>
    <row r="1672" spans="2:8">
      <c r="B1672" t="str">
        <f>IF('MASTER RECORD'!F1677="Active",'MASTER RECORD'!C1677,"")</f>
        <v/>
      </c>
      <c r="H1672" t="str">
        <f>IF('MASTER RECORD'!G1677="Sold",'MASTER RECORD'!C1677,"")</f>
        <v/>
      </c>
    </row>
    <row r="1673" spans="2:8">
      <c r="B1673" t="str">
        <f>IF('MASTER RECORD'!F1678="Active",'MASTER RECORD'!C1678,"")</f>
        <v/>
      </c>
      <c r="H1673" t="str">
        <f>IF('MASTER RECORD'!G1678="Sold",'MASTER RECORD'!C1678,"")</f>
        <v/>
      </c>
    </row>
    <row r="1674" spans="2:8">
      <c r="B1674" t="str">
        <f>IF('MASTER RECORD'!F1679="Active",'MASTER RECORD'!C1679,"")</f>
        <v/>
      </c>
      <c r="H1674" t="str">
        <f>IF('MASTER RECORD'!G1679="Sold",'MASTER RECORD'!C1679,"")</f>
        <v/>
      </c>
    </row>
    <row r="1675" spans="2:8">
      <c r="B1675" t="str">
        <f>IF('MASTER RECORD'!F1680="Active",'MASTER RECORD'!C1680,"")</f>
        <v/>
      </c>
      <c r="H1675" t="str">
        <f>IF('MASTER RECORD'!G1680="Sold",'MASTER RECORD'!C1680,"")</f>
        <v/>
      </c>
    </row>
    <row r="1676" spans="2:8">
      <c r="B1676" t="str">
        <f>IF('MASTER RECORD'!F1681="Active",'MASTER RECORD'!C1681,"")</f>
        <v/>
      </c>
      <c r="H1676" t="str">
        <f>IF('MASTER RECORD'!G1681="Sold",'MASTER RECORD'!C1681,"")</f>
        <v/>
      </c>
    </row>
    <row r="1677" spans="2:8">
      <c r="B1677" t="str">
        <f>IF('MASTER RECORD'!F1682="Active",'MASTER RECORD'!C1682,"")</f>
        <v/>
      </c>
      <c r="H1677" t="str">
        <f>IF('MASTER RECORD'!G1682="Sold",'MASTER RECORD'!C1682,"")</f>
        <v/>
      </c>
    </row>
    <row r="1678" spans="2:8">
      <c r="B1678" t="str">
        <f>IF('MASTER RECORD'!F1683="Active",'MASTER RECORD'!C1683,"")</f>
        <v/>
      </c>
      <c r="H1678" t="str">
        <f>IF('MASTER RECORD'!G1683="Sold",'MASTER RECORD'!C1683,"")</f>
        <v/>
      </c>
    </row>
    <row r="1679" spans="2:8">
      <c r="B1679" t="str">
        <f>IF('MASTER RECORD'!F1684="Active",'MASTER RECORD'!C1684,"")</f>
        <v/>
      </c>
      <c r="H1679" t="str">
        <f>IF('MASTER RECORD'!G1684="Sold",'MASTER RECORD'!C1684,"")</f>
        <v/>
      </c>
    </row>
    <row r="1680" spans="2:8">
      <c r="B1680" t="str">
        <f>IF('MASTER RECORD'!F1685="Active",'MASTER RECORD'!C1685,"")</f>
        <v/>
      </c>
      <c r="H1680" t="str">
        <f>IF('MASTER RECORD'!G1685="Sold",'MASTER RECORD'!C1685,"")</f>
        <v/>
      </c>
    </row>
    <row r="1681" spans="2:8">
      <c r="B1681" t="str">
        <f>IF('MASTER RECORD'!F1686="Active",'MASTER RECORD'!C1686,"")</f>
        <v/>
      </c>
      <c r="H1681" t="str">
        <f>IF('MASTER RECORD'!G1686="Sold",'MASTER RECORD'!C1686,"")</f>
        <v/>
      </c>
    </row>
    <row r="1682" spans="2:8">
      <c r="B1682" t="str">
        <f>IF('MASTER RECORD'!F1687="Active",'MASTER RECORD'!C1687,"")</f>
        <v/>
      </c>
      <c r="H1682" t="str">
        <f>IF('MASTER RECORD'!G1687="Sold",'MASTER RECORD'!C1687,"")</f>
        <v/>
      </c>
    </row>
    <row r="1683" spans="2:8">
      <c r="B1683" t="str">
        <f>IF('MASTER RECORD'!F1688="Active",'MASTER RECORD'!C1688,"")</f>
        <v/>
      </c>
      <c r="H1683" t="str">
        <f>IF('MASTER RECORD'!G1688="Sold",'MASTER RECORD'!C1688,"")</f>
        <v/>
      </c>
    </row>
    <row r="1684" spans="2:8">
      <c r="B1684" t="str">
        <f>IF('MASTER RECORD'!F1689="Active",'MASTER RECORD'!C1689,"")</f>
        <v/>
      </c>
      <c r="H1684" t="str">
        <f>IF('MASTER RECORD'!G1689="Sold",'MASTER RECORD'!C1689,"")</f>
        <v/>
      </c>
    </row>
    <row r="1685" spans="2:8">
      <c r="B1685" t="str">
        <f>IF('MASTER RECORD'!F1690="Active",'MASTER RECORD'!C1690,"")</f>
        <v/>
      </c>
      <c r="H1685" t="str">
        <f>IF('MASTER RECORD'!G1690="Sold",'MASTER RECORD'!C1690,"")</f>
        <v/>
      </c>
    </row>
    <row r="1686" spans="2:8">
      <c r="B1686" t="str">
        <f>IF('MASTER RECORD'!F1691="Active",'MASTER RECORD'!C1691,"")</f>
        <v/>
      </c>
      <c r="H1686" t="str">
        <f>IF('MASTER RECORD'!G1691="Sold",'MASTER RECORD'!C1691,"")</f>
        <v/>
      </c>
    </row>
    <row r="1687" spans="2:8">
      <c r="B1687" t="str">
        <f>IF('MASTER RECORD'!F1692="Active",'MASTER RECORD'!C1692,"")</f>
        <v/>
      </c>
      <c r="H1687" t="str">
        <f>IF('MASTER RECORD'!G1692="Sold",'MASTER RECORD'!C1692,"")</f>
        <v/>
      </c>
    </row>
    <row r="1688" spans="2:8">
      <c r="B1688" t="str">
        <f>IF('MASTER RECORD'!F1693="Active",'MASTER RECORD'!C1693,"")</f>
        <v/>
      </c>
      <c r="H1688" t="str">
        <f>IF('MASTER RECORD'!G1693="Sold",'MASTER RECORD'!C1693,"")</f>
        <v/>
      </c>
    </row>
    <row r="1689" spans="2:8">
      <c r="B1689" t="str">
        <f>IF('MASTER RECORD'!F1694="Active",'MASTER RECORD'!C1694,"")</f>
        <v/>
      </c>
      <c r="H1689" t="str">
        <f>IF('MASTER RECORD'!G1694="Sold",'MASTER RECORD'!C1694,"")</f>
        <v/>
      </c>
    </row>
    <row r="1690" spans="2:8">
      <c r="B1690" t="str">
        <f>IF('MASTER RECORD'!F1695="Active",'MASTER RECORD'!C1695,"")</f>
        <v/>
      </c>
      <c r="H1690" t="str">
        <f>IF('MASTER RECORD'!G1695="Sold",'MASTER RECORD'!C1695,"")</f>
        <v/>
      </c>
    </row>
    <row r="1691" spans="2:8">
      <c r="B1691" t="str">
        <f>IF('MASTER RECORD'!F1696="Active",'MASTER RECORD'!C1696,"")</f>
        <v/>
      </c>
      <c r="H1691" t="str">
        <f>IF('MASTER RECORD'!G1696="Sold",'MASTER RECORD'!C1696,"")</f>
        <v/>
      </c>
    </row>
    <row r="1692" spans="2:8">
      <c r="B1692" t="str">
        <f>IF('MASTER RECORD'!F1697="Active",'MASTER RECORD'!C1697,"")</f>
        <v/>
      </c>
      <c r="H1692" t="str">
        <f>IF('MASTER RECORD'!G1697="Sold",'MASTER RECORD'!C1697,"")</f>
        <v/>
      </c>
    </row>
    <row r="1693" spans="2:8">
      <c r="B1693" t="str">
        <f>IF('MASTER RECORD'!F1698="Active",'MASTER RECORD'!C1698,"")</f>
        <v/>
      </c>
      <c r="H1693" t="str">
        <f>IF('MASTER RECORD'!G1698="Sold",'MASTER RECORD'!C1698,"")</f>
        <v/>
      </c>
    </row>
    <row r="1694" spans="2:8">
      <c r="B1694" t="str">
        <f>IF('MASTER RECORD'!F1699="Active",'MASTER RECORD'!C1699,"")</f>
        <v/>
      </c>
      <c r="H1694" t="str">
        <f>IF('MASTER RECORD'!G1699="Sold",'MASTER RECORD'!C1699,"")</f>
        <v/>
      </c>
    </row>
    <row r="1695" spans="2:8">
      <c r="B1695" t="str">
        <f>IF('MASTER RECORD'!F1700="Active",'MASTER RECORD'!C1700,"")</f>
        <v/>
      </c>
      <c r="H1695" t="str">
        <f>IF('MASTER RECORD'!G1700="Sold",'MASTER RECORD'!C1700,"")</f>
        <v/>
      </c>
    </row>
    <row r="1696" spans="2:8">
      <c r="B1696" t="str">
        <f>IF('MASTER RECORD'!F1701="Active",'MASTER RECORD'!C1701,"")</f>
        <v/>
      </c>
      <c r="H1696" t="str">
        <f>IF('MASTER RECORD'!G1701="Sold",'MASTER RECORD'!C1701,"")</f>
        <v/>
      </c>
    </row>
    <row r="1697" spans="2:8">
      <c r="B1697" t="str">
        <f>IF('MASTER RECORD'!F1702="Active",'MASTER RECORD'!C1702,"")</f>
        <v/>
      </c>
      <c r="H1697" t="str">
        <f>IF('MASTER RECORD'!G1702="Sold",'MASTER RECORD'!C1702,"")</f>
        <v/>
      </c>
    </row>
    <row r="1698" spans="2:8">
      <c r="B1698" t="str">
        <f>IF('MASTER RECORD'!F1703="Active",'MASTER RECORD'!C1703,"")</f>
        <v/>
      </c>
      <c r="H1698" t="str">
        <f>IF('MASTER RECORD'!G1703="Sold",'MASTER RECORD'!C1703,"")</f>
        <v/>
      </c>
    </row>
    <row r="1699" spans="2:8">
      <c r="B1699" t="str">
        <f>IF('MASTER RECORD'!F1704="Active",'MASTER RECORD'!C1704,"")</f>
        <v/>
      </c>
      <c r="H1699" t="str">
        <f>IF('MASTER RECORD'!G1704="Sold",'MASTER RECORD'!C1704,"")</f>
        <v/>
      </c>
    </row>
    <row r="1700" spans="2:8">
      <c r="B1700" t="str">
        <f>IF('MASTER RECORD'!F1705="Active",'MASTER RECORD'!C1705,"")</f>
        <v/>
      </c>
      <c r="H1700" t="str">
        <f>IF('MASTER RECORD'!G1705="Sold",'MASTER RECORD'!C1705,"")</f>
        <v/>
      </c>
    </row>
    <row r="1701" spans="2:8">
      <c r="B1701" t="str">
        <f>IF('MASTER RECORD'!F1706="Active",'MASTER RECORD'!C1706,"")</f>
        <v/>
      </c>
      <c r="H1701" t="str">
        <f>IF('MASTER RECORD'!G1706="Sold",'MASTER RECORD'!C1706,"")</f>
        <v/>
      </c>
    </row>
    <row r="1702" spans="2:8">
      <c r="B1702" t="str">
        <f>IF('MASTER RECORD'!F1707="Active",'MASTER RECORD'!C1707,"")</f>
        <v/>
      </c>
      <c r="H1702" t="str">
        <f>IF('MASTER RECORD'!G1707="Sold",'MASTER RECORD'!C1707,"")</f>
        <v/>
      </c>
    </row>
    <row r="1703" spans="2:8">
      <c r="B1703" t="str">
        <f>IF('MASTER RECORD'!F1708="Active",'MASTER RECORD'!C1708,"")</f>
        <v/>
      </c>
      <c r="H1703" t="str">
        <f>IF('MASTER RECORD'!G1708="Sold",'MASTER RECORD'!C1708,"")</f>
        <v/>
      </c>
    </row>
    <row r="1704" spans="2:8">
      <c r="B1704" t="str">
        <f>IF('MASTER RECORD'!F1709="Active",'MASTER RECORD'!C1709,"")</f>
        <v/>
      </c>
      <c r="H1704" t="str">
        <f>IF('MASTER RECORD'!G1709="Sold",'MASTER RECORD'!C1709,"")</f>
        <v/>
      </c>
    </row>
    <row r="1705" spans="2:8">
      <c r="B1705" t="str">
        <f>IF('MASTER RECORD'!F1710="Active",'MASTER RECORD'!C1710,"")</f>
        <v/>
      </c>
      <c r="H1705" t="str">
        <f>IF('MASTER RECORD'!G1710="Sold",'MASTER RECORD'!C1710,"")</f>
        <v/>
      </c>
    </row>
    <row r="1706" spans="2:8">
      <c r="B1706" t="str">
        <f>IF('MASTER RECORD'!F1711="Active",'MASTER RECORD'!C1711,"")</f>
        <v/>
      </c>
      <c r="H1706" t="str">
        <f>IF('MASTER RECORD'!G1711="Sold",'MASTER RECORD'!C1711,"")</f>
        <v/>
      </c>
    </row>
    <row r="1707" spans="2:8">
      <c r="B1707" t="str">
        <f>IF('MASTER RECORD'!F1712="Active",'MASTER RECORD'!C1712,"")</f>
        <v/>
      </c>
      <c r="H1707" t="str">
        <f>IF('MASTER RECORD'!G1712="Sold",'MASTER RECORD'!C1712,"")</f>
        <v/>
      </c>
    </row>
    <row r="1708" spans="2:8">
      <c r="B1708" t="str">
        <f>IF('MASTER RECORD'!F1713="Active",'MASTER RECORD'!C1713,"")</f>
        <v/>
      </c>
      <c r="H1708" t="str">
        <f>IF('MASTER RECORD'!G1713="Sold",'MASTER RECORD'!C1713,"")</f>
        <v/>
      </c>
    </row>
    <row r="1709" spans="2:8">
      <c r="B1709" t="str">
        <f>IF('MASTER RECORD'!F1714="Active",'MASTER RECORD'!C1714,"")</f>
        <v/>
      </c>
      <c r="H1709" t="str">
        <f>IF('MASTER RECORD'!G1714="Sold",'MASTER RECORD'!C1714,"")</f>
        <v/>
      </c>
    </row>
    <row r="1710" spans="2:8">
      <c r="B1710" t="str">
        <f>IF('MASTER RECORD'!F1715="Active",'MASTER RECORD'!C1715,"")</f>
        <v/>
      </c>
      <c r="H1710" t="str">
        <f>IF('MASTER RECORD'!G1715="Sold",'MASTER RECORD'!C1715,"")</f>
        <v/>
      </c>
    </row>
    <row r="1711" spans="2:8">
      <c r="B1711" t="str">
        <f>IF('MASTER RECORD'!F1716="Active",'MASTER RECORD'!C1716,"")</f>
        <v/>
      </c>
      <c r="H1711" t="str">
        <f>IF('MASTER RECORD'!G1716="Sold",'MASTER RECORD'!C1716,"")</f>
        <v/>
      </c>
    </row>
    <row r="1712" spans="2:8">
      <c r="B1712" t="str">
        <f>IF('MASTER RECORD'!F1717="Active",'MASTER RECORD'!C1717,"")</f>
        <v/>
      </c>
      <c r="H1712" t="str">
        <f>IF('MASTER RECORD'!G1717="Sold",'MASTER RECORD'!C1717,"")</f>
        <v/>
      </c>
    </row>
    <row r="1713" spans="2:8">
      <c r="B1713" t="str">
        <f>IF('MASTER RECORD'!F1718="Active",'MASTER RECORD'!C1718,"")</f>
        <v/>
      </c>
      <c r="H1713" t="str">
        <f>IF('MASTER RECORD'!G1718="Sold",'MASTER RECORD'!C1718,"")</f>
        <v/>
      </c>
    </row>
    <row r="1714" spans="2:8">
      <c r="B1714" t="str">
        <f>IF('MASTER RECORD'!F1719="Active",'MASTER RECORD'!C1719,"")</f>
        <v/>
      </c>
      <c r="H1714" t="str">
        <f>IF('MASTER RECORD'!G1719="Sold",'MASTER RECORD'!C1719,"")</f>
        <v/>
      </c>
    </row>
    <row r="1715" spans="2:8">
      <c r="B1715" t="str">
        <f>IF('MASTER RECORD'!F1720="Active",'MASTER RECORD'!C1720,"")</f>
        <v/>
      </c>
      <c r="H1715" t="str">
        <f>IF('MASTER RECORD'!G1720="Sold",'MASTER RECORD'!C1720,"")</f>
        <v/>
      </c>
    </row>
    <row r="1716" spans="2:8">
      <c r="B1716" t="str">
        <f>IF('MASTER RECORD'!F1721="Active",'MASTER RECORD'!C1721,"")</f>
        <v/>
      </c>
      <c r="H1716" t="str">
        <f>IF('MASTER RECORD'!G1721="Sold",'MASTER RECORD'!C1721,"")</f>
        <v/>
      </c>
    </row>
    <row r="1717" spans="2:8">
      <c r="B1717" t="str">
        <f>IF('MASTER RECORD'!F1722="Active",'MASTER RECORD'!C1722,"")</f>
        <v/>
      </c>
      <c r="H1717" t="str">
        <f>IF('MASTER RECORD'!G1722="Sold",'MASTER RECORD'!C1722,"")</f>
        <v/>
      </c>
    </row>
    <row r="1718" spans="2:8">
      <c r="B1718" t="str">
        <f>IF('MASTER RECORD'!F1723="Active",'MASTER RECORD'!C1723,"")</f>
        <v/>
      </c>
      <c r="H1718" t="str">
        <f>IF('MASTER RECORD'!G1723="Sold",'MASTER RECORD'!C1723,"")</f>
        <v/>
      </c>
    </row>
    <row r="1719" spans="2:8">
      <c r="B1719" t="str">
        <f>IF('MASTER RECORD'!F1724="Active",'MASTER RECORD'!C1724,"")</f>
        <v/>
      </c>
      <c r="H1719" t="str">
        <f>IF('MASTER RECORD'!G1724="Sold",'MASTER RECORD'!C1724,"")</f>
        <v/>
      </c>
    </row>
    <row r="1720" spans="2:8">
      <c r="B1720" t="str">
        <f>IF('MASTER RECORD'!F1725="Active",'MASTER RECORD'!C1725,"")</f>
        <v/>
      </c>
      <c r="H1720" t="str">
        <f>IF('MASTER RECORD'!G1725="Sold",'MASTER RECORD'!C1725,"")</f>
        <v/>
      </c>
    </row>
    <row r="1721" spans="2:8">
      <c r="B1721" t="str">
        <f>IF('MASTER RECORD'!F1726="Active",'MASTER RECORD'!C1726,"")</f>
        <v/>
      </c>
      <c r="H1721" t="str">
        <f>IF('MASTER RECORD'!G1726="Sold",'MASTER RECORD'!C1726,"")</f>
        <v/>
      </c>
    </row>
    <row r="1722" spans="2:8">
      <c r="B1722" t="str">
        <f>IF('MASTER RECORD'!F1727="Active",'MASTER RECORD'!C1727,"")</f>
        <v/>
      </c>
      <c r="H1722" t="str">
        <f>IF('MASTER RECORD'!G1727="Sold",'MASTER RECORD'!C1727,"")</f>
        <v/>
      </c>
    </row>
    <row r="1723" spans="2:8">
      <c r="B1723" t="str">
        <f>IF('MASTER RECORD'!F1728="Active",'MASTER RECORD'!C1728,"")</f>
        <v/>
      </c>
      <c r="H1723" t="str">
        <f>IF('MASTER RECORD'!G1728="Sold",'MASTER RECORD'!C1728,"")</f>
        <v/>
      </c>
    </row>
    <row r="1724" spans="2:8">
      <c r="B1724" t="str">
        <f>IF('MASTER RECORD'!F1729="Active",'MASTER RECORD'!C1729,"")</f>
        <v/>
      </c>
      <c r="H1724" t="str">
        <f>IF('MASTER RECORD'!G1729="Sold",'MASTER RECORD'!C1729,"")</f>
        <v/>
      </c>
    </row>
    <row r="1725" spans="2:8">
      <c r="B1725" t="str">
        <f>IF('MASTER RECORD'!F1730="Active",'MASTER RECORD'!C1730,"")</f>
        <v/>
      </c>
      <c r="H1725" t="str">
        <f>IF('MASTER RECORD'!G1730="Sold",'MASTER RECORD'!C1730,"")</f>
        <v/>
      </c>
    </row>
    <row r="1726" spans="2:8">
      <c r="B1726" t="str">
        <f>IF('MASTER RECORD'!F1731="Active",'MASTER RECORD'!C1731,"")</f>
        <v/>
      </c>
      <c r="H1726" t="str">
        <f>IF('MASTER RECORD'!G1731="Sold",'MASTER RECORD'!C1731,"")</f>
        <v/>
      </c>
    </row>
    <row r="1727" spans="2:8">
      <c r="B1727" t="str">
        <f>IF('MASTER RECORD'!F1732="Active",'MASTER RECORD'!C1732,"")</f>
        <v/>
      </c>
      <c r="H1727" t="str">
        <f>IF('MASTER RECORD'!G1732="Sold",'MASTER RECORD'!C1732,"")</f>
        <v/>
      </c>
    </row>
    <row r="1728" spans="2:8">
      <c r="B1728" t="str">
        <f>IF('MASTER RECORD'!F1733="Active",'MASTER RECORD'!C1733,"")</f>
        <v/>
      </c>
      <c r="H1728" t="str">
        <f>IF('MASTER RECORD'!G1733="Sold",'MASTER RECORD'!C1733,"")</f>
        <v/>
      </c>
    </row>
    <row r="1729" spans="2:8">
      <c r="B1729" t="str">
        <f>IF('MASTER RECORD'!F1734="Active",'MASTER RECORD'!C1734,"")</f>
        <v/>
      </c>
      <c r="H1729" t="str">
        <f>IF('MASTER RECORD'!G1734="Sold",'MASTER RECORD'!C1734,"")</f>
        <v/>
      </c>
    </row>
    <row r="1730" spans="2:8">
      <c r="B1730" t="str">
        <f>IF('MASTER RECORD'!F1735="Active",'MASTER RECORD'!C1735,"")</f>
        <v/>
      </c>
      <c r="H1730" t="str">
        <f>IF('MASTER RECORD'!G1735="Sold",'MASTER RECORD'!C1735,"")</f>
        <v/>
      </c>
    </row>
    <row r="1731" spans="2:8">
      <c r="B1731" t="str">
        <f>IF('MASTER RECORD'!F1736="Active",'MASTER RECORD'!C1736,"")</f>
        <v/>
      </c>
      <c r="H1731" t="str">
        <f>IF('MASTER RECORD'!G1736="Sold",'MASTER RECORD'!C1736,"")</f>
        <v/>
      </c>
    </row>
    <row r="1732" spans="2:8">
      <c r="B1732" t="str">
        <f>IF('MASTER RECORD'!F1737="Active",'MASTER RECORD'!C1737,"")</f>
        <v/>
      </c>
      <c r="H1732" t="str">
        <f>IF('MASTER RECORD'!G1737="Sold",'MASTER RECORD'!C1737,"")</f>
        <v/>
      </c>
    </row>
    <row r="1733" spans="2:8">
      <c r="B1733" t="str">
        <f>IF('MASTER RECORD'!F1738="Active",'MASTER RECORD'!C1738,"")</f>
        <v/>
      </c>
      <c r="H1733" t="str">
        <f>IF('MASTER RECORD'!G1738="Sold",'MASTER RECORD'!C1738,"")</f>
        <v/>
      </c>
    </row>
    <row r="1734" spans="2:8">
      <c r="B1734" t="str">
        <f>IF('MASTER RECORD'!F1739="Active",'MASTER RECORD'!C1739,"")</f>
        <v/>
      </c>
      <c r="H1734" t="str">
        <f>IF('MASTER RECORD'!G1739="Sold",'MASTER RECORD'!C1739,"")</f>
        <v/>
      </c>
    </row>
    <row r="1735" spans="2:8">
      <c r="B1735" t="str">
        <f>IF('MASTER RECORD'!F1740="Active",'MASTER RECORD'!C1740,"")</f>
        <v/>
      </c>
      <c r="H1735" t="str">
        <f>IF('MASTER RECORD'!G1740="Sold",'MASTER RECORD'!C1740,"")</f>
        <v/>
      </c>
    </row>
    <row r="1736" spans="2:8">
      <c r="B1736" t="str">
        <f>IF('MASTER RECORD'!F1741="Active",'MASTER RECORD'!C1741,"")</f>
        <v/>
      </c>
      <c r="H1736" t="str">
        <f>IF('MASTER RECORD'!G1741="Sold",'MASTER RECORD'!C1741,"")</f>
        <v/>
      </c>
    </row>
    <row r="1737" spans="2:8">
      <c r="B1737" t="str">
        <f>IF('MASTER RECORD'!F1742="Active",'MASTER RECORD'!C1742,"")</f>
        <v/>
      </c>
      <c r="H1737" t="str">
        <f>IF('MASTER RECORD'!G1742="Sold",'MASTER RECORD'!C1742,"")</f>
        <v/>
      </c>
    </row>
    <row r="1738" spans="2:8">
      <c r="B1738" t="str">
        <f>IF('MASTER RECORD'!F1743="Active",'MASTER RECORD'!C1743,"")</f>
        <v/>
      </c>
      <c r="H1738" t="str">
        <f>IF('MASTER RECORD'!G1743="Sold",'MASTER RECORD'!C1743,"")</f>
        <v/>
      </c>
    </row>
    <row r="1739" spans="2:8">
      <c r="B1739" t="str">
        <f>IF('MASTER RECORD'!F1744="Active",'MASTER RECORD'!C1744,"")</f>
        <v/>
      </c>
      <c r="H1739" t="str">
        <f>IF('MASTER RECORD'!G1744="Sold",'MASTER RECORD'!C1744,"")</f>
        <v/>
      </c>
    </row>
    <row r="1740" spans="2:8">
      <c r="B1740" t="str">
        <f>IF('MASTER RECORD'!F1745="Active",'MASTER RECORD'!C1745,"")</f>
        <v/>
      </c>
      <c r="H1740" t="str">
        <f>IF('MASTER RECORD'!G1745="Sold",'MASTER RECORD'!C1745,"")</f>
        <v/>
      </c>
    </row>
    <row r="1741" spans="2:8">
      <c r="B1741" t="str">
        <f>IF('MASTER RECORD'!F1746="Active",'MASTER RECORD'!C1746,"")</f>
        <v/>
      </c>
      <c r="H1741" t="str">
        <f>IF('MASTER RECORD'!G1746="Sold",'MASTER RECORD'!C1746,"")</f>
        <v/>
      </c>
    </row>
    <row r="1742" spans="2:8">
      <c r="B1742" t="str">
        <f>IF('MASTER RECORD'!F1747="Active",'MASTER RECORD'!C1747,"")</f>
        <v/>
      </c>
      <c r="H1742" t="str">
        <f>IF('MASTER RECORD'!G1747="Sold",'MASTER RECORD'!C1747,"")</f>
        <v/>
      </c>
    </row>
    <row r="1743" spans="2:8">
      <c r="B1743" t="str">
        <f>IF('MASTER RECORD'!F1748="Active",'MASTER RECORD'!C1748,"")</f>
        <v/>
      </c>
      <c r="H1743" t="str">
        <f>IF('MASTER RECORD'!G1748="Sold",'MASTER RECORD'!C1748,"")</f>
        <v/>
      </c>
    </row>
    <row r="1744" spans="2:8">
      <c r="B1744" t="str">
        <f>IF('MASTER RECORD'!F1749="Active",'MASTER RECORD'!C1749,"")</f>
        <v/>
      </c>
      <c r="H1744" t="str">
        <f>IF('MASTER RECORD'!G1749="Sold",'MASTER RECORD'!C1749,"")</f>
        <v/>
      </c>
    </row>
    <row r="1745" spans="2:8">
      <c r="B1745" t="str">
        <f>IF('MASTER RECORD'!F1750="Active",'MASTER RECORD'!C1750,"")</f>
        <v/>
      </c>
      <c r="H1745" t="str">
        <f>IF('MASTER RECORD'!G1750="Sold",'MASTER RECORD'!C1750,"")</f>
        <v/>
      </c>
    </row>
    <row r="1746" spans="2:8">
      <c r="B1746" t="str">
        <f>IF('MASTER RECORD'!F1751="Active",'MASTER RECORD'!C1751,"")</f>
        <v/>
      </c>
      <c r="H1746" t="str">
        <f>IF('MASTER RECORD'!G1751="Sold",'MASTER RECORD'!C1751,"")</f>
        <v/>
      </c>
    </row>
    <row r="1747" spans="2:8">
      <c r="B1747" t="str">
        <f>IF('MASTER RECORD'!F1752="Active",'MASTER RECORD'!C1752,"")</f>
        <v/>
      </c>
      <c r="H1747" t="str">
        <f>IF('MASTER RECORD'!G1752="Sold",'MASTER RECORD'!C1752,"")</f>
        <v/>
      </c>
    </row>
    <row r="1748" spans="2:8">
      <c r="B1748" t="str">
        <f>IF('MASTER RECORD'!F1753="Active",'MASTER RECORD'!C1753,"")</f>
        <v/>
      </c>
      <c r="H1748" t="str">
        <f>IF('MASTER RECORD'!G1753="Sold",'MASTER RECORD'!C1753,"")</f>
        <v/>
      </c>
    </row>
    <row r="1749" spans="2:8">
      <c r="B1749" t="str">
        <f>IF('MASTER RECORD'!F1754="Active",'MASTER RECORD'!C1754,"")</f>
        <v/>
      </c>
      <c r="H1749" t="str">
        <f>IF('MASTER RECORD'!G1754="Sold",'MASTER RECORD'!C1754,"")</f>
        <v/>
      </c>
    </row>
    <row r="1750" spans="2:8">
      <c r="B1750" t="str">
        <f>IF('MASTER RECORD'!F1755="Active",'MASTER RECORD'!C1755,"")</f>
        <v/>
      </c>
      <c r="H1750" t="str">
        <f>IF('MASTER RECORD'!G1755="Sold",'MASTER RECORD'!C1755,"")</f>
        <v/>
      </c>
    </row>
    <row r="1751" spans="2:8">
      <c r="B1751" t="str">
        <f>IF('MASTER RECORD'!F1756="Active",'MASTER RECORD'!C1756,"")</f>
        <v/>
      </c>
      <c r="H1751" t="str">
        <f>IF('MASTER RECORD'!G1756="Sold",'MASTER RECORD'!C1756,"")</f>
        <v/>
      </c>
    </row>
    <row r="1752" spans="2:8">
      <c r="B1752" t="str">
        <f>IF('MASTER RECORD'!F1757="Active",'MASTER RECORD'!C1757,"")</f>
        <v/>
      </c>
      <c r="H1752" t="str">
        <f>IF('MASTER RECORD'!G1757="Sold",'MASTER RECORD'!C1757,"")</f>
        <v/>
      </c>
    </row>
    <row r="1753" spans="2:8">
      <c r="B1753" t="str">
        <f>IF('MASTER RECORD'!F1758="Active",'MASTER RECORD'!C1758,"")</f>
        <v/>
      </c>
      <c r="H1753" t="str">
        <f>IF('MASTER RECORD'!G1758="Sold",'MASTER RECORD'!C1758,"")</f>
        <v/>
      </c>
    </row>
    <row r="1754" spans="2:8">
      <c r="B1754" t="str">
        <f>IF('MASTER RECORD'!F1759="Active",'MASTER RECORD'!C1759,"")</f>
        <v/>
      </c>
      <c r="H1754" t="str">
        <f>IF('MASTER RECORD'!G1759="Sold",'MASTER RECORD'!C1759,"")</f>
        <v/>
      </c>
    </row>
    <row r="1755" spans="2:8">
      <c r="B1755" t="str">
        <f>IF('MASTER RECORD'!F1760="Active",'MASTER RECORD'!C1760,"")</f>
        <v/>
      </c>
      <c r="H1755" t="str">
        <f>IF('MASTER RECORD'!G1760="Sold",'MASTER RECORD'!C1760,"")</f>
        <v/>
      </c>
    </row>
    <row r="1756" spans="2:8">
      <c r="B1756" t="str">
        <f>IF('MASTER RECORD'!F1761="Active",'MASTER RECORD'!C1761,"")</f>
        <v/>
      </c>
      <c r="H1756" t="str">
        <f>IF('MASTER RECORD'!G1761="Sold",'MASTER RECORD'!C1761,"")</f>
        <v/>
      </c>
    </row>
    <row r="1757" spans="2:8">
      <c r="B1757" t="str">
        <f>IF('MASTER RECORD'!F1762="Active",'MASTER RECORD'!C1762,"")</f>
        <v/>
      </c>
      <c r="H1757" t="str">
        <f>IF('MASTER RECORD'!G1762="Sold",'MASTER RECORD'!C1762,"")</f>
        <v/>
      </c>
    </row>
    <row r="1758" spans="2:8">
      <c r="B1758" t="str">
        <f>IF('MASTER RECORD'!F1763="Active",'MASTER RECORD'!C1763,"")</f>
        <v/>
      </c>
      <c r="H1758" t="str">
        <f>IF('MASTER RECORD'!G1763="Sold",'MASTER RECORD'!C1763,"")</f>
        <v/>
      </c>
    </row>
    <row r="1759" spans="2:8">
      <c r="B1759" t="str">
        <f>IF('MASTER RECORD'!F1764="Active",'MASTER RECORD'!C1764,"")</f>
        <v/>
      </c>
      <c r="H1759" t="str">
        <f>IF('MASTER RECORD'!G1764="Sold",'MASTER RECORD'!C1764,"")</f>
        <v/>
      </c>
    </row>
    <row r="1760" spans="2:8">
      <c r="B1760" t="str">
        <f>IF('MASTER RECORD'!F1765="Active",'MASTER RECORD'!C1765,"")</f>
        <v/>
      </c>
      <c r="H1760" t="str">
        <f>IF('MASTER RECORD'!G1765="Sold",'MASTER RECORD'!C1765,"")</f>
        <v/>
      </c>
    </row>
    <row r="1761" spans="2:8">
      <c r="B1761" t="str">
        <f>IF('MASTER RECORD'!F1766="Active",'MASTER RECORD'!C1766,"")</f>
        <v/>
      </c>
      <c r="H1761" t="str">
        <f>IF('MASTER RECORD'!G1766="Sold",'MASTER RECORD'!C1766,"")</f>
        <v/>
      </c>
    </row>
    <row r="1762" spans="2:8">
      <c r="B1762" t="str">
        <f>IF('MASTER RECORD'!F1767="Active",'MASTER RECORD'!C1767,"")</f>
        <v/>
      </c>
      <c r="H1762" t="str">
        <f>IF('MASTER RECORD'!G1767="Sold",'MASTER RECORD'!C1767,"")</f>
        <v/>
      </c>
    </row>
    <row r="1763" spans="2:8">
      <c r="B1763" t="str">
        <f>IF('MASTER RECORD'!F1768="Active",'MASTER RECORD'!C1768,"")</f>
        <v/>
      </c>
      <c r="H1763" t="str">
        <f>IF('MASTER RECORD'!G1768="Sold",'MASTER RECORD'!C1768,"")</f>
        <v/>
      </c>
    </row>
    <row r="1764" spans="2:8">
      <c r="B1764" t="str">
        <f>IF('MASTER RECORD'!F1769="Active",'MASTER RECORD'!C1769,"")</f>
        <v/>
      </c>
      <c r="H1764" t="str">
        <f>IF('MASTER RECORD'!G1769="Sold",'MASTER RECORD'!C1769,"")</f>
        <v/>
      </c>
    </row>
    <row r="1765" spans="2:8">
      <c r="B1765" t="str">
        <f>IF('MASTER RECORD'!F1770="Active",'MASTER RECORD'!C1770,"")</f>
        <v/>
      </c>
      <c r="H1765" t="str">
        <f>IF('MASTER RECORD'!G1770="Sold",'MASTER RECORD'!C1770,"")</f>
        <v/>
      </c>
    </row>
    <row r="1766" spans="2:8">
      <c r="B1766" t="str">
        <f>IF('MASTER RECORD'!F1771="Active",'MASTER RECORD'!C1771,"")</f>
        <v/>
      </c>
      <c r="H1766" t="str">
        <f>IF('MASTER RECORD'!G1771="Sold",'MASTER RECORD'!C1771,"")</f>
        <v/>
      </c>
    </row>
    <row r="1767" spans="2:8">
      <c r="B1767" t="str">
        <f>IF('MASTER RECORD'!F1772="Active",'MASTER RECORD'!C1772,"")</f>
        <v/>
      </c>
      <c r="H1767" t="str">
        <f>IF('MASTER RECORD'!G1772="Sold",'MASTER RECORD'!C1772,"")</f>
        <v/>
      </c>
    </row>
    <row r="1768" spans="2:8">
      <c r="B1768" t="str">
        <f>IF('MASTER RECORD'!F1773="Active",'MASTER RECORD'!C1773,"")</f>
        <v/>
      </c>
      <c r="H1768" t="str">
        <f>IF('MASTER RECORD'!G1773="Sold",'MASTER RECORD'!C1773,"")</f>
        <v/>
      </c>
    </row>
    <row r="1769" spans="2:8">
      <c r="B1769" t="str">
        <f>IF('MASTER RECORD'!F1774="Active",'MASTER RECORD'!C1774,"")</f>
        <v/>
      </c>
      <c r="H1769" t="str">
        <f>IF('MASTER RECORD'!G1774="Sold",'MASTER RECORD'!C1774,"")</f>
        <v/>
      </c>
    </row>
    <row r="1770" spans="2:8">
      <c r="B1770" t="str">
        <f>IF('MASTER RECORD'!F1775="Active",'MASTER RECORD'!C1775,"")</f>
        <v/>
      </c>
      <c r="H1770" t="str">
        <f>IF('MASTER RECORD'!G1775="Sold",'MASTER RECORD'!C1775,"")</f>
        <v/>
      </c>
    </row>
    <row r="1771" spans="2:8">
      <c r="B1771" t="str">
        <f>IF('MASTER RECORD'!F1776="Active",'MASTER RECORD'!C1776,"")</f>
        <v/>
      </c>
      <c r="H1771" t="str">
        <f>IF('MASTER RECORD'!G1776="Sold",'MASTER RECORD'!C1776,"")</f>
        <v/>
      </c>
    </row>
    <row r="1772" spans="2:8">
      <c r="B1772" t="str">
        <f>IF('MASTER RECORD'!F1777="Active",'MASTER RECORD'!C1777,"")</f>
        <v/>
      </c>
      <c r="H1772" t="str">
        <f>IF('MASTER RECORD'!G1777="Sold",'MASTER RECORD'!C1777,"")</f>
        <v/>
      </c>
    </row>
    <row r="1773" spans="2:8">
      <c r="B1773" t="str">
        <f>IF('MASTER RECORD'!F1778="Active",'MASTER RECORD'!C1778,"")</f>
        <v/>
      </c>
      <c r="H1773" t="str">
        <f>IF('MASTER RECORD'!G1778="Sold",'MASTER RECORD'!C1778,"")</f>
        <v/>
      </c>
    </row>
    <row r="1774" spans="2:8">
      <c r="B1774" t="str">
        <f>IF('MASTER RECORD'!F1779="Active",'MASTER RECORD'!C1779,"")</f>
        <v/>
      </c>
      <c r="H1774" t="str">
        <f>IF('MASTER RECORD'!G1779="Sold",'MASTER RECORD'!C1779,"")</f>
        <v/>
      </c>
    </row>
    <row r="1775" spans="2:8">
      <c r="B1775" t="str">
        <f>IF('MASTER RECORD'!F1780="Active",'MASTER RECORD'!C1780,"")</f>
        <v/>
      </c>
      <c r="H1775" t="str">
        <f>IF('MASTER RECORD'!G1780="Sold",'MASTER RECORD'!C1780,"")</f>
        <v/>
      </c>
    </row>
    <row r="1776" spans="2:8">
      <c r="B1776" t="str">
        <f>IF('MASTER RECORD'!F1781="Active",'MASTER RECORD'!C1781,"")</f>
        <v/>
      </c>
      <c r="H1776" t="str">
        <f>IF('MASTER RECORD'!G1781="Sold",'MASTER RECORD'!C1781,"")</f>
        <v/>
      </c>
    </row>
    <row r="1777" spans="2:8">
      <c r="B1777" t="str">
        <f>IF('MASTER RECORD'!F1782="Active",'MASTER RECORD'!C1782,"")</f>
        <v/>
      </c>
      <c r="H1777" t="str">
        <f>IF('MASTER RECORD'!G1782="Sold",'MASTER RECORD'!C1782,"")</f>
        <v/>
      </c>
    </row>
    <row r="1778" spans="2:8">
      <c r="B1778" t="str">
        <f>IF('MASTER RECORD'!F1783="Active",'MASTER RECORD'!C1783,"")</f>
        <v/>
      </c>
      <c r="H1778" t="str">
        <f>IF('MASTER RECORD'!G1783="Sold",'MASTER RECORD'!C1783,"")</f>
        <v/>
      </c>
    </row>
    <row r="1779" spans="2:8">
      <c r="B1779" t="str">
        <f>IF('MASTER RECORD'!F1784="Active",'MASTER RECORD'!C1784,"")</f>
        <v/>
      </c>
      <c r="H1779" t="str">
        <f>IF('MASTER RECORD'!G1784="Sold",'MASTER RECORD'!C1784,"")</f>
        <v/>
      </c>
    </row>
    <row r="1780" spans="2:8">
      <c r="B1780" t="str">
        <f>IF('MASTER RECORD'!F1785="Active",'MASTER RECORD'!C1785,"")</f>
        <v/>
      </c>
      <c r="H1780" t="str">
        <f>IF('MASTER RECORD'!G1785="Sold",'MASTER RECORD'!C1785,"")</f>
        <v/>
      </c>
    </row>
    <row r="1781" spans="2:8">
      <c r="B1781" t="str">
        <f>IF('MASTER RECORD'!F1786="Active",'MASTER RECORD'!C1786,"")</f>
        <v/>
      </c>
      <c r="H1781" t="str">
        <f>IF('MASTER RECORD'!G1786="Sold",'MASTER RECORD'!C1786,"")</f>
        <v/>
      </c>
    </row>
    <row r="1782" spans="2:8">
      <c r="B1782" t="str">
        <f>IF('MASTER RECORD'!F1787="Active",'MASTER RECORD'!C1787,"")</f>
        <v/>
      </c>
      <c r="H1782" t="str">
        <f>IF('MASTER RECORD'!G1787="Sold",'MASTER RECORD'!C1787,"")</f>
        <v/>
      </c>
    </row>
    <row r="1783" spans="2:8">
      <c r="B1783" t="str">
        <f>IF('MASTER RECORD'!F1788="Active",'MASTER RECORD'!C1788,"")</f>
        <v/>
      </c>
      <c r="H1783" t="str">
        <f>IF('MASTER RECORD'!G1788="Sold",'MASTER RECORD'!C1788,"")</f>
        <v/>
      </c>
    </row>
    <row r="1784" spans="2:8">
      <c r="B1784" t="str">
        <f>IF('MASTER RECORD'!F1789="Active",'MASTER RECORD'!C1789,"")</f>
        <v/>
      </c>
      <c r="H1784" t="str">
        <f>IF('MASTER RECORD'!G1789="Sold",'MASTER RECORD'!C1789,"")</f>
        <v/>
      </c>
    </row>
    <row r="1785" spans="2:8">
      <c r="B1785" t="str">
        <f>IF('MASTER RECORD'!F1790="Active",'MASTER RECORD'!C1790,"")</f>
        <v/>
      </c>
      <c r="H1785" t="str">
        <f>IF('MASTER RECORD'!G1790="Sold",'MASTER RECORD'!C1790,"")</f>
        <v/>
      </c>
    </row>
    <row r="1786" spans="2:8">
      <c r="B1786" t="str">
        <f>IF('MASTER RECORD'!F1791="Active",'MASTER RECORD'!C1791,"")</f>
        <v/>
      </c>
      <c r="H1786" t="str">
        <f>IF('MASTER RECORD'!G1791="Sold",'MASTER RECORD'!C1791,"")</f>
        <v/>
      </c>
    </row>
    <row r="1787" spans="2:8">
      <c r="B1787" t="str">
        <f>IF('MASTER RECORD'!F1792="Active",'MASTER RECORD'!C1792,"")</f>
        <v/>
      </c>
      <c r="H1787" t="str">
        <f>IF('MASTER RECORD'!G1792="Sold",'MASTER RECORD'!C1792,"")</f>
        <v/>
      </c>
    </row>
    <row r="1788" spans="2:8">
      <c r="B1788" t="str">
        <f>IF('MASTER RECORD'!F1793="Active",'MASTER RECORD'!C1793,"")</f>
        <v/>
      </c>
      <c r="H1788" t="str">
        <f>IF('MASTER RECORD'!G1793="Sold",'MASTER RECORD'!C1793,"")</f>
        <v/>
      </c>
    </row>
    <row r="1789" spans="2:8">
      <c r="B1789" t="str">
        <f>IF('MASTER RECORD'!F1794="Active",'MASTER RECORD'!C1794,"")</f>
        <v/>
      </c>
      <c r="H1789" t="str">
        <f>IF('MASTER RECORD'!G1794="Sold",'MASTER RECORD'!C1794,"")</f>
        <v/>
      </c>
    </row>
    <row r="1790" spans="2:8">
      <c r="B1790" t="str">
        <f>IF('MASTER RECORD'!F1795="Active",'MASTER RECORD'!C1795,"")</f>
        <v/>
      </c>
      <c r="H1790" t="str">
        <f>IF('MASTER RECORD'!G1795="Sold",'MASTER RECORD'!C1795,"")</f>
        <v/>
      </c>
    </row>
    <row r="1791" spans="2:8">
      <c r="B1791" t="str">
        <f>IF('MASTER RECORD'!F1796="Active",'MASTER RECORD'!C1796,"")</f>
        <v/>
      </c>
      <c r="H1791" t="str">
        <f>IF('MASTER RECORD'!G1796="Sold",'MASTER RECORD'!C1796,"")</f>
        <v/>
      </c>
    </row>
    <row r="1792" spans="2:8">
      <c r="B1792" t="str">
        <f>IF('MASTER RECORD'!F1797="Active",'MASTER RECORD'!C1797,"")</f>
        <v/>
      </c>
      <c r="H1792" t="str">
        <f>IF('MASTER RECORD'!G1797="Sold",'MASTER RECORD'!C1797,"")</f>
        <v/>
      </c>
    </row>
    <row r="1793" spans="2:8">
      <c r="B1793" t="str">
        <f>IF('MASTER RECORD'!F1798="Active",'MASTER RECORD'!C1798,"")</f>
        <v/>
      </c>
      <c r="H1793" t="str">
        <f>IF('MASTER RECORD'!G1798="Sold",'MASTER RECORD'!C1798,"")</f>
        <v/>
      </c>
    </row>
    <row r="1794" spans="2:8">
      <c r="B1794" t="str">
        <f>IF('MASTER RECORD'!F1799="Active",'MASTER RECORD'!C1799,"")</f>
        <v/>
      </c>
      <c r="H1794" t="str">
        <f>IF('MASTER RECORD'!G1799="Sold",'MASTER RECORD'!C1799,"")</f>
        <v/>
      </c>
    </row>
    <row r="1795" spans="2:8">
      <c r="B1795" t="str">
        <f>IF('MASTER RECORD'!F1800="Active",'MASTER RECORD'!C1800,"")</f>
        <v/>
      </c>
      <c r="H1795" t="str">
        <f>IF('MASTER RECORD'!G1800="Sold",'MASTER RECORD'!C1800,"")</f>
        <v/>
      </c>
    </row>
    <row r="1796" spans="2:8">
      <c r="B1796" t="str">
        <f>IF('MASTER RECORD'!F1801="Active",'MASTER RECORD'!C1801,"")</f>
        <v/>
      </c>
      <c r="H1796" t="str">
        <f>IF('MASTER RECORD'!G1801="Sold",'MASTER RECORD'!C1801,"")</f>
        <v/>
      </c>
    </row>
    <row r="1797" spans="2:8">
      <c r="B1797" t="str">
        <f>IF('MASTER RECORD'!F1802="Active",'MASTER RECORD'!C1802,"")</f>
        <v/>
      </c>
      <c r="H1797" t="str">
        <f>IF('MASTER RECORD'!G1802="Sold",'MASTER RECORD'!C1802,"")</f>
        <v/>
      </c>
    </row>
    <row r="1798" spans="2:8">
      <c r="B1798" t="str">
        <f>IF('MASTER RECORD'!F1803="Active",'MASTER RECORD'!C1803,"")</f>
        <v/>
      </c>
      <c r="H1798" t="str">
        <f>IF('MASTER RECORD'!G1803="Sold",'MASTER RECORD'!C1803,"")</f>
        <v/>
      </c>
    </row>
    <row r="1799" spans="2:8">
      <c r="B1799" t="str">
        <f>IF('MASTER RECORD'!F1804="Active",'MASTER RECORD'!C1804,"")</f>
        <v/>
      </c>
      <c r="H1799" t="str">
        <f>IF('MASTER RECORD'!G1804="Sold",'MASTER RECORD'!C1804,"")</f>
        <v/>
      </c>
    </row>
    <row r="1800" spans="2:8">
      <c r="B1800" t="str">
        <f>IF('MASTER RECORD'!F1805="Active",'MASTER RECORD'!C1805,"")</f>
        <v/>
      </c>
      <c r="H1800" t="str">
        <f>IF('MASTER RECORD'!G1805="Sold",'MASTER RECORD'!C1805,"")</f>
        <v/>
      </c>
    </row>
    <row r="1801" spans="2:8">
      <c r="B1801" t="str">
        <f>IF('MASTER RECORD'!F1806="Active",'MASTER RECORD'!C1806,"")</f>
        <v/>
      </c>
      <c r="H1801" t="str">
        <f>IF('MASTER RECORD'!G1806="Sold",'MASTER RECORD'!C1806,"")</f>
        <v/>
      </c>
    </row>
    <row r="1802" spans="2:8">
      <c r="B1802" t="str">
        <f>IF('MASTER RECORD'!F1807="Active",'MASTER RECORD'!C1807,"")</f>
        <v/>
      </c>
      <c r="H1802" t="str">
        <f>IF('MASTER RECORD'!G1807="Sold",'MASTER RECORD'!C1807,"")</f>
        <v/>
      </c>
    </row>
    <row r="1803" spans="2:8">
      <c r="B1803" t="str">
        <f>IF('MASTER RECORD'!F1808="Active",'MASTER RECORD'!C1808,"")</f>
        <v/>
      </c>
      <c r="H1803" t="str">
        <f>IF('MASTER RECORD'!G1808="Sold",'MASTER RECORD'!C1808,"")</f>
        <v/>
      </c>
    </row>
    <row r="1804" spans="2:8">
      <c r="B1804" t="str">
        <f>IF('MASTER RECORD'!F1809="Active",'MASTER RECORD'!C1809,"")</f>
        <v/>
      </c>
      <c r="H1804" t="str">
        <f>IF('MASTER RECORD'!G1809="Sold",'MASTER RECORD'!C1809,"")</f>
        <v/>
      </c>
    </row>
    <row r="1805" spans="2:8">
      <c r="B1805" t="str">
        <f>IF('MASTER RECORD'!F1810="Active",'MASTER RECORD'!C1810,"")</f>
        <v/>
      </c>
      <c r="H1805" t="str">
        <f>IF('MASTER RECORD'!G1810="Sold",'MASTER RECORD'!C1810,"")</f>
        <v/>
      </c>
    </row>
    <row r="1806" spans="2:8">
      <c r="B1806" t="str">
        <f>IF('MASTER RECORD'!F1811="Active",'MASTER RECORD'!C1811,"")</f>
        <v/>
      </c>
      <c r="H1806" t="str">
        <f>IF('MASTER RECORD'!G1811="Sold",'MASTER RECORD'!C1811,"")</f>
        <v/>
      </c>
    </row>
    <row r="1807" spans="2:8">
      <c r="B1807" t="str">
        <f>IF('MASTER RECORD'!F1812="Active",'MASTER RECORD'!C1812,"")</f>
        <v/>
      </c>
      <c r="H1807" t="str">
        <f>IF('MASTER RECORD'!G1812="Sold",'MASTER RECORD'!C1812,"")</f>
        <v/>
      </c>
    </row>
    <row r="1808" spans="2:8">
      <c r="B1808" t="str">
        <f>IF('MASTER RECORD'!F1813="Active",'MASTER RECORD'!C1813,"")</f>
        <v/>
      </c>
      <c r="H1808" t="str">
        <f>IF('MASTER RECORD'!G1813="Sold",'MASTER RECORD'!C1813,"")</f>
        <v/>
      </c>
    </row>
    <row r="1809" spans="2:8">
      <c r="B1809" t="str">
        <f>IF('MASTER RECORD'!F1814="Active",'MASTER RECORD'!C1814,"")</f>
        <v/>
      </c>
      <c r="H1809" t="str">
        <f>IF('MASTER RECORD'!G1814="Sold",'MASTER RECORD'!C1814,"")</f>
        <v/>
      </c>
    </row>
    <row r="1810" spans="2:8">
      <c r="B1810" t="str">
        <f>IF('MASTER RECORD'!F1815="Active",'MASTER RECORD'!C1815,"")</f>
        <v/>
      </c>
      <c r="H1810" t="str">
        <f>IF('MASTER RECORD'!G1815="Sold",'MASTER RECORD'!C1815,"")</f>
        <v/>
      </c>
    </row>
    <row r="1811" spans="2:8">
      <c r="B1811" t="str">
        <f>IF('MASTER RECORD'!F1816="Active",'MASTER RECORD'!C1816,"")</f>
        <v/>
      </c>
      <c r="H1811" t="str">
        <f>IF('MASTER RECORD'!G1816="Sold",'MASTER RECORD'!C1816,"")</f>
        <v/>
      </c>
    </row>
    <row r="1812" spans="2:8">
      <c r="B1812" t="str">
        <f>IF('MASTER RECORD'!F1817="Active",'MASTER RECORD'!C1817,"")</f>
        <v/>
      </c>
      <c r="H1812" t="str">
        <f>IF('MASTER RECORD'!G1817="Sold",'MASTER RECORD'!C1817,"")</f>
        <v/>
      </c>
    </row>
    <row r="1813" spans="2:8">
      <c r="B1813" t="str">
        <f>IF('MASTER RECORD'!F1818="Active",'MASTER RECORD'!C1818,"")</f>
        <v/>
      </c>
      <c r="H1813" t="str">
        <f>IF('MASTER RECORD'!G1818="Sold",'MASTER RECORD'!C1818,"")</f>
        <v/>
      </c>
    </row>
    <row r="1814" spans="2:8">
      <c r="B1814" t="str">
        <f>IF('MASTER RECORD'!F1819="Active",'MASTER RECORD'!C1819,"")</f>
        <v/>
      </c>
      <c r="H1814" t="str">
        <f>IF('MASTER RECORD'!G1819="Sold",'MASTER RECORD'!C1819,"")</f>
        <v/>
      </c>
    </row>
    <row r="1815" spans="2:8">
      <c r="B1815" t="str">
        <f>IF('MASTER RECORD'!F1820="Active",'MASTER RECORD'!C1820,"")</f>
        <v/>
      </c>
      <c r="H1815" t="str">
        <f>IF('MASTER RECORD'!G1820="Sold",'MASTER RECORD'!C1820,"")</f>
        <v/>
      </c>
    </row>
    <row r="1816" spans="2:8">
      <c r="B1816" t="str">
        <f>IF('MASTER RECORD'!F1821="Active",'MASTER RECORD'!C1821,"")</f>
        <v/>
      </c>
      <c r="H1816" t="str">
        <f>IF('MASTER RECORD'!G1821="Sold",'MASTER RECORD'!C1821,"")</f>
        <v/>
      </c>
    </row>
    <row r="1817" spans="2:8">
      <c r="B1817" t="str">
        <f>IF('MASTER RECORD'!F1822="Active",'MASTER RECORD'!C1822,"")</f>
        <v/>
      </c>
      <c r="H1817" t="str">
        <f>IF('MASTER RECORD'!G1822="Sold",'MASTER RECORD'!C1822,"")</f>
        <v/>
      </c>
    </row>
    <row r="1818" spans="2:8">
      <c r="B1818" t="str">
        <f>IF('MASTER RECORD'!F1823="Active",'MASTER RECORD'!C1823,"")</f>
        <v/>
      </c>
      <c r="H1818" t="str">
        <f>IF('MASTER RECORD'!G1823="Sold",'MASTER RECORD'!C1823,"")</f>
        <v/>
      </c>
    </row>
    <row r="1819" spans="2:8">
      <c r="B1819" t="str">
        <f>IF('MASTER RECORD'!F1824="Active",'MASTER RECORD'!C1824,"")</f>
        <v/>
      </c>
      <c r="H1819" t="str">
        <f>IF('MASTER RECORD'!G1824="Sold",'MASTER RECORD'!C1824,"")</f>
        <v/>
      </c>
    </row>
    <row r="1820" spans="2:8">
      <c r="B1820" t="str">
        <f>IF('MASTER RECORD'!F1825="Active",'MASTER RECORD'!C1825,"")</f>
        <v/>
      </c>
      <c r="H1820" t="str">
        <f>IF('MASTER RECORD'!G1825="Sold",'MASTER RECORD'!C1825,"")</f>
        <v/>
      </c>
    </row>
    <row r="1821" spans="2:8">
      <c r="B1821" t="str">
        <f>IF('MASTER RECORD'!F1826="Active",'MASTER RECORD'!C1826,"")</f>
        <v/>
      </c>
      <c r="H1821" t="str">
        <f>IF('MASTER RECORD'!G1826="Sold",'MASTER RECORD'!C1826,"")</f>
        <v/>
      </c>
    </row>
    <row r="1822" spans="2:8">
      <c r="B1822" t="str">
        <f>IF('MASTER RECORD'!F1827="Active",'MASTER RECORD'!C1827,"")</f>
        <v/>
      </c>
      <c r="H1822" t="str">
        <f>IF('MASTER RECORD'!G1827="Sold",'MASTER RECORD'!C1827,"")</f>
        <v/>
      </c>
    </row>
    <row r="1823" spans="2:8">
      <c r="B1823" t="str">
        <f>IF('MASTER RECORD'!F1828="Active",'MASTER RECORD'!C1828,"")</f>
        <v/>
      </c>
      <c r="H1823" t="str">
        <f>IF('MASTER RECORD'!G1828="Sold",'MASTER RECORD'!C1828,"")</f>
        <v/>
      </c>
    </row>
    <row r="1824" spans="2:8">
      <c r="B1824" t="str">
        <f>IF('MASTER RECORD'!F1829="Active",'MASTER RECORD'!C1829,"")</f>
        <v/>
      </c>
      <c r="H1824" t="str">
        <f>IF('MASTER RECORD'!G1829="Sold",'MASTER RECORD'!C1829,"")</f>
        <v/>
      </c>
    </row>
    <row r="1825" spans="2:8">
      <c r="B1825" t="str">
        <f>IF('MASTER RECORD'!F1830="Active",'MASTER RECORD'!C1830,"")</f>
        <v/>
      </c>
      <c r="H1825" t="str">
        <f>IF('MASTER RECORD'!G1830="Sold",'MASTER RECORD'!C1830,"")</f>
        <v/>
      </c>
    </row>
    <row r="1826" spans="2:8">
      <c r="B1826" t="str">
        <f>IF('MASTER RECORD'!F1831="Active",'MASTER RECORD'!C1831,"")</f>
        <v/>
      </c>
      <c r="H1826" t="str">
        <f>IF('MASTER RECORD'!G1831="Sold",'MASTER RECORD'!C1831,"")</f>
        <v/>
      </c>
    </row>
    <row r="1827" spans="2:8">
      <c r="B1827" t="str">
        <f>IF('MASTER RECORD'!F1832="Active",'MASTER RECORD'!C1832,"")</f>
        <v/>
      </c>
      <c r="H1827" t="str">
        <f>IF('MASTER RECORD'!G1832="Sold",'MASTER RECORD'!C1832,"")</f>
        <v/>
      </c>
    </row>
    <row r="1828" spans="2:8">
      <c r="B1828" t="str">
        <f>IF('MASTER RECORD'!F1833="Active",'MASTER RECORD'!C1833,"")</f>
        <v/>
      </c>
      <c r="H1828" t="str">
        <f>IF('MASTER RECORD'!G1833="Sold",'MASTER RECORD'!C1833,"")</f>
        <v/>
      </c>
    </row>
    <row r="1829" spans="2:8">
      <c r="B1829" t="str">
        <f>IF('MASTER RECORD'!F1834="Active",'MASTER RECORD'!C1834,"")</f>
        <v/>
      </c>
      <c r="H1829" t="str">
        <f>IF('MASTER RECORD'!G1834="Sold",'MASTER RECORD'!C1834,"")</f>
        <v/>
      </c>
    </row>
    <row r="1830" spans="2:8">
      <c r="B1830" t="str">
        <f>IF('MASTER RECORD'!F1835="Active",'MASTER RECORD'!C1835,"")</f>
        <v/>
      </c>
      <c r="H1830" t="str">
        <f>IF('MASTER RECORD'!G1835="Sold",'MASTER RECORD'!C1835,"")</f>
        <v/>
      </c>
    </row>
    <row r="1831" spans="2:8">
      <c r="B1831" t="str">
        <f>IF('MASTER RECORD'!F1836="Active",'MASTER RECORD'!C1836,"")</f>
        <v/>
      </c>
      <c r="H1831" t="str">
        <f>IF('MASTER RECORD'!G1836="Sold",'MASTER RECORD'!C1836,"")</f>
        <v/>
      </c>
    </row>
    <row r="1832" spans="2:8">
      <c r="B1832" t="str">
        <f>IF('MASTER RECORD'!F1837="Active",'MASTER RECORD'!C1837,"")</f>
        <v/>
      </c>
      <c r="H1832" t="str">
        <f>IF('MASTER RECORD'!G1837="Sold",'MASTER RECORD'!C1837,"")</f>
        <v/>
      </c>
    </row>
    <row r="1833" spans="2:8">
      <c r="B1833" t="str">
        <f>IF('MASTER RECORD'!F1838="Active",'MASTER RECORD'!C1838,"")</f>
        <v/>
      </c>
      <c r="H1833" t="str">
        <f>IF('MASTER RECORD'!G1838="Sold",'MASTER RECORD'!C1838,"")</f>
        <v/>
      </c>
    </row>
    <row r="1834" spans="2:8">
      <c r="B1834" t="str">
        <f>IF('MASTER RECORD'!F1839="Active",'MASTER RECORD'!C1839,"")</f>
        <v/>
      </c>
      <c r="H1834" t="str">
        <f>IF('MASTER RECORD'!G1839="Sold",'MASTER RECORD'!C1839,"")</f>
        <v/>
      </c>
    </row>
    <row r="1835" spans="2:8">
      <c r="B1835" t="str">
        <f>IF('MASTER RECORD'!F1840="Active",'MASTER RECORD'!C1840,"")</f>
        <v/>
      </c>
      <c r="H1835" t="str">
        <f>IF('MASTER RECORD'!G1840="Sold",'MASTER RECORD'!C1840,"")</f>
        <v/>
      </c>
    </row>
    <row r="1836" spans="2:8">
      <c r="B1836" t="str">
        <f>IF('MASTER RECORD'!F1841="Active",'MASTER RECORD'!C1841,"")</f>
        <v/>
      </c>
      <c r="H1836" t="str">
        <f>IF('MASTER RECORD'!G1841="Sold",'MASTER RECORD'!C1841,"")</f>
        <v/>
      </c>
    </row>
    <row r="1837" spans="2:8">
      <c r="B1837" t="str">
        <f>IF('MASTER RECORD'!F1842="Active",'MASTER RECORD'!C1842,"")</f>
        <v/>
      </c>
      <c r="H1837" t="str">
        <f>IF('MASTER RECORD'!G1842="Sold",'MASTER RECORD'!C1842,"")</f>
        <v/>
      </c>
    </row>
    <row r="1838" spans="2:8">
      <c r="B1838" t="str">
        <f>IF('MASTER RECORD'!F1843="Active",'MASTER RECORD'!C1843,"")</f>
        <v/>
      </c>
      <c r="H1838" t="str">
        <f>IF('MASTER RECORD'!G1843="Sold",'MASTER RECORD'!C1843,"")</f>
        <v/>
      </c>
    </row>
    <row r="1839" spans="2:8">
      <c r="B1839" t="str">
        <f>IF('MASTER RECORD'!F1844="Active",'MASTER RECORD'!C1844,"")</f>
        <v/>
      </c>
      <c r="H1839" t="str">
        <f>IF('MASTER RECORD'!G1844="Sold",'MASTER RECORD'!C1844,"")</f>
        <v/>
      </c>
    </row>
    <row r="1840" spans="2:8">
      <c r="B1840" t="str">
        <f>IF('MASTER RECORD'!F1845="Active",'MASTER RECORD'!C1845,"")</f>
        <v/>
      </c>
      <c r="H1840" t="str">
        <f>IF('MASTER RECORD'!G1845="Sold",'MASTER RECORD'!C1845,"")</f>
        <v/>
      </c>
    </row>
    <row r="1841" spans="2:8">
      <c r="B1841" t="str">
        <f>IF('MASTER RECORD'!F1846="Active",'MASTER RECORD'!C1846,"")</f>
        <v/>
      </c>
      <c r="H1841" t="str">
        <f>IF('MASTER RECORD'!G1846="Sold",'MASTER RECORD'!C1846,"")</f>
        <v/>
      </c>
    </row>
    <row r="1842" spans="2:8">
      <c r="B1842" t="str">
        <f>IF('MASTER RECORD'!F1847="Active",'MASTER RECORD'!C1847,"")</f>
        <v/>
      </c>
      <c r="H1842" t="str">
        <f>IF('MASTER RECORD'!G1847="Sold",'MASTER RECORD'!C1847,"")</f>
        <v/>
      </c>
    </row>
    <row r="1843" spans="2:8">
      <c r="B1843" t="str">
        <f>IF('MASTER RECORD'!F1848="Active",'MASTER RECORD'!C1848,"")</f>
        <v/>
      </c>
      <c r="H1843" t="str">
        <f>IF('MASTER RECORD'!G1848="Sold",'MASTER RECORD'!C1848,"")</f>
        <v/>
      </c>
    </row>
    <row r="1844" spans="2:8">
      <c r="B1844" t="str">
        <f>IF('MASTER RECORD'!F1849="Active",'MASTER RECORD'!C1849,"")</f>
        <v/>
      </c>
      <c r="H1844" t="str">
        <f>IF('MASTER RECORD'!G1849="Sold",'MASTER RECORD'!C1849,"")</f>
        <v/>
      </c>
    </row>
    <row r="1845" spans="2:8">
      <c r="B1845" t="str">
        <f>IF('MASTER RECORD'!F1850="Active",'MASTER RECORD'!C1850,"")</f>
        <v/>
      </c>
      <c r="H1845" t="str">
        <f>IF('MASTER RECORD'!G1850="Sold",'MASTER RECORD'!C1850,"")</f>
        <v/>
      </c>
    </row>
    <row r="1846" spans="2:8">
      <c r="B1846" t="str">
        <f>IF('MASTER RECORD'!F1851="Active",'MASTER RECORD'!C1851,"")</f>
        <v/>
      </c>
      <c r="H1846" t="str">
        <f>IF('MASTER RECORD'!G1851="Sold",'MASTER RECORD'!C1851,"")</f>
        <v/>
      </c>
    </row>
    <row r="1847" spans="2:8">
      <c r="B1847" t="str">
        <f>IF('MASTER RECORD'!F1852="Active",'MASTER RECORD'!C1852,"")</f>
        <v/>
      </c>
      <c r="H1847" t="str">
        <f>IF('MASTER RECORD'!G1852="Sold",'MASTER RECORD'!C1852,"")</f>
        <v/>
      </c>
    </row>
    <row r="1848" spans="2:8">
      <c r="B1848" t="str">
        <f>IF('MASTER RECORD'!F1853="Active",'MASTER RECORD'!C1853,"")</f>
        <v/>
      </c>
      <c r="H1848" t="str">
        <f>IF('MASTER RECORD'!G1853="Sold",'MASTER RECORD'!C1853,"")</f>
        <v/>
      </c>
    </row>
    <row r="1849" spans="2:8">
      <c r="B1849" t="str">
        <f>IF('MASTER RECORD'!F1854="Active",'MASTER RECORD'!C1854,"")</f>
        <v/>
      </c>
      <c r="H1849" t="str">
        <f>IF('MASTER RECORD'!G1854="Sold",'MASTER RECORD'!C1854,"")</f>
        <v/>
      </c>
    </row>
    <row r="1850" spans="2:8">
      <c r="B1850" t="str">
        <f>IF('MASTER RECORD'!F1855="Active",'MASTER RECORD'!C1855,"")</f>
        <v/>
      </c>
      <c r="H1850" t="str">
        <f>IF('MASTER RECORD'!G1855="Sold",'MASTER RECORD'!C1855,"")</f>
        <v/>
      </c>
    </row>
    <row r="1851" spans="2:8">
      <c r="B1851" t="str">
        <f>IF('MASTER RECORD'!F1856="Active",'MASTER RECORD'!C1856,"")</f>
        <v/>
      </c>
      <c r="H1851" t="str">
        <f>IF('MASTER RECORD'!G1856="Sold",'MASTER RECORD'!C1856,"")</f>
        <v/>
      </c>
    </row>
    <row r="1852" spans="2:8">
      <c r="B1852" t="str">
        <f>IF('MASTER RECORD'!F1857="Active",'MASTER RECORD'!C1857,"")</f>
        <v/>
      </c>
      <c r="H1852" t="str">
        <f>IF('MASTER RECORD'!G1857="Sold",'MASTER RECORD'!C1857,"")</f>
        <v/>
      </c>
    </row>
    <row r="1853" spans="2:8">
      <c r="B1853" t="str">
        <f>IF('MASTER RECORD'!F1858="Active",'MASTER RECORD'!C1858,"")</f>
        <v/>
      </c>
      <c r="H1853" t="str">
        <f>IF('MASTER RECORD'!G1858="Sold",'MASTER RECORD'!C1858,"")</f>
        <v/>
      </c>
    </row>
    <row r="1854" spans="2:8">
      <c r="B1854" t="str">
        <f>IF('MASTER RECORD'!F1859="Active",'MASTER RECORD'!C1859,"")</f>
        <v/>
      </c>
      <c r="H1854" t="str">
        <f>IF('MASTER RECORD'!G1859="Sold",'MASTER RECORD'!C1859,"")</f>
        <v/>
      </c>
    </row>
    <row r="1855" spans="2:8">
      <c r="B1855" t="str">
        <f>IF('MASTER RECORD'!F1860="Active",'MASTER RECORD'!C1860,"")</f>
        <v/>
      </c>
      <c r="H1855" t="str">
        <f>IF('MASTER RECORD'!G1860="Sold",'MASTER RECORD'!C1860,"")</f>
        <v/>
      </c>
    </row>
    <row r="1856" spans="2:8">
      <c r="B1856" t="str">
        <f>IF('MASTER RECORD'!F1861="Active",'MASTER RECORD'!C1861,"")</f>
        <v/>
      </c>
      <c r="H1856" t="str">
        <f>IF('MASTER RECORD'!G1861="Sold",'MASTER RECORD'!C1861,"")</f>
        <v/>
      </c>
    </row>
    <row r="1857" spans="2:8">
      <c r="B1857" t="str">
        <f>IF('MASTER RECORD'!F1862="Active",'MASTER RECORD'!C1862,"")</f>
        <v/>
      </c>
      <c r="H1857" t="str">
        <f>IF('MASTER RECORD'!G1862="Sold",'MASTER RECORD'!C1862,"")</f>
        <v/>
      </c>
    </row>
    <row r="1858" spans="2:8">
      <c r="B1858" t="str">
        <f>IF('MASTER RECORD'!F1863="Active",'MASTER RECORD'!C1863,"")</f>
        <v/>
      </c>
      <c r="H1858" t="str">
        <f>IF('MASTER RECORD'!G1863="Sold",'MASTER RECORD'!C1863,"")</f>
        <v/>
      </c>
    </row>
    <row r="1859" spans="2:8">
      <c r="B1859" t="str">
        <f>IF('MASTER RECORD'!F1864="Active",'MASTER RECORD'!C1864,"")</f>
        <v/>
      </c>
      <c r="H1859" t="str">
        <f>IF('MASTER RECORD'!G1864="Sold",'MASTER RECORD'!C1864,"")</f>
        <v/>
      </c>
    </row>
    <row r="1860" spans="2:8">
      <c r="B1860" t="str">
        <f>IF('MASTER RECORD'!F1865="Active",'MASTER RECORD'!C1865,"")</f>
        <v/>
      </c>
      <c r="H1860" t="str">
        <f>IF('MASTER RECORD'!G1865="Sold",'MASTER RECORD'!C1865,"")</f>
        <v/>
      </c>
    </row>
    <row r="1861" spans="2:8">
      <c r="B1861" t="str">
        <f>IF('MASTER RECORD'!F1866="Active",'MASTER RECORD'!C1866,"")</f>
        <v/>
      </c>
      <c r="H1861" t="str">
        <f>IF('MASTER RECORD'!G1866="Sold",'MASTER RECORD'!C1866,"")</f>
        <v/>
      </c>
    </row>
    <row r="1862" spans="2:8">
      <c r="B1862" t="str">
        <f>IF('MASTER RECORD'!F1867="Active",'MASTER RECORD'!C1867,"")</f>
        <v/>
      </c>
      <c r="H1862" t="str">
        <f>IF('MASTER RECORD'!G1867="Sold",'MASTER RECORD'!C1867,"")</f>
        <v/>
      </c>
    </row>
    <row r="1863" spans="2:8">
      <c r="B1863" t="str">
        <f>IF('MASTER RECORD'!F1868="Active",'MASTER RECORD'!C1868,"")</f>
        <v/>
      </c>
      <c r="H1863" t="str">
        <f>IF('MASTER RECORD'!G1868="Sold",'MASTER RECORD'!C1868,"")</f>
        <v/>
      </c>
    </row>
    <row r="1864" spans="2:8">
      <c r="B1864" t="str">
        <f>IF('MASTER RECORD'!F1869="Active",'MASTER RECORD'!C1869,"")</f>
        <v/>
      </c>
      <c r="H1864" t="str">
        <f>IF('MASTER RECORD'!G1869="Sold",'MASTER RECORD'!C1869,"")</f>
        <v/>
      </c>
    </row>
    <row r="1865" spans="2:8">
      <c r="B1865" t="str">
        <f>IF('MASTER RECORD'!F1870="Active",'MASTER RECORD'!C1870,"")</f>
        <v/>
      </c>
      <c r="H1865" t="str">
        <f>IF('MASTER RECORD'!G1870="Sold",'MASTER RECORD'!C1870,"")</f>
        <v/>
      </c>
    </row>
    <row r="1866" spans="2:8">
      <c r="B1866" t="str">
        <f>IF('MASTER RECORD'!F1871="Active",'MASTER RECORD'!C1871,"")</f>
        <v/>
      </c>
      <c r="H1866" t="str">
        <f>IF('MASTER RECORD'!G1871="Sold",'MASTER RECORD'!C1871,"")</f>
        <v/>
      </c>
    </row>
    <row r="1867" spans="2:8">
      <c r="B1867" t="str">
        <f>IF('MASTER RECORD'!F1872="Active",'MASTER RECORD'!C1872,"")</f>
        <v/>
      </c>
      <c r="H1867" t="str">
        <f>IF('MASTER RECORD'!G1872="Sold",'MASTER RECORD'!C1872,"")</f>
        <v/>
      </c>
    </row>
    <row r="1868" spans="2:8">
      <c r="B1868" t="str">
        <f>IF('MASTER RECORD'!F1873="Active",'MASTER RECORD'!C1873,"")</f>
        <v/>
      </c>
      <c r="H1868" t="str">
        <f>IF('MASTER RECORD'!G1873="Sold",'MASTER RECORD'!C1873,"")</f>
        <v/>
      </c>
    </row>
    <row r="1869" spans="2:8">
      <c r="B1869" t="str">
        <f>IF('MASTER RECORD'!F1874="Active",'MASTER RECORD'!C1874,"")</f>
        <v/>
      </c>
      <c r="H1869" t="str">
        <f>IF('MASTER RECORD'!G1874="Sold",'MASTER RECORD'!C1874,"")</f>
        <v/>
      </c>
    </row>
    <row r="1870" spans="2:8">
      <c r="B1870" t="str">
        <f>IF('MASTER RECORD'!F1875="Active",'MASTER RECORD'!C1875,"")</f>
        <v/>
      </c>
      <c r="H1870" t="str">
        <f>IF('MASTER RECORD'!G1875="Sold",'MASTER RECORD'!C1875,"")</f>
        <v/>
      </c>
    </row>
    <row r="1871" spans="2:8">
      <c r="B1871" t="str">
        <f>IF('MASTER RECORD'!F1876="Active",'MASTER RECORD'!C1876,"")</f>
        <v/>
      </c>
      <c r="H1871" t="str">
        <f>IF('MASTER RECORD'!G1876="Sold",'MASTER RECORD'!C1876,"")</f>
        <v/>
      </c>
    </row>
    <row r="1872" spans="2:8">
      <c r="B1872" t="str">
        <f>IF('MASTER RECORD'!F1877="Active",'MASTER RECORD'!C1877,"")</f>
        <v/>
      </c>
      <c r="H1872" t="str">
        <f>IF('MASTER RECORD'!G1877="Sold",'MASTER RECORD'!C1877,"")</f>
        <v/>
      </c>
    </row>
    <row r="1873" spans="2:8">
      <c r="B1873" t="str">
        <f>IF('MASTER RECORD'!F1878="Active",'MASTER RECORD'!C1878,"")</f>
        <v/>
      </c>
      <c r="H1873" t="str">
        <f>IF('MASTER RECORD'!G1878="Sold",'MASTER RECORD'!C1878,"")</f>
        <v/>
      </c>
    </row>
    <row r="1874" spans="2:8">
      <c r="B1874" t="str">
        <f>IF('MASTER RECORD'!F1879="Active",'MASTER RECORD'!C1879,"")</f>
        <v/>
      </c>
      <c r="H1874" t="str">
        <f>IF('MASTER RECORD'!G1879="Sold",'MASTER RECORD'!C1879,"")</f>
        <v/>
      </c>
    </row>
    <row r="1875" spans="2:8">
      <c r="B1875" t="str">
        <f>IF('MASTER RECORD'!F1880="Active",'MASTER RECORD'!C1880,"")</f>
        <v/>
      </c>
      <c r="H1875" t="str">
        <f>IF('MASTER RECORD'!G1880="Sold",'MASTER RECORD'!C1880,"")</f>
        <v/>
      </c>
    </row>
    <row r="1876" spans="2:8">
      <c r="B1876" t="str">
        <f>IF('MASTER RECORD'!F1881="Active",'MASTER RECORD'!C1881,"")</f>
        <v/>
      </c>
      <c r="H1876" t="str">
        <f>IF('MASTER RECORD'!G1881="Sold",'MASTER RECORD'!C1881,"")</f>
        <v/>
      </c>
    </row>
    <row r="1877" spans="2:8">
      <c r="B1877" t="str">
        <f>IF('MASTER RECORD'!F1882="Active",'MASTER RECORD'!C1882,"")</f>
        <v/>
      </c>
      <c r="H1877" t="str">
        <f>IF('MASTER RECORD'!G1882="Sold",'MASTER RECORD'!C1882,"")</f>
        <v/>
      </c>
    </row>
    <row r="1878" spans="2:8">
      <c r="B1878" t="str">
        <f>IF('MASTER RECORD'!F1883="Active",'MASTER RECORD'!C1883,"")</f>
        <v/>
      </c>
      <c r="H1878" t="str">
        <f>IF('MASTER RECORD'!G1883="Sold",'MASTER RECORD'!C1883,"")</f>
        <v/>
      </c>
    </row>
    <row r="1879" spans="2:8">
      <c r="B1879" t="str">
        <f>IF('MASTER RECORD'!F1884="Active",'MASTER RECORD'!C1884,"")</f>
        <v/>
      </c>
      <c r="H1879" t="str">
        <f>IF('MASTER RECORD'!G1884="Sold",'MASTER RECORD'!C1884,"")</f>
        <v/>
      </c>
    </row>
    <row r="1880" spans="2:8">
      <c r="B1880" t="str">
        <f>IF('MASTER RECORD'!F1885="Active",'MASTER RECORD'!C1885,"")</f>
        <v/>
      </c>
      <c r="H1880" t="str">
        <f>IF('MASTER RECORD'!G1885="Sold",'MASTER RECORD'!C1885,"")</f>
        <v/>
      </c>
    </row>
    <row r="1881" spans="2:8">
      <c r="B1881" t="str">
        <f>IF('MASTER RECORD'!F1886="Active",'MASTER RECORD'!C1886,"")</f>
        <v/>
      </c>
      <c r="H1881" t="str">
        <f>IF('MASTER RECORD'!G1886="Sold",'MASTER RECORD'!C1886,"")</f>
        <v/>
      </c>
    </row>
    <row r="1882" spans="2:8">
      <c r="B1882" t="str">
        <f>IF('MASTER RECORD'!F1887="Active",'MASTER RECORD'!C1887,"")</f>
        <v/>
      </c>
      <c r="H1882" t="str">
        <f>IF('MASTER RECORD'!G1887="Sold",'MASTER RECORD'!C1887,"")</f>
        <v/>
      </c>
    </row>
    <row r="1883" spans="2:8">
      <c r="B1883" t="str">
        <f>IF('MASTER RECORD'!F1888="Active",'MASTER RECORD'!C1888,"")</f>
        <v/>
      </c>
      <c r="H1883" t="str">
        <f>IF('MASTER RECORD'!G1888="Sold",'MASTER RECORD'!C1888,"")</f>
        <v/>
      </c>
    </row>
    <row r="1884" spans="2:8">
      <c r="B1884" t="str">
        <f>IF('MASTER RECORD'!F1889="Active",'MASTER RECORD'!C1889,"")</f>
        <v/>
      </c>
      <c r="H1884" t="str">
        <f>IF('MASTER RECORD'!G1889="Sold",'MASTER RECORD'!C1889,"")</f>
        <v/>
      </c>
    </row>
    <row r="1885" spans="2:8">
      <c r="B1885" t="str">
        <f>IF('MASTER RECORD'!F1890="Active",'MASTER RECORD'!C1890,"")</f>
        <v/>
      </c>
      <c r="H1885" t="str">
        <f>IF('MASTER RECORD'!G1890="Sold",'MASTER RECORD'!C1890,"")</f>
        <v/>
      </c>
    </row>
    <row r="1886" spans="2:8">
      <c r="B1886" t="str">
        <f>IF('MASTER RECORD'!F1891="Active",'MASTER RECORD'!C1891,"")</f>
        <v/>
      </c>
      <c r="H1886" t="str">
        <f>IF('MASTER RECORD'!G1891="Sold",'MASTER RECORD'!C1891,"")</f>
        <v/>
      </c>
    </row>
    <row r="1887" spans="2:8">
      <c r="B1887" t="str">
        <f>IF('MASTER RECORD'!F1892="Active",'MASTER RECORD'!C1892,"")</f>
        <v/>
      </c>
      <c r="H1887" t="str">
        <f>IF('MASTER RECORD'!G1892="Sold",'MASTER RECORD'!C1892,"")</f>
        <v/>
      </c>
    </row>
    <row r="1888" spans="2:8">
      <c r="B1888" t="str">
        <f>IF('MASTER RECORD'!F1893="Active",'MASTER RECORD'!C1893,"")</f>
        <v/>
      </c>
      <c r="H1888" t="str">
        <f>IF('MASTER RECORD'!G1893="Sold",'MASTER RECORD'!C1893,"")</f>
        <v/>
      </c>
    </row>
    <row r="1889" spans="2:8">
      <c r="B1889" t="str">
        <f>IF('MASTER RECORD'!F1894="Active",'MASTER RECORD'!C1894,"")</f>
        <v/>
      </c>
      <c r="H1889" t="str">
        <f>IF('MASTER RECORD'!G1894="Sold",'MASTER RECORD'!C1894,"")</f>
        <v/>
      </c>
    </row>
    <row r="1890" spans="2:8">
      <c r="B1890" t="str">
        <f>IF('MASTER RECORD'!F1895="Active",'MASTER RECORD'!C1895,"")</f>
        <v/>
      </c>
      <c r="H1890" t="str">
        <f>IF('MASTER RECORD'!G1895="Sold",'MASTER RECORD'!C1895,"")</f>
        <v/>
      </c>
    </row>
    <row r="1891" spans="2:8">
      <c r="B1891" t="str">
        <f>IF('MASTER RECORD'!F1896="Active",'MASTER RECORD'!C1896,"")</f>
        <v/>
      </c>
      <c r="H1891" t="str">
        <f>IF('MASTER RECORD'!G1896="Sold",'MASTER RECORD'!C1896,"")</f>
        <v/>
      </c>
    </row>
    <row r="1892" spans="2:8">
      <c r="B1892" t="str">
        <f>IF('MASTER RECORD'!F1897="Active",'MASTER RECORD'!C1897,"")</f>
        <v/>
      </c>
      <c r="H1892" t="str">
        <f>IF('MASTER RECORD'!G1897="Sold",'MASTER RECORD'!C1897,"")</f>
        <v/>
      </c>
    </row>
    <row r="1893" spans="2:8">
      <c r="B1893" t="str">
        <f>IF('MASTER RECORD'!F1898="Active",'MASTER RECORD'!C1898,"")</f>
        <v/>
      </c>
      <c r="H1893" t="str">
        <f>IF('MASTER RECORD'!G1898="Sold",'MASTER RECORD'!C1898,"")</f>
        <v/>
      </c>
    </row>
    <row r="1894" spans="2:8">
      <c r="B1894" t="str">
        <f>IF('MASTER RECORD'!F1899="Active",'MASTER RECORD'!C1899,"")</f>
        <v/>
      </c>
      <c r="H1894" t="str">
        <f>IF('MASTER RECORD'!G1899="Sold",'MASTER RECORD'!C1899,"")</f>
        <v/>
      </c>
    </row>
    <row r="1895" spans="2:8">
      <c r="B1895" t="str">
        <f>IF('MASTER RECORD'!F1900="Active",'MASTER RECORD'!C1900,"")</f>
        <v/>
      </c>
      <c r="H1895" t="str">
        <f>IF('MASTER RECORD'!G1900="Sold",'MASTER RECORD'!C1900,"")</f>
        <v/>
      </c>
    </row>
    <row r="1896" spans="2:8">
      <c r="B1896" t="str">
        <f>IF('MASTER RECORD'!F1901="Active",'MASTER RECORD'!C1901,"")</f>
        <v/>
      </c>
      <c r="H1896" t="str">
        <f>IF('MASTER RECORD'!G1901="Sold",'MASTER RECORD'!C1901,"")</f>
        <v/>
      </c>
    </row>
    <row r="1897" spans="2:8">
      <c r="B1897" t="str">
        <f>IF('MASTER RECORD'!F1902="Active",'MASTER RECORD'!C1902,"")</f>
        <v/>
      </c>
      <c r="H1897" t="str">
        <f>IF('MASTER RECORD'!G1902="Sold",'MASTER RECORD'!C1902,"")</f>
        <v/>
      </c>
    </row>
    <row r="1898" spans="2:8">
      <c r="B1898" t="str">
        <f>IF('MASTER RECORD'!F1903="Active",'MASTER RECORD'!C1903,"")</f>
        <v/>
      </c>
      <c r="H1898" t="str">
        <f>IF('MASTER RECORD'!G1903="Sold",'MASTER RECORD'!C1903,"")</f>
        <v/>
      </c>
    </row>
    <row r="1899" spans="2:8">
      <c r="B1899" t="str">
        <f>IF('MASTER RECORD'!F1904="Active",'MASTER RECORD'!C1904,"")</f>
        <v/>
      </c>
      <c r="H1899" t="str">
        <f>IF('MASTER RECORD'!G1904="Sold",'MASTER RECORD'!C1904,"")</f>
        <v/>
      </c>
    </row>
    <row r="1900" spans="2:8">
      <c r="B1900" t="str">
        <f>IF('MASTER RECORD'!F1905="Active",'MASTER RECORD'!C1905,"")</f>
        <v/>
      </c>
      <c r="H1900" t="str">
        <f>IF('MASTER RECORD'!G1905="Sold",'MASTER RECORD'!C1905,"")</f>
        <v/>
      </c>
    </row>
    <row r="1901" spans="2:8">
      <c r="B1901" t="str">
        <f>IF('MASTER RECORD'!F1906="Active",'MASTER RECORD'!C1906,"")</f>
        <v/>
      </c>
      <c r="H1901" t="str">
        <f>IF('MASTER RECORD'!G1906="Sold",'MASTER RECORD'!C1906,"")</f>
        <v/>
      </c>
    </row>
    <row r="1902" spans="2:8">
      <c r="B1902" t="str">
        <f>IF('MASTER RECORD'!F1907="Active",'MASTER RECORD'!C1907,"")</f>
        <v/>
      </c>
      <c r="H1902" t="str">
        <f>IF('MASTER RECORD'!G1907="Sold",'MASTER RECORD'!C1907,"")</f>
        <v/>
      </c>
    </row>
    <row r="1903" spans="2:8">
      <c r="B1903" t="str">
        <f>IF('MASTER RECORD'!F1908="Active",'MASTER RECORD'!C1908,"")</f>
        <v/>
      </c>
      <c r="H1903" t="str">
        <f>IF('MASTER RECORD'!G1908="Sold",'MASTER RECORD'!C1908,"")</f>
        <v/>
      </c>
    </row>
    <row r="1904" spans="2:8">
      <c r="B1904" t="str">
        <f>IF('MASTER RECORD'!F1909="Active",'MASTER RECORD'!C1909,"")</f>
        <v/>
      </c>
      <c r="H1904" t="str">
        <f>IF('MASTER RECORD'!G1909="Sold",'MASTER RECORD'!C1909,"")</f>
        <v/>
      </c>
    </row>
    <row r="1905" spans="2:8">
      <c r="B1905" t="str">
        <f>IF('MASTER RECORD'!F1910="Active",'MASTER RECORD'!C1910,"")</f>
        <v/>
      </c>
      <c r="H1905" t="str">
        <f>IF('MASTER RECORD'!G1910="Sold",'MASTER RECORD'!C1910,"")</f>
        <v/>
      </c>
    </row>
    <row r="1906" spans="2:8">
      <c r="B1906" t="str">
        <f>IF('MASTER RECORD'!F1911="Active",'MASTER RECORD'!C1911,"")</f>
        <v/>
      </c>
      <c r="H1906" t="str">
        <f>IF('MASTER RECORD'!G1911="Sold",'MASTER RECORD'!C1911,"")</f>
        <v/>
      </c>
    </row>
    <row r="1907" spans="2:8">
      <c r="B1907" t="str">
        <f>IF('MASTER RECORD'!F1912="Active",'MASTER RECORD'!C1912,"")</f>
        <v/>
      </c>
      <c r="H1907" t="str">
        <f>IF('MASTER RECORD'!G1912="Sold",'MASTER RECORD'!C1912,"")</f>
        <v/>
      </c>
    </row>
    <row r="1908" spans="2:8">
      <c r="B1908" t="str">
        <f>IF('MASTER RECORD'!F1913="Active",'MASTER RECORD'!C1913,"")</f>
        <v/>
      </c>
      <c r="H1908" t="str">
        <f>IF('MASTER RECORD'!G1913="Sold",'MASTER RECORD'!C1913,"")</f>
        <v/>
      </c>
    </row>
    <row r="1909" spans="2:8">
      <c r="B1909" t="str">
        <f>IF('MASTER RECORD'!F1914="Active",'MASTER RECORD'!C1914,"")</f>
        <v/>
      </c>
      <c r="H1909" t="str">
        <f>IF('MASTER RECORD'!G1914="Sold",'MASTER RECORD'!C1914,"")</f>
        <v/>
      </c>
    </row>
    <row r="1910" spans="2:8">
      <c r="B1910" t="str">
        <f>IF('MASTER RECORD'!F1915="Active",'MASTER RECORD'!C1915,"")</f>
        <v/>
      </c>
      <c r="H1910" t="str">
        <f>IF('MASTER RECORD'!G1915="Sold",'MASTER RECORD'!C1915,"")</f>
        <v/>
      </c>
    </row>
    <row r="1911" spans="2:8">
      <c r="B1911" t="str">
        <f>IF('MASTER RECORD'!F1916="Active",'MASTER RECORD'!C1916,"")</f>
        <v/>
      </c>
      <c r="H1911" t="str">
        <f>IF('MASTER RECORD'!G1916="Sold",'MASTER RECORD'!C1916,"")</f>
        <v/>
      </c>
    </row>
    <row r="1912" spans="2:8">
      <c r="B1912" t="str">
        <f>IF('MASTER RECORD'!F1917="Active",'MASTER RECORD'!C1917,"")</f>
        <v/>
      </c>
      <c r="H1912" t="str">
        <f>IF('MASTER RECORD'!G1917="Sold",'MASTER RECORD'!C1917,"")</f>
        <v/>
      </c>
    </row>
    <row r="1913" spans="2:8">
      <c r="B1913" t="str">
        <f>IF('MASTER RECORD'!F1918="Active",'MASTER RECORD'!C1918,"")</f>
        <v/>
      </c>
      <c r="H1913" t="str">
        <f>IF('MASTER RECORD'!G1918="Sold",'MASTER RECORD'!C1918,"")</f>
        <v/>
      </c>
    </row>
    <row r="1914" spans="2:8">
      <c r="B1914" t="str">
        <f>IF('MASTER RECORD'!F1919="Active",'MASTER RECORD'!C1919,"")</f>
        <v/>
      </c>
      <c r="H1914" t="str">
        <f>IF('MASTER RECORD'!G1919="Sold",'MASTER RECORD'!C1919,"")</f>
        <v/>
      </c>
    </row>
    <row r="1915" spans="2:8">
      <c r="B1915" t="str">
        <f>IF('MASTER RECORD'!F1920="Active",'MASTER RECORD'!C1920,"")</f>
        <v/>
      </c>
      <c r="H1915" t="str">
        <f>IF('MASTER RECORD'!G1920="Sold",'MASTER RECORD'!C1920,"")</f>
        <v/>
      </c>
    </row>
    <row r="1916" spans="2:8">
      <c r="B1916" t="str">
        <f>IF('MASTER RECORD'!F1921="Active",'MASTER RECORD'!C1921,"")</f>
        <v/>
      </c>
      <c r="H1916" t="str">
        <f>IF('MASTER RECORD'!G1921="Sold",'MASTER RECORD'!C1921,"")</f>
        <v/>
      </c>
    </row>
    <row r="1917" spans="2:8">
      <c r="B1917" t="str">
        <f>IF('MASTER RECORD'!F1922="Active",'MASTER RECORD'!C1922,"")</f>
        <v/>
      </c>
      <c r="H1917" t="str">
        <f>IF('MASTER RECORD'!G1922="Sold",'MASTER RECORD'!C1922,"")</f>
        <v/>
      </c>
    </row>
    <row r="1918" spans="2:8">
      <c r="B1918" t="str">
        <f>IF('MASTER RECORD'!F1923="Active",'MASTER RECORD'!C1923,"")</f>
        <v/>
      </c>
      <c r="H1918" t="str">
        <f>IF('MASTER RECORD'!G1923="Sold",'MASTER RECORD'!C1923,"")</f>
        <v/>
      </c>
    </row>
    <row r="1919" spans="2:8">
      <c r="B1919" t="str">
        <f>IF('MASTER RECORD'!F1924="Active",'MASTER RECORD'!C1924,"")</f>
        <v/>
      </c>
      <c r="H1919" t="str">
        <f>IF('MASTER RECORD'!G1924="Sold",'MASTER RECORD'!C1924,"")</f>
        <v/>
      </c>
    </row>
    <row r="1920" spans="2:8">
      <c r="B1920" t="str">
        <f>IF('MASTER RECORD'!F1925="Active",'MASTER RECORD'!C1925,"")</f>
        <v/>
      </c>
      <c r="H1920" t="str">
        <f>IF('MASTER RECORD'!G1925="Sold",'MASTER RECORD'!C1925,"")</f>
        <v/>
      </c>
    </row>
    <row r="1921" spans="2:8">
      <c r="B1921" t="str">
        <f>IF('MASTER RECORD'!F1926="Active",'MASTER RECORD'!C1926,"")</f>
        <v/>
      </c>
      <c r="H1921" t="str">
        <f>IF('MASTER RECORD'!G1926="Sold",'MASTER RECORD'!C1926,"")</f>
        <v/>
      </c>
    </row>
    <row r="1922" spans="2:8">
      <c r="B1922" t="str">
        <f>IF('MASTER RECORD'!F1927="Active",'MASTER RECORD'!C1927,"")</f>
        <v/>
      </c>
      <c r="H1922" t="str">
        <f>IF('MASTER RECORD'!G1927="Sold",'MASTER RECORD'!C1927,"")</f>
        <v/>
      </c>
    </row>
    <row r="1923" spans="2:8">
      <c r="B1923" t="str">
        <f>IF('MASTER RECORD'!F1928="Active",'MASTER RECORD'!C1928,"")</f>
        <v/>
      </c>
      <c r="H1923" t="str">
        <f>IF('MASTER RECORD'!G1928="Sold",'MASTER RECORD'!C1928,"")</f>
        <v/>
      </c>
    </row>
    <row r="1924" spans="2:8">
      <c r="B1924" t="str">
        <f>IF('MASTER RECORD'!F1929="Active",'MASTER RECORD'!C1929,"")</f>
        <v/>
      </c>
      <c r="H1924" t="str">
        <f>IF('MASTER RECORD'!G1929="Sold",'MASTER RECORD'!C1929,"")</f>
        <v/>
      </c>
    </row>
    <row r="1925" spans="2:8">
      <c r="B1925" t="str">
        <f>IF('MASTER RECORD'!F1930="Active",'MASTER RECORD'!C1930,"")</f>
        <v/>
      </c>
      <c r="H1925" t="str">
        <f>IF('MASTER RECORD'!G1930="Sold",'MASTER RECORD'!C1930,"")</f>
        <v/>
      </c>
    </row>
    <row r="1926" spans="2:8">
      <c r="B1926" t="str">
        <f>IF('MASTER RECORD'!F1931="Active",'MASTER RECORD'!C1931,"")</f>
        <v/>
      </c>
      <c r="H1926" t="str">
        <f>IF('MASTER RECORD'!G1931="Sold",'MASTER RECORD'!C1931,"")</f>
        <v/>
      </c>
    </row>
    <row r="1927" spans="2:8">
      <c r="B1927" t="str">
        <f>IF('MASTER RECORD'!F1932="Active",'MASTER RECORD'!C1932,"")</f>
        <v/>
      </c>
      <c r="H1927" t="str">
        <f>IF('MASTER RECORD'!G1932="Sold",'MASTER RECORD'!C1932,"")</f>
        <v/>
      </c>
    </row>
    <row r="1928" spans="2:8">
      <c r="B1928" t="str">
        <f>IF('MASTER RECORD'!F1933="Active",'MASTER RECORD'!C1933,"")</f>
        <v/>
      </c>
      <c r="H1928" t="str">
        <f>IF('MASTER RECORD'!G1933="Sold",'MASTER RECORD'!C1933,"")</f>
        <v/>
      </c>
    </row>
    <row r="1929" spans="2:8">
      <c r="B1929" t="str">
        <f>IF('MASTER RECORD'!F1934="Active",'MASTER RECORD'!C1934,"")</f>
        <v/>
      </c>
      <c r="H1929" t="str">
        <f>IF('MASTER RECORD'!G1934="Sold",'MASTER RECORD'!C1934,"")</f>
        <v/>
      </c>
    </row>
    <row r="1930" spans="2:8">
      <c r="B1930" t="str">
        <f>IF('MASTER RECORD'!F1935="Active",'MASTER RECORD'!C1935,"")</f>
        <v/>
      </c>
      <c r="H1930" t="str">
        <f>IF('MASTER RECORD'!G1935="Sold",'MASTER RECORD'!C1935,"")</f>
        <v/>
      </c>
    </row>
    <row r="1931" spans="2:8">
      <c r="B1931" t="str">
        <f>IF('MASTER RECORD'!F1936="Active",'MASTER RECORD'!C1936,"")</f>
        <v/>
      </c>
      <c r="H1931" t="str">
        <f>IF('MASTER RECORD'!G1936="Sold",'MASTER RECORD'!C1936,"")</f>
        <v/>
      </c>
    </row>
    <row r="1932" spans="2:8">
      <c r="B1932" t="str">
        <f>IF('MASTER RECORD'!F1937="Active",'MASTER RECORD'!C1937,"")</f>
        <v/>
      </c>
      <c r="H1932" t="str">
        <f>IF('MASTER RECORD'!G1937="Sold",'MASTER RECORD'!C1937,"")</f>
        <v/>
      </c>
    </row>
    <row r="1933" spans="2:8">
      <c r="B1933" t="str">
        <f>IF('MASTER RECORD'!F1938="Active",'MASTER RECORD'!C1938,"")</f>
        <v/>
      </c>
      <c r="H1933" t="str">
        <f>IF('MASTER RECORD'!G1938="Sold",'MASTER RECORD'!C1938,"")</f>
        <v/>
      </c>
    </row>
    <row r="1934" spans="2:8">
      <c r="B1934" t="str">
        <f>IF('MASTER RECORD'!F1939="Active",'MASTER RECORD'!C1939,"")</f>
        <v/>
      </c>
      <c r="H1934" t="str">
        <f>IF('MASTER RECORD'!G1939="Sold",'MASTER RECORD'!C1939,"")</f>
        <v/>
      </c>
    </row>
    <row r="1935" spans="2:8">
      <c r="B1935" t="str">
        <f>IF('MASTER RECORD'!F1940="Active",'MASTER RECORD'!C1940,"")</f>
        <v/>
      </c>
      <c r="H1935" t="str">
        <f>IF('MASTER RECORD'!G1940="Sold",'MASTER RECORD'!C1940,"")</f>
        <v/>
      </c>
    </row>
    <row r="1936" spans="2:8">
      <c r="B1936" t="str">
        <f>IF('MASTER RECORD'!F1941="Active",'MASTER RECORD'!C1941,"")</f>
        <v/>
      </c>
      <c r="H1936" t="str">
        <f>IF('MASTER RECORD'!G1941="Sold",'MASTER RECORD'!C1941,"")</f>
        <v/>
      </c>
    </row>
    <row r="1937" spans="2:8">
      <c r="B1937" t="str">
        <f>IF('MASTER RECORD'!F1942="Active",'MASTER RECORD'!C1942,"")</f>
        <v/>
      </c>
      <c r="H1937" t="str">
        <f>IF('MASTER RECORD'!G1942="Sold",'MASTER RECORD'!C1942,"")</f>
        <v/>
      </c>
    </row>
    <row r="1938" spans="2:8">
      <c r="B1938" t="str">
        <f>IF('MASTER RECORD'!F1943="Active",'MASTER RECORD'!C1943,"")</f>
        <v/>
      </c>
      <c r="H1938" t="str">
        <f>IF('MASTER RECORD'!G1943="Sold",'MASTER RECORD'!C1943,"")</f>
        <v/>
      </c>
    </row>
    <row r="1939" spans="2:8">
      <c r="B1939" t="str">
        <f>IF('MASTER RECORD'!F1944="Active",'MASTER RECORD'!C1944,"")</f>
        <v/>
      </c>
      <c r="H1939" t="str">
        <f>IF('MASTER RECORD'!G1944="Sold",'MASTER RECORD'!C1944,"")</f>
        <v/>
      </c>
    </row>
    <row r="1940" spans="2:8">
      <c r="B1940" t="str">
        <f>IF('MASTER RECORD'!F1945="Active",'MASTER RECORD'!C1945,"")</f>
        <v/>
      </c>
      <c r="H1940" t="str">
        <f>IF('MASTER RECORD'!G1945="Sold",'MASTER RECORD'!C1945,"")</f>
        <v/>
      </c>
    </row>
    <row r="1941" spans="2:8">
      <c r="B1941" t="str">
        <f>IF('MASTER RECORD'!F1946="Active",'MASTER RECORD'!C1946,"")</f>
        <v/>
      </c>
      <c r="H1941" t="str">
        <f>IF('MASTER RECORD'!G1946="Sold",'MASTER RECORD'!C1946,"")</f>
        <v/>
      </c>
    </row>
    <row r="1942" spans="2:8">
      <c r="B1942" t="str">
        <f>IF('MASTER RECORD'!F1947="Active",'MASTER RECORD'!C1947,"")</f>
        <v/>
      </c>
      <c r="H1942" t="str">
        <f>IF('MASTER RECORD'!G1947="Sold",'MASTER RECORD'!C1947,"")</f>
        <v/>
      </c>
    </row>
    <row r="1943" spans="2:8">
      <c r="B1943" t="str">
        <f>IF('MASTER RECORD'!F1948="Active",'MASTER RECORD'!C1948,"")</f>
        <v/>
      </c>
      <c r="H1943" t="str">
        <f>IF('MASTER RECORD'!G1948="Sold",'MASTER RECORD'!C1948,"")</f>
        <v/>
      </c>
    </row>
    <row r="1944" spans="2:8">
      <c r="B1944" t="str">
        <f>IF('MASTER RECORD'!F1949="Active",'MASTER RECORD'!C1949,"")</f>
        <v/>
      </c>
      <c r="H1944" t="str">
        <f>IF('MASTER RECORD'!G1949="Sold",'MASTER RECORD'!C1949,"")</f>
        <v/>
      </c>
    </row>
    <row r="1945" spans="2:8">
      <c r="B1945" t="str">
        <f>IF('MASTER RECORD'!F1950="Active",'MASTER RECORD'!C1950,"")</f>
        <v/>
      </c>
      <c r="H1945" t="str">
        <f>IF('MASTER RECORD'!G1950="Sold",'MASTER RECORD'!C1950,"")</f>
        <v/>
      </c>
    </row>
    <row r="1946" spans="2:8">
      <c r="B1946" t="str">
        <f>IF('MASTER RECORD'!F1951="Active",'MASTER RECORD'!C1951,"")</f>
        <v/>
      </c>
      <c r="H1946" t="str">
        <f>IF('MASTER RECORD'!G1951="Sold",'MASTER RECORD'!C1951,"")</f>
        <v/>
      </c>
    </row>
    <row r="1947" spans="2:8">
      <c r="B1947" t="str">
        <f>IF('MASTER RECORD'!F1952="Active",'MASTER RECORD'!C1952,"")</f>
        <v/>
      </c>
      <c r="H1947" t="str">
        <f>IF('MASTER RECORD'!G1952="Sold",'MASTER RECORD'!C1952,"")</f>
        <v/>
      </c>
    </row>
    <row r="1948" spans="2:8">
      <c r="B1948" t="str">
        <f>IF('MASTER RECORD'!F1953="Active",'MASTER RECORD'!C1953,"")</f>
        <v/>
      </c>
      <c r="H1948" t="str">
        <f>IF('MASTER RECORD'!G1953="Sold",'MASTER RECORD'!C1953,"")</f>
        <v/>
      </c>
    </row>
    <row r="1949" spans="2:8">
      <c r="B1949" t="str">
        <f>IF('MASTER RECORD'!F1954="Active",'MASTER RECORD'!C1954,"")</f>
        <v/>
      </c>
      <c r="H1949" t="str">
        <f>IF('MASTER RECORD'!G1954="Sold",'MASTER RECORD'!C1954,"")</f>
        <v/>
      </c>
    </row>
    <row r="1950" spans="2:8">
      <c r="B1950" t="str">
        <f>IF('MASTER RECORD'!F1955="Active",'MASTER RECORD'!C1955,"")</f>
        <v/>
      </c>
      <c r="H1950" t="str">
        <f>IF('MASTER RECORD'!G1955="Sold",'MASTER RECORD'!C1955,"")</f>
        <v/>
      </c>
    </row>
    <row r="1951" spans="2:8">
      <c r="B1951" t="str">
        <f>IF('MASTER RECORD'!F1956="Active",'MASTER RECORD'!C1956,"")</f>
        <v/>
      </c>
      <c r="H1951" t="str">
        <f>IF('MASTER RECORD'!G1956="Sold",'MASTER RECORD'!C1956,"")</f>
        <v/>
      </c>
    </row>
    <row r="1952" spans="2:8">
      <c r="B1952" t="str">
        <f>IF('MASTER RECORD'!F1957="Active",'MASTER RECORD'!C1957,"")</f>
        <v/>
      </c>
      <c r="H1952" t="str">
        <f>IF('MASTER RECORD'!G1957="Sold",'MASTER RECORD'!C1957,"")</f>
        <v/>
      </c>
    </row>
    <row r="1953" spans="2:8">
      <c r="B1953" t="str">
        <f>IF('MASTER RECORD'!F1958="Active",'MASTER RECORD'!C1958,"")</f>
        <v/>
      </c>
      <c r="H1953" t="str">
        <f>IF('MASTER RECORD'!G1958="Sold",'MASTER RECORD'!C1958,"")</f>
        <v/>
      </c>
    </row>
    <row r="1954" spans="2:8">
      <c r="B1954" t="str">
        <f>IF('MASTER RECORD'!F1959="Active",'MASTER RECORD'!C1959,"")</f>
        <v/>
      </c>
      <c r="H1954" t="str">
        <f>IF('MASTER RECORD'!G1959="Sold",'MASTER RECORD'!C1959,"")</f>
        <v/>
      </c>
    </row>
    <row r="1955" spans="2:8">
      <c r="B1955" t="str">
        <f>IF('MASTER RECORD'!F1960="Active",'MASTER RECORD'!C1960,"")</f>
        <v/>
      </c>
      <c r="H1955" t="str">
        <f>IF('MASTER RECORD'!G1960="Sold",'MASTER RECORD'!C1960,"")</f>
        <v/>
      </c>
    </row>
    <row r="1956" spans="2:8">
      <c r="B1956" t="str">
        <f>IF('MASTER RECORD'!F1961="Active",'MASTER RECORD'!C1961,"")</f>
        <v/>
      </c>
      <c r="H1956" t="str">
        <f>IF('MASTER RECORD'!G1961="Sold",'MASTER RECORD'!C1961,"")</f>
        <v/>
      </c>
    </row>
    <row r="1957" spans="2:8">
      <c r="B1957" t="str">
        <f>IF('MASTER RECORD'!F1962="Active",'MASTER RECORD'!C1962,"")</f>
        <v/>
      </c>
      <c r="H1957" t="str">
        <f>IF('MASTER RECORD'!G1962="Sold",'MASTER RECORD'!C1962,"")</f>
        <v/>
      </c>
    </row>
    <row r="1958" spans="2:8">
      <c r="B1958" t="str">
        <f>IF('MASTER RECORD'!F1963="Active",'MASTER RECORD'!C1963,"")</f>
        <v/>
      </c>
      <c r="H1958" t="str">
        <f>IF('MASTER RECORD'!G1963="Sold",'MASTER RECORD'!C1963,"")</f>
        <v/>
      </c>
    </row>
    <row r="1959" spans="2:8">
      <c r="B1959" t="str">
        <f>IF('MASTER RECORD'!F1964="Active",'MASTER RECORD'!C1964,"")</f>
        <v/>
      </c>
      <c r="H1959" t="str">
        <f>IF('MASTER RECORD'!G1964="Sold",'MASTER RECORD'!C1964,"")</f>
        <v/>
      </c>
    </row>
    <row r="1960" spans="2:8">
      <c r="B1960" t="str">
        <f>IF('MASTER RECORD'!F1965="Active",'MASTER RECORD'!C1965,"")</f>
        <v/>
      </c>
      <c r="H1960" t="str">
        <f>IF('MASTER RECORD'!G1965="Sold",'MASTER RECORD'!C1965,"")</f>
        <v/>
      </c>
    </row>
    <row r="1961" spans="2:8">
      <c r="B1961" t="str">
        <f>IF('MASTER RECORD'!F1966="Active",'MASTER RECORD'!C1966,"")</f>
        <v/>
      </c>
      <c r="H1961" t="str">
        <f>IF('MASTER RECORD'!G1966="Sold",'MASTER RECORD'!C1966,"")</f>
        <v/>
      </c>
    </row>
    <row r="1962" spans="2:8">
      <c r="B1962" t="str">
        <f>IF('MASTER RECORD'!F1967="Active",'MASTER RECORD'!C1967,"")</f>
        <v/>
      </c>
      <c r="H1962" t="str">
        <f>IF('MASTER RECORD'!G1967="Sold",'MASTER RECORD'!C1967,"")</f>
        <v/>
      </c>
    </row>
    <row r="1963" spans="2:8">
      <c r="B1963" t="str">
        <f>IF('MASTER RECORD'!F1968="Active",'MASTER RECORD'!C1968,"")</f>
        <v/>
      </c>
      <c r="H1963" t="str">
        <f>IF('MASTER RECORD'!G1968="Sold",'MASTER RECORD'!C1968,"")</f>
        <v/>
      </c>
    </row>
    <row r="1964" spans="2:8">
      <c r="B1964" t="str">
        <f>IF('MASTER RECORD'!F1969="Active",'MASTER RECORD'!C1969,"")</f>
        <v/>
      </c>
      <c r="H1964" t="str">
        <f>IF('MASTER RECORD'!G1969="Sold",'MASTER RECORD'!C1969,"")</f>
        <v/>
      </c>
    </row>
    <row r="1965" spans="2:8">
      <c r="B1965" t="str">
        <f>IF('MASTER RECORD'!F1970="Active",'MASTER RECORD'!C1970,"")</f>
        <v/>
      </c>
      <c r="H1965" t="str">
        <f>IF('MASTER RECORD'!G1970="Sold",'MASTER RECORD'!C1970,"")</f>
        <v/>
      </c>
    </row>
    <row r="1966" spans="2:8">
      <c r="B1966" t="str">
        <f>IF('MASTER RECORD'!F1971="Active",'MASTER RECORD'!C1971,"")</f>
        <v/>
      </c>
      <c r="H1966" t="str">
        <f>IF('MASTER RECORD'!G1971="Sold",'MASTER RECORD'!C1971,"")</f>
        <v/>
      </c>
    </row>
    <row r="1967" spans="2:8">
      <c r="B1967" t="str">
        <f>IF('MASTER RECORD'!F1972="Active",'MASTER RECORD'!C1972,"")</f>
        <v/>
      </c>
      <c r="H1967" t="str">
        <f>IF('MASTER RECORD'!G1972="Sold",'MASTER RECORD'!C1972,"")</f>
        <v/>
      </c>
    </row>
    <row r="1968" spans="2:8">
      <c r="B1968" t="str">
        <f>IF('MASTER RECORD'!F1973="Active",'MASTER RECORD'!C1973,"")</f>
        <v/>
      </c>
      <c r="H1968" t="str">
        <f>IF('MASTER RECORD'!G1973="Sold",'MASTER RECORD'!C1973,"")</f>
        <v/>
      </c>
    </row>
    <row r="1969" spans="2:8">
      <c r="B1969" t="str">
        <f>IF('MASTER RECORD'!F1974="Active",'MASTER RECORD'!C1974,"")</f>
        <v/>
      </c>
      <c r="H1969" t="str">
        <f>IF('MASTER RECORD'!G1974="Sold",'MASTER RECORD'!C1974,"")</f>
        <v/>
      </c>
    </row>
    <row r="1970" spans="2:8">
      <c r="B1970" t="str">
        <f>IF('MASTER RECORD'!F1975="Active",'MASTER RECORD'!C1975,"")</f>
        <v/>
      </c>
      <c r="H1970" t="str">
        <f>IF('MASTER RECORD'!G1975="Sold",'MASTER RECORD'!C1975,"")</f>
        <v/>
      </c>
    </row>
    <row r="1971" spans="2:8">
      <c r="B1971" t="str">
        <f>IF('MASTER RECORD'!F1976="Active",'MASTER RECORD'!C1976,"")</f>
        <v/>
      </c>
      <c r="H1971" t="str">
        <f>IF('MASTER RECORD'!G1976="Sold",'MASTER RECORD'!C1976,"")</f>
        <v/>
      </c>
    </row>
    <row r="1972" spans="2:8">
      <c r="B1972" t="str">
        <f>IF('MASTER RECORD'!F1977="Active",'MASTER RECORD'!C1977,"")</f>
        <v/>
      </c>
      <c r="H1972" t="str">
        <f>IF('MASTER RECORD'!G1977="Sold",'MASTER RECORD'!C1977,"")</f>
        <v/>
      </c>
    </row>
    <row r="1973" spans="2:8">
      <c r="B1973" t="str">
        <f>IF('MASTER RECORD'!F1978="Active",'MASTER RECORD'!C1978,"")</f>
        <v/>
      </c>
      <c r="H1973" t="str">
        <f>IF('MASTER RECORD'!G1978="Sold",'MASTER RECORD'!C1978,"")</f>
        <v/>
      </c>
    </row>
    <row r="1974" spans="2:8">
      <c r="B1974" t="str">
        <f>IF('MASTER RECORD'!F1979="Active",'MASTER RECORD'!C1979,"")</f>
        <v/>
      </c>
      <c r="H1974" t="str">
        <f>IF('MASTER RECORD'!G1979="Sold",'MASTER RECORD'!C1979,"")</f>
        <v/>
      </c>
    </row>
    <row r="1975" spans="2:8">
      <c r="B1975" t="str">
        <f>IF('MASTER RECORD'!F1980="Active",'MASTER RECORD'!C1980,"")</f>
        <v/>
      </c>
      <c r="H1975" t="str">
        <f>IF('MASTER RECORD'!G1980="Sold",'MASTER RECORD'!C1980,"")</f>
        <v/>
      </c>
    </row>
    <row r="1976" spans="2:8">
      <c r="B1976" t="str">
        <f>IF('MASTER RECORD'!F1981="Active",'MASTER RECORD'!C1981,"")</f>
        <v/>
      </c>
      <c r="H1976" t="str">
        <f>IF('MASTER RECORD'!G1981="Sold",'MASTER RECORD'!C1981,"")</f>
        <v/>
      </c>
    </row>
    <row r="1977" spans="2:8">
      <c r="B1977" t="str">
        <f>IF('MASTER RECORD'!F1982="Active",'MASTER RECORD'!C1982,"")</f>
        <v/>
      </c>
      <c r="H1977" t="str">
        <f>IF('MASTER RECORD'!G1982="Sold",'MASTER RECORD'!C1982,"")</f>
        <v/>
      </c>
    </row>
    <row r="1978" spans="2:8">
      <c r="B1978" t="str">
        <f>IF('MASTER RECORD'!F1983="Active",'MASTER RECORD'!C1983,"")</f>
        <v/>
      </c>
      <c r="H1978" t="str">
        <f>IF('MASTER RECORD'!G1983="Sold",'MASTER RECORD'!C1983,"")</f>
        <v/>
      </c>
    </row>
    <row r="1979" spans="2:8">
      <c r="B1979" t="str">
        <f>IF('MASTER RECORD'!F1984="Active",'MASTER RECORD'!C1984,"")</f>
        <v/>
      </c>
      <c r="H1979" t="str">
        <f>IF('MASTER RECORD'!G1984="Sold",'MASTER RECORD'!C1984,"")</f>
        <v/>
      </c>
    </row>
    <row r="1980" spans="2:8">
      <c r="B1980" t="str">
        <f>IF('MASTER RECORD'!F1985="Active",'MASTER RECORD'!C1985,"")</f>
        <v/>
      </c>
      <c r="H1980" t="str">
        <f>IF('MASTER RECORD'!G1985="Sold",'MASTER RECORD'!C1985,"")</f>
        <v/>
      </c>
    </row>
    <row r="1981" spans="2:8">
      <c r="B1981" t="str">
        <f>IF('MASTER RECORD'!F1986="Active",'MASTER RECORD'!C1986,"")</f>
        <v/>
      </c>
      <c r="H1981" t="str">
        <f>IF('MASTER RECORD'!G1986="Sold",'MASTER RECORD'!C1986,"")</f>
        <v/>
      </c>
    </row>
    <row r="1982" spans="2:8">
      <c r="B1982" t="str">
        <f>IF('MASTER RECORD'!F1987="Active",'MASTER RECORD'!C1987,"")</f>
        <v/>
      </c>
      <c r="H1982" t="str">
        <f>IF('MASTER RECORD'!G1987="Sold",'MASTER RECORD'!C1987,"")</f>
        <v/>
      </c>
    </row>
    <row r="1983" spans="2:8">
      <c r="B1983" t="str">
        <f>IF('MASTER RECORD'!F1988="Active",'MASTER RECORD'!C1988,"")</f>
        <v/>
      </c>
      <c r="H1983" t="str">
        <f>IF('MASTER RECORD'!G1988="Sold",'MASTER RECORD'!C1988,"")</f>
        <v/>
      </c>
    </row>
    <row r="1984" spans="2:8">
      <c r="B1984" t="str">
        <f>IF('MASTER RECORD'!F1989="Active",'MASTER RECORD'!C1989,"")</f>
        <v/>
      </c>
      <c r="H1984" t="str">
        <f>IF('MASTER RECORD'!G1989="Sold",'MASTER RECORD'!C1989,"")</f>
        <v/>
      </c>
    </row>
    <row r="1985" spans="2:8">
      <c r="B1985" t="str">
        <f>IF('MASTER RECORD'!F1990="Active",'MASTER RECORD'!C1990,"")</f>
        <v/>
      </c>
      <c r="H1985" t="str">
        <f>IF('MASTER RECORD'!G1990="Sold",'MASTER RECORD'!C1990,"")</f>
        <v/>
      </c>
    </row>
    <row r="1986" spans="2:8">
      <c r="B1986" t="str">
        <f>IF('MASTER RECORD'!F1991="Active",'MASTER RECORD'!C1991,"")</f>
        <v/>
      </c>
      <c r="H1986" t="str">
        <f>IF('MASTER RECORD'!G1991="Sold",'MASTER RECORD'!C1991,"")</f>
        <v/>
      </c>
    </row>
    <row r="1987" spans="2:8">
      <c r="B1987" t="str">
        <f>IF('MASTER RECORD'!F1992="Active",'MASTER RECORD'!C1992,"")</f>
        <v/>
      </c>
      <c r="H1987" t="str">
        <f>IF('MASTER RECORD'!G1992="Sold",'MASTER RECORD'!C1992,"")</f>
        <v/>
      </c>
    </row>
    <row r="1988" spans="2:8">
      <c r="B1988" t="str">
        <f>IF('MASTER RECORD'!F1993="Active",'MASTER RECORD'!C1993,"")</f>
        <v/>
      </c>
      <c r="H1988" t="str">
        <f>IF('MASTER RECORD'!G1993="Sold",'MASTER RECORD'!C1993,"")</f>
        <v/>
      </c>
    </row>
    <row r="1989" spans="2:8">
      <c r="B1989" t="str">
        <f>IF('MASTER RECORD'!F1994="Active",'MASTER RECORD'!C1994,"")</f>
        <v/>
      </c>
      <c r="H1989" t="str">
        <f>IF('MASTER RECORD'!G1994="Sold",'MASTER RECORD'!C1994,"")</f>
        <v/>
      </c>
    </row>
    <row r="1990" spans="2:8">
      <c r="B1990" t="str">
        <f>IF('MASTER RECORD'!F1995="Active",'MASTER RECORD'!C1995,"")</f>
        <v/>
      </c>
      <c r="H1990" t="str">
        <f>IF('MASTER RECORD'!G1995="Sold",'MASTER RECORD'!C1995,"")</f>
        <v/>
      </c>
    </row>
    <row r="1991" spans="2:8">
      <c r="B1991" t="str">
        <f>IF('MASTER RECORD'!F1996="Active",'MASTER RECORD'!C1996,"")</f>
        <v/>
      </c>
      <c r="H1991" t="str">
        <f>IF('MASTER RECORD'!G1996="Sold",'MASTER RECORD'!C1996,"")</f>
        <v/>
      </c>
    </row>
    <row r="1992" spans="2:8">
      <c r="B1992" t="str">
        <f>IF('MASTER RECORD'!F1997="Active",'MASTER RECORD'!C1997,"")</f>
        <v/>
      </c>
      <c r="H1992" t="str">
        <f>IF('MASTER RECORD'!G1997="Sold",'MASTER RECORD'!C1997,"")</f>
        <v/>
      </c>
    </row>
    <row r="1993" spans="2:8">
      <c r="B1993" t="str">
        <f>IF('MASTER RECORD'!F1998="Active",'MASTER RECORD'!C1998,"")</f>
        <v/>
      </c>
      <c r="H1993" t="str">
        <f>IF('MASTER RECORD'!G1998="Sold",'MASTER RECORD'!C1998,"")</f>
        <v/>
      </c>
    </row>
    <row r="1994" spans="2:8">
      <c r="B1994" t="str">
        <f>IF('MASTER RECORD'!F1999="Active",'MASTER RECORD'!C1999,"")</f>
        <v/>
      </c>
      <c r="H1994" t="str">
        <f>IF('MASTER RECORD'!G1999="Sold",'MASTER RECORD'!C1999,"")</f>
        <v/>
      </c>
    </row>
    <row r="1995" spans="2:8">
      <c r="B1995" t="str">
        <f>IF('MASTER RECORD'!F2000="Active",'MASTER RECORD'!C2000,"")</f>
        <v/>
      </c>
      <c r="H1995" t="str">
        <f>IF('MASTER RECORD'!G2000="Sold",'MASTER RECORD'!C2000,"")</f>
        <v/>
      </c>
    </row>
    <row r="1996" spans="2:8">
      <c r="B1996" t="str">
        <f>IF('MASTER RECORD'!F2001="Active",'MASTER RECORD'!C2001,"")</f>
        <v/>
      </c>
      <c r="H1996" t="str">
        <f>IF('MASTER RECORD'!G2001="Sold",'MASTER RECORD'!C2001,"")</f>
        <v/>
      </c>
    </row>
    <row r="1997" spans="2:8">
      <c r="B1997" t="str">
        <f>IF('MASTER RECORD'!F2002="Active",'MASTER RECORD'!C2002,"")</f>
        <v/>
      </c>
      <c r="H1997" t="str">
        <f>IF('MASTER RECORD'!G2002="Sold",'MASTER RECORD'!C2002,"")</f>
        <v/>
      </c>
    </row>
    <row r="1998" spans="2:8">
      <c r="B1998" t="str">
        <f>IF('MASTER RECORD'!F2003="Active",'MASTER RECORD'!C2003,"")</f>
        <v/>
      </c>
      <c r="H1998" t="str">
        <f>IF('MASTER RECORD'!G2003="Sold",'MASTER RECORD'!C2003,"")</f>
        <v/>
      </c>
    </row>
    <row r="1999" spans="2:8">
      <c r="B1999" t="str">
        <f>IF('MASTER RECORD'!F2004="Active",'MASTER RECORD'!C2004,"")</f>
        <v/>
      </c>
      <c r="H1999" t="str">
        <f>IF('MASTER RECORD'!G2004="Sold",'MASTER RECORD'!C2004,"")</f>
        <v/>
      </c>
    </row>
    <row r="2000" spans="2:8">
      <c r="B2000" t="str">
        <f>IF('MASTER RECORD'!F2005="Active",'MASTER RECORD'!C2005,"")</f>
        <v/>
      </c>
      <c r="H2000" t="str">
        <f>IF('MASTER RECORD'!G2005="Sold",'MASTER RECORD'!C2005,"")</f>
        <v/>
      </c>
    </row>
    <row r="2001" spans="2:8">
      <c r="B2001" t="str">
        <f>IF('MASTER RECORD'!F2006="Active",'MASTER RECORD'!C2006,"")</f>
        <v/>
      </c>
      <c r="H2001" t="str">
        <f>IF('MASTER RECORD'!G2006="Sold",'MASTER RECORD'!C2006,"")</f>
        <v/>
      </c>
    </row>
    <row r="2002" spans="2:8">
      <c r="B2002" t="str">
        <f>IF('MASTER RECORD'!F2007="Active",'MASTER RECORD'!C2007,"")</f>
        <v/>
      </c>
      <c r="H2002" t="str">
        <f>IF('MASTER RECORD'!G2007="Sold",'MASTER RECORD'!C2007,"")</f>
        <v/>
      </c>
    </row>
    <row r="2003" spans="2:8">
      <c r="B2003" t="str">
        <f>IF('MASTER RECORD'!F2008="Active",'MASTER RECORD'!C2008,"")</f>
        <v/>
      </c>
      <c r="H2003" t="str">
        <f>IF('MASTER RECORD'!G2008="Sold",'MASTER RECORD'!C2008,"")</f>
        <v/>
      </c>
    </row>
    <row r="2004" spans="2:8">
      <c r="B2004" t="str">
        <f>IF('MASTER RECORD'!F2009="Active",'MASTER RECORD'!C2009,"")</f>
        <v/>
      </c>
      <c r="H2004" t="str">
        <f>IF('MASTER RECORD'!G2009="Sold",'MASTER RECORD'!C2009,"")</f>
        <v/>
      </c>
    </row>
    <row r="2005" spans="2:8">
      <c r="B2005" t="str">
        <f>IF('MASTER RECORD'!F2010="Active",'MASTER RECORD'!C2010,"")</f>
        <v/>
      </c>
      <c r="H2005" t="str">
        <f>IF('MASTER RECORD'!G2010="Sold",'MASTER RECORD'!C2010,"")</f>
        <v/>
      </c>
    </row>
    <row r="2006" spans="2:8">
      <c r="B2006" t="str">
        <f>IF('MASTER RECORD'!F2011="Active",'MASTER RECORD'!C2011,"")</f>
        <v/>
      </c>
      <c r="H2006" t="str">
        <f>IF('MASTER RECORD'!G2011="Sold",'MASTER RECORD'!C2011,"")</f>
        <v/>
      </c>
    </row>
    <row r="2007" spans="2:8">
      <c r="B2007" t="str">
        <f>IF('MASTER RECORD'!F2012="Active",'MASTER RECORD'!C2012,"")</f>
        <v/>
      </c>
      <c r="H2007" t="str">
        <f>IF('MASTER RECORD'!G2012="Sold",'MASTER RECORD'!C2012,"")</f>
        <v/>
      </c>
    </row>
    <row r="2008" spans="2:8">
      <c r="B2008" t="str">
        <f>IF('MASTER RECORD'!F2013="Active",'MASTER RECORD'!C2013,"")</f>
        <v/>
      </c>
      <c r="H2008" t="str">
        <f>IF('MASTER RECORD'!G2013="Sold",'MASTER RECORD'!C2013,"")</f>
        <v/>
      </c>
    </row>
    <row r="2009" spans="2:8">
      <c r="B2009" t="str">
        <f>IF('MASTER RECORD'!F2014="Active",'MASTER RECORD'!C2014,"")</f>
        <v/>
      </c>
      <c r="H2009" t="str">
        <f>IF('MASTER RECORD'!G2014="Sold",'MASTER RECORD'!C2014,"")</f>
        <v/>
      </c>
    </row>
    <row r="2010" spans="2:8">
      <c r="B2010" t="str">
        <f>IF('MASTER RECORD'!F2015="Active",'MASTER RECORD'!C2015,"")</f>
        <v/>
      </c>
      <c r="H2010" t="str">
        <f>IF('MASTER RECORD'!G2015="Sold",'MASTER RECORD'!C2015,"")</f>
        <v/>
      </c>
    </row>
    <row r="2011" spans="2:8">
      <c r="B2011" t="str">
        <f>IF('MASTER RECORD'!F2016="Active",'MASTER RECORD'!C2016,"")</f>
        <v/>
      </c>
      <c r="H2011" t="str">
        <f>IF('MASTER RECORD'!G2016="Sold",'MASTER RECORD'!C2016,"")</f>
        <v/>
      </c>
    </row>
    <row r="2012" spans="2:8">
      <c r="B2012" t="str">
        <f>IF('MASTER RECORD'!F2017="Active",'MASTER RECORD'!C2017,"")</f>
        <v/>
      </c>
      <c r="H2012" t="str">
        <f>IF('MASTER RECORD'!G2017="Sold",'MASTER RECORD'!C2017,"")</f>
        <v/>
      </c>
    </row>
    <row r="2013" spans="2:8">
      <c r="B2013" t="str">
        <f>IF('MASTER RECORD'!F2018="Active",'MASTER RECORD'!C2018,"")</f>
        <v/>
      </c>
      <c r="H2013" t="str">
        <f>IF('MASTER RECORD'!G2018="Sold",'MASTER RECORD'!C2018,"")</f>
        <v/>
      </c>
    </row>
    <row r="2014" spans="2:8">
      <c r="B2014" t="str">
        <f>IF('MASTER RECORD'!F2019="Active",'MASTER RECORD'!C2019,"")</f>
        <v/>
      </c>
      <c r="H2014" t="str">
        <f>IF('MASTER RECORD'!G2019="Sold",'MASTER RECORD'!C2019,"")</f>
        <v/>
      </c>
    </row>
    <row r="2015" spans="2:8">
      <c r="B2015" t="str">
        <f>IF('MASTER RECORD'!F2020="Active",'MASTER RECORD'!C2020,"")</f>
        <v/>
      </c>
      <c r="H2015" t="str">
        <f>IF('MASTER RECORD'!G2020="Sold",'MASTER RECORD'!C2020,"")</f>
        <v/>
      </c>
    </row>
    <row r="2016" spans="2:8">
      <c r="B2016" t="str">
        <f>IF('MASTER RECORD'!F2021="Active",'MASTER RECORD'!C2021,"")</f>
        <v/>
      </c>
      <c r="H2016" t="str">
        <f>IF('MASTER RECORD'!G2021="Sold",'MASTER RECORD'!C2021,"")</f>
        <v/>
      </c>
    </row>
    <row r="2017" spans="2:8">
      <c r="B2017" t="str">
        <f>IF('MASTER RECORD'!F2022="Active",'MASTER RECORD'!C2022,"")</f>
        <v/>
      </c>
      <c r="H2017" t="str">
        <f>IF('MASTER RECORD'!G2022="Sold",'MASTER RECORD'!C2022,"")</f>
        <v/>
      </c>
    </row>
    <row r="2018" spans="2:8">
      <c r="B2018" t="str">
        <f>IF('MASTER RECORD'!F2023="Active",'MASTER RECORD'!C2023,"")</f>
        <v/>
      </c>
      <c r="H2018" t="str">
        <f>IF('MASTER RECORD'!G2023="Sold",'MASTER RECORD'!C2023,"")</f>
        <v/>
      </c>
    </row>
    <row r="2019" spans="2:8">
      <c r="B2019" t="str">
        <f>IF('MASTER RECORD'!F2024="Active",'MASTER RECORD'!C2024,"")</f>
        <v/>
      </c>
      <c r="H2019" t="str">
        <f>IF('MASTER RECORD'!G2024="Sold",'MASTER RECORD'!C2024,"")</f>
        <v/>
      </c>
    </row>
    <row r="2020" spans="2:8">
      <c r="B2020" t="str">
        <f>IF('MASTER RECORD'!F2025="Active",'MASTER RECORD'!C2025,"")</f>
        <v/>
      </c>
      <c r="H2020" t="str">
        <f>IF('MASTER RECORD'!G2025="Sold",'MASTER RECORD'!C2025,"")</f>
        <v/>
      </c>
    </row>
    <row r="2021" spans="2:8">
      <c r="B2021" t="str">
        <f>IF('MASTER RECORD'!F2026="Active",'MASTER RECORD'!C2026,"")</f>
        <v/>
      </c>
      <c r="H2021" t="str">
        <f>IF('MASTER RECORD'!G2026="Sold",'MASTER RECORD'!C2026,"")</f>
        <v/>
      </c>
    </row>
    <row r="2022" spans="2:8">
      <c r="B2022" t="str">
        <f>IF('MASTER RECORD'!F2027="Active",'MASTER RECORD'!C2027,"")</f>
        <v/>
      </c>
      <c r="H2022" t="str">
        <f>IF('MASTER RECORD'!G2027="Sold",'MASTER RECORD'!C2027,"")</f>
        <v/>
      </c>
    </row>
    <row r="2023" spans="2:8">
      <c r="B2023" t="str">
        <f>IF('MASTER RECORD'!F2028="Active",'MASTER RECORD'!C2028,"")</f>
        <v/>
      </c>
      <c r="H2023" t="str">
        <f>IF('MASTER RECORD'!G2028="Sold",'MASTER RECORD'!C2028,"")</f>
        <v/>
      </c>
    </row>
    <row r="2024" spans="2:8">
      <c r="B2024" t="str">
        <f>IF('MASTER RECORD'!F2029="Active",'MASTER RECORD'!C2029,"")</f>
        <v/>
      </c>
      <c r="H2024" t="str">
        <f>IF('MASTER RECORD'!G2029="Sold",'MASTER RECORD'!C2029,"")</f>
        <v/>
      </c>
    </row>
    <row r="2025" spans="2:8">
      <c r="B2025" t="str">
        <f>IF('MASTER RECORD'!F2030="Active",'MASTER RECORD'!C2030,"")</f>
        <v/>
      </c>
      <c r="H2025" t="str">
        <f>IF('MASTER RECORD'!G2030="Sold",'MASTER RECORD'!C2030,"")</f>
        <v/>
      </c>
    </row>
    <row r="2026" spans="2:8">
      <c r="B2026" t="str">
        <f>IF('MASTER RECORD'!F2031="Active",'MASTER RECORD'!C2031,"")</f>
        <v/>
      </c>
      <c r="H2026" t="str">
        <f>IF('MASTER RECORD'!G2031="Sold",'MASTER RECORD'!C2031,"")</f>
        <v/>
      </c>
    </row>
    <row r="2027" spans="2:8">
      <c r="B2027" t="str">
        <f>IF('MASTER RECORD'!F2032="Active",'MASTER RECORD'!C2032,"")</f>
        <v/>
      </c>
      <c r="H2027" t="str">
        <f>IF('MASTER RECORD'!G2032="Sold",'MASTER RECORD'!C2032,"")</f>
        <v/>
      </c>
    </row>
    <row r="2028" spans="2:8">
      <c r="B2028" t="str">
        <f>IF('MASTER RECORD'!F2033="Active",'MASTER RECORD'!C2033,"")</f>
        <v/>
      </c>
    </row>
    <row r="2029" spans="2:8">
      <c r="B2029" t="str">
        <f>IF('MASTER RECORD'!F2034="Active",'MASTER RECORD'!C2034,"")</f>
        <v/>
      </c>
    </row>
    <row r="2030" spans="2:8">
      <c r="B2030" t="str">
        <f>IF('MASTER RECORD'!F2035="Active",'MASTER RECORD'!C2035,"")</f>
        <v/>
      </c>
    </row>
    <row r="2031" spans="2:8">
      <c r="B2031" t="str">
        <f>IF('MASTER RECORD'!F2036="Active",'MASTER RECORD'!C2036,"")</f>
        <v/>
      </c>
    </row>
    <row r="2032" spans="2:8">
      <c r="B2032" t="str">
        <f>IF('MASTER RECORD'!F2037="Active",'MASTER RECORD'!C2037,"")</f>
        <v/>
      </c>
    </row>
    <row r="2033" spans="2:2">
      <c r="B2033" t="str">
        <f>IF('MASTER RECORD'!F2038="Active",'MASTER RECORD'!C2038,"")</f>
        <v/>
      </c>
    </row>
    <row r="2034" spans="2:2">
      <c r="B2034" t="str">
        <f>IF('MASTER RECORD'!F2039="Active",'MASTER RECORD'!C2039,"")</f>
        <v/>
      </c>
    </row>
    <row r="2035" spans="2:2">
      <c r="B2035" t="str">
        <f>IF('MASTER RECORD'!F2040="Active",'MASTER RECORD'!C2040,"")</f>
        <v/>
      </c>
    </row>
    <row r="2036" spans="2:2">
      <c r="B2036" t="str">
        <f>IF('MASTER RECORD'!F2041="Active",'MASTER RECORD'!C2041,"")</f>
        <v/>
      </c>
    </row>
    <row r="2037" spans="2:2">
      <c r="B2037" t="str">
        <f>IF('MASTER RECORD'!F2042="Active",'MASTER RECORD'!C2042,"")</f>
        <v/>
      </c>
    </row>
    <row r="2038" spans="2:2">
      <c r="B2038" t="str">
        <f>IF('MASTER RECORD'!F2043="Active",'MASTER RECORD'!C2043,"")</f>
        <v/>
      </c>
    </row>
    <row r="2039" spans="2:2">
      <c r="B2039" t="str">
        <f>IF('MASTER RECORD'!F2044="Active",'MASTER RECORD'!C2044,"")</f>
        <v/>
      </c>
    </row>
    <row r="2040" spans="2:2">
      <c r="B2040" t="str">
        <f>IF('MASTER RECORD'!F2045="Active",'MASTER RECORD'!C2045,"")</f>
        <v/>
      </c>
    </row>
    <row r="2041" spans="2:2">
      <c r="B2041" t="str">
        <f>IF('MASTER RECORD'!F2046="Active",'MASTER RECORD'!C2046,"")</f>
        <v/>
      </c>
    </row>
    <row r="2042" spans="2:2">
      <c r="B2042" t="str">
        <f>IF('MASTER RECORD'!F2047="Active",'MASTER RECORD'!C2047,"")</f>
        <v/>
      </c>
    </row>
    <row r="2043" spans="2:2">
      <c r="B2043" t="str">
        <f>IF('MASTER RECORD'!F2048="Active",'MASTER RECORD'!C2048,"")</f>
        <v/>
      </c>
    </row>
    <row r="2044" spans="2:2">
      <c r="B2044" t="str">
        <f>IF('MASTER RECORD'!F2049="Active",'MASTER RECORD'!C2049,"")</f>
        <v/>
      </c>
    </row>
    <row r="2045" spans="2:2">
      <c r="B2045" t="str">
        <f>IF('MASTER RECORD'!F2050="Active",'MASTER RECORD'!C2050,"")</f>
        <v/>
      </c>
    </row>
    <row r="2046" spans="2:2">
      <c r="B2046" t="str">
        <f>IF('MASTER RECORD'!F2051="Active",'MASTER RECORD'!C2051,"")</f>
        <v/>
      </c>
    </row>
    <row r="2047" spans="2:2">
      <c r="B2047" t="str">
        <f>IF('MASTER RECORD'!F2052="Active",'MASTER RECORD'!C2052,"")</f>
        <v/>
      </c>
    </row>
    <row r="2048" spans="2:2">
      <c r="B2048" t="str">
        <f>IF('MASTER RECORD'!F2053="Active",'MASTER RECORD'!C2053,"")</f>
        <v/>
      </c>
    </row>
    <row r="2049" spans="2:2">
      <c r="B2049" t="str">
        <f>IF('MASTER RECORD'!F2054="Active",'MASTER RECORD'!C2054,"")</f>
        <v/>
      </c>
    </row>
    <row r="2050" spans="2:2">
      <c r="B2050" t="str">
        <f>IF('MASTER RECORD'!F2055="Active",'MASTER RECORD'!C2055,"")</f>
        <v/>
      </c>
    </row>
    <row r="2051" spans="2:2">
      <c r="B2051" t="str">
        <f>IF('MASTER RECORD'!F2056="Active",'MASTER RECORD'!C2056,"")</f>
        <v/>
      </c>
    </row>
    <row r="2052" spans="2:2">
      <c r="B2052" t="str">
        <f>IF('MASTER RECORD'!F2057="Active",'MASTER RECORD'!C2057,"")</f>
        <v/>
      </c>
    </row>
    <row r="2053" spans="2:2">
      <c r="B2053" t="str">
        <f>IF('MASTER RECORD'!F2058="Active",'MASTER RECORD'!C2058,"")</f>
        <v/>
      </c>
    </row>
    <row r="2054" spans="2:2">
      <c r="B2054" t="str">
        <f>IF('MASTER RECORD'!F2059="Active",'MASTER RECORD'!C2059,"")</f>
        <v/>
      </c>
    </row>
    <row r="2055" spans="2:2">
      <c r="B2055" t="str">
        <f>IF('MASTER RECORD'!F2060="Active",'MASTER RECORD'!C2060,"")</f>
        <v/>
      </c>
    </row>
    <row r="2056" spans="2:2">
      <c r="B2056" t="str">
        <f>IF('MASTER RECORD'!F2061="Active",'MASTER RECORD'!C2061,"")</f>
        <v/>
      </c>
    </row>
    <row r="2057" spans="2:2">
      <c r="B2057" t="str">
        <f>IF('MASTER RECORD'!F2062="Active",'MASTER RECORD'!C2062,"")</f>
        <v/>
      </c>
    </row>
    <row r="2058" spans="2:2">
      <c r="B2058" t="str">
        <f>IF('MASTER RECORD'!F2063="Active",'MASTER RECORD'!C2063,"")</f>
        <v/>
      </c>
    </row>
    <row r="2059" spans="2:2">
      <c r="B2059" t="str">
        <f>IF('MASTER RECORD'!F2064="Active",'MASTER RECORD'!C2064,"")</f>
        <v/>
      </c>
    </row>
    <row r="2060" spans="2:2">
      <c r="B2060" t="str">
        <f>IF('MASTER RECORD'!F2065="Active",'MASTER RECORD'!C2065,"")</f>
        <v/>
      </c>
    </row>
    <row r="2061" spans="2:2">
      <c r="B2061" t="str">
        <f>IF('MASTER RECORD'!F2066="Active",'MASTER RECORD'!C2066,"")</f>
        <v/>
      </c>
    </row>
    <row r="2062" spans="2:2">
      <c r="B2062" t="str">
        <f>IF('MASTER RECORD'!F2067="Active",'MASTER RECORD'!C2067,"")</f>
        <v/>
      </c>
    </row>
    <row r="2063" spans="2:2">
      <c r="B2063" t="str">
        <f>IF('MASTER RECORD'!F2068="Active",'MASTER RECORD'!C2068,"")</f>
        <v/>
      </c>
    </row>
    <row r="2064" spans="2:2">
      <c r="B2064" t="str">
        <f>IF('MASTER RECORD'!F2069="Active",'MASTER RECORD'!C2069,"")</f>
        <v/>
      </c>
    </row>
    <row r="2065" spans="2:2">
      <c r="B2065" t="str">
        <f>IF('MASTER RECORD'!F2070="Active",'MASTER RECORD'!C2070,"")</f>
        <v/>
      </c>
    </row>
    <row r="2066" spans="2:2">
      <c r="B2066" t="str">
        <f>IF('MASTER RECORD'!F2071="Active",'MASTER RECORD'!C2071,"")</f>
        <v/>
      </c>
    </row>
    <row r="2067" spans="2:2">
      <c r="B2067" t="str">
        <f>IF('MASTER RECORD'!F2072="Active",'MASTER RECORD'!C2072,"")</f>
        <v/>
      </c>
    </row>
    <row r="2068" spans="2:2">
      <c r="B2068" t="str">
        <f>IF('MASTER RECORD'!F2073="Active",'MASTER RECORD'!C2073,"")</f>
        <v/>
      </c>
    </row>
    <row r="2069" spans="2:2">
      <c r="B2069" t="str">
        <f>IF('MASTER RECORD'!F2074="Active",'MASTER RECORD'!C2074,"")</f>
        <v/>
      </c>
    </row>
    <row r="2070" spans="2:2">
      <c r="B2070" t="str">
        <f>IF('MASTER RECORD'!F2075="Active",'MASTER RECORD'!C2075,"")</f>
        <v/>
      </c>
    </row>
    <row r="2071" spans="2:2">
      <c r="B2071" t="str">
        <f>IF('MASTER RECORD'!F2076="Active",'MASTER RECORD'!C2076,"")</f>
        <v/>
      </c>
    </row>
    <row r="2072" spans="2:2">
      <c r="B2072" t="str">
        <f>IF('MASTER RECORD'!F2077="Active",'MASTER RECORD'!C2077,"")</f>
        <v/>
      </c>
    </row>
    <row r="2073" spans="2:2">
      <c r="B2073" t="str">
        <f>IF('MASTER RECORD'!F2078="Active",'MASTER RECORD'!C2078,"")</f>
        <v/>
      </c>
    </row>
    <row r="2074" spans="2:2">
      <c r="B2074" t="str">
        <f>IF('MASTER RECORD'!F2079="Active",'MASTER RECORD'!C2079,"")</f>
        <v/>
      </c>
    </row>
    <row r="2075" spans="2:2">
      <c r="B2075" t="str">
        <f>IF('MASTER RECORD'!F2080="Active",'MASTER RECORD'!C2080,"")</f>
        <v/>
      </c>
    </row>
    <row r="2076" spans="2:2">
      <c r="B2076" t="str">
        <f>IF('MASTER RECORD'!F2081="Active",'MASTER RECORD'!C2081,"")</f>
        <v/>
      </c>
    </row>
    <row r="2077" spans="2:2">
      <c r="B2077" t="str">
        <f>IF('MASTER RECORD'!F2082="Active",'MASTER RECORD'!C2082,"")</f>
        <v/>
      </c>
    </row>
    <row r="2078" spans="2:2">
      <c r="B2078" t="str">
        <f>IF('MASTER RECORD'!F2083="Active",'MASTER RECORD'!C2083,"")</f>
        <v/>
      </c>
    </row>
    <row r="2079" spans="2:2">
      <c r="B2079" t="str">
        <f>IF('MASTER RECORD'!F2084="Active",'MASTER RECORD'!C2084,"")</f>
        <v/>
      </c>
    </row>
    <row r="2080" spans="2:2">
      <c r="B2080" t="str">
        <f>IF('MASTER RECORD'!F2085="Active",'MASTER RECORD'!C2085,"")</f>
        <v/>
      </c>
    </row>
    <row r="2081" spans="2:2">
      <c r="B2081" t="str">
        <f>IF('MASTER RECORD'!F2086="Active",'MASTER RECORD'!C2086,"")</f>
        <v/>
      </c>
    </row>
    <row r="2082" spans="2:2">
      <c r="B2082" t="str">
        <f>IF('MASTER RECORD'!F2087="Active",'MASTER RECORD'!C2087,"")</f>
        <v/>
      </c>
    </row>
    <row r="2083" spans="2:2">
      <c r="B2083" t="str">
        <f>IF('MASTER RECORD'!F2088="Active",'MASTER RECORD'!C2088,"")</f>
        <v/>
      </c>
    </row>
    <row r="2084" spans="2:2">
      <c r="B2084" t="str">
        <f>IF('MASTER RECORD'!F2089="Active",'MASTER RECORD'!C2089,"")</f>
        <v/>
      </c>
    </row>
    <row r="2085" spans="2:2">
      <c r="B2085" t="str">
        <f>IF('MASTER RECORD'!F2090="Active",'MASTER RECORD'!C2090,"")</f>
        <v/>
      </c>
    </row>
    <row r="2086" spans="2:2">
      <c r="B2086" t="str">
        <f>IF('MASTER RECORD'!F2091="Active",'MASTER RECORD'!C2091,"")</f>
        <v/>
      </c>
    </row>
    <row r="2087" spans="2:2">
      <c r="B2087" t="str">
        <f>IF('MASTER RECORD'!F2092="Active",'MASTER RECORD'!C2092,"")</f>
        <v/>
      </c>
    </row>
    <row r="2088" spans="2:2">
      <c r="B2088" t="str">
        <f>IF('MASTER RECORD'!F2093="Active",'MASTER RECORD'!C2093,"")</f>
        <v/>
      </c>
    </row>
    <row r="2089" spans="2:2">
      <c r="B2089" t="str">
        <f>IF('MASTER RECORD'!F2094="Active",'MASTER RECORD'!C2094,"")</f>
        <v/>
      </c>
    </row>
    <row r="2090" spans="2:2">
      <c r="B2090" t="str">
        <f>IF('MASTER RECORD'!F2095="Active",'MASTER RECORD'!C2095,"")</f>
        <v/>
      </c>
    </row>
    <row r="2091" spans="2:2">
      <c r="B2091" t="str">
        <f>IF('MASTER RECORD'!F2096="Active",'MASTER RECORD'!C2096,"")</f>
        <v/>
      </c>
    </row>
    <row r="2092" spans="2:2">
      <c r="B2092" t="str">
        <f>IF('MASTER RECORD'!F2097="Active",'MASTER RECORD'!C2097,"")</f>
        <v/>
      </c>
    </row>
    <row r="2093" spans="2:2">
      <c r="B2093" t="str">
        <f>IF('MASTER RECORD'!F2098="Active",'MASTER RECORD'!C2098,"")</f>
        <v/>
      </c>
    </row>
    <row r="2094" spans="2:2">
      <c r="B2094" t="str">
        <f>IF('MASTER RECORD'!F2099="Active",'MASTER RECORD'!C2099,"")</f>
        <v/>
      </c>
    </row>
    <row r="2095" spans="2:2">
      <c r="B2095" t="str">
        <f>IF('MASTER RECORD'!F2100="Active",'MASTER RECORD'!C2100,"")</f>
        <v/>
      </c>
    </row>
    <row r="2096" spans="2:2">
      <c r="B2096" t="str">
        <f>IF('MASTER RECORD'!F2101="Active",'MASTER RECORD'!C2101,"")</f>
        <v/>
      </c>
    </row>
    <row r="2097" spans="2:2">
      <c r="B2097" t="str">
        <f>IF('MASTER RECORD'!F2102="Active",'MASTER RECORD'!C2102,"")</f>
        <v/>
      </c>
    </row>
    <row r="2098" spans="2:2">
      <c r="B2098" t="str">
        <f>IF('MASTER RECORD'!F2103="Active",'MASTER RECORD'!C2103,"")</f>
        <v/>
      </c>
    </row>
    <row r="2099" spans="2:2">
      <c r="B2099" t="str">
        <f>IF('MASTER RECORD'!F2104="Active",'MASTER RECORD'!C2104,"")</f>
        <v/>
      </c>
    </row>
    <row r="2100" spans="2:2">
      <c r="B2100" t="str">
        <f>IF('MASTER RECORD'!F2105="Active",'MASTER RECORD'!C2105,"")</f>
        <v/>
      </c>
    </row>
    <row r="2101" spans="2:2">
      <c r="B2101" t="str">
        <f>IF('MASTER RECORD'!F2106="Active",'MASTER RECORD'!C2106,"")</f>
        <v/>
      </c>
    </row>
    <row r="2102" spans="2:2">
      <c r="B2102" t="str">
        <f>IF('MASTER RECORD'!F2107="Active",'MASTER RECORD'!C2107,"")</f>
        <v/>
      </c>
    </row>
    <row r="2103" spans="2:2">
      <c r="B2103" t="str">
        <f>IF('MASTER RECORD'!F2108="Active",'MASTER RECORD'!C2108,"")</f>
        <v/>
      </c>
    </row>
    <row r="2104" spans="2:2">
      <c r="B2104" t="str">
        <f>IF('MASTER RECORD'!F2109="Active",'MASTER RECORD'!C2109,"")</f>
        <v/>
      </c>
    </row>
    <row r="2105" spans="2:2">
      <c r="B2105" t="str">
        <f>IF('MASTER RECORD'!F2110="Active",'MASTER RECORD'!C2110,"")</f>
        <v/>
      </c>
    </row>
    <row r="2106" spans="2:2">
      <c r="B2106" t="str">
        <f>IF('MASTER RECORD'!F2111="Active",'MASTER RECORD'!C2111,"")</f>
        <v/>
      </c>
    </row>
    <row r="2107" spans="2:2">
      <c r="B2107" t="str">
        <f>IF('MASTER RECORD'!F2112="Active",'MASTER RECORD'!C2112,"")</f>
        <v/>
      </c>
    </row>
    <row r="2108" spans="2:2">
      <c r="B2108" t="str">
        <f>IF('MASTER RECORD'!F2113="Active",'MASTER RECORD'!C2113,"")</f>
        <v/>
      </c>
    </row>
    <row r="2109" spans="2:2">
      <c r="B2109" t="str">
        <f>IF('MASTER RECORD'!F2114="Active",'MASTER RECORD'!C2114,"")</f>
        <v/>
      </c>
    </row>
    <row r="2110" spans="2:2">
      <c r="B2110" t="str">
        <f>IF('MASTER RECORD'!F2115="Active",'MASTER RECORD'!C2115,"")</f>
        <v/>
      </c>
    </row>
    <row r="2111" spans="2:2">
      <c r="B2111" t="str">
        <f>IF('MASTER RECORD'!F2116="Active",'MASTER RECORD'!C2116,"")</f>
        <v/>
      </c>
    </row>
    <row r="2112" spans="2:2">
      <c r="B2112" t="str">
        <f>IF('MASTER RECORD'!F2117="Active",'MASTER RECORD'!C2117,"")</f>
        <v/>
      </c>
    </row>
    <row r="2113" spans="2:2">
      <c r="B2113" t="str">
        <f>IF('MASTER RECORD'!F2118="Active",'MASTER RECORD'!C2118,"")</f>
        <v/>
      </c>
    </row>
    <row r="2114" spans="2:2">
      <c r="B2114" t="str">
        <f>IF('MASTER RECORD'!F2119="Active",'MASTER RECORD'!C2119,"")</f>
        <v/>
      </c>
    </row>
    <row r="2115" spans="2:2">
      <c r="B2115" t="str">
        <f>IF('MASTER RECORD'!F2120="Active",'MASTER RECORD'!C2120,"")</f>
        <v/>
      </c>
    </row>
    <row r="2116" spans="2:2">
      <c r="B2116" t="str">
        <f>IF('MASTER RECORD'!F2121="Active",'MASTER RECORD'!C2121,"")</f>
        <v/>
      </c>
    </row>
    <row r="2117" spans="2:2">
      <c r="B2117" t="str">
        <f>IF('MASTER RECORD'!F2122="Active",'MASTER RECORD'!C2122,"")</f>
        <v/>
      </c>
    </row>
    <row r="2118" spans="2:2">
      <c r="B2118" t="str">
        <f>IF('MASTER RECORD'!F2123="Active",'MASTER RECORD'!C2123,"")</f>
        <v/>
      </c>
    </row>
    <row r="2119" spans="2:2">
      <c r="B2119" t="str">
        <f>IF('MASTER RECORD'!F2124="Active",'MASTER RECORD'!C2124,"")</f>
        <v/>
      </c>
    </row>
    <row r="2120" spans="2:2">
      <c r="B2120" t="str">
        <f>IF('MASTER RECORD'!F2125="Active",'MASTER RECORD'!C2125,"")</f>
        <v/>
      </c>
    </row>
    <row r="2121" spans="2:2">
      <c r="B2121" t="str">
        <f>IF('MASTER RECORD'!F2126="Active",'MASTER RECORD'!C2126,"")</f>
        <v/>
      </c>
    </row>
    <row r="2122" spans="2:2">
      <c r="B2122" t="str">
        <f>IF('MASTER RECORD'!F2127="Active",'MASTER RECORD'!C2127,"")</f>
        <v/>
      </c>
    </row>
    <row r="2123" spans="2:2">
      <c r="B2123" t="str">
        <f>IF('MASTER RECORD'!F2128="Active",'MASTER RECORD'!C2128,"")</f>
        <v/>
      </c>
    </row>
    <row r="2124" spans="2:2">
      <c r="B2124" t="str">
        <f>IF('MASTER RECORD'!F2129="Active",'MASTER RECORD'!C2129,"")</f>
        <v/>
      </c>
    </row>
    <row r="2125" spans="2:2">
      <c r="B2125" t="str">
        <f>IF('MASTER RECORD'!F2130="Active",'MASTER RECORD'!C2130,"")</f>
        <v/>
      </c>
    </row>
    <row r="2126" spans="2:2">
      <c r="B2126" t="str">
        <f>IF('MASTER RECORD'!F2131="Active",'MASTER RECORD'!C2131,"")</f>
        <v/>
      </c>
    </row>
    <row r="2127" spans="2:2">
      <c r="B2127" t="str">
        <f>IF('MASTER RECORD'!F2132="Active",'MASTER RECORD'!C2132,"")</f>
        <v/>
      </c>
    </row>
    <row r="2128" spans="2:2">
      <c r="B2128" t="str">
        <f>IF('MASTER RECORD'!F2133="Active",'MASTER RECORD'!C2133,"")</f>
        <v/>
      </c>
    </row>
    <row r="2129" spans="2:2">
      <c r="B2129" t="str">
        <f>IF('MASTER RECORD'!F2134="Active",'MASTER RECORD'!C2134,"")</f>
        <v/>
      </c>
    </row>
    <row r="2130" spans="2:2">
      <c r="B2130" t="str">
        <f>IF('MASTER RECORD'!F2135="Active",'MASTER RECORD'!C2135,"")</f>
        <v/>
      </c>
    </row>
    <row r="2131" spans="2:2">
      <c r="B2131" t="str">
        <f>IF('MASTER RECORD'!F2136="Active",'MASTER RECORD'!C2136,"")</f>
        <v/>
      </c>
    </row>
    <row r="2132" spans="2:2">
      <c r="B2132" t="str">
        <f>IF('MASTER RECORD'!F2137="Active",'MASTER RECORD'!C2137,"")</f>
        <v/>
      </c>
    </row>
    <row r="2133" spans="2:2">
      <c r="B2133" t="str">
        <f>IF('MASTER RECORD'!F2138="Active",'MASTER RECORD'!C2138,"")</f>
        <v/>
      </c>
    </row>
    <row r="2134" spans="2:2">
      <c r="B2134" t="str">
        <f>IF('MASTER RECORD'!F2139="Active",'MASTER RECORD'!C2139,"")</f>
        <v/>
      </c>
    </row>
    <row r="2135" spans="2:2">
      <c r="B2135" t="str">
        <f>IF('MASTER RECORD'!F2140="Active",'MASTER RECORD'!C2140,"")</f>
        <v/>
      </c>
    </row>
    <row r="2136" spans="2:2">
      <c r="B2136" t="str">
        <f>IF('MASTER RECORD'!F2141="Active",'MASTER RECORD'!C2141,"")</f>
        <v/>
      </c>
    </row>
    <row r="2137" spans="2:2">
      <c r="B2137" t="str">
        <f>IF('MASTER RECORD'!F2142="Active",'MASTER RECORD'!C2142,"")</f>
        <v/>
      </c>
    </row>
    <row r="2138" spans="2:2">
      <c r="B2138" t="str">
        <f>IF('MASTER RECORD'!F2143="Active",'MASTER RECORD'!C2143,"")</f>
        <v/>
      </c>
    </row>
    <row r="2139" spans="2:2">
      <c r="B2139" t="str">
        <f>IF('MASTER RECORD'!F2144="Active",'MASTER RECORD'!C2144,"")</f>
        <v/>
      </c>
    </row>
    <row r="2140" spans="2:2">
      <c r="B2140" t="str">
        <f>IF('MASTER RECORD'!F2145="Active",'MASTER RECORD'!C2145,"")</f>
        <v/>
      </c>
    </row>
    <row r="2141" spans="2:2">
      <c r="B2141" t="str">
        <f>IF('MASTER RECORD'!F2146="Active",'MASTER RECORD'!C2146,"")</f>
        <v/>
      </c>
    </row>
    <row r="2142" spans="2:2">
      <c r="B2142" t="str">
        <f>IF('MASTER RECORD'!F2147="Active",'MASTER RECORD'!C2147,"")</f>
        <v/>
      </c>
    </row>
    <row r="2143" spans="2:2">
      <c r="B2143" t="str">
        <f>IF('MASTER RECORD'!F2148="Active",'MASTER RECORD'!C2148,"")</f>
        <v/>
      </c>
    </row>
    <row r="2144" spans="2:2">
      <c r="B2144" t="str">
        <f>IF('MASTER RECORD'!F2149="Active",'MASTER RECORD'!C2149,"")</f>
        <v/>
      </c>
    </row>
    <row r="2145" spans="2:2">
      <c r="B2145" t="str">
        <f>IF('MASTER RECORD'!F2150="Active",'MASTER RECORD'!C2150,"")</f>
        <v/>
      </c>
    </row>
    <row r="2146" spans="2:2">
      <c r="B2146" t="str">
        <f>IF('MASTER RECORD'!F2151="Active",'MASTER RECORD'!C2151,"")</f>
        <v/>
      </c>
    </row>
    <row r="2147" spans="2:2">
      <c r="B2147" t="str">
        <f>IF('MASTER RECORD'!F2152="Active",'MASTER RECORD'!C2152,"")</f>
        <v/>
      </c>
    </row>
    <row r="2148" spans="2:2">
      <c r="B2148" t="str">
        <f>IF('MASTER RECORD'!F2153="Active",'MASTER RECORD'!C2153,"")</f>
        <v/>
      </c>
    </row>
    <row r="2149" spans="2:2">
      <c r="B2149" t="str">
        <f>IF('MASTER RECORD'!F2154="Active",'MASTER RECORD'!C2154,"")</f>
        <v/>
      </c>
    </row>
    <row r="2150" spans="2:2">
      <c r="B2150" t="str">
        <f>IF('MASTER RECORD'!F2155="Active",'MASTER RECORD'!C2155,"")</f>
        <v/>
      </c>
    </row>
    <row r="2151" spans="2:2">
      <c r="B2151" t="str">
        <f>IF('MASTER RECORD'!F2156="Active",'MASTER RECORD'!C2156,"")</f>
        <v/>
      </c>
    </row>
    <row r="2152" spans="2:2">
      <c r="B2152" t="str">
        <f>IF('MASTER RECORD'!F2157="Active",'MASTER RECORD'!C2157,"")</f>
        <v/>
      </c>
    </row>
    <row r="2153" spans="2:2">
      <c r="B2153" t="str">
        <f>IF('MASTER RECORD'!F2158="Active",'MASTER RECORD'!C2158,"")</f>
        <v/>
      </c>
    </row>
    <row r="2154" spans="2:2">
      <c r="B2154" t="str">
        <f>IF('MASTER RECORD'!F2159="Active",'MASTER RECORD'!C2159,"")</f>
        <v/>
      </c>
    </row>
    <row r="2155" spans="2:2">
      <c r="B2155" t="str">
        <f>IF('MASTER RECORD'!F2160="Active",'MASTER RECORD'!C2160,"")</f>
        <v/>
      </c>
    </row>
    <row r="2156" spans="2:2">
      <c r="B2156" t="str">
        <f>IF('MASTER RECORD'!F2161="Active",'MASTER RECORD'!C2161,"")</f>
        <v/>
      </c>
    </row>
    <row r="2157" spans="2:2">
      <c r="B2157" t="str">
        <f>IF('MASTER RECORD'!F2162="Active",'MASTER RECORD'!C2162,"")</f>
        <v/>
      </c>
    </row>
    <row r="2158" spans="2:2">
      <c r="B2158" t="str">
        <f>IF('MASTER RECORD'!F2163="Active",'MASTER RECORD'!C2163,"")</f>
        <v/>
      </c>
    </row>
    <row r="2159" spans="2:2">
      <c r="B2159" t="str">
        <f>IF('MASTER RECORD'!F2164="Active",'MASTER RECORD'!C2164,"")</f>
        <v/>
      </c>
    </row>
    <row r="2160" spans="2:2">
      <c r="B2160" t="str">
        <f>IF('MASTER RECORD'!F2165="Active",'MASTER RECORD'!C2165,"")</f>
        <v/>
      </c>
    </row>
    <row r="2161" spans="2:2">
      <c r="B2161" t="str">
        <f>IF('MASTER RECORD'!F2166="Active",'MASTER RECORD'!C2166,"")</f>
        <v/>
      </c>
    </row>
    <row r="2162" spans="2:2">
      <c r="B2162" t="str">
        <f>IF('MASTER RECORD'!F2167="Active",'MASTER RECORD'!C2167,"")</f>
        <v/>
      </c>
    </row>
    <row r="2163" spans="2:2">
      <c r="B2163" t="str">
        <f>IF('MASTER RECORD'!F2168="Active",'MASTER RECORD'!C2168,"")</f>
        <v/>
      </c>
    </row>
    <row r="2164" spans="2:2">
      <c r="B2164" t="str">
        <f>IF('MASTER RECORD'!F2169="Active",'MASTER RECORD'!C2169,"")</f>
        <v/>
      </c>
    </row>
    <row r="2165" spans="2:2">
      <c r="B2165" t="str">
        <f>IF('MASTER RECORD'!F2170="Active",'MASTER RECORD'!C2170,"")</f>
        <v/>
      </c>
    </row>
    <row r="2166" spans="2:2">
      <c r="B2166" t="str">
        <f>IF('MASTER RECORD'!F2171="Active",'MASTER RECORD'!C2171,"")</f>
        <v/>
      </c>
    </row>
    <row r="2167" spans="2:2">
      <c r="B2167" t="str">
        <f>IF('MASTER RECORD'!F2172="Active",'MASTER RECORD'!C2172,"")</f>
        <v/>
      </c>
    </row>
    <row r="2168" spans="2:2">
      <c r="B2168" t="str">
        <f>IF('MASTER RECORD'!F2173="Active",'MASTER RECORD'!C2173,"")</f>
        <v/>
      </c>
    </row>
    <row r="2169" spans="2:2">
      <c r="B2169" t="str">
        <f>IF('MASTER RECORD'!F2174="Active",'MASTER RECORD'!C2174,"")</f>
        <v/>
      </c>
    </row>
    <row r="2170" spans="2:2">
      <c r="B2170" t="str">
        <f>IF('MASTER RECORD'!F2175="Active",'MASTER RECORD'!C2175,"")</f>
        <v/>
      </c>
    </row>
    <row r="2171" spans="2:2">
      <c r="B2171" t="str">
        <f>IF('MASTER RECORD'!F2176="Active",'MASTER RECORD'!C2176,"")</f>
        <v/>
      </c>
    </row>
    <row r="2172" spans="2:2">
      <c r="B2172" t="str">
        <f>IF('MASTER RECORD'!F2177="Active",'MASTER RECORD'!C2177,"")</f>
        <v/>
      </c>
    </row>
    <row r="2173" spans="2:2">
      <c r="B2173" t="str">
        <f>IF('MASTER RECORD'!F2178="Active",'MASTER RECORD'!C2178,"")</f>
        <v/>
      </c>
    </row>
    <row r="2174" spans="2:2">
      <c r="B2174" t="str">
        <f>IF('MASTER RECORD'!F2179="Active",'MASTER RECORD'!C2179,"")</f>
        <v/>
      </c>
    </row>
    <row r="2175" spans="2:2">
      <c r="B2175" t="str">
        <f>IF('MASTER RECORD'!F2180="Active",'MASTER RECORD'!C2180,"")</f>
        <v/>
      </c>
    </row>
    <row r="2176" spans="2:2">
      <c r="B2176" t="str">
        <f>IF('MASTER RECORD'!F2181="Active",'MASTER RECORD'!C2181,"")</f>
        <v/>
      </c>
    </row>
    <row r="2177" spans="2:2">
      <c r="B2177" t="str">
        <f>IF('MASTER RECORD'!F2182="Active",'MASTER RECORD'!C2182,"")</f>
        <v/>
      </c>
    </row>
    <row r="2178" spans="2:2">
      <c r="B2178" t="str">
        <f>IF('MASTER RECORD'!F2183="Active",'MASTER RECORD'!C2183,"")</f>
        <v/>
      </c>
    </row>
    <row r="2179" spans="2:2">
      <c r="B2179" t="str">
        <f>IF('MASTER RECORD'!F2184="Active",'MASTER RECORD'!C2184,"")</f>
        <v/>
      </c>
    </row>
    <row r="2180" spans="2:2">
      <c r="B2180" t="str">
        <f>IF('MASTER RECORD'!F2185="Active",'MASTER RECORD'!C2185,"")</f>
        <v/>
      </c>
    </row>
    <row r="2181" spans="2:2">
      <c r="B2181" t="str">
        <f>IF('MASTER RECORD'!F2186="Active",'MASTER RECORD'!C2186,"")</f>
        <v/>
      </c>
    </row>
    <row r="2182" spans="2:2">
      <c r="B2182" t="str">
        <f>IF('MASTER RECORD'!F2187="Active",'MASTER RECORD'!C2187,"")</f>
        <v/>
      </c>
    </row>
    <row r="2183" spans="2:2">
      <c r="B2183" t="str">
        <f>IF('MASTER RECORD'!F2188="Active",'MASTER RECORD'!C2188,"")</f>
        <v/>
      </c>
    </row>
    <row r="2184" spans="2:2">
      <c r="B2184" t="str">
        <f>IF('MASTER RECORD'!F2189="Active",'MASTER RECORD'!C2189,"")</f>
        <v/>
      </c>
    </row>
    <row r="2185" spans="2:2">
      <c r="B2185" t="str">
        <f>IF('MASTER RECORD'!F2190="Active",'MASTER RECORD'!C2190,"")</f>
        <v/>
      </c>
    </row>
    <row r="2186" spans="2:2">
      <c r="B2186" t="str">
        <f>IF('MASTER RECORD'!F2191="Active",'MASTER RECORD'!C2191,"")</f>
        <v/>
      </c>
    </row>
    <row r="2187" spans="2:2">
      <c r="B2187" t="str">
        <f>IF('MASTER RECORD'!F2192="Active",'MASTER RECORD'!C2192,"")</f>
        <v/>
      </c>
    </row>
    <row r="2188" spans="2:2">
      <c r="B2188" t="str">
        <f>IF('MASTER RECORD'!F2193="Active",'MASTER RECORD'!C2193,"")</f>
        <v/>
      </c>
    </row>
    <row r="2189" spans="2:2">
      <c r="B2189" t="str">
        <f>IF('MASTER RECORD'!F2194="Active",'MASTER RECORD'!C2194,"")</f>
        <v/>
      </c>
    </row>
    <row r="2190" spans="2:2">
      <c r="B2190" t="str">
        <f>IF('MASTER RECORD'!F2195="Active",'MASTER RECORD'!C2195,"")</f>
        <v/>
      </c>
    </row>
    <row r="2191" spans="2:2">
      <c r="B2191" t="str">
        <f>IF('MASTER RECORD'!F2196="Active",'MASTER RECORD'!C2196,"")</f>
        <v/>
      </c>
    </row>
    <row r="2192" spans="2:2">
      <c r="B2192" t="str">
        <f>IF('MASTER RECORD'!F2197="Active",'MASTER RECORD'!C2197,"")</f>
        <v/>
      </c>
    </row>
    <row r="2193" spans="2:2">
      <c r="B2193" t="str">
        <f>IF('MASTER RECORD'!F2198="Active",'MASTER RECORD'!C2198,"")</f>
        <v/>
      </c>
    </row>
    <row r="2194" spans="2:2">
      <c r="B2194" t="str">
        <f>IF('MASTER RECORD'!F2199="Active",'MASTER RECORD'!C2199,"")</f>
        <v/>
      </c>
    </row>
    <row r="2195" spans="2:2">
      <c r="B2195" t="str">
        <f>IF('MASTER RECORD'!F2200="Active",'MASTER RECORD'!C2200,"")</f>
        <v/>
      </c>
    </row>
    <row r="2196" spans="2:2">
      <c r="B2196" t="str">
        <f>IF('MASTER RECORD'!F2201="Active",'MASTER RECORD'!C2201,"")</f>
        <v/>
      </c>
    </row>
    <row r="2197" spans="2:2">
      <c r="B2197" t="str">
        <f>IF('MASTER RECORD'!F2202="Active",'MASTER RECORD'!C2202,"")</f>
        <v/>
      </c>
    </row>
    <row r="2198" spans="2:2">
      <c r="B2198" t="str">
        <f>IF('MASTER RECORD'!F2203="Active",'MASTER RECORD'!C2203,"")</f>
        <v/>
      </c>
    </row>
    <row r="2199" spans="2:2">
      <c r="B2199" t="str">
        <f>IF('MASTER RECORD'!F2204="Active",'MASTER RECORD'!C2204,"")</f>
        <v/>
      </c>
    </row>
    <row r="2200" spans="2:2">
      <c r="B2200" t="str">
        <f>IF('MASTER RECORD'!F2205="Active",'MASTER RECORD'!C2205,"")</f>
        <v/>
      </c>
    </row>
    <row r="2201" spans="2:2">
      <c r="B2201" t="str">
        <f>IF('MASTER RECORD'!F2206="Active",'MASTER RECORD'!C2206,"")</f>
        <v/>
      </c>
    </row>
    <row r="2202" spans="2:2">
      <c r="B2202" t="str">
        <f>IF('MASTER RECORD'!F2207="Active",'MASTER RECORD'!C2207,"")</f>
        <v/>
      </c>
    </row>
    <row r="2203" spans="2:2">
      <c r="B2203" t="str">
        <f>IF('MASTER RECORD'!F2208="Active",'MASTER RECORD'!C2208,"")</f>
        <v/>
      </c>
    </row>
    <row r="2204" spans="2:2">
      <c r="B2204" t="str">
        <f>IF('MASTER RECORD'!F2209="Active",'MASTER RECORD'!C2209,"")</f>
        <v/>
      </c>
    </row>
    <row r="2205" spans="2:2">
      <c r="B2205" t="str">
        <f>IF('MASTER RECORD'!F2210="Active",'MASTER RECORD'!C2210,"")</f>
        <v/>
      </c>
    </row>
    <row r="2206" spans="2:2">
      <c r="B2206" t="str">
        <f>IF('MASTER RECORD'!F2211="Active",'MASTER RECORD'!C2211,"")</f>
        <v/>
      </c>
    </row>
    <row r="2207" spans="2:2">
      <c r="B2207" t="str">
        <f>IF('MASTER RECORD'!F2212="Active",'MASTER RECORD'!C2212,"")</f>
        <v/>
      </c>
    </row>
    <row r="2208" spans="2:2">
      <c r="B2208" t="str">
        <f>IF('MASTER RECORD'!F2213="Active",'MASTER RECORD'!C2213,"")</f>
        <v/>
      </c>
    </row>
    <row r="2209" spans="2:2">
      <c r="B2209" t="str">
        <f>IF('MASTER RECORD'!F2214="Active",'MASTER RECORD'!C2214,"")</f>
        <v/>
      </c>
    </row>
    <row r="2210" spans="2:2">
      <c r="B2210" t="str">
        <f>IF('MASTER RECORD'!F2215="Active",'MASTER RECORD'!C2215,"")</f>
        <v/>
      </c>
    </row>
    <row r="2211" spans="2:2">
      <c r="B2211" t="str">
        <f>IF('MASTER RECORD'!F2216="Active",'MASTER RECORD'!C2216,"")</f>
        <v/>
      </c>
    </row>
    <row r="2212" spans="2:2">
      <c r="B2212" t="str">
        <f>IF('MASTER RECORD'!F2217="Active",'MASTER RECORD'!C2217,"")</f>
        <v/>
      </c>
    </row>
    <row r="2213" spans="2:2">
      <c r="B2213" t="str">
        <f>IF('MASTER RECORD'!F2218="Active",'MASTER RECORD'!C2218,"")</f>
        <v/>
      </c>
    </row>
    <row r="2214" spans="2:2">
      <c r="B2214" t="str">
        <f>IF('MASTER RECORD'!F2219="Active",'MASTER RECORD'!C2219,"")</f>
        <v/>
      </c>
    </row>
    <row r="2215" spans="2:2">
      <c r="B2215" t="str">
        <f>IF('MASTER RECORD'!F2220="Active",'MASTER RECORD'!C2220,"")</f>
        <v/>
      </c>
    </row>
    <row r="2216" spans="2:2">
      <c r="B2216" t="str">
        <f>IF('MASTER RECORD'!F2221="Active",'MASTER RECORD'!C2221,"")</f>
        <v/>
      </c>
    </row>
    <row r="2217" spans="2:2">
      <c r="B2217" t="str">
        <f>IF('MASTER RECORD'!F2222="Active",'MASTER RECORD'!C2222,"")</f>
        <v/>
      </c>
    </row>
    <row r="2218" spans="2:2">
      <c r="B2218" t="str">
        <f>IF('MASTER RECORD'!F2223="Active",'MASTER RECORD'!C2223,"")</f>
        <v/>
      </c>
    </row>
    <row r="2219" spans="2:2">
      <c r="B2219" t="str">
        <f>IF('MASTER RECORD'!F2224="Active",'MASTER RECORD'!C2224,"")</f>
        <v/>
      </c>
    </row>
    <row r="2220" spans="2:2">
      <c r="B2220" t="str">
        <f>IF('MASTER RECORD'!F2225="Active",'MASTER RECORD'!C2225,"")</f>
        <v/>
      </c>
    </row>
    <row r="2221" spans="2:2">
      <c r="B2221" t="str">
        <f>IF('MASTER RECORD'!F2226="Active",'MASTER RECORD'!C2226,"")</f>
        <v/>
      </c>
    </row>
    <row r="2222" spans="2:2">
      <c r="B2222" t="str">
        <f>IF('MASTER RECORD'!F2227="Active",'MASTER RECORD'!C2227,"")</f>
        <v/>
      </c>
    </row>
    <row r="2223" spans="2:2">
      <c r="B2223" t="str">
        <f>IF('MASTER RECORD'!F2228="Active",'MASTER RECORD'!C2228,"")</f>
        <v/>
      </c>
    </row>
    <row r="2224" spans="2:2">
      <c r="B2224" t="str">
        <f>IF('MASTER RECORD'!F2229="Active",'MASTER RECORD'!C2229,"")</f>
        <v/>
      </c>
    </row>
    <row r="2225" spans="2:2">
      <c r="B2225" t="str">
        <f>IF('MASTER RECORD'!F2230="Active",'MASTER RECORD'!C2230,"")</f>
        <v/>
      </c>
    </row>
    <row r="2226" spans="2:2">
      <c r="B2226" t="str">
        <f>IF('MASTER RECORD'!F2231="Active",'MASTER RECORD'!C2231,"")</f>
        <v/>
      </c>
    </row>
    <row r="2227" spans="2:2">
      <c r="B2227" t="str">
        <f>IF('MASTER RECORD'!F2232="Active",'MASTER RECORD'!C2232,"")</f>
        <v/>
      </c>
    </row>
    <row r="2228" spans="2:2">
      <c r="B2228" t="str">
        <f>IF('MASTER RECORD'!F2233="Active",'MASTER RECORD'!C2233,"")</f>
        <v/>
      </c>
    </row>
    <row r="2229" spans="2:2">
      <c r="B2229" t="str">
        <f>IF('MASTER RECORD'!F2234="Active",'MASTER RECORD'!C2234,"")</f>
        <v/>
      </c>
    </row>
    <row r="2230" spans="2:2">
      <c r="B2230" t="str">
        <f>IF('MASTER RECORD'!F2235="Active",'MASTER RECORD'!C2235,"")</f>
        <v/>
      </c>
    </row>
    <row r="2231" spans="2:2">
      <c r="B2231" t="str">
        <f>IF('MASTER RECORD'!F2236="Active",'MASTER RECORD'!C2236,"")</f>
        <v/>
      </c>
    </row>
    <row r="2232" spans="2:2">
      <c r="B2232" t="str">
        <f>IF('MASTER RECORD'!F2237="Active",'MASTER RECORD'!C2237,"")</f>
        <v/>
      </c>
    </row>
    <row r="2233" spans="2:2">
      <c r="B2233" t="str">
        <f>IF('MASTER RECORD'!F2238="Active",'MASTER RECORD'!C2238,"")</f>
        <v/>
      </c>
    </row>
    <row r="2234" spans="2:2">
      <c r="B2234" t="str">
        <f>IF('MASTER RECORD'!F2239="Active",'MASTER RECORD'!C2239,"")</f>
        <v/>
      </c>
    </row>
    <row r="2235" spans="2:2">
      <c r="B2235" t="str">
        <f>IF('MASTER RECORD'!F2240="Active",'MASTER RECORD'!C2240,"")</f>
        <v/>
      </c>
    </row>
    <row r="2236" spans="2:2">
      <c r="B2236" t="str">
        <f>IF('MASTER RECORD'!F2241="Active",'MASTER RECORD'!C2241,"")</f>
        <v/>
      </c>
    </row>
    <row r="2237" spans="2:2">
      <c r="B2237" t="str">
        <f>IF('MASTER RECORD'!F2242="Active",'MASTER RECORD'!C2242,"")</f>
        <v/>
      </c>
    </row>
    <row r="2238" spans="2:2">
      <c r="B2238" t="str">
        <f>IF('MASTER RECORD'!F2243="Active",'MASTER RECORD'!C2243,"")</f>
        <v/>
      </c>
    </row>
    <row r="2239" spans="2:2">
      <c r="B2239" t="str">
        <f>IF('MASTER RECORD'!F2244="Active",'MASTER RECORD'!C2244,"")</f>
        <v/>
      </c>
    </row>
    <row r="2240" spans="2:2">
      <c r="B2240" t="str">
        <f>IF('MASTER RECORD'!F2245="Active",'MASTER RECORD'!C2245,"")</f>
        <v/>
      </c>
    </row>
    <row r="2241" spans="2:2">
      <c r="B2241" t="str">
        <f>IF('MASTER RECORD'!F2246="Active",'MASTER RECORD'!C2246,"")</f>
        <v/>
      </c>
    </row>
    <row r="2242" spans="2:2">
      <c r="B2242" t="str">
        <f>IF('MASTER RECORD'!F2247="Active",'MASTER RECORD'!C2247,"")</f>
        <v/>
      </c>
    </row>
    <row r="2243" spans="2:2">
      <c r="B2243" t="str">
        <f>IF('MASTER RECORD'!F2248="Active",'MASTER RECORD'!C2248,"")</f>
        <v/>
      </c>
    </row>
    <row r="2244" spans="2:2">
      <c r="B2244" t="str">
        <f>IF('MASTER RECORD'!F2249="Active",'MASTER RECORD'!C2249,"")</f>
        <v/>
      </c>
    </row>
    <row r="2245" spans="2:2">
      <c r="B2245" t="str">
        <f>IF('MASTER RECORD'!F2250="Active",'MASTER RECORD'!C2250,"")</f>
        <v/>
      </c>
    </row>
    <row r="2246" spans="2:2">
      <c r="B2246" t="str">
        <f>IF('MASTER RECORD'!F2251="Active",'MASTER RECORD'!C2251,"")</f>
        <v/>
      </c>
    </row>
    <row r="2247" spans="2:2">
      <c r="B2247" t="str">
        <f>IF('MASTER RECORD'!F2252="Active",'MASTER RECORD'!C2252,"")</f>
        <v/>
      </c>
    </row>
    <row r="2248" spans="2:2">
      <c r="B2248" t="str">
        <f>IF('MASTER RECORD'!F2253="Active",'MASTER RECORD'!C2253,"")</f>
        <v/>
      </c>
    </row>
    <row r="2249" spans="2:2">
      <c r="B2249" t="str">
        <f>IF('MASTER RECORD'!F2254="Active",'MASTER RECORD'!C2254,"")</f>
        <v/>
      </c>
    </row>
    <row r="2250" spans="2:2">
      <c r="B2250" t="str">
        <f>IF('MASTER RECORD'!F2255="Active",'MASTER RECORD'!C2255,"")</f>
        <v/>
      </c>
    </row>
    <row r="2251" spans="2:2">
      <c r="B2251" t="str">
        <f>IF('MASTER RECORD'!F2256="Active",'MASTER RECORD'!C2256,"")</f>
        <v/>
      </c>
    </row>
    <row r="2252" spans="2:2">
      <c r="B2252" t="str">
        <f>IF('MASTER RECORD'!F2257="Active",'MASTER RECORD'!C2257,"")</f>
        <v/>
      </c>
    </row>
    <row r="2253" spans="2:2">
      <c r="B2253" t="str">
        <f>IF('MASTER RECORD'!F2258="Active",'MASTER RECORD'!C2258,"")</f>
        <v/>
      </c>
    </row>
    <row r="2254" spans="2:2">
      <c r="B2254" t="str">
        <f>IF('MASTER RECORD'!F2259="Active",'MASTER RECORD'!C2259,"")</f>
        <v/>
      </c>
    </row>
    <row r="2255" spans="2:2">
      <c r="B2255" t="str">
        <f>IF('MASTER RECORD'!F2260="Active",'MASTER RECORD'!C2260,"")</f>
        <v/>
      </c>
    </row>
    <row r="2256" spans="2:2">
      <c r="B2256" t="str">
        <f>IF('MASTER RECORD'!F2261="Active",'MASTER RECORD'!C2261,"")</f>
        <v/>
      </c>
    </row>
    <row r="2257" spans="2:2">
      <c r="B2257" t="str">
        <f>IF('MASTER RECORD'!F2262="Active",'MASTER RECORD'!C2262,"")</f>
        <v/>
      </c>
    </row>
    <row r="2258" spans="2:2">
      <c r="B2258" t="str">
        <f>IF('MASTER RECORD'!F2263="Active",'MASTER RECORD'!C2263,"")</f>
        <v/>
      </c>
    </row>
    <row r="2259" spans="2:2">
      <c r="B2259" t="str">
        <f>IF('MASTER RECORD'!F2264="Active",'MASTER RECORD'!C2264,"")</f>
        <v/>
      </c>
    </row>
    <row r="2260" spans="2:2">
      <c r="B2260" t="str">
        <f>IF('MASTER RECORD'!F2265="Active",'MASTER RECORD'!C2265,"")</f>
        <v/>
      </c>
    </row>
    <row r="2261" spans="2:2">
      <c r="B2261" t="str">
        <f>IF('MASTER RECORD'!F2266="Active",'MASTER RECORD'!C2266,"")</f>
        <v/>
      </c>
    </row>
    <row r="2262" spans="2:2">
      <c r="B2262" t="str">
        <f>IF('MASTER RECORD'!F2267="Active",'MASTER RECORD'!C2267,"")</f>
        <v/>
      </c>
    </row>
    <row r="2263" spans="2:2">
      <c r="B2263" t="str">
        <f>IF('MASTER RECORD'!F2268="Active",'MASTER RECORD'!C2268,"")</f>
        <v/>
      </c>
    </row>
    <row r="2264" spans="2:2">
      <c r="B2264" t="str">
        <f>IF('MASTER RECORD'!F2269="Active",'MASTER RECORD'!C2269,"")</f>
        <v/>
      </c>
    </row>
    <row r="2265" spans="2:2">
      <c r="B2265" t="str">
        <f>IF('MASTER RECORD'!F2270="Active",'MASTER RECORD'!C2270,"")</f>
        <v/>
      </c>
    </row>
    <row r="2266" spans="2:2">
      <c r="B2266" t="str">
        <f>IF('MASTER RECORD'!F2271="Active",'MASTER RECORD'!C2271,"")</f>
        <v/>
      </c>
    </row>
    <row r="2267" spans="2:2">
      <c r="B2267" t="str">
        <f>IF('MASTER RECORD'!F2272="Active",'MASTER RECORD'!C2272,"")</f>
        <v/>
      </c>
    </row>
    <row r="2268" spans="2:2">
      <c r="B2268" t="str">
        <f>IF('MASTER RECORD'!F2273="Active",'MASTER RECORD'!C2273,"")</f>
        <v/>
      </c>
    </row>
    <row r="2269" spans="2:2">
      <c r="B2269" t="str">
        <f>IF('MASTER RECORD'!F2274="Active",'MASTER RECORD'!C2274,"")</f>
        <v/>
      </c>
    </row>
    <row r="2270" spans="2:2">
      <c r="B2270" t="str">
        <f>IF('MASTER RECORD'!F2275="Active",'MASTER RECORD'!C2275,"")</f>
        <v/>
      </c>
    </row>
    <row r="2271" spans="2:2">
      <c r="B2271" t="str">
        <f>IF('MASTER RECORD'!F2276="Active",'MASTER RECORD'!C2276,"")</f>
        <v/>
      </c>
    </row>
    <row r="2272" spans="2:2">
      <c r="B2272" t="str">
        <f>IF('MASTER RECORD'!F2277="Active",'MASTER RECORD'!C2277,"")</f>
        <v/>
      </c>
    </row>
    <row r="2273" spans="2:2">
      <c r="B2273" t="str">
        <f>IF('MASTER RECORD'!F2278="Active",'MASTER RECORD'!C2278,"")</f>
        <v/>
      </c>
    </row>
    <row r="2274" spans="2:2">
      <c r="B2274" t="str">
        <f>IF('MASTER RECORD'!F2279="Active",'MASTER RECORD'!C2279,"")</f>
        <v/>
      </c>
    </row>
    <row r="2275" spans="2:2">
      <c r="B2275" t="str">
        <f>IF('MASTER RECORD'!F2280="Active",'MASTER RECORD'!C2280,"")</f>
        <v/>
      </c>
    </row>
    <row r="2276" spans="2:2">
      <c r="B2276" t="str">
        <f>IF('MASTER RECORD'!F2281="Active",'MASTER RECORD'!C2281,"")</f>
        <v/>
      </c>
    </row>
    <row r="2277" spans="2:2">
      <c r="B2277" t="str">
        <f>IF('MASTER RECORD'!F2282="Active",'MASTER RECORD'!C2282,"")</f>
        <v/>
      </c>
    </row>
    <row r="2278" spans="2:2">
      <c r="B2278" t="str">
        <f>IF('MASTER RECORD'!F2283="Active",'MASTER RECORD'!C2283,"")</f>
        <v/>
      </c>
    </row>
    <row r="2279" spans="2:2">
      <c r="B2279" t="str">
        <f>IF('MASTER RECORD'!F2284="Active",'MASTER RECORD'!C2284,"")</f>
        <v/>
      </c>
    </row>
    <row r="2280" spans="2:2">
      <c r="B2280" t="str">
        <f>IF('MASTER RECORD'!F2285="Active",'MASTER RECORD'!C2285,"")</f>
        <v/>
      </c>
    </row>
    <row r="2281" spans="2:2">
      <c r="B2281" t="str">
        <f>IF('MASTER RECORD'!F2286="Active",'MASTER RECORD'!C2286,"")</f>
        <v/>
      </c>
    </row>
    <row r="2282" spans="2:2">
      <c r="B2282" t="str">
        <f>IF('MASTER RECORD'!F2287="Active",'MASTER RECORD'!C2287,"")</f>
        <v/>
      </c>
    </row>
    <row r="2283" spans="2:2">
      <c r="B2283" t="str">
        <f>IF('MASTER RECORD'!F2288="Active",'MASTER RECORD'!C2288,"")</f>
        <v/>
      </c>
    </row>
    <row r="2284" spans="2:2">
      <c r="B2284" t="str">
        <f>IF('MASTER RECORD'!F2289="Active",'MASTER RECORD'!C2289,"")</f>
        <v/>
      </c>
    </row>
    <row r="2285" spans="2:2">
      <c r="B2285" t="str">
        <f>IF('MASTER RECORD'!F2290="Active",'MASTER RECORD'!C2290,"")</f>
        <v/>
      </c>
    </row>
    <row r="2286" spans="2:2">
      <c r="B2286" t="str">
        <f>IF('MASTER RECORD'!F2291="Active",'MASTER RECORD'!C2291,"")</f>
        <v/>
      </c>
    </row>
    <row r="2287" spans="2:2">
      <c r="B2287" t="str">
        <f>IF('MASTER RECORD'!F2292="Active",'MASTER RECORD'!C2292,"")</f>
        <v/>
      </c>
    </row>
    <row r="2288" spans="2:2">
      <c r="B2288" t="str">
        <f>IF('MASTER RECORD'!F2293="Active",'MASTER RECORD'!C2293,"")</f>
        <v/>
      </c>
    </row>
    <row r="2289" spans="2:2">
      <c r="B2289" t="str">
        <f>IF('MASTER RECORD'!F2294="Active",'MASTER RECORD'!C2294,"")</f>
        <v/>
      </c>
    </row>
    <row r="2290" spans="2:2">
      <c r="B2290" t="str">
        <f>IF('MASTER RECORD'!F2295="Active",'MASTER RECORD'!C2295,"")</f>
        <v/>
      </c>
    </row>
    <row r="2291" spans="2:2">
      <c r="B2291" t="str">
        <f>IF('MASTER RECORD'!F2296="Active",'MASTER RECORD'!C2296,"")</f>
        <v/>
      </c>
    </row>
    <row r="2292" spans="2:2">
      <c r="B2292" t="str">
        <f>IF('MASTER RECORD'!F2297="Active",'MASTER RECORD'!C2297,"")</f>
        <v/>
      </c>
    </row>
    <row r="2293" spans="2:2">
      <c r="B2293" t="str">
        <f>IF('MASTER RECORD'!F2298="Active",'MASTER RECORD'!C2298,"")</f>
        <v/>
      </c>
    </row>
    <row r="2294" spans="2:2">
      <c r="B2294" t="str">
        <f>IF('MASTER RECORD'!F2299="Active",'MASTER RECORD'!C2299,"")</f>
        <v/>
      </c>
    </row>
    <row r="2295" spans="2:2">
      <c r="B2295" t="str">
        <f>IF('MASTER RECORD'!F2300="Active",'MASTER RECORD'!C2300,"")</f>
        <v/>
      </c>
    </row>
    <row r="2296" spans="2:2">
      <c r="B2296" t="str">
        <f>IF('MASTER RECORD'!F2301="Active",'MASTER RECORD'!C2301,"")</f>
        <v/>
      </c>
    </row>
    <row r="2297" spans="2:2">
      <c r="B2297" t="str">
        <f>IF('MASTER RECORD'!F2302="Active",'MASTER RECORD'!C2302,"")</f>
        <v/>
      </c>
    </row>
    <row r="2298" spans="2:2">
      <c r="B2298" t="str">
        <f>IF('MASTER RECORD'!F2303="Active",'MASTER RECORD'!C2303,"")</f>
        <v/>
      </c>
    </row>
    <row r="2299" spans="2:2">
      <c r="B2299" t="str">
        <f>IF('MASTER RECORD'!F2304="Active",'MASTER RECORD'!C2304,"")</f>
        <v/>
      </c>
    </row>
    <row r="2300" spans="2:2">
      <c r="B2300" t="str">
        <f>IF('MASTER RECORD'!F2305="Active",'MASTER RECORD'!C2305,"")</f>
        <v/>
      </c>
    </row>
    <row r="2301" spans="2:2">
      <c r="B2301" t="str">
        <f>IF('MASTER RECORD'!F2306="Active",'MASTER RECORD'!C2306,"")</f>
        <v/>
      </c>
    </row>
    <row r="2302" spans="2:2">
      <c r="B2302" t="str">
        <f>IF('MASTER RECORD'!F2307="Active",'MASTER RECORD'!C2307,"")</f>
        <v/>
      </c>
    </row>
    <row r="2303" spans="2:2">
      <c r="B2303" t="str">
        <f>IF('MASTER RECORD'!F2308="Active",'MASTER RECORD'!C2308,"")</f>
        <v/>
      </c>
    </row>
    <row r="2304" spans="2:2">
      <c r="B2304" t="str">
        <f>IF('MASTER RECORD'!F2309="Active",'MASTER RECORD'!C2309,"")</f>
        <v/>
      </c>
    </row>
    <row r="2305" spans="2:2">
      <c r="B2305" t="str">
        <f>IF('MASTER RECORD'!F2310="Active",'MASTER RECORD'!C2310,"")</f>
        <v/>
      </c>
    </row>
    <row r="2306" spans="2:2">
      <c r="B2306" t="str">
        <f>IF('MASTER RECORD'!F2311="Active",'MASTER RECORD'!C2311,"")</f>
        <v/>
      </c>
    </row>
    <row r="2307" spans="2:2">
      <c r="B2307" t="str">
        <f>IF('MASTER RECORD'!F2312="Active",'MASTER RECORD'!C2312,"")</f>
        <v/>
      </c>
    </row>
    <row r="2308" spans="2:2">
      <c r="B2308" t="str">
        <f>IF('MASTER RECORD'!F2313="Active",'MASTER RECORD'!C2313,"")</f>
        <v/>
      </c>
    </row>
    <row r="2309" spans="2:2">
      <c r="B2309" t="str">
        <f>IF('MASTER RECORD'!F2314="Active",'MASTER RECORD'!C2314,"")</f>
        <v/>
      </c>
    </row>
    <row r="2310" spans="2:2">
      <c r="B2310" t="str">
        <f>IF('MASTER RECORD'!F2315="Active",'MASTER RECORD'!C2315,"")</f>
        <v/>
      </c>
    </row>
    <row r="2311" spans="2:2">
      <c r="B2311" t="str">
        <f>IF('MASTER RECORD'!F2316="Active",'MASTER RECORD'!C2316,"")</f>
        <v/>
      </c>
    </row>
    <row r="2312" spans="2:2">
      <c r="B2312" t="str">
        <f>IF('MASTER RECORD'!F2317="Active",'MASTER RECORD'!C2317,"")</f>
        <v/>
      </c>
    </row>
    <row r="2313" spans="2:2">
      <c r="B2313" t="str">
        <f>IF('MASTER RECORD'!F2318="Active",'MASTER RECORD'!C2318,"")</f>
        <v/>
      </c>
    </row>
    <row r="2314" spans="2:2">
      <c r="B2314" t="str">
        <f>IF('MASTER RECORD'!F2319="Active",'MASTER RECORD'!C2319,"")</f>
        <v/>
      </c>
    </row>
    <row r="2315" spans="2:2">
      <c r="B2315" t="str">
        <f>IF('MASTER RECORD'!F2320="Active",'MASTER RECORD'!C2320,"")</f>
        <v/>
      </c>
    </row>
    <row r="2316" spans="2:2">
      <c r="B2316" t="str">
        <f>IF('MASTER RECORD'!F2321="Active",'MASTER RECORD'!C2321,"")</f>
        <v/>
      </c>
    </row>
    <row r="2317" spans="2:2">
      <c r="B2317" t="str">
        <f>IF('MASTER RECORD'!F2322="Active",'MASTER RECORD'!C2322,"")</f>
        <v/>
      </c>
    </row>
    <row r="2318" spans="2:2">
      <c r="B2318" t="str">
        <f>IF('MASTER RECORD'!F2323="Active",'MASTER RECORD'!C2323,"")</f>
        <v/>
      </c>
    </row>
    <row r="2319" spans="2:2">
      <c r="B2319" t="str">
        <f>IF('MASTER RECORD'!F2324="Active",'MASTER RECORD'!C2324,"")</f>
        <v/>
      </c>
    </row>
    <row r="2320" spans="2:2">
      <c r="B2320" t="str">
        <f>IF('MASTER RECORD'!F2325="Active",'MASTER RECORD'!C2325,"")</f>
        <v/>
      </c>
    </row>
    <row r="2321" spans="2:2">
      <c r="B2321" t="str">
        <f>IF('MASTER RECORD'!F2326="Active",'MASTER RECORD'!C2326,"")</f>
        <v/>
      </c>
    </row>
    <row r="2322" spans="2:2">
      <c r="B2322" t="str">
        <f>IF('MASTER RECORD'!F2327="Active",'MASTER RECORD'!C2327,"")</f>
        <v/>
      </c>
    </row>
    <row r="2323" spans="2:2">
      <c r="B2323" t="str">
        <f>IF('MASTER RECORD'!F2328="Active",'MASTER RECORD'!C2328,"")</f>
        <v/>
      </c>
    </row>
    <row r="2324" spans="2:2">
      <c r="B2324" t="str">
        <f>IF('MASTER RECORD'!F2329="Active",'MASTER RECORD'!C2329,"")</f>
        <v/>
      </c>
    </row>
    <row r="2325" spans="2:2">
      <c r="B2325" t="str">
        <f>IF('MASTER RECORD'!F2330="Active",'MASTER RECORD'!C2330,"")</f>
        <v/>
      </c>
    </row>
    <row r="2326" spans="2:2">
      <c r="B2326" t="str">
        <f>IF('MASTER RECORD'!F2331="Active",'MASTER RECORD'!C2331,"")</f>
        <v/>
      </c>
    </row>
    <row r="2327" spans="2:2">
      <c r="B2327" t="str">
        <f>IF('MASTER RECORD'!F2332="Active",'MASTER RECORD'!C2332,"")</f>
        <v/>
      </c>
    </row>
    <row r="2328" spans="2:2">
      <c r="B2328" t="str">
        <f>IF('MASTER RECORD'!F2333="Active",'MASTER RECORD'!C2333,"")</f>
        <v/>
      </c>
    </row>
    <row r="2329" spans="2:2">
      <c r="B2329" t="str">
        <f>IF('MASTER RECORD'!F2334="Active",'MASTER RECORD'!C2334,"")</f>
        <v/>
      </c>
    </row>
    <row r="2330" spans="2:2">
      <c r="B2330" t="str">
        <f>IF('MASTER RECORD'!F2335="Active",'MASTER RECORD'!C2335,"")</f>
        <v/>
      </c>
    </row>
    <row r="2331" spans="2:2">
      <c r="B2331" t="str">
        <f>IF('MASTER RECORD'!F2336="Active",'MASTER RECORD'!C2336,"")</f>
        <v/>
      </c>
    </row>
    <row r="2332" spans="2:2">
      <c r="B2332" t="str">
        <f>IF('MASTER RECORD'!F2337="Active",'MASTER RECORD'!C2337,"")</f>
        <v/>
      </c>
    </row>
    <row r="2333" spans="2:2">
      <c r="B2333" t="str">
        <f>IF('MASTER RECORD'!F2338="Active",'MASTER RECORD'!C2338,"")</f>
        <v/>
      </c>
    </row>
    <row r="2334" spans="2:2">
      <c r="B2334" t="str">
        <f>IF('MASTER RECORD'!F2339="Active",'MASTER RECORD'!C2339,"")</f>
        <v/>
      </c>
    </row>
    <row r="2335" spans="2:2">
      <c r="B2335" t="str">
        <f>IF('MASTER RECORD'!F2340="Active",'MASTER RECORD'!C2340,"")</f>
        <v/>
      </c>
    </row>
    <row r="2336" spans="2:2">
      <c r="B2336" t="str">
        <f>IF('MASTER RECORD'!F2341="Active",'MASTER RECORD'!C2341,"")</f>
        <v/>
      </c>
    </row>
    <row r="2337" spans="2:2">
      <c r="B2337" t="str">
        <f>IF('MASTER RECORD'!F2342="Active",'MASTER RECORD'!C2342,"")</f>
        <v/>
      </c>
    </row>
    <row r="2338" spans="2:2">
      <c r="B2338" t="str">
        <f>IF('MASTER RECORD'!F2343="Active",'MASTER RECORD'!C2343,"")</f>
        <v/>
      </c>
    </row>
    <row r="2339" spans="2:2">
      <c r="B2339" t="str">
        <f>IF('MASTER RECORD'!F2344="Active",'MASTER RECORD'!C2344,"")</f>
        <v/>
      </c>
    </row>
    <row r="2340" spans="2:2">
      <c r="B2340" t="str">
        <f>IF('MASTER RECORD'!F2345="Active",'MASTER RECORD'!C2345,"")</f>
        <v/>
      </c>
    </row>
    <row r="2341" spans="2:2">
      <c r="B2341" t="str">
        <f>IF('MASTER RECORD'!F2346="Active",'MASTER RECORD'!C2346,"")</f>
        <v/>
      </c>
    </row>
    <row r="2342" spans="2:2">
      <c r="B2342" t="str">
        <f>IF('MASTER RECORD'!F2347="Active",'MASTER RECORD'!C2347,"")</f>
        <v/>
      </c>
    </row>
    <row r="2343" spans="2:2">
      <c r="B2343" t="str">
        <f>IF('MASTER RECORD'!F2348="Active",'MASTER RECORD'!C2348,"")</f>
        <v/>
      </c>
    </row>
    <row r="2344" spans="2:2">
      <c r="B2344" t="str">
        <f>IF('MASTER RECORD'!F2349="Active",'MASTER RECORD'!C2349,"")</f>
        <v/>
      </c>
    </row>
    <row r="2345" spans="2:2">
      <c r="B2345" t="str">
        <f>IF('MASTER RECORD'!F2350="Active",'MASTER RECORD'!C2350,"")</f>
        <v/>
      </c>
    </row>
    <row r="2346" spans="2:2">
      <c r="B2346" t="str">
        <f>IF('MASTER RECORD'!F2351="Active",'MASTER RECORD'!C2351,"")</f>
        <v/>
      </c>
    </row>
    <row r="2347" spans="2:2">
      <c r="B2347" t="str">
        <f>IF('MASTER RECORD'!F2352="Active",'MASTER RECORD'!C2352,"")</f>
        <v/>
      </c>
    </row>
    <row r="2348" spans="2:2">
      <c r="B2348" t="str">
        <f>IF('MASTER RECORD'!F2353="Active",'MASTER RECORD'!C2353,"")</f>
        <v/>
      </c>
    </row>
    <row r="2349" spans="2:2">
      <c r="B2349" t="str">
        <f>IF('MASTER RECORD'!F2354="Active",'MASTER RECORD'!C2354,"")</f>
        <v/>
      </c>
    </row>
    <row r="2350" spans="2:2">
      <c r="B2350" t="str">
        <f>IF('MASTER RECORD'!F2355="Active",'MASTER RECORD'!C2355,"")</f>
        <v/>
      </c>
    </row>
    <row r="2351" spans="2:2">
      <c r="B2351" t="str">
        <f>IF('MASTER RECORD'!F2356="Active",'MASTER RECORD'!C2356,"")</f>
        <v/>
      </c>
    </row>
    <row r="2352" spans="2:2">
      <c r="B2352" t="str">
        <f>IF('MASTER RECORD'!F2357="Active",'MASTER RECORD'!C2357,"")</f>
        <v/>
      </c>
    </row>
    <row r="2353" spans="2:2">
      <c r="B2353" t="str">
        <f>IF('MASTER RECORD'!F2358="Active",'MASTER RECORD'!C2358,"")</f>
        <v/>
      </c>
    </row>
    <row r="2354" spans="2:2">
      <c r="B2354" t="str">
        <f>IF('MASTER RECORD'!F2359="Active",'MASTER RECORD'!C2359,"")</f>
        <v/>
      </c>
    </row>
    <row r="2355" spans="2:2">
      <c r="B2355" t="str">
        <f>IF('MASTER RECORD'!F2360="Active",'MASTER RECORD'!C2360,"")</f>
        <v/>
      </c>
    </row>
    <row r="2356" spans="2:2">
      <c r="B2356" t="str">
        <f>IF('MASTER RECORD'!F2361="Active",'MASTER RECORD'!C2361,"")</f>
        <v/>
      </c>
    </row>
    <row r="2357" spans="2:2">
      <c r="B2357" t="str">
        <f>IF('MASTER RECORD'!F2362="Active",'MASTER RECORD'!C2362,"")</f>
        <v/>
      </c>
    </row>
    <row r="2358" spans="2:2">
      <c r="B2358" t="str">
        <f>IF('MASTER RECORD'!F2363="Active",'MASTER RECORD'!C2363,"")</f>
        <v/>
      </c>
    </row>
    <row r="2359" spans="2:2">
      <c r="B2359" t="str">
        <f>IF('MASTER RECORD'!F2364="Active",'MASTER RECORD'!C2364,"")</f>
        <v/>
      </c>
    </row>
    <row r="2360" spans="2:2">
      <c r="B2360" t="str">
        <f>IF('MASTER RECORD'!F2365="Active",'MASTER RECORD'!C2365,"")</f>
        <v/>
      </c>
    </row>
    <row r="2361" spans="2:2">
      <c r="B2361" t="str">
        <f>IF('MASTER RECORD'!F2366="Active",'MASTER RECORD'!C2366,"")</f>
        <v/>
      </c>
    </row>
    <row r="2362" spans="2:2">
      <c r="B2362" t="str">
        <f>IF('MASTER RECORD'!F2367="Active",'MASTER RECORD'!C2367,"")</f>
        <v/>
      </c>
    </row>
    <row r="2363" spans="2:2">
      <c r="B2363" t="str">
        <f>IF('MASTER RECORD'!F2368="Active",'MASTER RECORD'!C2368,"")</f>
        <v/>
      </c>
    </row>
    <row r="2364" spans="2:2">
      <c r="B2364" t="str">
        <f>IF('MASTER RECORD'!F2369="Active",'MASTER RECORD'!C2369,"")</f>
        <v/>
      </c>
    </row>
    <row r="2365" spans="2:2">
      <c r="B2365" t="str">
        <f>IF('MASTER RECORD'!F2370="Active",'MASTER RECORD'!C2370,"")</f>
        <v/>
      </c>
    </row>
    <row r="2366" spans="2:2">
      <c r="B2366" t="str">
        <f>IF('MASTER RECORD'!F2371="Active",'MASTER RECORD'!C2371,"")</f>
        <v/>
      </c>
    </row>
    <row r="2367" spans="2:2">
      <c r="B2367" t="str">
        <f>IF('MASTER RECORD'!F2372="Active",'MASTER RECORD'!C2372,"")</f>
        <v/>
      </c>
    </row>
    <row r="2368" spans="2:2">
      <c r="B2368" t="str">
        <f>IF('MASTER RECORD'!F2373="Active",'MASTER RECORD'!C2373,"")</f>
        <v/>
      </c>
    </row>
    <row r="2369" spans="2:2">
      <c r="B2369" t="str">
        <f>IF('MASTER RECORD'!F2374="Active",'MASTER RECORD'!C2374,"")</f>
        <v/>
      </c>
    </row>
    <row r="2370" spans="2:2">
      <c r="B2370" t="str">
        <f>IF('MASTER RECORD'!F2375="Active",'MASTER RECORD'!C2375,"")</f>
        <v/>
      </c>
    </row>
    <row r="2371" spans="2:2">
      <c r="B2371" t="str">
        <f>IF('MASTER RECORD'!F2376="Active",'MASTER RECORD'!C2376,"")</f>
        <v/>
      </c>
    </row>
    <row r="2372" spans="2:2">
      <c r="B2372" t="str">
        <f>IF('MASTER RECORD'!F2377="Active",'MASTER RECORD'!C2377,"")</f>
        <v/>
      </c>
    </row>
    <row r="2373" spans="2:2">
      <c r="B2373" t="str">
        <f>IF('MASTER RECORD'!F2378="Active",'MASTER RECORD'!C2378,"")</f>
        <v/>
      </c>
    </row>
    <row r="2374" spans="2:2">
      <c r="B2374" t="str">
        <f>IF('MASTER RECORD'!F2379="Active",'MASTER RECORD'!C2379,"")</f>
        <v/>
      </c>
    </row>
    <row r="2375" spans="2:2">
      <c r="B2375" t="str">
        <f>IF('MASTER RECORD'!F2380="Active",'MASTER RECORD'!C2380,"")</f>
        <v/>
      </c>
    </row>
    <row r="2376" spans="2:2">
      <c r="B2376" t="str">
        <f>IF('MASTER RECORD'!F2381="Active",'MASTER RECORD'!C2381,"")</f>
        <v/>
      </c>
    </row>
    <row r="2377" spans="2:2">
      <c r="B2377" t="str">
        <f>IF('MASTER RECORD'!F2382="Active",'MASTER RECORD'!C2382,"")</f>
        <v/>
      </c>
    </row>
    <row r="2378" spans="2:2">
      <c r="B2378" t="str">
        <f>IF('MASTER RECORD'!F2383="Active",'MASTER RECORD'!C2383,"")</f>
        <v/>
      </c>
    </row>
    <row r="2379" spans="2:2">
      <c r="B2379" t="str">
        <f>IF('MASTER RECORD'!F2384="Active",'MASTER RECORD'!C2384,"")</f>
        <v/>
      </c>
    </row>
    <row r="2380" spans="2:2">
      <c r="B2380" t="str">
        <f>IF('MASTER RECORD'!F2385="Active",'MASTER RECORD'!C2385,"")</f>
        <v/>
      </c>
    </row>
    <row r="2381" spans="2:2">
      <c r="B2381" t="str">
        <f>IF('MASTER RECORD'!F2386="Active",'MASTER RECORD'!C2386,"")</f>
        <v/>
      </c>
    </row>
    <row r="2382" spans="2:2">
      <c r="B2382" t="str">
        <f>IF('MASTER RECORD'!F2387="Active",'MASTER RECORD'!C2387,"")</f>
        <v/>
      </c>
    </row>
    <row r="2383" spans="2:2">
      <c r="B2383" t="str">
        <f>IF('MASTER RECORD'!F2388="Active",'MASTER RECORD'!C2388,"")</f>
        <v/>
      </c>
    </row>
    <row r="2384" spans="2:2">
      <c r="B2384" t="str">
        <f>IF('MASTER RECORD'!F2389="Active",'MASTER RECORD'!C2389,"")</f>
        <v/>
      </c>
    </row>
    <row r="2385" spans="2:2">
      <c r="B2385" t="str">
        <f>IF('MASTER RECORD'!F2390="Active",'MASTER RECORD'!C2390,"")</f>
        <v/>
      </c>
    </row>
    <row r="2386" spans="2:2">
      <c r="B2386" t="str">
        <f>IF('MASTER RECORD'!F2391="Active",'MASTER RECORD'!C2391,"")</f>
        <v/>
      </c>
    </row>
    <row r="2387" spans="2:2">
      <c r="B2387" t="str">
        <f>IF('MASTER RECORD'!F2392="Active",'MASTER RECORD'!C2392,"")</f>
        <v/>
      </c>
    </row>
    <row r="2388" spans="2:2">
      <c r="B2388" t="str">
        <f>IF('MASTER RECORD'!F2393="Active",'MASTER RECORD'!C2393,"")</f>
        <v/>
      </c>
    </row>
    <row r="2389" spans="2:2">
      <c r="B2389" t="str">
        <f>IF('MASTER RECORD'!F2394="Active",'MASTER RECORD'!C2394,"")</f>
        <v/>
      </c>
    </row>
    <row r="2390" spans="2:2">
      <c r="B2390" t="str">
        <f>IF('MASTER RECORD'!F2395="Active",'MASTER RECORD'!C2395,"")</f>
        <v/>
      </c>
    </row>
    <row r="2391" spans="2:2">
      <c r="B2391" t="str">
        <f>IF('MASTER RECORD'!F2396="Active",'MASTER RECORD'!C2396,"")</f>
        <v/>
      </c>
    </row>
    <row r="2392" spans="2:2">
      <c r="B2392" t="str">
        <f>IF('MASTER RECORD'!F2397="Active",'MASTER RECORD'!C2397,"")</f>
        <v/>
      </c>
    </row>
    <row r="2393" spans="2:2">
      <c r="B2393" t="str">
        <f>IF('MASTER RECORD'!F2398="Active",'MASTER RECORD'!C2398,"")</f>
        <v/>
      </c>
    </row>
    <row r="2394" spans="2:2">
      <c r="B2394" t="str">
        <f>IF('MASTER RECORD'!F2399="Active",'MASTER RECORD'!C2399,"")</f>
        <v/>
      </c>
    </row>
    <row r="2395" spans="2:2">
      <c r="B2395" t="str">
        <f>IF('MASTER RECORD'!F2400="Active",'MASTER RECORD'!C2400,"")</f>
        <v/>
      </c>
    </row>
    <row r="2396" spans="2:2">
      <c r="B2396" t="str">
        <f>IF('MASTER RECORD'!F2401="Active",'MASTER RECORD'!C2401,"")</f>
        <v/>
      </c>
    </row>
    <row r="2397" spans="2:2">
      <c r="B2397" t="str">
        <f>IF('MASTER RECORD'!F2402="Active",'MASTER RECORD'!C2402,"")</f>
        <v/>
      </c>
    </row>
    <row r="2398" spans="2:2">
      <c r="B2398" t="str">
        <f>IF('MASTER RECORD'!F2403="Active",'MASTER RECORD'!C2403,"")</f>
        <v/>
      </c>
    </row>
    <row r="2399" spans="2:2">
      <c r="B2399" t="str">
        <f>IF('MASTER RECORD'!F2404="Active",'MASTER RECORD'!C2404,"")</f>
        <v/>
      </c>
    </row>
    <row r="2400" spans="2:2">
      <c r="B2400" t="str">
        <f>IF('MASTER RECORD'!F2405="Active",'MASTER RECORD'!C2405,"")</f>
        <v/>
      </c>
    </row>
    <row r="2401" spans="2:2">
      <c r="B2401" t="str">
        <f>IF('MASTER RECORD'!F2406="Active",'MASTER RECORD'!C2406,"")</f>
        <v/>
      </c>
    </row>
    <row r="2402" spans="2:2">
      <c r="B2402" t="str">
        <f>IF('MASTER RECORD'!F2407="Active",'MASTER RECORD'!C2407,"")</f>
        <v/>
      </c>
    </row>
    <row r="2403" spans="2:2">
      <c r="B2403" t="str">
        <f>IF('MASTER RECORD'!F2408="Active",'MASTER RECORD'!C2408,"")</f>
        <v/>
      </c>
    </row>
    <row r="2404" spans="2:2">
      <c r="B2404" t="str">
        <f>IF('MASTER RECORD'!F2409="Active",'MASTER RECORD'!C2409,"")</f>
        <v/>
      </c>
    </row>
    <row r="2405" spans="2:2">
      <c r="B2405" t="str">
        <f>IF('MASTER RECORD'!F2410="Active",'MASTER RECORD'!C2410,"")</f>
        <v/>
      </c>
    </row>
    <row r="2406" spans="2:2">
      <c r="B2406" t="str">
        <f>IF('MASTER RECORD'!F2411="Active",'MASTER RECORD'!C2411,"")</f>
        <v/>
      </c>
    </row>
    <row r="2407" spans="2:2">
      <c r="B2407" t="str">
        <f>IF('MASTER RECORD'!F2412="Active",'MASTER RECORD'!C2412,"")</f>
        <v/>
      </c>
    </row>
    <row r="2408" spans="2:2">
      <c r="B2408" t="str">
        <f>IF('MASTER RECORD'!F2413="Active",'MASTER RECORD'!C2413,"")</f>
        <v/>
      </c>
    </row>
    <row r="2409" spans="2:2">
      <c r="B2409" t="str">
        <f>IF('MASTER RECORD'!F2414="Active",'MASTER RECORD'!C2414,"")</f>
        <v/>
      </c>
    </row>
    <row r="2410" spans="2:2">
      <c r="B2410" t="str">
        <f>IF('MASTER RECORD'!F2415="Active",'MASTER RECORD'!C2415,"")</f>
        <v/>
      </c>
    </row>
    <row r="2411" spans="2:2">
      <c r="B2411" t="str">
        <f>IF('MASTER RECORD'!F2416="Active",'MASTER RECORD'!C2416,"")</f>
        <v/>
      </c>
    </row>
    <row r="2412" spans="2:2">
      <c r="B2412" t="str">
        <f>IF('MASTER RECORD'!F2417="Active",'MASTER RECORD'!C2417,"")</f>
        <v/>
      </c>
    </row>
    <row r="2413" spans="2:2">
      <c r="B2413" t="str">
        <f>IF('MASTER RECORD'!F2418="Active",'MASTER RECORD'!C2418,"")</f>
        <v/>
      </c>
    </row>
    <row r="2414" spans="2:2">
      <c r="B2414" t="str">
        <f>IF('MASTER RECORD'!F2419="Active",'MASTER RECORD'!C2419,"")</f>
        <v/>
      </c>
    </row>
    <row r="2415" spans="2:2">
      <c r="B2415" t="str">
        <f>IF('MASTER RECORD'!F2420="Active",'MASTER RECORD'!C2420,"")</f>
        <v/>
      </c>
    </row>
    <row r="2416" spans="2:2">
      <c r="B2416" t="str">
        <f>IF('MASTER RECORD'!F2421="Active",'MASTER RECORD'!C2421,"")</f>
        <v/>
      </c>
    </row>
    <row r="2417" spans="2:2">
      <c r="B2417" t="str">
        <f>IF('MASTER RECORD'!F2422="Active",'MASTER RECORD'!C2422,"")</f>
        <v/>
      </c>
    </row>
    <row r="2418" spans="2:2">
      <c r="B2418" t="str">
        <f>IF('MASTER RECORD'!F2423="Active",'MASTER RECORD'!C2423,"")</f>
        <v/>
      </c>
    </row>
    <row r="2419" spans="2:2">
      <c r="B2419" t="str">
        <f>IF('MASTER RECORD'!F2424="Active",'MASTER RECORD'!C2424,"")</f>
        <v/>
      </c>
    </row>
    <row r="2420" spans="2:2">
      <c r="B2420" t="str">
        <f>IF('MASTER RECORD'!F2425="Active",'MASTER RECORD'!C2425,"")</f>
        <v/>
      </c>
    </row>
    <row r="2421" spans="2:2">
      <c r="B2421" t="str">
        <f>IF('MASTER RECORD'!F2426="Active",'MASTER RECORD'!C2426,"")</f>
        <v/>
      </c>
    </row>
    <row r="2422" spans="2:2">
      <c r="B2422" t="str">
        <f>IF('MASTER RECORD'!F2427="Active",'MASTER RECORD'!C2427,"")</f>
        <v/>
      </c>
    </row>
    <row r="2423" spans="2:2">
      <c r="B2423" t="str">
        <f>IF('MASTER RECORD'!F2428="Active",'MASTER RECORD'!C2428,"")</f>
        <v/>
      </c>
    </row>
    <row r="2424" spans="2:2">
      <c r="B2424" t="str">
        <f>IF('MASTER RECORD'!F2429="Active",'MASTER RECORD'!C2429,"")</f>
        <v/>
      </c>
    </row>
    <row r="2425" spans="2:2">
      <c r="B2425" t="str">
        <f>IF('MASTER RECORD'!F2430="Active",'MASTER RECORD'!C2430,"")</f>
        <v/>
      </c>
    </row>
    <row r="2426" spans="2:2">
      <c r="B2426" t="str">
        <f>IF('MASTER RECORD'!F2431="Active",'MASTER RECORD'!C2431,"")</f>
        <v/>
      </c>
    </row>
    <row r="2427" spans="2:2">
      <c r="B2427" t="str">
        <f>IF('MASTER RECORD'!F2432="Active",'MASTER RECORD'!C2432,"")</f>
        <v/>
      </c>
    </row>
    <row r="2428" spans="2:2">
      <c r="B2428" t="str">
        <f>IF('MASTER RECORD'!F2433="Active",'MASTER RECORD'!C2433,"")</f>
        <v/>
      </c>
    </row>
    <row r="2429" spans="2:2">
      <c r="B2429" t="str">
        <f>IF('MASTER RECORD'!F2434="Active",'MASTER RECORD'!C2434,"")</f>
        <v/>
      </c>
    </row>
    <row r="2430" spans="2:2">
      <c r="B2430" t="str">
        <f>IF('MASTER RECORD'!F2435="Active",'MASTER RECORD'!C2435,"")</f>
        <v/>
      </c>
    </row>
    <row r="2431" spans="2:2">
      <c r="B2431" t="str">
        <f>IF('MASTER RECORD'!F2436="Active",'MASTER RECORD'!C2436,"")</f>
        <v/>
      </c>
    </row>
    <row r="2432" spans="2:2">
      <c r="B2432" t="str">
        <f>IF('MASTER RECORD'!F2437="Active",'MASTER RECORD'!C2437,"")</f>
        <v/>
      </c>
    </row>
    <row r="2433" spans="2:2">
      <c r="B2433" t="str">
        <f>IF('MASTER RECORD'!F2438="Active",'MASTER RECORD'!C2438,"")</f>
        <v/>
      </c>
    </row>
    <row r="2434" spans="2:2">
      <c r="B2434" t="str">
        <f>IF('MASTER RECORD'!F2439="Active",'MASTER RECORD'!C2439,"")</f>
        <v/>
      </c>
    </row>
    <row r="2435" spans="2:2">
      <c r="B2435" t="str">
        <f>IF('MASTER RECORD'!F2440="Active",'MASTER RECORD'!C2440,"")</f>
        <v/>
      </c>
    </row>
    <row r="2436" spans="2:2">
      <c r="B2436" t="str">
        <f>IF('MASTER RECORD'!F2441="Active",'MASTER RECORD'!C2441,"")</f>
        <v/>
      </c>
    </row>
    <row r="2437" spans="2:2">
      <c r="B2437" t="str">
        <f>IF('MASTER RECORD'!F2442="Active",'MASTER RECORD'!C2442,"")</f>
        <v/>
      </c>
    </row>
    <row r="2438" spans="2:2">
      <c r="B2438" t="str">
        <f>IF('MASTER RECORD'!F2443="Active",'MASTER RECORD'!C2443,"")</f>
        <v/>
      </c>
    </row>
    <row r="2439" spans="2:2">
      <c r="B2439" t="str">
        <f>IF('MASTER RECORD'!F2444="Active",'MASTER RECORD'!C2444,"")</f>
        <v/>
      </c>
    </row>
    <row r="2440" spans="2:2">
      <c r="B2440" t="str">
        <f>IF('MASTER RECORD'!F2445="Active",'MASTER RECORD'!C2445,"")</f>
        <v/>
      </c>
    </row>
    <row r="2441" spans="2:2">
      <c r="B2441" t="str">
        <f>IF('MASTER RECORD'!F2446="Active",'MASTER RECORD'!C2446,"")</f>
        <v/>
      </c>
    </row>
    <row r="2442" spans="2:2">
      <c r="B2442" t="str">
        <f>IF('MASTER RECORD'!F2447="Active",'MASTER RECORD'!C2447,"")</f>
        <v/>
      </c>
    </row>
    <row r="2443" spans="2:2">
      <c r="B2443" t="str">
        <f>IF('MASTER RECORD'!F2448="Active",'MASTER RECORD'!C2448,"")</f>
        <v/>
      </c>
    </row>
    <row r="2444" spans="2:2">
      <c r="B2444" t="str">
        <f>IF('MASTER RECORD'!F2449="Active",'MASTER RECORD'!C2449,"")</f>
        <v/>
      </c>
    </row>
    <row r="2445" spans="2:2">
      <c r="B2445" t="str">
        <f>IF('MASTER RECORD'!F2450="Active",'MASTER RECORD'!C2450,"")</f>
        <v/>
      </c>
    </row>
    <row r="2446" spans="2:2">
      <c r="B2446" t="str">
        <f>IF('MASTER RECORD'!F2451="Active",'MASTER RECORD'!C2451,"")</f>
        <v/>
      </c>
    </row>
    <row r="2447" spans="2:2">
      <c r="B2447" t="str">
        <f>IF('MASTER RECORD'!F2452="Active",'MASTER RECORD'!C2452,"")</f>
        <v/>
      </c>
    </row>
    <row r="2448" spans="2:2">
      <c r="B2448" t="str">
        <f>IF('MASTER RECORD'!F2453="Active",'MASTER RECORD'!C2453,"")</f>
        <v/>
      </c>
    </row>
    <row r="2449" spans="2:2">
      <c r="B2449" t="str">
        <f>IF('MASTER RECORD'!F2454="Active",'MASTER RECORD'!C2454,"")</f>
        <v/>
      </c>
    </row>
    <row r="2450" spans="2:2">
      <c r="B2450" t="str">
        <f>IF('MASTER RECORD'!F2455="Active",'MASTER RECORD'!C2455,"")</f>
        <v/>
      </c>
    </row>
    <row r="2451" spans="2:2">
      <c r="B2451" t="str">
        <f>IF('MASTER RECORD'!F2456="Active",'MASTER RECORD'!C2456,"")</f>
        <v/>
      </c>
    </row>
    <row r="2452" spans="2:2">
      <c r="B2452" t="str">
        <f>IF('MASTER RECORD'!F2457="Active",'MASTER RECORD'!C2457,"")</f>
        <v/>
      </c>
    </row>
    <row r="2453" spans="2:2">
      <c r="B2453" t="str">
        <f>IF('MASTER RECORD'!F2458="Active",'MASTER RECORD'!C2458,"")</f>
        <v/>
      </c>
    </row>
    <row r="2454" spans="2:2">
      <c r="B2454" t="str">
        <f>IF('MASTER RECORD'!F2459="Active",'MASTER RECORD'!C2459,"")</f>
        <v/>
      </c>
    </row>
    <row r="2455" spans="2:2">
      <c r="B2455" t="str">
        <f>IF('MASTER RECORD'!F2460="Active",'MASTER RECORD'!C2460,"")</f>
        <v/>
      </c>
    </row>
    <row r="2456" spans="2:2">
      <c r="B2456" t="str">
        <f>IF('MASTER RECORD'!F2461="Active",'MASTER RECORD'!C2461,"")</f>
        <v/>
      </c>
    </row>
    <row r="2457" spans="2:2">
      <c r="B2457" t="str">
        <f>IF('MASTER RECORD'!F2462="Active",'MASTER RECORD'!C2462,"")</f>
        <v/>
      </c>
    </row>
    <row r="2458" spans="2:2">
      <c r="B2458" t="str">
        <f>IF('MASTER RECORD'!F2463="Active",'MASTER RECORD'!C2463,"")</f>
        <v/>
      </c>
    </row>
    <row r="2459" spans="2:2">
      <c r="B2459" t="str">
        <f>IF('MASTER RECORD'!F2464="Active",'MASTER RECORD'!C2464,"")</f>
        <v/>
      </c>
    </row>
    <row r="2460" spans="2:2">
      <c r="B2460" t="str">
        <f>IF('MASTER RECORD'!F2465="Active",'MASTER RECORD'!C2465,"")</f>
        <v/>
      </c>
    </row>
    <row r="2461" spans="2:2">
      <c r="B2461" t="str">
        <f>IF('MASTER RECORD'!F2466="Active",'MASTER RECORD'!C2466,"")</f>
        <v/>
      </c>
    </row>
    <row r="2462" spans="2:2">
      <c r="B2462" t="str">
        <f>IF('MASTER RECORD'!F2467="Active",'MASTER RECORD'!C2467,"")</f>
        <v/>
      </c>
    </row>
    <row r="2463" spans="2:2">
      <c r="B2463" t="str">
        <f>IF('MASTER RECORD'!F2468="Active",'MASTER RECORD'!C2468,"")</f>
        <v/>
      </c>
    </row>
    <row r="2464" spans="2:2">
      <c r="B2464" t="str">
        <f>IF('MASTER RECORD'!F2469="Active",'MASTER RECORD'!C2469,"")</f>
        <v/>
      </c>
    </row>
    <row r="2465" spans="2:2">
      <c r="B2465" t="str">
        <f>IF('MASTER RECORD'!F2470="Active",'MASTER RECORD'!C2470,"")</f>
        <v/>
      </c>
    </row>
    <row r="2466" spans="2:2">
      <c r="B2466" t="str">
        <f>IF('MASTER RECORD'!F2471="Active",'MASTER RECORD'!C2471,"")</f>
        <v/>
      </c>
    </row>
    <row r="2467" spans="2:2">
      <c r="B2467" t="str">
        <f>IF('MASTER RECORD'!F2472="Active",'MASTER RECORD'!C2472,"")</f>
        <v/>
      </c>
    </row>
    <row r="2468" spans="2:2">
      <c r="B2468" t="str">
        <f>IF('MASTER RECORD'!F2473="Active",'MASTER RECORD'!C2473,"")</f>
        <v/>
      </c>
    </row>
    <row r="2469" spans="2:2">
      <c r="B2469" t="str">
        <f>IF('MASTER RECORD'!F2474="Active",'MASTER RECORD'!C2474,"")</f>
        <v/>
      </c>
    </row>
    <row r="2470" spans="2:2">
      <c r="B2470" t="str">
        <f>IF('MASTER RECORD'!F2475="Active",'MASTER RECORD'!C2475,"")</f>
        <v/>
      </c>
    </row>
    <row r="2471" spans="2:2">
      <c r="B2471" t="str">
        <f>IF('MASTER RECORD'!F2476="Active",'MASTER RECORD'!C2476,"")</f>
        <v/>
      </c>
    </row>
    <row r="2472" spans="2:2">
      <c r="B2472" t="str">
        <f>IF('MASTER RECORD'!F2477="Active",'MASTER RECORD'!C2477,"")</f>
        <v/>
      </c>
    </row>
    <row r="2473" spans="2:2">
      <c r="B2473" t="str">
        <f>IF('MASTER RECORD'!F2478="Active",'MASTER RECORD'!C2478,"")</f>
        <v/>
      </c>
    </row>
    <row r="2474" spans="2:2">
      <c r="B2474" t="str">
        <f>IF('MASTER RECORD'!F2479="Active",'MASTER RECORD'!C2479,"")</f>
        <v/>
      </c>
    </row>
    <row r="2475" spans="2:2">
      <c r="B2475" t="str">
        <f>IF('MASTER RECORD'!F2480="Active",'MASTER RECORD'!C2480,"")</f>
        <v/>
      </c>
    </row>
    <row r="2476" spans="2:2">
      <c r="B2476" t="str">
        <f>IF('MASTER RECORD'!F2481="Active",'MASTER RECORD'!C2481,"")</f>
        <v/>
      </c>
    </row>
    <row r="2477" spans="2:2">
      <c r="B2477" t="str">
        <f>IF('MASTER RECORD'!F2482="Active",'MASTER RECORD'!C2482,"")</f>
        <v/>
      </c>
    </row>
    <row r="2478" spans="2:2">
      <c r="B2478" t="str">
        <f>IF('MASTER RECORD'!F2483="Active",'MASTER RECORD'!C2483,"")</f>
        <v/>
      </c>
    </row>
    <row r="2479" spans="2:2">
      <c r="B2479" t="str">
        <f>IF('MASTER RECORD'!F2484="Active",'MASTER RECORD'!C2484,"")</f>
        <v/>
      </c>
    </row>
    <row r="2480" spans="2:2">
      <c r="B2480" t="str">
        <f>IF('MASTER RECORD'!F2485="Active",'MASTER RECORD'!C2485,"")</f>
        <v/>
      </c>
    </row>
    <row r="2481" spans="2:2">
      <c r="B2481" t="str">
        <f>IF('MASTER RECORD'!F2486="Active",'MASTER RECORD'!C2486,"")</f>
        <v/>
      </c>
    </row>
    <row r="2482" spans="2:2">
      <c r="B2482" t="str">
        <f>IF('MASTER RECORD'!F2487="Active",'MASTER RECORD'!C2487,"")</f>
        <v/>
      </c>
    </row>
    <row r="2483" spans="2:2">
      <c r="B2483" t="str">
        <f>IF('MASTER RECORD'!F2488="Active",'MASTER RECORD'!C2488,"")</f>
        <v/>
      </c>
    </row>
    <row r="2484" spans="2:2">
      <c r="B2484" t="str">
        <f>IF('MASTER RECORD'!F2489="Active",'MASTER RECORD'!C2489,"")</f>
        <v/>
      </c>
    </row>
    <row r="2485" spans="2:2">
      <c r="B2485" t="str">
        <f>IF('MASTER RECORD'!F2490="Active",'MASTER RECORD'!C2490,"")</f>
        <v/>
      </c>
    </row>
    <row r="2486" spans="2:2">
      <c r="B2486" t="str">
        <f>IF('MASTER RECORD'!F2491="Active",'MASTER RECORD'!C2491,"")</f>
        <v/>
      </c>
    </row>
    <row r="2487" spans="2:2">
      <c r="B2487" t="str">
        <f>IF('MASTER RECORD'!F2492="Active",'MASTER RECORD'!C2492,"")</f>
        <v/>
      </c>
    </row>
    <row r="2488" spans="2:2">
      <c r="B2488" t="str">
        <f>IF('MASTER RECORD'!F2493="Active",'MASTER RECORD'!C2493,"")</f>
        <v/>
      </c>
    </row>
    <row r="2489" spans="2:2">
      <c r="B2489" t="str">
        <f>IF('MASTER RECORD'!F2494="Active",'MASTER RECORD'!C2494,"")</f>
        <v/>
      </c>
    </row>
    <row r="2490" spans="2:2">
      <c r="B2490" t="str">
        <f>IF('MASTER RECORD'!F2495="Active",'MASTER RECORD'!C2495,"")</f>
        <v/>
      </c>
    </row>
    <row r="2491" spans="2:2">
      <c r="B2491" t="str">
        <f>IF('MASTER RECORD'!F2496="Active",'MASTER RECORD'!C2496,"")</f>
        <v/>
      </c>
    </row>
    <row r="2492" spans="2:2">
      <c r="B2492" t="str">
        <f>IF('MASTER RECORD'!F2497="Active",'MASTER RECORD'!C2497,"")</f>
        <v/>
      </c>
    </row>
    <row r="2493" spans="2:2">
      <c r="B2493" t="str">
        <f>IF('MASTER RECORD'!F2498="Active",'MASTER RECORD'!C2498,"")</f>
        <v/>
      </c>
    </row>
    <row r="2494" spans="2:2">
      <c r="B2494" t="str">
        <f>IF('MASTER RECORD'!F2499="Active",'MASTER RECORD'!C2499,"")</f>
        <v/>
      </c>
    </row>
    <row r="2495" spans="2:2">
      <c r="B2495" t="str">
        <f>IF('MASTER RECORD'!F2500="Active",'MASTER RECORD'!C2500,"")</f>
        <v/>
      </c>
    </row>
    <row r="2496" spans="2:2">
      <c r="B2496" t="str">
        <f>IF('MASTER RECORD'!F2501="Active",'MASTER RECORD'!C2501,"")</f>
        <v/>
      </c>
    </row>
    <row r="2497" spans="2:2">
      <c r="B2497" t="str">
        <f>IF('MASTER RECORD'!F2502="Active",'MASTER RECORD'!C2502,"")</f>
        <v/>
      </c>
    </row>
    <row r="2498" spans="2:2">
      <c r="B2498" t="str">
        <f>IF('MASTER RECORD'!F2503="Active",'MASTER RECORD'!C2503,"")</f>
        <v/>
      </c>
    </row>
    <row r="2499" spans="2:2">
      <c r="B2499" t="str">
        <f>IF('MASTER RECORD'!F2504="Active",'MASTER RECORD'!C2504,"")</f>
        <v/>
      </c>
    </row>
    <row r="2500" spans="2:2">
      <c r="B2500" t="str">
        <f>IF('MASTER RECORD'!F2505="Active",'MASTER RECORD'!C2505,"")</f>
        <v/>
      </c>
    </row>
    <row r="2501" spans="2:2">
      <c r="B2501" t="str">
        <f>IF('MASTER RECORD'!F2506="Active",'MASTER RECORD'!C2506,"")</f>
        <v/>
      </c>
    </row>
    <row r="2502" spans="2:2">
      <c r="B2502" t="str">
        <f>IF('MASTER RECORD'!F2507="Active",'MASTER RECORD'!C2507,"")</f>
        <v/>
      </c>
    </row>
    <row r="2503" spans="2:2">
      <c r="B2503" t="str">
        <f>IF('MASTER RECORD'!F2508="Active",'MASTER RECORD'!C2508,"")</f>
        <v/>
      </c>
    </row>
    <row r="2504" spans="2:2">
      <c r="B2504" t="str">
        <f>IF('MASTER RECORD'!F2509="Active",'MASTER RECORD'!C2509,"")</f>
        <v/>
      </c>
    </row>
    <row r="2505" spans="2:2">
      <c r="B2505" t="str">
        <f>IF('MASTER RECORD'!F2510="Active",'MASTER RECORD'!C2510,"")</f>
        <v/>
      </c>
    </row>
    <row r="2506" spans="2:2">
      <c r="B2506" t="str">
        <f>IF('MASTER RECORD'!F2511="Active",'MASTER RECORD'!C2511,"")</f>
        <v/>
      </c>
    </row>
    <row r="2507" spans="2:2">
      <c r="B2507" t="str">
        <f>IF('MASTER RECORD'!F2512="Active",'MASTER RECORD'!C2512,"")</f>
        <v/>
      </c>
    </row>
    <row r="2508" spans="2:2">
      <c r="B2508" t="str">
        <f>IF('MASTER RECORD'!F2513="Active",'MASTER RECORD'!C2513,"")</f>
        <v/>
      </c>
    </row>
    <row r="2509" spans="2:2">
      <c r="B2509" t="str">
        <f>IF('MASTER RECORD'!F2514="Active",'MASTER RECORD'!C2514,"")</f>
        <v/>
      </c>
    </row>
    <row r="2510" spans="2:2">
      <c r="B2510" t="str">
        <f>IF('MASTER RECORD'!F2515="Active",'MASTER RECORD'!C2515,"")</f>
        <v/>
      </c>
    </row>
    <row r="2511" spans="2:2">
      <c r="B2511" t="str">
        <f>IF('MASTER RECORD'!F2516="Active",'MASTER RECORD'!C2516,"")</f>
        <v/>
      </c>
    </row>
    <row r="2512" spans="2:2">
      <c r="B2512" t="str">
        <f>IF('MASTER RECORD'!F2517="Active",'MASTER RECORD'!C2517,"")</f>
        <v/>
      </c>
    </row>
    <row r="2513" spans="2:2">
      <c r="B2513" t="str">
        <f>IF('MASTER RECORD'!F2518="Active",'MASTER RECORD'!C2518,"")</f>
        <v/>
      </c>
    </row>
    <row r="2514" spans="2:2">
      <c r="B2514" t="str">
        <f>IF('MASTER RECORD'!F2519="Active",'MASTER RECORD'!C2519,"")</f>
        <v/>
      </c>
    </row>
    <row r="2515" spans="2:2">
      <c r="B2515" t="str">
        <f>IF('MASTER RECORD'!F2520="Active",'MASTER RECORD'!C2520,"")</f>
        <v/>
      </c>
    </row>
    <row r="2516" spans="2:2">
      <c r="B2516" t="str">
        <f>IF('MASTER RECORD'!F2521="Active",'MASTER RECORD'!C2521,"")</f>
        <v/>
      </c>
    </row>
    <row r="2517" spans="2:2">
      <c r="B2517" t="str">
        <f>IF('MASTER RECORD'!F2522="Active",'MASTER RECORD'!C2522,"")</f>
        <v/>
      </c>
    </row>
    <row r="2518" spans="2:2">
      <c r="B2518" t="str">
        <f>IF('MASTER RECORD'!F2523="Active",'MASTER RECORD'!C2523,"")</f>
        <v/>
      </c>
    </row>
    <row r="2519" spans="2:2">
      <c r="B2519" t="str">
        <f>IF('MASTER RECORD'!F2524="Active",'MASTER RECORD'!C2524,"")</f>
        <v/>
      </c>
    </row>
    <row r="2520" spans="2:2">
      <c r="B2520" t="str">
        <f>IF('MASTER RECORD'!F2525="Active",'MASTER RECORD'!C2525,"")</f>
        <v/>
      </c>
    </row>
    <row r="2521" spans="2:2">
      <c r="B2521" t="str">
        <f>IF('MASTER RECORD'!F2526="Active",'MASTER RECORD'!C2526,"")</f>
        <v/>
      </c>
    </row>
    <row r="2522" spans="2:2">
      <c r="B2522" t="str">
        <f>IF('MASTER RECORD'!F2527="Active",'MASTER RECORD'!C2527,"")</f>
        <v/>
      </c>
    </row>
    <row r="2523" spans="2:2">
      <c r="B2523" t="str">
        <f>IF('MASTER RECORD'!F2528="Active",'MASTER RECORD'!C2528,"")</f>
        <v/>
      </c>
    </row>
    <row r="2524" spans="2:2">
      <c r="B2524" t="str">
        <f>IF('MASTER RECORD'!F2529="Active",'MASTER RECORD'!C2529,"")</f>
        <v/>
      </c>
    </row>
    <row r="2525" spans="2:2">
      <c r="B2525" t="str">
        <f>IF('MASTER RECORD'!F2530="Active",'MASTER RECORD'!C2530,"")</f>
        <v/>
      </c>
    </row>
    <row r="2526" spans="2:2">
      <c r="B2526" t="str">
        <f>IF('MASTER RECORD'!F2531="Active",'MASTER RECORD'!C2531,"")</f>
        <v/>
      </c>
    </row>
    <row r="2527" spans="2:2">
      <c r="B2527" t="str">
        <f>IF('MASTER RECORD'!F2532="Active",'MASTER RECORD'!C2532,"")</f>
        <v/>
      </c>
    </row>
    <row r="2528" spans="2:2">
      <c r="B2528" t="str">
        <f>IF('MASTER RECORD'!F2533="Active",'MASTER RECORD'!C2533,"")</f>
        <v/>
      </c>
    </row>
    <row r="2529" spans="2:2">
      <c r="B2529" t="str">
        <f>IF('MASTER RECORD'!F2534="Active",'MASTER RECORD'!C2534,"")</f>
        <v/>
      </c>
    </row>
    <row r="2530" spans="2:2">
      <c r="B2530" t="str">
        <f>IF('MASTER RECORD'!F2535="Active",'MASTER RECORD'!C2535,"")</f>
        <v/>
      </c>
    </row>
    <row r="2531" spans="2:2">
      <c r="B2531" t="str">
        <f>IF('MASTER RECORD'!F2536="Active",'MASTER RECORD'!C2536,"")</f>
        <v/>
      </c>
    </row>
    <row r="2532" spans="2:2">
      <c r="B2532" t="str">
        <f>IF('MASTER RECORD'!F2537="Active",'MASTER RECORD'!C2537,"")</f>
        <v/>
      </c>
    </row>
    <row r="2533" spans="2:2">
      <c r="B2533" t="str">
        <f>IF('MASTER RECORD'!F2538="Active",'MASTER RECORD'!C2538,"")</f>
        <v/>
      </c>
    </row>
    <row r="2534" spans="2:2">
      <c r="B2534" t="str">
        <f>IF('MASTER RECORD'!F2539="Active",'MASTER RECORD'!C2539,"")</f>
        <v/>
      </c>
    </row>
    <row r="2535" spans="2:2">
      <c r="B2535" t="str">
        <f>IF('MASTER RECORD'!F2540="Active",'MASTER RECORD'!C2540,"")</f>
        <v/>
      </c>
    </row>
    <row r="2536" spans="2:2">
      <c r="B2536" t="str">
        <f>IF('MASTER RECORD'!F2541="Active",'MASTER RECORD'!C2541,"")</f>
        <v/>
      </c>
    </row>
    <row r="2537" spans="2:2">
      <c r="B2537" t="str">
        <f>IF('MASTER RECORD'!F2542="Active",'MASTER RECORD'!C2542,"")</f>
        <v/>
      </c>
    </row>
    <row r="2538" spans="2:2">
      <c r="B2538" t="str">
        <f>IF('MASTER RECORD'!F2543="Active",'MASTER RECORD'!C2543,"")</f>
        <v/>
      </c>
    </row>
    <row r="2539" spans="2:2">
      <c r="B2539" t="str">
        <f>IF('MASTER RECORD'!F2544="Active",'MASTER RECORD'!C2544,"")</f>
        <v/>
      </c>
    </row>
    <row r="2540" spans="2:2">
      <c r="B2540" t="str">
        <f>IF('MASTER RECORD'!F2545="Active",'MASTER RECORD'!C2545,"")</f>
        <v/>
      </c>
    </row>
    <row r="2541" spans="2:2">
      <c r="B2541" t="str">
        <f>IF('MASTER RECORD'!F2546="Active",'MASTER RECORD'!C2546,"")</f>
        <v/>
      </c>
    </row>
    <row r="2542" spans="2:2">
      <c r="B2542" t="str">
        <f>IF('MASTER RECORD'!F2547="Active",'MASTER RECORD'!C2547,"")</f>
        <v/>
      </c>
    </row>
    <row r="2543" spans="2:2">
      <c r="B2543" t="str">
        <f>IF('MASTER RECORD'!F2548="Active",'MASTER RECORD'!C2548,"")</f>
        <v/>
      </c>
    </row>
    <row r="2544" spans="2:2">
      <c r="B2544" t="str">
        <f>IF('MASTER RECORD'!F2549="Active",'MASTER RECORD'!C2549,"")</f>
        <v/>
      </c>
    </row>
    <row r="2545" spans="2:2">
      <c r="B2545" t="str">
        <f>IF('MASTER RECORD'!F2550="Active",'MASTER RECORD'!C2550,"")</f>
        <v/>
      </c>
    </row>
    <row r="2546" spans="2:2">
      <c r="B2546" t="str">
        <f>IF('MASTER RECORD'!F2551="Active",'MASTER RECORD'!C2551,"")</f>
        <v/>
      </c>
    </row>
    <row r="2547" spans="2:2">
      <c r="B2547" t="str">
        <f>IF('MASTER RECORD'!F2552="Active",'MASTER RECORD'!C2552,"")</f>
        <v/>
      </c>
    </row>
    <row r="2548" spans="2:2">
      <c r="B2548" t="str">
        <f>IF('MASTER RECORD'!F2553="Active",'MASTER RECORD'!C2553,"")</f>
        <v/>
      </c>
    </row>
    <row r="2549" spans="2:2">
      <c r="B2549" t="str">
        <f>IF('MASTER RECORD'!F2554="Active",'MASTER RECORD'!C2554,"")</f>
        <v/>
      </c>
    </row>
    <row r="2550" spans="2:2">
      <c r="B2550" t="str">
        <f>IF('MASTER RECORD'!F2555="Active",'MASTER RECORD'!C2555,"")</f>
        <v/>
      </c>
    </row>
    <row r="2551" spans="2:2">
      <c r="B2551" t="str">
        <f>IF('MASTER RECORD'!F2556="Active",'MASTER RECORD'!C2556,"")</f>
        <v/>
      </c>
    </row>
    <row r="2552" spans="2:2">
      <c r="B2552" t="str">
        <f>IF('MASTER RECORD'!F2557="Active",'MASTER RECORD'!C2557,"")</f>
        <v/>
      </c>
    </row>
    <row r="2553" spans="2:2">
      <c r="B2553" t="str">
        <f>IF('MASTER RECORD'!F2558="Active",'MASTER RECORD'!C2558,"")</f>
        <v/>
      </c>
    </row>
    <row r="2554" spans="2:2">
      <c r="B2554" t="str">
        <f>IF('MASTER RECORD'!F2559="Active",'MASTER RECORD'!C2559,"")</f>
        <v/>
      </c>
    </row>
    <row r="2555" spans="2:2">
      <c r="B2555" t="str">
        <f>IF('MASTER RECORD'!F2560="Active",'MASTER RECORD'!C2560,"")</f>
        <v/>
      </c>
    </row>
    <row r="2556" spans="2:2">
      <c r="B2556" t="str">
        <f>IF('MASTER RECORD'!F2561="Active",'MASTER RECORD'!C2561,"")</f>
        <v/>
      </c>
    </row>
    <row r="2557" spans="2:2">
      <c r="B2557" t="str">
        <f>IF('MASTER RECORD'!F2562="Active",'MASTER RECORD'!C2562,"")</f>
        <v/>
      </c>
    </row>
    <row r="2558" spans="2:2">
      <c r="B2558" t="str">
        <f>IF('MASTER RECORD'!F2563="Active",'MASTER RECORD'!C2563,"")</f>
        <v/>
      </c>
    </row>
    <row r="2559" spans="2:2">
      <c r="B2559" t="str">
        <f>IF('MASTER RECORD'!F2564="Active",'MASTER RECORD'!C2564,"")</f>
        <v/>
      </c>
    </row>
    <row r="2560" spans="2:2">
      <c r="B2560" t="str">
        <f>IF('MASTER RECORD'!F2565="Active",'MASTER RECORD'!C2565,"")</f>
        <v/>
      </c>
    </row>
    <row r="2561" spans="2:2">
      <c r="B2561" t="str">
        <f>IF('MASTER RECORD'!F2566="Active",'MASTER RECORD'!C2566,"")</f>
        <v/>
      </c>
    </row>
    <row r="2562" spans="2:2">
      <c r="B2562" t="str">
        <f>IF('MASTER RECORD'!F2567="Active",'MASTER RECORD'!C2567,"")</f>
        <v/>
      </c>
    </row>
    <row r="2563" spans="2:2">
      <c r="B2563" t="str">
        <f>IF('MASTER RECORD'!F2568="Active",'MASTER RECORD'!C2568,"")</f>
        <v/>
      </c>
    </row>
    <row r="2564" spans="2:2">
      <c r="B2564" t="str">
        <f>IF('MASTER RECORD'!F2569="Active",'MASTER RECORD'!C2569,"")</f>
        <v/>
      </c>
    </row>
    <row r="2565" spans="2:2">
      <c r="B2565" t="str">
        <f>IF('MASTER RECORD'!F2570="Active",'MASTER RECORD'!C2570,"")</f>
        <v/>
      </c>
    </row>
    <row r="2566" spans="2:2">
      <c r="B2566" t="str">
        <f>IF('MASTER RECORD'!F2571="Active",'MASTER RECORD'!C2571,"")</f>
        <v/>
      </c>
    </row>
    <row r="2567" spans="2:2">
      <c r="B2567" t="str">
        <f>IF('MASTER RECORD'!F2572="Active",'MASTER RECORD'!C2572,"")</f>
        <v/>
      </c>
    </row>
    <row r="2568" spans="2:2">
      <c r="B2568" t="str">
        <f>IF('MASTER RECORD'!F2573="Active",'MASTER RECORD'!C2573,"")</f>
        <v/>
      </c>
    </row>
    <row r="2569" spans="2:2">
      <c r="B2569" t="str">
        <f>IF('MASTER RECORD'!F2574="Active",'MASTER RECORD'!C2574,"")</f>
        <v/>
      </c>
    </row>
    <row r="2570" spans="2:2">
      <c r="B2570" t="str">
        <f>IF('MASTER RECORD'!F2575="Active",'MASTER RECORD'!C2575,"")</f>
        <v/>
      </c>
    </row>
    <row r="2571" spans="2:2">
      <c r="B2571" t="str">
        <f>IF('MASTER RECORD'!F2576="Active",'MASTER RECORD'!C2576,"")</f>
        <v/>
      </c>
    </row>
    <row r="2572" spans="2:2">
      <c r="B2572" t="str">
        <f>IF('MASTER RECORD'!F2577="Active",'MASTER RECORD'!C2577,"")</f>
        <v/>
      </c>
    </row>
    <row r="2573" spans="2:2">
      <c r="B2573" t="str">
        <f>IF('MASTER RECORD'!F2578="Active",'MASTER RECORD'!C2578,"")</f>
        <v/>
      </c>
    </row>
    <row r="2574" spans="2:2">
      <c r="B2574" t="str">
        <f>IF('MASTER RECORD'!F2579="Active",'MASTER RECORD'!C2579,"")</f>
        <v/>
      </c>
    </row>
    <row r="2575" spans="2:2">
      <c r="B2575" t="str">
        <f>IF('MASTER RECORD'!F2580="Active",'MASTER RECORD'!C2580,"")</f>
        <v/>
      </c>
    </row>
    <row r="2576" spans="2:2">
      <c r="B2576" t="str">
        <f>IF('MASTER RECORD'!F2581="Active",'MASTER RECORD'!C2581,"")</f>
        <v/>
      </c>
    </row>
    <row r="2577" spans="2:2">
      <c r="B2577" t="str">
        <f>IF('MASTER RECORD'!F2582="Active",'MASTER RECORD'!C2582,"")</f>
        <v/>
      </c>
    </row>
    <row r="2578" spans="2:2">
      <c r="B2578" t="str">
        <f>IF('MASTER RECORD'!F2583="Active",'MASTER RECORD'!C2583,"")</f>
        <v/>
      </c>
    </row>
    <row r="2579" spans="2:2">
      <c r="B2579" t="str">
        <f>IF('MASTER RECORD'!F2584="Active",'MASTER RECORD'!C2584,"")</f>
        <v/>
      </c>
    </row>
    <row r="2580" spans="2:2">
      <c r="B2580" t="str">
        <f>IF('MASTER RECORD'!F2585="Active",'MASTER RECORD'!C2585,"")</f>
        <v/>
      </c>
    </row>
    <row r="2581" spans="2:2">
      <c r="B2581" t="str">
        <f>IF('MASTER RECORD'!F2586="Active",'MASTER RECORD'!C2586,"")</f>
        <v/>
      </c>
    </row>
    <row r="2582" spans="2:2">
      <c r="B2582" t="str">
        <f>IF('MASTER RECORD'!F2587="Active",'MASTER RECORD'!C2587,"")</f>
        <v/>
      </c>
    </row>
    <row r="2583" spans="2:2">
      <c r="B2583" t="str">
        <f>IF('MASTER RECORD'!F2588="Active",'MASTER RECORD'!C2588,"")</f>
        <v/>
      </c>
    </row>
    <row r="2584" spans="2:2">
      <c r="B2584" t="str">
        <f>IF('MASTER RECORD'!F2589="Active",'MASTER RECORD'!C2589,"")</f>
        <v/>
      </c>
    </row>
    <row r="2585" spans="2:2">
      <c r="B2585" t="str">
        <f>IF('MASTER RECORD'!F2590="Active",'MASTER RECORD'!C2590,"")</f>
        <v/>
      </c>
    </row>
    <row r="2586" spans="2:2">
      <c r="B2586" t="str">
        <f>IF('MASTER RECORD'!F2591="Active",'MASTER RECORD'!C2591,"")</f>
        <v/>
      </c>
    </row>
    <row r="2587" spans="2:2">
      <c r="B2587" t="str">
        <f>IF('MASTER RECORD'!F2592="Active",'MASTER RECORD'!C2592,"")</f>
        <v/>
      </c>
    </row>
    <row r="2588" spans="2:2">
      <c r="B2588" t="str">
        <f>IF('MASTER RECORD'!F2593="Active",'MASTER RECORD'!C2593,"")</f>
        <v/>
      </c>
    </row>
    <row r="2589" spans="2:2">
      <c r="B2589" t="str">
        <f>IF('MASTER RECORD'!F2594="Active",'MASTER RECORD'!C2594,"")</f>
        <v/>
      </c>
    </row>
    <row r="2590" spans="2:2">
      <c r="B2590" t="str">
        <f>IF('MASTER RECORD'!F2595="Active",'MASTER RECORD'!C2595,"")</f>
        <v/>
      </c>
    </row>
    <row r="2591" spans="2:2">
      <c r="B2591" t="str">
        <f>IF('MASTER RECORD'!F2596="Active",'MASTER RECORD'!C2596,"")</f>
        <v/>
      </c>
    </row>
    <row r="2592" spans="2:2">
      <c r="B2592" t="str">
        <f>IF('MASTER RECORD'!F2597="Active",'MASTER RECORD'!C2597,"")</f>
        <v/>
      </c>
    </row>
    <row r="2593" spans="2:2">
      <c r="B2593" t="str">
        <f>IF('MASTER RECORD'!F2598="Active",'MASTER RECORD'!C2598,"")</f>
        <v/>
      </c>
    </row>
    <row r="2594" spans="2:2">
      <c r="B2594" t="str">
        <f>IF('MASTER RECORD'!F2599="Active",'MASTER RECORD'!C2599,"")</f>
        <v/>
      </c>
    </row>
    <row r="2595" spans="2:2">
      <c r="B2595" t="str">
        <f>IF('MASTER RECORD'!F2600="Active",'MASTER RECORD'!C2600,"")</f>
        <v/>
      </c>
    </row>
    <row r="2596" spans="2:2">
      <c r="B2596" t="str">
        <f>IF('MASTER RECORD'!F2601="Active",'MASTER RECORD'!C2601,"")</f>
        <v/>
      </c>
    </row>
    <row r="2597" spans="2:2">
      <c r="B2597" t="str">
        <f>IF('MASTER RECORD'!F2602="Active",'MASTER RECORD'!C2602,"")</f>
        <v/>
      </c>
    </row>
    <row r="2598" spans="2:2">
      <c r="B2598" t="str">
        <f>IF('MASTER RECORD'!F2603="Active",'MASTER RECORD'!C2603,"")</f>
        <v/>
      </c>
    </row>
    <row r="2599" spans="2:2">
      <c r="B2599" t="str">
        <f>IF('MASTER RECORD'!F2604="Active",'MASTER RECORD'!C2604,"")</f>
        <v/>
      </c>
    </row>
    <row r="2600" spans="2:2">
      <c r="B2600" t="str">
        <f>IF('MASTER RECORD'!F2605="Active",'MASTER RECORD'!C2605,"")</f>
        <v/>
      </c>
    </row>
    <row r="2601" spans="2:2">
      <c r="B2601" t="str">
        <f>IF('MASTER RECORD'!F2606="Active",'MASTER RECORD'!C2606,"")</f>
        <v/>
      </c>
    </row>
    <row r="2602" spans="2:2">
      <c r="B2602" t="str">
        <f>IF('MASTER RECORD'!F2607="Active",'MASTER RECORD'!C2607,"")</f>
        <v/>
      </c>
    </row>
    <row r="2603" spans="2:2">
      <c r="B2603" t="str">
        <f>IF('MASTER RECORD'!F2608="Active",'MASTER RECORD'!C2608,"")</f>
        <v/>
      </c>
    </row>
    <row r="2604" spans="2:2">
      <c r="B2604" t="str">
        <f>IF('MASTER RECORD'!F2609="Active",'MASTER RECORD'!C2609,"")</f>
        <v/>
      </c>
    </row>
    <row r="2605" spans="2:2">
      <c r="B2605" t="str">
        <f>IF('MASTER RECORD'!F2610="Active",'MASTER RECORD'!C2610,"")</f>
        <v/>
      </c>
    </row>
    <row r="2606" spans="2:2">
      <c r="B2606" t="str">
        <f>IF('MASTER RECORD'!F2611="Active",'MASTER RECORD'!C2611,"")</f>
        <v/>
      </c>
    </row>
    <row r="2607" spans="2:2">
      <c r="B2607" t="str">
        <f>IF('MASTER RECORD'!F2612="Active",'MASTER RECORD'!C2612,"")</f>
        <v/>
      </c>
    </row>
    <row r="2608" spans="2:2">
      <c r="B2608" t="str">
        <f>IF('MASTER RECORD'!F2613="Active",'MASTER RECORD'!C2613,"")</f>
        <v/>
      </c>
    </row>
    <row r="2609" spans="2:2">
      <c r="B2609" t="str">
        <f>IF('MASTER RECORD'!F2614="Active",'MASTER RECORD'!C2614,"")</f>
        <v/>
      </c>
    </row>
    <row r="2610" spans="2:2">
      <c r="B2610" t="str">
        <f>IF('MASTER RECORD'!F2615="Active",'MASTER RECORD'!C2615,"")</f>
        <v/>
      </c>
    </row>
    <row r="2611" spans="2:2">
      <c r="B2611" t="str">
        <f>IF('MASTER RECORD'!F2616="Active",'MASTER RECORD'!C2616,"")</f>
        <v/>
      </c>
    </row>
    <row r="2612" spans="2:2">
      <c r="B2612" t="str">
        <f>IF('MASTER RECORD'!F2617="Active",'MASTER RECORD'!C2617,"")</f>
        <v/>
      </c>
    </row>
    <row r="2613" spans="2:2">
      <c r="B2613" t="str">
        <f>IF('MASTER RECORD'!F2618="Active",'MASTER RECORD'!C2618,"")</f>
        <v/>
      </c>
    </row>
    <row r="2614" spans="2:2">
      <c r="B2614" t="str">
        <f>IF('MASTER RECORD'!F2619="Active",'MASTER RECORD'!C2619,"")</f>
        <v/>
      </c>
    </row>
    <row r="2615" spans="2:2">
      <c r="B2615" t="str">
        <f>IF('MASTER RECORD'!F2620="Active",'MASTER RECORD'!C2620,"")</f>
        <v/>
      </c>
    </row>
    <row r="2616" spans="2:2">
      <c r="B2616" t="str">
        <f>IF('MASTER RECORD'!F2621="Active",'MASTER RECORD'!C2621,"")</f>
        <v/>
      </c>
    </row>
    <row r="2617" spans="2:2">
      <c r="B2617" t="str">
        <f>IF('MASTER RECORD'!F2622="Active",'MASTER RECORD'!C2622,"")</f>
        <v/>
      </c>
    </row>
    <row r="2618" spans="2:2">
      <c r="B2618" t="str">
        <f>IF('MASTER RECORD'!F2623="Active",'MASTER RECORD'!C2623,"")</f>
        <v/>
      </c>
    </row>
    <row r="2619" spans="2:2">
      <c r="B2619" t="str">
        <f>IF('MASTER RECORD'!F2624="Active",'MASTER RECORD'!C2624,"")</f>
        <v/>
      </c>
    </row>
    <row r="2620" spans="2:2">
      <c r="B2620" t="str">
        <f>IF('MASTER RECORD'!F2625="Active",'MASTER RECORD'!C2625,"")</f>
        <v/>
      </c>
    </row>
    <row r="2621" spans="2:2">
      <c r="B2621" t="str">
        <f>IF('MASTER RECORD'!F2626="Active",'MASTER RECORD'!C2626,"")</f>
        <v/>
      </c>
    </row>
    <row r="2622" spans="2:2">
      <c r="B2622" t="str">
        <f>IF('MASTER RECORD'!F2627="Active",'MASTER RECORD'!C2627,"")</f>
        <v/>
      </c>
    </row>
    <row r="2623" spans="2:2">
      <c r="B2623" t="str">
        <f>IF('MASTER RECORD'!F2628="Active",'MASTER RECORD'!C2628,"")</f>
        <v/>
      </c>
    </row>
    <row r="2624" spans="2:2">
      <c r="B2624" t="str">
        <f>IF('MASTER RECORD'!F2629="Active",'MASTER RECORD'!C2629,"")</f>
        <v/>
      </c>
    </row>
    <row r="2625" spans="2:2">
      <c r="B2625" t="str">
        <f>IF('MASTER RECORD'!F2630="Active",'MASTER RECORD'!C2630,"")</f>
        <v/>
      </c>
    </row>
    <row r="2626" spans="2:2">
      <c r="B2626" t="str">
        <f>IF('MASTER RECORD'!F2631="Active",'MASTER RECORD'!C2631,"")</f>
        <v/>
      </c>
    </row>
    <row r="2627" spans="2:2">
      <c r="B2627" t="str">
        <f>IF('MASTER RECORD'!F2632="Active",'MASTER RECORD'!C2632,"")</f>
        <v/>
      </c>
    </row>
    <row r="2628" spans="2:2">
      <c r="B2628" t="str">
        <f>IF('MASTER RECORD'!F2633="Active",'MASTER RECORD'!C2633,"")</f>
        <v/>
      </c>
    </row>
    <row r="2629" spans="2:2">
      <c r="B2629" t="str">
        <f>IF('MASTER RECORD'!F2634="Active",'MASTER RECORD'!C2634,"")</f>
        <v/>
      </c>
    </row>
    <row r="2630" spans="2:2">
      <c r="B2630" t="str">
        <f>IF('MASTER RECORD'!F2635="Active",'MASTER RECORD'!C2635,"")</f>
        <v/>
      </c>
    </row>
    <row r="2631" spans="2:2">
      <c r="B2631" t="str">
        <f>IF('MASTER RECORD'!F2636="Active",'MASTER RECORD'!C2636,"")</f>
        <v/>
      </c>
    </row>
    <row r="2632" spans="2:2">
      <c r="B2632" t="str">
        <f>IF('MASTER RECORD'!F2637="Active",'MASTER RECORD'!C2637,"")</f>
        <v/>
      </c>
    </row>
    <row r="2633" spans="2:2">
      <c r="B2633" t="str">
        <f>IF('MASTER RECORD'!F2638="Active",'MASTER RECORD'!C2638,"")</f>
        <v/>
      </c>
    </row>
    <row r="2634" spans="2:2">
      <c r="B2634" t="str">
        <f>IF('MASTER RECORD'!F2639="Active",'MASTER RECORD'!C2639,"")</f>
        <v/>
      </c>
    </row>
    <row r="2635" spans="2:2">
      <c r="B2635" t="str">
        <f>IF('MASTER RECORD'!F2640="Active",'MASTER RECORD'!C2640,"")</f>
        <v/>
      </c>
    </row>
    <row r="2636" spans="2:2">
      <c r="B2636" t="str">
        <f>IF('MASTER RECORD'!F2641="Active",'MASTER RECORD'!C2641,"")</f>
        <v/>
      </c>
    </row>
    <row r="2637" spans="2:2">
      <c r="B2637" t="str">
        <f>IF('MASTER RECORD'!F2642="Active",'MASTER RECORD'!C2642,"")</f>
        <v/>
      </c>
    </row>
    <row r="2638" spans="2:2">
      <c r="B2638" t="str">
        <f>IF('MASTER RECORD'!F2643="Active",'MASTER RECORD'!C2643,"")</f>
        <v/>
      </c>
    </row>
    <row r="2639" spans="2:2">
      <c r="B2639" t="str">
        <f>IF('MASTER RECORD'!F2644="Active",'MASTER RECORD'!C2644,"")</f>
        <v/>
      </c>
    </row>
    <row r="2640" spans="2:2">
      <c r="B2640" t="str">
        <f>IF('MASTER RECORD'!F2645="Active",'MASTER RECORD'!C2645,"")</f>
        <v/>
      </c>
    </row>
    <row r="2641" spans="2:2">
      <c r="B2641" t="str">
        <f>IF('MASTER RECORD'!F2646="Active",'MASTER RECORD'!C2646,"")</f>
        <v/>
      </c>
    </row>
    <row r="2642" spans="2:2">
      <c r="B2642" t="str">
        <f>IF('MASTER RECORD'!F2647="Active",'MASTER RECORD'!C2647,"")</f>
        <v/>
      </c>
    </row>
    <row r="2643" spans="2:2">
      <c r="B2643" t="str">
        <f>IF('MASTER RECORD'!F2648="Active",'MASTER RECORD'!C2648,"")</f>
        <v/>
      </c>
    </row>
    <row r="2644" spans="2:2">
      <c r="B2644" t="str">
        <f>IF('MASTER RECORD'!F2649="Active",'MASTER RECORD'!C2649,"")</f>
        <v/>
      </c>
    </row>
    <row r="2645" spans="2:2">
      <c r="B2645" t="str">
        <f>IF('MASTER RECORD'!F2650="Active",'MASTER RECORD'!C2650,"")</f>
        <v/>
      </c>
    </row>
    <row r="2646" spans="2:2">
      <c r="B2646" t="str">
        <f>IF('MASTER RECORD'!F2651="Active",'MASTER RECORD'!C2651,"")</f>
        <v/>
      </c>
    </row>
    <row r="2647" spans="2:2">
      <c r="B2647" t="str">
        <f>IF('MASTER RECORD'!F2652="Active",'MASTER RECORD'!C2652,"")</f>
        <v/>
      </c>
    </row>
    <row r="2648" spans="2:2">
      <c r="B2648" t="str">
        <f>IF('MASTER RECORD'!F2653="Active",'MASTER RECORD'!C2653,"")</f>
        <v/>
      </c>
    </row>
    <row r="2649" spans="2:2">
      <c r="B2649" t="str">
        <f>IF('MASTER RECORD'!F2654="Active",'MASTER RECORD'!C2654,"")</f>
        <v/>
      </c>
    </row>
    <row r="2650" spans="2:2">
      <c r="B2650" t="str">
        <f>IF('MASTER RECORD'!F2655="Active",'MASTER RECORD'!C2655,"")</f>
        <v/>
      </c>
    </row>
    <row r="2651" spans="2:2">
      <c r="B2651" t="str">
        <f>IF('MASTER RECORD'!F2656="Active",'MASTER RECORD'!C2656,"")</f>
        <v/>
      </c>
    </row>
    <row r="2652" spans="2:2">
      <c r="B2652" t="str">
        <f>IF('MASTER RECORD'!F2657="Active",'MASTER RECORD'!C2657,"")</f>
        <v/>
      </c>
    </row>
    <row r="2653" spans="2:2">
      <c r="B2653" t="str">
        <f>IF('MASTER RECORD'!F2658="Active",'MASTER RECORD'!C2658,"")</f>
        <v/>
      </c>
    </row>
    <row r="2654" spans="2:2">
      <c r="B2654" t="str">
        <f>IF('MASTER RECORD'!F2659="Active",'MASTER RECORD'!C2659,"")</f>
        <v/>
      </c>
    </row>
    <row r="2655" spans="2:2">
      <c r="B2655" t="str">
        <f>IF('MASTER RECORD'!F2660="Active",'MASTER RECORD'!C2660,"")</f>
        <v/>
      </c>
    </row>
    <row r="2656" spans="2:2">
      <c r="B2656" t="str">
        <f>IF('MASTER RECORD'!F2661="Active",'MASTER RECORD'!C2661,"")</f>
        <v/>
      </c>
    </row>
    <row r="2657" spans="2:2">
      <c r="B2657" t="str">
        <f>IF('MASTER RECORD'!F2662="Active",'MASTER RECORD'!C2662,"")</f>
        <v/>
      </c>
    </row>
    <row r="2658" spans="2:2">
      <c r="B2658" t="str">
        <f>IF('MASTER RECORD'!F2663="Active",'MASTER RECORD'!C2663,"")</f>
        <v/>
      </c>
    </row>
    <row r="2659" spans="2:2">
      <c r="B2659" t="str">
        <f>IF('MASTER RECORD'!F2664="Active",'MASTER RECORD'!C2664,"")</f>
        <v/>
      </c>
    </row>
    <row r="2660" spans="2:2">
      <c r="B2660" t="str">
        <f>IF('MASTER RECORD'!F2665="Active",'MASTER RECORD'!C2665,"")</f>
        <v/>
      </c>
    </row>
    <row r="2661" spans="2:2">
      <c r="B2661" t="str">
        <f>IF('MASTER RECORD'!F2666="Active",'MASTER RECORD'!C2666,"")</f>
        <v/>
      </c>
    </row>
    <row r="2662" spans="2:2">
      <c r="B2662" t="str">
        <f>IF('MASTER RECORD'!F2667="Active",'MASTER RECORD'!C2667,"")</f>
        <v/>
      </c>
    </row>
    <row r="2663" spans="2:2">
      <c r="B2663" t="str">
        <f>IF('MASTER RECORD'!F2668="Active",'MASTER RECORD'!C2668,"")</f>
        <v/>
      </c>
    </row>
    <row r="2664" spans="2:2">
      <c r="B2664" t="str">
        <f>IF('MASTER RECORD'!F2669="Active",'MASTER RECORD'!C2669,"")</f>
        <v/>
      </c>
    </row>
    <row r="2665" spans="2:2">
      <c r="B2665" t="str">
        <f>IF('MASTER RECORD'!F2670="Active",'MASTER RECORD'!C2670,"")</f>
        <v/>
      </c>
    </row>
    <row r="2666" spans="2:2">
      <c r="B2666" t="str">
        <f>IF('MASTER RECORD'!F2671="Active",'MASTER RECORD'!C2671,"")</f>
        <v/>
      </c>
    </row>
    <row r="2667" spans="2:2">
      <c r="B2667" t="str">
        <f>IF('MASTER RECORD'!F2672="Active",'MASTER RECORD'!C2672,"")</f>
        <v/>
      </c>
    </row>
    <row r="2668" spans="2:2">
      <c r="B2668" t="str">
        <f>IF('MASTER RECORD'!F2673="Active",'MASTER RECORD'!C2673,"")</f>
        <v/>
      </c>
    </row>
    <row r="2669" spans="2:2">
      <c r="B2669" t="str">
        <f>IF('MASTER RECORD'!F2674="Active",'MASTER RECORD'!C2674,"")</f>
        <v/>
      </c>
    </row>
    <row r="2670" spans="2:2">
      <c r="B2670" t="str">
        <f>IF('MASTER RECORD'!F2675="Active",'MASTER RECORD'!C2675,"")</f>
        <v/>
      </c>
    </row>
    <row r="2671" spans="2:2">
      <c r="B2671" t="str">
        <f>IF('MASTER RECORD'!F2676="Active",'MASTER RECORD'!C2676,"")</f>
        <v/>
      </c>
    </row>
    <row r="2672" spans="2:2">
      <c r="B2672" t="str">
        <f>IF('MASTER RECORD'!F2677="Active",'MASTER RECORD'!C2677,"")</f>
        <v/>
      </c>
    </row>
    <row r="2673" spans="2:2">
      <c r="B2673" t="str">
        <f>IF('MASTER RECORD'!F2678="Active",'MASTER RECORD'!C2678,"")</f>
        <v/>
      </c>
    </row>
    <row r="2674" spans="2:2">
      <c r="B2674" t="str">
        <f>IF('MASTER RECORD'!F2679="Active",'MASTER RECORD'!C2679,"")</f>
        <v/>
      </c>
    </row>
    <row r="2675" spans="2:2">
      <c r="B2675" t="str">
        <f>IF('MASTER RECORD'!F2680="Active",'MASTER RECORD'!C2680,"")</f>
        <v/>
      </c>
    </row>
    <row r="2676" spans="2:2">
      <c r="B2676" t="str">
        <f>IF('MASTER RECORD'!F2681="Active",'MASTER RECORD'!C2681,"")</f>
        <v/>
      </c>
    </row>
    <row r="2677" spans="2:2">
      <c r="B2677" t="str">
        <f>IF('MASTER RECORD'!F2682="Active",'MASTER RECORD'!C2682,"")</f>
        <v/>
      </c>
    </row>
    <row r="2678" spans="2:2">
      <c r="B2678" t="str">
        <f>IF('MASTER RECORD'!F2683="Active",'MASTER RECORD'!C2683,"")</f>
        <v/>
      </c>
    </row>
    <row r="2679" spans="2:2">
      <c r="B2679" t="str">
        <f>IF('MASTER RECORD'!F2684="Active",'MASTER RECORD'!C2684,"")</f>
        <v/>
      </c>
    </row>
    <row r="2680" spans="2:2">
      <c r="B2680" t="str">
        <f>IF('MASTER RECORD'!F2685="Active",'MASTER RECORD'!C2685,"")</f>
        <v/>
      </c>
    </row>
    <row r="2681" spans="2:2">
      <c r="B2681" t="str">
        <f>IF('MASTER RECORD'!F2686="Active",'MASTER RECORD'!C2686,"")</f>
        <v/>
      </c>
    </row>
    <row r="2682" spans="2:2">
      <c r="B2682" t="str">
        <f>IF('MASTER RECORD'!F2687="Active",'MASTER RECORD'!C2687,"")</f>
        <v/>
      </c>
    </row>
    <row r="2683" spans="2:2">
      <c r="B2683" t="str">
        <f>IF('MASTER RECORD'!F2688="Active",'MASTER RECORD'!C2688,"")</f>
        <v/>
      </c>
    </row>
    <row r="2684" spans="2:2">
      <c r="B2684" t="str">
        <f>IF('MASTER RECORD'!F2689="Active",'MASTER RECORD'!C2689,"")</f>
        <v/>
      </c>
    </row>
    <row r="2685" spans="2:2">
      <c r="B2685" t="str">
        <f>IF('MASTER RECORD'!F2690="Active",'MASTER RECORD'!C2690,"")</f>
        <v/>
      </c>
    </row>
    <row r="2686" spans="2:2">
      <c r="B2686" t="str">
        <f>IF('MASTER RECORD'!F2691="Active",'MASTER RECORD'!C2691,"")</f>
        <v/>
      </c>
    </row>
    <row r="2687" spans="2:2">
      <c r="B2687" t="str">
        <f>IF('MASTER RECORD'!F2692="Active",'MASTER RECORD'!C2692,"")</f>
        <v/>
      </c>
    </row>
    <row r="2688" spans="2:2">
      <c r="B2688" t="str">
        <f>IF('MASTER RECORD'!F2693="Active",'MASTER RECORD'!C2693,"")</f>
        <v/>
      </c>
    </row>
    <row r="2689" spans="2:2">
      <c r="B2689" t="str">
        <f>IF('MASTER RECORD'!F2694="Active",'MASTER RECORD'!C2694,"")</f>
        <v/>
      </c>
    </row>
    <row r="2690" spans="2:2">
      <c r="B2690" t="str">
        <f>IF('MASTER RECORD'!F2695="Active",'MASTER RECORD'!C2695,"")</f>
        <v/>
      </c>
    </row>
    <row r="2691" spans="2:2">
      <c r="B2691" t="str">
        <f>IF('MASTER RECORD'!F2696="Active",'MASTER RECORD'!C2696,"")</f>
        <v/>
      </c>
    </row>
    <row r="2692" spans="2:2">
      <c r="B2692" t="str">
        <f>IF('MASTER RECORD'!F2697="Active",'MASTER RECORD'!C2697,"")</f>
        <v/>
      </c>
    </row>
    <row r="2693" spans="2:2">
      <c r="B2693" t="str">
        <f>IF('MASTER RECORD'!F2698="Active",'MASTER RECORD'!C2698,"")</f>
        <v/>
      </c>
    </row>
    <row r="2694" spans="2:2">
      <c r="B2694" t="str">
        <f>IF('MASTER RECORD'!F2699="Active",'MASTER RECORD'!C2699,"")</f>
        <v/>
      </c>
    </row>
    <row r="2695" spans="2:2">
      <c r="B2695" t="str">
        <f>IF('MASTER RECORD'!F2700="Active",'MASTER RECORD'!C2700,"")</f>
        <v/>
      </c>
    </row>
    <row r="2696" spans="2:2">
      <c r="B2696" t="str">
        <f>IF('MASTER RECORD'!F2701="Active",'MASTER RECORD'!C2701,"")</f>
        <v/>
      </c>
    </row>
    <row r="2697" spans="2:2">
      <c r="B2697" t="str">
        <f>IF('MASTER RECORD'!F2702="Active",'MASTER RECORD'!C2702,"")</f>
        <v/>
      </c>
    </row>
    <row r="2698" spans="2:2">
      <c r="B2698" t="str">
        <f>IF('MASTER RECORD'!F2703="Active",'MASTER RECORD'!C2703,"")</f>
        <v/>
      </c>
    </row>
    <row r="2699" spans="2:2">
      <c r="B2699" t="str">
        <f>IF('MASTER RECORD'!F2704="Active",'MASTER RECORD'!C2704,"")</f>
        <v/>
      </c>
    </row>
    <row r="2700" spans="2:2">
      <c r="B2700" t="str">
        <f>IF('MASTER RECORD'!F2705="Active",'MASTER RECORD'!C2705,"")</f>
        <v/>
      </c>
    </row>
    <row r="2701" spans="2:2">
      <c r="B2701" t="str">
        <f>IF('MASTER RECORD'!F2706="Active",'MASTER RECORD'!C2706,"")</f>
        <v/>
      </c>
    </row>
    <row r="2702" spans="2:2">
      <c r="B2702" t="str">
        <f>IF('MASTER RECORD'!F2707="Active",'MASTER RECORD'!C2707,"")</f>
        <v/>
      </c>
    </row>
    <row r="2703" spans="2:2">
      <c r="B2703" t="str">
        <f>IF('MASTER RECORD'!F2708="Active",'MASTER RECORD'!C2708,"")</f>
        <v/>
      </c>
    </row>
    <row r="2704" spans="2:2">
      <c r="B2704" t="str">
        <f>IF('MASTER RECORD'!F2709="Active",'MASTER RECORD'!C2709,"")</f>
        <v/>
      </c>
    </row>
    <row r="2705" spans="2:2">
      <c r="B2705" t="str">
        <f>IF('MASTER RECORD'!F2710="Active",'MASTER RECORD'!C2710,"")</f>
        <v/>
      </c>
    </row>
    <row r="2706" spans="2:2">
      <c r="B2706" t="str">
        <f>IF('MASTER RECORD'!F2711="Active",'MASTER RECORD'!C2711,"")</f>
        <v/>
      </c>
    </row>
    <row r="2707" spans="2:2">
      <c r="B2707" t="str">
        <f>IF('MASTER RECORD'!F2712="Active",'MASTER RECORD'!C2712,"")</f>
        <v/>
      </c>
    </row>
    <row r="2708" spans="2:2">
      <c r="B2708" t="str">
        <f>IF('MASTER RECORD'!F2713="Active",'MASTER RECORD'!C2713,"")</f>
        <v/>
      </c>
    </row>
    <row r="2709" spans="2:2">
      <c r="B2709" t="str">
        <f>IF('MASTER RECORD'!F2714="Active",'MASTER RECORD'!C2714,"")</f>
        <v/>
      </c>
    </row>
    <row r="2710" spans="2:2">
      <c r="B2710" t="str">
        <f>IF('MASTER RECORD'!F2715="Active",'MASTER RECORD'!C2715,"")</f>
        <v/>
      </c>
    </row>
    <row r="2711" spans="2:2">
      <c r="B2711" t="str">
        <f>IF('MASTER RECORD'!F2716="Active",'MASTER RECORD'!C2716,"")</f>
        <v/>
      </c>
    </row>
    <row r="2712" spans="2:2">
      <c r="B2712" t="str">
        <f>IF('MASTER RECORD'!F2717="Active",'MASTER RECORD'!C2717,"")</f>
        <v/>
      </c>
    </row>
    <row r="2713" spans="2:2">
      <c r="B2713" t="str">
        <f>IF('MASTER RECORD'!F2718="Active",'MASTER RECORD'!C2718,"")</f>
        <v/>
      </c>
    </row>
    <row r="2714" spans="2:2">
      <c r="B2714" t="str">
        <f>IF('MASTER RECORD'!F2719="Active",'MASTER RECORD'!C2719,"")</f>
        <v/>
      </c>
    </row>
    <row r="2715" spans="2:2">
      <c r="B2715" t="str">
        <f>IF('MASTER RECORD'!F2720="Active",'MASTER RECORD'!C2720,"")</f>
        <v/>
      </c>
    </row>
    <row r="2716" spans="2:2">
      <c r="B2716" t="str">
        <f>IF('MASTER RECORD'!F2721="Active",'MASTER RECORD'!C2721,"")</f>
        <v/>
      </c>
    </row>
    <row r="2717" spans="2:2">
      <c r="B2717" t="str">
        <f>IF('MASTER RECORD'!F2722="Active",'MASTER RECORD'!C2722,"")</f>
        <v/>
      </c>
    </row>
    <row r="2718" spans="2:2">
      <c r="B2718" t="str">
        <f>IF('MASTER RECORD'!F2723="Active",'MASTER RECORD'!C2723,"")</f>
        <v/>
      </c>
    </row>
    <row r="2719" spans="2:2">
      <c r="B2719" t="str">
        <f>IF('MASTER RECORD'!F2724="Active",'MASTER RECORD'!C2724,"")</f>
        <v/>
      </c>
    </row>
    <row r="2720" spans="2:2">
      <c r="B2720" t="str">
        <f>IF('MASTER RECORD'!F2725="Active",'MASTER RECORD'!C2725,"")</f>
        <v/>
      </c>
    </row>
    <row r="2721" spans="2:2">
      <c r="B2721" t="str">
        <f>IF('MASTER RECORD'!F2726="Active",'MASTER RECORD'!C2726,"")</f>
        <v/>
      </c>
    </row>
    <row r="2722" spans="2:2">
      <c r="B2722" t="str">
        <f>IF('MASTER RECORD'!F2727="Active",'MASTER RECORD'!C2727,"")</f>
        <v/>
      </c>
    </row>
    <row r="2723" spans="2:2">
      <c r="B2723" t="str">
        <f>IF('MASTER RECORD'!F2728="Active",'MASTER RECORD'!C2728,"")</f>
        <v/>
      </c>
    </row>
    <row r="2724" spans="2:2">
      <c r="B2724" t="str">
        <f>IF('MASTER RECORD'!F2729="Active",'MASTER RECORD'!C2729,"")</f>
        <v/>
      </c>
    </row>
  </sheetData>
  <dataConsolidate/>
  <phoneticPr fontId="1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7C0F5-7F1D-FD4E-AB77-907AF3E27B77}">
  <sheetPr codeName="Sheet13"/>
  <dimension ref="A1:S630"/>
  <sheetViews>
    <sheetView workbookViewId="0">
      <selection activeCell="O19" sqref="O19"/>
    </sheetView>
  </sheetViews>
  <sheetFormatPr baseColWidth="10" defaultRowHeight="16"/>
  <cols>
    <col min="1" max="1" width="6.1640625" customWidth="1"/>
    <col min="2" max="2" width="9.83203125" customWidth="1"/>
    <col min="3" max="3" width="8.33203125" customWidth="1"/>
    <col min="4" max="4" width="9.5" customWidth="1"/>
    <col min="5" max="5" width="14.5" style="10" customWidth="1"/>
    <col min="6" max="6" width="11.5" style="10" customWidth="1"/>
    <col min="7" max="7" width="13.6640625" style="2" customWidth="1"/>
    <col min="8" max="8" width="10.1640625" bestFit="1" customWidth="1"/>
    <col min="9" max="9" width="7.1640625" customWidth="1"/>
    <col min="10" max="10" width="24.33203125" customWidth="1"/>
    <col min="16" max="16" width="13.83203125" customWidth="1"/>
  </cols>
  <sheetData>
    <row r="1" spans="1:19">
      <c r="A1" t="s">
        <v>13</v>
      </c>
      <c r="B1" t="s">
        <v>0</v>
      </c>
      <c r="C1" t="s">
        <v>2</v>
      </c>
      <c r="D1" t="s">
        <v>1</v>
      </c>
      <c r="E1" s="10" t="s">
        <v>96</v>
      </c>
      <c r="F1" s="10" t="s">
        <v>85</v>
      </c>
      <c r="G1" s="2" t="s">
        <v>86</v>
      </c>
      <c r="H1" t="s">
        <v>153</v>
      </c>
      <c r="I1" t="s">
        <v>154</v>
      </c>
      <c r="J1" t="s">
        <v>155</v>
      </c>
      <c r="K1" s="112" t="s">
        <v>170</v>
      </c>
      <c r="L1" s="10">
        <f>IF(AND(L3="All",L4="All"),
    SUM(Table3[Sold Price]),
IF(L3="All",
    SUMIFS(Table3[Sold Price],Table3[Year],L4),
IF(L4="All",
    SUMIFS(Table3[Sold Price],Table3[Month],L3),
    SUMIFS(Table3[Sold Price],Table3[Month],L3,Table3[Year],L4)
)))</f>
        <v>204400</v>
      </c>
      <c r="N1" s="112" t="s">
        <v>171</v>
      </c>
      <c r="O1" s="10">
        <f>L1-Q1</f>
        <v>-38800</v>
      </c>
      <c r="P1" s="113" t="s">
        <v>172</v>
      </c>
      <c r="Q1" s="10">
        <f>R1+S1</f>
        <v>243200</v>
      </c>
      <c r="R1">
        <f>IF(AND(L3="All",L4="All"),
    SUM('FEED RECORD'!H:H),
IF(L3="All",
    SUMIFS('FEED RECORD'!H:H,'FEED RECORD'!D:D,L4),
IF(L4="All",
    SUMIFS('FEED RECORD'!H:H,'FEED RECORD'!C:C,L3),
    SUMIFS('FEED RECORD'!H:H,
           'FEED RECORD'!C:C,L3,
           'FEED RECORD'!D:D,L4)
)))</f>
        <v>52200</v>
      </c>
      <c r="S1">
        <f>IF(AND(L3="All",L4="All"),
    SUM('OPERATION EXP'!I:I),
IF(L3="All",
    SUMIFS('OPERATION EXP'!I:I,'OPERATION EXP'!D:D,L4),
IF(L4="All",
    SUMIFS('OPERATION EXP'!I:I,'OPERATION EXP'!C:C,L3),
    SUMIFS('OPERATION EXP'!I:I,
           'OPERATION EXP'!C:C,L3,
           'OPERATION EXP'!D:D,L4)
)))</f>
        <v>191000</v>
      </c>
    </row>
    <row r="2" spans="1:19">
      <c r="A2">
        <f>IF(SALE!A6=0,"",SALE!A6)</f>
        <v>1</v>
      </c>
      <c r="B2" t="str">
        <f>IF(SALE!B6=0,"",SALE!B6)</f>
        <v>G26003-1</v>
      </c>
      <c r="C2" t="str">
        <f>IF(SALE!C6=0,"",SALE!C6)</f>
        <v/>
      </c>
      <c r="D2" t="str">
        <f>IF(SALE!D6=0,"",SALE!D6)</f>
        <v/>
      </c>
      <c r="E2" s="10">
        <f>IF(SALE!E6=0,"",SALE!E6)</f>
        <v>15000</v>
      </c>
      <c r="F2" s="10">
        <f>IF(SALE!F6=0,"",SALE!F6)</f>
        <v>12000</v>
      </c>
      <c r="G2" s="2">
        <f>IF(SALE!G6=0,"",SALE!G6)</f>
        <v>45708</v>
      </c>
      <c r="H2" t="str">
        <f>IF(SALE!H6=0,"",SALE!H6)</f>
        <v>February</v>
      </c>
      <c r="I2" t="str">
        <f>IF(SALE!I6=0,"",SALE!I6)</f>
        <v>2025</v>
      </c>
      <c r="J2" t="str">
        <f>IF(SALE!J6=0,"",SALE!J6)</f>
        <v/>
      </c>
      <c r="L2" s="10"/>
      <c r="N2" t="s">
        <v>168</v>
      </c>
      <c r="O2" t="s">
        <v>168</v>
      </c>
    </row>
    <row r="3" spans="1:19">
      <c r="A3">
        <f>IF(SALE!A7=0,"",SALE!A7)</f>
        <v>2</v>
      </c>
      <c r="B3" t="str">
        <f>IF(SALE!B7=0,"",SALE!B7)</f>
        <v>G26007-1</v>
      </c>
      <c r="C3" t="str">
        <f>IF(SALE!C7=0,"",SALE!C7)</f>
        <v>Teddy</v>
      </c>
      <c r="D3" t="str">
        <f>IF(SALE!D7=0,"",SALE!D7)</f>
        <v>MALE</v>
      </c>
      <c r="E3" s="10" t="str">
        <f>IF(SALE!E7=0,"",SALE!E7)</f>
        <v/>
      </c>
      <c r="F3" s="10">
        <f>IF(SALE!F7=0,"",SALE!F7)</f>
        <v>30000</v>
      </c>
      <c r="G3" s="2">
        <f>IF(SALE!G7=0,"",SALE!G7)</f>
        <v>45691</v>
      </c>
      <c r="H3" t="str">
        <f>IF(SALE!H7=0,"",SALE!H7)</f>
        <v>February</v>
      </c>
      <c r="I3" t="str">
        <f>IF(SALE!I7=0,"",SALE!I7)</f>
        <v>2025</v>
      </c>
      <c r="J3" t="str">
        <f>IF(SALE!J7=0,"",SALE!J7)</f>
        <v/>
      </c>
      <c r="L3" t="str">
        <f>INDEX(N2:N14,M4)</f>
        <v>All</v>
      </c>
      <c r="M3">
        <v>1</v>
      </c>
      <c r="N3" t="s">
        <v>156</v>
      </c>
      <c r="O3">
        <v>2024</v>
      </c>
    </row>
    <row r="4" spans="1:19">
      <c r="A4">
        <f>IF(SALE!A8=0,"",SALE!A8)</f>
        <v>3</v>
      </c>
      <c r="B4" t="str">
        <f>IF(SALE!B8=0,"",SALE!B8)</f>
        <v>G26003-0</v>
      </c>
      <c r="C4" t="str">
        <f>IF(SALE!C8=0,"",SALE!C8)</f>
        <v>Teddy</v>
      </c>
      <c r="D4" t="str">
        <f>IF(SALE!D8=0,"",SALE!D8)</f>
        <v>FEMALE</v>
      </c>
      <c r="E4" s="10" t="str">
        <f>IF(SALE!E8=0,"",SALE!E8)</f>
        <v/>
      </c>
      <c r="F4" s="10">
        <f>IF(SALE!F8=0,"",SALE!F8)</f>
        <v>25000</v>
      </c>
      <c r="G4" s="2">
        <f>IF(SALE!G8=0,"",SALE!G8)</f>
        <v>46012</v>
      </c>
      <c r="H4" t="str">
        <f>IF(SALE!H8=0,"",SALE!H8)</f>
        <v>December</v>
      </c>
      <c r="I4" t="str">
        <f>IF(SALE!I8=0,"",SALE!I8)</f>
        <v>2025</v>
      </c>
      <c r="J4" t="str">
        <f>IF(SALE!J8=0,"",SALE!J8)</f>
        <v/>
      </c>
      <c r="L4" t="str">
        <f>INDEX(O2:O14,M3)</f>
        <v>All</v>
      </c>
      <c r="M4">
        <v>1</v>
      </c>
      <c r="N4" t="s">
        <v>157</v>
      </c>
      <c r="O4">
        <v>2025</v>
      </c>
      <c r="P4" s="112" t="s">
        <v>178</v>
      </c>
      <c r="Q4">
        <f>IF(AND(L3="All",L4="All"),
    COUNT(Table3[Sold Price]),
IF(L3="All",
    COUNTIFS(Table3[Year],L4,Table3[Sold Price],"&gt;0"),
IF(L4="All",
    COUNTIFS(Table3[Month],L3,Table3[Sold Price],"&gt;0"),
    COUNTIFS(Table3[Month],L3,
             Table3[Year],L4,
             Table3[Sold Price],"&gt;0")
)))</f>
        <v>8</v>
      </c>
    </row>
    <row r="5" spans="1:19">
      <c r="A5">
        <f>IF(SALE!A9=0,"",SALE!A9)</f>
        <v>4</v>
      </c>
      <c r="B5" t="str">
        <f>IF(SALE!B9=0,"",SALE!B9)</f>
        <v>G26005-0</v>
      </c>
      <c r="C5" t="str">
        <f>IF(SALE!C9=0,"",SALE!C9)</f>
        <v/>
      </c>
      <c r="D5" t="str">
        <f>IF(SALE!D9=0,"",SALE!D9)</f>
        <v/>
      </c>
      <c r="E5" s="10" t="str">
        <f>IF(SALE!E9=0,"",SALE!E9)</f>
        <v/>
      </c>
      <c r="F5" s="10">
        <f>IF(SALE!F9=0,"",SALE!F9)</f>
        <v>20000</v>
      </c>
      <c r="G5" s="2">
        <f>IF(SALE!G9=0,"",SALE!G9)</f>
        <v>45967</v>
      </c>
      <c r="H5" t="str">
        <f>IF(SALE!H9=0,"",SALE!H9)</f>
        <v>November</v>
      </c>
      <c r="I5" t="str">
        <f>IF(SALE!I9=0,"",SALE!I9)</f>
        <v>2025</v>
      </c>
      <c r="J5" t="str">
        <f>IF(SALE!J9=0,"",SALE!J9)</f>
        <v/>
      </c>
      <c r="N5" t="s">
        <v>158</v>
      </c>
      <c r="O5">
        <v>2026</v>
      </c>
      <c r="P5" s="112" t="s">
        <v>180</v>
      </c>
      <c r="Q5">
        <f>COUNTIFS(
D:D,"Male",
H:H,IF(L3="All","&lt;&gt;",L3),
I:I,IF(L4="All","&lt;&gt;",L4),
F:F,"&lt;&gt;")</f>
        <v>3</v>
      </c>
    </row>
    <row r="6" spans="1:19">
      <c r="A6">
        <f>IF(SALE!A10=0,"",SALE!A10)</f>
        <v>5</v>
      </c>
      <c r="B6" t="str">
        <f>IF(SALE!B10=0,"",SALE!B10)</f>
        <v>G26006-0</v>
      </c>
      <c r="C6" t="str">
        <f>IF(SALE!C10=0,"",SALE!C10)</f>
        <v/>
      </c>
      <c r="D6" t="str">
        <f>IF(SALE!D10=0,"",SALE!D10)</f>
        <v/>
      </c>
      <c r="E6" s="10" t="str">
        <f>IF(SALE!E10=0,"",SALE!E10)</f>
        <v/>
      </c>
      <c r="F6" s="10">
        <f>IF(SALE!F10=0,"",SALE!F10)</f>
        <v>26500</v>
      </c>
      <c r="G6" s="2">
        <f>IF(SALE!G10=0,"",SALE!G10)</f>
        <v>45557</v>
      </c>
      <c r="H6" t="str">
        <f>IF(SALE!H10=0,"",SALE!H10)</f>
        <v>September</v>
      </c>
      <c r="I6" t="str">
        <f>IF(SALE!I10=0,"",SALE!I10)</f>
        <v>2024</v>
      </c>
      <c r="J6" t="str">
        <f>IF(SALE!J10=0,"",SALE!J10)</f>
        <v/>
      </c>
      <c r="N6" t="s">
        <v>159</v>
      </c>
      <c r="O6">
        <v>2027</v>
      </c>
      <c r="P6" s="112" t="s">
        <v>179</v>
      </c>
      <c r="Q6">
        <f>COUNTIFS(
D:D,"FEMALE",
H:H,IF(L3="All","&lt;&gt;",L3),
I:I,IF(L4="All","&lt;&gt;",L4),
F:F,"&lt;&gt;")</f>
        <v>1</v>
      </c>
    </row>
    <row r="7" spans="1:19">
      <c r="A7">
        <f>IF(SALE!A11=0,"",SALE!A11)</f>
        <v>6</v>
      </c>
      <c r="B7" t="str">
        <f>IF(SALE!B11=0,"",SALE!B11)</f>
        <v>G26008-1</v>
      </c>
      <c r="C7" t="str">
        <f>IF(SALE!C11=0,"",SALE!C11)</f>
        <v/>
      </c>
      <c r="D7" t="str">
        <f>IF(SALE!D11=0,"",SALE!D11)</f>
        <v/>
      </c>
      <c r="E7" s="10" t="str">
        <f>IF(SALE!E11=0,"",SALE!E11)</f>
        <v/>
      </c>
      <c r="F7" s="10">
        <f>IF(SALE!F11=0,"",SALE!F11)</f>
        <v>28400</v>
      </c>
      <c r="G7" s="2">
        <f>IF(SALE!G11=0,"",SALE!G11)</f>
        <v>45512</v>
      </c>
      <c r="H7" t="str">
        <f>IF(SALE!H11=0,"",SALE!H11)</f>
        <v>August</v>
      </c>
      <c r="I7" t="str">
        <f>IF(SALE!I11=0,"",SALE!I11)</f>
        <v>2024</v>
      </c>
      <c r="J7" t="str">
        <f>IF(SALE!J11=0,"",SALE!J11)</f>
        <v/>
      </c>
      <c r="N7" t="s">
        <v>160</v>
      </c>
      <c r="O7">
        <v>2028</v>
      </c>
    </row>
    <row r="8" spans="1:19">
      <c r="A8">
        <f>IF(SALE!A12=0,"",SALE!A12)</f>
        <v>7</v>
      </c>
      <c r="B8" t="str">
        <f>IF(SALE!B12=0,"",SALE!B12)</f>
        <v>G26005-1</v>
      </c>
      <c r="C8" t="str">
        <f>IF(SALE!C12=0,"",SALE!C12)</f>
        <v>Teddy</v>
      </c>
      <c r="D8" t="str">
        <f>IF(SALE!D12=0,"",SALE!D12)</f>
        <v>MALE</v>
      </c>
      <c r="E8" s="10" t="str">
        <f>IF(SALE!E12=0,"",SALE!E12)</f>
        <v/>
      </c>
      <c r="F8" s="10">
        <f>IF(SALE!F12=0,"",SALE!F12)</f>
        <v>30300</v>
      </c>
      <c r="G8" s="2">
        <f>IF(SALE!G12=0,"",SALE!G12)</f>
        <v>45468</v>
      </c>
      <c r="H8" t="str">
        <f>IF(SALE!H12=0,"",SALE!H12)</f>
        <v>June</v>
      </c>
      <c r="I8" t="str">
        <f>IF(SALE!I12=0,"",SALE!I12)</f>
        <v>2024</v>
      </c>
      <c r="J8" t="str">
        <f>IF(SALE!J12=0,"",SALE!J12)</f>
        <v/>
      </c>
      <c r="N8" t="s">
        <v>161</v>
      </c>
      <c r="O8">
        <v>2029</v>
      </c>
      <c r="P8" s="112" t="s">
        <v>181</v>
      </c>
      <c r="Q8">
        <f>Q9+Q10</f>
        <v>3</v>
      </c>
    </row>
    <row r="9" spans="1:19">
      <c r="A9">
        <f>IF(SALE!A13=0,"",SALE!A13)</f>
        <v>8</v>
      </c>
      <c r="B9" t="str">
        <f>IF(SALE!B13=0,"",SALE!B13)</f>
        <v>G26006-1</v>
      </c>
      <c r="C9" t="str">
        <f>IF(SALE!C13=0,"",SALE!C13)</f>
        <v>Teddy</v>
      </c>
      <c r="D9" t="str">
        <f>IF(SALE!D13=0,"",SALE!D13)</f>
        <v>MALE</v>
      </c>
      <c r="E9" s="10" t="str">
        <f>IF(SALE!E13=0,"",SALE!E13)</f>
        <v/>
      </c>
      <c r="F9" s="10">
        <f>IF(SALE!F13=0,"",SALE!F13)</f>
        <v>32200</v>
      </c>
      <c r="G9" s="2">
        <f>IF(SALE!G13=0,"",SALE!G13)</f>
        <v>45423</v>
      </c>
      <c r="H9" t="str">
        <f>IF(SALE!H13=0,"",SALE!H13)</f>
        <v>May</v>
      </c>
      <c r="I9" t="str">
        <f>IF(SALE!I13=0,"",SALE!I13)</f>
        <v>2024</v>
      </c>
      <c r="J9" t="str">
        <f>IF(SALE!J13=0,"",SALE!J13)</f>
        <v/>
      </c>
      <c r="N9" t="s">
        <v>162</v>
      </c>
      <c r="O9">
        <v>2030</v>
      </c>
      <c r="P9" s="112" t="s">
        <v>182</v>
      </c>
      <c r="Q9">
        <f>COUNTIFS(
MORTALITY!D:D,"Male",
MORTALITY!G:G,IF(L3="All","&lt;&gt;",L3),
MORTALITY!H:H,IF(L4="All","&lt;&gt;",L4)
)</f>
        <v>3</v>
      </c>
    </row>
    <row r="10" spans="1:19">
      <c r="A10">
        <f>IF(SALE!A14=0,"",SALE!A14)</f>
        <v>9</v>
      </c>
      <c r="B10" t="str">
        <f>IF(SALE!B14=0,"",SALE!B14)</f>
        <v/>
      </c>
      <c r="C10" t="str">
        <f>IF(SALE!C14=0,"",SALE!C14)</f>
        <v/>
      </c>
      <c r="D10" t="str">
        <f>IF(SALE!D14=0,"",SALE!D14)</f>
        <v/>
      </c>
      <c r="E10" s="10" t="str">
        <f>IF(SALE!E14=0,"",SALE!E14)</f>
        <v/>
      </c>
      <c r="F10" s="10" t="str">
        <f>IF(SALE!F14=0,"",SALE!F14)</f>
        <v/>
      </c>
      <c r="G10" s="2" t="str">
        <f>IF(SALE!G14=0,"",SALE!G14)</f>
        <v/>
      </c>
      <c r="H10" t="str">
        <f>IF(SALE!H14=0,"",SALE!H14)</f>
        <v/>
      </c>
      <c r="I10" t="str">
        <f>IF(SALE!I14=0,"",SALE!I14)</f>
        <v/>
      </c>
      <c r="J10" t="str">
        <f>IF(SALE!J14=0,"",SALE!J14)</f>
        <v/>
      </c>
      <c r="N10" t="s">
        <v>163</v>
      </c>
      <c r="O10">
        <v>2031</v>
      </c>
      <c r="P10" s="112" t="s">
        <v>183</v>
      </c>
      <c r="Q10">
        <f>COUNTIFS(
MORTALITY!D:D,"Female",
MORTALITY!G:G,IF(L3="All","&lt;&gt;",L3),
MORTALITY!H:H,IF(L4="All","&lt;&gt;",L4)
)</f>
        <v>0</v>
      </c>
    </row>
    <row r="11" spans="1:19">
      <c r="A11">
        <f>IF(SALE!A15=0,"",SALE!A15)</f>
        <v>10</v>
      </c>
      <c r="B11" t="str">
        <f>IF(SALE!B15=0,"",SALE!B15)</f>
        <v/>
      </c>
      <c r="C11" t="str">
        <f>IF(SALE!C15=0,"",SALE!C15)</f>
        <v/>
      </c>
      <c r="D11" t="str">
        <f>IF(SALE!D15=0,"",SALE!D15)</f>
        <v/>
      </c>
      <c r="E11" s="10" t="str">
        <f>IF(SALE!E15=0,"",SALE!E15)</f>
        <v/>
      </c>
      <c r="F11" s="10" t="str">
        <f>IF(SALE!F15=0,"",SALE!F15)</f>
        <v/>
      </c>
      <c r="G11" s="2" t="str">
        <f>IF(SALE!G15=0,"",SALE!G15)</f>
        <v/>
      </c>
      <c r="H11" t="str">
        <f>IF(SALE!H15=0,"",SALE!H15)</f>
        <v/>
      </c>
      <c r="I11" t="str">
        <f>IF(SALE!I15=0,"",SALE!I15)</f>
        <v/>
      </c>
      <c r="J11" t="str">
        <f>IF(SALE!J15=0,"",SALE!J15)</f>
        <v/>
      </c>
      <c r="N11" t="s">
        <v>164</v>
      </c>
      <c r="O11">
        <v>2032</v>
      </c>
    </row>
    <row r="12" spans="1:19">
      <c r="A12">
        <f>IF(SALE!A16=0,"",SALE!A16)</f>
        <v>11</v>
      </c>
      <c r="B12" t="str">
        <f>IF(SALE!B16=0,"",SALE!B16)</f>
        <v/>
      </c>
      <c r="C12" t="str">
        <f>IF(SALE!C16=0,"",SALE!C16)</f>
        <v/>
      </c>
      <c r="D12" t="str">
        <f>IF(SALE!D16=0,"",SALE!D16)</f>
        <v/>
      </c>
      <c r="E12" s="10" t="str">
        <f>IF(SALE!E16=0,"",SALE!E16)</f>
        <v/>
      </c>
      <c r="F12" s="10" t="str">
        <f>IF(SALE!F16=0,"",SALE!F16)</f>
        <v/>
      </c>
      <c r="G12" s="2" t="str">
        <f>IF(SALE!G16=0,"",SALE!G16)</f>
        <v/>
      </c>
      <c r="H12" t="str">
        <f>IF(SALE!H16=0,"",SALE!H16)</f>
        <v/>
      </c>
      <c r="I12" t="str">
        <f>IF(SALE!I16=0,"",SALE!I16)</f>
        <v/>
      </c>
      <c r="J12" t="str">
        <f>IF(SALE!J16=0,"",SALE!J16)</f>
        <v/>
      </c>
      <c r="N12" t="s">
        <v>165</v>
      </c>
      <c r="O12">
        <v>2033</v>
      </c>
      <c r="P12" s="112" t="s">
        <v>177</v>
      </c>
      <c r="Q12" s="114">
        <f>O1/L1</f>
        <v>-0.18982387475538159</v>
      </c>
    </row>
    <row r="13" spans="1:19">
      <c r="A13">
        <f>IF(SALE!A17=0,"",SALE!A17)</f>
        <v>12</v>
      </c>
      <c r="B13" t="str">
        <f>IF(SALE!B17=0,"",SALE!B17)</f>
        <v/>
      </c>
      <c r="C13" t="str">
        <f>IF(SALE!C17=0,"",SALE!C17)</f>
        <v/>
      </c>
      <c r="D13" t="str">
        <f>IF(SALE!D17=0,"",SALE!D17)</f>
        <v/>
      </c>
      <c r="E13" s="10" t="str">
        <f>IF(SALE!E17=0,"",SALE!E17)</f>
        <v/>
      </c>
      <c r="F13" s="10" t="str">
        <f>IF(SALE!F17=0,"",SALE!F17)</f>
        <v/>
      </c>
      <c r="G13" s="2" t="str">
        <f>IF(SALE!G17=0,"",SALE!G17)</f>
        <v/>
      </c>
      <c r="H13" t="str">
        <f>IF(SALE!H17=0,"",SALE!H17)</f>
        <v/>
      </c>
      <c r="I13" t="str">
        <f>IF(SALE!I17=0,"",SALE!I17)</f>
        <v/>
      </c>
      <c r="J13" t="str">
        <f>IF(SALE!J17=0,"",SALE!J17)</f>
        <v/>
      </c>
      <c r="N13" t="s">
        <v>166</v>
      </c>
      <c r="O13">
        <v>2034</v>
      </c>
    </row>
    <row r="14" spans="1:19">
      <c r="A14">
        <f>IF(SALE!A18=0,"",SALE!A18)</f>
        <v>13</v>
      </c>
      <c r="B14" t="str">
        <f>IF(SALE!B18=0,"",SALE!B18)</f>
        <v/>
      </c>
      <c r="C14" t="str">
        <f>IF(SALE!C18=0,"",SALE!C18)</f>
        <v/>
      </c>
      <c r="D14" t="str">
        <f>IF(SALE!D18=0,"",SALE!D18)</f>
        <v/>
      </c>
      <c r="E14" s="10" t="str">
        <f>IF(SALE!E18=0,"",SALE!E18)</f>
        <v/>
      </c>
      <c r="F14" s="10" t="str">
        <f>IF(SALE!F18=0,"",SALE!F18)</f>
        <v/>
      </c>
      <c r="G14" s="2" t="str">
        <f>IF(SALE!G18=0,"",SALE!G18)</f>
        <v/>
      </c>
      <c r="H14" t="str">
        <f>IF(SALE!H18=0,"",SALE!H18)</f>
        <v/>
      </c>
      <c r="I14" t="str">
        <f>IF(SALE!I18=0,"",SALE!I18)</f>
        <v/>
      </c>
      <c r="J14" t="str">
        <f>IF(SALE!J18=0,"",SALE!J18)</f>
        <v/>
      </c>
      <c r="N14" t="s">
        <v>167</v>
      </c>
      <c r="O14">
        <v>2035</v>
      </c>
    </row>
    <row r="15" spans="1:19">
      <c r="A15">
        <f>IF(SALE!A19=0,"",SALE!A19)</f>
        <v>14</v>
      </c>
      <c r="B15" t="str">
        <f>IF(SALE!B19=0,"",SALE!B19)</f>
        <v/>
      </c>
      <c r="C15" t="str">
        <f>IF(SALE!C19=0,"",SALE!C19)</f>
        <v/>
      </c>
      <c r="D15" t="str">
        <f>IF(SALE!D19=0,"",SALE!D19)</f>
        <v/>
      </c>
      <c r="E15" s="10" t="str">
        <f>IF(SALE!E19=0,"",SALE!E19)</f>
        <v/>
      </c>
      <c r="F15" s="10" t="str">
        <f>IF(SALE!F19=0,"",SALE!F19)</f>
        <v/>
      </c>
      <c r="G15" s="2" t="str">
        <f>IF(SALE!G19=0,"",SALE!G19)</f>
        <v/>
      </c>
      <c r="H15" t="str">
        <f>IF(SALE!H19=0,"",SALE!H19)</f>
        <v/>
      </c>
      <c r="I15" t="str">
        <f>IF(SALE!I19=0,"",SALE!I19)</f>
        <v/>
      </c>
      <c r="J15" t="str">
        <f>IF(SALE!J19=0,"",SALE!J19)</f>
        <v/>
      </c>
    </row>
    <row r="16" spans="1:19">
      <c r="A16">
        <f>IF(SALE!A20=0,"",SALE!A20)</f>
        <v>15</v>
      </c>
      <c r="B16" t="str">
        <f>IF(SALE!B20=0,"",SALE!B20)</f>
        <v/>
      </c>
      <c r="C16" t="str">
        <f>IF(SALE!C20=0,"",SALE!C20)</f>
        <v/>
      </c>
      <c r="D16" t="str">
        <f>IF(SALE!D20=0,"",SALE!D20)</f>
        <v/>
      </c>
      <c r="E16" s="10" t="str">
        <f>IF(SALE!E20=0,"",SALE!E20)</f>
        <v/>
      </c>
      <c r="F16" s="10" t="str">
        <f>IF(SALE!F20=0,"",SALE!F20)</f>
        <v/>
      </c>
      <c r="G16" s="2" t="str">
        <f>IF(SALE!G20=0,"",SALE!G20)</f>
        <v/>
      </c>
      <c r="H16" t="str">
        <f>IF(SALE!H20=0,"",SALE!H20)</f>
        <v/>
      </c>
      <c r="I16" t="str">
        <f>IF(SALE!I20=0,"",SALE!I20)</f>
        <v/>
      </c>
      <c r="J16" t="str">
        <f>IF(SALE!J20=0,"",SALE!J20)</f>
        <v/>
      </c>
    </row>
    <row r="17" spans="1:10">
      <c r="A17">
        <f>IF(SALE!A21=0,"",SALE!A21)</f>
        <v>16</v>
      </c>
      <c r="B17" t="str">
        <f>IF(SALE!B21=0,"",SALE!B21)</f>
        <v/>
      </c>
      <c r="C17" t="str">
        <f>IF(SALE!C21=0,"",SALE!C21)</f>
        <v/>
      </c>
      <c r="D17" t="str">
        <f>IF(SALE!D21=0,"",SALE!D21)</f>
        <v/>
      </c>
      <c r="E17" s="10" t="str">
        <f>IF(SALE!E21=0,"",SALE!E21)</f>
        <v/>
      </c>
      <c r="F17" s="10" t="str">
        <f>IF(SALE!F21=0,"",SALE!F21)</f>
        <v/>
      </c>
      <c r="G17" s="2" t="str">
        <f>IF(SALE!G21=0,"",SALE!G21)</f>
        <v/>
      </c>
      <c r="H17" t="str">
        <f>IF(SALE!H21=0,"",SALE!H21)</f>
        <v/>
      </c>
      <c r="I17" t="str">
        <f>IF(SALE!I21=0,"",SALE!I21)</f>
        <v/>
      </c>
      <c r="J17" t="str">
        <f>IF(SALE!J21=0,"",SALE!J21)</f>
        <v/>
      </c>
    </row>
    <row r="18" spans="1:10">
      <c r="A18">
        <f>IF(SALE!A22=0,"",SALE!A22)</f>
        <v>17</v>
      </c>
      <c r="B18" t="str">
        <f>IF(SALE!B22=0,"",SALE!B22)</f>
        <v/>
      </c>
      <c r="C18" t="str">
        <f>IF(SALE!C22=0,"",SALE!C22)</f>
        <v/>
      </c>
      <c r="D18" t="str">
        <f>IF(SALE!D22=0,"",SALE!D22)</f>
        <v/>
      </c>
      <c r="E18" s="10" t="str">
        <f>IF(SALE!E22=0,"",SALE!E22)</f>
        <v/>
      </c>
      <c r="F18" s="10" t="str">
        <f>IF(SALE!F22=0,"",SALE!F22)</f>
        <v/>
      </c>
      <c r="G18" s="2" t="str">
        <f>IF(SALE!G22=0,"",SALE!G22)</f>
        <v/>
      </c>
      <c r="H18" t="str">
        <f>IF(SALE!H22=0,"",SALE!H22)</f>
        <v/>
      </c>
      <c r="I18" t="str">
        <f>IF(SALE!I22=0,"",SALE!I22)</f>
        <v/>
      </c>
      <c r="J18" t="str">
        <f>IF(SALE!J22=0,"",SALE!J22)</f>
        <v/>
      </c>
    </row>
    <row r="19" spans="1:10">
      <c r="A19">
        <f>IF(SALE!A23=0,"",SALE!A23)</f>
        <v>18</v>
      </c>
      <c r="B19" t="str">
        <f>IF(SALE!B23=0,"",SALE!B23)</f>
        <v/>
      </c>
      <c r="C19" t="str">
        <f>IF(SALE!C23=0,"",SALE!C23)</f>
        <v/>
      </c>
      <c r="D19" t="str">
        <f>IF(SALE!D23=0,"",SALE!D23)</f>
        <v/>
      </c>
      <c r="E19" s="10" t="str">
        <f>IF(SALE!E23=0,"",SALE!E23)</f>
        <v/>
      </c>
      <c r="F19" s="10" t="str">
        <f>IF(SALE!F23=0,"",SALE!F23)</f>
        <v/>
      </c>
      <c r="G19" s="2" t="str">
        <f>IF(SALE!G23=0,"",SALE!G23)</f>
        <v/>
      </c>
      <c r="H19" t="str">
        <f>IF(SALE!H23=0,"",SALE!H23)</f>
        <v/>
      </c>
      <c r="I19" t="str">
        <f>IF(SALE!I23=0,"",SALE!I23)</f>
        <v/>
      </c>
      <c r="J19" t="str">
        <f>IF(SALE!J23=0,"",SALE!J23)</f>
        <v/>
      </c>
    </row>
    <row r="20" spans="1:10">
      <c r="A20">
        <f>IF(SALE!A24=0,"",SALE!A24)</f>
        <v>19</v>
      </c>
      <c r="B20" t="str">
        <f>IF(SALE!B24=0,"",SALE!B24)</f>
        <v/>
      </c>
      <c r="C20" t="str">
        <f>IF(SALE!C24=0,"",SALE!C24)</f>
        <v/>
      </c>
      <c r="D20" t="str">
        <f>IF(SALE!D24=0,"",SALE!D24)</f>
        <v/>
      </c>
      <c r="E20" s="10" t="str">
        <f>IF(SALE!E24=0,"",SALE!E24)</f>
        <v/>
      </c>
      <c r="F20" s="10" t="str">
        <f>IF(SALE!F24=0,"",SALE!F24)</f>
        <v/>
      </c>
      <c r="G20" s="2" t="str">
        <f>IF(SALE!G24=0,"",SALE!G24)</f>
        <v/>
      </c>
      <c r="H20" t="str">
        <f>IF(SALE!H24=0,"",SALE!H24)</f>
        <v/>
      </c>
      <c r="I20" t="str">
        <f>IF(SALE!I24=0,"",SALE!I24)</f>
        <v/>
      </c>
      <c r="J20" t="str">
        <f>IF(SALE!J24=0,"",SALE!J24)</f>
        <v/>
      </c>
    </row>
    <row r="21" spans="1:10">
      <c r="A21">
        <f>IF(SALE!A25=0,"",SALE!A25)</f>
        <v>20</v>
      </c>
      <c r="B21" t="str">
        <f>IF(SALE!B25=0,"",SALE!B25)</f>
        <v/>
      </c>
      <c r="C21" t="str">
        <f>IF(SALE!C25=0,"",SALE!C25)</f>
        <v/>
      </c>
      <c r="D21" t="str">
        <f>IF(SALE!D25=0,"",SALE!D25)</f>
        <v/>
      </c>
      <c r="E21" s="10" t="str">
        <f>IF(SALE!E25=0,"",SALE!E25)</f>
        <v/>
      </c>
      <c r="F21" s="10" t="str">
        <f>IF(SALE!F25=0,"",SALE!F25)</f>
        <v/>
      </c>
      <c r="G21" s="2" t="str">
        <f>IF(SALE!G25=0,"",SALE!G25)</f>
        <v/>
      </c>
      <c r="H21" t="str">
        <f>IF(SALE!H25=0,"",SALE!H25)</f>
        <v/>
      </c>
      <c r="I21" t="str">
        <f>IF(SALE!I25=0,"",SALE!I25)</f>
        <v/>
      </c>
      <c r="J21" t="str">
        <f>IF(SALE!J25=0,"",SALE!J25)</f>
        <v/>
      </c>
    </row>
    <row r="22" spans="1:10">
      <c r="A22">
        <f>IF(SALE!A26=0,"",SALE!A26)</f>
        <v>21</v>
      </c>
      <c r="B22" t="str">
        <f>IF(SALE!B26=0,"",SALE!B26)</f>
        <v/>
      </c>
      <c r="C22" t="str">
        <f>IF(SALE!C26=0,"",SALE!C26)</f>
        <v/>
      </c>
      <c r="D22" t="str">
        <f>IF(SALE!D26=0,"",SALE!D26)</f>
        <v/>
      </c>
      <c r="E22" s="10" t="str">
        <f>IF(SALE!E26=0,"",SALE!E26)</f>
        <v/>
      </c>
      <c r="F22" s="10" t="str">
        <f>IF(SALE!F26=0,"",SALE!F26)</f>
        <v/>
      </c>
      <c r="G22" s="2" t="str">
        <f>IF(SALE!G26=0,"",SALE!G26)</f>
        <v/>
      </c>
      <c r="H22" t="str">
        <f>IF(SALE!H26=0,"",SALE!H26)</f>
        <v/>
      </c>
      <c r="I22" t="str">
        <f>IF(SALE!I26=0,"",SALE!I26)</f>
        <v/>
      </c>
      <c r="J22" t="str">
        <f>IF(SALE!J26=0,"",SALE!J26)</f>
        <v/>
      </c>
    </row>
    <row r="23" spans="1:10">
      <c r="A23">
        <f>IF(SALE!A27=0,"",SALE!A27)</f>
        <v>22</v>
      </c>
      <c r="B23" t="str">
        <f>IF(SALE!B27=0,"",SALE!B27)</f>
        <v/>
      </c>
      <c r="C23" t="str">
        <f>IF(SALE!C27=0,"",SALE!C27)</f>
        <v/>
      </c>
      <c r="D23" t="str">
        <f>IF(SALE!D27=0,"",SALE!D27)</f>
        <v/>
      </c>
      <c r="E23" s="10" t="str">
        <f>IF(SALE!E27=0,"",SALE!E27)</f>
        <v/>
      </c>
      <c r="F23" s="10" t="str">
        <f>IF(SALE!F27=0,"",SALE!F27)</f>
        <v/>
      </c>
      <c r="G23" s="2" t="str">
        <f>IF(SALE!G27=0,"",SALE!G27)</f>
        <v/>
      </c>
      <c r="H23" t="str">
        <f>IF(SALE!H27=0,"",SALE!H27)</f>
        <v/>
      </c>
      <c r="I23" t="str">
        <f>IF(SALE!I27=0,"",SALE!I27)</f>
        <v/>
      </c>
      <c r="J23" t="str">
        <f>IF(SALE!J27=0,"",SALE!J27)</f>
        <v/>
      </c>
    </row>
    <row r="24" spans="1:10">
      <c r="A24">
        <f>IF(SALE!A28=0,"",SALE!A28)</f>
        <v>23</v>
      </c>
      <c r="B24" t="str">
        <f>IF(SALE!B28=0,"",SALE!B28)</f>
        <v/>
      </c>
      <c r="C24" t="str">
        <f>IF(SALE!C28=0,"",SALE!C28)</f>
        <v/>
      </c>
      <c r="D24" t="str">
        <f>IF(SALE!D28=0,"",SALE!D28)</f>
        <v/>
      </c>
      <c r="E24" s="10" t="str">
        <f>IF(SALE!E28=0,"",SALE!E28)</f>
        <v/>
      </c>
      <c r="F24" s="10" t="str">
        <f>IF(SALE!F28=0,"",SALE!F28)</f>
        <v/>
      </c>
      <c r="G24" s="2" t="str">
        <f>IF(SALE!G28=0,"",SALE!G28)</f>
        <v/>
      </c>
      <c r="H24" t="str">
        <f>IF(SALE!H28=0,"",SALE!H28)</f>
        <v/>
      </c>
      <c r="I24" t="str">
        <f>IF(SALE!I28=0,"",SALE!I28)</f>
        <v/>
      </c>
      <c r="J24" t="str">
        <f>IF(SALE!J28=0,"",SALE!J28)</f>
        <v/>
      </c>
    </row>
    <row r="25" spans="1:10">
      <c r="A25">
        <f>IF(SALE!A29=0,"",SALE!A29)</f>
        <v>24</v>
      </c>
      <c r="B25" t="str">
        <f>IF(SALE!B29=0,"",SALE!B29)</f>
        <v/>
      </c>
      <c r="C25" t="str">
        <f>IF(SALE!C29=0,"",SALE!C29)</f>
        <v/>
      </c>
      <c r="D25" t="str">
        <f>IF(SALE!D29=0,"",SALE!D29)</f>
        <v/>
      </c>
      <c r="E25" s="10" t="str">
        <f>IF(SALE!E29=0,"",SALE!E29)</f>
        <v/>
      </c>
      <c r="F25" s="10" t="str">
        <f>IF(SALE!F29=0,"",SALE!F29)</f>
        <v/>
      </c>
      <c r="G25" s="2" t="str">
        <f>IF(SALE!G29=0,"",SALE!G29)</f>
        <v/>
      </c>
      <c r="H25" t="str">
        <f>IF(SALE!H29=0,"",SALE!H29)</f>
        <v/>
      </c>
      <c r="I25" t="str">
        <f>IF(SALE!I29=0,"",SALE!I29)</f>
        <v/>
      </c>
      <c r="J25" t="str">
        <f>IF(SALE!J29=0,"",SALE!J29)</f>
        <v/>
      </c>
    </row>
    <row r="26" spans="1:10">
      <c r="A26">
        <f>IF(SALE!A30=0,"",SALE!A30)</f>
        <v>25</v>
      </c>
      <c r="B26" t="str">
        <f>IF(SALE!B30=0,"",SALE!B30)</f>
        <v/>
      </c>
      <c r="C26" t="str">
        <f>IF(SALE!C30=0,"",SALE!C30)</f>
        <v/>
      </c>
      <c r="D26" t="str">
        <f>IF(SALE!D30=0,"",SALE!D30)</f>
        <v/>
      </c>
      <c r="E26" s="10" t="str">
        <f>IF(SALE!E30=0,"",SALE!E30)</f>
        <v/>
      </c>
      <c r="F26" s="10" t="str">
        <f>IF(SALE!F30=0,"",SALE!F30)</f>
        <v/>
      </c>
      <c r="G26" s="2" t="str">
        <f>IF(SALE!G30=0,"",SALE!G30)</f>
        <v/>
      </c>
      <c r="H26" t="str">
        <f>IF(SALE!H30=0,"",SALE!H30)</f>
        <v/>
      </c>
      <c r="I26" t="str">
        <f>IF(SALE!I30=0,"",SALE!I30)</f>
        <v/>
      </c>
      <c r="J26" t="str">
        <f>IF(SALE!J30=0,"",SALE!J30)</f>
        <v/>
      </c>
    </row>
    <row r="27" spans="1:10">
      <c r="A27">
        <f>IF(SALE!A31=0,"",SALE!A31)</f>
        <v>26</v>
      </c>
      <c r="B27" t="str">
        <f>IF(SALE!B31=0,"",SALE!B31)</f>
        <v/>
      </c>
      <c r="C27" t="str">
        <f>IF(SALE!C31=0,"",SALE!C31)</f>
        <v/>
      </c>
      <c r="D27" t="str">
        <f>IF(SALE!D31=0,"",SALE!D31)</f>
        <v/>
      </c>
      <c r="E27" s="10" t="str">
        <f>IF(SALE!E31=0,"",SALE!E31)</f>
        <v/>
      </c>
      <c r="F27" s="10" t="str">
        <f>IF(SALE!F31=0,"",SALE!F31)</f>
        <v/>
      </c>
      <c r="G27" s="2" t="str">
        <f>IF(SALE!G31=0,"",SALE!G31)</f>
        <v/>
      </c>
      <c r="H27" t="str">
        <f>IF(SALE!H31=0,"",SALE!H31)</f>
        <v/>
      </c>
      <c r="I27" t="str">
        <f>IF(SALE!I31=0,"",SALE!I31)</f>
        <v/>
      </c>
      <c r="J27" t="str">
        <f>IF(SALE!J31=0,"",SALE!J31)</f>
        <v/>
      </c>
    </row>
    <row r="28" spans="1:10">
      <c r="A28">
        <f>IF(SALE!A32=0,"",SALE!A32)</f>
        <v>27</v>
      </c>
      <c r="B28" t="str">
        <f>IF(SALE!B32=0,"",SALE!B32)</f>
        <v/>
      </c>
      <c r="C28" t="str">
        <f>IF(SALE!C32=0,"",SALE!C32)</f>
        <v/>
      </c>
      <c r="D28" t="str">
        <f>IF(SALE!D32=0,"",SALE!D32)</f>
        <v/>
      </c>
      <c r="E28" s="10" t="str">
        <f>IF(SALE!E32=0,"",SALE!E32)</f>
        <v/>
      </c>
      <c r="F28" s="10" t="str">
        <f>IF(SALE!F32=0,"",SALE!F32)</f>
        <v/>
      </c>
      <c r="G28" s="2" t="str">
        <f>IF(SALE!G32=0,"",SALE!G32)</f>
        <v/>
      </c>
      <c r="H28" t="str">
        <f>IF(SALE!H32=0,"",SALE!H32)</f>
        <v/>
      </c>
      <c r="I28" t="str">
        <f>IF(SALE!I32=0,"",SALE!I32)</f>
        <v/>
      </c>
      <c r="J28" t="str">
        <f>IF(SALE!J32=0,"",SALE!J32)</f>
        <v/>
      </c>
    </row>
    <row r="29" spans="1:10">
      <c r="A29">
        <f>IF(SALE!A33=0,"",SALE!A33)</f>
        <v>28</v>
      </c>
      <c r="B29" t="str">
        <f>IF(SALE!B33=0,"",SALE!B33)</f>
        <v/>
      </c>
      <c r="C29" t="str">
        <f>IF(SALE!C33=0,"",SALE!C33)</f>
        <v/>
      </c>
      <c r="D29" t="str">
        <f>IF(SALE!D33=0,"",SALE!D33)</f>
        <v/>
      </c>
      <c r="E29" s="10" t="str">
        <f>IF(SALE!E33=0,"",SALE!E33)</f>
        <v/>
      </c>
      <c r="F29" s="10" t="str">
        <f>IF(SALE!F33=0,"",SALE!F33)</f>
        <v/>
      </c>
      <c r="G29" s="2" t="str">
        <f>IF(SALE!G33=0,"",SALE!G33)</f>
        <v/>
      </c>
      <c r="H29" t="str">
        <f>IF(SALE!H33=0,"",SALE!H33)</f>
        <v/>
      </c>
      <c r="I29" t="str">
        <f>IF(SALE!I33=0,"",SALE!I33)</f>
        <v/>
      </c>
      <c r="J29" t="str">
        <f>IF(SALE!J33=0,"",SALE!J33)</f>
        <v/>
      </c>
    </row>
    <row r="30" spans="1:10">
      <c r="A30">
        <f>IF(SALE!A34=0,"",SALE!A34)</f>
        <v>29</v>
      </c>
      <c r="B30" t="str">
        <f>IF(SALE!B34=0,"",SALE!B34)</f>
        <v/>
      </c>
      <c r="C30" t="str">
        <f>IF(SALE!C34=0,"",SALE!C34)</f>
        <v/>
      </c>
      <c r="D30" t="str">
        <f>IF(SALE!D34=0,"",SALE!D34)</f>
        <v/>
      </c>
      <c r="E30" s="10" t="str">
        <f>IF(SALE!E34=0,"",SALE!E34)</f>
        <v/>
      </c>
      <c r="F30" s="10" t="str">
        <f>IF(SALE!F34=0,"",SALE!F34)</f>
        <v/>
      </c>
      <c r="G30" s="2" t="str">
        <f>IF(SALE!G34=0,"",SALE!G34)</f>
        <v/>
      </c>
      <c r="H30" t="str">
        <f>IF(SALE!H34=0,"",SALE!H34)</f>
        <v/>
      </c>
      <c r="I30" t="str">
        <f>IF(SALE!I34=0,"",SALE!I34)</f>
        <v/>
      </c>
      <c r="J30" t="str">
        <f>IF(SALE!J34=0,"",SALE!J34)</f>
        <v/>
      </c>
    </row>
    <row r="31" spans="1:10">
      <c r="A31">
        <f>IF(SALE!A35=0,"",SALE!A35)</f>
        <v>30</v>
      </c>
      <c r="B31" t="str">
        <f>IF(SALE!B35=0,"",SALE!B35)</f>
        <v/>
      </c>
      <c r="C31" t="str">
        <f>IF(SALE!C35=0,"",SALE!C35)</f>
        <v/>
      </c>
      <c r="D31" t="str">
        <f>IF(SALE!D35=0,"",SALE!D35)</f>
        <v/>
      </c>
      <c r="E31" s="10" t="str">
        <f>IF(SALE!E35=0,"",SALE!E35)</f>
        <v/>
      </c>
      <c r="F31" s="10" t="str">
        <f>IF(SALE!F35=0,"",SALE!F35)</f>
        <v/>
      </c>
      <c r="G31" s="2" t="str">
        <f>IF(SALE!G35=0,"",SALE!G35)</f>
        <v/>
      </c>
      <c r="H31" t="str">
        <f>IF(SALE!H35=0,"",SALE!H35)</f>
        <v/>
      </c>
      <c r="I31" t="str">
        <f>IF(SALE!I35=0,"",SALE!I35)</f>
        <v/>
      </c>
      <c r="J31" t="str">
        <f>IF(SALE!J35=0,"",SALE!J35)</f>
        <v/>
      </c>
    </row>
    <row r="32" spans="1:10">
      <c r="A32">
        <f>IF(SALE!A36=0,"",SALE!A36)</f>
        <v>31</v>
      </c>
      <c r="B32" t="str">
        <f>IF(SALE!B36=0,"",SALE!B36)</f>
        <v/>
      </c>
      <c r="C32" t="str">
        <f>IF(SALE!C36=0,"",SALE!C36)</f>
        <v/>
      </c>
      <c r="D32" t="str">
        <f>IF(SALE!D36=0,"",SALE!D36)</f>
        <v/>
      </c>
      <c r="E32" s="10" t="str">
        <f>IF(SALE!E36=0,"",SALE!E36)</f>
        <v/>
      </c>
      <c r="F32" s="10" t="str">
        <f>IF(SALE!F36=0,"",SALE!F36)</f>
        <v/>
      </c>
      <c r="G32" s="2" t="str">
        <f>IF(SALE!G36=0,"",SALE!G36)</f>
        <v/>
      </c>
      <c r="H32" t="str">
        <f>IF(SALE!H36=0,"",SALE!H36)</f>
        <v/>
      </c>
      <c r="I32" t="str">
        <f>IF(SALE!I36=0,"",SALE!I36)</f>
        <v/>
      </c>
      <c r="J32" t="str">
        <f>IF(SALE!J36=0,"",SALE!J36)</f>
        <v/>
      </c>
    </row>
    <row r="33" spans="1:10">
      <c r="A33">
        <f>IF(SALE!A37=0,"",SALE!A37)</f>
        <v>32</v>
      </c>
      <c r="B33" t="str">
        <f>IF(SALE!B37=0,"",SALE!B37)</f>
        <v/>
      </c>
      <c r="C33" t="str">
        <f>IF(SALE!C37=0,"",SALE!C37)</f>
        <v/>
      </c>
      <c r="D33" t="str">
        <f>IF(SALE!D37=0,"",SALE!D37)</f>
        <v/>
      </c>
      <c r="E33" s="10" t="str">
        <f>IF(SALE!E37=0,"",SALE!E37)</f>
        <v/>
      </c>
      <c r="F33" s="10" t="str">
        <f>IF(SALE!F37=0,"",SALE!F37)</f>
        <v/>
      </c>
      <c r="G33" s="2" t="str">
        <f>IF(SALE!G37=0,"",SALE!G37)</f>
        <v/>
      </c>
      <c r="H33" t="str">
        <f>IF(SALE!H37=0,"",SALE!H37)</f>
        <v/>
      </c>
      <c r="I33" t="str">
        <f>IF(SALE!I37=0,"",SALE!I37)</f>
        <v/>
      </c>
      <c r="J33" t="str">
        <f>IF(SALE!J37=0,"",SALE!J37)</f>
        <v/>
      </c>
    </row>
    <row r="34" spans="1:10">
      <c r="A34">
        <f>IF(SALE!A38=0,"",SALE!A38)</f>
        <v>33</v>
      </c>
      <c r="B34" t="str">
        <f>IF(SALE!B38=0,"",SALE!B38)</f>
        <v/>
      </c>
      <c r="C34" t="str">
        <f>IF(SALE!C38=0,"",SALE!C38)</f>
        <v/>
      </c>
      <c r="D34" t="str">
        <f>IF(SALE!D38=0,"",SALE!D38)</f>
        <v/>
      </c>
      <c r="E34" s="10" t="str">
        <f>IF(SALE!E38=0,"",SALE!E38)</f>
        <v/>
      </c>
      <c r="F34" s="10" t="str">
        <f>IF(SALE!F38=0,"",SALE!F38)</f>
        <v/>
      </c>
      <c r="G34" s="2" t="str">
        <f>IF(SALE!G38=0,"",SALE!G38)</f>
        <v/>
      </c>
      <c r="H34" t="str">
        <f>IF(SALE!H38=0,"",SALE!H38)</f>
        <v/>
      </c>
      <c r="I34" t="str">
        <f>IF(SALE!I38=0,"",SALE!I38)</f>
        <v/>
      </c>
      <c r="J34" t="str">
        <f>IF(SALE!J38=0,"",SALE!J38)</f>
        <v/>
      </c>
    </row>
    <row r="35" spans="1:10">
      <c r="A35">
        <f>IF(SALE!A39=0,"",SALE!A39)</f>
        <v>34</v>
      </c>
      <c r="B35" t="str">
        <f>IF(SALE!B39=0,"",SALE!B39)</f>
        <v/>
      </c>
      <c r="C35" t="str">
        <f>IF(SALE!C39=0,"",SALE!C39)</f>
        <v/>
      </c>
      <c r="D35" t="str">
        <f>IF(SALE!D39=0,"",SALE!D39)</f>
        <v/>
      </c>
      <c r="E35" s="10" t="str">
        <f>IF(SALE!E39=0,"",SALE!E39)</f>
        <v/>
      </c>
      <c r="F35" s="10" t="str">
        <f>IF(SALE!F39=0,"",SALE!F39)</f>
        <v/>
      </c>
      <c r="G35" s="2" t="str">
        <f>IF(SALE!G39=0,"",SALE!G39)</f>
        <v/>
      </c>
      <c r="H35" t="str">
        <f>IF(SALE!H39=0,"",SALE!H39)</f>
        <v/>
      </c>
      <c r="I35" t="str">
        <f>IF(SALE!I39=0,"",SALE!I39)</f>
        <v/>
      </c>
      <c r="J35" t="str">
        <f>IF(SALE!J39=0,"",SALE!J39)</f>
        <v/>
      </c>
    </row>
    <row r="36" spans="1:10">
      <c r="A36">
        <f>IF(SALE!A40=0,"",SALE!A40)</f>
        <v>35</v>
      </c>
      <c r="B36" t="str">
        <f>IF(SALE!B40=0,"",SALE!B40)</f>
        <v/>
      </c>
      <c r="C36" t="str">
        <f>IF(SALE!C40=0,"",SALE!C40)</f>
        <v/>
      </c>
      <c r="D36" t="str">
        <f>IF(SALE!D40=0,"",SALE!D40)</f>
        <v/>
      </c>
      <c r="E36" s="10" t="str">
        <f>IF(SALE!E40=0,"",SALE!E40)</f>
        <v/>
      </c>
      <c r="F36" s="10" t="str">
        <f>IF(SALE!F40=0,"",SALE!F40)</f>
        <v/>
      </c>
      <c r="G36" s="2" t="str">
        <f>IF(SALE!G40=0,"",SALE!G40)</f>
        <v/>
      </c>
      <c r="H36" t="str">
        <f>IF(SALE!H40=0,"",SALE!H40)</f>
        <v/>
      </c>
      <c r="I36" t="str">
        <f>IF(SALE!I40=0,"",SALE!I40)</f>
        <v/>
      </c>
      <c r="J36" t="str">
        <f>IF(SALE!J40=0,"",SALE!J40)</f>
        <v/>
      </c>
    </row>
    <row r="37" spans="1:10">
      <c r="A37">
        <f>IF(SALE!A41=0,"",SALE!A41)</f>
        <v>36</v>
      </c>
      <c r="B37" t="str">
        <f>IF(SALE!B41=0,"",SALE!B41)</f>
        <v/>
      </c>
      <c r="C37" t="str">
        <f>IF(SALE!C41=0,"",SALE!C41)</f>
        <v/>
      </c>
      <c r="D37" t="str">
        <f>IF(SALE!D41=0,"",SALE!D41)</f>
        <v/>
      </c>
      <c r="E37" s="10" t="str">
        <f>IF(SALE!E41=0,"",SALE!E41)</f>
        <v/>
      </c>
      <c r="F37" s="10" t="str">
        <f>IF(SALE!F41=0,"",SALE!F41)</f>
        <v/>
      </c>
      <c r="G37" s="2" t="str">
        <f>IF(SALE!G41=0,"",SALE!G41)</f>
        <v/>
      </c>
      <c r="H37" t="str">
        <f>IF(SALE!H41=0,"",SALE!H41)</f>
        <v/>
      </c>
      <c r="I37" t="str">
        <f>IF(SALE!I41=0,"",SALE!I41)</f>
        <v/>
      </c>
      <c r="J37" t="str">
        <f>IF(SALE!J41=0,"",SALE!J41)</f>
        <v/>
      </c>
    </row>
    <row r="38" spans="1:10">
      <c r="A38">
        <f>IF(SALE!A42=0,"",SALE!A42)</f>
        <v>37</v>
      </c>
      <c r="B38" t="str">
        <f>IF(SALE!B42=0,"",SALE!B42)</f>
        <v/>
      </c>
      <c r="C38" t="str">
        <f>IF(SALE!C42=0,"",SALE!C42)</f>
        <v/>
      </c>
      <c r="D38" t="str">
        <f>IF(SALE!D42=0,"",SALE!D42)</f>
        <v/>
      </c>
      <c r="E38" s="10" t="str">
        <f>IF(SALE!E42=0,"",SALE!E42)</f>
        <v/>
      </c>
      <c r="F38" s="10" t="str">
        <f>IF(SALE!F42=0,"",SALE!F42)</f>
        <v/>
      </c>
      <c r="G38" s="2" t="str">
        <f>IF(SALE!G42=0,"",SALE!G42)</f>
        <v/>
      </c>
      <c r="H38" t="str">
        <f>IF(SALE!H42=0,"",SALE!H42)</f>
        <v/>
      </c>
      <c r="I38" t="str">
        <f>IF(SALE!I42=0,"",SALE!I42)</f>
        <v/>
      </c>
      <c r="J38" t="str">
        <f>IF(SALE!J42=0,"",SALE!J42)</f>
        <v/>
      </c>
    </row>
    <row r="39" spans="1:10">
      <c r="A39">
        <f>IF(SALE!A43=0,"",SALE!A43)</f>
        <v>38</v>
      </c>
      <c r="B39" t="str">
        <f>IF(SALE!B43=0,"",SALE!B43)</f>
        <v/>
      </c>
      <c r="C39" t="str">
        <f>IF(SALE!C43=0,"",SALE!C43)</f>
        <v/>
      </c>
      <c r="D39" t="str">
        <f>IF(SALE!D43=0,"",SALE!D43)</f>
        <v/>
      </c>
      <c r="E39" s="10" t="str">
        <f>IF(SALE!E43=0,"",SALE!E43)</f>
        <v/>
      </c>
      <c r="F39" s="10" t="str">
        <f>IF(SALE!F43=0,"",SALE!F43)</f>
        <v/>
      </c>
      <c r="G39" s="2" t="str">
        <f>IF(SALE!G43=0,"",SALE!G43)</f>
        <v/>
      </c>
      <c r="H39" t="str">
        <f>IF(SALE!H43=0,"",SALE!H43)</f>
        <v/>
      </c>
      <c r="I39" t="str">
        <f>IF(SALE!I43=0,"",SALE!I43)</f>
        <v/>
      </c>
      <c r="J39" t="str">
        <f>IF(SALE!J43=0,"",SALE!J43)</f>
        <v/>
      </c>
    </row>
    <row r="40" spans="1:10">
      <c r="A40">
        <f>IF(SALE!A44=0,"",SALE!A44)</f>
        <v>39</v>
      </c>
      <c r="B40" t="str">
        <f>IF(SALE!B44=0,"",SALE!B44)</f>
        <v/>
      </c>
      <c r="C40" t="str">
        <f>IF(SALE!C44=0,"",SALE!C44)</f>
        <v/>
      </c>
      <c r="D40" t="str">
        <f>IF(SALE!D44=0,"",SALE!D44)</f>
        <v/>
      </c>
      <c r="E40" s="10" t="str">
        <f>IF(SALE!E44=0,"",SALE!E44)</f>
        <v/>
      </c>
      <c r="F40" s="10" t="str">
        <f>IF(SALE!F44=0,"",SALE!F44)</f>
        <v/>
      </c>
      <c r="G40" s="2" t="str">
        <f>IF(SALE!G44=0,"",SALE!G44)</f>
        <v/>
      </c>
      <c r="H40" t="str">
        <f>IF(SALE!H44=0,"",SALE!H44)</f>
        <v/>
      </c>
      <c r="I40" t="str">
        <f>IF(SALE!I44=0,"",SALE!I44)</f>
        <v/>
      </c>
      <c r="J40" t="str">
        <f>IF(SALE!J44=0,"",SALE!J44)</f>
        <v/>
      </c>
    </row>
    <row r="41" spans="1:10">
      <c r="A41">
        <f>IF(SALE!A45=0,"",SALE!A45)</f>
        <v>40</v>
      </c>
      <c r="B41" t="str">
        <f>IF(SALE!B45=0,"",SALE!B45)</f>
        <v/>
      </c>
      <c r="C41" t="str">
        <f>IF(SALE!C45=0,"",SALE!C45)</f>
        <v/>
      </c>
      <c r="D41" t="str">
        <f>IF(SALE!D45=0,"",SALE!D45)</f>
        <v/>
      </c>
      <c r="E41" s="10" t="str">
        <f>IF(SALE!E45=0,"",SALE!E45)</f>
        <v/>
      </c>
      <c r="F41" s="10" t="str">
        <f>IF(SALE!F45=0,"",SALE!F45)</f>
        <v/>
      </c>
      <c r="G41" s="2" t="str">
        <f>IF(SALE!G45=0,"",SALE!G45)</f>
        <v/>
      </c>
      <c r="H41" t="str">
        <f>IF(SALE!H45=0,"",SALE!H45)</f>
        <v/>
      </c>
      <c r="I41" t="str">
        <f>IF(SALE!I45=0,"",SALE!I45)</f>
        <v/>
      </c>
      <c r="J41" t="str">
        <f>IF(SALE!J45=0,"",SALE!J45)</f>
        <v/>
      </c>
    </row>
    <row r="42" spans="1:10">
      <c r="A42">
        <f>IF(SALE!A46=0,"",SALE!A46)</f>
        <v>41</v>
      </c>
      <c r="B42" t="str">
        <f>IF(SALE!B46=0,"",SALE!B46)</f>
        <v/>
      </c>
      <c r="C42" t="str">
        <f>IF(SALE!C46=0,"",SALE!C46)</f>
        <v/>
      </c>
      <c r="D42" t="str">
        <f>IF(SALE!D46=0,"",SALE!D46)</f>
        <v/>
      </c>
      <c r="E42" s="10" t="str">
        <f>IF(SALE!E46=0,"",SALE!E46)</f>
        <v/>
      </c>
      <c r="F42" s="10" t="str">
        <f>IF(SALE!F46=0,"",SALE!F46)</f>
        <v/>
      </c>
      <c r="G42" s="2" t="str">
        <f>IF(SALE!G46=0,"",SALE!G46)</f>
        <v/>
      </c>
      <c r="H42" t="str">
        <f>IF(SALE!H46=0,"",SALE!H46)</f>
        <v/>
      </c>
      <c r="I42" t="str">
        <f>IF(SALE!I46=0,"",SALE!I46)</f>
        <v/>
      </c>
      <c r="J42" t="str">
        <f>IF(SALE!J46=0,"",SALE!J46)</f>
        <v/>
      </c>
    </row>
    <row r="43" spans="1:10">
      <c r="A43">
        <f>IF(SALE!A47=0,"",SALE!A47)</f>
        <v>42</v>
      </c>
      <c r="B43" t="str">
        <f>IF(SALE!B47=0,"",SALE!B47)</f>
        <v/>
      </c>
      <c r="C43" t="str">
        <f>IF(SALE!C47=0,"",SALE!C47)</f>
        <v/>
      </c>
      <c r="D43" t="str">
        <f>IF(SALE!D47=0,"",SALE!D47)</f>
        <v/>
      </c>
      <c r="E43" s="10" t="str">
        <f>IF(SALE!E47=0,"",SALE!E47)</f>
        <v/>
      </c>
      <c r="F43" s="10" t="str">
        <f>IF(SALE!F47=0,"",SALE!F47)</f>
        <v/>
      </c>
      <c r="G43" s="2" t="str">
        <f>IF(SALE!G47=0,"",SALE!G47)</f>
        <v/>
      </c>
      <c r="H43" t="str">
        <f>IF(SALE!H47=0,"",SALE!H47)</f>
        <v/>
      </c>
      <c r="I43" t="str">
        <f>IF(SALE!I47=0,"",SALE!I47)</f>
        <v/>
      </c>
      <c r="J43" t="str">
        <f>IF(SALE!J47=0,"",SALE!J47)</f>
        <v/>
      </c>
    </row>
    <row r="44" spans="1:10">
      <c r="A44">
        <f>IF(SALE!A48=0,"",SALE!A48)</f>
        <v>43</v>
      </c>
      <c r="B44" t="str">
        <f>IF(SALE!B48=0,"",SALE!B48)</f>
        <v/>
      </c>
      <c r="C44" t="str">
        <f>IF(SALE!C48=0,"",SALE!C48)</f>
        <v/>
      </c>
      <c r="D44" t="str">
        <f>IF(SALE!D48=0,"",SALE!D48)</f>
        <v/>
      </c>
      <c r="E44" s="10" t="str">
        <f>IF(SALE!E48=0,"",SALE!E48)</f>
        <v/>
      </c>
      <c r="F44" s="10" t="str">
        <f>IF(SALE!F48=0,"",SALE!F48)</f>
        <v/>
      </c>
      <c r="G44" s="2" t="str">
        <f>IF(SALE!G48=0,"",SALE!G48)</f>
        <v/>
      </c>
      <c r="H44" t="str">
        <f>IF(SALE!H48=0,"",SALE!H48)</f>
        <v/>
      </c>
      <c r="I44" t="str">
        <f>IF(SALE!I48=0,"",SALE!I48)</f>
        <v/>
      </c>
      <c r="J44" t="str">
        <f>IF(SALE!J48=0,"",SALE!J48)</f>
        <v/>
      </c>
    </row>
    <row r="45" spans="1:10">
      <c r="A45">
        <f>IF(SALE!A49=0,"",SALE!A49)</f>
        <v>44</v>
      </c>
      <c r="B45" t="str">
        <f>IF(SALE!B49=0,"",SALE!B49)</f>
        <v/>
      </c>
      <c r="C45" t="str">
        <f>IF(SALE!C49=0,"",SALE!C49)</f>
        <v/>
      </c>
      <c r="D45" t="str">
        <f>IF(SALE!D49=0,"",SALE!D49)</f>
        <v/>
      </c>
      <c r="E45" s="10" t="str">
        <f>IF(SALE!E49=0,"",SALE!E49)</f>
        <v/>
      </c>
      <c r="F45" s="10" t="str">
        <f>IF(SALE!F49=0,"",SALE!F49)</f>
        <v/>
      </c>
      <c r="G45" s="2" t="str">
        <f>IF(SALE!G49=0,"",SALE!G49)</f>
        <v/>
      </c>
      <c r="H45" t="str">
        <f>IF(SALE!H49=0,"",SALE!H49)</f>
        <v/>
      </c>
      <c r="I45" t="str">
        <f>IF(SALE!I49=0,"",SALE!I49)</f>
        <v/>
      </c>
      <c r="J45" t="str">
        <f>IF(SALE!J49=0,"",SALE!J49)</f>
        <v/>
      </c>
    </row>
    <row r="46" spans="1:10">
      <c r="A46">
        <f>IF(SALE!A50=0,"",SALE!A50)</f>
        <v>45</v>
      </c>
      <c r="B46" t="str">
        <f>IF(SALE!B50=0,"",SALE!B50)</f>
        <v/>
      </c>
      <c r="C46" t="str">
        <f>IF(SALE!C50=0,"",SALE!C50)</f>
        <v/>
      </c>
      <c r="D46" t="str">
        <f>IF(SALE!D50=0,"",SALE!D50)</f>
        <v/>
      </c>
      <c r="E46" s="10" t="str">
        <f>IF(SALE!E50=0,"",SALE!E50)</f>
        <v/>
      </c>
      <c r="F46" s="10" t="str">
        <f>IF(SALE!F50=0,"",SALE!F50)</f>
        <v/>
      </c>
      <c r="G46" s="2" t="str">
        <f>IF(SALE!G50=0,"",SALE!G50)</f>
        <v/>
      </c>
      <c r="H46" t="str">
        <f>IF(SALE!H50=0,"",SALE!H50)</f>
        <v/>
      </c>
      <c r="I46" t="str">
        <f>IF(SALE!I50=0,"",SALE!I50)</f>
        <v/>
      </c>
      <c r="J46" t="str">
        <f>IF(SALE!J50=0,"",SALE!J50)</f>
        <v/>
      </c>
    </row>
    <row r="47" spans="1:10">
      <c r="A47">
        <f>IF(SALE!A51=0,"",SALE!A51)</f>
        <v>46</v>
      </c>
      <c r="B47" t="str">
        <f>IF(SALE!B51=0,"",SALE!B51)</f>
        <v/>
      </c>
      <c r="C47" t="str">
        <f>IF(SALE!C51=0,"",SALE!C51)</f>
        <v/>
      </c>
      <c r="D47" t="str">
        <f>IF(SALE!D51=0,"",SALE!D51)</f>
        <v/>
      </c>
      <c r="E47" s="10" t="str">
        <f>IF(SALE!E51=0,"",SALE!E51)</f>
        <v/>
      </c>
      <c r="F47" s="10" t="str">
        <f>IF(SALE!F51=0,"",SALE!F51)</f>
        <v/>
      </c>
      <c r="G47" s="2" t="str">
        <f>IF(SALE!G51=0,"",SALE!G51)</f>
        <v/>
      </c>
      <c r="H47" t="str">
        <f>IF(SALE!H51=0,"",SALE!H51)</f>
        <v/>
      </c>
      <c r="I47" t="str">
        <f>IF(SALE!I51=0,"",SALE!I51)</f>
        <v/>
      </c>
      <c r="J47" t="str">
        <f>IF(SALE!J51=0,"",SALE!J51)</f>
        <v/>
      </c>
    </row>
    <row r="48" spans="1:10">
      <c r="A48">
        <f>IF(SALE!A52=0,"",SALE!A52)</f>
        <v>47</v>
      </c>
      <c r="B48" t="str">
        <f>IF(SALE!B52=0,"",SALE!B52)</f>
        <v/>
      </c>
      <c r="C48" t="str">
        <f>IF(SALE!C52=0,"",SALE!C52)</f>
        <v/>
      </c>
      <c r="D48" t="str">
        <f>IF(SALE!D52=0,"",SALE!D52)</f>
        <v/>
      </c>
      <c r="E48" s="10" t="str">
        <f>IF(SALE!E52=0,"",SALE!E52)</f>
        <v/>
      </c>
      <c r="F48" s="10" t="str">
        <f>IF(SALE!F52=0,"",SALE!F52)</f>
        <v/>
      </c>
      <c r="G48" s="2" t="str">
        <f>IF(SALE!G52=0,"",SALE!G52)</f>
        <v/>
      </c>
      <c r="H48" t="str">
        <f>IF(SALE!H52=0,"",SALE!H52)</f>
        <v/>
      </c>
      <c r="I48" t="str">
        <f>IF(SALE!I52=0,"",SALE!I52)</f>
        <v/>
      </c>
      <c r="J48" t="str">
        <f>IF(SALE!J52=0,"",SALE!J52)</f>
        <v/>
      </c>
    </row>
    <row r="49" spans="1:10">
      <c r="A49">
        <f>IF(SALE!A53=0,"",SALE!A53)</f>
        <v>48</v>
      </c>
      <c r="B49" t="str">
        <f>IF(SALE!B53=0,"",SALE!B53)</f>
        <v/>
      </c>
      <c r="C49" t="str">
        <f>IF(SALE!C53=0,"",SALE!C53)</f>
        <v/>
      </c>
      <c r="D49" t="str">
        <f>IF(SALE!D53=0,"",SALE!D53)</f>
        <v/>
      </c>
      <c r="E49" s="10" t="str">
        <f>IF(SALE!E53=0,"",SALE!E53)</f>
        <v/>
      </c>
      <c r="F49" s="10" t="str">
        <f>IF(SALE!F53=0,"",SALE!F53)</f>
        <v/>
      </c>
      <c r="G49" s="2" t="str">
        <f>IF(SALE!G53=0,"",SALE!G53)</f>
        <v/>
      </c>
      <c r="H49" t="str">
        <f>IF(SALE!H53=0,"",SALE!H53)</f>
        <v/>
      </c>
      <c r="I49" t="str">
        <f>IF(SALE!I53=0,"",SALE!I53)</f>
        <v/>
      </c>
      <c r="J49" t="str">
        <f>IF(SALE!J53=0,"",SALE!J53)</f>
        <v/>
      </c>
    </row>
    <row r="50" spans="1:10">
      <c r="A50">
        <f>IF(SALE!A54=0,"",SALE!A54)</f>
        <v>49</v>
      </c>
      <c r="B50" t="str">
        <f>IF(SALE!B54=0,"",SALE!B54)</f>
        <v/>
      </c>
      <c r="C50" t="str">
        <f>IF(SALE!C54=0,"",SALE!C54)</f>
        <v/>
      </c>
      <c r="D50" t="str">
        <f>IF(SALE!D54=0,"",SALE!D54)</f>
        <v/>
      </c>
      <c r="E50" s="10" t="str">
        <f>IF(SALE!E54=0,"",SALE!E54)</f>
        <v/>
      </c>
      <c r="F50" s="10" t="str">
        <f>IF(SALE!F54=0,"",SALE!F54)</f>
        <v/>
      </c>
      <c r="G50" s="2" t="str">
        <f>IF(SALE!G54=0,"",SALE!G54)</f>
        <v/>
      </c>
      <c r="H50" t="str">
        <f>IF(SALE!H54=0,"",SALE!H54)</f>
        <v/>
      </c>
      <c r="I50" t="str">
        <f>IF(SALE!I54=0,"",SALE!I54)</f>
        <v/>
      </c>
      <c r="J50" t="str">
        <f>IF(SALE!J54=0,"",SALE!J54)</f>
        <v/>
      </c>
    </row>
    <row r="51" spans="1:10">
      <c r="A51">
        <f>IF(SALE!A55=0,"",SALE!A55)</f>
        <v>50</v>
      </c>
      <c r="B51" t="str">
        <f>IF(SALE!B55=0,"",SALE!B55)</f>
        <v/>
      </c>
      <c r="C51" t="str">
        <f>IF(SALE!C55=0,"",SALE!C55)</f>
        <v/>
      </c>
      <c r="D51" t="str">
        <f>IF(SALE!D55=0,"",SALE!D55)</f>
        <v/>
      </c>
      <c r="E51" s="10" t="str">
        <f>IF(SALE!E55=0,"",SALE!E55)</f>
        <v/>
      </c>
      <c r="F51" s="10" t="str">
        <f>IF(SALE!F55=0,"",SALE!F55)</f>
        <v/>
      </c>
      <c r="G51" s="2" t="str">
        <f>IF(SALE!G55=0,"",SALE!G55)</f>
        <v/>
      </c>
      <c r="H51" t="str">
        <f>IF(SALE!H55=0,"",SALE!H55)</f>
        <v/>
      </c>
      <c r="I51" t="str">
        <f>IF(SALE!I55=0,"",SALE!I55)</f>
        <v/>
      </c>
      <c r="J51" t="str">
        <f>IF(SALE!J55=0,"",SALE!J55)</f>
        <v/>
      </c>
    </row>
    <row r="52" spans="1:10">
      <c r="A52">
        <f>IF(SALE!A56=0,"",SALE!A56)</f>
        <v>51</v>
      </c>
      <c r="B52" t="str">
        <f>IF(SALE!B56=0,"",SALE!B56)</f>
        <v/>
      </c>
      <c r="C52" t="str">
        <f>IF(SALE!C56=0,"",SALE!C56)</f>
        <v/>
      </c>
      <c r="D52" t="str">
        <f>IF(SALE!D56=0,"",SALE!D56)</f>
        <v/>
      </c>
      <c r="E52" s="10" t="str">
        <f>IF(SALE!E56=0,"",SALE!E56)</f>
        <v/>
      </c>
      <c r="F52" s="10" t="str">
        <f>IF(SALE!F56=0,"",SALE!F56)</f>
        <v/>
      </c>
      <c r="G52" s="2" t="str">
        <f>IF(SALE!G56=0,"",SALE!G56)</f>
        <v/>
      </c>
      <c r="H52" t="str">
        <f>IF(SALE!H56=0,"",SALE!H56)</f>
        <v/>
      </c>
      <c r="I52" t="str">
        <f>IF(SALE!I56=0,"",SALE!I56)</f>
        <v/>
      </c>
      <c r="J52" t="str">
        <f>IF(SALE!J56=0,"",SALE!J56)</f>
        <v/>
      </c>
    </row>
    <row r="53" spans="1:10">
      <c r="A53">
        <f>IF(SALE!A57=0,"",SALE!A57)</f>
        <v>52</v>
      </c>
      <c r="B53" t="str">
        <f>IF(SALE!B57=0,"",SALE!B57)</f>
        <v/>
      </c>
      <c r="C53" t="str">
        <f>IF(SALE!C57=0,"",SALE!C57)</f>
        <v/>
      </c>
      <c r="D53" t="str">
        <f>IF(SALE!D57=0,"",SALE!D57)</f>
        <v/>
      </c>
      <c r="E53" s="10" t="str">
        <f>IF(SALE!E57=0,"",SALE!E57)</f>
        <v/>
      </c>
      <c r="F53" s="10" t="str">
        <f>IF(SALE!F57=0,"",SALE!F57)</f>
        <v/>
      </c>
      <c r="G53" s="2" t="str">
        <f>IF(SALE!G57=0,"",SALE!G57)</f>
        <v/>
      </c>
      <c r="H53" t="str">
        <f>IF(SALE!H57=0,"",SALE!H57)</f>
        <v/>
      </c>
      <c r="I53" t="str">
        <f>IF(SALE!I57=0,"",SALE!I57)</f>
        <v/>
      </c>
      <c r="J53" t="str">
        <f>IF(SALE!J57=0,"",SALE!J57)</f>
        <v/>
      </c>
    </row>
    <row r="54" spans="1:10">
      <c r="A54">
        <f>IF(SALE!A58=0,"",SALE!A58)</f>
        <v>53</v>
      </c>
      <c r="B54" t="str">
        <f>IF(SALE!B58=0,"",SALE!B58)</f>
        <v/>
      </c>
      <c r="C54" t="str">
        <f>IF(SALE!C58=0,"",SALE!C58)</f>
        <v/>
      </c>
      <c r="D54" t="str">
        <f>IF(SALE!D58=0,"",SALE!D58)</f>
        <v/>
      </c>
      <c r="E54" s="10" t="str">
        <f>IF(SALE!E58=0,"",SALE!E58)</f>
        <v/>
      </c>
      <c r="F54" s="10" t="str">
        <f>IF(SALE!F58=0,"",SALE!F58)</f>
        <v/>
      </c>
      <c r="G54" s="2" t="str">
        <f>IF(SALE!G58=0,"",SALE!G58)</f>
        <v/>
      </c>
      <c r="H54" t="str">
        <f>IF(SALE!H58=0,"",SALE!H58)</f>
        <v/>
      </c>
      <c r="I54" t="str">
        <f>IF(SALE!I58=0,"",SALE!I58)</f>
        <v/>
      </c>
      <c r="J54" t="str">
        <f>IF(SALE!J58=0,"",SALE!J58)</f>
        <v/>
      </c>
    </row>
    <row r="55" spans="1:10">
      <c r="A55">
        <f>IF(SALE!A59=0,"",SALE!A59)</f>
        <v>54</v>
      </c>
      <c r="B55" t="str">
        <f>IF(SALE!B59=0,"",SALE!B59)</f>
        <v/>
      </c>
      <c r="C55" t="str">
        <f>IF(SALE!C59=0,"",SALE!C59)</f>
        <v/>
      </c>
      <c r="D55" t="str">
        <f>IF(SALE!D59=0,"",SALE!D59)</f>
        <v/>
      </c>
      <c r="E55" s="10" t="str">
        <f>IF(SALE!E59=0,"",SALE!E59)</f>
        <v/>
      </c>
      <c r="F55" s="10" t="str">
        <f>IF(SALE!F59=0,"",SALE!F59)</f>
        <v/>
      </c>
      <c r="G55" s="2" t="str">
        <f>IF(SALE!G59=0,"",SALE!G59)</f>
        <v/>
      </c>
      <c r="H55" t="str">
        <f>IF(SALE!H59=0,"",SALE!H59)</f>
        <v/>
      </c>
      <c r="I55" t="str">
        <f>IF(SALE!I59=0,"",SALE!I59)</f>
        <v/>
      </c>
      <c r="J55" t="str">
        <f>IF(SALE!J59=0,"",SALE!J59)</f>
        <v/>
      </c>
    </row>
    <row r="56" spans="1:10">
      <c r="A56">
        <f>IF(SALE!A60=0,"",SALE!A60)</f>
        <v>55</v>
      </c>
      <c r="B56" t="str">
        <f>IF(SALE!B60=0,"",SALE!B60)</f>
        <v/>
      </c>
      <c r="C56" t="str">
        <f>IF(SALE!C60=0,"",SALE!C60)</f>
        <v/>
      </c>
      <c r="D56" t="str">
        <f>IF(SALE!D60=0,"",SALE!D60)</f>
        <v/>
      </c>
      <c r="E56" s="10" t="str">
        <f>IF(SALE!E60=0,"",SALE!E60)</f>
        <v/>
      </c>
      <c r="F56" s="10" t="str">
        <f>IF(SALE!F60=0,"",SALE!F60)</f>
        <v/>
      </c>
      <c r="G56" s="2" t="str">
        <f>IF(SALE!G60=0,"",SALE!G60)</f>
        <v/>
      </c>
      <c r="H56" t="str">
        <f>IF(SALE!H60=0,"",SALE!H60)</f>
        <v/>
      </c>
      <c r="I56" t="str">
        <f>IF(SALE!I60=0,"",SALE!I60)</f>
        <v/>
      </c>
      <c r="J56" t="str">
        <f>IF(SALE!J60=0,"",SALE!J60)</f>
        <v/>
      </c>
    </row>
    <row r="57" spans="1:10">
      <c r="A57">
        <f>IF(SALE!A61=0,"",SALE!A61)</f>
        <v>56</v>
      </c>
      <c r="B57" t="str">
        <f>IF(SALE!B61=0,"",SALE!B61)</f>
        <v/>
      </c>
      <c r="C57" t="str">
        <f>IF(SALE!C61=0,"",SALE!C61)</f>
        <v/>
      </c>
      <c r="D57" t="str">
        <f>IF(SALE!D61=0,"",SALE!D61)</f>
        <v/>
      </c>
      <c r="E57" s="10" t="str">
        <f>IF(SALE!E61=0,"",SALE!E61)</f>
        <v/>
      </c>
      <c r="F57" s="10" t="str">
        <f>IF(SALE!F61=0,"",SALE!F61)</f>
        <v/>
      </c>
      <c r="G57" s="2" t="str">
        <f>IF(SALE!G61=0,"",SALE!G61)</f>
        <v/>
      </c>
      <c r="H57" t="str">
        <f>IF(SALE!H61=0,"",SALE!H61)</f>
        <v/>
      </c>
      <c r="I57" t="str">
        <f>IF(SALE!I61=0,"",SALE!I61)</f>
        <v/>
      </c>
      <c r="J57" t="str">
        <f>IF(SALE!J61=0,"",SALE!J61)</f>
        <v/>
      </c>
    </row>
    <row r="58" spans="1:10">
      <c r="A58">
        <f>IF(SALE!A62=0,"",SALE!A62)</f>
        <v>57</v>
      </c>
      <c r="B58" t="str">
        <f>IF(SALE!B62=0,"",SALE!B62)</f>
        <v/>
      </c>
      <c r="C58" t="str">
        <f>IF(SALE!C62=0,"",SALE!C62)</f>
        <v/>
      </c>
      <c r="D58" t="str">
        <f>IF(SALE!D62=0,"",SALE!D62)</f>
        <v/>
      </c>
      <c r="E58" s="10" t="str">
        <f>IF(SALE!E62=0,"",SALE!E62)</f>
        <v/>
      </c>
      <c r="F58" s="10" t="str">
        <f>IF(SALE!F62=0,"",SALE!F62)</f>
        <v/>
      </c>
      <c r="G58" s="2" t="str">
        <f>IF(SALE!G62=0,"",SALE!G62)</f>
        <v/>
      </c>
      <c r="H58" t="str">
        <f>IF(SALE!H62=0,"",SALE!H62)</f>
        <v/>
      </c>
      <c r="I58" t="str">
        <f>IF(SALE!I62=0,"",SALE!I62)</f>
        <v/>
      </c>
      <c r="J58" t="str">
        <f>IF(SALE!J62=0,"",SALE!J62)</f>
        <v/>
      </c>
    </row>
    <row r="59" spans="1:10">
      <c r="A59">
        <f>IF(SALE!A63=0,"",SALE!A63)</f>
        <v>58</v>
      </c>
      <c r="B59" t="str">
        <f>IF(SALE!B63=0,"",SALE!B63)</f>
        <v/>
      </c>
      <c r="C59" t="str">
        <f>IF(SALE!C63=0,"",SALE!C63)</f>
        <v/>
      </c>
      <c r="D59" t="str">
        <f>IF(SALE!D63=0,"",SALE!D63)</f>
        <v/>
      </c>
      <c r="E59" s="10" t="str">
        <f>IF(SALE!E63=0,"",SALE!E63)</f>
        <v/>
      </c>
      <c r="F59" s="10" t="str">
        <f>IF(SALE!F63=0,"",SALE!F63)</f>
        <v/>
      </c>
      <c r="G59" s="2" t="str">
        <f>IF(SALE!G63=0,"",SALE!G63)</f>
        <v/>
      </c>
      <c r="H59" t="str">
        <f>IF(SALE!H63=0,"",SALE!H63)</f>
        <v/>
      </c>
      <c r="I59" t="str">
        <f>IF(SALE!I63=0,"",SALE!I63)</f>
        <v/>
      </c>
      <c r="J59" t="str">
        <f>IF(SALE!J63=0,"",SALE!J63)</f>
        <v/>
      </c>
    </row>
    <row r="60" spans="1:10">
      <c r="A60">
        <f>IF(SALE!A64=0,"",SALE!A64)</f>
        <v>59</v>
      </c>
      <c r="B60" t="str">
        <f>IF(SALE!B64=0,"",SALE!B64)</f>
        <v/>
      </c>
      <c r="C60" t="str">
        <f>IF(SALE!C64=0,"",SALE!C64)</f>
        <v/>
      </c>
      <c r="D60" t="str">
        <f>IF(SALE!D64=0,"",SALE!D64)</f>
        <v/>
      </c>
      <c r="E60" s="10" t="str">
        <f>IF(SALE!E64=0,"",SALE!E64)</f>
        <v/>
      </c>
      <c r="F60" s="10" t="str">
        <f>IF(SALE!F64=0,"",SALE!F64)</f>
        <v/>
      </c>
      <c r="G60" s="2" t="str">
        <f>IF(SALE!G64=0,"",SALE!G64)</f>
        <v/>
      </c>
      <c r="H60" t="str">
        <f>IF(SALE!H64=0,"",SALE!H64)</f>
        <v/>
      </c>
      <c r="I60" t="str">
        <f>IF(SALE!I64=0,"",SALE!I64)</f>
        <v/>
      </c>
      <c r="J60" t="str">
        <f>IF(SALE!J64=0,"",SALE!J64)</f>
        <v/>
      </c>
    </row>
    <row r="61" spans="1:10">
      <c r="A61">
        <f>IF(SALE!A65=0,"",SALE!A65)</f>
        <v>60</v>
      </c>
      <c r="B61" t="str">
        <f>IF(SALE!B65=0,"",SALE!B65)</f>
        <v/>
      </c>
      <c r="C61" t="str">
        <f>IF(SALE!C65=0,"",SALE!C65)</f>
        <v/>
      </c>
      <c r="D61" t="str">
        <f>IF(SALE!D65=0,"",SALE!D65)</f>
        <v/>
      </c>
      <c r="E61" s="10" t="str">
        <f>IF(SALE!E65=0,"",SALE!E65)</f>
        <v/>
      </c>
      <c r="F61" s="10" t="str">
        <f>IF(SALE!F65=0,"",SALE!F65)</f>
        <v/>
      </c>
      <c r="G61" s="2" t="str">
        <f>IF(SALE!G65=0,"",SALE!G65)</f>
        <v/>
      </c>
      <c r="H61" t="str">
        <f>IF(SALE!H65=0,"",SALE!H65)</f>
        <v/>
      </c>
      <c r="I61" t="str">
        <f>IF(SALE!I65=0,"",SALE!I65)</f>
        <v/>
      </c>
      <c r="J61" t="str">
        <f>IF(SALE!J65=0,"",SALE!J65)</f>
        <v/>
      </c>
    </row>
    <row r="62" spans="1:10">
      <c r="A62">
        <f>IF(SALE!A66=0,"",SALE!A66)</f>
        <v>61</v>
      </c>
      <c r="B62" t="str">
        <f>IF(SALE!B66=0,"",SALE!B66)</f>
        <v/>
      </c>
      <c r="C62" t="str">
        <f>IF(SALE!C66=0,"",SALE!C66)</f>
        <v/>
      </c>
      <c r="D62" t="str">
        <f>IF(SALE!D66=0,"",SALE!D66)</f>
        <v/>
      </c>
      <c r="E62" s="10" t="str">
        <f>IF(SALE!E66=0,"",SALE!E66)</f>
        <v/>
      </c>
      <c r="F62" s="10" t="str">
        <f>IF(SALE!F66=0,"",SALE!F66)</f>
        <v/>
      </c>
      <c r="G62" s="2" t="str">
        <f>IF(SALE!G66=0,"",SALE!G66)</f>
        <v/>
      </c>
      <c r="H62" t="str">
        <f>IF(SALE!H66=0,"",SALE!H66)</f>
        <v/>
      </c>
      <c r="I62" t="str">
        <f>IF(SALE!I66=0,"",SALE!I66)</f>
        <v/>
      </c>
      <c r="J62" t="str">
        <f>IF(SALE!J66=0,"",SALE!J66)</f>
        <v/>
      </c>
    </row>
    <row r="63" spans="1:10">
      <c r="A63">
        <f>IF(SALE!A67=0,"",SALE!A67)</f>
        <v>62</v>
      </c>
      <c r="B63" t="str">
        <f>IF(SALE!B67=0,"",SALE!B67)</f>
        <v/>
      </c>
      <c r="C63" t="str">
        <f>IF(SALE!C67=0,"",SALE!C67)</f>
        <v/>
      </c>
      <c r="D63" t="str">
        <f>IF(SALE!D67=0,"",SALE!D67)</f>
        <v/>
      </c>
      <c r="E63" s="10" t="str">
        <f>IF(SALE!E67=0,"",SALE!E67)</f>
        <v/>
      </c>
      <c r="F63" s="10" t="str">
        <f>IF(SALE!F67=0,"",SALE!F67)</f>
        <v/>
      </c>
      <c r="G63" s="2" t="str">
        <f>IF(SALE!G67=0,"",SALE!G67)</f>
        <v/>
      </c>
      <c r="H63" t="str">
        <f>IF(SALE!H67=0,"",SALE!H67)</f>
        <v/>
      </c>
      <c r="I63" t="str">
        <f>IF(SALE!I67=0,"",SALE!I67)</f>
        <v/>
      </c>
      <c r="J63" t="str">
        <f>IF(SALE!J67=0,"",SALE!J67)</f>
        <v/>
      </c>
    </row>
    <row r="64" spans="1:10">
      <c r="A64">
        <f>IF(SALE!A68=0,"",SALE!A68)</f>
        <v>63</v>
      </c>
      <c r="B64" t="str">
        <f>IF(SALE!B68=0,"",SALE!B68)</f>
        <v/>
      </c>
      <c r="C64" t="str">
        <f>IF(SALE!C68=0,"",SALE!C68)</f>
        <v/>
      </c>
      <c r="D64" t="str">
        <f>IF(SALE!D68=0,"",SALE!D68)</f>
        <v/>
      </c>
      <c r="E64" s="10" t="str">
        <f>IF(SALE!E68=0,"",SALE!E68)</f>
        <v/>
      </c>
      <c r="F64" s="10" t="str">
        <f>IF(SALE!F68=0,"",SALE!F68)</f>
        <v/>
      </c>
      <c r="G64" s="2" t="str">
        <f>IF(SALE!G68=0,"",SALE!G68)</f>
        <v/>
      </c>
      <c r="H64" t="str">
        <f>IF(SALE!H68=0,"",SALE!H68)</f>
        <v/>
      </c>
      <c r="I64" t="str">
        <f>IF(SALE!I68=0,"",SALE!I68)</f>
        <v/>
      </c>
      <c r="J64" t="str">
        <f>IF(SALE!J68=0,"",SALE!J68)</f>
        <v/>
      </c>
    </row>
    <row r="65" spans="1:10">
      <c r="A65">
        <f>IF(SALE!A69=0,"",SALE!A69)</f>
        <v>64</v>
      </c>
      <c r="B65" t="str">
        <f>IF(SALE!B69=0,"",SALE!B69)</f>
        <v/>
      </c>
      <c r="C65" t="str">
        <f>IF(SALE!C69=0,"",SALE!C69)</f>
        <v/>
      </c>
      <c r="D65" t="str">
        <f>IF(SALE!D69=0,"",SALE!D69)</f>
        <v/>
      </c>
      <c r="E65" s="10" t="str">
        <f>IF(SALE!E69=0,"",SALE!E69)</f>
        <v/>
      </c>
      <c r="F65" s="10" t="str">
        <f>IF(SALE!F69=0,"",SALE!F69)</f>
        <v/>
      </c>
      <c r="G65" s="2" t="str">
        <f>IF(SALE!G69=0,"",SALE!G69)</f>
        <v/>
      </c>
      <c r="H65" t="str">
        <f>IF(SALE!H69=0,"",SALE!H69)</f>
        <v/>
      </c>
      <c r="I65" t="str">
        <f>IF(SALE!I69=0,"",SALE!I69)</f>
        <v/>
      </c>
      <c r="J65" t="str">
        <f>IF(SALE!J69=0,"",SALE!J69)</f>
        <v/>
      </c>
    </row>
    <row r="66" spans="1:10">
      <c r="A66">
        <f>IF(SALE!A70=0,"",SALE!A70)</f>
        <v>65</v>
      </c>
      <c r="B66" t="str">
        <f>IF(SALE!B70=0,"",SALE!B70)</f>
        <v/>
      </c>
      <c r="C66" t="str">
        <f>IF(SALE!C70=0,"",SALE!C70)</f>
        <v/>
      </c>
      <c r="D66" t="str">
        <f>IF(SALE!D70=0,"",SALE!D70)</f>
        <v/>
      </c>
      <c r="E66" s="10" t="str">
        <f>IF(SALE!E70=0,"",SALE!E70)</f>
        <v/>
      </c>
      <c r="F66" s="10" t="str">
        <f>IF(SALE!F70=0,"",SALE!F70)</f>
        <v/>
      </c>
      <c r="G66" s="2" t="str">
        <f>IF(SALE!G70=0,"",SALE!G70)</f>
        <v/>
      </c>
      <c r="H66" t="str">
        <f>IF(SALE!H70=0,"",SALE!H70)</f>
        <v/>
      </c>
      <c r="I66" t="str">
        <f>IF(SALE!I70=0,"",SALE!I70)</f>
        <v/>
      </c>
      <c r="J66" t="str">
        <f>IF(SALE!J70=0,"",SALE!J70)</f>
        <v/>
      </c>
    </row>
    <row r="67" spans="1:10">
      <c r="A67">
        <f>IF(SALE!A71=0,"",SALE!A71)</f>
        <v>66</v>
      </c>
      <c r="B67" t="str">
        <f>IF(SALE!B71=0,"",SALE!B71)</f>
        <v/>
      </c>
      <c r="C67" t="str">
        <f>IF(SALE!C71=0,"",SALE!C71)</f>
        <v/>
      </c>
      <c r="D67" t="str">
        <f>IF(SALE!D71=0,"",SALE!D71)</f>
        <v/>
      </c>
      <c r="E67" s="10" t="str">
        <f>IF(SALE!E71=0,"",SALE!E71)</f>
        <v/>
      </c>
      <c r="F67" s="10" t="str">
        <f>IF(SALE!F71=0,"",SALE!F71)</f>
        <v/>
      </c>
      <c r="G67" s="2" t="str">
        <f>IF(SALE!G71=0,"",SALE!G71)</f>
        <v/>
      </c>
      <c r="H67" t="str">
        <f>IF(SALE!H71=0,"",SALE!H71)</f>
        <v/>
      </c>
      <c r="I67" t="str">
        <f>IF(SALE!I71=0,"",SALE!I71)</f>
        <v/>
      </c>
      <c r="J67" t="str">
        <f>IF(SALE!J71=0,"",SALE!J71)</f>
        <v/>
      </c>
    </row>
    <row r="68" spans="1:10">
      <c r="A68">
        <f>IF(SALE!A72=0,"",SALE!A72)</f>
        <v>67</v>
      </c>
      <c r="B68" t="str">
        <f>IF(SALE!B72=0,"",SALE!B72)</f>
        <v/>
      </c>
      <c r="C68" t="str">
        <f>IF(SALE!C72=0,"",SALE!C72)</f>
        <v/>
      </c>
      <c r="D68" t="str">
        <f>IF(SALE!D72=0,"",SALE!D72)</f>
        <v/>
      </c>
      <c r="E68" s="10" t="str">
        <f>IF(SALE!E72=0,"",SALE!E72)</f>
        <v/>
      </c>
      <c r="F68" s="10" t="str">
        <f>IF(SALE!F72=0,"",SALE!F72)</f>
        <v/>
      </c>
      <c r="G68" s="2" t="str">
        <f>IF(SALE!G72=0,"",SALE!G72)</f>
        <v/>
      </c>
      <c r="H68" t="str">
        <f>IF(SALE!H72=0,"",SALE!H72)</f>
        <v/>
      </c>
      <c r="I68" t="str">
        <f>IF(SALE!I72=0,"",SALE!I72)</f>
        <v/>
      </c>
      <c r="J68" t="str">
        <f>IF(SALE!J72=0,"",SALE!J72)</f>
        <v/>
      </c>
    </row>
    <row r="69" spans="1:10">
      <c r="A69">
        <f>IF(SALE!A73=0,"",SALE!A73)</f>
        <v>68</v>
      </c>
      <c r="B69" t="str">
        <f>IF(SALE!B73=0,"",SALE!B73)</f>
        <v/>
      </c>
      <c r="C69" t="str">
        <f>IF(SALE!C73=0,"",SALE!C73)</f>
        <v/>
      </c>
      <c r="D69" t="str">
        <f>IF(SALE!D73=0,"",SALE!D73)</f>
        <v/>
      </c>
      <c r="E69" s="10" t="str">
        <f>IF(SALE!E73=0,"",SALE!E73)</f>
        <v/>
      </c>
      <c r="F69" s="10" t="str">
        <f>IF(SALE!F73=0,"",SALE!F73)</f>
        <v/>
      </c>
      <c r="G69" s="2" t="str">
        <f>IF(SALE!G73=0,"",SALE!G73)</f>
        <v/>
      </c>
      <c r="H69" t="str">
        <f>IF(SALE!H73=0,"",SALE!H73)</f>
        <v/>
      </c>
      <c r="I69" t="str">
        <f>IF(SALE!I73=0,"",SALE!I73)</f>
        <v/>
      </c>
      <c r="J69" t="str">
        <f>IF(SALE!J73=0,"",SALE!J73)</f>
        <v/>
      </c>
    </row>
    <row r="70" spans="1:10">
      <c r="A70">
        <f>IF(SALE!A74=0,"",SALE!A74)</f>
        <v>69</v>
      </c>
      <c r="B70" t="str">
        <f>IF(SALE!B74=0,"",SALE!B74)</f>
        <v/>
      </c>
      <c r="C70" t="str">
        <f>IF(SALE!C74=0,"",SALE!C74)</f>
        <v/>
      </c>
      <c r="D70" t="str">
        <f>IF(SALE!D74=0,"",SALE!D74)</f>
        <v/>
      </c>
      <c r="E70" s="10" t="str">
        <f>IF(SALE!E74=0,"",SALE!E74)</f>
        <v/>
      </c>
      <c r="F70" s="10" t="str">
        <f>IF(SALE!F74=0,"",SALE!F74)</f>
        <v/>
      </c>
      <c r="G70" s="2" t="str">
        <f>IF(SALE!G74=0,"",SALE!G74)</f>
        <v/>
      </c>
      <c r="H70" t="str">
        <f>IF(SALE!H74=0,"",SALE!H74)</f>
        <v/>
      </c>
      <c r="I70" t="str">
        <f>IF(SALE!I74=0,"",SALE!I74)</f>
        <v/>
      </c>
      <c r="J70" t="str">
        <f>IF(SALE!J74=0,"",SALE!J74)</f>
        <v/>
      </c>
    </row>
    <row r="71" spans="1:10">
      <c r="A71">
        <f>IF(SALE!A75=0,"",SALE!A75)</f>
        <v>70</v>
      </c>
      <c r="B71" t="str">
        <f>IF(SALE!B75=0,"",SALE!B75)</f>
        <v/>
      </c>
      <c r="C71" t="str">
        <f>IF(SALE!C75=0,"",SALE!C75)</f>
        <v/>
      </c>
      <c r="D71" t="str">
        <f>IF(SALE!D75=0,"",SALE!D75)</f>
        <v/>
      </c>
      <c r="E71" s="10" t="str">
        <f>IF(SALE!E75=0,"",SALE!E75)</f>
        <v/>
      </c>
      <c r="F71" s="10" t="str">
        <f>IF(SALE!F75=0,"",SALE!F75)</f>
        <v/>
      </c>
      <c r="G71" s="2" t="str">
        <f>IF(SALE!G75=0,"",SALE!G75)</f>
        <v/>
      </c>
      <c r="H71" t="str">
        <f>IF(SALE!H75=0,"",SALE!H75)</f>
        <v/>
      </c>
      <c r="I71" t="str">
        <f>IF(SALE!I75=0,"",SALE!I75)</f>
        <v/>
      </c>
      <c r="J71" t="str">
        <f>IF(SALE!J75=0,"",SALE!J75)</f>
        <v/>
      </c>
    </row>
    <row r="72" spans="1:10">
      <c r="A72">
        <f>IF(SALE!A76=0,"",SALE!A76)</f>
        <v>71</v>
      </c>
      <c r="B72" t="str">
        <f>IF(SALE!B76=0,"",SALE!B76)</f>
        <v/>
      </c>
      <c r="C72" t="str">
        <f>IF(SALE!C76=0,"",SALE!C76)</f>
        <v/>
      </c>
      <c r="D72" t="str">
        <f>IF(SALE!D76=0,"",SALE!D76)</f>
        <v/>
      </c>
      <c r="E72" s="10" t="str">
        <f>IF(SALE!E76=0,"",SALE!E76)</f>
        <v/>
      </c>
      <c r="F72" s="10" t="str">
        <f>IF(SALE!F76=0,"",SALE!F76)</f>
        <v/>
      </c>
      <c r="G72" s="2" t="str">
        <f>IF(SALE!G76=0,"",SALE!G76)</f>
        <v/>
      </c>
      <c r="H72" t="str">
        <f>IF(SALE!H76=0,"",SALE!H76)</f>
        <v/>
      </c>
      <c r="I72" t="str">
        <f>IF(SALE!I76=0,"",SALE!I76)</f>
        <v/>
      </c>
      <c r="J72" t="str">
        <f>IF(SALE!J76=0,"",SALE!J76)</f>
        <v/>
      </c>
    </row>
    <row r="73" spans="1:10">
      <c r="A73">
        <f>IF(SALE!A77=0,"",SALE!A77)</f>
        <v>72</v>
      </c>
      <c r="B73" t="str">
        <f>IF(SALE!B77=0,"",SALE!B77)</f>
        <v/>
      </c>
      <c r="C73" t="str">
        <f>IF(SALE!C77=0,"",SALE!C77)</f>
        <v/>
      </c>
      <c r="D73" t="str">
        <f>IF(SALE!D77=0,"",SALE!D77)</f>
        <v/>
      </c>
      <c r="E73" s="10" t="str">
        <f>IF(SALE!E77=0,"",SALE!E77)</f>
        <v/>
      </c>
      <c r="F73" s="10" t="str">
        <f>IF(SALE!F77=0,"",SALE!F77)</f>
        <v/>
      </c>
      <c r="G73" s="2" t="str">
        <f>IF(SALE!G77=0,"",SALE!G77)</f>
        <v/>
      </c>
      <c r="H73" t="str">
        <f>IF(SALE!H77=0,"",SALE!H77)</f>
        <v/>
      </c>
      <c r="I73" t="str">
        <f>IF(SALE!I77=0,"",SALE!I77)</f>
        <v/>
      </c>
      <c r="J73" t="str">
        <f>IF(SALE!J77=0,"",SALE!J77)</f>
        <v/>
      </c>
    </row>
    <row r="74" spans="1:10">
      <c r="A74">
        <f>IF(SALE!A78=0,"",SALE!A78)</f>
        <v>73</v>
      </c>
      <c r="B74" t="str">
        <f>IF(SALE!B78=0,"",SALE!B78)</f>
        <v/>
      </c>
      <c r="C74" t="str">
        <f>IF(SALE!C78=0,"",SALE!C78)</f>
        <v/>
      </c>
      <c r="D74" t="str">
        <f>IF(SALE!D78=0,"",SALE!D78)</f>
        <v/>
      </c>
      <c r="E74" s="10" t="str">
        <f>IF(SALE!E78=0,"",SALE!E78)</f>
        <v/>
      </c>
      <c r="F74" s="10" t="str">
        <f>IF(SALE!F78=0,"",SALE!F78)</f>
        <v/>
      </c>
      <c r="G74" s="2" t="str">
        <f>IF(SALE!G78=0,"",SALE!G78)</f>
        <v/>
      </c>
      <c r="H74" t="str">
        <f>IF(SALE!H78=0,"",SALE!H78)</f>
        <v/>
      </c>
      <c r="I74" t="str">
        <f>IF(SALE!I78=0,"",SALE!I78)</f>
        <v/>
      </c>
      <c r="J74" t="str">
        <f>IF(SALE!J78=0,"",SALE!J78)</f>
        <v/>
      </c>
    </row>
    <row r="75" spans="1:10">
      <c r="A75">
        <f>IF(SALE!A79=0,"",SALE!A79)</f>
        <v>74</v>
      </c>
      <c r="B75" t="str">
        <f>IF(SALE!B79=0,"",SALE!B79)</f>
        <v/>
      </c>
      <c r="C75" t="str">
        <f>IF(SALE!C79=0,"",SALE!C79)</f>
        <v/>
      </c>
      <c r="D75" t="str">
        <f>IF(SALE!D79=0,"",SALE!D79)</f>
        <v/>
      </c>
      <c r="E75" s="10" t="str">
        <f>IF(SALE!E79=0,"",SALE!E79)</f>
        <v/>
      </c>
      <c r="F75" s="10" t="str">
        <f>IF(SALE!F79=0,"",SALE!F79)</f>
        <v/>
      </c>
      <c r="G75" s="2" t="str">
        <f>IF(SALE!G79=0,"",SALE!G79)</f>
        <v/>
      </c>
      <c r="H75" t="str">
        <f>IF(SALE!H79=0,"",SALE!H79)</f>
        <v/>
      </c>
      <c r="I75" t="str">
        <f>IF(SALE!I79=0,"",SALE!I79)</f>
        <v/>
      </c>
      <c r="J75" t="str">
        <f>IF(SALE!J79=0,"",SALE!J79)</f>
        <v/>
      </c>
    </row>
    <row r="76" spans="1:10">
      <c r="A76">
        <f>IF(SALE!A80=0,"",SALE!A80)</f>
        <v>75</v>
      </c>
      <c r="B76" t="str">
        <f>IF(SALE!B80=0,"",SALE!B80)</f>
        <v/>
      </c>
      <c r="C76" t="str">
        <f>IF(SALE!C80=0,"",SALE!C80)</f>
        <v/>
      </c>
      <c r="D76" t="str">
        <f>IF(SALE!D80=0,"",SALE!D80)</f>
        <v/>
      </c>
      <c r="E76" s="10" t="str">
        <f>IF(SALE!E80=0,"",SALE!E80)</f>
        <v/>
      </c>
      <c r="F76" s="10" t="str">
        <f>IF(SALE!F80=0,"",SALE!F80)</f>
        <v/>
      </c>
      <c r="G76" s="2" t="str">
        <f>IF(SALE!G80=0,"",SALE!G80)</f>
        <v/>
      </c>
      <c r="H76" t="str">
        <f>IF(SALE!H80=0,"",SALE!H80)</f>
        <v/>
      </c>
      <c r="I76" t="str">
        <f>IF(SALE!I80=0,"",SALE!I80)</f>
        <v/>
      </c>
      <c r="J76" t="str">
        <f>IF(SALE!J80=0,"",SALE!J80)</f>
        <v/>
      </c>
    </row>
    <row r="77" spans="1:10">
      <c r="A77">
        <f>IF(SALE!A81=0,"",SALE!A81)</f>
        <v>76</v>
      </c>
      <c r="B77" t="str">
        <f>IF(SALE!B81=0,"",SALE!B81)</f>
        <v/>
      </c>
      <c r="C77" t="str">
        <f>IF(SALE!C81=0,"",SALE!C81)</f>
        <v/>
      </c>
      <c r="D77" t="str">
        <f>IF(SALE!D81=0,"",SALE!D81)</f>
        <v/>
      </c>
      <c r="E77" s="10" t="str">
        <f>IF(SALE!E81=0,"",SALE!E81)</f>
        <v/>
      </c>
      <c r="F77" s="10" t="str">
        <f>IF(SALE!F81=0,"",SALE!F81)</f>
        <v/>
      </c>
      <c r="G77" s="2" t="str">
        <f>IF(SALE!G81=0,"",SALE!G81)</f>
        <v/>
      </c>
      <c r="H77" t="str">
        <f>IF(SALE!H81=0,"",SALE!H81)</f>
        <v/>
      </c>
      <c r="I77" t="str">
        <f>IF(SALE!I81=0,"",SALE!I81)</f>
        <v/>
      </c>
      <c r="J77" t="str">
        <f>IF(SALE!J81=0,"",SALE!J81)</f>
        <v/>
      </c>
    </row>
    <row r="78" spans="1:10">
      <c r="A78">
        <f>IF(SALE!A82=0,"",SALE!A82)</f>
        <v>77</v>
      </c>
      <c r="B78" t="str">
        <f>IF(SALE!B82=0,"",SALE!B82)</f>
        <v/>
      </c>
      <c r="C78" t="str">
        <f>IF(SALE!C82=0,"",SALE!C82)</f>
        <v/>
      </c>
      <c r="D78" t="str">
        <f>IF(SALE!D82=0,"",SALE!D82)</f>
        <v/>
      </c>
      <c r="E78" s="10" t="str">
        <f>IF(SALE!E82=0,"",SALE!E82)</f>
        <v/>
      </c>
      <c r="F78" s="10" t="str">
        <f>IF(SALE!F82=0,"",SALE!F82)</f>
        <v/>
      </c>
      <c r="G78" s="2" t="str">
        <f>IF(SALE!G82=0,"",SALE!G82)</f>
        <v/>
      </c>
      <c r="H78" t="str">
        <f>IF(SALE!H82=0,"",SALE!H82)</f>
        <v/>
      </c>
      <c r="I78" t="str">
        <f>IF(SALE!I82=0,"",SALE!I82)</f>
        <v/>
      </c>
      <c r="J78" t="str">
        <f>IF(SALE!J82=0,"",SALE!J82)</f>
        <v/>
      </c>
    </row>
    <row r="79" spans="1:10">
      <c r="A79">
        <f>IF(SALE!A83=0,"",SALE!A83)</f>
        <v>78</v>
      </c>
      <c r="B79" t="str">
        <f>IF(SALE!B83=0,"",SALE!B83)</f>
        <v/>
      </c>
      <c r="C79" t="str">
        <f>IF(SALE!C83=0,"",SALE!C83)</f>
        <v/>
      </c>
      <c r="D79" t="str">
        <f>IF(SALE!D83=0,"",SALE!D83)</f>
        <v/>
      </c>
      <c r="E79" s="10" t="str">
        <f>IF(SALE!E83=0,"",SALE!E83)</f>
        <v/>
      </c>
      <c r="F79" s="10" t="str">
        <f>IF(SALE!F83=0,"",SALE!F83)</f>
        <v/>
      </c>
      <c r="G79" s="2" t="str">
        <f>IF(SALE!G83=0,"",SALE!G83)</f>
        <v/>
      </c>
      <c r="H79" t="str">
        <f>IF(SALE!H83=0,"",SALE!H83)</f>
        <v/>
      </c>
      <c r="I79" t="str">
        <f>IF(SALE!I83=0,"",SALE!I83)</f>
        <v/>
      </c>
      <c r="J79" t="str">
        <f>IF(SALE!J83=0,"",SALE!J83)</f>
        <v/>
      </c>
    </row>
    <row r="80" spans="1:10">
      <c r="A80">
        <f>IF(SALE!A84=0,"",SALE!A84)</f>
        <v>79</v>
      </c>
      <c r="B80" t="str">
        <f>IF(SALE!B84=0,"",SALE!B84)</f>
        <v/>
      </c>
      <c r="C80" t="str">
        <f>IF(SALE!C84=0,"",SALE!C84)</f>
        <v/>
      </c>
      <c r="D80" t="str">
        <f>IF(SALE!D84=0,"",SALE!D84)</f>
        <v/>
      </c>
      <c r="E80" s="10" t="str">
        <f>IF(SALE!E84=0,"",SALE!E84)</f>
        <v/>
      </c>
      <c r="F80" s="10" t="str">
        <f>IF(SALE!F84=0,"",SALE!F84)</f>
        <v/>
      </c>
      <c r="G80" s="2" t="str">
        <f>IF(SALE!G84=0,"",SALE!G84)</f>
        <v/>
      </c>
      <c r="H80" t="str">
        <f>IF(SALE!H84=0,"",SALE!H84)</f>
        <v/>
      </c>
      <c r="I80" t="str">
        <f>IF(SALE!I84=0,"",SALE!I84)</f>
        <v/>
      </c>
      <c r="J80" t="str">
        <f>IF(SALE!J84=0,"",SALE!J84)</f>
        <v/>
      </c>
    </row>
    <row r="81" spans="1:10">
      <c r="A81">
        <f>IF(SALE!A85=0,"",SALE!A85)</f>
        <v>80</v>
      </c>
      <c r="B81" t="str">
        <f>IF(SALE!B85=0,"",SALE!B85)</f>
        <v/>
      </c>
      <c r="C81" t="str">
        <f>IF(SALE!C85=0,"",SALE!C85)</f>
        <v/>
      </c>
      <c r="D81" t="str">
        <f>IF(SALE!D85=0,"",SALE!D85)</f>
        <v/>
      </c>
      <c r="E81" s="10" t="str">
        <f>IF(SALE!E85=0,"",SALE!E85)</f>
        <v/>
      </c>
      <c r="F81" s="10" t="str">
        <f>IF(SALE!F85=0,"",SALE!F85)</f>
        <v/>
      </c>
      <c r="G81" s="2" t="str">
        <f>IF(SALE!G85=0,"",SALE!G85)</f>
        <v/>
      </c>
      <c r="H81" t="str">
        <f>IF(SALE!H85=0,"",SALE!H85)</f>
        <v/>
      </c>
      <c r="I81" t="str">
        <f>IF(SALE!I85=0,"",SALE!I85)</f>
        <v/>
      </c>
      <c r="J81" t="str">
        <f>IF(SALE!J85=0,"",SALE!J85)</f>
        <v/>
      </c>
    </row>
    <row r="82" spans="1:10">
      <c r="A82">
        <f>IF(SALE!A86=0,"",SALE!A86)</f>
        <v>81</v>
      </c>
      <c r="B82" t="str">
        <f>IF(SALE!B86=0,"",SALE!B86)</f>
        <v/>
      </c>
      <c r="C82" t="str">
        <f>IF(SALE!C86=0,"",SALE!C86)</f>
        <v/>
      </c>
      <c r="D82" t="str">
        <f>IF(SALE!D86=0,"",SALE!D86)</f>
        <v/>
      </c>
      <c r="E82" s="10" t="str">
        <f>IF(SALE!E86=0,"",SALE!E86)</f>
        <v/>
      </c>
      <c r="F82" s="10" t="str">
        <f>IF(SALE!F86=0,"",SALE!F86)</f>
        <v/>
      </c>
      <c r="G82" s="2" t="str">
        <f>IF(SALE!G86=0,"",SALE!G86)</f>
        <v/>
      </c>
      <c r="H82" t="str">
        <f>IF(SALE!H86=0,"",SALE!H86)</f>
        <v/>
      </c>
      <c r="I82" t="str">
        <f>IF(SALE!I86=0,"",SALE!I86)</f>
        <v/>
      </c>
      <c r="J82" t="str">
        <f>IF(SALE!J86=0,"",SALE!J86)</f>
        <v/>
      </c>
    </row>
    <row r="83" spans="1:10">
      <c r="A83">
        <f>IF(SALE!A87=0,"",SALE!A87)</f>
        <v>82</v>
      </c>
      <c r="B83" t="str">
        <f>IF(SALE!B87=0,"",SALE!B87)</f>
        <v/>
      </c>
      <c r="C83" t="str">
        <f>IF(SALE!C87=0,"",SALE!C87)</f>
        <v/>
      </c>
      <c r="D83" t="str">
        <f>IF(SALE!D87=0,"",SALE!D87)</f>
        <v/>
      </c>
      <c r="E83" s="10" t="str">
        <f>IF(SALE!E87=0,"",SALE!E87)</f>
        <v/>
      </c>
      <c r="F83" s="10" t="str">
        <f>IF(SALE!F87=0,"",SALE!F87)</f>
        <v/>
      </c>
      <c r="G83" s="2" t="str">
        <f>IF(SALE!G87=0,"",SALE!G87)</f>
        <v/>
      </c>
      <c r="H83" t="str">
        <f>IF(SALE!H87=0,"",SALE!H87)</f>
        <v/>
      </c>
      <c r="I83" t="str">
        <f>IF(SALE!I87=0,"",SALE!I87)</f>
        <v/>
      </c>
      <c r="J83" t="str">
        <f>IF(SALE!J87=0,"",SALE!J87)</f>
        <v/>
      </c>
    </row>
    <row r="84" spans="1:10">
      <c r="A84">
        <f>IF(SALE!A88=0,"",SALE!A88)</f>
        <v>83</v>
      </c>
      <c r="B84" t="str">
        <f>IF(SALE!B88=0,"",SALE!B88)</f>
        <v/>
      </c>
      <c r="C84" t="str">
        <f>IF(SALE!C88=0,"",SALE!C88)</f>
        <v/>
      </c>
      <c r="D84" t="str">
        <f>IF(SALE!D88=0,"",SALE!D88)</f>
        <v/>
      </c>
      <c r="E84" s="10" t="str">
        <f>IF(SALE!E88=0,"",SALE!E88)</f>
        <v/>
      </c>
      <c r="F84" s="10" t="str">
        <f>IF(SALE!F88=0,"",SALE!F88)</f>
        <v/>
      </c>
      <c r="G84" s="2" t="str">
        <f>IF(SALE!G88=0,"",SALE!G88)</f>
        <v/>
      </c>
      <c r="H84" t="str">
        <f>IF(SALE!H88=0,"",SALE!H88)</f>
        <v/>
      </c>
      <c r="I84" t="str">
        <f>IF(SALE!I88=0,"",SALE!I88)</f>
        <v/>
      </c>
      <c r="J84" t="str">
        <f>IF(SALE!J88=0,"",SALE!J88)</f>
        <v/>
      </c>
    </row>
    <row r="85" spans="1:10">
      <c r="A85">
        <f>IF(SALE!A89=0,"",SALE!A89)</f>
        <v>84</v>
      </c>
      <c r="B85" t="str">
        <f>IF(SALE!B89=0,"",SALE!B89)</f>
        <v/>
      </c>
      <c r="C85" t="str">
        <f>IF(SALE!C89=0,"",SALE!C89)</f>
        <v/>
      </c>
      <c r="D85" t="str">
        <f>IF(SALE!D89=0,"",SALE!D89)</f>
        <v/>
      </c>
      <c r="E85" s="10" t="str">
        <f>IF(SALE!E89=0,"",SALE!E89)</f>
        <v/>
      </c>
      <c r="F85" s="10" t="str">
        <f>IF(SALE!F89=0,"",SALE!F89)</f>
        <v/>
      </c>
      <c r="G85" s="2" t="str">
        <f>IF(SALE!G89=0,"",SALE!G89)</f>
        <v/>
      </c>
      <c r="H85" t="str">
        <f>IF(SALE!H89=0,"",SALE!H89)</f>
        <v/>
      </c>
      <c r="I85" t="str">
        <f>IF(SALE!I89=0,"",SALE!I89)</f>
        <v/>
      </c>
      <c r="J85" t="str">
        <f>IF(SALE!J89=0,"",SALE!J89)</f>
        <v/>
      </c>
    </row>
    <row r="86" spans="1:10">
      <c r="A86">
        <f>IF(SALE!A90=0,"",SALE!A90)</f>
        <v>85</v>
      </c>
      <c r="B86" t="str">
        <f>IF(SALE!B90=0,"",SALE!B90)</f>
        <v/>
      </c>
      <c r="C86" t="str">
        <f>IF(SALE!C90=0,"",SALE!C90)</f>
        <v/>
      </c>
      <c r="D86" t="str">
        <f>IF(SALE!D90=0,"",SALE!D90)</f>
        <v/>
      </c>
      <c r="E86" s="10" t="str">
        <f>IF(SALE!E90=0,"",SALE!E90)</f>
        <v/>
      </c>
      <c r="F86" s="10" t="str">
        <f>IF(SALE!F90=0,"",SALE!F90)</f>
        <v/>
      </c>
      <c r="G86" s="2" t="str">
        <f>IF(SALE!G90=0,"",SALE!G90)</f>
        <v/>
      </c>
      <c r="H86" t="str">
        <f>IF(SALE!H90=0,"",SALE!H90)</f>
        <v/>
      </c>
      <c r="I86" t="str">
        <f>IF(SALE!I90=0,"",SALE!I90)</f>
        <v/>
      </c>
      <c r="J86" t="str">
        <f>IF(SALE!J90=0,"",SALE!J90)</f>
        <v/>
      </c>
    </row>
    <row r="87" spans="1:10">
      <c r="A87">
        <f>IF(SALE!A91=0,"",SALE!A91)</f>
        <v>86</v>
      </c>
      <c r="B87" t="str">
        <f>IF(SALE!B91=0,"",SALE!B91)</f>
        <v/>
      </c>
      <c r="C87" t="str">
        <f>IF(SALE!C91=0,"",SALE!C91)</f>
        <v/>
      </c>
      <c r="D87" t="str">
        <f>IF(SALE!D91=0,"",SALE!D91)</f>
        <v/>
      </c>
      <c r="E87" s="10" t="str">
        <f>IF(SALE!E91=0,"",SALE!E91)</f>
        <v/>
      </c>
      <c r="F87" s="10" t="str">
        <f>IF(SALE!F91=0,"",SALE!F91)</f>
        <v/>
      </c>
      <c r="G87" s="2" t="str">
        <f>IF(SALE!G91=0,"",SALE!G91)</f>
        <v/>
      </c>
      <c r="H87" t="str">
        <f>IF(SALE!H91=0,"",SALE!H91)</f>
        <v/>
      </c>
      <c r="I87" t="str">
        <f>IF(SALE!I91=0,"",SALE!I91)</f>
        <v/>
      </c>
      <c r="J87" t="str">
        <f>IF(SALE!J91=0,"",SALE!J91)</f>
        <v/>
      </c>
    </row>
    <row r="88" spans="1:10">
      <c r="A88">
        <f>IF(SALE!A92=0,"",SALE!A92)</f>
        <v>87</v>
      </c>
      <c r="B88" t="str">
        <f>IF(SALE!B92=0,"",SALE!B92)</f>
        <v/>
      </c>
      <c r="C88" t="str">
        <f>IF(SALE!C92=0,"",SALE!C92)</f>
        <v/>
      </c>
      <c r="D88" t="str">
        <f>IF(SALE!D92=0,"",SALE!D92)</f>
        <v/>
      </c>
      <c r="E88" s="10" t="str">
        <f>IF(SALE!E92=0,"",SALE!E92)</f>
        <v/>
      </c>
      <c r="F88" s="10" t="str">
        <f>IF(SALE!F92=0,"",SALE!F92)</f>
        <v/>
      </c>
      <c r="G88" s="2" t="str">
        <f>IF(SALE!G92=0,"",SALE!G92)</f>
        <v/>
      </c>
      <c r="H88" t="str">
        <f>IF(SALE!H92=0,"",SALE!H92)</f>
        <v/>
      </c>
      <c r="I88" t="str">
        <f>IF(SALE!I92=0,"",SALE!I92)</f>
        <v/>
      </c>
      <c r="J88" t="str">
        <f>IF(SALE!J92=0,"",SALE!J92)</f>
        <v/>
      </c>
    </row>
    <row r="89" spans="1:10">
      <c r="A89">
        <f>IF(SALE!A93=0,"",SALE!A93)</f>
        <v>88</v>
      </c>
      <c r="B89" t="str">
        <f>IF(SALE!B93=0,"",SALE!B93)</f>
        <v/>
      </c>
      <c r="C89" t="str">
        <f>IF(SALE!C93=0,"",SALE!C93)</f>
        <v/>
      </c>
      <c r="D89" t="str">
        <f>IF(SALE!D93=0,"",SALE!D93)</f>
        <v/>
      </c>
      <c r="E89" s="10" t="str">
        <f>IF(SALE!E93=0,"",SALE!E93)</f>
        <v/>
      </c>
      <c r="F89" s="10" t="str">
        <f>IF(SALE!F93=0,"",SALE!F93)</f>
        <v/>
      </c>
      <c r="G89" s="2" t="str">
        <f>IF(SALE!G93=0,"",SALE!G93)</f>
        <v/>
      </c>
      <c r="H89" t="str">
        <f>IF(SALE!H93=0,"",SALE!H93)</f>
        <v/>
      </c>
      <c r="I89" t="str">
        <f>IF(SALE!I93=0,"",SALE!I93)</f>
        <v/>
      </c>
      <c r="J89" t="str">
        <f>IF(SALE!J93=0,"",SALE!J93)</f>
        <v/>
      </c>
    </row>
    <row r="90" spans="1:10">
      <c r="A90">
        <f>IF(SALE!A94=0,"",SALE!A94)</f>
        <v>89</v>
      </c>
      <c r="B90" t="str">
        <f>IF(SALE!B94=0,"",SALE!B94)</f>
        <v/>
      </c>
      <c r="C90" t="str">
        <f>IF(SALE!C94=0,"",SALE!C94)</f>
        <v/>
      </c>
      <c r="D90" t="str">
        <f>IF(SALE!D94=0,"",SALE!D94)</f>
        <v/>
      </c>
      <c r="E90" s="10" t="str">
        <f>IF(SALE!E94=0,"",SALE!E94)</f>
        <v/>
      </c>
      <c r="F90" s="10" t="str">
        <f>IF(SALE!F94=0,"",SALE!F94)</f>
        <v/>
      </c>
      <c r="G90" s="2" t="str">
        <f>IF(SALE!G94=0,"",SALE!G94)</f>
        <v/>
      </c>
      <c r="H90" t="str">
        <f>IF(SALE!H94=0,"",SALE!H94)</f>
        <v/>
      </c>
      <c r="I90" t="str">
        <f>IF(SALE!I94=0,"",SALE!I94)</f>
        <v/>
      </c>
      <c r="J90" t="str">
        <f>IF(SALE!J94=0,"",SALE!J94)</f>
        <v/>
      </c>
    </row>
    <row r="91" spans="1:10">
      <c r="A91">
        <f>IF(SALE!A95=0,"",SALE!A95)</f>
        <v>90</v>
      </c>
      <c r="B91" t="str">
        <f>IF(SALE!B95=0,"",SALE!B95)</f>
        <v/>
      </c>
      <c r="C91" t="str">
        <f>IF(SALE!C95=0,"",SALE!C95)</f>
        <v/>
      </c>
      <c r="D91" t="str">
        <f>IF(SALE!D95=0,"",SALE!D95)</f>
        <v/>
      </c>
      <c r="E91" s="10" t="str">
        <f>IF(SALE!E95=0,"",SALE!E95)</f>
        <v/>
      </c>
      <c r="F91" s="10" t="str">
        <f>IF(SALE!F95=0,"",SALE!F95)</f>
        <v/>
      </c>
      <c r="G91" s="2" t="str">
        <f>IF(SALE!G95=0,"",SALE!G95)</f>
        <v/>
      </c>
      <c r="H91" t="str">
        <f>IF(SALE!H95=0,"",SALE!H95)</f>
        <v/>
      </c>
      <c r="I91" t="str">
        <f>IF(SALE!I95=0,"",SALE!I95)</f>
        <v/>
      </c>
      <c r="J91" t="str">
        <f>IF(SALE!J95=0,"",SALE!J95)</f>
        <v/>
      </c>
    </row>
    <row r="92" spans="1:10">
      <c r="A92">
        <f>IF(SALE!A96=0,"",SALE!A96)</f>
        <v>91</v>
      </c>
      <c r="B92" t="str">
        <f>IF(SALE!B96=0,"",SALE!B96)</f>
        <v/>
      </c>
      <c r="C92" t="str">
        <f>IF(SALE!C96=0,"",SALE!C96)</f>
        <v/>
      </c>
      <c r="D92" t="str">
        <f>IF(SALE!D96=0,"",SALE!D96)</f>
        <v/>
      </c>
      <c r="E92" s="10" t="str">
        <f>IF(SALE!E96=0,"",SALE!E96)</f>
        <v/>
      </c>
      <c r="F92" s="10" t="str">
        <f>IF(SALE!F96=0,"",SALE!F96)</f>
        <v/>
      </c>
      <c r="G92" s="2" t="str">
        <f>IF(SALE!G96=0,"",SALE!G96)</f>
        <v/>
      </c>
      <c r="H92" t="str">
        <f>IF(SALE!H96=0,"",SALE!H96)</f>
        <v/>
      </c>
      <c r="I92" t="str">
        <f>IF(SALE!I96=0,"",SALE!I96)</f>
        <v/>
      </c>
      <c r="J92" t="str">
        <f>IF(SALE!J96=0,"",SALE!J96)</f>
        <v/>
      </c>
    </row>
    <row r="93" spans="1:10">
      <c r="A93">
        <f>IF(SALE!A97=0,"",SALE!A97)</f>
        <v>92</v>
      </c>
      <c r="B93" t="str">
        <f>IF(SALE!B97=0,"",SALE!B97)</f>
        <v/>
      </c>
      <c r="C93" t="str">
        <f>IF(SALE!C97=0,"",SALE!C97)</f>
        <v/>
      </c>
      <c r="D93" t="str">
        <f>IF(SALE!D97=0,"",SALE!D97)</f>
        <v/>
      </c>
      <c r="E93" s="10" t="str">
        <f>IF(SALE!E97=0,"",SALE!E97)</f>
        <v/>
      </c>
      <c r="F93" s="10" t="str">
        <f>IF(SALE!F97=0,"",SALE!F97)</f>
        <v/>
      </c>
      <c r="G93" s="2" t="str">
        <f>IF(SALE!G97=0,"",SALE!G97)</f>
        <v/>
      </c>
      <c r="H93" t="str">
        <f>IF(SALE!H97=0,"",SALE!H97)</f>
        <v/>
      </c>
      <c r="I93" t="str">
        <f>IF(SALE!I97=0,"",SALE!I97)</f>
        <v/>
      </c>
      <c r="J93" t="str">
        <f>IF(SALE!J97=0,"",SALE!J97)</f>
        <v/>
      </c>
    </row>
    <row r="94" spans="1:10">
      <c r="A94">
        <f>IF(SALE!A98=0,"",SALE!A98)</f>
        <v>93</v>
      </c>
      <c r="B94" t="str">
        <f>IF(SALE!B98=0,"",SALE!B98)</f>
        <v/>
      </c>
      <c r="C94" t="str">
        <f>IF(SALE!C98=0,"",SALE!C98)</f>
        <v/>
      </c>
      <c r="D94" t="str">
        <f>IF(SALE!D98=0,"",SALE!D98)</f>
        <v/>
      </c>
      <c r="E94" s="10" t="str">
        <f>IF(SALE!E98=0,"",SALE!E98)</f>
        <v/>
      </c>
      <c r="F94" s="10" t="str">
        <f>IF(SALE!F98=0,"",SALE!F98)</f>
        <v/>
      </c>
      <c r="G94" s="2" t="str">
        <f>IF(SALE!G98=0,"",SALE!G98)</f>
        <v/>
      </c>
      <c r="H94" t="str">
        <f>IF(SALE!H98=0,"",SALE!H98)</f>
        <v/>
      </c>
      <c r="I94" t="str">
        <f>IF(SALE!I98=0,"",SALE!I98)</f>
        <v/>
      </c>
      <c r="J94" t="str">
        <f>IF(SALE!J98=0,"",SALE!J98)</f>
        <v/>
      </c>
    </row>
    <row r="95" spans="1:10">
      <c r="A95">
        <f>IF(SALE!A99=0,"",SALE!A99)</f>
        <v>94</v>
      </c>
      <c r="B95" t="str">
        <f>IF(SALE!B99=0,"",SALE!B99)</f>
        <v/>
      </c>
      <c r="C95" t="str">
        <f>IF(SALE!C99=0,"",SALE!C99)</f>
        <v/>
      </c>
      <c r="D95" t="str">
        <f>IF(SALE!D99=0,"",SALE!D99)</f>
        <v/>
      </c>
      <c r="E95" s="10" t="str">
        <f>IF(SALE!E99=0,"",SALE!E99)</f>
        <v/>
      </c>
      <c r="F95" s="10" t="str">
        <f>IF(SALE!F99=0,"",SALE!F99)</f>
        <v/>
      </c>
      <c r="G95" s="2" t="str">
        <f>IF(SALE!G99=0,"",SALE!G99)</f>
        <v/>
      </c>
      <c r="H95" t="str">
        <f>IF(SALE!H99=0,"",SALE!H99)</f>
        <v/>
      </c>
      <c r="I95" t="str">
        <f>IF(SALE!I99=0,"",SALE!I99)</f>
        <v/>
      </c>
      <c r="J95" t="str">
        <f>IF(SALE!J99=0,"",SALE!J99)</f>
        <v/>
      </c>
    </row>
    <row r="96" spans="1:10">
      <c r="A96">
        <f>IF(SALE!A100=0,"",SALE!A100)</f>
        <v>95</v>
      </c>
      <c r="B96" t="str">
        <f>IF(SALE!B100=0,"",SALE!B100)</f>
        <v/>
      </c>
      <c r="C96" t="str">
        <f>IF(SALE!C100=0,"",SALE!C100)</f>
        <v/>
      </c>
      <c r="D96" t="str">
        <f>IF(SALE!D100=0,"",SALE!D100)</f>
        <v/>
      </c>
      <c r="E96" s="10" t="str">
        <f>IF(SALE!E100=0,"",SALE!E100)</f>
        <v/>
      </c>
      <c r="F96" s="10" t="str">
        <f>IF(SALE!F100=0,"",SALE!F100)</f>
        <v/>
      </c>
      <c r="G96" s="2" t="str">
        <f>IF(SALE!G100=0,"",SALE!G100)</f>
        <v/>
      </c>
      <c r="H96" t="str">
        <f>IF(SALE!H100=0,"",SALE!H100)</f>
        <v/>
      </c>
      <c r="I96" t="str">
        <f>IF(SALE!I100=0,"",SALE!I100)</f>
        <v/>
      </c>
      <c r="J96" t="str">
        <f>IF(SALE!J100=0,"",SALE!J100)</f>
        <v/>
      </c>
    </row>
    <row r="97" spans="1:10">
      <c r="A97">
        <f>IF(SALE!A101=0,"",SALE!A101)</f>
        <v>96</v>
      </c>
      <c r="B97" t="str">
        <f>IF(SALE!B101=0,"",SALE!B101)</f>
        <v/>
      </c>
      <c r="C97" t="str">
        <f>IF(SALE!C101=0,"",SALE!C101)</f>
        <v/>
      </c>
      <c r="D97" t="str">
        <f>IF(SALE!D101=0,"",SALE!D101)</f>
        <v/>
      </c>
      <c r="E97" s="10" t="str">
        <f>IF(SALE!E101=0,"",SALE!E101)</f>
        <v/>
      </c>
      <c r="F97" s="10" t="str">
        <f>IF(SALE!F101=0,"",SALE!F101)</f>
        <v/>
      </c>
      <c r="G97" s="2" t="str">
        <f>IF(SALE!G101=0,"",SALE!G101)</f>
        <v/>
      </c>
      <c r="H97" t="str">
        <f>IF(SALE!H101=0,"",SALE!H101)</f>
        <v/>
      </c>
      <c r="I97" t="str">
        <f>IF(SALE!I101=0,"",SALE!I101)</f>
        <v/>
      </c>
      <c r="J97" t="str">
        <f>IF(SALE!J101=0,"",SALE!J101)</f>
        <v/>
      </c>
    </row>
    <row r="98" spans="1:10">
      <c r="A98">
        <f>IF(SALE!A102=0,"",SALE!A102)</f>
        <v>97</v>
      </c>
      <c r="B98" t="str">
        <f>IF(SALE!B102=0,"",SALE!B102)</f>
        <v/>
      </c>
      <c r="C98" t="str">
        <f>IF(SALE!C102=0,"",SALE!C102)</f>
        <v/>
      </c>
      <c r="D98" t="str">
        <f>IF(SALE!D102=0,"",SALE!D102)</f>
        <v/>
      </c>
      <c r="E98" s="10" t="str">
        <f>IF(SALE!E102=0,"",SALE!E102)</f>
        <v/>
      </c>
      <c r="F98" s="10" t="str">
        <f>IF(SALE!F102=0,"",SALE!F102)</f>
        <v/>
      </c>
      <c r="G98" s="2" t="str">
        <f>IF(SALE!G102=0,"",SALE!G102)</f>
        <v/>
      </c>
      <c r="H98" t="str">
        <f>IF(SALE!H102=0,"",SALE!H102)</f>
        <v/>
      </c>
      <c r="I98" t="str">
        <f>IF(SALE!I102=0,"",SALE!I102)</f>
        <v/>
      </c>
      <c r="J98" t="str">
        <f>IF(SALE!J102=0,"",SALE!J102)</f>
        <v/>
      </c>
    </row>
    <row r="99" spans="1:10">
      <c r="A99">
        <f>IF(SALE!A103=0,"",SALE!A103)</f>
        <v>98</v>
      </c>
      <c r="B99" t="str">
        <f>IF(SALE!B103=0,"",SALE!B103)</f>
        <v/>
      </c>
      <c r="C99" t="str">
        <f>IF(SALE!C103=0,"",SALE!C103)</f>
        <v/>
      </c>
      <c r="D99" t="str">
        <f>IF(SALE!D103=0,"",SALE!D103)</f>
        <v/>
      </c>
      <c r="E99" s="10" t="str">
        <f>IF(SALE!E103=0,"",SALE!E103)</f>
        <v/>
      </c>
      <c r="F99" s="10" t="str">
        <f>IF(SALE!F103=0,"",SALE!F103)</f>
        <v/>
      </c>
      <c r="G99" s="2" t="str">
        <f>IF(SALE!G103=0,"",SALE!G103)</f>
        <v/>
      </c>
      <c r="H99" t="str">
        <f>IF(SALE!H103=0,"",SALE!H103)</f>
        <v/>
      </c>
      <c r="I99" t="str">
        <f>IF(SALE!I103=0,"",SALE!I103)</f>
        <v/>
      </c>
      <c r="J99" t="str">
        <f>IF(SALE!J103=0,"",SALE!J103)</f>
        <v/>
      </c>
    </row>
    <row r="100" spans="1:10">
      <c r="A100">
        <f>IF(SALE!A104=0,"",SALE!A104)</f>
        <v>99</v>
      </c>
      <c r="B100" t="str">
        <f>IF(SALE!B104=0,"",SALE!B104)</f>
        <v/>
      </c>
      <c r="C100" t="str">
        <f>IF(SALE!C104=0,"",SALE!C104)</f>
        <v/>
      </c>
      <c r="D100" t="str">
        <f>IF(SALE!D104=0,"",SALE!D104)</f>
        <v/>
      </c>
      <c r="E100" s="10" t="str">
        <f>IF(SALE!E104=0,"",SALE!E104)</f>
        <v/>
      </c>
      <c r="F100" s="10" t="str">
        <f>IF(SALE!F104=0,"",SALE!F104)</f>
        <v/>
      </c>
      <c r="G100" s="2" t="str">
        <f>IF(SALE!G104=0,"",SALE!G104)</f>
        <v/>
      </c>
      <c r="H100" t="str">
        <f>IF(SALE!H104=0,"",SALE!H104)</f>
        <v/>
      </c>
      <c r="I100" t="str">
        <f>IF(SALE!I104=0,"",SALE!I104)</f>
        <v/>
      </c>
      <c r="J100" t="str">
        <f>IF(SALE!J104=0,"",SALE!J104)</f>
        <v/>
      </c>
    </row>
    <row r="101" spans="1:10">
      <c r="A101">
        <f>IF(SALE!A105=0,"",SALE!A105)</f>
        <v>100</v>
      </c>
      <c r="B101" t="str">
        <f>IF(SALE!B105=0,"",SALE!B105)</f>
        <v/>
      </c>
      <c r="C101" t="str">
        <f>IF(SALE!C105=0,"",SALE!C105)</f>
        <v/>
      </c>
      <c r="D101" t="str">
        <f>IF(SALE!D105=0,"",SALE!D105)</f>
        <v/>
      </c>
      <c r="E101" s="10" t="str">
        <f>IF(SALE!E105=0,"",SALE!E105)</f>
        <v/>
      </c>
      <c r="F101" s="10" t="str">
        <f>IF(SALE!F105=0,"",SALE!F105)</f>
        <v/>
      </c>
      <c r="G101" s="2" t="str">
        <f>IF(SALE!G105=0,"",SALE!G105)</f>
        <v/>
      </c>
      <c r="H101" t="str">
        <f>IF(SALE!H105=0,"",SALE!H105)</f>
        <v/>
      </c>
      <c r="I101" t="str">
        <f>IF(SALE!I105=0,"",SALE!I105)</f>
        <v/>
      </c>
      <c r="J101" t="str">
        <f>IF(SALE!J105=0,"",SALE!J105)</f>
        <v/>
      </c>
    </row>
    <row r="102" spans="1:10">
      <c r="A102">
        <f>IF(SALE!A106=0,"",SALE!A106)</f>
        <v>101</v>
      </c>
      <c r="B102" t="str">
        <f>IF(SALE!B106=0,"",SALE!B106)</f>
        <v/>
      </c>
      <c r="C102" t="str">
        <f>IF(SALE!C106=0,"",SALE!C106)</f>
        <v/>
      </c>
      <c r="D102" t="str">
        <f>IF(SALE!D106=0,"",SALE!D106)</f>
        <v/>
      </c>
      <c r="E102" s="10" t="str">
        <f>IF(SALE!E106=0,"",SALE!E106)</f>
        <v/>
      </c>
      <c r="F102" s="10" t="str">
        <f>IF(SALE!F106=0,"",SALE!F106)</f>
        <v/>
      </c>
      <c r="G102" s="2" t="str">
        <f>IF(SALE!G106=0,"",SALE!G106)</f>
        <v/>
      </c>
      <c r="H102" t="str">
        <f>IF(SALE!H106=0,"",SALE!H106)</f>
        <v/>
      </c>
      <c r="I102" t="str">
        <f>IF(SALE!I106=0,"",SALE!I106)</f>
        <v/>
      </c>
      <c r="J102" t="str">
        <f>IF(SALE!J106=0,"",SALE!J106)</f>
        <v/>
      </c>
    </row>
    <row r="103" spans="1:10">
      <c r="A103">
        <f>IF(SALE!A107=0,"",SALE!A107)</f>
        <v>102</v>
      </c>
      <c r="B103" t="str">
        <f>IF(SALE!B107=0,"",SALE!B107)</f>
        <v/>
      </c>
      <c r="C103" t="str">
        <f>IF(SALE!C107=0,"",SALE!C107)</f>
        <v/>
      </c>
      <c r="D103" t="str">
        <f>IF(SALE!D107=0,"",SALE!D107)</f>
        <v/>
      </c>
      <c r="E103" s="10" t="str">
        <f>IF(SALE!E107=0,"",SALE!E107)</f>
        <v/>
      </c>
      <c r="F103" s="10" t="str">
        <f>IF(SALE!F107=0,"",SALE!F107)</f>
        <v/>
      </c>
      <c r="G103" s="2" t="str">
        <f>IF(SALE!G107=0,"",SALE!G107)</f>
        <v/>
      </c>
      <c r="H103" t="str">
        <f>IF(SALE!H107=0,"",SALE!H107)</f>
        <v/>
      </c>
      <c r="I103" t="str">
        <f>IF(SALE!I107=0,"",SALE!I107)</f>
        <v/>
      </c>
      <c r="J103" t="str">
        <f>IF(SALE!J107=0,"",SALE!J107)</f>
        <v/>
      </c>
    </row>
    <row r="104" spans="1:10">
      <c r="A104">
        <f>IF(SALE!A108=0,"",SALE!A108)</f>
        <v>103</v>
      </c>
      <c r="B104" t="str">
        <f>IF(SALE!B108=0,"",SALE!B108)</f>
        <v/>
      </c>
      <c r="C104" t="str">
        <f>IF(SALE!C108=0,"",SALE!C108)</f>
        <v/>
      </c>
      <c r="D104" t="str">
        <f>IF(SALE!D108=0,"",SALE!D108)</f>
        <v/>
      </c>
      <c r="E104" s="10" t="str">
        <f>IF(SALE!E108=0,"",SALE!E108)</f>
        <v/>
      </c>
      <c r="F104" s="10" t="str">
        <f>IF(SALE!F108=0,"",SALE!F108)</f>
        <v/>
      </c>
      <c r="G104" s="2" t="str">
        <f>IF(SALE!G108=0,"",SALE!G108)</f>
        <v/>
      </c>
      <c r="H104" t="str">
        <f>IF(SALE!H108=0,"",SALE!H108)</f>
        <v/>
      </c>
      <c r="I104" t="str">
        <f>IF(SALE!I108=0,"",SALE!I108)</f>
        <v/>
      </c>
      <c r="J104" t="str">
        <f>IF(SALE!J108=0,"",SALE!J108)</f>
        <v/>
      </c>
    </row>
    <row r="105" spans="1:10">
      <c r="A105">
        <f>IF(SALE!A109=0,"",SALE!A109)</f>
        <v>104</v>
      </c>
      <c r="B105" t="str">
        <f>IF(SALE!B109=0,"",SALE!B109)</f>
        <v/>
      </c>
      <c r="C105" t="str">
        <f>IF(SALE!C109=0,"",SALE!C109)</f>
        <v/>
      </c>
      <c r="D105" t="str">
        <f>IF(SALE!D109=0,"",SALE!D109)</f>
        <v/>
      </c>
      <c r="E105" s="10" t="str">
        <f>IF(SALE!E109=0,"",SALE!E109)</f>
        <v/>
      </c>
      <c r="F105" s="10" t="str">
        <f>IF(SALE!F109=0,"",SALE!F109)</f>
        <v/>
      </c>
      <c r="G105" s="2" t="str">
        <f>IF(SALE!G109=0,"",SALE!G109)</f>
        <v/>
      </c>
      <c r="H105" t="str">
        <f>IF(SALE!H109=0,"",SALE!H109)</f>
        <v/>
      </c>
      <c r="I105" t="str">
        <f>IF(SALE!I109=0,"",SALE!I109)</f>
        <v/>
      </c>
      <c r="J105" t="str">
        <f>IF(SALE!J109=0,"",SALE!J109)</f>
        <v/>
      </c>
    </row>
    <row r="106" spans="1:10">
      <c r="A106">
        <f>IF(SALE!A110=0,"",SALE!A110)</f>
        <v>105</v>
      </c>
      <c r="B106" t="str">
        <f>IF(SALE!B110=0,"",SALE!B110)</f>
        <v/>
      </c>
      <c r="C106" t="str">
        <f>IF(SALE!C110=0,"",SALE!C110)</f>
        <v/>
      </c>
      <c r="D106" t="str">
        <f>IF(SALE!D110=0,"",SALE!D110)</f>
        <v/>
      </c>
      <c r="E106" s="10" t="str">
        <f>IF(SALE!E110=0,"",SALE!E110)</f>
        <v/>
      </c>
      <c r="F106" s="10" t="str">
        <f>IF(SALE!F110=0,"",SALE!F110)</f>
        <v/>
      </c>
      <c r="G106" s="2" t="str">
        <f>IF(SALE!G110=0,"",SALE!G110)</f>
        <v/>
      </c>
      <c r="H106" t="str">
        <f>IF(SALE!H110=0,"",SALE!H110)</f>
        <v/>
      </c>
      <c r="I106" t="str">
        <f>IF(SALE!I110=0,"",SALE!I110)</f>
        <v/>
      </c>
      <c r="J106" t="str">
        <f>IF(SALE!J110=0,"",SALE!J110)</f>
        <v/>
      </c>
    </row>
    <row r="107" spans="1:10">
      <c r="A107">
        <f>IF(SALE!A111=0,"",SALE!A111)</f>
        <v>106</v>
      </c>
      <c r="B107" t="str">
        <f>IF(SALE!B111=0,"",SALE!B111)</f>
        <v/>
      </c>
      <c r="C107" t="str">
        <f>IF(SALE!C111=0,"",SALE!C111)</f>
        <v/>
      </c>
      <c r="D107" t="str">
        <f>IF(SALE!D111=0,"",SALE!D111)</f>
        <v/>
      </c>
      <c r="E107" s="10" t="str">
        <f>IF(SALE!E111=0,"",SALE!E111)</f>
        <v/>
      </c>
      <c r="F107" s="10" t="str">
        <f>IF(SALE!F111=0,"",SALE!F111)</f>
        <v/>
      </c>
      <c r="G107" s="2" t="str">
        <f>IF(SALE!G111=0,"",SALE!G111)</f>
        <v/>
      </c>
      <c r="H107" t="str">
        <f>IF(SALE!H111=0,"",SALE!H111)</f>
        <v/>
      </c>
      <c r="I107" t="str">
        <f>IF(SALE!I111=0,"",SALE!I111)</f>
        <v/>
      </c>
      <c r="J107" t="str">
        <f>IF(SALE!J111=0,"",SALE!J111)</f>
        <v/>
      </c>
    </row>
    <row r="108" spans="1:10">
      <c r="A108">
        <f>IF(SALE!A112=0,"",SALE!A112)</f>
        <v>107</v>
      </c>
      <c r="B108" t="str">
        <f>IF(SALE!B112=0,"",SALE!B112)</f>
        <v/>
      </c>
      <c r="C108" t="str">
        <f>IF(SALE!C112=0,"",SALE!C112)</f>
        <v/>
      </c>
      <c r="D108" t="str">
        <f>IF(SALE!D112=0,"",SALE!D112)</f>
        <v/>
      </c>
      <c r="E108" s="10" t="str">
        <f>IF(SALE!E112=0,"",SALE!E112)</f>
        <v/>
      </c>
      <c r="F108" s="10" t="str">
        <f>IF(SALE!F112=0,"",SALE!F112)</f>
        <v/>
      </c>
      <c r="G108" s="2" t="str">
        <f>IF(SALE!G112=0,"",SALE!G112)</f>
        <v/>
      </c>
      <c r="H108" t="str">
        <f>IF(SALE!H112=0,"",SALE!H112)</f>
        <v/>
      </c>
      <c r="I108" t="str">
        <f>IF(SALE!I112=0,"",SALE!I112)</f>
        <v/>
      </c>
      <c r="J108" t="str">
        <f>IF(SALE!J112=0,"",SALE!J112)</f>
        <v/>
      </c>
    </row>
    <row r="109" spans="1:10">
      <c r="A109">
        <f>IF(SALE!A113=0,"",SALE!A113)</f>
        <v>108</v>
      </c>
      <c r="B109" t="str">
        <f>IF(SALE!B113=0,"",SALE!B113)</f>
        <v/>
      </c>
      <c r="C109" t="str">
        <f>IF(SALE!C113=0,"",SALE!C113)</f>
        <v/>
      </c>
      <c r="D109" t="str">
        <f>IF(SALE!D113=0,"",SALE!D113)</f>
        <v/>
      </c>
      <c r="E109" s="10" t="str">
        <f>IF(SALE!E113=0,"",SALE!E113)</f>
        <v/>
      </c>
      <c r="F109" s="10" t="str">
        <f>IF(SALE!F113=0,"",SALE!F113)</f>
        <v/>
      </c>
      <c r="G109" s="2" t="str">
        <f>IF(SALE!G113=0,"",SALE!G113)</f>
        <v/>
      </c>
      <c r="H109" t="str">
        <f>IF(SALE!H113=0,"",SALE!H113)</f>
        <v/>
      </c>
      <c r="I109" t="str">
        <f>IF(SALE!I113=0,"",SALE!I113)</f>
        <v/>
      </c>
      <c r="J109" t="str">
        <f>IF(SALE!J113=0,"",SALE!J113)</f>
        <v/>
      </c>
    </row>
    <row r="110" spans="1:10">
      <c r="A110">
        <f>IF(SALE!A114=0,"",SALE!A114)</f>
        <v>109</v>
      </c>
      <c r="B110" t="str">
        <f>IF(SALE!B114=0,"",SALE!B114)</f>
        <v/>
      </c>
      <c r="C110" t="str">
        <f>IF(SALE!C114=0,"",SALE!C114)</f>
        <v/>
      </c>
      <c r="D110" t="str">
        <f>IF(SALE!D114=0,"",SALE!D114)</f>
        <v/>
      </c>
      <c r="E110" s="10" t="str">
        <f>IF(SALE!E114=0,"",SALE!E114)</f>
        <v/>
      </c>
      <c r="F110" s="10" t="str">
        <f>IF(SALE!F114=0,"",SALE!F114)</f>
        <v/>
      </c>
      <c r="G110" s="2" t="str">
        <f>IF(SALE!G114=0,"",SALE!G114)</f>
        <v/>
      </c>
      <c r="H110" t="str">
        <f>IF(SALE!H114=0,"",SALE!H114)</f>
        <v/>
      </c>
      <c r="I110" t="str">
        <f>IF(SALE!I114=0,"",SALE!I114)</f>
        <v/>
      </c>
      <c r="J110" t="str">
        <f>IF(SALE!J114=0,"",SALE!J114)</f>
        <v/>
      </c>
    </row>
    <row r="111" spans="1:10">
      <c r="A111">
        <f>IF(SALE!A115=0,"",SALE!A115)</f>
        <v>110</v>
      </c>
      <c r="B111" t="str">
        <f>IF(SALE!B115=0,"",SALE!B115)</f>
        <v/>
      </c>
      <c r="C111" t="str">
        <f>IF(SALE!C115=0,"",SALE!C115)</f>
        <v/>
      </c>
      <c r="D111" t="str">
        <f>IF(SALE!D115=0,"",SALE!D115)</f>
        <v/>
      </c>
      <c r="E111" s="10" t="str">
        <f>IF(SALE!E115=0,"",SALE!E115)</f>
        <v/>
      </c>
      <c r="F111" s="10" t="str">
        <f>IF(SALE!F115=0,"",SALE!F115)</f>
        <v/>
      </c>
      <c r="G111" s="2" t="str">
        <f>IF(SALE!G115=0,"",SALE!G115)</f>
        <v/>
      </c>
      <c r="H111" t="str">
        <f>IF(SALE!H115=0,"",SALE!H115)</f>
        <v/>
      </c>
      <c r="I111" t="str">
        <f>IF(SALE!I115=0,"",SALE!I115)</f>
        <v/>
      </c>
      <c r="J111" t="str">
        <f>IF(SALE!J115=0,"",SALE!J115)</f>
        <v/>
      </c>
    </row>
    <row r="112" spans="1:10">
      <c r="A112">
        <f>IF(SALE!A116=0,"",SALE!A116)</f>
        <v>111</v>
      </c>
      <c r="B112" t="str">
        <f>IF(SALE!B116=0,"",SALE!B116)</f>
        <v/>
      </c>
      <c r="C112" t="str">
        <f>IF(SALE!C116=0,"",SALE!C116)</f>
        <v/>
      </c>
      <c r="D112" t="str">
        <f>IF(SALE!D116=0,"",SALE!D116)</f>
        <v/>
      </c>
      <c r="E112" s="10" t="str">
        <f>IF(SALE!E116=0,"",SALE!E116)</f>
        <v/>
      </c>
      <c r="F112" s="10" t="str">
        <f>IF(SALE!F116=0,"",SALE!F116)</f>
        <v/>
      </c>
      <c r="G112" s="2" t="str">
        <f>IF(SALE!G116=0,"",SALE!G116)</f>
        <v/>
      </c>
      <c r="H112" t="str">
        <f>IF(SALE!H116=0,"",SALE!H116)</f>
        <v/>
      </c>
      <c r="I112" t="str">
        <f>IF(SALE!I116=0,"",SALE!I116)</f>
        <v/>
      </c>
      <c r="J112" t="str">
        <f>IF(SALE!J116=0,"",SALE!J116)</f>
        <v/>
      </c>
    </row>
    <row r="113" spans="1:10">
      <c r="A113">
        <f>IF(SALE!A117=0,"",SALE!A117)</f>
        <v>112</v>
      </c>
      <c r="B113" t="str">
        <f>IF(SALE!B117=0,"",SALE!B117)</f>
        <v/>
      </c>
      <c r="C113" t="str">
        <f>IF(SALE!C117=0,"",SALE!C117)</f>
        <v/>
      </c>
      <c r="D113" t="str">
        <f>IF(SALE!D117=0,"",SALE!D117)</f>
        <v/>
      </c>
      <c r="E113" s="10" t="str">
        <f>IF(SALE!E117=0,"",SALE!E117)</f>
        <v/>
      </c>
      <c r="F113" s="10" t="str">
        <f>IF(SALE!F117=0,"",SALE!F117)</f>
        <v/>
      </c>
      <c r="G113" s="2" t="str">
        <f>IF(SALE!G117=0,"",SALE!G117)</f>
        <v/>
      </c>
      <c r="H113" t="str">
        <f>IF(SALE!H117=0,"",SALE!H117)</f>
        <v/>
      </c>
      <c r="I113" t="str">
        <f>IF(SALE!I117=0,"",SALE!I117)</f>
        <v/>
      </c>
      <c r="J113" t="str">
        <f>IF(SALE!J117=0,"",SALE!J117)</f>
        <v/>
      </c>
    </row>
    <row r="114" spans="1:10">
      <c r="A114">
        <f>IF(SALE!A118=0,"",SALE!A118)</f>
        <v>113</v>
      </c>
      <c r="B114" t="str">
        <f>IF(SALE!B118=0,"",SALE!B118)</f>
        <v/>
      </c>
      <c r="C114" t="str">
        <f>IF(SALE!C118=0,"",SALE!C118)</f>
        <v/>
      </c>
      <c r="D114" t="str">
        <f>IF(SALE!D118=0,"",SALE!D118)</f>
        <v/>
      </c>
      <c r="E114" s="10" t="str">
        <f>IF(SALE!E118=0,"",SALE!E118)</f>
        <v/>
      </c>
      <c r="F114" s="10" t="str">
        <f>IF(SALE!F118=0,"",SALE!F118)</f>
        <v/>
      </c>
      <c r="G114" s="2" t="str">
        <f>IF(SALE!G118=0,"",SALE!G118)</f>
        <v/>
      </c>
      <c r="H114" t="str">
        <f>IF(SALE!H118=0,"",SALE!H118)</f>
        <v/>
      </c>
      <c r="I114" t="str">
        <f>IF(SALE!I118=0,"",SALE!I118)</f>
        <v/>
      </c>
      <c r="J114" t="str">
        <f>IF(SALE!J118=0,"",SALE!J118)</f>
        <v/>
      </c>
    </row>
    <row r="115" spans="1:10">
      <c r="A115">
        <f>IF(SALE!A119=0,"",SALE!A119)</f>
        <v>114</v>
      </c>
      <c r="B115" t="str">
        <f>IF(SALE!B119=0,"",SALE!B119)</f>
        <v/>
      </c>
      <c r="C115" t="str">
        <f>IF(SALE!C119=0,"",SALE!C119)</f>
        <v/>
      </c>
      <c r="D115" t="str">
        <f>IF(SALE!D119=0,"",SALE!D119)</f>
        <v/>
      </c>
      <c r="E115" s="10" t="str">
        <f>IF(SALE!E119=0,"",SALE!E119)</f>
        <v/>
      </c>
      <c r="F115" s="10" t="str">
        <f>IF(SALE!F119=0,"",SALE!F119)</f>
        <v/>
      </c>
      <c r="G115" s="2" t="str">
        <f>IF(SALE!G119=0,"",SALE!G119)</f>
        <v/>
      </c>
      <c r="H115" t="str">
        <f>IF(SALE!H119=0,"",SALE!H119)</f>
        <v/>
      </c>
      <c r="I115" t="str">
        <f>IF(SALE!I119=0,"",SALE!I119)</f>
        <v/>
      </c>
      <c r="J115" t="str">
        <f>IF(SALE!J119=0,"",SALE!J119)</f>
        <v/>
      </c>
    </row>
    <row r="116" spans="1:10">
      <c r="A116">
        <f>IF(SALE!A120=0,"",SALE!A120)</f>
        <v>115</v>
      </c>
      <c r="B116" t="str">
        <f>IF(SALE!B120=0,"",SALE!B120)</f>
        <v/>
      </c>
      <c r="C116" t="str">
        <f>IF(SALE!C120=0,"",SALE!C120)</f>
        <v/>
      </c>
      <c r="D116" t="str">
        <f>IF(SALE!D120=0,"",SALE!D120)</f>
        <v/>
      </c>
      <c r="E116" s="10" t="str">
        <f>IF(SALE!E120=0,"",SALE!E120)</f>
        <v/>
      </c>
      <c r="F116" s="10" t="str">
        <f>IF(SALE!F120=0,"",SALE!F120)</f>
        <v/>
      </c>
      <c r="G116" s="2" t="str">
        <f>IF(SALE!G120=0,"",SALE!G120)</f>
        <v/>
      </c>
      <c r="H116" t="str">
        <f>IF(SALE!H120=0,"",SALE!H120)</f>
        <v/>
      </c>
      <c r="I116" t="str">
        <f>IF(SALE!I120=0,"",SALE!I120)</f>
        <v/>
      </c>
      <c r="J116" t="str">
        <f>IF(SALE!J120=0,"",SALE!J120)</f>
        <v/>
      </c>
    </row>
    <row r="117" spans="1:10">
      <c r="A117">
        <f>IF(SALE!A121=0,"",SALE!A121)</f>
        <v>116</v>
      </c>
      <c r="B117" t="str">
        <f>IF(SALE!B121=0,"",SALE!B121)</f>
        <v/>
      </c>
      <c r="C117" t="str">
        <f>IF(SALE!C121=0,"",SALE!C121)</f>
        <v/>
      </c>
      <c r="D117" t="str">
        <f>IF(SALE!D121=0,"",SALE!D121)</f>
        <v/>
      </c>
      <c r="E117" s="10" t="str">
        <f>IF(SALE!E121=0,"",SALE!E121)</f>
        <v/>
      </c>
      <c r="F117" s="10" t="str">
        <f>IF(SALE!F121=0,"",SALE!F121)</f>
        <v/>
      </c>
      <c r="G117" s="2" t="str">
        <f>IF(SALE!G121=0,"",SALE!G121)</f>
        <v/>
      </c>
      <c r="H117" t="str">
        <f>IF(SALE!H121=0,"",SALE!H121)</f>
        <v/>
      </c>
      <c r="I117" t="str">
        <f>IF(SALE!I121=0,"",SALE!I121)</f>
        <v/>
      </c>
      <c r="J117" t="str">
        <f>IF(SALE!J121=0,"",SALE!J121)</f>
        <v/>
      </c>
    </row>
    <row r="118" spans="1:10">
      <c r="A118">
        <f>IF(SALE!A122=0,"",SALE!A122)</f>
        <v>117</v>
      </c>
      <c r="B118" t="str">
        <f>IF(SALE!B122=0,"",SALE!B122)</f>
        <v/>
      </c>
      <c r="C118" t="str">
        <f>IF(SALE!C122=0,"",SALE!C122)</f>
        <v/>
      </c>
      <c r="D118" t="str">
        <f>IF(SALE!D122=0,"",SALE!D122)</f>
        <v/>
      </c>
      <c r="E118" s="10" t="str">
        <f>IF(SALE!E122=0,"",SALE!E122)</f>
        <v/>
      </c>
      <c r="F118" s="10" t="str">
        <f>IF(SALE!F122=0,"",SALE!F122)</f>
        <v/>
      </c>
      <c r="G118" s="2" t="str">
        <f>IF(SALE!G122=0,"",SALE!G122)</f>
        <v/>
      </c>
      <c r="H118" t="str">
        <f>IF(SALE!H122=0,"",SALE!H122)</f>
        <v/>
      </c>
      <c r="I118" t="str">
        <f>IF(SALE!I122=0,"",SALE!I122)</f>
        <v/>
      </c>
      <c r="J118" t="str">
        <f>IF(SALE!J122=0,"",SALE!J122)</f>
        <v/>
      </c>
    </row>
    <row r="119" spans="1:10">
      <c r="A119">
        <f>IF(SALE!A123=0,"",SALE!A123)</f>
        <v>118</v>
      </c>
      <c r="B119" t="str">
        <f>IF(SALE!B123=0,"",SALE!B123)</f>
        <v/>
      </c>
      <c r="C119" t="str">
        <f>IF(SALE!C123=0,"",SALE!C123)</f>
        <v/>
      </c>
      <c r="D119" t="str">
        <f>IF(SALE!D123=0,"",SALE!D123)</f>
        <v/>
      </c>
      <c r="E119" s="10" t="str">
        <f>IF(SALE!E123=0,"",SALE!E123)</f>
        <v/>
      </c>
      <c r="F119" s="10" t="str">
        <f>IF(SALE!F123=0,"",SALE!F123)</f>
        <v/>
      </c>
      <c r="G119" s="2" t="str">
        <f>IF(SALE!G123=0,"",SALE!G123)</f>
        <v/>
      </c>
      <c r="H119" t="str">
        <f>IF(SALE!H123=0,"",SALE!H123)</f>
        <v/>
      </c>
      <c r="I119" t="str">
        <f>IF(SALE!I123=0,"",SALE!I123)</f>
        <v/>
      </c>
      <c r="J119" t="str">
        <f>IF(SALE!J123=0,"",SALE!J123)</f>
        <v/>
      </c>
    </row>
    <row r="120" spans="1:10">
      <c r="A120">
        <f>IF(SALE!A124=0,"",SALE!A124)</f>
        <v>119</v>
      </c>
      <c r="B120" t="str">
        <f>IF(SALE!B124=0,"",SALE!B124)</f>
        <v/>
      </c>
      <c r="C120" t="str">
        <f>IF(SALE!C124=0,"",SALE!C124)</f>
        <v/>
      </c>
      <c r="D120" t="str">
        <f>IF(SALE!D124=0,"",SALE!D124)</f>
        <v/>
      </c>
      <c r="E120" s="10" t="str">
        <f>IF(SALE!E124=0,"",SALE!E124)</f>
        <v/>
      </c>
      <c r="F120" s="10" t="str">
        <f>IF(SALE!F124=0,"",SALE!F124)</f>
        <v/>
      </c>
      <c r="G120" s="2" t="str">
        <f>IF(SALE!G124=0,"",SALE!G124)</f>
        <v/>
      </c>
      <c r="H120" t="str">
        <f>IF(SALE!H124=0,"",SALE!H124)</f>
        <v/>
      </c>
      <c r="I120" t="str">
        <f>IF(SALE!I124=0,"",SALE!I124)</f>
        <v/>
      </c>
      <c r="J120" t="str">
        <f>IF(SALE!J124=0,"",SALE!J124)</f>
        <v/>
      </c>
    </row>
    <row r="121" spans="1:10">
      <c r="A121">
        <f>IF(SALE!A125=0,"",SALE!A125)</f>
        <v>120</v>
      </c>
      <c r="B121" t="str">
        <f>IF(SALE!B125=0,"",SALE!B125)</f>
        <v/>
      </c>
      <c r="C121" t="str">
        <f>IF(SALE!C125=0,"",SALE!C125)</f>
        <v/>
      </c>
      <c r="D121" t="str">
        <f>IF(SALE!D125=0,"",SALE!D125)</f>
        <v/>
      </c>
      <c r="E121" s="10" t="str">
        <f>IF(SALE!E125=0,"",SALE!E125)</f>
        <v/>
      </c>
      <c r="F121" s="10" t="str">
        <f>IF(SALE!F125=0,"",SALE!F125)</f>
        <v/>
      </c>
      <c r="G121" s="2" t="str">
        <f>IF(SALE!G125=0,"",SALE!G125)</f>
        <v/>
      </c>
      <c r="H121" t="str">
        <f>IF(SALE!H125=0,"",SALE!H125)</f>
        <v/>
      </c>
      <c r="I121" t="str">
        <f>IF(SALE!I125=0,"",SALE!I125)</f>
        <v/>
      </c>
      <c r="J121" t="str">
        <f>IF(SALE!J125=0,"",SALE!J125)</f>
        <v/>
      </c>
    </row>
    <row r="122" spans="1:10">
      <c r="A122">
        <f>IF(SALE!A126=0,"",SALE!A126)</f>
        <v>121</v>
      </c>
      <c r="B122" t="str">
        <f>IF(SALE!B126=0,"",SALE!B126)</f>
        <v/>
      </c>
      <c r="C122" t="str">
        <f>IF(SALE!C126=0,"",SALE!C126)</f>
        <v/>
      </c>
      <c r="D122" t="str">
        <f>IF(SALE!D126=0,"",SALE!D126)</f>
        <v/>
      </c>
      <c r="E122" s="10" t="str">
        <f>IF(SALE!E126=0,"",SALE!E126)</f>
        <v/>
      </c>
      <c r="F122" s="10" t="str">
        <f>IF(SALE!F126=0,"",SALE!F126)</f>
        <v/>
      </c>
      <c r="G122" s="2" t="str">
        <f>IF(SALE!G126=0,"",SALE!G126)</f>
        <v/>
      </c>
      <c r="H122" t="str">
        <f>IF(SALE!H126=0,"",SALE!H126)</f>
        <v/>
      </c>
      <c r="I122" t="str">
        <f>IF(SALE!I126=0,"",SALE!I126)</f>
        <v/>
      </c>
      <c r="J122" t="str">
        <f>IF(SALE!J126=0,"",SALE!J126)</f>
        <v/>
      </c>
    </row>
    <row r="123" spans="1:10">
      <c r="A123">
        <f>IF(SALE!A127=0,"",SALE!A127)</f>
        <v>122</v>
      </c>
      <c r="B123" t="str">
        <f>IF(SALE!B127=0,"",SALE!B127)</f>
        <v/>
      </c>
      <c r="C123" t="str">
        <f>IF(SALE!C127=0,"",SALE!C127)</f>
        <v/>
      </c>
      <c r="D123" t="str">
        <f>IF(SALE!D127=0,"",SALE!D127)</f>
        <v/>
      </c>
      <c r="E123" s="10" t="str">
        <f>IF(SALE!E127=0,"",SALE!E127)</f>
        <v/>
      </c>
      <c r="F123" s="10" t="str">
        <f>IF(SALE!F127=0,"",SALE!F127)</f>
        <v/>
      </c>
      <c r="G123" s="2" t="str">
        <f>IF(SALE!G127=0,"",SALE!G127)</f>
        <v/>
      </c>
      <c r="H123" t="str">
        <f>IF(SALE!H127=0,"",SALE!H127)</f>
        <v/>
      </c>
      <c r="I123" t="str">
        <f>IF(SALE!I127=0,"",SALE!I127)</f>
        <v/>
      </c>
      <c r="J123" t="str">
        <f>IF(SALE!J127=0,"",SALE!J127)</f>
        <v/>
      </c>
    </row>
    <row r="124" spans="1:10">
      <c r="A124">
        <f>IF(SALE!A128=0,"",SALE!A128)</f>
        <v>123</v>
      </c>
      <c r="B124" t="str">
        <f>IF(SALE!B128=0,"",SALE!B128)</f>
        <v/>
      </c>
      <c r="C124" t="str">
        <f>IF(SALE!C128=0,"",SALE!C128)</f>
        <v/>
      </c>
      <c r="D124" t="str">
        <f>IF(SALE!D128=0,"",SALE!D128)</f>
        <v/>
      </c>
      <c r="E124" s="10" t="str">
        <f>IF(SALE!E128=0,"",SALE!E128)</f>
        <v/>
      </c>
      <c r="F124" s="10" t="str">
        <f>IF(SALE!F128=0,"",SALE!F128)</f>
        <v/>
      </c>
      <c r="G124" s="2" t="str">
        <f>IF(SALE!G128=0,"",SALE!G128)</f>
        <v/>
      </c>
      <c r="H124" t="str">
        <f>IF(SALE!H128=0,"",SALE!H128)</f>
        <v/>
      </c>
      <c r="I124" t="str">
        <f>IF(SALE!I128=0,"",SALE!I128)</f>
        <v/>
      </c>
      <c r="J124" t="str">
        <f>IF(SALE!J128=0,"",SALE!J128)</f>
        <v/>
      </c>
    </row>
    <row r="125" spans="1:10">
      <c r="A125">
        <f>IF(SALE!A129=0,"",SALE!A129)</f>
        <v>124</v>
      </c>
      <c r="B125" t="str">
        <f>IF(SALE!B129=0,"",SALE!B129)</f>
        <v/>
      </c>
      <c r="C125" t="str">
        <f>IF(SALE!C129=0,"",SALE!C129)</f>
        <v/>
      </c>
      <c r="D125" t="str">
        <f>IF(SALE!D129=0,"",SALE!D129)</f>
        <v/>
      </c>
      <c r="E125" s="10" t="str">
        <f>IF(SALE!E129=0,"",SALE!E129)</f>
        <v/>
      </c>
      <c r="F125" s="10" t="str">
        <f>IF(SALE!F129=0,"",SALE!F129)</f>
        <v/>
      </c>
      <c r="G125" s="2" t="str">
        <f>IF(SALE!G129=0,"",SALE!G129)</f>
        <v/>
      </c>
      <c r="H125" t="str">
        <f>IF(SALE!H129=0,"",SALE!H129)</f>
        <v/>
      </c>
      <c r="I125" t="str">
        <f>IF(SALE!I129=0,"",SALE!I129)</f>
        <v/>
      </c>
      <c r="J125" t="str">
        <f>IF(SALE!J129=0,"",SALE!J129)</f>
        <v/>
      </c>
    </row>
    <row r="126" spans="1:10">
      <c r="A126">
        <f>IF(SALE!A130=0,"",SALE!A130)</f>
        <v>125</v>
      </c>
      <c r="B126" t="str">
        <f>IF(SALE!B130=0,"",SALE!B130)</f>
        <v/>
      </c>
      <c r="C126" t="str">
        <f>IF(SALE!C130=0,"",SALE!C130)</f>
        <v/>
      </c>
      <c r="D126" t="str">
        <f>IF(SALE!D130=0,"",SALE!D130)</f>
        <v/>
      </c>
      <c r="E126" s="10" t="str">
        <f>IF(SALE!E130=0,"",SALE!E130)</f>
        <v/>
      </c>
      <c r="F126" s="10" t="str">
        <f>IF(SALE!F130=0,"",SALE!F130)</f>
        <v/>
      </c>
      <c r="G126" s="2" t="str">
        <f>IF(SALE!G130=0,"",SALE!G130)</f>
        <v/>
      </c>
      <c r="H126" t="str">
        <f>IF(SALE!H130=0,"",SALE!H130)</f>
        <v/>
      </c>
      <c r="I126" t="str">
        <f>IF(SALE!I130=0,"",SALE!I130)</f>
        <v/>
      </c>
      <c r="J126" t="str">
        <f>IF(SALE!J130=0,"",SALE!J130)</f>
        <v/>
      </c>
    </row>
    <row r="127" spans="1:10">
      <c r="A127">
        <f>IF(SALE!A131=0,"",SALE!A131)</f>
        <v>126</v>
      </c>
      <c r="B127" t="str">
        <f>IF(SALE!B131=0,"",SALE!B131)</f>
        <v/>
      </c>
      <c r="C127" t="str">
        <f>IF(SALE!C131=0,"",SALE!C131)</f>
        <v/>
      </c>
      <c r="D127" t="str">
        <f>IF(SALE!D131=0,"",SALE!D131)</f>
        <v/>
      </c>
      <c r="E127" s="10" t="str">
        <f>IF(SALE!E131=0,"",SALE!E131)</f>
        <v/>
      </c>
      <c r="F127" s="10" t="str">
        <f>IF(SALE!F131=0,"",SALE!F131)</f>
        <v/>
      </c>
      <c r="G127" s="2" t="str">
        <f>IF(SALE!G131=0,"",SALE!G131)</f>
        <v/>
      </c>
      <c r="H127" t="str">
        <f>IF(SALE!H131=0,"",SALE!H131)</f>
        <v/>
      </c>
      <c r="I127" t="str">
        <f>IF(SALE!I131=0,"",SALE!I131)</f>
        <v/>
      </c>
      <c r="J127" t="str">
        <f>IF(SALE!J131=0,"",SALE!J131)</f>
        <v/>
      </c>
    </row>
    <row r="128" spans="1:10">
      <c r="A128">
        <f>IF(SALE!A132=0,"",SALE!A132)</f>
        <v>127</v>
      </c>
      <c r="B128" t="str">
        <f>IF(SALE!B132=0,"",SALE!B132)</f>
        <v/>
      </c>
      <c r="C128" t="str">
        <f>IF(SALE!C132=0,"",SALE!C132)</f>
        <v/>
      </c>
      <c r="D128" t="str">
        <f>IF(SALE!D132=0,"",SALE!D132)</f>
        <v/>
      </c>
      <c r="E128" s="10" t="str">
        <f>IF(SALE!E132=0,"",SALE!E132)</f>
        <v/>
      </c>
      <c r="F128" s="10" t="str">
        <f>IF(SALE!F132=0,"",SALE!F132)</f>
        <v/>
      </c>
      <c r="G128" s="2" t="str">
        <f>IF(SALE!G132=0,"",SALE!G132)</f>
        <v/>
      </c>
      <c r="H128" t="str">
        <f>IF(SALE!H132=0,"",SALE!H132)</f>
        <v/>
      </c>
      <c r="I128" t="str">
        <f>IF(SALE!I132=0,"",SALE!I132)</f>
        <v/>
      </c>
      <c r="J128" t="str">
        <f>IF(SALE!J132=0,"",SALE!J132)</f>
        <v/>
      </c>
    </row>
    <row r="129" spans="1:10">
      <c r="A129">
        <f>IF(SALE!A133=0,"",SALE!A133)</f>
        <v>128</v>
      </c>
      <c r="B129" t="str">
        <f>IF(SALE!B133=0,"",SALE!B133)</f>
        <v/>
      </c>
      <c r="C129" t="str">
        <f>IF(SALE!C133=0,"",SALE!C133)</f>
        <v/>
      </c>
      <c r="D129" t="str">
        <f>IF(SALE!D133=0,"",SALE!D133)</f>
        <v/>
      </c>
      <c r="E129" s="10" t="str">
        <f>IF(SALE!E133=0,"",SALE!E133)</f>
        <v/>
      </c>
      <c r="F129" s="10" t="str">
        <f>IF(SALE!F133=0,"",SALE!F133)</f>
        <v/>
      </c>
      <c r="G129" s="2" t="str">
        <f>IF(SALE!G133=0,"",SALE!G133)</f>
        <v/>
      </c>
      <c r="H129" t="str">
        <f>IF(SALE!H133=0,"",SALE!H133)</f>
        <v/>
      </c>
      <c r="I129" t="str">
        <f>IF(SALE!I133=0,"",SALE!I133)</f>
        <v/>
      </c>
      <c r="J129" t="str">
        <f>IF(SALE!J133=0,"",SALE!J133)</f>
        <v/>
      </c>
    </row>
    <row r="130" spans="1:10">
      <c r="A130">
        <f>IF(SALE!A134=0,"",SALE!A134)</f>
        <v>129</v>
      </c>
      <c r="B130" t="str">
        <f>IF(SALE!B134=0,"",SALE!B134)</f>
        <v/>
      </c>
      <c r="C130" t="str">
        <f>IF(SALE!C134=0,"",SALE!C134)</f>
        <v/>
      </c>
      <c r="D130" t="str">
        <f>IF(SALE!D134=0,"",SALE!D134)</f>
        <v/>
      </c>
      <c r="E130" s="10" t="str">
        <f>IF(SALE!E134=0,"",SALE!E134)</f>
        <v/>
      </c>
      <c r="F130" s="10" t="str">
        <f>IF(SALE!F134=0,"",SALE!F134)</f>
        <v/>
      </c>
      <c r="G130" s="2" t="str">
        <f>IF(SALE!G134=0,"",SALE!G134)</f>
        <v/>
      </c>
      <c r="H130" t="str">
        <f>IF(SALE!H134=0,"",SALE!H134)</f>
        <v/>
      </c>
      <c r="I130" t="str">
        <f>IF(SALE!I134=0,"",SALE!I134)</f>
        <v/>
      </c>
      <c r="J130" t="str">
        <f>IF(SALE!J134=0,"",SALE!J134)</f>
        <v/>
      </c>
    </row>
    <row r="131" spans="1:10">
      <c r="A131">
        <f>IF(SALE!A135=0,"",SALE!A135)</f>
        <v>130</v>
      </c>
      <c r="B131" t="str">
        <f>IF(SALE!B135=0,"",SALE!B135)</f>
        <v/>
      </c>
      <c r="C131" t="str">
        <f>IF(SALE!C135=0,"",SALE!C135)</f>
        <v/>
      </c>
      <c r="D131" t="str">
        <f>IF(SALE!D135=0,"",SALE!D135)</f>
        <v/>
      </c>
      <c r="E131" s="10" t="str">
        <f>IF(SALE!E135=0,"",SALE!E135)</f>
        <v/>
      </c>
      <c r="F131" s="10" t="str">
        <f>IF(SALE!F135=0,"",SALE!F135)</f>
        <v/>
      </c>
      <c r="G131" s="2" t="str">
        <f>IF(SALE!G135=0,"",SALE!G135)</f>
        <v/>
      </c>
      <c r="H131" t="str">
        <f>IF(SALE!H135=0,"",SALE!H135)</f>
        <v/>
      </c>
      <c r="I131" t="str">
        <f>IF(SALE!I135=0,"",SALE!I135)</f>
        <v/>
      </c>
      <c r="J131" t="str">
        <f>IF(SALE!J135=0,"",SALE!J135)</f>
        <v/>
      </c>
    </row>
    <row r="132" spans="1:10">
      <c r="A132">
        <f>IF(SALE!A136=0,"",SALE!A136)</f>
        <v>131</v>
      </c>
      <c r="B132" t="str">
        <f>IF(SALE!B136=0,"",SALE!B136)</f>
        <v/>
      </c>
      <c r="C132" t="str">
        <f>IF(SALE!C136=0,"",SALE!C136)</f>
        <v/>
      </c>
      <c r="D132" t="str">
        <f>IF(SALE!D136=0,"",SALE!D136)</f>
        <v/>
      </c>
      <c r="E132" s="10" t="str">
        <f>IF(SALE!E136=0,"",SALE!E136)</f>
        <v/>
      </c>
      <c r="F132" s="10" t="str">
        <f>IF(SALE!F136=0,"",SALE!F136)</f>
        <v/>
      </c>
      <c r="G132" s="2" t="str">
        <f>IF(SALE!G136=0,"",SALE!G136)</f>
        <v/>
      </c>
      <c r="H132" t="str">
        <f>IF(SALE!H136=0,"",SALE!H136)</f>
        <v/>
      </c>
      <c r="I132" t="str">
        <f>IF(SALE!I136=0,"",SALE!I136)</f>
        <v/>
      </c>
      <c r="J132" t="str">
        <f>IF(SALE!J136=0,"",SALE!J136)</f>
        <v/>
      </c>
    </row>
    <row r="133" spans="1:10">
      <c r="A133">
        <f>IF(SALE!A137=0,"",SALE!A137)</f>
        <v>132</v>
      </c>
      <c r="B133" t="str">
        <f>IF(SALE!B137=0,"",SALE!B137)</f>
        <v/>
      </c>
      <c r="C133" t="str">
        <f>IF(SALE!C137=0,"",SALE!C137)</f>
        <v/>
      </c>
      <c r="D133" t="str">
        <f>IF(SALE!D137=0,"",SALE!D137)</f>
        <v/>
      </c>
      <c r="E133" s="10" t="str">
        <f>IF(SALE!E137=0,"",SALE!E137)</f>
        <v/>
      </c>
      <c r="F133" s="10" t="str">
        <f>IF(SALE!F137=0,"",SALE!F137)</f>
        <v/>
      </c>
      <c r="G133" s="2" t="str">
        <f>IF(SALE!G137=0,"",SALE!G137)</f>
        <v/>
      </c>
      <c r="H133" t="str">
        <f>IF(SALE!H137=0,"",SALE!H137)</f>
        <v/>
      </c>
      <c r="I133" t="str">
        <f>IF(SALE!I137=0,"",SALE!I137)</f>
        <v/>
      </c>
      <c r="J133" t="str">
        <f>IF(SALE!J137=0,"",SALE!J137)</f>
        <v/>
      </c>
    </row>
    <row r="134" spans="1:10">
      <c r="A134">
        <f>IF(SALE!A138=0,"",SALE!A138)</f>
        <v>133</v>
      </c>
      <c r="B134" t="str">
        <f>IF(SALE!B138=0,"",SALE!B138)</f>
        <v/>
      </c>
      <c r="C134" t="str">
        <f>IF(SALE!C138=0,"",SALE!C138)</f>
        <v/>
      </c>
      <c r="D134" t="str">
        <f>IF(SALE!D138=0,"",SALE!D138)</f>
        <v/>
      </c>
      <c r="E134" s="10" t="str">
        <f>IF(SALE!E138=0,"",SALE!E138)</f>
        <v/>
      </c>
      <c r="F134" s="10" t="str">
        <f>IF(SALE!F138=0,"",SALE!F138)</f>
        <v/>
      </c>
      <c r="G134" s="2" t="str">
        <f>IF(SALE!G138=0,"",SALE!G138)</f>
        <v/>
      </c>
      <c r="H134" t="str">
        <f>IF(SALE!H138=0,"",SALE!H138)</f>
        <v/>
      </c>
      <c r="I134" t="str">
        <f>IF(SALE!I138=0,"",SALE!I138)</f>
        <v/>
      </c>
      <c r="J134" t="str">
        <f>IF(SALE!J138=0,"",SALE!J138)</f>
        <v/>
      </c>
    </row>
    <row r="135" spans="1:10">
      <c r="A135">
        <f>IF(SALE!A139=0,"",SALE!A139)</f>
        <v>134</v>
      </c>
      <c r="B135" t="str">
        <f>IF(SALE!B139=0,"",SALE!B139)</f>
        <v/>
      </c>
      <c r="C135" t="str">
        <f>IF(SALE!C139=0,"",SALE!C139)</f>
        <v/>
      </c>
      <c r="D135" t="str">
        <f>IF(SALE!D139=0,"",SALE!D139)</f>
        <v/>
      </c>
      <c r="E135" s="10" t="str">
        <f>IF(SALE!E139=0,"",SALE!E139)</f>
        <v/>
      </c>
      <c r="F135" s="10" t="str">
        <f>IF(SALE!F139=0,"",SALE!F139)</f>
        <v/>
      </c>
      <c r="G135" s="2" t="str">
        <f>IF(SALE!G139=0,"",SALE!G139)</f>
        <v/>
      </c>
      <c r="H135" t="str">
        <f>IF(SALE!H139=0,"",SALE!H139)</f>
        <v/>
      </c>
      <c r="I135" t="str">
        <f>IF(SALE!I139=0,"",SALE!I139)</f>
        <v/>
      </c>
      <c r="J135" t="str">
        <f>IF(SALE!J139=0,"",SALE!J139)</f>
        <v/>
      </c>
    </row>
    <row r="136" spans="1:10">
      <c r="A136">
        <f>IF(SALE!A140=0,"",SALE!A140)</f>
        <v>135</v>
      </c>
      <c r="B136" t="str">
        <f>IF(SALE!B140=0,"",SALE!B140)</f>
        <v/>
      </c>
      <c r="C136" t="str">
        <f>IF(SALE!C140=0,"",SALE!C140)</f>
        <v/>
      </c>
      <c r="D136" t="str">
        <f>IF(SALE!D140=0,"",SALE!D140)</f>
        <v/>
      </c>
      <c r="E136" s="10" t="str">
        <f>IF(SALE!E140=0,"",SALE!E140)</f>
        <v/>
      </c>
      <c r="F136" s="10" t="str">
        <f>IF(SALE!F140=0,"",SALE!F140)</f>
        <v/>
      </c>
      <c r="G136" s="2" t="str">
        <f>IF(SALE!G140=0,"",SALE!G140)</f>
        <v/>
      </c>
      <c r="H136" t="str">
        <f>IF(SALE!H140=0,"",SALE!H140)</f>
        <v/>
      </c>
      <c r="I136" t="str">
        <f>IF(SALE!I140=0,"",SALE!I140)</f>
        <v/>
      </c>
      <c r="J136" t="str">
        <f>IF(SALE!J140=0,"",SALE!J140)</f>
        <v/>
      </c>
    </row>
    <row r="137" spans="1:10">
      <c r="A137">
        <f>IF(SALE!A141=0,"",SALE!A141)</f>
        <v>136</v>
      </c>
      <c r="B137" t="str">
        <f>IF(SALE!B141=0,"",SALE!B141)</f>
        <v/>
      </c>
      <c r="C137" t="str">
        <f>IF(SALE!C141=0,"",SALE!C141)</f>
        <v/>
      </c>
      <c r="D137" t="str">
        <f>IF(SALE!D141=0,"",SALE!D141)</f>
        <v/>
      </c>
      <c r="E137" s="10" t="str">
        <f>IF(SALE!E141=0,"",SALE!E141)</f>
        <v/>
      </c>
      <c r="F137" s="10" t="str">
        <f>IF(SALE!F141=0,"",SALE!F141)</f>
        <v/>
      </c>
      <c r="G137" s="2" t="str">
        <f>IF(SALE!G141=0,"",SALE!G141)</f>
        <v/>
      </c>
      <c r="H137" t="str">
        <f>IF(SALE!H141=0,"",SALE!H141)</f>
        <v/>
      </c>
      <c r="I137" t="str">
        <f>IF(SALE!I141=0,"",SALE!I141)</f>
        <v/>
      </c>
      <c r="J137" t="str">
        <f>IF(SALE!J141=0,"",SALE!J141)</f>
        <v/>
      </c>
    </row>
    <row r="138" spans="1:10">
      <c r="A138">
        <f>IF(SALE!A142=0,"",SALE!A142)</f>
        <v>137</v>
      </c>
      <c r="B138" t="str">
        <f>IF(SALE!B142=0,"",SALE!B142)</f>
        <v/>
      </c>
      <c r="C138" t="str">
        <f>IF(SALE!C142=0,"",SALE!C142)</f>
        <v/>
      </c>
      <c r="D138" t="str">
        <f>IF(SALE!D142=0,"",SALE!D142)</f>
        <v/>
      </c>
      <c r="E138" s="10" t="str">
        <f>IF(SALE!E142=0,"",SALE!E142)</f>
        <v/>
      </c>
      <c r="F138" s="10" t="str">
        <f>IF(SALE!F142=0,"",SALE!F142)</f>
        <v/>
      </c>
      <c r="G138" s="2" t="str">
        <f>IF(SALE!G142=0,"",SALE!G142)</f>
        <v/>
      </c>
      <c r="H138" t="str">
        <f>IF(SALE!H142=0,"",SALE!H142)</f>
        <v/>
      </c>
      <c r="I138" t="str">
        <f>IF(SALE!I142=0,"",SALE!I142)</f>
        <v/>
      </c>
      <c r="J138" t="str">
        <f>IF(SALE!J142=0,"",SALE!J142)</f>
        <v/>
      </c>
    </row>
    <row r="139" spans="1:10">
      <c r="A139">
        <f>IF(SALE!A143=0,"",SALE!A143)</f>
        <v>138</v>
      </c>
      <c r="B139" t="str">
        <f>IF(SALE!B143=0,"",SALE!B143)</f>
        <v/>
      </c>
      <c r="C139" t="str">
        <f>IF(SALE!C143=0,"",SALE!C143)</f>
        <v/>
      </c>
      <c r="D139" t="str">
        <f>IF(SALE!D143=0,"",SALE!D143)</f>
        <v/>
      </c>
      <c r="E139" s="10" t="str">
        <f>IF(SALE!E143=0,"",SALE!E143)</f>
        <v/>
      </c>
      <c r="F139" s="10" t="str">
        <f>IF(SALE!F143=0,"",SALE!F143)</f>
        <v/>
      </c>
      <c r="G139" s="2" t="str">
        <f>IF(SALE!G143=0,"",SALE!G143)</f>
        <v/>
      </c>
      <c r="H139" t="str">
        <f>IF(SALE!H143=0,"",SALE!H143)</f>
        <v/>
      </c>
      <c r="I139" t="str">
        <f>IF(SALE!I143=0,"",SALE!I143)</f>
        <v/>
      </c>
      <c r="J139" t="str">
        <f>IF(SALE!J143=0,"",SALE!J143)</f>
        <v/>
      </c>
    </row>
    <row r="140" spans="1:10">
      <c r="A140">
        <f>IF(SALE!A144=0,"",SALE!A144)</f>
        <v>139</v>
      </c>
      <c r="B140" t="str">
        <f>IF(SALE!B144=0,"",SALE!B144)</f>
        <v/>
      </c>
      <c r="C140" t="str">
        <f>IF(SALE!C144=0,"",SALE!C144)</f>
        <v/>
      </c>
      <c r="D140" t="str">
        <f>IF(SALE!D144=0,"",SALE!D144)</f>
        <v/>
      </c>
      <c r="E140" s="10" t="str">
        <f>IF(SALE!E144=0,"",SALE!E144)</f>
        <v/>
      </c>
      <c r="F140" s="10" t="str">
        <f>IF(SALE!F144=0,"",SALE!F144)</f>
        <v/>
      </c>
      <c r="G140" s="2" t="str">
        <f>IF(SALE!G144=0,"",SALE!G144)</f>
        <v/>
      </c>
      <c r="H140" t="str">
        <f>IF(SALE!H144=0,"",SALE!H144)</f>
        <v/>
      </c>
      <c r="I140" t="str">
        <f>IF(SALE!I144=0,"",SALE!I144)</f>
        <v/>
      </c>
      <c r="J140" t="str">
        <f>IF(SALE!J144=0,"",SALE!J144)</f>
        <v/>
      </c>
    </row>
    <row r="141" spans="1:10">
      <c r="A141">
        <f>IF(SALE!A145=0,"",SALE!A145)</f>
        <v>140</v>
      </c>
      <c r="B141" t="str">
        <f>IF(SALE!B145=0,"",SALE!B145)</f>
        <v/>
      </c>
      <c r="C141" t="str">
        <f>IF(SALE!C145=0,"",SALE!C145)</f>
        <v/>
      </c>
      <c r="D141" t="str">
        <f>IF(SALE!D145=0,"",SALE!D145)</f>
        <v/>
      </c>
      <c r="E141" s="10" t="str">
        <f>IF(SALE!E145=0,"",SALE!E145)</f>
        <v/>
      </c>
      <c r="F141" s="10" t="str">
        <f>IF(SALE!F145=0,"",SALE!F145)</f>
        <v/>
      </c>
      <c r="G141" s="2" t="str">
        <f>IF(SALE!G145=0,"",SALE!G145)</f>
        <v/>
      </c>
      <c r="H141" t="str">
        <f>IF(SALE!H145=0,"",SALE!H145)</f>
        <v/>
      </c>
      <c r="I141" t="str">
        <f>IF(SALE!I145=0,"",SALE!I145)</f>
        <v/>
      </c>
      <c r="J141" t="str">
        <f>IF(SALE!J145=0,"",SALE!J145)</f>
        <v/>
      </c>
    </row>
    <row r="142" spans="1:10">
      <c r="A142">
        <f>IF(SALE!A146=0,"",SALE!A146)</f>
        <v>141</v>
      </c>
      <c r="B142" t="str">
        <f>IF(SALE!B146=0,"",SALE!B146)</f>
        <v/>
      </c>
      <c r="C142" t="str">
        <f>IF(SALE!C146=0,"",SALE!C146)</f>
        <v/>
      </c>
      <c r="D142" t="str">
        <f>IF(SALE!D146=0,"",SALE!D146)</f>
        <v/>
      </c>
      <c r="E142" s="10" t="str">
        <f>IF(SALE!E146=0,"",SALE!E146)</f>
        <v/>
      </c>
      <c r="F142" s="10" t="str">
        <f>IF(SALE!F146=0,"",SALE!F146)</f>
        <v/>
      </c>
      <c r="G142" s="2" t="str">
        <f>IF(SALE!G146=0,"",SALE!G146)</f>
        <v/>
      </c>
      <c r="H142" t="str">
        <f>IF(SALE!H146=0,"",SALE!H146)</f>
        <v/>
      </c>
      <c r="I142" t="str">
        <f>IF(SALE!I146=0,"",SALE!I146)</f>
        <v/>
      </c>
      <c r="J142" t="str">
        <f>IF(SALE!J146=0,"",SALE!J146)</f>
        <v/>
      </c>
    </row>
    <row r="143" spans="1:10">
      <c r="A143">
        <f>IF(SALE!A147=0,"",SALE!A147)</f>
        <v>142</v>
      </c>
      <c r="B143" t="str">
        <f>IF(SALE!B147=0,"",SALE!B147)</f>
        <v/>
      </c>
      <c r="C143" t="str">
        <f>IF(SALE!C147=0,"",SALE!C147)</f>
        <v/>
      </c>
      <c r="D143" t="str">
        <f>IF(SALE!D147=0,"",SALE!D147)</f>
        <v/>
      </c>
      <c r="E143" s="10" t="str">
        <f>IF(SALE!E147=0,"",SALE!E147)</f>
        <v/>
      </c>
      <c r="F143" s="10" t="str">
        <f>IF(SALE!F147=0,"",SALE!F147)</f>
        <v/>
      </c>
      <c r="G143" s="2" t="str">
        <f>IF(SALE!G147=0,"",SALE!G147)</f>
        <v/>
      </c>
      <c r="H143" t="str">
        <f>IF(SALE!H147=0,"",SALE!H147)</f>
        <v/>
      </c>
      <c r="I143" t="str">
        <f>IF(SALE!I147=0,"",SALE!I147)</f>
        <v/>
      </c>
      <c r="J143" t="str">
        <f>IF(SALE!J147=0,"",SALE!J147)</f>
        <v/>
      </c>
    </row>
    <row r="144" spans="1:10">
      <c r="A144">
        <f>IF(SALE!A148=0,"",SALE!A148)</f>
        <v>143</v>
      </c>
      <c r="B144" t="str">
        <f>IF(SALE!B148=0,"",SALE!B148)</f>
        <v/>
      </c>
      <c r="C144" t="str">
        <f>IF(SALE!C148=0,"",SALE!C148)</f>
        <v/>
      </c>
      <c r="D144" t="str">
        <f>IF(SALE!D148=0,"",SALE!D148)</f>
        <v/>
      </c>
      <c r="E144" s="10" t="str">
        <f>IF(SALE!E148=0,"",SALE!E148)</f>
        <v/>
      </c>
      <c r="F144" s="10" t="str">
        <f>IF(SALE!F148=0,"",SALE!F148)</f>
        <v/>
      </c>
      <c r="G144" s="2" t="str">
        <f>IF(SALE!G148=0,"",SALE!G148)</f>
        <v/>
      </c>
      <c r="H144" t="str">
        <f>IF(SALE!H148=0,"",SALE!H148)</f>
        <v/>
      </c>
      <c r="I144" t="str">
        <f>IF(SALE!I148=0,"",SALE!I148)</f>
        <v/>
      </c>
      <c r="J144" t="str">
        <f>IF(SALE!J148=0,"",SALE!J148)</f>
        <v/>
      </c>
    </row>
    <row r="145" spans="1:10">
      <c r="A145">
        <f>IF(SALE!A149=0,"",SALE!A149)</f>
        <v>144</v>
      </c>
      <c r="B145" t="str">
        <f>IF(SALE!B149=0,"",SALE!B149)</f>
        <v/>
      </c>
      <c r="C145" t="str">
        <f>IF(SALE!C149=0,"",SALE!C149)</f>
        <v/>
      </c>
      <c r="D145" t="str">
        <f>IF(SALE!D149=0,"",SALE!D149)</f>
        <v/>
      </c>
      <c r="E145" s="10" t="str">
        <f>IF(SALE!E149=0,"",SALE!E149)</f>
        <v/>
      </c>
      <c r="F145" s="10" t="str">
        <f>IF(SALE!F149=0,"",SALE!F149)</f>
        <v/>
      </c>
      <c r="G145" s="2" t="str">
        <f>IF(SALE!G149=0,"",SALE!G149)</f>
        <v/>
      </c>
      <c r="H145" t="str">
        <f>IF(SALE!H149=0,"",SALE!H149)</f>
        <v/>
      </c>
      <c r="I145" t="str">
        <f>IF(SALE!I149=0,"",SALE!I149)</f>
        <v/>
      </c>
      <c r="J145" t="str">
        <f>IF(SALE!J149=0,"",SALE!J149)</f>
        <v/>
      </c>
    </row>
    <row r="146" spans="1:10">
      <c r="A146">
        <f>IF(SALE!A150=0,"",SALE!A150)</f>
        <v>145</v>
      </c>
      <c r="B146" t="str">
        <f>IF(SALE!B150=0,"",SALE!B150)</f>
        <v/>
      </c>
      <c r="C146" t="str">
        <f>IF(SALE!C150=0,"",SALE!C150)</f>
        <v/>
      </c>
      <c r="D146" t="str">
        <f>IF(SALE!D150=0,"",SALE!D150)</f>
        <v/>
      </c>
      <c r="E146" s="10" t="str">
        <f>IF(SALE!E150=0,"",SALE!E150)</f>
        <v/>
      </c>
      <c r="F146" s="10" t="str">
        <f>IF(SALE!F150=0,"",SALE!F150)</f>
        <v/>
      </c>
      <c r="G146" s="2" t="str">
        <f>IF(SALE!G150=0,"",SALE!G150)</f>
        <v/>
      </c>
      <c r="H146" t="str">
        <f>IF(SALE!H150=0,"",SALE!H150)</f>
        <v/>
      </c>
      <c r="I146" t="str">
        <f>IF(SALE!I150=0,"",SALE!I150)</f>
        <v/>
      </c>
      <c r="J146" t="str">
        <f>IF(SALE!J150=0,"",SALE!J150)</f>
        <v/>
      </c>
    </row>
    <row r="147" spans="1:10">
      <c r="A147">
        <f>IF(SALE!A151=0,"",SALE!A151)</f>
        <v>146</v>
      </c>
      <c r="B147" t="str">
        <f>IF(SALE!B151=0,"",SALE!B151)</f>
        <v/>
      </c>
      <c r="C147" t="str">
        <f>IF(SALE!C151=0,"",SALE!C151)</f>
        <v/>
      </c>
      <c r="D147" t="str">
        <f>IF(SALE!D151=0,"",SALE!D151)</f>
        <v/>
      </c>
      <c r="E147" s="10" t="str">
        <f>IF(SALE!E151=0,"",SALE!E151)</f>
        <v/>
      </c>
      <c r="F147" s="10" t="str">
        <f>IF(SALE!F151=0,"",SALE!F151)</f>
        <v/>
      </c>
      <c r="G147" s="2" t="str">
        <f>IF(SALE!G151=0,"",SALE!G151)</f>
        <v/>
      </c>
      <c r="H147" t="str">
        <f>IF(SALE!H151=0,"",SALE!H151)</f>
        <v/>
      </c>
      <c r="I147" t="str">
        <f>IF(SALE!I151=0,"",SALE!I151)</f>
        <v/>
      </c>
      <c r="J147" t="str">
        <f>IF(SALE!J151=0,"",SALE!J151)</f>
        <v/>
      </c>
    </row>
    <row r="148" spans="1:10">
      <c r="A148">
        <f>IF(SALE!A152=0,"",SALE!A152)</f>
        <v>147</v>
      </c>
      <c r="B148" t="str">
        <f>IF(SALE!B152=0,"",SALE!B152)</f>
        <v/>
      </c>
      <c r="C148" t="str">
        <f>IF(SALE!C152=0,"",SALE!C152)</f>
        <v/>
      </c>
      <c r="D148" t="str">
        <f>IF(SALE!D152=0,"",SALE!D152)</f>
        <v/>
      </c>
      <c r="E148" s="10" t="str">
        <f>IF(SALE!E152=0,"",SALE!E152)</f>
        <v/>
      </c>
      <c r="F148" s="10" t="str">
        <f>IF(SALE!F152=0,"",SALE!F152)</f>
        <v/>
      </c>
      <c r="G148" s="2" t="str">
        <f>IF(SALE!G152=0,"",SALE!G152)</f>
        <v/>
      </c>
      <c r="H148" t="str">
        <f>IF(SALE!H152=0,"",SALE!H152)</f>
        <v/>
      </c>
      <c r="I148" t="str">
        <f>IF(SALE!I152=0,"",SALE!I152)</f>
        <v/>
      </c>
      <c r="J148" t="str">
        <f>IF(SALE!J152=0,"",SALE!J152)</f>
        <v/>
      </c>
    </row>
    <row r="149" spans="1:10">
      <c r="A149">
        <f>IF(SALE!A153=0,"",SALE!A153)</f>
        <v>148</v>
      </c>
      <c r="B149" t="str">
        <f>IF(SALE!B153=0,"",SALE!B153)</f>
        <v/>
      </c>
      <c r="C149" t="str">
        <f>IF(SALE!C153=0,"",SALE!C153)</f>
        <v/>
      </c>
      <c r="D149" t="str">
        <f>IF(SALE!D153=0,"",SALE!D153)</f>
        <v/>
      </c>
      <c r="E149" s="10" t="str">
        <f>IF(SALE!E153=0,"",SALE!E153)</f>
        <v/>
      </c>
      <c r="F149" s="10" t="str">
        <f>IF(SALE!F153=0,"",SALE!F153)</f>
        <v/>
      </c>
      <c r="G149" s="2" t="str">
        <f>IF(SALE!G153=0,"",SALE!G153)</f>
        <v/>
      </c>
      <c r="H149" t="str">
        <f>IF(SALE!H153=0,"",SALE!H153)</f>
        <v/>
      </c>
      <c r="I149" t="str">
        <f>IF(SALE!I153=0,"",SALE!I153)</f>
        <v/>
      </c>
      <c r="J149" t="str">
        <f>IF(SALE!J153=0,"",SALE!J153)</f>
        <v/>
      </c>
    </row>
    <row r="150" spans="1:10">
      <c r="A150">
        <f>IF(SALE!A154=0,"",SALE!A154)</f>
        <v>149</v>
      </c>
      <c r="B150" t="str">
        <f>IF(SALE!B154=0,"",SALE!B154)</f>
        <v/>
      </c>
      <c r="C150" t="str">
        <f>IF(SALE!C154=0,"",SALE!C154)</f>
        <v/>
      </c>
      <c r="D150" t="str">
        <f>IF(SALE!D154=0,"",SALE!D154)</f>
        <v/>
      </c>
      <c r="E150" s="10" t="str">
        <f>IF(SALE!E154=0,"",SALE!E154)</f>
        <v/>
      </c>
      <c r="F150" s="10" t="str">
        <f>IF(SALE!F154=0,"",SALE!F154)</f>
        <v/>
      </c>
      <c r="G150" s="2" t="str">
        <f>IF(SALE!G154=0,"",SALE!G154)</f>
        <v/>
      </c>
      <c r="H150" t="str">
        <f>IF(SALE!H154=0,"",SALE!H154)</f>
        <v/>
      </c>
      <c r="I150" t="str">
        <f>IF(SALE!I154=0,"",SALE!I154)</f>
        <v/>
      </c>
      <c r="J150" t="str">
        <f>IF(SALE!J154=0,"",SALE!J154)</f>
        <v/>
      </c>
    </row>
    <row r="151" spans="1:10">
      <c r="A151">
        <f>IF(SALE!A155=0,"",SALE!A155)</f>
        <v>150</v>
      </c>
      <c r="B151" t="str">
        <f>IF(SALE!B155=0,"",SALE!B155)</f>
        <v/>
      </c>
      <c r="C151" t="str">
        <f>IF(SALE!C155=0,"",SALE!C155)</f>
        <v/>
      </c>
      <c r="D151" t="str">
        <f>IF(SALE!D155=0,"",SALE!D155)</f>
        <v/>
      </c>
      <c r="E151" s="10" t="str">
        <f>IF(SALE!E155=0,"",SALE!E155)</f>
        <v/>
      </c>
      <c r="F151" s="10" t="str">
        <f>IF(SALE!F155=0,"",SALE!F155)</f>
        <v/>
      </c>
      <c r="G151" s="2" t="str">
        <f>IF(SALE!G155=0,"",SALE!G155)</f>
        <v/>
      </c>
      <c r="H151" t="str">
        <f>IF(SALE!H155=0,"",SALE!H155)</f>
        <v/>
      </c>
      <c r="I151" t="str">
        <f>IF(SALE!I155=0,"",SALE!I155)</f>
        <v/>
      </c>
      <c r="J151" t="str">
        <f>IF(SALE!J155=0,"",SALE!J155)</f>
        <v/>
      </c>
    </row>
    <row r="152" spans="1:10">
      <c r="A152">
        <f>IF(SALE!A156=0,"",SALE!A156)</f>
        <v>151</v>
      </c>
      <c r="B152" t="str">
        <f>IF(SALE!B156=0,"",SALE!B156)</f>
        <v/>
      </c>
      <c r="C152" t="str">
        <f>IF(SALE!C156=0,"",SALE!C156)</f>
        <v/>
      </c>
      <c r="D152" t="str">
        <f>IF(SALE!D156=0,"",SALE!D156)</f>
        <v/>
      </c>
      <c r="E152" s="10" t="str">
        <f>IF(SALE!E156=0,"",SALE!E156)</f>
        <v/>
      </c>
      <c r="F152" s="10" t="str">
        <f>IF(SALE!F156=0,"",SALE!F156)</f>
        <v/>
      </c>
      <c r="G152" s="2" t="str">
        <f>IF(SALE!G156=0,"",SALE!G156)</f>
        <v/>
      </c>
      <c r="H152" t="str">
        <f>IF(SALE!H156=0,"",SALE!H156)</f>
        <v/>
      </c>
      <c r="I152" t="str">
        <f>IF(SALE!I156=0,"",SALE!I156)</f>
        <v/>
      </c>
      <c r="J152" t="str">
        <f>IF(SALE!J156=0,"",SALE!J156)</f>
        <v/>
      </c>
    </row>
    <row r="153" spans="1:10">
      <c r="A153">
        <f>IF(SALE!A157=0,"",SALE!A157)</f>
        <v>152</v>
      </c>
      <c r="B153" t="str">
        <f>IF(SALE!B157=0,"",SALE!B157)</f>
        <v/>
      </c>
      <c r="C153" t="str">
        <f>IF(SALE!C157=0,"",SALE!C157)</f>
        <v/>
      </c>
      <c r="D153" t="str">
        <f>IF(SALE!D157=0,"",SALE!D157)</f>
        <v/>
      </c>
      <c r="E153" s="10" t="str">
        <f>IF(SALE!E157=0,"",SALE!E157)</f>
        <v/>
      </c>
      <c r="F153" s="10" t="str">
        <f>IF(SALE!F157=0,"",SALE!F157)</f>
        <v/>
      </c>
      <c r="G153" s="2" t="str">
        <f>IF(SALE!G157=0,"",SALE!G157)</f>
        <v/>
      </c>
      <c r="H153" t="str">
        <f>IF(SALE!H157=0,"",SALE!H157)</f>
        <v/>
      </c>
      <c r="I153" t="str">
        <f>IF(SALE!I157=0,"",SALE!I157)</f>
        <v/>
      </c>
      <c r="J153" t="str">
        <f>IF(SALE!J157=0,"",SALE!J157)</f>
        <v/>
      </c>
    </row>
    <row r="154" spans="1:10">
      <c r="A154">
        <f>IF(SALE!A158=0,"",SALE!A158)</f>
        <v>153</v>
      </c>
      <c r="B154" t="str">
        <f>IF(SALE!B158=0,"",SALE!B158)</f>
        <v/>
      </c>
      <c r="C154" t="str">
        <f>IF(SALE!C158=0,"",SALE!C158)</f>
        <v/>
      </c>
      <c r="D154" t="str">
        <f>IF(SALE!D158=0,"",SALE!D158)</f>
        <v/>
      </c>
      <c r="E154" s="10" t="str">
        <f>IF(SALE!E158=0,"",SALE!E158)</f>
        <v/>
      </c>
      <c r="F154" s="10" t="str">
        <f>IF(SALE!F158=0,"",SALE!F158)</f>
        <v/>
      </c>
      <c r="G154" s="2" t="str">
        <f>IF(SALE!G158=0,"",SALE!G158)</f>
        <v/>
      </c>
      <c r="H154" t="str">
        <f>IF(SALE!H158=0,"",SALE!H158)</f>
        <v/>
      </c>
      <c r="I154" t="str">
        <f>IF(SALE!I158=0,"",SALE!I158)</f>
        <v/>
      </c>
      <c r="J154" t="str">
        <f>IF(SALE!J158=0,"",SALE!J158)</f>
        <v/>
      </c>
    </row>
    <row r="155" spans="1:10">
      <c r="A155">
        <f>IF(SALE!A159=0,"",SALE!A159)</f>
        <v>154</v>
      </c>
      <c r="B155" t="str">
        <f>IF(SALE!B159=0,"",SALE!B159)</f>
        <v/>
      </c>
      <c r="C155" t="str">
        <f>IF(SALE!C159=0,"",SALE!C159)</f>
        <v/>
      </c>
      <c r="D155" t="str">
        <f>IF(SALE!D159=0,"",SALE!D159)</f>
        <v/>
      </c>
      <c r="E155" s="10" t="str">
        <f>IF(SALE!E159=0,"",SALE!E159)</f>
        <v/>
      </c>
      <c r="F155" s="10" t="str">
        <f>IF(SALE!F159=0,"",SALE!F159)</f>
        <v/>
      </c>
      <c r="G155" s="2" t="str">
        <f>IF(SALE!G159=0,"",SALE!G159)</f>
        <v/>
      </c>
      <c r="H155" t="str">
        <f>IF(SALE!H159=0,"",SALE!H159)</f>
        <v/>
      </c>
      <c r="I155" t="str">
        <f>IF(SALE!I159=0,"",SALE!I159)</f>
        <v/>
      </c>
      <c r="J155" t="str">
        <f>IF(SALE!J159=0,"",SALE!J159)</f>
        <v/>
      </c>
    </row>
    <row r="156" spans="1:10">
      <c r="A156">
        <f>IF(SALE!A160=0,"",SALE!A160)</f>
        <v>155</v>
      </c>
      <c r="B156" t="str">
        <f>IF(SALE!B160=0,"",SALE!B160)</f>
        <v/>
      </c>
      <c r="C156" t="str">
        <f>IF(SALE!C160=0,"",SALE!C160)</f>
        <v/>
      </c>
      <c r="D156" t="str">
        <f>IF(SALE!D160=0,"",SALE!D160)</f>
        <v/>
      </c>
      <c r="E156" s="10" t="str">
        <f>IF(SALE!E160=0,"",SALE!E160)</f>
        <v/>
      </c>
      <c r="F156" s="10" t="str">
        <f>IF(SALE!F160=0,"",SALE!F160)</f>
        <v/>
      </c>
      <c r="G156" s="2" t="str">
        <f>IF(SALE!G160=0,"",SALE!G160)</f>
        <v/>
      </c>
      <c r="H156" t="str">
        <f>IF(SALE!H160=0,"",SALE!H160)</f>
        <v/>
      </c>
      <c r="I156" t="str">
        <f>IF(SALE!I160=0,"",SALE!I160)</f>
        <v/>
      </c>
      <c r="J156" t="str">
        <f>IF(SALE!J160=0,"",SALE!J160)</f>
        <v/>
      </c>
    </row>
    <row r="157" spans="1:10">
      <c r="A157">
        <f>IF(SALE!A161=0,"",SALE!A161)</f>
        <v>156</v>
      </c>
      <c r="B157" t="str">
        <f>IF(SALE!B161=0,"",SALE!B161)</f>
        <v/>
      </c>
      <c r="C157" t="str">
        <f>IF(SALE!C161=0,"",SALE!C161)</f>
        <v/>
      </c>
      <c r="D157" t="str">
        <f>IF(SALE!D161=0,"",SALE!D161)</f>
        <v/>
      </c>
      <c r="E157" s="10" t="str">
        <f>IF(SALE!E161=0,"",SALE!E161)</f>
        <v/>
      </c>
      <c r="F157" s="10" t="str">
        <f>IF(SALE!F161=0,"",SALE!F161)</f>
        <v/>
      </c>
      <c r="G157" s="2" t="str">
        <f>IF(SALE!G161=0,"",SALE!G161)</f>
        <v/>
      </c>
      <c r="H157" t="str">
        <f>IF(SALE!H161=0,"",SALE!H161)</f>
        <v/>
      </c>
      <c r="I157" t="str">
        <f>IF(SALE!I161=0,"",SALE!I161)</f>
        <v/>
      </c>
      <c r="J157" t="str">
        <f>IF(SALE!J161=0,"",SALE!J161)</f>
        <v/>
      </c>
    </row>
    <row r="158" spans="1:10">
      <c r="A158">
        <f>IF(SALE!A162=0,"",SALE!A162)</f>
        <v>157</v>
      </c>
      <c r="B158" t="str">
        <f>IF(SALE!B162=0,"",SALE!B162)</f>
        <v/>
      </c>
      <c r="C158" t="str">
        <f>IF(SALE!C162=0,"",SALE!C162)</f>
        <v/>
      </c>
      <c r="D158" t="str">
        <f>IF(SALE!D162=0,"",SALE!D162)</f>
        <v/>
      </c>
      <c r="E158" s="10" t="str">
        <f>IF(SALE!E162=0,"",SALE!E162)</f>
        <v/>
      </c>
      <c r="F158" s="10" t="str">
        <f>IF(SALE!F162=0,"",SALE!F162)</f>
        <v/>
      </c>
      <c r="G158" s="2" t="str">
        <f>IF(SALE!G162=0,"",SALE!G162)</f>
        <v/>
      </c>
      <c r="H158" t="str">
        <f>IF(SALE!H162=0,"",SALE!H162)</f>
        <v/>
      </c>
      <c r="I158" t="str">
        <f>IF(SALE!I162=0,"",SALE!I162)</f>
        <v/>
      </c>
      <c r="J158" t="str">
        <f>IF(SALE!J162=0,"",SALE!J162)</f>
        <v/>
      </c>
    </row>
    <row r="159" spans="1:10">
      <c r="A159">
        <f>IF(SALE!A163=0,"",SALE!A163)</f>
        <v>158</v>
      </c>
      <c r="B159" t="str">
        <f>IF(SALE!B163=0,"",SALE!B163)</f>
        <v/>
      </c>
      <c r="C159" t="str">
        <f>IF(SALE!C163=0,"",SALE!C163)</f>
        <v/>
      </c>
      <c r="D159" t="str">
        <f>IF(SALE!D163=0,"",SALE!D163)</f>
        <v/>
      </c>
      <c r="E159" s="10" t="str">
        <f>IF(SALE!E163=0,"",SALE!E163)</f>
        <v/>
      </c>
      <c r="F159" s="10" t="str">
        <f>IF(SALE!F163=0,"",SALE!F163)</f>
        <v/>
      </c>
      <c r="G159" s="2" t="str">
        <f>IF(SALE!G163=0,"",SALE!G163)</f>
        <v/>
      </c>
      <c r="H159" t="str">
        <f>IF(SALE!H163=0,"",SALE!H163)</f>
        <v/>
      </c>
      <c r="I159" t="str">
        <f>IF(SALE!I163=0,"",SALE!I163)</f>
        <v/>
      </c>
      <c r="J159" t="str">
        <f>IF(SALE!J163=0,"",SALE!J163)</f>
        <v/>
      </c>
    </row>
    <row r="160" spans="1:10">
      <c r="A160">
        <f>IF(SALE!A164=0,"",SALE!A164)</f>
        <v>159</v>
      </c>
      <c r="B160" t="str">
        <f>IF(SALE!B164=0,"",SALE!B164)</f>
        <v/>
      </c>
      <c r="C160" t="str">
        <f>IF(SALE!C164=0,"",SALE!C164)</f>
        <v/>
      </c>
      <c r="D160" t="str">
        <f>IF(SALE!D164=0,"",SALE!D164)</f>
        <v/>
      </c>
      <c r="E160" s="10" t="str">
        <f>IF(SALE!E164=0,"",SALE!E164)</f>
        <v/>
      </c>
      <c r="F160" s="10" t="str">
        <f>IF(SALE!F164=0,"",SALE!F164)</f>
        <v/>
      </c>
      <c r="G160" s="2" t="str">
        <f>IF(SALE!G164=0,"",SALE!G164)</f>
        <v/>
      </c>
      <c r="H160" t="str">
        <f>IF(SALE!H164=0,"",SALE!H164)</f>
        <v/>
      </c>
      <c r="I160" t="str">
        <f>IF(SALE!I164=0,"",SALE!I164)</f>
        <v/>
      </c>
      <c r="J160" t="str">
        <f>IF(SALE!J164=0,"",SALE!J164)</f>
        <v/>
      </c>
    </row>
    <row r="161" spans="1:10">
      <c r="A161">
        <f>IF(SALE!A165=0,"",SALE!A165)</f>
        <v>160</v>
      </c>
      <c r="B161" t="str">
        <f>IF(SALE!B165=0,"",SALE!B165)</f>
        <v/>
      </c>
      <c r="C161" t="str">
        <f>IF(SALE!C165=0,"",SALE!C165)</f>
        <v/>
      </c>
      <c r="D161" t="str">
        <f>IF(SALE!D165=0,"",SALE!D165)</f>
        <v/>
      </c>
      <c r="E161" s="10" t="str">
        <f>IF(SALE!E165=0,"",SALE!E165)</f>
        <v/>
      </c>
      <c r="F161" s="10" t="str">
        <f>IF(SALE!F165=0,"",SALE!F165)</f>
        <v/>
      </c>
      <c r="G161" s="2" t="str">
        <f>IF(SALE!G165=0,"",SALE!G165)</f>
        <v/>
      </c>
      <c r="H161" t="str">
        <f>IF(SALE!H165=0,"",SALE!H165)</f>
        <v/>
      </c>
      <c r="I161" t="str">
        <f>IF(SALE!I165=0,"",SALE!I165)</f>
        <v/>
      </c>
      <c r="J161" t="str">
        <f>IF(SALE!J165=0,"",SALE!J165)</f>
        <v/>
      </c>
    </row>
    <row r="162" spans="1:10">
      <c r="A162">
        <f>IF(SALE!A166=0,"",SALE!A166)</f>
        <v>161</v>
      </c>
      <c r="B162" t="str">
        <f>IF(SALE!B166=0,"",SALE!B166)</f>
        <v/>
      </c>
      <c r="C162" t="str">
        <f>IF(SALE!C166=0,"",SALE!C166)</f>
        <v/>
      </c>
      <c r="D162" t="str">
        <f>IF(SALE!D166=0,"",SALE!D166)</f>
        <v/>
      </c>
      <c r="E162" s="10" t="str">
        <f>IF(SALE!E166=0,"",SALE!E166)</f>
        <v/>
      </c>
      <c r="F162" s="10" t="str">
        <f>IF(SALE!F166=0,"",SALE!F166)</f>
        <v/>
      </c>
      <c r="G162" s="2" t="str">
        <f>IF(SALE!G166=0,"",SALE!G166)</f>
        <v/>
      </c>
      <c r="H162" t="str">
        <f>IF(SALE!H166=0,"",SALE!H166)</f>
        <v/>
      </c>
      <c r="I162" t="str">
        <f>IF(SALE!I166=0,"",SALE!I166)</f>
        <v/>
      </c>
      <c r="J162" t="str">
        <f>IF(SALE!J166=0,"",SALE!J166)</f>
        <v/>
      </c>
    </row>
    <row r="163" spans="1:10">
      <c r="A163">
        <f>IF(SALE!A167=0,"",SALE!A167)</f>
        <v>162</v>
      </c>
      <c r="B163" t="str">
        <f>IF(SALE!B167=0,"",SALE!B167)</f>
        <v/>
      </c>
      <c r="C163" t="str">
        <f>IF(SALE!C167=0,"",SALE!C167)</f>
        <v/>
      </c>
      <c r="D163" t="str">
        <f>IF(SALE!D167=0,"",SALE!D167)</f>
        <v/>
      </c>
      <c r="E163" s="10" t="str">
        <f>IF(SALE!E167=0,"",SALE!E167)</f>
        <v/>
      </c>
      <c r="F163" s="10" t="str">
        <f>IF(SALE!F167=0,"",SALE!F167)</f>
        <v/>
      </c>
      <c r="G163" s="2" t="str">
        <f>IF(SALE!G167=0,"",SALE!G167)</f>
        <v/>
      </c>
      <c r="H163" t="str">
        <f>IF(SALE!H167=0,"",SALE!H167)</f>
        <v/>
      </c>
      <c r="I163" t="str">
        <f>IF(SALE!I167=0,"",SALE!I167)</f>
        <v/>
      </c>
      <c r="J163" t="str">
        <f>IF(SALE!J167=0,"",SALE!J167)</f>
        <v/>
      </c>
    </row>
    <row r="164" spans="1:10">
      <c r="A164">
        <f>IF(SALE!A168=0,"",SALE!A168)</f>
        <v>163</v>
      </c>
      <c r="B164" t="str">
        <f>IF(SALE!B168=0,"",SALE!B168)</f>
        <v/>
      </c>
      <c r="C164" t="str">
        <f>IF(SALE!C168=0,"",SALE!C168)</f>
        <v/>
      </c>
      <c r="D164" t="str">
        <f>IF(SALE!D168=0,"",SALE!D168)</f>
        <v/>
      </c>
      <c r="E164" s="10" t="str">
        <f>IF(SALE!E168=0,"",SALE!E168)</f>
        <v/>
      </c>
      <c r="F164" s="10" t="str">
        <f>IF(SALE!F168=0,"",SALE!F168)</f>
        <v/>
      </c>
      <c r="G164" s="2" t="str">
        <f>IF(SALE!G168=0,"",SALE!G168)</f>
        <v/>
      </c>
      <c r="H164" t="str">
        <f>IF(SALE!H168=0,"",SALE!H168)</f>
        <v/>
      </c>
      <c r="I164" t="str">
        <f>IF(SALE!I168=0,"",SALE!I168)</f>
        <v/>
      </c>
      <c r="J164" t="str">
        <f>IF(SALE!J168=0,"",SALE!J168)</f>
        <v/>
      </c>
    </row>
    <row r="165" spans="1:10">
      <c r="A165">
        <f>IF(SALE!A169=0,"",SALE!A169)</f>
        <v>164</v>
      </c>
      <c r="B165" t="str">
        <f>IF(SALE!B169=0,"",SALE!B169)</f>
        <v/>
      </c>
      <c r="C165" t="str">
        <f>IF(SALE!C169=0,"",SALE!C169)</f>
        <v/>
      </c>
      <c r="D165" t="str">
        <f>IF(SALE!D169=0,"",SALE!D169)</f>
        <v/>
      </c>
      <c r="E165" s="10" t="str">
        <f>IF(SALE!E169=0,"",SALE!E169)</f>
        <v/>
      </c>
      <c r="F165" s="10" t="str">
        <f>IF(SALE!F169=0,"",SALE!F169)</f>
        <v/>
      </c>
      <c r="G165" s="2" t="str">
        <f>IF(SALE!G169=0,"",SALE!G169)</f>
        <v/>
      </c>
      <c r="H165" t="str">
        <f>IF(SALE!H169=0,"",SALE!H169)</f>
        <v/>
      </c>
      <c r="I165" t="str">
        <f>IF(SALE!I169=0,"",SALE!I169)</f>
        <v/>
      </c>
      <c r="J165" t="str">
        <f>IF(SALE!J169=0,"",SALE!J169)</f>
        <v/>
      </c>
    </row>
    <row r="166" spans="1:10">
      <c r="A166">
        <f>IF(SALE!A170=0,"",SALE!A170)</f>
        <v>165</v>
      </c>
      <c r="B166" t="str">
        <f>IF(SALE!B170=0,"",SALE!B170)</f>
        <v/>
      </c>
      <c r="C166" t="str">
        <f>IF(SALE!C170=0,"",SALE!C170)</f>
        <v/>
      </c>
      <c r="D166" t="str">
        <f>IF(SALE!D170=0,"",SALE!D170)</f>
        <v/>
      </c>
      <c r="E166" s="10" t="str">
        <f>IF(SALE!E170=0,"",SALE!E170)</f>
        <v/>
      </c>
      <c r="F166" s="10" t="str">
        <f>IF(SALE!F170=0,"",SALE!F170)</f>
        <v/>
      </c>
      <c r="G166" s="2" t="str">
        <f>IF(SALE!G170=0,"",SALE!G170)</f>
        <v/>
      </c>
      <c r="H166" t="str">
        <f>IF(SALE!H170=0,"",SALE!H170)</f>
        <v/>
      </c>
      <c r="I166" t="str">
        <f>IF(SALE!I170=0,"",SALE!I170)</f>
        <v/>
      </c>
      <c r="J166" t="str">
        <f>IF(SALE!J170=0,"",SALE!J170)</f>
        <v/>
      </c>
    </row>
    <row r="167" spans="1:10">
      <c r="A167">
        <f>IF(SALE!A171=0,"",SALE!A171)</f>
        <v>166</v>
      </c>
      <c r="B167" t="str">
        <f>IF(SALE!B171=0,"",SALE!B171)</f>
        <v/>
      </c>
      <c r="C167" t="str">
        <f>IF(SALE!C171=0,"",SALE!C171)</f>
        <v/>
      </c>
      <c r="D167" t="str">
        <f>IF(SALE!D171=0,"",SALE!D171)</f>
        <v/>
      </c>
      <c r="E167" s="10" t="str">
        <f>IF(SALE!E171=0,"",SALE!E171)</f>
        <v/>
      </c>
      <c r="F167" s="10" t="str">
        <f>IF(SALE!F171=0,"",SALE!F171)</f>
        <v/>
      </c>
      <c r="G167" s="2" t="str">
        <f>IF(SALE!G171=0,"",SALE!G171)</f>
        <v/>
      </c>
      <c r="H167" t="str">
        <f>IF(SALE!H171=0,"",SALE!H171)</f>
        <v/>
      </c>
      <c r="I167" t="str">
        <f>IF(SALE!I171=0,"",SALE!I171)</f>
        <v/>
      </c>
      <c r="J167" t="str">
        <f>IF(SALE!J171=0,"",SALE!J171)</f>
        <v/>
      </c>
    </row>
    <row r="168" spans="1:10">
      <c r="A168">
        <f>IF(SALE!A172=0,"",SALE!A172)</f>
        <v>167</v>
      </c>
      <c r="B168" t="str">
        <f>IF(SALE!B172=0,"",SALE!B172)</f>
        <v/>
      </c>
      <c r="C168" t="str">
        <f>IF(SALE!C172=0,"",SALE!C172)</f>
        <v/>
      </c>
      <c r="D168" t="str">
        <f>IF(SALE!D172=0,"",SALE!D172)</f>
        <v/>
      </c>
      <c r="E168" s="10" t="str">
        <f>IF(SALE!E172=0,"",SALE!E172)</f>
        <v/>
      </c>
      <c r="F168" s="10" t="str">
        <f>IF(SALE!F172=0,"",SALE!F172)</f>
        <v/>
      </c>
      <c r="G168" s="2" t="str">
        <f>IF(SALE!G172=0,"",SALE!G172)</f>
        <v/>
      </c>
      <c r="H168" t="str">
        <f>IF(SALE!H172=0,"",SALE!H172)</f>
        <v/>
      </c>
      <c r="I168" t="str">
        <f>IF(SALE!I172=0,"",SALE!I172)</f>
        <v/>
      </c>
      <c r="J168" t="str">
        <f>IF(SALE!J172=0,"",SALE!J172)</f>
        <v/>
      </c>
    </row>
    <row r="169" spans="1:10">
      <c r="A169">
        <f>IF(SALE!A173=0,"",SALE!A173)</f>
        <v>168</v>
      </c>
      <c r="B169" t="str">
        <f>IF(SALE!B173=0,"",SALE!B173)</f>
        <v/>
      </c>
      <c r="C169" t="str">
        <f>IF(SALE!C173=0,"",SALE!C173)</f>
        <v/>
      </c>
      <c r="D169" t="str">
        <f>IF(SALE!D173=0,"",SALE!D173)</f>
        <v/>
      </c>
      <c r="E169" s="10" t="str">
        <f>IF(SALE!E173=0,"",SALE!E173)</f>
        <v/>
      </c>
      <c r="F169" s="10" t="str">
        <f>IF(SALE!F173=0,"",SALE!F173)</f>
        <v/>
      </c>
      <c r="G169" s="2" t="str">
        <f>IF(SALE!G173=0,"",SALE!G173)</f>
        <v/>
      </c>
      <c r="H169" t="str">
        <f>IF(SALE!H173=0,"",SALE!H173)</f>
        <v/>
      </c>
      <c r="I169" t="str">
        <f>IF(SALE!I173=0,"",SALE!I173)</f>
        <v/>
      </c>
      <c r="J169" t="str">
        <f>IF(SALE!J173=0,"",SALE!J173)</f>
        <v/>
      </c>
    </row>
    <row r="170" spans="1:10">
      <c r="A170">
        <f>IF(SALE!A174=0,"",SALE!A174)</f>
        <v>169</v>
      </c>
      <c r="B170" t="str">
        <f>IF(SALE!B174=0,"",SALE!B174)</f>
        <v/>
      </c>
      <c r="C170" t="str">
        <f>IF(SALE!C174=0,"",SALE!C174)</f>
        <v/>
      </c>
      <c r="D170" t="str">
        <f>IF(SALE!D174=0,"",SALE!D174)</f>
        <v/>
      </c>
      <c r="E170" s="10" t="str">
        <f>IF(SALE!E174=0,"",SALE!E174)</f>
        <v/>
      </c>
      <c r="F170" s="10" t="str">
        <f>IF(SALE!F174=0,"",SALE!F174)</f>
        <v/>
      </c>
      <c r="G170" s="2" t="str">
        <f>IF(SALE!G174=0,"",SALE!G174)</f>
        <v/>
      </c>
      <c r="H170" t="str">
        <f>IF(SALE!H174=0,"",SALE!H174)</f>
        <v/>
      </c>
      <c r="I170" t="str">
        <f>IF(SALE!I174=0,"",SALE!I174)</f>
        <v/>
      </c>
      <c r="J170" t="str">
        <f>IF(SALE!J174=0,"",SALE!J174)</f>
        <v/>
      </c>
    </row>
    <row r="171" spans="1:10">
      <c r="A171">
        <f>IF(SALE!A175=0,"",SALE!A175)</f>
        <v>170</v>
      </c>
      <c r="B171" t="str">
        <f>IF(SALE!B175=0,"",SALE!B175)</f>
        <v/>
      </c>
      <c r="C171" t="str">
        <f>IF(SALE!C175=0,"",SALE!C175)</f>
        <v/>
      </c>
      <c r="D171" t="str">
        <f>IF(SALE!D175=0,"",SALE!D175)</f>
        <v/>
      </c>
      <c r="E171" s="10" t="str">
        <f>IF(SALE!E175=0,"",SALE!E175)</f>
        <v/>
      </c>
      <c r="F171" s="10" t="str">
        <f>IF(SALE!F175=0,"",SALE!F175)</f>
        <v/>
      </c>
      <c r="G171" s="2" t="str">
        <f>IF(SALE!G175=0,"",SALE!G175)</f>
        <v/>
      </c>
      <c r="H171" t="str">
        <f>IF(SALE!H175=0,"",SALE!H175)</f>
        <v/>
      </c>
      <c r="I171" t="str">
        <f>IF(SALE!I175=0,"",SALE!I175)</f>
        <v/>
      </c>
      <c r="J171" t="str">
        <f>IF(SALE!J175=0,"",SALE!J175)</f>
        <v/>
      </c>
    </row>
    <row r="172" spans="1:10">
      <c r="A172">
        <f>IF(SALE!A176=0,"",SALE!A176)</f>
        <v>171</v>
      </c>
      <c r="B172" t="str">
        <f>IF(SALE!B176=0,"",SALE!B176)</f>
        <v/>
      </c>
      <c r="C172" t="str">
        <f>IF(SALE!C176=0,"",SALE!C176)</f>
        <v/>
      </c>
      <c r="D172" t="str">
        <f>IF(SALE!D176=0,"",SALE!D176)</f>
        <v/>
      </c>
      <c r="E172" s="10" t="str">
        <f>IF(SALE!E176=0,"",SALE!E176)</f>
        <v/>
      </c>
      <c r="F172" s="10" t="str">
        <f>IF(SALE!F176=0,"",SALE!F176)</f>
        <v/>
      </c>
      <c r="G172" s="2" t="str">
        <f>IF(SALE!G176=0,"",SALE!G176)</f>
        <v/>
      </c>
      <c r="H172" t="str">
        <f>IF(SALE!H176=0,"",SALE!H176)</f>
        <v/>
      </c>
      <c r="I172" t="str">
        <f>IF(SALE!I176=0,"",SALE!I176)</f>
        <v/>
      </c>
      <c r="J172" t="str">
        <f>IF(SALE!J176=0,"",SALE!J176)</f>
        <v/>
      </c>
    </row>
    <row r="173" spans="1:10">
      <c r="A173">
        <f>IF(SALE!A177=0,"",SALE!A177)</f>
        <v>172</v>
      </c>
      <c r="B173" t="str">
        <f>IF(SALE!B177=0,"",SALE!B177)</f>
        <v/>
      </c>
      <c r="C173" t="str">
        <f>IF(SALE!C177=0,"",SALE!C177)</f>
        <v/>
      </c>
      <c r="D173" t="str">
        <f>IF(SALE!D177=0,"",SALE!D177)</f>
        <v/>
      </c>
      <c r="E173" s="10" t="str">
        <f>IF(SALE!E177=0,"",SALE!E177)</f>
        <v/>
      </c>
      <c r="F173" s="10" t="str">
        <f>IF(SALE!F177=0,"",SALE!F177)</f>
        <v/>
      </c>
      <c r="G173" s="2" t="str">
        <f>IF(SALE!G177=0,"",SALE!G177)</f>
        <v/>
      </c>
      <c r="H173" t="str">
        <f>IF(SALE!H177=0,"",SALE!H177)</f>
        <v/>
      </c>
      <c r="I173" t="str">
        <f>IF(SALE!I177=0,"",SALE!I177)</f>
        <v/>
      </c>
      <c r="J173" t="str">
        <f>IF(SALE!J177=0,"",SALE!J177)</f>
        <v/>
      </c>
    </row>
    <row r="174" spans="1:10">
      <c r="A174">
        <f>IF(SALE!A178=0,"",SALE!A178)</f>
        <v>173</v>
      </c>
      <c r="B174" t="str">
        <f>IF(SALE!B178=0,"",SALE!B178)</f>
        <v/>
      </c>
      <c r="C174" t="str">
        <f>IF(SALE!C178=0,"",SALE!C178)</f>
        <v/>
      </c>
      <c r="D174" t="str">
        <f>IF(SALE!D178=0,"",SALE!D178)</f>
        <v/>
      </c>
      <c r="E174" s="10" t="str">
        <f>IF(SALE!E178=0,"",SALE!E178)</f>
        <v/>
      </c>
      <c r="F174" s="10" t="str">
        <f>IF(SALE!F178=0,"",SALE!F178)</f>
        <v/>
      </c>
      <c r="G174" s="2" t="str">
        <f>IF(SALE!G178=0,"",SALE!G178)</f>
        <v/>
      </c>
      <c r="H174" t="str">
        <f>IF(SALE!H178=0,"",SALE!H178)</f>
        <v/>
      </c>
      <c r="I174" t="str">
        <f>IF(SALE!I178=0,"",SALE!I178)</f>
        <v/>
      </c>
      <c r="J174" t="str">
        <f>IF(SALE!J178=0,"",SALE!J178)</f>
        <v/>
      </c>
    </row>
    <row r="175" spans="1:10">
      <c r="A175">
        <f>IF(SALE!A179=0,"",SALE!A179)</f>
        <v>174</v>
      </c>
      <c r="B175" t="str">
        <f>IF(SALE!B179=0,"",SALE!B179)</f>
        <v/>
      </c>
      <c r="C175" t="str">
        <f>IF(SALE!C179=0,"",SALE!C179)</f>
        <v/>
      </c>
      <c r="D175" t="str">
        <f>IF(SALE!D179=0,"",SALE!D179)</f>
        <v/>
      </c>
      <c r="E175" s="10" t="str">
        <f>IF(SALE!E179=0,"",SALE!E179)</f>
        <v/>
      </c>
      <c r="F175" s="10" t="str">
        <f>IF(SALE!F179=0,"",SALE!F179)</f>
        <v/>
      </c>
      <c r="G175" s="2" t="str">
        <f>IF(SALE!G179=0,"",SALE!G179)</f>
        <v/>
      </c>
      <c r="H175" t="str">
        <f>IF(SALE!H179=0,"",SALE!H179)</f>
        <v/>
      </c>
      <c r="I175" t="str">
        <f>IF(SALE!I179=0,"",SALE!I179)</f>
        <v/>
      </c>
      <c r="J175" t="str">
        <f>IF(SALE!J179=0,"",SALE!J179)</f>
        <v/>
      </c>
    </row>
    <row r="176" spans="1:10">
      <c r="A176">
        <f>IF(SALE!A180=0,"",SALE!A180)</f>
        <v>175</v>
      </c>
      <c r="B176" t="str">
        <f>IF(SALE!B180=0,"",SALE!B180)</f>
        <v/>
      </c>
      <c r="C176" t="str">
        <f>IF(SALE!C180=0,"",SALE!C180)</f>
        <v/>
      </c>
      <c r="D176" t="str">
        <f>IF(SALE!D180=0,"",SALE!D180)</f>
        <v/>
      </c>
      <c r="E176" s="10" t="str">
        <f>IF(SALE!E180=0,"",SALE!E180)</f>
        <v/>
      </c>
      <c r="F176" s="10" t="str">
        <f>IF(SALE!F180=0,"",SALE!F180)</f>
        <v/>
      </c>
      <c r="G176" s="2" t="str">
        <f>IF(SALE!G180=0,"",SALE!G180)</f>
        <v/>
      </c>
      <c r="H176" t="str">
        <f>IF(SALE!H180=0,"",SALE!H180)</f>
        <v/>
      </c>
      <c r="I176" t="str">
        <f>IF(SALE!I180=0,"",SALE!I180)</f>
        <v/>
      </c>
      <c r="J176" t="str">
        <f>IF(SALE!J180=0,"",SALE!J180)</f>
        <v/>
      </c>
    </row>
    <row r="177" spans="1:10">
      <c r="A177">
        <f>IF(SALE!A181=0,"",SALE!A181)</f>
        <v>176</v>
      </c>
      <c r="B177" t="str">
        <f>IF(SALE!B181=0,"",SALE!B181)</f>
        <v/>
      </c>
      <c r="C177" t="str">
        <f>IF(SALE!C181=0,"",SALE!C181)</f>
        <v/>
      </c>
      <c r="D177" t="str">
        <f>IF(SALE!D181=0,"",SALE!D181)</f>
        <v/>
      </c>
      <c r="E177" s="10" t="str">
        <f>IF(SALE!E181=0,"",SALE!E181)</f>
        <v/>
      </c>
      <c r="F177" s="10" t="str">
        <f>IF(SALE!F181=0,"",SALE!F181)</f>
        <v/>
      </c>
      <c r="G177" s="2" t="str">
        <f>IF(SALE!G181=0,"",SALE!G181)</f>
        <v/>
      </c>
      <c r="H177" t="str">
        <f>IF(SALE!H181=0,"",SALE!H181)</f>
        <v/>
      </c>
      <c r="I177" t="str">
        <f>IF(SALE!I181=0,"",SALE!I181)</f>
        <v/>
      </c>
      <c r="J177" t="str">
        <f>IF(SALE!J181=0,"",SALE!J181)</f>
        <v/>
      </c>
    </row>
    <row r="178" spans="1:10">
      <c r="A178">
        <f>IF(SALE!A182=0,"",SALE!A182)</f>
        <v>177</v>
      </c>
      <c r="B178" t="str">
        <f>IF(SALE!B182=0,"",SALE!B182)</f>
        <v/>
      </c>
      <c r="C178" t="str">
        <f>IF(SALE!C182=0,"",SALE!C182)</f>
        <v/>
      </c>
      <c r="D178" t="str">
        <f>IF(SALE!D182=0,"",SALE!D182)</f>
        <v/>
      </c>
      <c r="E178" s="10" t="str">
        <f>IF(SALE!E182=0,"",SALE!E182)</f>
        <v/>
      </c>
      <c r="F178" s="10" t="str">
        <f>IF(SALE!F182=0,"",SALE!F182)</f>
        <v/>
      </c>
      <c r="G178" s="2" t="str">
        <f>IF(SALE!G182=0,"",SALE!G182)</f>
        <v/>
      </c>
      <c r="H178" t="str">
        <f>IF(SALE!H182=0,"",SALE!H182)</f>
        <v/>
      </c>
      <c r="I178" t="str">
        <f>IF(SALE!I182=0,"",SALE!I182)</f>
        <v/>
      </c>
      <c r="J178" t="str">
        <f>IF(SALE!J182=0,"",SALE!J182)</f>
        <v/>
      </c>
    </row>
    <row r="179" spans="1:10">
      <c r="A179">
        <f>IF(SALE!A183=0,"",SALE!A183)</f>
        <v>178</v>
      </c>
      <c r="B179" t="str">
        <f>IF(SALE!B183=0,"",SALE!B183)</f>
        <v/>
      </c>
      <c r="C179" t="str">
        <f>IF(SALE!C183=0,"",SALE!C183)</f>
        <v/>
      </c>
      <c r="D179" t="str">
        <f>IF(SALE!D183=0,"",SALE!D183)</f>
        <v/>
      </c>
      <c r="E179" s="10" t="str">
        <f>IF(SALE!E183=0,"",SALE!E183)</f>
        <v/>
      </c>
      <c r="F179" s="10" t="str">
        <f>IF(SALE!F183=0,"",SALE!F183)</f>
        <v/>
      </c>
      <c r="G179" s="2" t="str">
        <f>IF(SALE!G183=0,"",SALE!G183)</f>
        <v/>
      </c>
      <c r="H179" t="str">
        <f>IF(SALE!H183=0,"",SALE!H183)</f>
        <v/>
      </c>
      <c r="I179" t="str">
        <f>IF(SALE!I183=0,"",SALE!I183)</f>
        <v/>
      </c>
      <c r="J179" t="str">
        <f>IF(SALE!J183=0,"",SALE!J183)</f>
        <v/>
      </c>
    </row>
    <row r="180" spans="1:10">
      <c r="A180">
        <f>IF(SALE!A184=0,"",SALE!A184)</f>
        <v>179</v>
      </c>
      <c r="B180" t="str">
        <f>IF(SALE!B184=0,"",SALE!B184)</f>
        <v/>
      </c>
      <c r="C180" t="str">
        <f>IF(SALE!C184=0,"",SALE!C184)</f>
        <v/>
      </c>
      <c r="D180" t="str">
        <f>IF(SALE!D184=0,"",SALE!D184)</f>
        <v/>
      </c>
      <c r="E180" s="10" t="str">
        <f>IF(SALE!E184=0,"",SALE!E184)</f>
        <v/>
      </c>
      <c r="F180" s="10" t="str">
        <f>IF(SALE!F184=0,"",SALE!F184)</f>
        <v/>
      </c>
      <c r="G180" s="2" t="str">
        <f>IF(SALE!G184=0,"",SALE!G184)</f>
        <v/>
      </c>
      <c r="H180" t="str">
        <f>IF(SALE!H184=0,"",SALE!H184)</f>
        <v/>
      </c>
      <c r="I180" t="str">
        <f>IF(SALE!I184=0,"",SALE!I184)</f>
        <v/>
      </c>
      <c r="J180" t="str">
        <f>IF(SALE!J184=0,"",SALE!J184)</f>
        <v/>
      </c>
    </row>
    <row r="181" spans="1:10">
      <c r="A181">
        <f>IF(SALE!A185=0,"",SALE!A185)</f>
        <v>180</v>
      </c>
      <c r="B181" t="str">
        <f>IF(SALE!B185=0,"",SALE!B185)</f>
        <v/>
      </c>
      <c r="C181" t="str">
        <f>IF(SALE!C185=0,"",SALE!C185)</f>
        <v/>
      </c>
      <c r="D181" t="str">
        <f>IF(SALE!D185=0,"",SALE!D185)</f>
        <v/>
      </c>
      <c r="E181" s="10" t="str">
        <f>IF(SALE!E185=0,"",SALE!E185)</f>
        <v/>
      </c>
      <c r="F181" s="10" t="str">
        <f>IF(SALE!F185=0,"",SALE!F185)</f>
        <v/>
      </c>
      <c r="G181" s="2" t="str">
        <f>IF(SALE!G185=0,"",SALE!G185)</f>
        <v/>
      </c>
      <c r="H181" t="str">
        <f>IF(SALE!H185=0,"",SALE!H185)</f>
        <v/>
      </c>
      <c r="I181" t="str">
        <f>IF(SALE!I185=0,"",SALE!I185)</f>
        <v/>
      </c>
      <c r="J181" t="str">
        <f>IF(SALE!J185=0,"",SALE!J185)</f>
        <v/>
      </c>
    </row>
    <row r="182" spans="1:10">
      <c r="A182">
        <f>IF(SALE!A186=0,"",SALE!A186)</f>
        <v>181</v>
      </c>
      <c r="B182" t="str">
        <f>IF(SALE!B186=0,"",SALE!B186)</f>
        <v/>
      </c>
      <c r="C182" t="str">
        <f>IF(SALE!C186=0,"",SALE!C186)</f>
        <v/>
      </c>
      <c r="D182" t="str">
        <f>IF(SALE!D186=0,"",SALE!D186)</f>
        <v/>
      </c>
      <c r="E182" s="10" t="str">
        <f>IF(SALE!E186=0,"",SALE!E186)</f>
        <v/>
      </c>
      <c r="F182" s="10" t="str">
        <f>IF(SALE!F186=0,"",SALE!F186)</f>
        <v/>
      </c>
      <c r="G182" s="2" t="str">
        <f>IF(SALE!G186=0,"",SALE!G186)</f>
        <v/>
      </c>
      <c r="H182" t="str">
        <f>IF(SALE!H186=0,"",SALE!H186)</f>
        <v/>
      </c>
      <c r="I182" t="str">
        <f>IF(SALE!I186=0,"",SALE!I186)</f>
        <v/>
      </c>
      <c r="J182" t="str">
        <f>IF(SALE!J186=0,"",SALE!J186)</f>
        <v/>
      </c>
    </row>
    <row r="183" spans="1:10">
      <c r="A183">
        <f>IF(SALE!A187=0,"",SALE!A187)</f>
        <v>182</v>
      </c>
      <c r="B183" t="str">
        <f>IF(SALE!B187=0,"",SALE!B187)</f>
        <v/>
      </c>
      <c r="C183" t="str">
        <f>IF(SALE!C187=0,"",SALE!C187)</f>
        <v/>
      </c>
      <c r="D183" t="str">
        <f>IF(SALE!D187=0,"",SALE!D187)</f>
        <v/>
      </c>
      <c r="E183" s="10" t="str">
        <f>IF(SALE!E187=0,"",SALE!E187)</f>
        <v/>
      </c>
      <c r="F183" s="10" t="str">
        <f>IF(SALE!F187=0,"",SALE!F187)</f>
        <v/>
      </c>
      <c r="G183" s="2" t="str">
        <f>IF(SALE!G187=0,"",SALE!G187)</f>
        <v/>
      </c>
      <c r="H183" t="str">
        <f>IF(SALE!H187=0,"",SALE!H187)</f>
        <v/>
      </c>
      <c r="I183" t="str">
        <f>IF(SALE!I187=0,"",SALE!I187)</f>
        <v/>
      </c>
      <c r="J183" t="str">
        <f>IF(SALE!J187=0,"",SALE!J187)</f>
        <v/>
      </c>
    </row>
    <row r="184" spans="1:10">
      <c r="A184">
        <f>IF(SALE!A188=0,"",SALE!A188)</f>
        <v>183</v>
      </c>
      <c r="B184" t="str">
        <f>IF(SALE!B188=0,"",SALE!B188)</f>
        <v/>
      </c>
      <c r="C184" t="str">
        <f>IF(SALE!C188=0,"",SALE!C188)</f>
        <v/>
      </c>
      <c r="D184" t="str">
        <f>IF(SALE!D188=0,"",SALE!D188)</f>
        <v/>
      </c>
      <c r="E184" s="10" t="str">
        <f>IF(SALE!E188=0,"",SALE!E188)</f>
        <v/>
      </c>
      <c r="F184" s="10" t="str">
        <f>IF(SALE!F188=0,"",SALE!F188)</f>
        <v/>
      </c>
      <c r="G184" s="2" t="str">
        <f>IF(SALE!G188=0,"",SALE!G188)</f>
        <v/>
      </c>
      <c r="H184" t="str">
        <f>IF(SALE!H188=0,"",SALE!H188)</f>
        <v/>
      </c>
      <c r="I184" t="str">
        <f>IF(SALE!I188=0,"",SALE!I188)</f>
        <v/>
      </c>
      <c r="J184" t="str">
        <f>IF(SALE!J188=0,"",SALE!J188)</f>
        <v/>
      </c>
    </row>
    <row r="185" spans="1:10">
      <c r="A185">
        <f>IF(SALE!A189=0,"",SALE!A189)</f>
        <v>184</v>
      </c>
      <c r="B185" t="str">
        <f>IF(SALE!B189=0,"",SALE!B189)</f>
        <v/>
      </c>
      <c r="C185" t="str">
        <f>IF(SALE!C189=0,"",SALE!C189)</f>
        <v/>
      </c>
      <c r="D185" t="str">
        <f>IF(SALE!D189=0,"",SALE!D189)</f>
        <v/>
      </c>
      <c r="E185" s="10" t="str">
        <f>IF(SALE!E189=0,"",SALE!E189)</f>
        <v/>
      </c>
      <c r="F185" s="10" t="str">
        <f>IF(SALE!F189=0,"",SALE!F189)</f>
        <v/>
      </c>
      <c r="G185" s="2" t="str">
        <f>IF(SALE!G189=0,"",SALE!G189)</f>
        <v/>
      </c>
      <c r="H185" t="str">
        <f>IF(SALE!H189=0,"",SALE!H189)</f>
        <v/>
      </c>
      <c r="I185" t="str">
        <f>IF(SALE!I189=0,"",SALE!I189)</f>
        <v/>
      </c>
      <c r="J185" t="str">
        <f>IF(SALE!J189=0,"",SALE!J189)</f>
        <v/>
      </c>
    </row>
    <row r="186" spans="1:10">
      <c r="A186">
        <f>IF(SALE!A190=0,"",SALE!A190)</f>
        <v>185</v>
      </c>
      <c r="B186" t="str">
        <f>IF(SALE!B190=0,"",SALE!B190)</f>
        <v/>
      </c>
      <c r="C186" t="str">
        <f>IF(SALE!C190=0,"",SALE!C190)</f>
        <v/>
      </c>
      <c r="D186" t="str">
        <f>IF(SALE!D190=0,"",SALE!D190)</f>
        <v/>
      </c>
      <c r="E186" s="10" t="str">
        <f>IF(SALE!E190=0,"",SALE!E190)</f>
        <v/>
      </c>
      <c r="F186" s="10" t="str">
        <f>IF(SALE!F190=0,"",SALE!F190)</f>
        <v/>
      </c>
      <c r="G186" s="2" t="str">
        <f>IF(SALE!G190=0,"",SALE!G190)</f>
        <v/>
      </c>
      <c r="H186" t="str">
        <f>IF(SALE!H190=0,"",SALE!H190)</f>
        <v/>
      </c>
      <c r="I186" t="str">
        <f>IF(SALE!I190=0,"",SALE!I190)</f>
        <v/>
      </c>
      <c r="J186" t="str">
        <f>IF(SALE!J190=0,"",SALE!J190)</f>
        <v/>
      </c>
    </row>
    <row r="187" spans="1:10">
      <c r="A187">
        <f>IF(SALE!A191=0,"",SALE!A191)</f>
        <v>186</v>
      </c>
      <c r="B187" t="str">
        <f>IF(SALE!B191=0,"",SALE!B191)</f>
        <v/>
      </c>
      <c r="C187" t="str">
        <f>IF(SALE!C191=0,"",SALE!C191)</f>
        <v/>
      </c>
      <c r="D187" t="str">
        <f>IF(SALE!D191=0,"",SALE!D191)</f>
        <v/>
      </c>
      <c r="E187" s="10" t="str">
        <f>IF(SALE!E191=0,"",SALE!E191)</f>
        <v/>
      </c>
      <c r="F187" s="10" t="str">
        <f>IF(SALE!F191=0,"",SALE!F191)</f>
        <v/>
      </c>
      <c r="G187" s="2" t="str">
        <f>IF(SALE!G191=0,"",SALE!G191)</f>
        <v/>
      </c>
      <c r="H187" t="str">
        <f>IF(SALE!H191=0,"",SALE!H191)</f>
        <v/>
      </c>
      <c r="I187" t="str">
        <f>IF(SALE!I191=0,"",SALE!I191)</f>
        <v/>
      </c>
      <c r="J187" t="str">
        <f>IF(SALE!J191=0,"",SALE!J191)</f>
        <v/>
      </c>
    </row>
    <row r="188" spans="1:10">
      <c r="A188">
        <f>IF(SALE!A192=0,"",SALE!A192)</f>
        <v>187</v>
      </c>
      <c r="B188" t="str">
        <f>IF(SALE!B192=0,"",SALE!B192)</f>
        <v/>
      </c>
      <c r="C188" t="str">
        <f>IF(SALE!C192=0,"",SALE!C192)</f>
        <v/>
      </c>
      <c r="D188" t="str">
        <f>IF(SALE!D192=0,"",SALE!D192)</f>
        <v/>
      </c>
      <c r="E188" s="10" t="str">
        <f>IF(SALE!E192=0,"",SALE!E192)</f>
        <v/>
      </c>
      <c r="F188" s="10" t="str">
        <f>IF(SALE!F192=0,"",SALE!F192)</f>
        <v/>
      </c>
      <c r="G188" s="2" t="str">
        <f>IF(SALE!G192=0,"",SALE!G192)</f>
        <v/>
      </c>
      <c r="H188" t="str">
        <f>IF(SALE!H192=0,"",SALE!H192)</f>
        <v/>
      </c>
      <c r="I188" t="str">
        <f>IF(SALE!I192=0,"",SALE!I192)</f>
        <v/>
      </c>
      <c r="J188" t="str">
        <f>IF(SALE!J192=0,"",SALE!J192)</f>
        <v/>
      </c>
    </row>
    <row r="189" spans="1:10">
      <c r="A189">
        <f>IF(SALE!A193=0,"",SALE!A193)</f>
        <v>188</v>
      </c>
      <c r="B189" t="str">
        <f>IF(SALE!B193=0,"",SALE!B193)</f>
        <v/>
      </c>
      <c r="C189" t="str">
        <f>IF(SALE!C193=0,"",SALE!C193)</f>
        <v/>
      </c>
      <c r="D189" t="str">
        <f>IF(SALE!D193=0,"",SALE!D193)</f>
        <v/>
      </c>
      <c r="E189" s="10" t="str">
        <f>IF(SALE!E193=0,"",SALE!E193)</f>
        <v/>
      </c>
      <c r="F189" s="10" t="str">
        <f>IF(SALE!F193=0,"",SALE!F193)</f>
        <v/>
      </c>
      <c r="G189" s="2" t="str">
        <f>IF(SALE!G193=0,"",SALE!G193)</f>
        <v/>
      </c>
      <c r="H189" t="str">
        <f>IF(SALE!H193=0,"",SALE!H193)</f>
        <v/>
      </c>
      <c r="I189" t="str">
        <f>IF(SALE!I193=0,"",SALE!I193)</f>
        <v/>
      </c>
      <c r="J189" t="str">
        <f>IF(SALE!J193=0,"",SALE!J193)</f>
        <v/>
      </c>
    </row>
    <row r="190" spans="1:10">
      <c r="A190">
        <f>IF(SALE!A194=0,"",SALE!A194)</f>
        <v>189</v>
      </c>
      <c r="B190" t="str">
        <f>IF(SALE!B194=0,"",SALE!B194)</f>
        <v/>
      </c>
      <c r="C190" t="str">
        <f>IF(SALE!C194=0,"",SALE!C194)</f>
        <v/>
      </c>
      <c r="D190" t="str">
        <f>IF(SALE!D194=0,"",SALE!D194)</f>
        <v/>
      </c>
      <c r="E190" s="10" t="str">
        <f>IF(SALE!E194=0,"",SALE!E194)</f>
        <v/>
      </c>
      <c r="F190" s="10" t="str">
        <f>IF(SALE!F194=0,"",SALE!F194)</f>
        <v/>
      </c>
      <c r="G190" s="2" t="str">
        <f>IF(SALE!G194=0,"",SALE!G194)</f>
        <v/>
      </c>
      <c r="H190" t="str">
        <f>IF(SALE!H194=0,"",SALE!H194)</f>
        <v/>
      </c>
      <c r="I190" t="str">
        <f>IF(SALE!I194=0,"",SALE!I194)</f>
        <v/>
      </c>
      <c r="J190" t="str">
        <f>IF(SALE!J194=0,"",SALE!J194)</f>
        <v/>
      </c>
    </row>
    <row r="191" spans="1:10">
      <c r="A191">
        <f>IF(SALE!A195=0,"",SALE!A195)</f>
        <v>190</v>
      </c>
      <c r="B191" t="str">
        <f>IF(SALE!B195=0,"",SALE!B195)</f>
        <v/>
      </c>
      <c r="C191" t="str">
        <f>IF(SALE!C195=0,"",SALE!C195)</f>
        <v/>
      </c>
      <c r="D191" t="str">
        <f>IF(SALE!D195=0,"",SALE!D195)</f>
        <v/>
      </c>
      <c r="E191" s="10" t="str">
        <f>IF(SALE!E195=0,"",SALE!E195)</f>
        <v/>
      </c>
      <c r="F191" s="10" t="str">
        <f>IF(SALE!F195=0,"",SALE!F195)</f>
        <v/>
      </c>
      <c r="G191" s="2" t="str">
        <f>IF(SALE!G195=0,"",SALE!G195)</f>
        <v/>
      </c>
      <c r="H191" t="str">
        <f>IF(SALE!H195=0,"",SALE!H195)</f>
        <v/>
      </c>
      <c r="I191" t="str">
        <f>IF(SALE!I195=0,"",SALE!I195)</f>
        <v/>
      </c>
      <c r="J191" t="str">
        <f>IF(SALE!J195=0,"",SALE!J195)</f>
        <v/>
      </c>
    </row>
    <row r="192" spans="1:10">
      <c r="A192">
        <f>IF(SALE!A196=0,"",SALE!A196)</f>
        <v>191</v>
      </c>
      <c r="B192" t="str">
        <f>IF(SALE!B196=0,"",SALE!B196)</f>
        <v/>
      </c>
      <c r="C192" t="str">
        <f>IF(SALE!C196=0,"",SALE!C196)</f>
        <v/>
      </c>
      <c r="D192" t="str">
        <f>IF(SALE!D196=0,"",SALE!D196)</f>
        <v/>
      </c>
      <c r="E192" s="10" t="str">
        <f>IF(SALE!E196=0,"",SALE!E196)</f>
        <v/>
      </c>
      <c r="F192" s="10" t="str">
        <f>IF(SALE!F196=0,"",SALE!F196)</f>
        <v/>
      </c>
      <c r="G192" s="2" t="str">
        <f>IF(SALE!G196=0,"",SALE!G196)</f>
        <v/>
      </c>
      <c r="H192" t="str">
        <f>IF(SALE!H196=0,"",SALE!H196)</f>
        <v/>
      </c>
      <c r="I192" t="str">
        <f>IF(SALE!I196=0,"",SALE!I196)</f>
        <v/>
      </c>
      <c r="J192" t="str">
        <f>IF(SALE!J196=0,"",SALE!J196)</f>
        <v/>
      </c>
    </row>
    <row r="193" spans="1:10">
      <c r="A193">
        <f>IF(SALE!A197=0,"",SALE!A197)</f>
        <v>192</v>
      </c>
      <c r="B193" t="str">
        <f>IF(SALE!B197=0,"",SALE!B197)</f>
        <v/>
      </c>
      <c r="C193" t="str">
        <f>IF(SALE!C197=0,"",SALE!C197)</f>
        <v/>
      </c>
      <c r="D193" t="str">
        <f>IF(SALE!D197=0,"",SALE!D197)</f>
        <v/>
      </c>
      <c r="E193" s="10" t="str">
        <f>IF(SALE!E197=0,"",SALE!E197)</f>
        <v/>
      </c>
      <c r="F193" s="10" t="str">
        <f>IF(SALE!F197=0,"",SALE!F197)</f>
        <v/>
      </c>
      <c r="G193" s="2" t="str">
        <f>IF(SALE!G197=0,"",SALE!G197)</f>
        <v/>
      </c>
      <c r="H193" t="str">
        <f>IF(SALE!H197=0,"",SALE!H197)</f>
        <v/>
      </c>
      <c r="I193" t="str">
        <f>IF(SALE!I197=0,"",SALE!I197)</f>
        <v/>
      </c>
      <c r="J193" t="str">
        <f>IF(SALE!J197=0,"",SALE!J197)</f>
        <v/>
      </c>
    </row>
    <row r="194" spans="1:10">
      <c r="A194">
        <f>IF(SALE!A198=0,"",SALE!A198)</f>
        <v>193</v>
      </c>
      <c r="B194" t="str">
        <f>IF(SALE!B198=0,"",SALE!B198)</f>
        <v/>
      </c>
      <c r="C194" t="str">
        <f>IF(SALE!C198=0,"",SALE!C198)</f>
        <v/>
      </c>
      <c r="D194" t="str">
        <f>IF(SALE!D198=0,"",SALE!D198)</f>
        <v/>
      </c>
      <c r="E194" s="10" t="str">
        <f>IF(SALE!E198=0,"",SALE!E198)</f>
        <v/>
      </c>
      <c r="F194" s="10" t="str">
        <f>IF(SALE!F198=0,"",SALE!F198)</f>
        <v/>
      </c>
      <c r="G194" s="2" t="str">
        <f>IF(SALE!G198=0,"",SALE!G198)</f>
        <v/>
      </c>
      <c r="H194" t="str">
        <f>IF(SALE!H198=0,"",SALE!H198)</f>
        <v/>
      </c>
      <c r="I194" t="str">
        <f>IF(SALE!I198=0,"",SALE!I198)</f>
        <v/>
      </c>
      <c r="J194" t="str">
        <f>IF(SALE!J198=0,"",SALE!J198)</f>
        <v/>
      </c>
    </row>
    <row r="195" spans="1:10">
      <c r="A195">
        <f>IF(SALE!A199=0,"",SALE!A199)</f>
        <v>194</v>
      </c>
      <c r="B195" t="str">
        <f>IF(SALE!B199=0,"",SALE!B199)</f>
        <v/>
      </c>
      <c r="C195" t="str">
        <f>IF(SALE!C199=0,"",SALE!C199)</f>
        <v/>
      </c>
      <c r="D195" t="str">
        <f>IF(SALE!D199=0,"",SALE!D199)</f>
        <v/>
      </c>
      <c r="E195" s="10" t="str">
        <f>IF(SALE!E199=0,"",SALE!E199)</f>
        <v/>
      </c>
      <c r="F195" s="10" t="str">
        <f>IF(SALE!F199=0,"",SALE!F199)</f>
        <v/>
      </c>
      <c r="G195" s="2" t="str">
        <f>IF(SALE!G199=0,"",SALE!G199)</f>
        <v/>
      </c>
      <c r="H195" t="str">
        <f>IF(SALE!H199=0,"",SALE!H199)</f>
        <v/>
      </c>
      <c r="I195" t="str">
        <f>IF(SALE!I199=0,"",SALE!I199)</f>
        <v/>
      </c>
      <c r="J195" t="str">
        <f>IF(SALE!J199=0,"",SALE!J199)</f>
        <v/>
      </c>
    </row>
    <row r="196" spans="1:10">
      <c r="A196">
        <f>IF(SALE!A200=0,"",SALE!A200)</f>
        <v>195</v>
      </c>
      <c r="B196" t="str">
        <f>IF(SALE!B200=0,"",SALE!B200)</f>
        <v/>
      </c>
      <c r="C196" t="str">
        <f>IF(SALE!C200=0,"",SALE!C200)</f>
        <v/>
      </c>
      <c r="D196" t="str">
        <f>IF(SALE!D200=0,"",SALE!D200)</f>
        <v/>
      </c>
      <c r="E196" s="10" t="str">
        <f>IF(SALE!E200=0,"",SALE!E200)</f>
        <v/>
      </c>
      <c r="F196" s="10" t="str">
        <f>IF(SALE!F200=0,"",SALE!F200)</f>
        <v/>
      </c>
      <c r="G196" s="2" t="str">
        <f>IF(SALE!G200=0,"",SALE!G200)</f>
        <v/>
      </c>
      <c r="H196" t="str">
        <f>IF(SALE!H200=0,"",SALE!H200)</f>
        <v/>
      </c>
      <c r="I196" t="str">
        <f>IF(SALE!I200=0,"",SALE!I200)</f>
        <v/>
      </c>
      <c r="J196" t="str">
        <f>IF(SALE!J200=0,"",SALE!J200)</f>
        <v/>
      </c>
    </row>
    <row r="197" spans="1:10">
      <c r="A197">
        <f>IF(SALE!A201=0,"",SALE!A201)</f>
        <v>196</v>
      </c>
      <c r="B197" t="str">
        <f>IF(SALE!B201=0,"",SALE!B201)</f>
        <v/>
      </c>
      <c r="C197" t="str">
        <f>IF(SALE!C201=0,"",SALE!C201)</f>
        <v/>
      </c>
      <c r="D197" t="str">
        <f>IF(SALE!D201=0,"",SALE!D201)</f>
        <v/>
      </c>
      <c r="E197" s="10" t="str">
        <f>IF(SALE!E201=0,"",SALE!E201)</f>
        <v/>
      </c>
      <c r="F197" s="10" t="str">
        <f>IF(SALE!F201=0,"",SALE!F201)</f>
        <v/>
      </c>
      <c r="G197" s="2" t="str">
        <f>IF(SALE!G201=0,"",SALE!G201)</f>
        <v/>
      </c>
      <c r="H197" t="str">
        <f>IF(SALE!H201=0,"",SALE!H201)</f>
        <v/>
      </c>
      <c r="I197" t="str">
        <f>IF(SALE!I201=0,"",SALE!I201)</f>
        <v/>
      </c>
      <c r="J197" t="str">
        <f>IF(SALE!J201=0,"",SALE!J201)</f>
        <v/>
      </c>
    </row>
    <row r="198" spans="1:10">
      <c r="A198">
        <f>IF(SALE!A202=0,"",SALE!A202)</f>
        <v>197</v>
      </c>
      <c r="B198" t="str">
        <f>IF(SALE!B202=0,"",SALE!B202)</f>
        <v/>
      </c>
      <c r="C198" t="str">
        <f>IF(SALE!C202=0,"",SALE!C202)</f>
        <v/>
      </c>
      <c r="D198" t="str">
        <f>IF(SALE!D202=0,"",SALE!D202)</f>
        <v/>
      </c>
      <c r="E198" s="10" t="str">
        <f>IF(SALE!E202=0,"",SALE!E202)</f>
        <v/>
      </c>
      <c r="F198" s="10" t="str">
        <f>IF(SALE!F202=0,"",SALE!F202)</f>
        <v/>
      </c>
      <c r="G198" s="2" t="str">
        <f>IF(SALE!G202=0,"",SALE!G202)</f>
        <v/>
      </c>
      <c r="H198" t="str">
        <f>IF(SALE!H202=0,"",SALE!H202)</f>
        <v/>
      </c>
      <c r="I198" t="str">
        <f>IF(SALE!I202=0,"",SALE!I202)</f>
        <v/>
      </c>
      <c r="J198" t="str">
        <f>IF(SALE!J202=0,"",SALE!J202)</f>
        <v/>
      </c>
    </row>
    <row r="199" spans="1:10">
      <c r="A199">
        <f>IF(SALE!A203=0,"",SALE!A203)</f>
        <v>198</v>
      </c>
      <c r="B199" t="str">
        <f>IF(SALE!B203=0,"",SALE!B203)</f>
        <v/>
      </c>
      <c r="C199" t="str">
        <f>IF(SALE!C203=0,"",SALE!C203)</f>
        <v/>
      </c>
      <c r="D199" t="str">
        <f>IF(SALE!D203=0,"",SALE!D203)</f>
        <v/>
      </c>
      <c r="E199" s="10" t="str">
        <f>IF(SALE!E203=0,"",SALE!E203)</f>
        <v/>
      </c>
      <c r="F199" s="10" t="str">
        <f>IF(SALE!F203=0,"",SALE!F203)</f>
        <v/>
      </c>
      <c r="G199" s="2" t="str">
        <f>IF(SALE!G203=0,"",SALE!G203)</f>
        <v/>
      </c>
      <c r="H199" t="str">
        <f>IF(SALE!H203=0,"",SALE!H203)</f>
        <v/>
      </c>
      <c r="I199" t="str">
        <f>IF(SALE!I203=0,"",SALE!I203)</f>
        <v/>
      </c>
      <c r="J199" t="str">
        <f>IF(SALE!J203=0,"",SALE!J203)</f>
        <v/>
      </c>
    </row>
    <row r="200" spans="1:10">
      <c r="A200">
        <f>IF(SALE!A204=0,"",SALE!A204)</f>
        <v>199</v>
      </c>
      <c r="B200" t="str">
        <f>IF(SALE!B204=0,"",SALE!B204)</f>
        <v/>
      </c>
      <c r="C200" t="str">
        <f>IF(SALE!C204=0,"",SALE!C204)</f>
        <v/>
      </c>
      <c r="D200" t="str">
        <f>IF(SALE!D204=0,"",SALE!D204)</f>
        <v/>
      </c>
      <c r="E200" s="10" t="str">
        <f>IF(SALE!E204=0,"",SALE!E204)</f>
        <v/>
      </c>
      <c r="F200" s="10" t="str">
        <f>IF(SALE!F204=0,"",SALE!F204)</f>
        <v/>
      </c>
      <c r="G200" s="2" t="str">
        <f>IF(SALE!G204=0,"",SALE!G204)</f>
        <v/>
      </c>
      <c r="H200" t="str">
        <f>IF(SALE!H204=0,"",SALE!H204)</f>
        <v/>
      </c>
      <c r="I200" t="str">
        <f>IF(SALE!I204=0,"",SALE!I204)</f>
        <v/>
      </c>
      <c r="J200" t="str">
        <f>IF(SALE!J204=0,"",SALE!J204)</f>
        <v/>
      </c>
    </row>
    <row r="201" spans="1:10">
      <c r="A201">
        <f>IF(SALE!A205=0,"",SALE!A205)</f>
        <v>200</v>
      </c>
      <c r="B201" t="str">
        <f>IF(SALE!B205=0,"",SALE!B205)</f>
        <v/>
      </c>
      <c r="C201" t="str">
        <f>IF(SALE!C205=0,"",SALE!C205)</f>
        <v/>
      </c>
      <c r="D201" t="str">
        <f>IF(SALE!D205=0,"",SALE!D205)</f>
        <v/>
      </c>
      <c r="E201" s="10" t="str">
        <f>IF(SALE!E205=0,"",SALE!E205)</f>
        <v/>
      </c>
      <c r="F201" s="10" t="str">
        <f>IF(SALE!F205=0,"",SALE!F205)</f>
        <v/>
      </c>
      <c r="G201" s="2" t="str">
        <f>IF(SALE!G205=0,"",SALE!G205)</f>
        <v/>
      </c>
      <c r="H201" t="str">
        <f>IF(SALE!H205=0,"",SALE!H205)</f>
        <v/>
      </c>
      <c r="I201" t="str">
        <f>IF(SALE!I205=0,"",SALE!I205)</f>
        <v/>
      </c>
      <c r="J201" t="str">
        <f>IF(SALE!J205=0,"",SALE!J205)</f>
        <v/>
      </c>
    </row>
    <row r="202" spans="1:10">
      <c r="A202">
        <f>IF(SALE!A206=0,"",SALE!A206)</f>
        <v>201</v>
      </c>
      <c r="B202" t="str">
        <f>IF(SALE!B206=0,"",SALE!B206)</f>
        <v/>
      </c>
      <c r="C202" t="str">
        <f>IF(SALE!C206=0,"",SALE!C206)</f>
        <v/>
      </c>
      <c r="D202" t="str">
        <f>IF(SALE!D206=0,"",SALE!D206)</f>
        <v/>
      </c>
      <c r="E202" s="10" t="str">
        <f>IF(SALE!E206=0,"",SALE!E206)</f>
        <v/>
      </c>
      <c r="F202" s="10" t="str">
        <f>IF(SALE!F206=0,"",SALE!F206)</f>
        <v/>
      </c>
      <c r="G202" s="2" t="str">
        <f>IF(SALE!G206=0,"",SALE!G206)</f>
        <v/>
      </c>
      <c r="H202" t="str">
        <f>IF(SALE!H206=0,"",SALE!H206)</f>
        <v/>
      </c>
      <c r="I202" t="str">
        <f>IF(SALE!I206=0,"",SALE!I206)</f>
        <v/>
      </c>
      <c r="J202" t="str">
        <f>IF(SALE!J206=0,"",SALE!J206)</f>
        <v/>
      </c>
    </row>
    <row r="203" spans="1:10">
      <c r="A203">
        <f>IF(SALE!A207=0,"",SALE!A207)</f>
        <v>202</v>
      </c>
      <c r="B203" t="str">
        <f>IF(SALE!B207=0,"",SALE!B207)</f>
        <v/>
      </c>
      <c r="C203" t="str">
        <f>IF(SALE!C207=0,"",SALE!C207)</f>
        <v/>
      </c>
      <c r="D203" t="str">
        <f>IF(SALE!D207=0,"",SALE!D207)</f>
        <v/>
      </c>
      <c r="E203" s="10" t="str">
        <f>IF(SALE!E207=0,"",SALE!E207)</f>
        <v/>
      </c>
      <c r="F203" s="10" t="str">
        <f>IF(SALE!F207=0,"",SALE!F207)</f>
        <v/>
      </c>
      <c r="G203" s="2" t="str">
        <f>IF(SALE!G207=0,"",SALE!G207)</f>
        <v/>
      </c>
      <c r="H203" t="str">
        <f>IF(SALE!H207=0,"",SALE!H207)</f>
        <v/>
      </c>
      <c r="I203" t="str">
        <f>IF(SALE!I207=0,"",SALE!I207)</f>
        <v/>
      </c>
      <c r="J203" t="str">
        <f>IF(SALE!J207=0,"",SALE!J207)</f>
        <v/>
      </c>
    </row>
    <row r="204" spans="1:10">
      <c r="A204">
        <f>IF(SALE!A208=0,"",SALE!A208)</f>
        <v>203</v>
      </c>
      <c r="B204" t="str">
        <f>IF(SALE!B208=0,"",SALE!B208)</f>
        <v/>
      </c>
      <c r="C204" t="str">
        <f>IF(SALE!C208=0,"",SALE!C208)</f>
        <v/>
      </c>
      <c r="D204" t="str">
        <f>IF(SALE!D208=0,"",SALE!D208)</f>
        <v/>
      </c>
      <c r="E204" s="10" t="str">
        <f>IF(SALE!E208=0,"",SALE!E208)</f>
        <v/>
      </c>
      <c r="F204" s="10" t="str">
        <f>IF(SALE!F208=0,"",SALE!F208)</f>
        <v/>
      </c>
      <c r="G204" s="2" t="str">
        <f>IF(SALE!G208=0,"",SALE!G208)</f>
        <v/>
      </c>
      <c r="H204" t="str">
        <f>IF(SALE!H208=0,"",SALE!H208)</f>
        <v/>
      </c>
      <c r="I204" t="str">
        <f>IF(SALE!I208=0,"",SALE!I208)</f>
        <v/>
      </c>
      <c r="J204" t="str">
        <f>IF(SALE!J208=0,"",SALE!J208)</f>
        <v/>
      </c>
    </row>
    <row r="205" spans="1:10">
      <c r="A205">
        <f>IF(SALE!A209=0,"",SALE!A209)</f>
        <v>204</v>
      </c>
      <c r="B205" t="str">
        <f>IF(SALE!B209=0,"",SALE!B209)</f>
        <v/>
      </c>
      <c r="C205" t="str">
        <f>IF(SALE!C209=0,"",SALE!C209)</f>
        <v/>
      </c>
      <c r="D205" t="str">
        <f>IF(SALE!D209=0,"",SALE!D209)</f>
        <v/>
      </c>
      <c r="E205" s="10" t="str">
        <f>IF(SALE!E209=0,"",SALE!E209)</f>
        <v/>
      </c>
      <c r="F205" s="10" t="str">
        <f>IF(SALE!F209=0,"",SALE!F209)</f>
        <v/>
      </c>
      <c r="G205" s="2" t="str">
        <f>IF(SALE!G209=0,"",SALE!G209)</f>
        <v/>
      </c>
      <c r="H205" t="str">
        <f>IF(SALE!H209=0,"",SALE!H209)</f>
        <v/>
      </c>
      <c r="I205" t="str">
        <f>IF(SALE!I209=0,"",SALE!I209)</f>
        <v/>
      </c>
      <c r="J205" t="str">
        <f>IF(SALE!J209=0,"",SALE!J209)</f>
        <v/>
      </c>
    </row>
    <row r="206" spans="1:10">
      <c r="A206">
        <f>IF(SALE!A210=0,"",SALE!A210)</f>
        <v>205</v>
      </c>
      <c r="B206" t="str">
        <f>IF(SALE!B210=0,"",SALE!B210)</f>
        <v/>
      </c>
      <c r="C206" t="str">
        <f>IF(SALE!C210=0,"",SALE!C210)</f>
        <v/>
      </c>
      <c r="D206" t="str">
        <f>IF(SALE!D210=0,"",SALE!D210)</f>
        <v/>
      </c>
      <c r="E206" s="10" t="str">
        <f>IF(SALE!E210=0,"",SALE!E210)</f>
        <v/>
      </c>
      <c r="F206" s="10" t="str">
        <f>IF(SALE!F210=0,"",SALE!F210)</f>
        <v/>
      </c>
      <c r="G206" s="2" t="str">
        <f>IF(SALE!G210=0,"",SALE!G210)</f>
        <v/>
      </c>
      <c r="H206" t="str">
        <f>IF(SALE!H210=0,"",SALE!H210)</f>
        <v/>
      </c>
      <c r="I206" t="str">
        <f>IF(SALE!I210=0,"",SALE!I210)</f>
        <v/>
      </c>
      <c r="J206" t="str">
        <f>IF(SALE!J210=0,"",SALE!J210)</f>
        <v/>
      </c>
    </row>
    <row r="207" spans="1:10">
      <c r="A207">
        <f>IF(SALE!A211=0,"",SALE!A211)</f>
        <v>206</v>
      </c>
      <c r="B207" t="str">
        <f>IF(SALE!B211=0,"",SALE!B211)</f>
        <v/>
      </c>
      <c r="C207" t="str">
        <f>IF(SALE!C211=0,"",SALE!C211)</f>
        <v/>
      </c>
      <c r="D207" t="str">
        <f>IF(SALE!D211=0,"",SALE!D211)</f>
        <v/>
      </c>
      <c r="E207" s="10" t="str">
        <f>IF(SALE!E211=0,"",SALE!E211)</f>
        <v/>
      </c>
      <c r="F207" s="10" t="str">
        <f>IF(SALE!F211=0,"",SALE!F211)</f>
        <v/>
      </c>
      <c r="G207" s="2" t="str">
        <f>IF(SALE!G211=0,"",SALE!G211)</f>
        <v/>
      </c>
      <c r="H207" t="str">
        <f>IF(SALE!H211=0,"",SALE!H211)</f>
        <v/>
      </c>
      <c r="I207" t="str">
        <f>IF(SALE!I211=0,"",SALE!I211)</f>
        <v/>
      </c>
      <c r="J207" t="str">
        <f>IF(SALE!J211=0,"",SALE!J211)</f>
        <v/>
      </c>
    </row>
    <row r="208" spans="1:10">
      <c r="A208">
        <f>IF(SALE!A212=0,"",SALE!A212)</f>
        <v>207</v>
      </c>
      <c r="B208" t="str">
        <f>IF(SALE!B212=0,"",SALE!B212)</f>
        <v/>
      </c>
      <c r="C208" t="str">
        <f>IF(SALE!C212=0,"",SALE!C212)</f>
        <v/>
      </c>
      <c r="D208" t="str">
        <f>IF(SALE!D212=0,"",SALE!D212)</f>
        <v/>
      </c>
      <c r="E208" s="10" t="str">
        <f>IF(SALE!E212=0,"",SALE!E212)</f>
        <v/>
      </c>
      <c r="F208" s="10" t="str">
        <f>IF(SALE!F212=0,"",SALE!F212)</f>
        <v/>
      </c>
      <c r="G208" s="2" t="str">
        <f>IF(SALE!G212=0,"",SALE!G212)</f>
        <v/>
      </c>
      <c r="H208" t="str">
        <f>IF(SALE!H212=0,"",SALE!H212)</f>
        <v/>
      </c>
      <c r="I208" t="str">
        <f>IF(SALE!I212=0,"",SALE!I212)</f>
        <v/>
      </c>
      <c r="J208" t="str">
        <f>IF(SALE!J212=0,"",SALE!J212)</f>
        <v/>
      </c>
    </row>
    <row r="209" spans="1:10">
      <c r="A209">
        <f>IF(SALE!A213=0,"",SALE!A213)</f>
        <v>208</v>
      </c>
      <c r="B209" t="str">
        <f>IF(SALE!B213=0,"",SALE!B213)</f>
        <v/>
      </c>
      <c r="C209" t="str">
        <f>IF(SALE!C213=0,"",SALE!C213)</f>
        <v/>
      </c>
      <c r="D209" t="str">
        <f>IF(SALE!D213=0,"",SALE!D213)</f>
        <v/>
      </c>
      <c r="E209" s="10" t="str">
        <f>IF(SALE!E213=0,"",SALE!E213)</f>
        <v/>
      </c>
      <c r="F209" s="10" t="str">
        <f>IF(SALE!F213=0,"",SALE!F213)</f>
        <v/>
      </c>
      <c r="G209" s="2" t="str">
        <f>IF(SALE!G213=0,"",SALE!G213)</f>
        <v/>
      </c>
      <c r="H209" t="str">
        <f>IF(SALE!H213=0,"",SALE!H213)</f>
        <v/>
      </c>
      <c r="I209" t="str">
        <f>IF(SALE!I213=0,"",SALE!I213)</f>
        <v/>
      </c>
      <c r="J209" t="str">
        <f>IF(SALE!J213=0,"",SALE!J213)</f>
        <v/>
      </c>
    </row>
    <row r="210" spans="1:10">
      <c r="A210">
        <f>IF(SALE!A214=0,"",SALE!A214)</f>
        <v>209</v>
      </c>
      <c r="B210" t="str">
        <f>IF(SALE!B214=0,"",SALE!B214)</f>
        <v/>
      </c>
      <c r="C210" t="str">
        <f>IF(SALE!C214=0,"",SALE!C214)</f>
        <v/>
      </c>
      <c r="D210" t="str">
        <f>IF(SALE!D214=0,"",SALE!D214)</f>
        <v/>
      </c>
      <c r="E210" s="10" t="str">
        <f>IF(SALE!E214=0,"",SALE!E214)</f>
        <v/>
      </c>
      <c r="F210" s="10" t="str">
        <f>IF(SALE!F214=0,"",SALE!F214)</f>
        <v/>
      </c>
      <c r="G210" s="2" t="str">
        <f>IF(SALE!G214=0,"",SALE!G214)</f>
        <v/>
      </c>
      <c r="H210" t="str">
        <f>IF(SALE!H214=0,"",SALE!H214)</f>
        <v/>
      </c>
      <c r="I210" t="str">
        <f>IF(SALE!I214=0,"",SALE!I214)</f>
        <v/>
      </c>
      <c r="J210" t="str">
        <f>IF(SALE!J214=0,"",SALE!J214)</f>
        <v/>
      </c>
    </row>
    <row r="211" spans="1:10">
      <c r="A211">
        <f>IF(SALE!A215=0,"",SALE!A215)</f>
        <v>210</v>
      </c>
      <c r="B211" t="str">
        <f>IF(SALE!B215=0,"",SALE!B215)</f>
        <v/>
      </c>
      <c r="C211" t="str">
        <f>IF(SALE!C215=0,"",SALE!C215)</f>
        <v/>
      </c>
      <c r="D211" t="str">
        <f>IF(SALE!D215=0,"",SALE!D215)</f>
        <v/>
      </c>
      <c r="E211" s="10" t="str">
        <f>IF(SALE!E215=0,"",SALE!E215)</f>
        <v/>
      </c>
      <c r="F211" s="10" t="str">
        <f>IF(SALE!F215=0,"",SALE!F215)</f>
        <v/>
      </c>
      <c r="G211" s="2" t="str">
        <f>IF(SALE!G215=0,"",SALE!G215)</f>
        <v/>
      </c>
      <c r="H211" t="str">
        <f>IF(SALE!H215=0,"",SALE!H215)</f>
        <v/>
      </c>
      <c r="I211" t="str">
        <f>IF(SALE!I215=0,"",SALE!I215)</f>
        <v/>
      </c>
      <c r="J211" t="str">
        <f>IF(SALE!J215=0,"",SALE!J215)</f>
        <v/>
      </c>
    </row>
    <row r="212" spans="1:10">
      <c r="A212">
        <f>IF(SALE!A216=0,"",SALE!A216)</f>
        <v>211</v>
      </c>
      <c r="B212" t="str">
        <f>IF(SALE!B216=0,"",SALE!B216)</f>
        <v/>
      </c>
      <c r="C212" t="str">
        <f>IF(SALE!C216=0,"",SALE!C216)</f>
        <v/>
      </c>
      <c r="D212" t="str">
        <f>IF(SALE!D216=0,"",SALE!D216)</f>
        <v/>
      </c>
      <c r="E212" s="10" t="str">
        <f>IF(SALE!E216=0,"",SALE!E216)</f>
        <v/>
      </c>
      <c r="F212" s="10" t="str">
        <f>IF(SALE!F216=0,"",SALE!F216)</f>
        <v/>
      </c>
      <c r="G212" s="2" t="str">
        <f>IF(SALE!G216=0,"",SALE!G216)</f>
        <v/>
      </c>
      <c r="H212" t="str">
        <f>IF(SALE!H216=0,"",SALE!H216)</f>
        <v/>
      </c>
      <c r="I212" t="str">
        <f>IF(SALE!I216=0,"",SALE!I216)</f>
        <v/>
      </c>
      <c r="J212" t="str">
        <f>IF(SALE!J216=0,"",SALE!J216)</f>
        <v/>
      </c>
    </row>
    <row r="213" spans="1:10">
      <c r="A213">
        <f>IF(SALE!A217=0,"",SALE!A217)</f>
        <v>212</v>
      </c>
      <c r="B213" t="str">
        <f>IF(SALE!B217=0,"",SALE!B217)</f>
        <v/>
      </c>
      <c r="C213" t="str">
        <f>IF(SALE!C217=0,"",SALE!C217)</f>
        <v/>
      </c>
      <c r="D213" t="str">
        <f>IF(SALE!D217=0,"",SALE!D217)</f>
        <v/>
      </c>
      <c r="E213" s="10" t="str">
        <f>IF(SALE!E217=0,"",SALE!E217)</f>
        <v/>
      </c>
      <c r="F213" s="10" t="str">
        <f>IF(SALE!F217=0,"",SALE!F217)</f>
        <v/>
      </c>
      <c r="G213" s="2" t="str">
        <f>IF(SALE!G217=0,"",SALE!G217)</f>
        <v/>
      </c>
      <c r="H213" t="str">
        <f>IF(SALE!H217=0,"",SALE!H217)</f>
        <v/>
      </c>
      <c r="I213" t="str">
        <f>IF(SALE!I217=0,"",SALE!I217)</f>
        <v/>
      </c>
      <c r="J213" t="str">
        <f>IF(SALE!J217=0,"",SALE!J217)</f>
        <v/>
      </c>
    </row>
    <row r="214" spans="1:10">
      <c r="A214">
        <f>IF(SALE!A218=0,"",SALE!A218)</f>
        <v>213</v>
      </c>
      <c r="B214" t="str">
        <f>IF(SALE!B218=0,"",SALE!B218)</f>
        <v/>
      </c>
      <c r="C214" t="str">
        <f>IF(SALE!C218=0,"",SALE!C218)</f>
        <v/>
      </c>
      <c r="D214" t="str">
        <f>IF(SALE!D218=0,"",SALE!D218)</f>
        <v/>
      </c>
      <c r="E214" s="10" t="str">
        <f>IF(SALE!E218=0,"",SALE!E218)</f>
        <v/>
      </c>
      <c r="F214" s="10" t="str">
        <f>IF(SALE!F218=0,"",SALE!F218)</f>
        <v/>
      </c>
      <c r="G214" s="2" t="str">
        <f>IF(SALE!G218=0,"",SALE!G218)</f>
        <v/>
      </c>
      <c r="H214" t="str">
        <f>IF(SALE!H218=0,"",SALE!H218)</f>
        <v/>
      </c>
      <c r="I214" t="str">
        <f>IF(SALE!I218=0,"",SALE!I218)</f>
        <v/>
      </c>
      <c r="J214" t="str">
        <f>IF(SALE!J218=0,"",SALE!J218)</f>
        <v/>
      </c>
    </row>
    <row r="215" spans="1:10">
      <c r="A215">
        <f>IF(SALE!A219=0,"",SALE!A219)</f>
        <v>214</v>
      </c>
      <c r="B215" t="str">
        <f>IF(SALE!B219=0,"",SALE!B219)</f>
        <v/>
      </c>
      <c r="C215" t="str">
        <f>IF(SALE!C219=0,"",SALE!C219)</f>
        <v/>
      </c>
      <c r="D215" t="str">
        <f>IF(SALE!D219=0,"",SALE!D219)</f>
        <v/>
      </c>
      <c r="E215" s="10" t="str">
        <f>IF(SALE!E219=0,"",SALE!E219)</f>
        <v/>
      </c>
      <c r="F215" s="10" t="str">
        <f>IF(SALE!F219=0,"",SALE!F219)</f>
        <v/>
      </c>
      <c r="G215" s="2" t="str">
        <f>IF(SALE!G219=0,"",SALE!G219)</f>
        <v/>
      </c>
      <c r="H215" t="str">
        <f>IF(SALE!H219=0,"",SALE!H219)</f>
        <v/>
      </c>
      <c r="I215" t="str">
        <f>IF(SALE!I219=0,"",SALE!I219)</f>
        <v/>
      </c>
      <c r="J215" t="str">
        <f>IF(SALE!J219=0,"",SALE!J219)</f>
        <v/>
      </c>
    </row>
    <row r="216" spans="1:10">
      <c r="A216">
        <f>IF(SALE!A220=0,"",SALE!A220)</f>
        <v>215</v>
      </c>
      <c r="B216" t="str">
        <f>IF(SALE!B220=0,"",SALE!B220)</f>
        <v/>
      </c>
      <c r="C216" t="str">
        <f>IF(SALE!C220=0,"",SALE!C220)</f>
        <v/>
      </c>
      <c r="D216" t="str">
        <f>IF(SALE!D220=0,"",SALE!D220)</f>
        <v/>
      </c>
      <c r="E216" s="10" t="str">
        <f>IF(SALE!E220=0,"",SALE!E220)</f>
        <v/>
      </c>
      <c r="F216" s="10" t="str">
        <f>IF(SALE!F220=0,"",SALE!F220)</f>
        <v/>
      </c>
      <c r="G216" s="2" t="str">
        <f>IF(SALE!G220=0,"",SALE!G220)</f>
        <v/>
      </c>
      <c r="H216" t="str">
        <f>IF(SALE!H220=0,"",SALE!H220)</f>
        <v/>
      </c>
      <c r="I216" t="str">
        <f>IF(SALE!I220=0,"",SALE!I220)</f>
        <v/>
      </c>
      <c r="J216" t="str">
        <f>IF(SALE!J220=0,"",SALE!J220)</f>
        <v/>
      </c>
    </row>
    <row r="217" spans="1:10">
      <c r="A217">
        <f>IF(SALE!A221=0,"",SALE!A221)</f>
        <v>216</v>
      </c>
      <c r="B217" t="str">
        <f>IF(SALE!B221=0,"",SALE!B221)</f>
        <v/>
      </c>
      <c r="C217" t="str">
        <f>IF(SALE!C221=0,"",SALE!C221)</f>
        <v/>
      </c>
      <c r="D217" t="str">
        <f>IF(SALE!D221=0,"",SALE!D221)</f>
        <v/>
      </c>
      <c r="E217" s="10" t="str">
        <f>IF(SALE!E221=0,"",SALE!E221)</f>
        <v/>
      </c>
      <c r="F217" s="10" t="str">
        <f>IF(SALE!F221=0,"",SALE!F221)</f>
        <v/>
      </c>
      <c r="G217" s="2" t="str">
        <f>IF(SALE!G221=0,"",SALE!G221)</f>
        <v/>
      </c>
      <c r="H217" t="str">
        <f>IF(SALE!H221=0,"",SALE!H221)</f>
        <v/>
      </c>
      <c r="I217" t="str">
        <f>IF(SALE!I221=0,"",SALE!I221)</f>
        <v/>
      </c>
      <c r="J217" t="str">
        <f>IF(SALE!J221=0,"",SALE!J221)</f>
        <v/>
      </c>
    </row>
    <row r="218" spans="1:10">
      <c r="A218">
        <f>IF(SALE!A222=0,"",SALE!A222)</f>
        <v>217</v>
      </c>
      <c r="B218" t="str">
        <f>IF(SALE!B222=0,"",SALE!B222)</f>
        <v/>
      </c>
      <c r="C218" t="str">
        <f>IF(SALE!C222=0,"",SALE!C222)</f>
        <v/>
      </c>
      <c r="D218" t="str">
        <f>IF(SALE!D222=0,"",SALE!D222)</f>
        <v/>
      </c>
      <c r="E218" s="10" t="str">
        <f>IF(SALE!E222=0,"",SALE!E222)</f>
        <v/>
      </c>
      <c r="F218" s="10" t="str">
        <f>IF(SALE!F222=0,"",SALE!F222)</f>
        <v/>
      </c>
      <c r="G218" s="2" t="str">
        <f>IF(SALE!G222=0,"",SALE!G222)</f>
        <v/>
      </c>
      <c r="H218" t="str">
        <f>IF(SALE!H222=0,"",SALE!H222)</f>
        <v/>
      </c>
      <c r="I218" t="str">
        <f>IF(SALE!I222=0,"",SALE!I222)</f>
        <v/>
      </c>
      <c r="J218" t="str">
        <f>IF(SALE!J222=0,"",SALE!J222)</f>
        <v/>
      </c>
    </row>
    <row r="219" spans="1:10">
      <c r="A219">
        <f>IF(SALE!A223=0,"",SALE!A223)</f>
        <v>218</v>
      </c>
      <c r="B219" t="str">
        <f>IF(SALE!B223=0,"",SALE!B223)</f>
        <v/>
      </c>
      <c r="C219" t="str">
        <f>IF(SALE!C223=0,"",SALE!C223)</f>
        <v/>
      </c>
      <c r="D219" t="str">
        <f>IF(SALE!D223=0,"",SALE!D223)</f>
        <v/>
      </c>
      <c r="E219" s="10" t="str">
        <f>IF(SALE!E223=0,"",SALE!E223)</f>
        <v/>
      </c>
      <c r="F219" s="10" t="str">
        <f>IF(SALE!F223=0,"",SALE!F223)</f>
        <v/>
      </c>
      <c r="G219" s="2" t="str">
        <f>IF(SALE!G223=0,"",SALE!G223)</f>
        <v/>
      </c>
      <c r="H219" t="str">
        <f>IF(SALE!H223=0,"",SALE!H223)</f>
        <v/>
      </c>
      <c r="I219" t="str">
        <f>IF(SALE!I223=0,"",SALE!I223)</f>
        <v/>
      </c>
      <c r="J219" t="str">
        <f>IF(SALE!J223=0,"",SALE!J223)</f>
        <v/>
      </c>
    </row>
    <row r="220" spans="1:10">
      <c r="A220">
        <f>IF(SALE!A224=0,"",SALE!A224)</f>
        <v>219</v>
      </c>
      <c r="B220" t="str">
        <f>IF(SALE!B224=0,"",SALE!B224)</f>
        <v/>
      </c>
      <c r="C220" t="str">
        <f>IF(SALE!C224=0,"",SALE!C224)</f>
        <v/>
      </c>
      <c r="D220" t="str">
        <f>IF(SALE!D224=0,"",SALE!D224)</f>
        <v/>
      </c>
      <c r="E220" s="10" t="str">
        <f>IF(SALE!E224=0,"",SALE!E224)</f>
        <v/>
      </c>
      <c r="F220" s="10" t="str">
        <f>IF(SALE!F224=0,"",SALE!F224)</f>
        <v/>
      </c>
      <c r="G220" s="2" t="str">
        <f>IF(SALE!G224=0,"",SALE!G224)</f>
        <v/>
      </c>
      <c r="H220" t="str">
        <f>IF(SALE!H224=0,"",SALE!H224)</f>
        <v/>
      </c>
      <c r="I220" t="str">
        <f>IF(SALE!I224=0,"",SALE!I224)</f>
        <v/>
      </c>
      <c r="J220" t="str">
        <f>IF(SALE!J224=0,"",SALE!J224)</f>
        <v/>
      </c>
    </row>
    <row r="221" spans="1:10">
      <c r="A221">
        <f>IF(SALE!A225=0,"",SALE!A225)</f>
        <v>220</v>
      </c>
      <c r="B221" t="str">
        <f>IF(SALE!B225=0,"",SALE!B225)</f>
        <v/>
      </c>
      <c r="C221" t="str">
        <f>IF(SALE!C225=0,"",SALE!C225)</f>
        <v/>
      </c>
      <c r="D221" t="str">
        <f>IF(SALE!D225=0,"",SALE!D225)</f>
        <v/>
      </c>
      <c r="E221" s="10" t="str">
        <f>IF(SALE!E225=0,"",SALE!E225)</f>
        <v/>
      </c>
      <c r="F221" s="10" t="str">
        <f>IF(SALE!F225=0,"",SALE!F225)</f>
        <v/>
      </c>
      <c r="G221" s="2" t="str">
        <f>IF(SALE!G225=0,"",SALE!G225)</f>
        <v/>
      </c>
      <c r="H221" t="str">
        <f>IF(SALE!H225=0,"",SALE!H225)</f>
        <v/>
      </c>
      <c r="I221" t="str">
        <f>IF(SALE!I225=0,"",SALE!I225)</f>
        <v/>
      </c>
      <c r="J221" t="str">
        <f>IF(SALE!J225=0,"",SALE!J225)</f>
        <v/>
      </c>
    </row>
    <row r="222" spans="1:10">
      <c r="A222">
        <f>IF(SALE!A226=0,"",SALE!A226)</f>
        <v>221</v>
      </c>
      <c r="B222" t="str">
        <f>IF(SALE!B226=0,"",SALE!B226)</f>
        <v/>
      </c>
      <c r="C222" t="str">
        <f>IF(SALE!C226=0,"",SALE!C226)</f>
        <v/>
      </c>
      <c r="D222" t="str">
        <f>IF(SALE!D226=0,"",SALE!D226)</f>
        <v/>
      </c>
      <c r="E222" s="10" t="str">
        <f>IF(SALE!E226=0,"",SALE!E226)</f>
        <v/>
      </c>
      <c r="F222" s="10" t="str">
        <f>IF(SALE!F226=0,"",SALE!F226)</f>
        <v/>
      </c>
      <c r="G222" s="2" t="str">
        <f>IF(SALE!G226=0,"",SALE!G226)</f>
        <v/>
      </c>
      <c r="H222" t="str">
        <f>IF(SALE!H226=0,"",SALE!H226)</f>
        <v/>
      </c>
      <c r="I222" t="str">
        <f>IF(SALE!I226=0,"",SALE!I226)</f>
        <v/>
      </c>
      <c r="J222" t="str">
        <f>IF(SALE!J226=0,"",SALE!J226)</f>
        <v/>
      </c>
    </row>
    <row r="223" spans="1:10">
      <c r="A223">
        <f>IF(SALE!A227=0,"",SALE!A227)</f>
        <v>222</v>
      </c>
      <c r="B223" t="str">
        <f>IF(SALE!B227=0,"",SALE!B227)</f>
        <v/>
      </c>
      <c r="C223" t="str">
        <f>IF(SALE!C227=0,"",SALE!C227)</f>
        <v/>
      </c>
      <c r="D223" t="str">
        <f>IF(SALE!D227=0,"",SALE!D227)</f>
        <v/>
      </c>
      <c r="E223" s="10" t="str">
        <f>IF(SALE!E227=0,"",SALE!E227)</f>
        <v/>
      </c>
      <c r="F223" s="10" t="str">
        <f>IF(SALE!F227=0,"",SALE!F227)</f>
        <v/>
      </c>
      <c r="G223" s="2" t="str">
        <f>IF(SALE!G227=0,"",SALE!G227)</f>
        <v/>
      </c>
      <c r="H223" t="str">
        <f>IF(SALE!H227=0,"",SALE!H227)</f>
        <v/>
      </c>
      <c r="I223" t="str">
        <f>IF(SALE!I227=0,"",SALE!I227)</f>
        <v/>
      </c>
      <c r="J223" t="str">
        <f>IF(SALE!J227=0,"",SALE!J227)</f>
        <v/>
      </c>
    </row>
    <row r="224" spans="1:10">
      <c r="A224">
        <f>IF(SALE!A228=0,"",SALE!A228)</f>
        <v>223</v>
      </c>
      <c r="B224" t="str">
        <f>IF(SALE!B228=0,"",SALE!B228)</f>
        <v/>
      </c>
      <c r="C224" t="str">
        <f>IF(SALE!C228=0,"",SALE!C228)</f>
        <v/>
      </c>
      <c r="D224" t="str">
        <f>IF(SALE!D228=0,"",SALE!D228)</f>
        <v/>
      </c>
      <c r="E224" s="10" t="str">
        <f>IF(SALE!E228=0,"",SALE!E228)</f>
        <v/>
      </c>
      <c r="F224" s="10" t="str">
        <f>IF(SALE!F228=0,"",SALE!F228)</f>
        <v/>
      </c>
      <c r="G224" s="2" t="str">
        <f>IF(SALE!G228=0,"",SALE!G228)</f>
        <v/>
      </c>
      <c r="H224" t="str">
        <f>IF(SALE!H228=0,"",SALE!H228)</f>
        <v/>
      </c>
      <c r="I224" t="str">
        <f>IF(SALE!I228=0,"",SALE!I228)</f>
        <v/>
      </c>
      <c r="J224" t="str">
        <f>IF(SALE!J228=0,"",SALE!J228)</f>
        <v/>
      </c>
    </row>
    <row r="225" spans="1:10">
      <c r="A225">
        <f>IF(SALE!A229=0,"",SALE!A229)</f>
        <v>224</v>
      </c>
      <c r="B225" t="str">
        <f>IF(SALE!B229=0,"",SALE!B229)</f>
        <v/>
      </c>
      <c r="C225" t="str">
        <f>IF(SALE!C229=0,"",SALE!C229)</f>
        <v/>
      </c>
      <c r="D225" t="str">
        <f>IF(SALE!D229=0,"",SALE!D229)</f>
        <v/>
      </c>
      <c r="E225" s="10" t="str">
        <f>IF(SALE!E229=0,"",SALE!E229)</f>
        <v/>
      </c>
      <c r="F225" s="10" t="str">
        <f>IF(SALE!F229=0,"",SALE!F229)</f>
        <v/>
      </c>
      <c r="G225" s="2" t="str">
        <f>IF(SALE!G229=0,"",SALE!G229)</f>
        <v/>
      </c>
      <c r="H225" t="str">
        <f>IF(SALE!H229=0,"",SALE!H229)</f>
        <v/>
      </c>
      <c r="I225" t="str">
        <f>IF(SALE!I229=0,"",SALE!I229)</f>
        <v/>
      </c>
      <c r="J225" t="str">
        <f>IF(SALE!J229=0,"",SALE!J229)</f>
        <v/>
      </c>
    </row>
    <row r="226" spans="1:10">
      <c r="A226">
        <f>IF(SALE!A230=0,"",SALE!A230)</f>
        <v>225</v>
      </c>
      <c r="B226" t="str">
        <f>IF(SALE!B230=0,"",SALE!B230)</f>
        <v/>
      </c>
      <c r="C226" t="str">
        <f>IF(SALE!C230=0,"",SALE!C230)</f>
        <v/>
      </c>
      <c r="D226" t="str">
        <f>IF(SALE!D230=0,"",SALE!D230)</f>
        <v/>
      </c>
      <c r="E226" s="10" t="str">
        <f>IF(SALE!E230=0,"",SALE!E230)</f>
        <v/>
      </c>
      <c r="F226" s="10" t="str">
        <f>IF(SALE!F230=0,"",SALE!F230)</f>
        <v/>
      </c>
      <c r="G226" s="2" t="str">
        <f>IF(SALE!G230=0,"",SALE!G230)</f>
        <v/>
      </c>
      <c r="H226" t="str">
        <f>IF(SALE!H230=0,"",SALE!H230)</f>
        <v/>
      </c>
      <c r="I226" t="str">
        <f>IF(SALE!I230=0,"",SALE!I230)</f>
        <v/>
      </c>
      <c r="J226" t="str">
        <f>IF(SALE!J230=0,"",SALE!J230)</f>
        <v/>
      </c>
    </row>
    <row r="227" spans="1:10">
      <c r="A227">
        <f>IF(SALE!A231=0,"",SALE!A231)</f>
        <v>226</v>
      </c>
      <c r="B227" t="str">
        <f>IF(SALE!B231=0,"",SALE!B231)</f>
        <v/>
      </c>
      <c r="C227" t="str">
        <f>IF(SALE!C231=0,"",SALE!C231)</f>
        <v/>
      </c>
      <c r="D227" t="str">
        <f>IF(SALE!D231=0,"",SALE!D231)</f>
        <v/>
      </c>
      <c r="E227" s="10" t="str">
        <f>IF(SALE!E231=0,"",SALE!E231)</f>
        <v/>
      </c>
      <c r="F227" s="10" t="str">
        <f>IF(SALE!F231=0,"",SALE!F231)</f>
        <v/>
      </c>
      <c r="G227" s="2" t="str">
        <f>IF(SALE!G231=0,"",SALE!G231)</f>
        <v/>
      </c>
      <c r="H227" t="str">
        <f>IF(SALE!H231=0,"",SALE!H231)</f>
        <v/>
      </c>
      <c r="I227" t="str">
        <f>IF(SALE!I231=0,"",SALE!I231)</f>
        <v/>
      </c>
      <c r="J227" t="str">
        <f>IF(SALE!J231=0,"",SALE!J231)</f>
        <v/>
      </c>
    </row>
    <row r="228" spans="1:10">
      <c r="A228">
        <f>IF(SALE!A232=0,"",SALE!A232)</f>
        <v>227</v>
      </c>
      <c r="B228" t="str">
        <f>IF(SALE!B232=0,"",SALE!B232)</f>
        <v/>
      </c>
      <c r="C228" t="str">
        <f>IF(SALE!C232=0,"",SALE!C232)</f>
        <v/>
      </c>
      <c r="D228" t="str">
        <f>IF(SALE!D232=0,"",SALE!D232)</f>
        <v/>
      </c>
      <c r="E228" s="10" t="str">
        <f>IF(SALE!E232=0,"",SALE!E232)</f>
        <v/>
      </c>
      <c r="F228" s="10" t="str">
        <f>IF(SALE!F232=0,"",SALE!F232)</f>
        <v/>
      </c>
      <c r="G228" s="2" t="str">
        <f>IF(SALE!G232=0,"",SALE!G232)</f>
        <v/>
      </c>
      <c r="H228" t="str">
        <f>IF(SALE!H232=0,"",SALE!H232)</f>
        <v/>
      </c>
      <c r="I228" t="str">
        <f>IF(SALE!I232=0,"",SALE!I232)</f>
        <v/>
      </c>
      <c r="J228" t="str">
        <f>IF(SALE!J232=0,"",SALE!J232)</f>
        <v/>
      </c>
    </row>
    <row r="229" spans="1:10">
      <c r="A229">
        <f>IF(SALE!A233=0,"",SALE!A233)</f>
        <v>228</v>
      </c>
      <c r="B229" t="str">
        <f>IF(SALE!B233=0,"",SALE!B233)</f>
        <v/>
      </c>
      <c r="C229" t="str">
        <f>IF(SALE!C233=0,"",SALE!C233)</f>
        <v/>
      </c>
      <c r="D229" t="str">
        <f>IF(SALE!D233=0,"",SALE!D233)</f>
        <v/>
      </c>
      <c r="E229" s="10" t="str">
        <f>IF(SALE!E233=0,"",SALE!E233)</f>
        <v/>
      </c>
      <c r="F229" s="10" t="str">
        <f>IF(SALE!F233=0,"",SALE!F233)</f>
        <v/>
      </c>
      <c r="G229" s="2" t="str">
        <f>IF(SALE!G233=0,"",SALE!G233)</f>
        <v/>
      </c>
      <c r="H229" t="str">
        <f>IF(SALE!H233=0,"",SALE!H233)</f>
        <v/>
      </c>
      <c r="I229" t="str">
        <f>IF(SALE!I233=0,"",SALE!I233)</f>
        <v/>
      </c>
      <c r="J229" t="str">
        <f>IF(SALE!J233=0,"",SALE!J233)</f>
        <v/>
      </c>
    </row>
    <row r="230" spans="1:10">
      <c r="A230">
        <f>IF(SALE!A234=0,"",SALE!A234)</f>
        <v>229</v>
      </c>
      <c r="B230" t="str">
        <f>IF(SALE!B234=0,"",SALE!B234)</f>
        <v/>
      </c>
      <c r="C230" t="str">
        <f>IF(SALE!C234=0,"",SALE!C234)</f>
        <v/>
      </c>
      <c r="D230" t="str">
        <f>IF(SALE!D234=0,"",SALE!D234)</f>
        <v/>
      </c>
      <c r="E230" s="10" t="str">
        <f>IF(SALE!E234=0,"",SALE!E234)</f>
        <v/>
      </c>
      <c r="F230" s="10" t="str">
        <f>IF(SALE!F234=0,"",SALE!F234)</f>
        <v/>
      </c>
      <c r="G230" s="2" t="str">
        <f>IF(SALE!G234=0,"",SALE!G234)</f>
        <v/>
      </c>
      <c r="H230" t="str">
        <f>IF(SALE!H234=0,"",SALE!H234)</f>
        <v/>
      </c>
      <c r="I230" t="str">
        <f>IF(SALE!I234=0,"",SALE!I234)</f>
        <v/>
      </c>
      <c r="J230" t="str">
        <f>IF(SALE!J234=0,"",SALE!J234)</f>
        <v/>
      </c>
    </row>
    <row r="231" spans="1:10">
      <c r="A231">
        <f>IF(SALE!A235=0,"",SALE!A235)</f>
        <v>230</v>
      </c>
      <c r="B231" t="str">
        <f>IF(SALE!B235=0,"",SALE!B235)</f>
        <v/>
      </c>
      <c r="C231" t="str">
        <f>IF(SALE!C235=0,"",SALE!C235)</f>
        <v/>
      </c>
      <c r="D231" t="str">
        <f>IF(SALE!D235=0,"",SALE!D235)</f>
        <v/>
      </c>
      <c r="E231" s="10" t="str">
        <f>IF(SALE!E235=0,"",SALE!E235)</f>
        <v/>
      </c>
      <c r="F231" s="10" t="str">
        <f>IF(SALE!F235=0,"",SALE!F235)</f>
        <v/>
      </c>
      <c r="G231" s="2" t="str">
        <f>IF(SALE!G235=0,"",SALE!G235)</f>
        <v/>
      </c>
      <c r="H231" t="str">
        <f>IF(SALE!H235=0,"",SALE!H235)</f>
        <v/>
      </c>
      <c r="I231" t="str">
        <f>IF(SALE!I235=0,"",SALE!I235)</f>
        <v/>
      </c>
      <c r="J231" t="str">
        <f>IF(SALE!J235=0,"",SALE!J235)</f>
        <v/>
      </c>
    </row>
    <row r="232" spans="1:10">
      <c r="A232">
        <f>IF(SALE!A236=0,"",SALE!A236)</f>
        <v>231</v>
      </c>
      <c r="B232" t="str">
        <f>IF(SALE!B236=0,"",SALE!B236)</f>
        <v/>
      </c>
      <c r="C232" t="str">
        <f>IF(SALE!C236=0,"",SALE!C236)</f>
        <v/>
      </c>
      <c r="D232" t="str">
        <f>IF(SALE!D236=0,"",SALE!D236)</f>
        <v/>
      </c>
      <c r="E232" s="10" t="str">
        <f>IF(SALE!E236=0,"",SALE!E236)</f>
        <v/>
      </c>
      <c r="F232" s="10" t="str">
        <f>IF(SALE!F236=0,"",SALE!F236)</f>
        <v/>
      </c>
      <c r="G232" s="2" t="str">
        <f>IF(SALE!G236=0,"",SALE!G236)</f>
        <v/>
      </c>
      <c r="H232" t="str">
        <f>IF(SALE!H236=0,"",SALE!H236)</f>
        <v/>
      </c>
      <c r="I232" t="str">
        <f>IF(SALE!I236=0,"",SALE!I236)</f>
        <v/>
      </c>
      <c r="J232" t="str">
        <f>IF(SALE!J236=0,"",SALE!J236)</f>
        <v/>
      </c>
    </row>
    <row r="233" spans="1:10">
      <c r="A233">
        <f>IF(SALE!A237=0,"",SALE!A237)</f>
        <v>232</v>
      </c>
      <c r="B233" t="str">
        <f>IF(SALE!B237=0,"",SALE!B237)</f>
        <v/>
      </c>
      <c r="C233" t="str">
        <f>IF(SALE!C237=0,"",SALE!C237)</f>
        <v/>
      </c>
      <c r="D233" t="str">
        <f>IF(SALE!D237=0,"",SALE!D237)</f>
        <v/>
      </c>
      <c r="E233" s="10" t="str">
        <f>IF(SALE!E237=0,"",SALE!E237)</f>
        <v/>
      </c>
      <c r="F233" s="10" t="str">
        <f>IF(SALE!F237=0,"",SALE!F237)</f>
        <v/>
      </c>
      <c r="G233" s="2" t="str">
        <f>IF(SALE!G237=0,"",SALE!G237)</f>
        <v/>
      </c>
      <c r="H233" t="str">
        <f>IF(SALE!H237=0,"",SALE!H237)</f>
        <v/>
      </c>
      <c r="I233" t="str">
        <f>IF(SALE!I237=0,"",SALE!I237)</f>
        <v/>
      </c>
      <c r="J233" t="str">
        <f>IF(SALE!J237=0,"",SALE!J237)</f>
        <v/>
      </c>
    </row>
    <row r="234" spans="1:10">
      <c r="A234">
        <f>IF(SALE!A238=0,"",SALE!A238)</f>
        <v>233</v>
      </c>
      <c r="B234" t="str">
        <f>IF(SALE!B238=0,"",SALE!B238)</f>
        <v/>
      </c>
      <c r="C234" t="str">
        <f>IF(SALE!C238=0,"",SALE!C238)</f>
        <v/>
      </c>
      <c r="D234" t="str">
        <f>IF(SALE!D238=0,"",SALE!D238)</f>
        <v/>
      </c>
      <c r="E234" s="10" t="str">
        <f>IF(SALE!E238=0,"",SALE!E238)</f>
        <v/>
      </c>
      <c r="F234" s="10" t="str">
        <f>IF(SALE!F238=0,"",SALE!F238)</f>
        <v/>
      </c>
      <c r="G234" s="2" t="str">
        <f>IF(SALE!G238=0,"",SALE!G238)</f>
        <v/>
      </c>
      <c r="H234" t="str">
        <f>IF(SALE!H238=0,"",SALE!H238)</f>
        <v/>
      </c>
      <c r="I234" t="str">
        <f>IF(SALE!I238=0,"",SALE!I238)</f>
        <v/>
      </c>
      <c r="J234" t="str">
        <f>IF(SALE!J238=0,"",SALE!J238)</f>
        <v/>
      </c>
    </row>
    <row r="235" spans="1:10">
      <c r="A235">
        <f>IF(SALE!A239=0,"",SALE!A239)</f>
        <v>234</v>
      </c>
      <c r="B235" t="str">
        <f>IF(SALE!B239=0,"",SALE!B239)</f>
        <v/>
      </c>
      <c r="C235" t="str">
        <f>IF(SALE!C239=0,"",SALE!C239)</f>
        <v/>
      </c>
      <c r="D235" t="str">
        <f>IF(SALE!D239=0,"",SALE!D239)</f>
        <v/>
      </c>
      <c r="E235" s="10" t="str">
        <f>IF(SALE!E239=0,"",SALE!E239)</f>
        <v/>
      </c>
      <c r="F235" s="10" t="str">
        <f>IF(SALE!F239=0,"",SALE!F239)</f>
        <v/>
      </c>
      <c r="G235" s="2" t="str">
        <f>IF(SALE!G239=0,"",SALE!G239)</f>
        <v/>
      </c>
      <c r="H235" t="str">
        <f>IF(SALE!H239=0,"",SALE!H239)</f>
        <v/>
      </c>
      <c r="I235" t="str">
        <f>IF(SALE!I239=0,"",SALE!I239)</f>
        <v/>
      </c>
      <c r="J235" t="str">
        <f>IF(SALE!J239=0,"",SALE!J239)</f>
        <v/>
      </c>
    </row>
    <row r="236" spans="1:10">
      <c r="A236">
        <f>IF(SALE!A240=0,"",SALE!A240)</f>
        <v>235</v>
      </c>
      <c r="B236" t="str">
        <f>IF(SALE!B240=0,"",SALE!B240)</f>
        <v/>
      </c>
      <c r="C236" t="str">
        <f>IF(SALE!C240=0,"",SALE!C240)</f>
        <v/>
      </c>
      <c r="D236" t="str">
        <f>IF(SALE!D240=0,"",SALE!D240)</f>
        <v/>
      </c>
      <c r="E236" s="10" t="str">
        <f>IF(SALE!E240=0,"",SALE!E240)</f>
        <v/>
      </c>
      <c r="F236" s="10" t="str">
        <f>IF(SALE!F240=0,"",SALE!F240)</f>
        <v/>
      </c>
      <c r="G236" s="2" t="str">
        <f>IF(SALE!G240=0,"",SALE!G240)</f>
        <v/>
      </c>
      <c r="H236" t="str">
        <f>IF(SALE!H240=0,"",SALE!H240)</f>
        <v/>
      </c>
      <c r="I236" t="str">
        <f>IF(SALE!I240=0,"",SALE!I240)</f>
        <v/>
      </c>
      <c r="J236" t="str">
        <f>IF(SALE!J240=0,"",SALE!J240)</f>
        <v/>
      </c>
    </row>
    <row r="237" spans="1:10">
      <c r="A237">
        <f>IF(SALE!A241=0,"",SALE!A241)</f>
        <v>236</v>
      </c>
      <c r="B237" t="str">
        <f>IF(SALE!B241=0,"",SALE!B241)</f>
        <v/>
      </c>
      <c r="C237" t="str">
        <f>IF(SALE!C241=0,"",SALE!C241)</f>
        <v/>
      </c>
      <c r="D237" t="str">
        <f>IF(SALE!D241=0,"",SALE!D241)</f>
        <v/>
      </c>
      <c r="E237" s="10" t="str">
        <f>IF(SALE!E241=0,"",SALE!E241)</f>
        <v/>
      </c>
      <c r="F237" s="10" t="str">
        <f>IF(SALE!F241=0,"",SALE!F241)</f>
        <v/>
      </c>
      <c r="G237" s="2" t="str">
        <f>IF(SALE!G241=0,"",SALE!G241)</f>
        <v/>
      </c>
      <c r="H237" t="str">
        <f>IF(SALE!H241=0,"",SALE!H241)</f>
        <v/>
      </c>
      <c r="I237" t="str">
        <f>IF(SALE!I241=0,"",SALE!I241)</f>
        <v/>
      </c>
      <c r="J237" t="str">
        <f>IF(SALE!J241=0,"",SALE!J241)</f>
        <v/>
      </c>
    </row>
    <row r="238" spans="1:10">
      <c r="A238">
        <f>IF(SALE!A242=0,"",SALE!A242)</f>
        <v>237</v>
      </c>
      <c r="B238" t="str">
        <f>IF(SALE!B242=0,"",SALE!B242)</f>
        <v/>
      </c>
      <c r="C238" t="str">
        <f>IF(SALE!C242=0,"",SALE!C242)</f>
        <v/>
      </c>
      <c r="D238" t="str">
        <f>IF(SALE!D242=0,"",SALE!D242)</f>
        <v/>
      </c>
      <c r="E238" s="10" t="str">
        <f>IF(SALE!E242=0,"",SALE!E242)</f>
        <v/>
      </c>
      <c r="F238" s="10" t="str">
        <f>IF(SALE!F242=0,"",SALE!F242)</f>
        <v/>
      </c>
      <c r="G238" s="2" t="str">
        <f>IF(SALE!G242=0,"",SALE!G242)</f>
        <v/>
      </c>
      <c r="H238" t="str">
        <f>IF(SALE!H242=0,"",SALE!H242)</f>
        <v/>
      </c>
      <c r="I238" t="str">
        <f>IF(SALE!I242=0,"",SALE!I242)</f>
        <v/>
      </c>
      <c r="J238" t="str">
        <f>IF(SALE!J242=0,"",SALE!J242)</f>
        <v/>
      </c>
    </row>
    <row r="239" spans="1:10">
      <c r="A239">
        <f>IF(SALE!A243=0,"",SALE!A243)</f>
        <v>238</v>
      </c>
      <c r="B239" t="str">
        <f>IF(SALE!B243=0,"",SALE!B243)</f>
        <v/>
      </c>
      <c r="C239" t="str">
        <f>IF(SALE!C243=0,"",SALE!C243)</f>
        <v/>
      </c>
      <c r="D239" t="str">
        <f>IF(SALE!D243=0,"",SALE!D243)</f>
        <v/>
      </c>
      <c r="E239" s="10" t="str">
        <f>IF(SALE!E243=0,"",SALE!E243)</f>
        <v/>
      </c>
      <c r="F239" s="10" t="str">
        <f>IF(SALE!F243=0,"",SALE!F243)</f>
        <v/>
      </c>
      <c r="G239" s="2" t="str">
        <f>IF(SALE!G243=0,"",SALE!G243)</f>
        <v/>
      </c>
      <c r="H239" t="str">
        <f>IF(SALE!H243=0,"",SALE!H243)</f>
        <v/>
      </c>
      <c r="I239" t="str">
        <f>IF(SALE!I243=0,"",SALE!I243)</f>
        <v/>
      </c>
      <c r="J239" t="str">
        <f>IF(SALE!J243=0,"",SALE!J243)</f>
        <v/>
      </c>
    </row>
    <row r="240" spans="1:10">
      <c r="A240">
        <f>IF(SALE!A244=0,"",SALE!A244)</f>
        <v>239</v>
      </c>
      <c r="B240" t="str">
        <f>IF(SALE!B244=0,"",SALE!B244)</f>
        <v/>
      </c>
      <c r="C240" t="str">
        <f>IF(SALE!C244=0,"",SALE!C244)</f>
        <v/>
      </c>
      <c r="D240" t="str">
        <f>IF(SALE!D244=0,"",SALE!D244)</f>
        <v/>
      </c>
      <c r="E240" s="10" t="str">
        <f>IF(SALE!E244=0,"",SALE!E244)</f>
        <v/>
      </c>
      <c r="F240" s="10" t="str">
        <f>IF(SALE!F244=0,"",SALE!F244)</f>
        <v/>
      </c>
      <c r="G240" s="2" t="str">
        <f>IF(SALE!G244=0,"",SALE!G244)</f>
        <v/>
      </c>
      <c r="H240" t="str">
        <f>IF(SALE!H244=0,"",SALE!H244)</f>
        <v/>
      </c>
      <c r="I240" t="str">
        <f>IF(SALE!I244=0,"",SALE!I244)</f>
        <v/>
      </c>
      <c r="J240" t="str">
        <f>IF(SALE!J244=0,"",SALE!J244)</f>
        <v/>
      </c>
    </row>
    <row r="241" spans="1:10">
      <c r="A241">
        <f>IF(SALE!A245=0,"",SALE!A245)</f>
        <v>240</v>
      </c>
      <c r="B241" t="str">
        <f>IF(SALE!B245=0,"",SALE!B245)</f>
        <v/>
      </c>
      <c r="C241" t="str">
        <f>IF(SALE!C245=0,"",SALE!C245)</f>
        <v/>
      </c>
      <c r="D241" t="str">
        <f>IF(SALE!D245=0,"",SALE!D245)</f>
        <v/>
      </c>
      <c r="E241" s="10" t="str">
        <f>IF(SALE!E245=0,"",SALE!E245)</f>
        <v/>
      </c>
      <c r="F241" s="10" t="str">
        <f>IF(SALE!F245=0,"",SALE!F245)</f>
        <v/>
      </c>
      <c r="G241" s="2" t="str">
        <f>IF(SALE!G245=0,"",SALE!G245)</f>
        <v/>
      </c>
      <c r="H241" t="str">
        <f>IF(SALE!H245=0,"",SALE!H245)</f>
        <v/>
      </c>
      <c r="I241" t="str">
        <f>IF(SALE!I245=0,"",SALE!I245)</f>
        <v/>
      </c>
      <c r="J241" t="str">
        <f>IF(SALE!J245=0,"",SALE!J245)</f>
        <v/>
      </c>
    </row>
    <row r="242" spans="1:10">
      <c r="A242">
        <f>IF(SALE!A246=0,"",SALE!A246)</f>
        <v>241</v>
      </c>
      <c r="B242" t="str">
        <f>IF(SALE!B246=0,"",SALE!B246)</f>
        <v/>
      </c>
      <c r="C242" t="str">
        <f>IF(SALE!C246=0,"",SALE!C246)</f>
        <v/>
      </c>
      <c r="D242" t="str">
        <f>IF(SALE!D246=0,"",SALE!D246)</f>
        <v/>
      </c>
      <c r="E242" s="10" t="str">
        <f>IF(SALE!E246=0,"",SALE!E246)</f>
        <v/>
      </c>
      <c r="F242" s="10" t="str">
        <f>IF(SALE!F246=0,"",SALE!F246)</f>
        <v/>
      </c>
      <c r="G242" s="2" t="str">
        <f>IF(SALE!G246=0,"",SALE!G246)</f>
        <v/>
      </c>
      <c r="H242" t="str">
        <f>IF(SALE!H246=0,"",SALE!H246)</f>
        <v/>
      </c>
      <c r="I242" t="str">
        <f>IF(SALE!I246=0,"",SALE!I246)</f>
        <v/>
      </c>
      <c r="J242" t="str">
        <f>IF(SALE!J246=0,"",SALE!J246)</f>
        <v/>
      </c>
    </row>
    <row r="243" spans="1:10">
      <c r="A243">
        <f>IF(SALE!A247=0,"",SALE!A247)</f>
        <v>242</v>
      </c>
      <c r="B243" t="str">
        <f>IF(SALE!B247=0,"",SALE!B247)</f>
        <v/>
      </c>
      <c r="C243" t="str">
        <f>IF(SALE!C247=0,"",SALE!C247)</f>
        <v/>
      </c>
      <c r="D243" t="str">
        <f>IF(SALE!D247=0,"",SALE!D247)</f>
        <v/>
      </c>
      <c r="E243" s="10" t="str">
        <f>IF(SALE!E247=0,"",SALE!E247)</f>
        <v/>
      </c>
      <c r="F243" s="10" t="str">
        <f>IF(SALE!F247=0,"",SALE!F247)</f>
        <v/>
      </c>
      <c r="G243" s="2" t="str">
        <f>IF(SALE!G247=0,"",SALE!G247)</f>
        <v/>
      </c>
      <c r="H243" t="str">
        <f>IF(SALE!H247=0,"",SALE!H247)</f>
        <v/>
      </c>
      <c r="I243" t="str">
        <f>IF(SALE!I247=0,"",SALE!I247)</f>
        <v/>
      </c>
      <c r="J243" t="str">
        <f>IF(SALE!J247=0,"",SALE!J247)</f>
        <v/>
      </c>
    </row>
    <row r="244" spans="1:10">
      <c r="A244">
        <f>IF(SALE!A248=0,"",SALE!A248)</f>
        <v>243</v>
      </c>
      <c r="B244" t="str">
        <f>IF(SALE!B248=0,"",SALE!B248)</f>
        <v/>
      </c>
      <c r="C244" t="str">
        <f>IF(SALE!C248=0,"",SALE!C248)</f>
        <v/>
      </c>
      <c r="D244" t="str">
        <f>IF(SALE!D248=0,"",SALE!D248)</f>
        <v/>
      </c>
      <c r="E244" s="10" t="str">
        <f>IF(SALE!E248=0,"",SALE!E248)</f>
        <v/>
      </c>
      <c r="F244" s="10" t="str">
        <f>IF(SALE!F248=0,"",SALE!F248)</f>
        <v/>
      </c>
      <c r="G244" s="2" t="str">
        <f>IF(SALE!G248=0,"",SALE!G248)</f>
        <v/>
      </c>
      <c r="H244" t="str">
        <f>IF(SALE!H248=0,"",SALE!H248)</f>
        <v/>
      </c>
      <c r="I244" t="str">
        <f>IF(SALE!I248=0,"",SALE!I248)</f>
        <v/>
      </c>
      <c r="J244" t="str">
        <f>IF(SALE!J248=0,"",SALE!J248)</f>
        <v/>
      </c>
    </row>
    <row r="245" spans="1:10">
      <c r="A245">
        <f>IF(SALE!A249=0,"",SALE!A249)</f>
        <v>244</v>
      </c>
      <c r="B245" t="str">
        <f>IF(SALE!B249=0,"",SALE!B249)</f>
        <v/>
      </c>
      <c r="C245" t="str">
        <f>IF(SALE!C249=0,"",SALE!C249)</f>
        <v/>
      </c>
      <c r="D245" t="str">
        <f>IF(SALE!D249=0,"",SALE!D249)</f>
        <v/>
      </c>
      <c r="E245" s="10" t="str">
        <f>IF(SALE!E249=0,"",SALE!E249)</f>
        <v/>
      </c>
      <c r="F245" s="10" t="str">
        <f>IF(SALE!F249=0,"",SALE!F249)</f>
        <v/>
      </c>
      <c r="G245" s="2" t="str">
        <f>IF(SALE!G249=0,"",SALE!G249)</f>
        <v/>
      </c>
      <c r="H245" t="str">
        <f>IF(SALE!H249=0,"",SALE!H249)</f>
        <v/>
      </c>
      <c r="I245" t="str">
        <f>IF(SALE!I249=0,"",SALE!I249)</f>
        <v/>
      </c>
      <c r="J245" t="str">
        <f>IF(SALE!J249=0,"",SALE!J249)</f>
        <v/>
      </c>
    </row>
    <row r="246" spans="1:10">
      <c r="A246">
        <f>IF(SALE!A250=0,"",SALE!A250)</f>
        <v>245</v>
      </c>
      <c r="B246" t="str">
        <f>IF(SALE!B250=0,"",SALE!B250)</f>
        <v/>
      </c>
      <c r="C246" t="str">
        <f>IF(SALE!C250=0,"",SALE!C250)</f>
        <v/>
      </c>
      <c r="D246" t="str">
        <f>IF(SALE!D250=0,"",SALE!D250)</f>
        <v/>
      </c>
      <c r="E246" s="10" t="str">
        <f>IF(SALE!E250=0,"",SALE!E250)</f>
        <v/>
      </c>
      <c r="F246" s="10" t="str">
        <f>IF(SALE!F250=0,"",SALE!F250)</f>
        <v/>
      </c>
      <c r="G246" s="2" t="str">
        <f>IF(SALE!G250=0,"",SALE!G250)</f>
        <v/>
      </c>
      <c r="H246" t="str">
        <f>IF(SALE!H250=0,"",SALE!H250)</f>
        <v/>
      </c>
      <c r="I246" t="str">
        <f>IF(SALE!I250=0,"",SALE!I250)</f>
        <v/>
      </c>
      <c r="J246" t="str">
        <f>IF(SALE!J250=0,"",SALE!J250)</f>
        <v/>
      </c>
    </row>
    <row r="247" spans="1:10">
      <c r="A247">
        <f>IF(SALE!A251=0,"",SALE!A251)</f>
        <v>246</v>
      </c>
      <c r="B247" t="str">
        <f>IF(SALE!B251=0,"",SALE!B251)</f>
        <v/>
      </c>
      <c r="C247" t="str">
        <f>IF(SALE!C251=0,"",SALE!C251)</f>
        <v/>
      </c>
      <c r="D247" t="str">
        <f>IF(SALE!D251=0,"",SALE!D251)</f>
        <v/>
      </c>
      <c r="E247" s="10" t="str">
        <f>IF(SALE!E251=0,"",SALE!E251)</f>
        <v/>
      </c>
      <c r="F247" s="10" t="str">
        <f>IF(SALE!F251=0,"",SALE!F251)</f>
        <v/>
      </c>
      <c r="G247" s="2" t="str">
        <f>IF(SALE!G251=0,"",SALE!G251)</f>
        <v/>
      </c>
      <c r="H247" t="str">
        <f>IF(SALE!H251=0,"",SALE!H251)</f>
        <v/>
      </c>
      <c r="I247" t="str">
        <f>IF(SALE!I251=0,"",SALE!I251)</f>
        <v/>
      </c>
      <c r="J247" t="str">
        <f>IF(SALE!J251=0,"",SALE!J251)</f>
        <v/>
      </c>
    </row>
    <row r="248" spans="1:10">
      <c r="A248">
        <f>IF(SALE!A252=0,"",SALE!A252)</f>
        <v>247</v>
      </c>
      <c r="B248" t="str">
        <f>IF(SALE!B252=0,"",SALE!B252)</f>
        <v/>
      </c>
      <c r="C248" t="str">
        <f>IF(SALE!C252=0,"",SALE!C252)</f>
        <v/>
      </c>
      <c r="D248" t="str">
        <f>IF(SALE!D252=0,"",SALE!D252)</f>
        <v/>
      </c>
      <c r="E248" s="10" t="str">
        <f>IF(SALE!E252=0,"",SALE!E252)</f>
        <v/>
      </c>
      <c r="F248" s="10" t="str">
        <f>IF(SALE!F252=0,"",SALE!F252)</f>
        <v/>
      </c>
      <c r="G248" s="2" t="str">
        <f>IF(SALE!G252=0,"",SALE!G252)</f>
        <v/>
      </c>
      <c r="H248" t="str">
        <f>IF(SALE!H252=0,"",SALE!H252)</f>
        <v/>
      </c>
      <c r="I248" t="str">
        <f>IF(SALE!I252=0,"",SALE!I252)</f>
        <v/>
      </c>
      <c r="J248" t="str">
        <f>IF(SALE!J252=0,"",SALE!J252)</f>
        <v/>
      </c>
    </row>
    <row r="249" spans="1:10">
      <c r="A249">
        <f>IF(SALE!A253=0,"",SALE!A253)</f>
        <v>248</v>
      </c>
      <c r="B249" t="str">
        <f>IF(SALE!B253=0,"",SALE!B253)</f>
        <v/>
      </c>
      <c r="C249" t="str">
        <f>IF(SALE!C253=0,"",SALE!C253)</f>
        <v/>
      </c>
      <c r="D249" t="str">
        <f>IF(SALE!D253=0,"",SALE!D253)</f>
        <v/>
      </c>
      <c r="E249" s="10" t="str">
        <f>IF(SALE!E253=0,"",SALE!E253)</f>
        <v/>
      </c>
      <c r="F249" s="10" t="str">
        <f>IF(SALE!F253=0,"",SALE!F253)</f>
        <v/>
      </c>
      <c r="G249" s="2" t="str">
        <f>IF(SALE!G253=0,"",SALE!G253)</f>
        <v/>
      </c>
      <c r="H249" t="str">
        <f>IF(SALE!H253=0,"",SALE!H253)</f>
        <v/>
      </c>
      <c r="I249" t="str">
        <f>IF(SALE!I253=0,"",SALE!I253)</f>
        <v/>
      </c>
      <c r="J249" t="str">
        <f>IF(SALE!J253=0,"",SALE!J253)</f>
        <v/>
      </c>
    </row>
    <row r="250" spans="1:10">
      <c r="A250">
        <f>IF(SALE!A254=0,"",SALE!A254)</f>
        <v>249</v>
      </c>
      <c r="B250" t="str">
        <f>IF(SALE!B254=0,"",SALE!B254)</f>
        <v/>
      </c>
      <c r="C250" t="str">
        <f>IF(SALE!C254=0,"",SALE!C254)</f>
        <v/>
      </c>
      <c r="D250" t="str">
        <f>IF(SALE!D254=0,"",SALE!D254)</f>
        <v/>
      </c>
      <c r="E250" s="10" t="str">
        <f>IF(SALE!E254=0,"",SALE!E254)</f>
        <v/>
      </c>
      <c r="F250" s="10" t="str">
        <f>IF(SALE!F254=0,"",SALE!F254)</f>
        <v/>
      </c>
      <c r="G250" s="2" t="str">
        <f>IF(SALE!G254=0,"",SALE!G254)</f>
        <v/>
      </c>
      <c r="H250" t="str">
        <f>IF(SALE!H254=0,"",SALE!H254)</f>
        <v/>
      </c>
      <c r="I250" t="str">
        <f>IF(SALE!I254=0,"",SALE!I254)</f>
        <v/>
      </c>
      <c r="J250" t="str">
        <f>IF(SALE!J254=0,"",SALE!J254)</f>
        <v/>
      </c>
    </row>
    <row r="251" spans="1:10">
      <c r="A251">
        <f>IF(SALE!A255=0,"",SALE!A255)</f>
        <v>250</v>
      </c>
      <c r="B251" t="str">
        <f>IF(SALE!B255=0,"",SALE!B255)</f>
        <v/>
      </c>
      <c r="C251" t="str">
        <f>IF(SALE!C255=0,"",SALE!C255)</f>
        <v/>
      </c>
      <c r="D251" t="str">
        <f>IF(SALE!D255=0,"",SALE!D255)</f>
        <v/>
      </c>
      <c r="E251" s="10" t="str">
        <f>IF(SALE!E255=0,"",SALE!E255)</f>
        <v/>
      </c>
      <c r="F251" s="10" t="str">
        <f>IF(SALE!F255=0,"",SALE!F255)</f>
        <v/>
      </c>
      <c r="G251" s="2" t="str">
        <f>IF(SALE!G255=0,"",SALE!G255)</f>
        <v/>
      </c>
      <c r="H251" t="str">
        <f>IF(SALE!H255=0,"",SALE!H255)</f>
        <v/>
      </c>
      <c r="I251" t="str">
        <f>IF(SALE!I255=0,"",SALE!I255)</f>
        <v/>
      </c>
      <c r="J251" t="str">
        <f>IF(SALE!J255=0,"",SALE!J255)</f>
        <v/>
      </c>
    </row>
    <row r="252" spans="1:10">
      <c r="A252">
        <f>IF(SALE!A256=0,"",SALE!A256)</f>
        <v>251</v>
      </c>
      <c r="B252" t="str">
        <f>IF(SALE!B256=0,"",SALE!B256)</f>
        <v/>
      </c>
      <c r="C252" t="str">
        <f>IF(SALE!C256=0,"",SALE!C256)</f>
        <v/>
      </c>
      <c r="D252" t="str">
        <f>IF(SALE!D256=0,"",SALE!D256)</f>
        <v/>
      </c>
      <c r="E252" s="10" t="str">
        <f>IF(SALE!E256=0,"",SALE!E256)</f>
        <v/>
      </c>
      <c r="F252" s="10" t="str">
        <f>IF(SALE!F256=0,"",SALE!F256)</f>
        <v/>
      </c>
      <c r="G252" s="2" t="str">
        <f>IF(SALE!G256=0,"",SALE!G256)</f>
        <v/>
      </c>
      <c r="H252" t="str">
        <f>IF(SALE!H256=0,"",SALE!H256)</f>
        <v/>
      </c>
      <c r="I252" t="str">
        <f>IF(SALE!I256=0,"",SALE!I256)</f>
        <v/>
      </c>
      <c r="J252" t="str">
        <f>IF(SALE!J256=0,"",SALE!J256)</f>
        <v/>
      </c>
    </row>
    <row r="253" spans="1:10">
      <c r="A253">
        <f>IF(SALE!A257=0,"",SALE!A257)</f>
        <v>252</v>
      </c>
      <c r="B253" t="str">
        <f>IF(SALE!B257=0,"",SALE!B257)</f>
        <v/>
      </c>
      <c r="C253" t="str">
        <f>IF(SALE!C257=0,"",SALE!C257)</f>
        <v/>
      </c>
      <c r="D253" t="str">
        <f>IF(SALE!D257=0,"",SALE!D257)</f>
        <v/>
      </c>
      <c r="E253" s="10" t="str">
        <f>IF(SALE!E257=0,"",SALE!E257)</f>
        <v/>
      </c>
      <c r="F253" s="10" t="str">
        <f>IF(SALE!F257=0,"",SALE!F257)</f>
        <v/>
      </c>
      <c r="G253" s="2" t="str">
        <f>IF(SALE!G257=0,"",SALE!G257)</f>
        <v/>
      </c>
      <c r="H253" t="str">
        <f>IF(SALE!H257=0,"",SALE!H257)</f>
        <v/>
      </c>
      <c r="I253" t="str">
        <f>IF(SALE!I257=0,"",SALE!I257)</f>
        <v/>
      </c>
      <c r="J253" t="str">
        <f>IF(SALE!J257=0,"",SALE!J257)</f>
        <v/>
      </c>
    </row>
    <row r="254" spans="1:10">
      <c r="A254">
        <f>IF(SALE!A258=0,"",SALE!A258)</f>
        <v>253</v>
      </c>
      <c r="B254" t="str">
        <f>IF(SALE!B258=0,"",SALE!B258)</f>
        <v/>
      </c>
      <c r="C254" t="str">
        <f>IF(SALE!C258=0,"",SALE!C258)</f>
        <v/>
      </c>
      <c r="D254" t="str">
        <f>IF(SALE!D258=0,"",SALE!D258)</f>
        <v/>
      </c>
      <c r="E254" s="10" t="str">
        <f>IF(SALE!E258=0,"",SALE!E258)</f>
        <v/>
      </c>
      <c r="F254" s="10" t="str">
        <f>IF(SALE!F258=0,"",SALE!F258)</f>
        <v/>
      </c>
      <c r="G254" s="2" t="str">
        <f>IF(SALE!G258=0,"",SALE!G258)</f>
        <v/>
      </c>
      <c r="H254" t="str">
        <f>IF(SALE!H258=0,"",SALE!H258)</f>
        <v/>
      </c>
      <c r="I254" t="str">
        <f>IF(SALE!I258=0,"",SALE!I258)</f>
        <v/>
      </c>
      <c r="J254" t="str">
        <f>IF(SALE!J258=0,"",SALE!J258)</f>
        <v/>
      </c>
    </row>
    <row r="255" spans="1:10">
      <c r="A255">
        <f>IF(SALE!A259=0,"",SALE!A259)</f>
        <v>254</v>
      </c>
      <c r="B255" t="str">
        <f>IF(SALE!B259=0,"",SALE!B259)</f>
        <v/>
      </c>
      <c r="C255" t="str">
        <f>IF(SALE!C259=0,"",SALE!C259)</f>
        <v/>
      </c>
      <c r="D255" t="str">
        <f>IF(SALE!D259=0,"",SALE!D259)</f>
        <v/>
      </c>
      <c r="E255" s="10" t="str">
        <f>IF(SALE!E259=0,"",SALE!E259)</f>
        <v/>
      </c>
      <c r="F255" s="10" t="str">
        <f>IF(SALE!F259=0,"",SALE!F259)</f>
        <v/>
      </c>
      <c r="G255" s="2" t="str">
        <f>IF(SALE!G259=0,"",SALE!G259)</f>
        <v/>
      </c>
      <c r="H255" t="str">
        <f>IF(SALE!H259=0,"",SALE!H259)</f>
        <v/>
      </c>
      <c r="I255" t="str">
        <f>IF(SALE!I259=0,"",SALE!I259)</f>
        <v/>
      </c>
      <c r="J255" t="str">
        <f>IF(SALE!J259=0,"",SALE!J259)</f>
        <v/>
      </c>
    </row>
    <row r="256" spans="1:10">
      <c r="A256">
        <f>IF(SALE!A260=0,"",SALE!A260)</f>
        <v>255</v>
      </c>
      <c r="B256" t="str">
        <f>IF(SALE!B260=0,"",SALE!B260)</f>
        <v/>
      </c>
      <c r="C256" t="str">
        <f>IF(SALE!C260=0,"",SALE!C260)</f>
        <v/>
      </c>
      <c r="D256" t="str">
        <f>IF(SALE!D260=0,"",SALE!D260)</f>
        <v/>
      </c>
      <c r="E256" s="10" t="str">
        <f>IF(SALE!E260=0,"",SALE!E260)</f>
        <v/>
      </c>
      <c r="F256" s="10" t="str">
        <f>IF(SALE!F260=0,"",SALE!F260)</f>
        <v/>
      </c>
      <c r="G256" s="2" t="str">
        <f>IF(SALE!G260=0,"",SALE!G260)</f>
        <v/>
      </c>
      <c r="H256" t="str">
        <f>IF(SALE!H260=0,"",SALE!H260)</f>
        <v/>
      </c>
      <c r="I256" t="str">
        <f>IF(SALE!I260=0,"",SALE!I260)</f>
        <v/>
      </c>
      <c r="J256" t="str">
        <f>IF(SALE!J260=0,"",SALE!J260)</f>
        <v/>
      </c>
    </row>
    <row r="257" spans="1:10">
      <c r="A257">
        <f>IF(SALE!A261=0,"",SALE!A261)</f>
        <v>256</v>
      </c>
      <c r="B257" t="str">
        <f>IF(SALE!B261=0,"",SALE!B261)</f>
        <v/>
      </c>
      <c r="C257" t="str">
        <f>IF(SALE!C261=0,"",SALE!C261)</f>
        <v/>
      </c>
      <c r="D257" t="str">
        <f>IF(SALE!D261=0,"",SALE!D261)</f>
        <v/>
      </c>
      <c r="E257" s="10" t="str">
        <f>IF(SALE!E261=0,"",SALE!E261)</f>
        <v/>
      </c>
      <c r="F257" s="10" t="str">
        <f>IF(SALE!F261=0,"",SALE!F261)</f>
        <v/>
      </c>
      <c r="G257" s="2" t="str">
        <f>IF(SALE!G261=0,"",SALE!G261)</f>
        <v/>
      </c>
      <c r="H257" t="str">
        <f>IF(SALE!H261=0,"",SALE!H261)</f>
        <v/>
      </c>
      <c r="I257" t="str">
        <f>IF(SALE!I261=0,"",SALE!I261)</f>
        <v/>
      </c>
      <c r="J257" t="str">
        <f>IF(SALE!J261=0,"",SALE!J261)</f>
        <v/>
      </c>
    </row>
    <row r="258" spans="1:10">
      <c r="A258">
        <f>IF(SALE!A262=0,"",SALE!A262)</f>
        <v>257</v>
      </c>
      <c r="B258" t="str">
        <f>IF(SALE!B262=0,"",SALE!B262)</f>
        <v/>
      </c>
      <c r="C258" t="str">
        <f>IF(SALE!C262=0,"",SALE!C262)</f>
        <v/>
      </c>
      <c r="D258" t="str">
        <f>IF(SALE!D262=0,"",SALE!D262)</f>
        <v/>
      </c>
      <c r="E258" s="10" t="str">
        <f>IF(SALE!E262=0,"",SALE!E262)</f>
        <v/>
      </c>
      <c r="F258" s="10" t="str">
        <f>IF(SALE!F262=0,"",SALE!F262)</f>
        <v/>
      </c>
      <c r="G258" s="2" t="str">
        <f>IF(SALE!G262=0,"",SALE!G262)</f>
        <v/>
      </c>
      <c r="H258" t="str">
        <f>IF(SALE!H262=0,"",SALE!H262)</f>
        <v/>
      </c>
      <c r="I258" t="str">
        <f>IF(SALE!I262=0,"",SALE!I262)</f>
        <v/>
      </c>
      <c r="J258" t="str">
        <f>IF(SALE!J262=0,"",SALE!J262)</f>
        <v/>
      </c>
    </row>
    <row r="259" spans="1:10">
      <c r="A259">
        <f>IF(SALE!A263=0,"",SALE!A263)</f>
        <v>258</v>
      </c>
      <c r="B259" t="str">
        <f>IF(SALE!B263=0,"",SALE!B263)</f>
        <v/>
      </c>
      <c r="C259" t="str">
        <f>IF(SALE!C263=0,"",SALE!C263)</f>
        <v/>
      </c>
      <c r="D259" t="str">
        <f>IF(SALE!D263=0,"",SALE!D263)</f>
        <v/>
      </c>
      <c r="E259" s="10" t="str">
        <f>IF(SALE!E263=0,"",SALE!E263)</f>
        <v/>
      </c>
      <c r="F259" s="10" t="str">
        <f>IF(SALE!F263=0,"",SALE!F263)</f>
        <v/>
      </c>
      <c r="G259" s="2" t="str">
        <f>IF(SALE!G263=0,"",SALE!G263)</f>
        <v/>
      </c>
      <c r="H259" t="str">
        <f>IF(SALE!H263=0,"",SALE!H263)</f>
        <v/>
      </c>
      <c r="I259" t="str">
        <f>IF(SALE!I263=0,"",SALE!I263)</f>
        <v/>
      </c>
      <c r="J259" t="str">
        <f>IF(SALE!J263=0,"",SALE!J263)</f>
        <v/>
      </c>
    </row>
    <row r="260" spans="1:10">
      <c r="A260">
        <f>IF(SALE!A264=0,"",SALE!A264)</f>
        <v>259</v>
      </c>
      <c r="B260" t="str">
        <f>IF(SALE!B264=0,"",SALE!B264)</f>
        <v/>
      </c>
      <c r="C260" t="str">
        <f>IF(SALE!C264=0,"",SALE!C264)</f>
        <v/>
      </c>
      <c r="D260" t="str">
        <f>IF(SALE!D264=0,"",SALE!D264)</f>
        <v/>
      </c>
      <c r="E260" s="10" t="str">
        <f>IF(SALE!E264=0,"",SALE!E264)</f>
        <v/>
      </c>
      <c r="F260" s="10" t="str">
        <f>IF(SALE!F264=0,"",SALE!F264)</f>
        <v/>
      </c>
      <c r="G260" s="2" t="str">
        <f>IF(SALE!G264=0,"",SALE!G264)</f>
        <v/>
      </c>
      <c r="H260" t="str">
        <f>IF(SALE!H264=0,"",SALE!H264)</f>
        <v/>
      </c>
      <c r="I260" t="str">
        <f>IF(SALE!I264=0,"",SALE!I264)</f>
        <v/>
      </c>
      <c r="J260" t="str">
        <f>IF(SALE!J264=0,"",SALE!J264)</f>
        <v/>
      </c>
    </row>
    <row r="261" spans="1:10">
      <c r="A261">
        <f>IF(SALE!A265=0,"",SALE!A265)</f>
        <v>260</v>
      </c>
      <c r="B261" t="str">
        <f>IF(SALE!B265=0,"",SALE!B265)</f>
        <v/>
      </c>
      <c r="C261" t="str">
        <f>IF(SALE!C265=0,"",SALE!C265)</f>
        <v/>
      </c>
      <c r="D261" t="str">
        <f>IF(SALE!D265=0,"",SALE!D265)</f>
        <v/>
      </c>
      <c r="E261" s="10" t="str">
        <f>IF(SALE!E265=0,"",SALE!E265)</f>
        <v/>
      </c>
      <c r="F261" s="10" t="str">
        <f>IF(SALE!F265=0,"",SALE!F265)</f>
        <v/>
      </c>
      <c r="G261" s="2" t="str">
        <f>IF(SALE!G265=0,"",SALE!G265)</f>
        <v/>
      </c>
      <c r="H261" t="str">
        <f>IF(SALE!H265=0,"",SALE!H265)</f>
        <v/>
      </c>
      <c r="I261" t="str">
        <f>IF(SALE!I265=0,"",SALE!I265)</f>
        <v/>
      </c>
      <c r="J261" t="str">
        <f>IF(SALE!J265=0,"",SALE!J265)</f>
        <v/>
      </c>
    </row>
    <row r="262" spans="1:10">
      <c r="A262">
        <f>IF(SALE!A266=0,"",SALE!A266)</f>
        <v>261</v>
      </c>
      <c r="B262" t="str">
        <f>IF(SALE!B266=0,"",SALE!B266)</f>
        <v/>
      </c>
      <c r="C262" t="str">
        <f>IF(SALE!C266=0,"",SALE!C266)</f>
        <v/>
      </c>
      <c r="D262" t="str">
        <f>IF(SALE!D266=0,"",SALE!D266)</f>
        <v/>
      </c>
      <c r="E262" s="10" t="str">
        <f>IF(SALE!E266=0,"",SALE!E266)</f>
        <v/>
      </c>
      <c r="F262" s="10" t="str">
        <f>IF(SALE!F266=0,"",SALE!F266)</f>
        <v/>
      </c>
      <c r="G262" s="2" t="str">
        <f>IF(SALE!G266=0,"",SALE!G266)</f>
        <v/>
      </c>
      <c r="H262" t="str">
        <f>IF(SALE!H266=0,"",SALE!H266)</f>
        <v/>
      </c>
      <c r="I262" t="str">
        <f>IF(SALE!I266=0,"",SALE!I266)</f>
        <v/>
      </c>
      <c r="J262" t="str">
        <f>IF(SALE!J266=0,"",SALE!J266)</f>
        <v/>
      </c>
    </row>
    <row r="263" spans="1:10">
      <c r="A263">
        <f>IF(SALE!A267=0,"",SALE!A267)</f>
        <v>262</v>
      </c>
      <c r="B263" t="str">
        <f>IF(SALE!B267=0,"",SALE!B267)</f>
        <v/>
      </c>
      <c r="C263" t="str">
        <f>IF(SALE!C267=0,"",SALE!C267)</f>
        <v/>
      </c>
      <c r="D263" t="str">
        <f>IF(SALE!D267=0,"",SALE!D267)</f>
        <v/>
      </c>
      <c r="E263" s="10" t="str">
        <f>IF(SALE!E267=0,"",SALE!E267)</f>
        <v/>
      </c>
      <c r="F263" s="10" t="str">
        <f>IF(SALE!F267=0,"",SALE!F267)</f>
        <v/>
      </c>
      <c r="G263" s="2" t="str">
        <f>IF(SALE!G267=0,"",SALE!G267)</f>
        <v/>
      </c>
      <c r="H263" t="str">
        <f>IF(SALE!H267=0,"",SALE!H267)</f>
        <v/>
      </c>
      <c r="I263" t="str">
        <f>IF(SALE!I267=0,"",SALE!I267)</f>
        <v/>
      </c>
      <c r="J263" t="str">
        <f>IF(SALE!J267=0,"",SALE!J267)</f>
        <v/>
      </c>
    </row>
    <row r="264" spans="1:10">
      <c r="A264">
        <f>IF(SALE!A268=0,"",SALE!A268)</f>
        <v>263</v>
      </c>
      <c r="B264" t="str">
        <f>IF(SALE!B268=0,"",SALE!B268)</f>
        <v/>
      </c>
      <c r="C264" t="str">
        <f>IF(SALE!C268=0,"",SALE!C268)</f>
        <v/>
      </c>
      <c r="D264" t="str">
        <f>IF(SALE!D268=0,"",SALE!D268)</f>
        <v/>
      </c>
      <c r="E264" s="10" t="str">
        <f>IF(SALE!E268=0,"",SALE!E268)</f>
        <v/>
      </c>
      <c r="F264" s="10" t="str">
        <f>IF(SALE!F268=0,"",SALE!F268)</f>
        <v/>
      </c>
      <c r="G264" s="2" t="str">
        <f>IF(SALE!G268=0,"",SALE!G268)</f>
        <v/>
      </c>
      <c r="H264" t="str">
        <f>IF(SALE!H268=0,"",SALE!H268)</f>
        <v/>
      </c>
      <c r="I264" t="str">
        <f>IF(SALE!I268=0,"",SALE!I268)</f>
        <v/>
      </c>
      <c r="J264" t="str">
        <f>IF(SALE!J268=0,"",SALE!J268)</f>
        <v/>
      </c>
    </row>
    <row r="265" spans="1:10">
      <c r="A265">
        <f>IF(SALE!A269=0,"",SALE!A269)</f>
        <v>264</v>
      </c>
      <c r="B265" t="str">
        <f>IF(SALE!B269=0,"",SALE!B269)</f>
        <v/>
      </c>
      <c r="C265" t="str">
        <f>IF(SALE!C269=0,"",SALE!C269)</f>
        <v/>
      </c>
      <c r="D265" t="str">
        <f>IF(SALE!D269=0,"",SALE!D269)</f>
        <v/>
      </c>
      <c r="E265" s="10" t="str">
        <f>IF(SALE!E269=0,"",SALE!E269)</f>
        <v/>
      </c>
      <c r="F265" s="10" t="str">
        <f>IF(SALE!F269=0,"",SALE!F269)</f>
        <v/>
      </c>
      <c r="G265" s="2" t="str">
        <f>IF(SALE!G269=0,"",SALE!G269)</f>
        <v/>
      </c>
      <c r="H265" t="str">
        <f>IF(SALE!H269=0,"",SALE!H269)</f>
        <v/>
      </c>
      <c r="I265" t="str">
        <f>IF(SALE!I269=0,"",SALE!I269)</f>
        <v/>
      </c>
      <c r="J265" t="str">
        <f>IF(SALE!J269=0,"",SALE!J269)</f>
        <v/>
      </c>
    </row>
    <row r="266" spans="1:10">
      <c r="A266">
        <f>IF(SALE!A270=0,"",SALE!A270)</f>
        <v>265</v>
      </c>
      <c r="B266" t="str">
        <f>IF(SALE!B270=0,"",SALE!B270)</f>
        <v/>
      </c>
      <c r="C266" t="str">
        <f>IF(SALE!C270=0,"",SALE!C270)</f>
        <v/>
      </c>
      <c r="D266" t="str">
        <f>IF(SALE!D270=0,"",SALE!D270)</f>
        <v/>
      </c>
      <c r="E266" s="10" t="str">
        <f>IF(SALE!E270=0,"",SALE!E270)</f>
        <v/>
      </c>
      <c r="F266" s="10" t="str">
        <f>IF(SALE!F270=0,"",SALE!F270)</f>
        <v/>
      </c>
      <c r="G266" s="2" t="str">
        <f>IF(SALE!G270=0,"",SALE!G270)</f>
        <v/>
      </c>
      <c r="H266" t="str">
        <f>IF(SALE!H270=0,"",SALE!H270)</f>
        <v/>
      </c>
      <c r="I266" t="str">
        <f>IF(SALE!I270=0,"",SALE!I270)</f>
        <v/>
      </c>
      <c r="J266" t="str">
        <f>IF(SALE!J270=0,"",SALE!J270)</f>
        <v/>
      </c>
    </row>
    <row r="267" spans="1:10">
      <c r="A267">
        <f>IF(SALE!A271=0,"",SALE!A271)</f>
        <v>266</v>
      </c>
      <c r="B267" t="str">
        <f>IF(SALE!B271=0,"",SALE!B271)</f>
        <v/>
      </c>
      <c r="C267" t="str">
        <f>IF(SALE!C271=0,"",SALE!C271)</f>
        <v/>
      </c>
      <c r="D267" t="str">
        <f>IF(SALE!D271=0,"",SALE!D271)</f>
        <v/>
      </c>
      <c r="E267" s="10" t="str">
        <f>IF(SALE!E271=0,"",SALE!E271)</f>
        <v/>
      </c>
      <c r="F267" s="10" t="str">
        <f>IF(SALE!F271=0,"",SALE!F271)</f>
        <v/>
      </c>
      <c r="G267" s="2" t="str">
        <f>IF(SALE!G271=0,"",SALE!G271)</f>
        <v/>
      </c>
      <c r="H267" t="str">
        <f>IF(SALE!H271=0,"",SALE!H271)</f>
        <v/>
      </c>
      <c r="I267" t="str">
        <f>IF(SALE!I271=0,"",SALE!I271)</f>
        <v/>
      </c>
      <c r="J267" t="str">
        <f>IF(SALE!J271=0,"",SALE!J271)</f>
        <v/>
      </c>
    </row>
    <row r="268" spans="1:10">
      <c r="A268">
        <f>IF(SALE!A272=0,"",SALE!A272)</f>
        <v>267</v>
      </c>
      <c r="B268" t="str">
        <f>IF(SALE!B272=0,"",SALE!B272)</f>
        <v/>
      </c>
      <c r="C268" t="str">
        <f>IF(SALE!C272=0,"",SALE!C272)</f>
        <v/>
      </c>
      <c r="D268" t="str">
        <f>IF(SALE!D272=0,"",SALE!D272)</f>
        <v/>
      </c>
      <c r="E268" s="10" t="str">
        <f>IF(SALE!E272=0,"",SALE!E272)</f>
        <v/>
      </c>
      <c r="F268" s="10" t="str">
        <f>IF(SALE!F272=0,"",SALE!F272)</f>
        <v/>
      </c>
      <c r="G268" s="2" t="str">
        <f>IF(SALE!G272=0,"",SALE!G272)</f>
        <v/>
      </c>
      <c r="H268" t="str">
        <f>IF(SALE!H272=0,"",SALE!H272)</f>
        <v/>
      </c>
      <c r="I268" t="str">
        <f>IF(SALE!I272=0,"",SALE!I272)</f>
        <v/>
      </c>
      <c r="J268" t="str">
        <f>IF(SALE!J272=0,"",SALE!J272)</f>
        <v/>
      </c>
    </row>
    <row r="269" spans="1:10">
      <c r="A269">
        <f>IF(SALE!A273=0,"",SALE!A273)</f>
        <v>268</v>
      </c>
      <c r="B269" t="str">
        <f>IF(SALE!B273=0,"",SALE!B273)</f>
        <v/>
      </c>
      <c r="C269" t="str">
        <f>IF(SALE!C273=0,"",SALE!C273)</f>
        <v/>
      </c>
      <c r="D269" t="str">
        <f>IF(SALE!D273=0,"",SALE!D273)</f>
        <v/>
      </c>
      <c r="E269" s="10" t="str">
        <f>IF(SALE!E273=0,"",SALE!E273)</f>
        <v/>
      </c>
      <c r="F269" s="10" t="str">
        <f>IF(SALE!F273=0,"",SALE!F273)</f>
        <v/>
      </c>
      <c r="G269" s="2" t="str">
        <f>IF(SALE!G273=0,"",SALE!G273)</f>
        <v/>
      </c>
      <c r="H269" t="str">
        <f>IF(SALE!H273=0,"",SALE!H273)</f>
        <v/>
      </c>
      <c r="I269" t="str">
        <f>IF(SALE!I273=0,"",SALE!I273)</f>
        <v/>
      </c>
      <c r="J269" t="str">
        <f>IF(SALE!J273=0,"",SALE!J273)</f>
        <v/>
      </c>
    </row>
    <row r="270" spans="1:10">
      <c r="A270">
        <f>IF(SALE!A274=0,"",SALE!A274)</f>
        <v>269</v>
      </c>
      <c r="B270" t="str">
        <f>IF(SALE!B274=0,"",SALE!B274)</f>
        <v/>
      </c>
      <c r="C270" t="str">
        <f>IF(SALE!C274=0,"",SALE!C274)</f>
        <v/>
      </c>
      <c r="D270" t="str">
        <f>IF(SALE!D274=0,"",SALE!D274)</f>
        <v/>
      </c>
      <c r="E270" s="10" t="str">
        <f>IF(SALE!E274=0,"",SALE!E274)</f>
        <v/>
      </c>
      <c r="F270" s="10" t="str">
        <f>IF(SALE!F274=0,"",SALE!F274)</f>
        <v/>
      </c>
      <c r="G270" s="2" t="str">
        <f>IF(SALE!G274=0,"",SALE!G274)</f>
        <v/>
      </c>
      <c r="H270" t="str">
        <f>IF(SALE!H274=0,"",SALE!H274)</f>
        <v/>
      </c>
      <c r="I270" t="str">
        <f>IF(SALE!I274=0,"",SALE!I274)</f>
        <v/>
      </c>
      <c r="J270" t="str">
        <f>IF(SALE!J274=0,"",SALE!J274)</f>
        <v/>
      </c>
    </row>
    <row r="271" spans="1:10">
      <c r="A271">
        <f>IF(SALE!A275=0,"",SALE!A275)</f>
        <v>270</v>
      </c>
      <c r="B271" t="str">
        <f>IF(SALE!B275=0,"",SALE!B275)</f>
        <v/>
      </c>
      <c r="C271" t="str">
        <f>IF(SALE!C275=0,"",SALE!C275)</f>
        <v/>
      </c>
      <c r="D271" t="str">
        <f>IF(SALE!D275=0,"",SALE!D275)</f>
        <v/>
      </c>
      <c r="E271" s="10" t="str">
        <f>IF(SALE!E275=0,"",SALE!E275)</f>
        <v/>
      </c>
      <c r="F271" s="10" t="str">
        <f>IF(SALE!F275=0,"",SALE!F275)</f>
        <v/>
      </c>
      <c r="G271" s="2" t="str">
        <f>IF(SALE!G275=0,"",SALE!G275)</f>
        <v/>
      </c>
      <c r="H271" t="str">
        <f>IF(SALE!H275=0,"",SALE!H275)</f>
        <v/>
      </c>
      <c r="I271" t="str">
        <f>IF(SALE!I275=0,"",SALE!I275)</f>
        <v/>
      </c>
      <c r="J271" t="str">
        <f>IF(SALE!J275=0,"",SALE!J275)</f>
        <v/>
      </c>
    </row>
    <row r="272" spans="1:10">
      <c r="A272">
        <f>IF(SALE!A276=0,"",SALE!A276)</f>
        <v>271</v>
      </c>
      <c r="B272" t="str">
        <f>IF(SALE!B276=0,"",SALE!B276)</f>
        <v/>
      </c>
      <c r="C272" t="str">
        <f>IF(SALE!C276=0,"",SALE!C276)</f>
        <v/>
      </c>
      <c r="D272" t="str">
        <f>IF(SALE!D276=0,"",SALE!D276)</f>
        <v/>
      </c>
      <c r="E272" s="10" t="str">
        <f>IF(SALE!E276=0,"",SALE!E276)</f>
        <v/>
      </c>
      <c r="F272" s="10" t="str">
        <f>IF(SALE!F276=0,"",SALE!F276)</f>
        <v/>
      </c>
      <c r="G272" s="2" t="str">
        <f>IF(SALE!G276=0,"",SALE!G276)</f>
        <v/>
      </c>
      <c r="H272" t="str">
        <f>IF(SALE!H276=0,"",SALE!H276)</f>
        <v/>
      </c>
      <c r="I272" t="str">
        <f>IF(SALE!I276=0,"",SALE!I276)</f>
        <v/>
      </c>
      <c r="J272" t="str">
        <f>IF(SALE!J276=0,"",SALE!J276)</f>
        <v/>
      </c>
    </row>
    <row r="273" spans="1:10">
      <c r="A273">
        <f>IF(SALE!A277=0,"",SALE!A277)</f>
        <v>272</v>
      </c>
      <c r="B273" t="str">
        <f>IF(SALE!B277=0,"",SALE!B277)</f>
        <v/>
      </c>
      <c r="C273" t="str">
        <f>IF(SALE!C277=0,"",SALE!C277)</f>
        <v/>
      </c>
      <c r="D273" t="str">
        <f>IF(SALE!D277=0,"",SALE!D277)</f>
        <v/>
      </c>
      <c r="E273" s="10" t="str">
        <f>IF(SALE!E277=0,"",SALE!E277)</f>
        <v/>
      </c>
      <c r="F273" s="10" t="str">
        <f>IF(SALE!F277=0,"",SALE!F277)</f>
        <v/>
      </c>
      <c r="G273" s="2" t="str">
        <f>IF(SALE!G277=0,"",SALE!G277)</f>
        <v/>
      </c>
      <c r="H273" t="str">
        <f>IF(SALE!H277=0,"",SALE!H277)</f>
        <v/>
      </c>
      <c r="I273" t="str">
        <f>IF(SALE!I277=0,"",SALE!I277)</f>
        <v/>
      </c>
      <c r="J273" t="str">
        <f>IF(SALE!J277=0,"",SALE!J277)</f>
        <v/>
      </c>
    </row>
    <row r="274" spans="1:10">
      <c r="A274">
        <f>IF(SALE!A278=0,"",SALE!A278)</f>
        <v>273</v>
      </c>
      <c r="B274" t="str">
        <f>IF(SALE!B278=0,"",SALE!B278)</f>
        <v/>
      </c>
      <c r="C274" t="str">
        <f>IF(SALE!C278=0,"",SALE!C278)</f>
        <v/>
      </c>
      <c r="D274" t="str">
        <f>IF(SALE!D278=0,"",SALE!D278)</f>
        <v/>
      </c>
      <c r="E274" s="10" t="str">
        <f>IF(SALE!E278=0,"",SALE!E278)</f>
        <v/>
      </c>
      <c r="F274" s="10" t="str">
        <f>IF(SALE!F278=0,"",SALE!F278)</f>
        <v/>
      </c>
      <c r="G274" s="2" t="str">
        <f>IF(SALE!G278=0,"",SALE!G278)</f>
        <v/>
      </c>
      <c r="H274" t="str">
        <f>IF(SALE!H278=0,"",SALE!H278)</f>
        <v/>
      </c>
      <c r="I274" t="str">
        <f>IF(SALE!I278=0,"",SALE!I278)</f>
        <v/>
      </c>
      <c r="J274" t="str">
        <f>IF(SALE!J278=0,"",SALE!J278)</f>
        <v/>
      </c>
    </row>
    <row r="275" spans="1:10">
      <c r="A275">
        <f>IF(SALE!A279=0,"",SALE!A279)</f>
        <v>274</v>
      </c>
      <c r="B275" t="str">
        <f>IF(SALE!B279=0,"",SALE!B279)</f>
        <v/>
      </c>
      <c r="C275" t="str">
        <f>IF(SALE!C279=0,"",SALE!C279)</f>
        <v/>
      </c>
      <c r="D275" t="str">
        <f>IF(SALE!D279=0,"",SALE!D279)</f>
        <v/>
      </c>
      <c r="E275" s="10" t="str">
        <f>IF(SALE!E279=0,"",SALE!E279)</f>
        <v/>
      </c>
      <c r="F275" s="10" t="str">
        <f>IF(SALE!F279=0,"",SALE!F279)</f>
        <v/>
      </c>
      <c r="G275" s="2" t="str">
        <f>IF(SALE!G279=0,"",SALE!G279)</f>
        <v/>
      </c>
      <c r="H275" t="str">
        <f>IF(SALE!H279=0,"",SALE!H279)</f>
        <v/>
      </c>
      <c r="I275" t="str">
        <f>IF(SALE!I279=0,"",SALE!I279)</f>
        <v/>
      </c>
      <c r="J275" t="str">
        <f>IF(SALE!J279=0,"",SALE!J279)</f>
        <v/>
      </c>
    </row>
    <row r="276" spans="1:10">
      <c r="A276">
        <f>IF(SALE!A280=0,"",SALE!A280)</f>
        <v>275</v>
      </c>
      <c r="B276" t="str">
        <f>IF(SALE!B280=0,"",SALE!B280)</f>
        <v/>
      </c>
      <c r="C276" t="str">
        <f>IF(SALE!C280=0,"",SALE!C280)</f>
        <v/>
      </c>
      <c r="D276" t="str">
        <f>IF(SALE!D280=0,"",SALE!D280)</f>
        <v/>
      </c>
      <c r="E276" s="10" t="str">
        <f>IF(SALE!E280=0,"",SALE!E280)</f>
        <v/>
      </c>
      <c r="F276" s="10" t="str">
        <f>IF(SALE!F280=0,"",SALE!F280)</f>
        <v/>
      </c>
      <c r="G276" s="2" t="str">
        <f>IF(SALE!G280=0,"",SALE!G280)</f>
        <v/>
      </c>
      <c r="H276" t="str">
        <f>IF(SALE!H280=0,"",SALE!H280)</f>
        <v/>
      </c>
      <c r="I276" t="str">
        <f>IF(SALE!I280=0,"",SALE!I280)</f>
        <v/>
      </c>
      <c r="J276" t="str">
        <f>IF(SALE!J280=0,"",SALE!J280)</f>
        <v/>
      </c>
    </row>
    <row r="277" spans="1:10">
      <c r="A277">
        <f>IF(SALE!A281=0,"",SALE!A281)</f>
        <v>276</v>
      </c>
      <c r="B277" t="str">
        <f>IF(SALE!B281=0,"",SALE!B281)</f>
        <v/>
      </c>
      <c r="C277" t="str">
        <f>IF(SALE!C281=0,"",SALE!C281)</f>
        <v/>
      </c>
      <c r="D277" t="str">
        <f>IF(SALE!D281=0,"",SALE!D281)</f>
        <v/>
      </c>
      <c r="E277" s="10" t="str">
        <f>IF(SALE!E281=0,"",SALE!E281)</f>
        <v/>
      </c>
      <c r="F277" s="10" t="str">
        <f>IF(SALE!F281=0,"",SALE!F281)</f>
        <v/>
      </c>
      <c r="G277" s="2" t="str">
        <f>IF(SALE!G281=0,"",SALE!G281)</f>
        <v/>
      </c>
      <c r="H277" t="str">
        <f>IF(SALE!H281=0,"",SALE!H281)</f>
        <v/>
      </c>
      <c r="I277" t="str">
        <f>IF(SALE!I281=0,"",SALE!I281)</f>
        <v/>
      </c>
      <c r="J277" t="str">
        <f>IF(SALE!J281=0,"",SALE!J281)</f>
        <v/>
      </c>
    </row>
    <row r="278" spans="1:10">
      <c r="A278">
        <f>IF(SALE!A282=0,"",SALE!A282)</f>
        <v>277</v>
      </c>
      <c r="B278" t="str">
        <f>IF(SALE!B282=0,"",SALE!B282)</f>
        <v/>
      </c>
      <c r="C278" t="str">
        <f>IF(SALE!C282=0,"",SALE!C282)</f>
        <v/>
      </c>
      <c r="D278" t="str">
        <f>IF(SALE!D282=0,"",SALE!D282)</f>
        <v/>
      </c>
      <c r="E278" s="10" t="str">
        <f>IF(SALE!E282=0,"",SALE!E282)</f>
        <v/>
      </c>
      <c r="F278" s="10" t="str">
        <f>IF(SALE!F282=0,"",SALE!F282)</f>
        <v/>
      </c>
      <c r="G278" s="2" t="str">
        <f>IF(SALE!G282=0,"",SALE!G282)</f>
        <v/>
      </c>
      <c r="H278" t="str">
        <f>IF(SALE!H282=0,"",SALE!H282)</f>
        <v/>
      </c>
      <c r="I278" t="str">
        <f>IF(SALE!I282=0,"",SALE!I282)</f>
        <v/>
      </c>
      <c r="J278" t="str">
        <f>IF(SALE!J282=0,"",SALE!J282)</f>
        <v/>
      </c>
    </row>
    <row r="279" spans="1:10">
      <c r="A279">
        <f>IF(SALE!A283=0,"",SALE!A283)</f>
        <v>278</v>
      </c>
      <c r="B279" t="str">
        <f>IF(SALE!B283=0,"",SALE!B283)</f>
        <v/>
      </c>
      <c r="C279" t="str">
        <f>IF(SALE!C283=0,"",SALE!C283)</f>
        <v/>
      </c>
      <c r="D279" t="str">
        <f>IF(SALE!D283=0,"",SALE!D283)</f>
        <v/>
      </c>
      <c r="E279" s="10" t="str">
        <f>IF(SALE!E283=0,"",SALE!E283)</f>
        <v/>
      </c>
      <c r="F279" s="10" t="str">
        <f>IF(SALE!F283=0,"",SALE!F283)</f>
        <v/>
      </c>
      <c r="G279" s="2" t="str">
        <f>IF(SALE!G283=0,"",SALE!G283)</f>
        <v/>
      </c>
      <c r="H279" t="str">
        <f>IF(SALE!H283=0,"",SALE!H283)</f>
        <v/>
      </c>
      <c r="I279" t="str">
        <f>IF(SALE!I283=0,"",SALE!I283)</f>
        <v/>
      </c>
      <c r="J279" t="str">
        <f>IF(SALE!J283=0,"",SALE!J283)</f>
        <v/>
      </c>
    </row>
    <row r="280" spans="1:10">
      <c r="A280">
        <f>IF(SALE!A284=0,"",SALE!A284)</f>
        <v>279</v>
      </c>
      <c r="B280" t="str">
        <f>IF(SALE!B284=0,"",SALE!B284)</f>
        <v/>
      </c>
      <c r="C280" t="str">
        <f>IF(SALE!C284=0,"",SALE!C284)</f>
        <v/>
      </c>
      <c r="D280" t="str">
        <f>IF(SALE!D284=0,"",SALE!D284)</f>
        <v/>
      </c>
      <c r="E280" s="10" t="str">
        <f>IF(SALE!E284=0,"",SALE!E284)</f>
        <v/>
      </c>
      <c r="F280" s="10" t="str">
        <f>IF(SALE!F284=0,"",SALE!F284)</f>
        <v/>
      </c>
      <c r="G280" s="2" t="str">
        <f>IF(SALE!G284=0,"",SALE!G284)</f>
        <v/>
      </c>
      <c r="H280" t="str">
        <f>IF(SALE!H284=0,"",SALE!H284)</f>
        <v/>
      </c>
      <c r="I280" t="str">
        <f>IF(SALE!I284=0,"",SALE!I284)</f>
        <v/>
      </c>
      <c r="J280" t="str">
        <f>IF(SALE!J284=0,"",SALE!J284)</f>
        <v/>
      </c>
    </row>
    <row r="281" spans="1:10">
      <c r="A281">
        <f>IF(SALE!A285=0,"",SALE!A285)</f>
        <v>280</v>
      </c>
      <c r="B281" t="str">
        <f>IF(SALE!B285=0,"",SALE!B285)</f>
        <v/>
      </c>
      <c r="C281" t="str">
        <f>IF(SALE!C285=0,"",SALE!C285)</f>
        <v/>
      </c>
      <c r="D281" t="str">
        <f>IF(SALE!D285=0,"",SALE!D285)</f>
        <v/>
      </c>
      <c r="E281" s="10" t="str">
        <f>IF(SALE!E285=0,"",SALE!E285)</f>
        <v/>
      </c>
      <c r="F281" s="10" t="str">
        <f>IF(SALE!F285=0,"",SALE!F285)</f>
        <v/>
      </c>
      <c r="G281" s="2" t="str">
        <f>IF(SALE!G285=0,"",SALE!G285)</f>
        <v/>
      </c>
      <c r="H281" t="str">
        <f>IF(SALE!H285=0,"",SALE!H285)</f>
        <v/>
      </c>
      <c r="I281" t="str">
        <f>IF(SALE!I285=0,"",SALE!I285)</f>
        <v/>
      </c>
      <c r="J281" t="str">
        <f>IF(SALE!J285=0,"",SALE!J285)</f>
        <v/>
      </c>
    </row>
    <row r="282" spans="1:10">
      <c r="A282">
        <f>IF(SALE!A286=0,"",SALE!A286)</f>
        <v>281</v>
      </c>
      <c r="B282" t="str">
        <f>IF(SALE!B286=0,"",SALE!B286)</f>
        <v/>
      </c>
      <c r="C282" t="str">
        <f>IF(SALE!C286=0,"",SALE!C286)</f>
        <v/>
      </c>
      <c r="D282" t="str">
        <f>IF(SALE!D286=0,"",SALE!D286)</f>
        <v/>
      </c>
      <c r="E282" s="10" t="str">
        <f>IF(SALE!E286=0,"",SALE!E286)</f>
        <v/>
      </c>
      <c r="F282" s="10" t="str">
        <f>IF(SALE!F286=0,"",SALE!F286)</f>
        <v/>
      </c>
      <c r="G282" s="2" t="str">
        <f>IF(SALE!G286=0,"",SALE!G286)</f>
        <v/>
      </c>
      <c r="H282" t="str">
        <f>IF(SALE!H286=0,"",SALE!H286)</f>
        <v/>
      </c>
      <c r="I282" t="str">
        <f>IF(SALE!I286=0,"",SALE!I286)</f>
        <v/>
      </c>
      <c r="J282" t="str">
        <f>IF(SALE!J286=0,"",SALE!J286)</f>
        <v/>
      </c>
    </row>
    <row r="283" spans="1:10">
      <c r="A283">
        <f>IF(SALE!A287=0,"",SALE!A287)</f>
        <v>282</v>
      </c>
      <c r="B283" t="str">
        <f>IF(SALE!B287=0,"",SALE!B287)</f>
        <v/>
      </c>
      <c r="C283" t="str">
        <f>IF(SALE!C287=0,"",SALE!C287)</f>
        <v/>
      </c>
      <c r="D283" t="str">
        <f>IF(SALE!D287=0,"",SALE!D287)</f>
        <v/>
      </c>
      <c r="E283" s="10" t="str">
        <f>IF(SALE!E287=0,"",SALE!E287)</f>
        <v/>
      </c>
      <c r="F283" s="10" t="str">
        <f>IF(SALE!F287=0,"",SALE!F287)</f>
        <v/>
      </c>
      <c r="G283" s="2" t="str">
        <f>IF(SALE!G287=0,"",SALE!G287)</f>
        <v/>
      </c>
      <c r="H283" t="str">
        <f>IF(SALE!H287=0,"",SALE!H287)</f>
        <v/>
      </c>
      <c r="I283" t="str">
        <f>IF(SALE!I287=0,"",SALE!I287)</f>
        <v/>
      </c>
      <c r="J283" t="str">
        <f>IF(SALE!J287=0,"",SALE!J287)</f>
        <v/>
      </c>
    </row>
    <row r="284" spans="1:10">
      <c r="A284">
        <f>IF(SALE!A288=0,"",SALE!A288)</f>
        <v>283</v>
      </c>
      <c r="B284" t="str">
        <f>IF(SALE!B288=0,"",SALE!B288)</f>
        <v/>
      </c>
      <c r="C284" t="str">
        <f>IF(SALE!C288=0,"",SALE!C288)</f>
        <v/>
      </c>
      <c r="D284" t="str">
        <f>IF(SALE!D288=0,"",SALE!D288)</f>
        <v/>
      </c>
      <c r="E284" s="10" t="str">
        <f>IF(SALE!E288=0,"",SALE!E288)</f>
        <v/>
      </c>
      <c r="F284" s="10" t="str">
        <f>IF(SALE!F288=0,"",SALE!F288)</f>
        <v/>
      </c>
      <c r="G284" s="2" t="str">
        <f>IF(SALE!G288=0,"",SALE!G288)</f>
        <v/>
      </c>
      <c r="H284" t="str">
        <f>IF(SALE!H288=0,"",SALE!H288)</f>
        <v/>
      </c>
      <c r="I284" t="str">
        <f>IF(SALE!I288=0,"",SALE!I288)</f>
        <v/>
      </c>
      <c r="J284" t="str">
        <f>IF(SALE!J288=0,"",SALE!J288)</f>
        <v/>
      </c>
    </row>
    <row r="285" spans="1:10">
      <c r="A285">
        <f>IF(SALE!A289=0,"",SALE!A289)</f>
        <v>284</v>
      </c>
      <c r="B285" t="str">
        <f>IF(SALE!B289=0,"",SALE!B289)</f>
        <v/>
      </c>
      <c r="C285" t="str">
        <f>IF(SALE!C289=0,"",SALE!C289)</f>
        <v/>
      </c>
      <c r="D285" t="str">
        <f>IF(SALE!D289=0,"",SALE!D289)</f>
        <v/>
      </c>
      <c r="E285" s="10" t="str">
        <f>IF(SALE!E289=0,"",SALE!E289)</f>
        <v/>
      </c>
      <c r="F285" s="10" t="str">
        <f>IF(SALE!F289=0,"",SALE!F289)</f>
        <v/>
      </c>
      <c r="G285" s="2" t="str">
        <f>IF(SALE!G289=0,"",SALE!G289)</f>
        <v/>
      </c>
      <c r="H285" t="str">
        <f>IF(SALE!H289=0,"",SALE!H289)</f>
        <v/>
      </c>
      <c r="I285" t="str">
        <f>IF(SALE!I289=0,"",SALE!I289)</f>
        <v/>
      </c>
      <c r="J285" t="str">
        <f>IF(SALE!J289=0,"",SALE!J289)</f>
        <v/>
      </c>
    </row>
    <row r="286" spans="1:10">
      <c r="A286">
        <f>IF(SALE!A290=0,"",SALE!A290)</f>
        <v>285</v>
      </c>
      <c r="B286" t="str">
        <f>IF(SALE!B290=0,"",SALE!B290)</f>
        <v/>
      </c>
      <c r="C286" t="str">
        <f>IF(SALE!C290=0,"",SALE!C290)</f>
        <v/>
      </c>
      <c r="D286" t="str">
        <f>IF(SALE!D290=0,"",SALE!D290)</f>
        <v/>
      </c>
      <c r="E286" s="10" t="str">
        <f>IF(SALE!E290=0,"",SALE!E290)</f>
        <v/>
      </c>
      <c r="F286" s="10" t="str">
        <f>IF(SALE!F290=0,"",SALE!F290)</f>
        <v/>
      </c>
      <c r="G286" s="2" t="str">
        <f>IF(SALE!G290=0,"",SALE!G290)</f>
        <v/>
      </c>
      <c r="H286" t="str">
        <f>IF(SALE!H290=0,"",SALE!H290)</f>
        <v/>
      </c>
      <c r="I286" t="str">
        <f>IF(SALE!I290=0,"",SALE!I290)</f>
        <v/>
      </c>
      <c r="J286" t="str">
        <f>IF(SALE!J290=0,"",SALE!J290)</f>
        <v/>
      </c>
    </row>
    <row r="287" spans="1:10">
      <c r="A287">
        <f>IF(SALE!A291=0,"",SALE!A291)</f>
        <v>286</v>
      </c>
      <c r="B287" t="str">
        <f>IF(SALE!B291=0,"",SALE!B291)</f>
        <v/>
      </c>
      <c r="C287" t="str">
        <f>IF(SALE!C291=0,"",SALE!C291)</f>
        <v/>
      </c>
      <c r="D287" t="str">
        <f>IF(SALE!D291=0,"",SALE!D291)</f>
        <v/>
      </c>
      <c r="E287" s="10" t="str">
        <f>IF(SALE!E291=0,"",SALE!E291)</f>
        <v/>
      </c>
      <c r="F287" s="10" t="str">
        <f>IF(SALE!F291=0,"",SALE!F291)</f>
        <v/>
      </c>
      <c r="G287" s="2" t="str">
        <f>IF(SALE!G291=0,"",SALE!G291)</f>
        <v/>
      </c>
      <c r="H287" t="str">
        <f>IF(SALE!H291=0,"",SALE!H291)</f>
        <v/>
      </c>
      <c r="I287" t="str">
        <f>IF(SALE!I291=0,"",SALE!I291)</f>
        <v/>
      </c>
      <c r="J287" t="str">
        <f>IF(SALE!J291=0,"",SALE!J291)</f>
        <v/>
      </c>
    </row>
    <row r="288" spans="1:10">
      <c r="A288">
        <f>IF(SALE!A292=0,"",SALE!A292)</f>
        <v>287</v>
      </c>
      <c r="B288" t="str">
        <f>IF(SALE!B292=0,"",SALE!B292)</f>
        <v/>
      </c>
      <c r="C288" t="str">
        <f>IF(SALE!C292=0,"",SALE!C292)</f>
        <v/>
      </c>
      <c r="D288" t="str">
        <f>IF(SALE!D292=0,"",SALE!D292)</f>
        <v/>
      </c>
      <c r="E288" s="10" t="str">
        <f>IF(SALE!E292=0,"",SALE!E292)</f>
        <v/>
      </c>
      <c r="F288" s="10" t="str">
        <f>IF(SALE!F292=0,"",SALE!F292)</f>
        <v/>
      </c>
      <c r="G288" s="2" t="str">
        <f>IF(SALE!G292=0,"",SALE!G292)</f>
        <v/>
      </c>
      <c r="H288" t="str">
        <f>IF(SALE!H292=0,"",SALE!H292)</f>
        <v/>
      </c>
      <c r="I288" t="str">
        <f>IF(SALE!I292=0,"",SALE!I292)</f>
        <v/>
      </c>
      <c r="J288" t="str">
        <f>IF(SALE!J292=0,"",SALE!J292)</f>
        <v/>
      </c>
    </row>
    <row r="289" spans="1:10">
      <c r="A289">
        <f>IF(SALE!A293=0,"",SALE!A293)</f>
        <v>288</v>
      </c>
      <c r="B289" t="str">
        <f>IF(SALE!B293=0,"",SALE!B293)</f>
        <v/>
      </c>
      <c r="C289" t="str">
        <f>IF(SALE!C293=0,"",SALE!C293)</f>
        <v/>
      </c>
      <c r="D289" t="str">
        <f>IF(SALE!D293=0,"",SALE!D293)</f>
        <v/>
      </c>
      <c r="E289" s="10" t="str">
        <f>IF(SALE!E293=0,"",SALE!E293)</f>
        <v/>
      </c>
      <c r="F289" s="10" t="str">
        <f>IF(SALE!F293=0,"",SALE!F293)</f>
        <v/>
      </c>
      <c r="G289" s="2" t="str">
        <f>IF(SALE!G293=0,"",SALE!G293)</f>
        <v/>
      </c>
      <c r="H289" t="str">
        <f>IF(SALE!H293=0,"",SALE!H293)</f>
        <v/>
      </c>
      <c r="I289" t="str">
        <f>IF(SALE!I293=0,"",SALE!I293)</f>
        <v/>
      </c>
      <c r="J289" t="str">
        <f>IF(SALE!J293=0,"",SALE!J293)</f>
        <v/>
      </c>
    </row>
    <row r="290" spans="1:10">
      <c r="A290">
        <f>IF(SALE!A294=0,"",SALE!A294)</f>
        <v>289</v>
      </c>
      <c r="B290" t="str">
        <f>IF(SALE!B294=0,"",SALE!B294)</f>
        <v/>
      </c>
      <c r="C290" t="str">
        <f>IF(SALE!C294=0,"",SALE!C294)</f>
        <v/>
      </c>
      <c r="D290" t="str">
        <f>IF(SALE!D294=0,"",SALE!D294)</f>
        <v/>
      </c>
      <c r="E290" s="10" t="str">
        <f>IF(SALE!E294=0,"",SALE!E294)</f>
        <v/>
      </c>
      <c r="F290" s="10" t="str">
        <f>IF(SALE!F294=0,"",SALE!F294)</f>
        <v/>
      </c>
      <c r="G290" s="2" t="str">
        <f>IF(SALE!G294=0,"",SALE!G294)</f>
        <v/>
      </c>
      <c r="H290" t="str">
        <f>IF(SALE!H294=0,"",SALE!H294)</f>
        <v/>
      </c>
      <c r="I290" t="str">
        <f>IF(SALE!I294=0,"",SALE!I294)</f>
        <v/>
      </c>
      <c r="J290" t="str">
        <f>IF(SALE!J294=0,"",SALE!J294)</f>
        <v/>
      </c>
    </row>
    <row r="291" spans="1:10">
      <c r="A291">
        <f>IF(SALE!A295=0,"",SALE!A295)</f>
        <v>290</v>
      </c>
      <c r="B291" t="str">
        <f>IF(SALE!B295=0,"",SALE!B295)</f>
        <v/>
      </c>
      <c r="C291" t="str">
        <f>IF(SALE!C295=0,"",SALE!C295)</f>
        <v/>
      </c>
      <c r="D291" t="str">
        <f>IF(SALE!D295=0,"",SALE!D295)</f>
        <v/>
      </c>
      <c r="E291" s="10" t="str">
        <f>IF(SALE!E295=0,"",SALE!E295)</f>
        <v/>
      </c>
      <c r="F291" s="10" t="str">
        <f>IF(SALE!F295=0,"",SALE!F295)</f>
        <v/>
      </c>
      <c r="G291" s="2" t="str">
        <f>IF(SALE!G295=0,"",SALE!G295)</f>
        <v/>
      </c>
      <c r="H291" t="str">
        <f>IF(SALE!H295=0,"",SALE!H295)</f>
        <v/>
      </c>
      <c r="I291" t="str">
        <f>IF(SALE!I295=0,"",SALE!I295)</f>
        <v/>
      </c>
      <c r="J291" t="str">
        <f>IF(SALE!J295=0,"",SALE!J295)</f>
        <v/>
      </c>
    </row>
    <row r="292" spans="1:10">
      <c r="A292">
        <f>IF(SALE!A296=0,"",SALE!A296)</f>
        <v>291</v>
      </c>
      <c r="B292" t="str">
        <f>IF(SALE!B296=0,"",SALE!B296)</f>
        <v/>
      </c>
      <c r="C292" t="str">
        <f>IF(SALE!C296=0,"",SALE!C296)</f>
        <v/>
      </c>
      <c r="D292" t="str">
        <f>IF(SALE!D296=0,"",SALE!D296)</f>
        <v/>
      </c>
      <c r="E292" s="10" t="str">
        <f>IF(SALE!E296=0,"",SALE!E296)</f>
        <v/>
      </c>
      <c r="F292" s="10" t="str">
        <f>IF(SALE!F296=0,"",SALE!F296)</f>
        <v/>
      </c>
      <c r="G292" s="2" t="str">
        <f>IF(SALE!G296=0,"",SALE!G296)</f>
        <v/>
      </c>
      <c r="H292" t="str">
        <f>IF(SALE!H296=0,"",SALE!H296)</f>
        <v/>
      </c>
      <c r="I292" t="str">
        <f>IF(SALE!I296=0,"",SALE!I296)</f>
        <v/>
      </c>
      <c r="J292" t="str">
        <f>IF(SALE!J296=0,"",SALE!J296)</f>
        <v/>
      </c>
    </row>
    <row r="293" spans="1:10">
      <c r="A293">
        <f>IF(SALE!A297=0,"",SALE!A297)</f>
        <v>292</v>
      </c>
      <c r="B293" t="str">
        <f>IF(SALE!B297=0,"",SALE!B297)</f>
        <v/>
      </c>
      <c r="C293" t="str">
        <f>IF(SALE!C297=0,"",SALE!C297)</f>
        <v/>
      </c>
      <c r="D293" t="str">
        <f>IF(SALE!D297=0,"",SALE!D297)</f>
        <v/>
      </c>
      <c r="E293" s="10" t="str">
        <f>IF(SALE!E297=0,"",SALE!E297)</f>
        <v/>
      </c>
      <c r="F293" s="10" t="str">
        <f>IF(SALE!F297=0,"",SALE!F297)</f>
        <v/>
      </c>
      <c r="G293" s="2" t="str">
        <f>IF(SALE!G297=0,"",SALE!G297)</f>
        <v/>
      </c>
      <c r="H293" t="str">
        <f>IF(SALE!H297=0,"",SALE!H297)</f>
        <v/>
      </c>
      <c r="I293" t="str">
        <f>IF(SALE!I297=0,"",SALE!I297)</f>
        <v/>
      </c>
      <c r="J293" t="str">
        <f>IF(SALE!J297=0,"",SALE!J297)</f>
        <v/>
      </c>
    </row>
    <row r="294" spans="1:10">
      <c r="A294">
        <f>IF(SALE!A298=0,"",SALE!A298)</f>
        <v>293</v>
      </c>
      <c r="B294" t="str">
        <f>IF(SALE!B298=0,"",SALE!B298)</f>
        <v/>
      </c>
      <c r="C294" t="str">
        <f>IF(SALE!C298=0,"",SALE!C298)</f>
        <v/>
      </c>
      <c r="D294" t="str">
        <f>IF(SALE!D298=0,"",SALE!D298)</f>
        <v/>
      </c>
      <c r="E294" s="10" t="str">
        <f>IF(SALE!E298=0,"",SALE!E298)</f>
        <v/>
      </c>
      <c r="F294" s="10" t="str">
        <f>IF(SALE!F298=0,"",SALE!F298)</f>
        <v/>
      </c>
      <c r="G294" s="2" t="str">
        <f>IF(SALE!G298=0,"",SALE!G298)</f>
        <v/>
      </c>
      <c r="H294" t="str">
        <f>IF(SALE!H298=0,"",SALE!H298)</f>
        <v/>
      </c>
      <c r="I294" t="str">
        <f>IF(SALE!I298=0,"",SALE!I298)</f>
        <v/>
      </c>
      <c r="J294" t="str">
        <f>IF(SALE!J298=0,"",SALE!J298)</f>
        <v/>
      </c>
    </row>
    <row r="295" spans="1:10">
      <c r="A295">
        <f>IF(SALE!A299=0,"",SALE!A299)</f>
        <v>294</v>
      </c>
      <c r="B295" t="str">
        <f>IF(SALE!B299=0,"",SALE!B299)</f>
        <v/>
      </c>
      <c r="C295" t="str">
        <f>IF(SALE!C299=0,"",SALE!C299)</f>
        <v/>
      </c>
      <c r="D295" t="str">
        <f>IF(SALE!D299=0,"",SALE!D299)</f>
        <v/>
      </c>
      <c r="E295" s="10" t="str">
        <f>IF(SALE!E299=0,"",SALE!E299)</f>
        <v/>
      </c>
      <c r="F295" s="10" t="str">
        <f>IF(SALE!F299=0,"",SALE!F299)</f>
        <v/>
      </c>
      <c r="G295" s="2" t="str">
        <f>IF(SALE!G299=0,"",SALE!G299)</f>
        <v/>
      </c>
      <c r="H295" t="str">
        <f>IF(SALE!H299=0,"",SALE!H299)</f>
        <v/>
      </c>
      <c r="I295" t="str">
        <f>IF(SALE!I299=0,"",SALE!I299)</f>
        <v/>
      </c>
      <c r="J295" t="str">
        <f>IF(SALE!J299=0,"",SALE!J299)</f>
        <v/>
      </c>
    </row>
    <row r="296" spans="1:10">
      <c r="A296">
        <f>IF(SALE!A300=0,"",SALE!A300)</f>
        <v>295</v>
      </c>
      <c r="B296" t="str">
        <f>IF(SALE!B300=0,"",SALE!B300)</f>
        <v/>
      </c>
      <c r="C296" t="str">
        <f>IF(SALE!C300=0,"",SALE!C300)</f>
        <v/>
      </c>
      <c r="D296" t="str">
        <f>IF(SALE!D300=0,"",SALE!D300)</f>
        <v/>
      </c>
      <c r="E296" s="10" t="str">
        <f>IF(SALE!E300=0,"",SALE!E300)</f>
        <v/>
      </c>
      <c r="F296" s="10" t="str">
        <f>IF(SALE!F300=0,"",SALE!F300)</f>
        <v/>
      </c>
      <c r="G296" s="2" t="str">
        <f>IF(SALE!G300=0,"",SALE!G300)</f>
        <v/>
      </c>
      <c r="H296" t="str">
        <f>IF(SALE!H300=0,"",SALE!H300)</f>
        <v/>
      </c>
      <c r="I296" t="str">
        <f>IF(SALE!I300=0,"",SALE!I300)</f>
        <v/>
      </c>
      <c r="J296" t="str">
        <f>IF(SALE!J300=0,"",SALE!J300)</f>
        <v/>
      </c>
    </row>
    <row r="297" spans="1:10">
      <c r="A297">
        <f>IF(SALE!A301=0,"",SALE!A301)</f>
        <v>296</v>
      </c>
      <c r="B297" t="str">
        <f>IF(SALE!B301=0,"",SALE!B301)</f>
        <v/>
      </c>
      <c r="C297" t="str">
        <f>IF(SALE!C301=0,"",SALE!C301)</f>
        <v/>
      </c>
      <c r="D297" t="str">
        <f>IF(SALE!D301=0,"",SALE!D301)</f>
        <v/>
      </c>
      <c r="E297" s="10" t="str">
        <f>IF(SALE!E301=0,"",SALE!E301)</f>
        <v/>
      </c>
      <c r="F297" s="10" t="str">
        <f>IF(SALE!F301=0,"",SALE!F301)</f>
        <v/>
      </c>
      <c r="G297" s="2" t="str">
        <f>IF(SALE!G301=0,"",SALE!G301)</f>
        <v/>
      </c>
      <c r="H297" t="str">
        <f>IF(SALE!H301=0,"",SALE!H301)</f>
        <v/>
      </c>
      <c r="I297" t="str">
        <f>IF(SALE!I301=0,"",SALE!I301)</f>
        <v/>
      </c>
      <c r="J297" t="str">
        <f>IF(SALE!J301=0,"",SALE!J301)</f>
        <v/>
      </c>
    </row>
    <row r="298" spans="1:10">
      <c r="A298">
        <f>IF(SALE!A302=0,"",SALE!A302)</f>
        <v>297</v>
      </c>
      <c r="B298" t="str">
        <f>IF(SALE!B302=0,"",SALE!B302)</f>
        <v/>
      </c>
      <c r="C298" t="str">
        <f>IF(SALE!C302=0,"",SALE!C302)</f>
        <v/>
      </c>
      <c r="D298" t="str">
        <f>IF(SALE!D302=0,"",SALE!D302)</f>
        <v/>
      </c>
      <c r="E298" s="10" t="str">
        <f>IF(SALE!E302=0,"",SALE!E302)</f>
        <v/>
      </c>
      <c r="F298" s="10" t="str">
        <f>IF(SALE!F302=0,"",SALE!F302)</f>
        <v/>
      </c>
      <c r="G298" s="2" t="str">
        <f>IF(SALE!G302=0,"",SALE!G302)</f>
        <v/>
      </c>
      <c r="H298" t="str">
        <f>IF(SALE!H302=0,"",SALE!H302)</f>
        <v/>
      </c>
      <c r="I298" t="str">
        <f>IF(SALE!I302=0,"",SALE!I302)</f>
        <v/>
      </c>
      <c r="J298" t="str">
        <f>IF(SALE!J302=0,"",SALE!J302)</f>
        <v/>
      </c>
    </row>
    <row r="299" spans="1:10">
      <c r="A299">
        <f>IF(SALE!A303=0,"",SALE!A303)</f>
        <v>298</v>
      </c>
      <c r="B299" t="str">
        <f>IF(SALE!B303=0,"",SALE!B303)</f>
        <v/>
      </c>
      <c r="C299" t="str">
        <f>IF(SALE!C303=0,"",SALE!C303)</f>
        <v/>
      </c>
      <c r="D299" t="str">
        <f>IF(SALE!D303=0,"",SALE!D303)</f>
        <v/>
      </c>
      <c r="E299" s="10" t="str">
        <f>IF(SALE!E303=0,"",SALE!E303)</f>
        <v/>
      </c>
      <c r="F299" s="10" t="str">
        <f>IF(SALE!F303=0,"",SALE!F303)</f>
        <v/>
      </c>
      <c r="G299" s="2" t="str">
        <f>IF(SALE!G303=0,"",SALE!G303)</f>
        <v/>
      </c>
      <c r="H299" t="str">
        <f>IF(SALE!H303=0,"",SALE!H303)</f>
        <v/>
      </c>
      <c r="I299" t="str">
        <f>IF(SALE!I303=0,"",SALE!I303)</f>
        <v/>
      </c>
      <c r="J299" t="str">
        <f>IF(SALE!J303=0,"",SALE!J303)</f>
        <v/>
      </c>
    </row>
    <row r="300" spans="1:10">
      <c r="A300">
        <f>IF(SALE!A304=0,"",SALE!A304)</f>
        <v>299</v>
      </c>
      <c r="B300" t="str">
        <f>IF(SALE!B304=0,"",SALE!B304)</f>
        <v/>
      </c>
      <c r="C300" t="str">
        <f>IF(SALE!C304=0,"",SALE!C304)</f>
        <v/>
      </c>
      <c r="D300" t="str">
        <f>IF(SALE!D304=0,"",SALE!D304)</f>
        <v/>
      </c>
      <c r="E300" s="10" t="str">
        <f>IF(SALE!E304=0,"",SALE!E304)</f>
        <v/>
      </c>
      <c r="F300" s="10" t="str">
        <f>IF(SALE!F304=0,"",SALE!F304)</f>
        <v/>
      </c>
      <c r="G300" s="2" t="str">
        <f>IF(SALE!G304=0,"",SALE!G304)</f>
        <v/>
      </c>
      <c r="H300" t="str">
        <f>IF(SALE!H304=0,"",SALE!H304)</f>
        <v/>
      </c>
      <c r="I300" t="str">
        <f>IF(SALE!I304=0,"",SALE!I304)</f>
        <v/>
      </c>
      <c r="J300" t="str">
        <f>IF(SALE!J304=0,"",SALE!J304)</f>
        <v/>
      </c>
    </row>
    <row r="301" spans="1:10">
      <c r="A301">
        <f>IF(SALE!A305=0,"",SALE!A305)</f>
        <v>300</v>
      </c>
      <c r="B301" t="str">
        <f>IF(SALE!B305=0,"",SALE!B305)</f>
        <v/>
      </c>
      <c r="C301" t="str">
        <f>IF(SALE!C305=0,"",SALE!C305)</f>
        <v/>
      </c>
      <c r="D301" t="str">
        <f>IF(SALE!D305=0,"",SALE!D305)</f>
        <v/>
      </c>
      <c r="E301" s="10" t="str">
        <f>IF(SALE!E305=0,"",SALE!E305)</f>
        <v/>
      </c>
      <c r="F301" s="10" t="str">
        <f>IF(SALE!F305=0,"",SALE!F305)</f>
        <v/>
      </c>
      <c r="G301" s="2" t="str">
        <f>IF(SALE!G305=0,"",SALE!G305)</f>
        <v/>
      </c>
      <c r="H301" t="str">
        <f>IF(SALE!H305=0,"",SALE!H305)</f>
        <v/>
      </c>
      <c r="I301" t="str">
        <f>IF(SALE!I305=0,"",SALE!I305)</f>
        <v/>
      </c>
      <c r="J301" t="str">
        <f>IF(SALE!J305=0,"",SALE!J305)</f>
        <v/>
      </c>
    </row>
    <row r="302" spans="1:10">
      <c r="A302">
        <f>IF(SALE!A306=0,"",SALE!A306)</f>
        <v>301</v>
      </c>
      <c r="B302" t="str">
        <f>IF(SALE!B306=0,"",SALE!B306)</f>
        <v/>
      </c>
      <c r="C302" t="str">
        <f>IF(SALE!C306=0,"",SALE!C306)</f>
        <v/>
      </c>
      <c r="D302" t="str">
        <f>IF(SALE!D306=0,"",SALE!D306)</f>
        <v/>
      </c>
      <c r="E302" s="10" t="str">
        <f>IF(SALE!E306=0,"",SALE!E306)</f>
        <v/>
      </c>
      <c r="F302" s="10" t="str">
        <f>IF(SALE!F306=0,"",SALE!F306)</f>
        <v/>
      </c>
      <c r="G302" s="2" t="str">
        <f>IF(SALE!G306=0,"",SALE!G306)</f>
        <v/>
      </c>
      <c r="H302" t="str">
        <f>IF(SALE!H306=0,"",SALE!H306)</f>
        <v/>
      </c>
      <c r="I302" t="str">
        <f>IF(SALE!I306=0,"",SALE!I306)</f>
        <v/>
      </c>
      <c r="J302" t="str">
        <f>IF(SALE!J306=0,"",SALE!J306)</f>
        <v/>
      </c>
    </row>
    <row r="303" spans="1:10">
      <c r="A303">
        <f>IF(SALE!A307=0,"",SALE!A307)</f>
        <v>302</v>
      </c>
      <c r="B303" t="str">
        <f>IF(SALE!B307=0,"",SALE!B307)</f>
        <v/>
      </c>
      <c r="C303" t="str">
        <f>IF(SALE!C307=0,"",SALE!C307)</f>
        <v/>
      </c>
      <c r="D303" t="str">
        <f>IF(SALE!D307=0,"",SALE!D307)</f>
        <v/>
      </c>
      <c r="E303" s="10" t="str">
        <f>IF(SALE!E307=0,"",SALE!E307)</f>
        <v/>
      </c>
      <c r="F303" s="10" t="str">
        <f>IF(SALE!F307=0,"",SALE!F307)</f>
        <v/>
      </c>
      <c r="G303" s="2" t="str">
        <f>IF(SALE!G307=0,"",SALE!G307)</f>
        <v/>
      </c>
      <c r="H303" t="str">
        <f>IF(SALE!H307=0,"",SALE!H307)</f>
        <v/>
      </c>
      <c r="I303" t="str">
        <f>IF(SALE!I307=0,"",SALE!I307)</f>
        <v/>
      </c>
      <c r="J303" t="str">
        <f>IF(SALE!J307=0,"",SALE!J307)</f>
        <v/>
      </c>
    </row>
    <row r="304" spans="1:10">
      <c r="A304">
        <f>IF(SALE!A308=0,"",SALE!A308)</f>
        <v>303</v>
      </c>
      <c r="B304" t="str">
        <f>IF(SALE!B308=0,"",SALE!B308)</f>
        <v/>
      </c>
      <c r="C304" t="str">
        <f>IF(SALE!C308=0,"",SALE!C308)</f>
        <v/>
      </c>
      <c r="D304" t="str">
        <f>IF(SALE!D308=0,"",SALE!D308)</f>
        <v/>
      </c>
      <c r="E304" s="10" t="str">
        <f>IF(SALE!E308=0,"",SALE!E308)</f>
        <v/>
      </c>
      <c r="F304" s="10" t="str">
        <f>IF(SALE!F308=0,"",SALE!F308)</f>
        <v/>
      </c>
      <c r="G304" s="2" t="str">
        <f>IF(SALE!G308=0,"",SALE!G308)</f>
        <v/>
      </c>
      <c r="H304" t="str">
        <f>IF(SALE!H308=0,"",SALE!H308)</f>
        <v/>
      </c>
      <c r="I304" t="str">
        <f>IF(SALE!I308=0,"",SALE!I308)</f>
        <v/>
      </c>
      <c r="J304" t="str">
        <f>IF(SALE!J308=0,"",SALE!J308)</f>
        <v/>
      </c>
    </row>
    <row r="305" spans="1:10">
      <c r="A305">
        <f>IF(SALE!A309=0,"",SALE!A309)</f>
        <v>304</v>
      </c>
      <c r="B305" t="str">
        <f>IF(SALE!B309=0,"",SALE!B309)</f>
        <v/>
      </c>
      <c r="C305" t="str">
        <f>IF(SALE!C309=0,"",SALE!C309)</f>
        <v/>
      </c>
      <c r="D305" t="str">
        <f>IF(SALE!D309=0,"",SALE!D309)</f>
        <v/>
      </c>
      <c r="E305" s="10" t="str">
        <f>IF(SALE!E309=0,"",SALE!E309)</f>
        <v/>
      </c>
      <c r="F305" s="10" t="str">
        <f>IF(SALE!F309=0,"",SALE!F309)</f>
        <v/>
      </c>
      <c r="G305" s="2" t="str">
        <f>IF(SALE!G309=0,"",SALE!G309)</f>
        <v/>
      </c>
      <c r="H305" t="str">
        <f>IF(SALE!H309=0,"",SALE!H309)</f>
        <v/>
      </c>
      <c r="I305" t="str">
        <f>IF(SALE!I309=0,"",SALE!I309)</f>
        <v/>
      </c>
      <c r="J305" t="str">
        <f>IF(SALE!J309=0,"",SALE!J309)</f>
        <v/>
      </c>
    </row>
    <row r="306" spans="1:10">
      <c r="A306">
        <f>IF(SALE!A310=0,"",SALE!A310)</f>
        <v>305</v>
      </c>
      <c r="B306" t="str">
        <f>IF(SALE!B310=0,"",SALE!B310)</f>
        <v/>
      </c>
      <c r="C306" t="str">
        <f>IF(SALE!C310=0,"",SALE!C310)</f>
        <v/>
      </c>
      <c r="D306" t="str">
        <f>IF(SALE!D310=0,"",SALE!D310)</f>
        <v/>
      </c>
      <c r="E306" s="10" t="str">
        <f>IF(SALE!E310=0,"",SALE!E310)</f>
        <v/>
      </c>
      <c r="F306" s="10" t="str">
        <f>IF(SALE!F310=0,"",SALE!F310)</f>
        <v/>
      </c>
      <c r="G306" s="2" t="str">
        <f>IF(SALE!G310=0,"",SALE!G310)</f>
        <v/>
      </c>
      <c r="H306" t="str">
        <f>IF(SALE!H310=0,"",SALE!H310)</f>
        <v/>
      </c>
      <c r="I306" t="str">
        <f>IF(SALE!I310=0,"",SALE!I310)</f>
        <v/>
      </c>
      <c r="J306" t="str">
        <f>IF(SALE!J310=0,"",SALE!J310)</f>
        <v/>
      </c>
    </row>
    <row r="307" spans="1:10">
      <c r="A307">
        <f>IF(SALE!A311=0,"",SALE!A311)</f>
        <v>306</v>
      </c>
      <c r="B307" t="str">
        <f>IF(SALE!B311=0,"",SALE!B311)</f>
        <v/>
      </c>
      <c r="C307" t="str">
        <f>IF(SALE!C311=0,"",SALE!C311)</f>
        <v/>
      </c>
      <c r="D307" t="str">
        <f>IF(SALE!D311=0,"",SALE!D311)</f>
        <v/>
      </c>
      <c r="E307" s="10" t="str">
        <f>IF(SALE!E311=0,"",SALE!E311)</f>
        <v/>
      </c>
      <c r="F307" s="10" t="str">
        <f>IF(SALE!F311=0,"",SALE!F311)</f>
        <v/>
      </c>
      <c r="G307" s="2" t="str">
        <f>IF(SALE!G311=0,"",SALE!G311)</f>
        <v/>
      </c>
      <c r="H307" t="str">
        <f>IF(SALE!H311=0,"",SALE!H311)</f>
        <v/>
      </c>
      <c r="I307" t="str">
        <f>IF(SALE!I311=0,"",SALE!I311)</f>
        <v/>
      </c>
      <c r="J307" t="str">
        <f>IF(SALE!J311=0,"",SALE!J311)</f>
        <v/>
      </c>
    </row>
    <row r="308" spans="1:10">
      <c r="A308">
        <f>IF(SALE!A312=0,"",SALE!A312)</f>
        <v>307</v>
      </c>
      <c r="B308" t="str">
        <f>IF(SALE!B312=0,"",SALE!B312)</f>
        <v/>
      </c>
      <c r="C308" t="str">
        <f>IF(SALE!C312=0,"",SALE!C312)</f>
        <v/>
      </c>
      <c r="D308" t="str">
        <f>IF(SALE!D312=0,"",SALE!D312)</f>
        <v/>
      </c>
      <c r="E308" s="10" t="str">
        <f>IF(SALE!E312=0,"",SALE!E312)</f>
        <v/>
      </c>
      <c r="F308" s="10" t="str">
        <f>IF(SALE!F312=0,"",SALE!F312)</f>
        <v/>
      </c>
      <c r="G308" s="2" t="str">
        <f>IF(SALE!G312=0,"",SALE!G312)</f>
        <v/>
      </c>
      <c r="H308" t="str">
        <f>IF(SALE!H312=0,"",SALE!H312)</f>
        <v/>
      </c>
      <c r="I308" t="str">
        <f>IF(SALE!I312=0,"",SALE!I312)</f>
        <v/>
      </c>
      <c r="J308" t="str">
        <f>IF(SALE!J312=0,"",SALE!J312)</f>
        <v/>
      </c>
    </row>
    <row r="309" spans="1:10">
      <c r="A309">
        <f>IF(SALE!A313=0,"",SALE!A313)</f>
        <v>308</v>
      </c>
      <c r="B309" t="str">
        <f>IF(SALE!B313=0,"",SALE!B313)</f>
        <v/>
      </c>
      <c r="C309" t="str">
        <f>IF(SALE!C313=0,"",SALE!C313)</f>
        <v/>
      </c>
      <c r="D309" t="str">
        <f>IF(SALE!D313=0,"",SALE!D313)</f>
        <v/>
      </c>
      <c r="E309" s="10" t="str">
        <f>IF(SALE!E313=0,"",SALE!E313)</f>
        <v/>
      </c>
      <c r="F309" s="10" t="str">
        <f>IF(SALE!F313=0,"",SALE!F313)</f>
        <v/>
      </c>
      <c r="G309" s="2" t="str">
        <f>IF(SALE!G313=0,"",SALE!G313)</f>
        <v/>
      </c>
      <c r="H309" t="str">
        <f>IF(SALE!H313=0,"",SALE!H313)</f>
        <v/>
      </c>
      <c r="I309" t="str">
        <f>IF(SALE!I313=0,"",SALE!I313)</f>
        <v/>
      </c>
      <c r="J309" t="str">
        <f>IF(SALE!J313=0,"",SALE!J313)</f>
        <v/>
      </c>
    </row>
    <row r="310" spans="1:10">
      <c r="A310">
        <f>IF(SALE!A314=0,"",SALE!A314)</f>
        <v>309</v>
      </c>
      <c r="B310" t="str">
        <f>IF(SALE!B314=0,"",SALE!B314)</f>
        <v/>
      </c>
      <c r="C310" t="str">
        <f>IF(SALE!C314=0,"",SALE!C314)</f>
        <v/>
      </c>
      <c r="D310" t="str">
        <f>IF(SALE!D314=0,"",SALE!D314)</f>
        <v/>
      </c>
      <c r="E310" s="10" t="str">
        <f>IF(SALE!E314=0,"",SALE!E314)</f>
        <v/>
      </c>
      <c r="F310" s="10" t="str">
        <f>IF(SALE!F314=0,"",SALE!F314)</f>
        <v/>
      </c>
      <c r="G310" s="2" t="str">
        <f>IF(SALE!G314=0,"",SALE!G314)</f>
        <v/>
      </c>
      <c r="H310" t="str">
        <f>IF(SALE!H314=0,"",SALE!H314)</f>
        <v/>
      </c>
      <c r="I310" t="str">
        <f>IF(SALE!I314=0,"",SALE!I314)</f>
        <v/>
      </c>
      <c r="J310" t="str">
        <f>IF(SALE!J314=0,"",SALE!J314)</f>
        <v/>
      </c>
    </row>
    <row r="311" spans="1:10">
      <c r="A311">
        <f>IF(SALE!A315=0,"",SALE!A315)</f>
        <v>310</v>
      </c>
      <c r="B311" t="str">
        <f>IF(SALE!B315=0,"",SALE!B315)</f>
        <v/>
      </c>
      <c r="C311" t="str">
        <f>IF(SALE!C315=0,"",SALE!C315)</f>
        <v/>
      </c>
      <c r="D311" t="str">
        <f>IF(SALE!D315=0,"",SALE!D315)</f>
        <v/>
      </c>
      <c r="E311" s="10" t="str">
        <f>IF(SALE!E315=0,"",SALE!E315)</f>
        <v/>
      </c>
      <c r="F311" s="10" t="str">
        <f>IF(SALE!F315=0,"",SALE!F315)</f>
        <v/>
      </c>
      <c r="G311" s="2" t="str">
        <f>IF(SALE!G315=0,"",SALE!G315)</f>
        <v/>
      </c>
      <c r="H311" t="str">
        <f>IF(SALE!H315=0,"",SALE!H315)</f>
        <v/>
      </c>
      <c r="I311" t="str">
        <f>IF(SALE!I315=0,"",SALE!I315)</f>
        <v/>
      </c>
      <c r="J311" t="str">
        <f>IF(SALE!J315=0,"",SALE!J315)</f>
        <v/>
      </c>
    </row>
    <row r="312" spans="1:10">
      <c r="A312">
        <f>IF(SALE!A316=0,"",SALE!A316)</f>
        <v>311</v>
      </c>
      <c r="B312" t="str">
        <f>IF(SALE!B316=0,"",SALE!B316)</f>
        <v/>
      </c>
      <c r="C312" t="str">
        <f>IF(SALE!C316=0,"",SALE!C316)</f>
        <v/>
      </c>
      <c r="D312" t="str">
        <f>IF(SALE!D316=0,"",SALE!D316)</f>
        <v/>
      </c>
      <c r="E312" s="10" t="str">
        <f>IF(SALE!E316=0,"",SALE!E316)</f>
        <v/>
      </c>
      <c r="F312" s="10" t="str">
        <f>IF(SALE!F316=0,"",SALE!F316)</f>
        <v/>
      </c>
      <c r="G312" s="2" t="str">
        <f>IF(SALE!G316=0,"",SALE!G316)</f>
        <v/>
      </c>
      <c r="H312" t="str">
        <f>IF(SALE!H316=0,"",SALE!H316)</f>
        <v/>
      </c>
      <c r="I312" t="str">
        <f>IF(SALE!I316=0,"",SALE!I316)</f>
        <v/>
      </c>
      <c r="J312" t="str">
        <f>IF(SALE!J316=0,"",SALE!J316)</f>
        <v/>
      </c>
    </row>
    <row r="313" spans="1:10">
      <c r="A313">
        <f>IF(SALE!A317=0,"",SALE!A317)</f>
        <v>312</v>
      </c>
      <c r="B313" t="str">
        <f>IF(SALE!B317=0,"",SALE!B317)</f>
        <v/>
      </c>
      <c r="C313" t="str">
        <f>IF(SALE!C317=0,"",SALE!C317)</f>
        <v/>
      </c>
      <c r="D313" t="str">
        <f>IF(SALE!D317=0,"",SALE!D317)</f>
        <v/>
      </c>
      <c r="E313" s="10" t="str">
        <f>IF(SALE!E317=0,"",SALE!E317)</f>
        <v/>
      </c>
      <c r="F313" s="10" t="str">
        <f>IF(SALE!F317=0,"",SALE!F317)</f>
        <v/>
      </c>
      <c r="G313" s="2" t="str">
        <f>IF(SALE!G317=0,"",SALE!G317)</f>
        <v/>
      </c>
      <c r="H313" t="str">
        <f>IF(SALE!H317=0,"",SALE!H317)</f>
        <v/>
      </c>
      <c r="I313" t="str">
        <f>IF(SALE!I317=0,"",SALE!I317)</f>
        <v/>
      </c>
      <c r="J313" t="str">
        <f>IF(SALE!J317=0,"",SALE!J317)</f>
        <v/>
      </c>
    </row>
    <row r="314" spans="1:10">
      <c r="A314">
        <f>IF(SALE!A318=0,"",SALE!A318)</f>
        <v>313</v>
      </c>
      <c r="B314" t="str">
        <f>IF(SALE!B318=0,"",SALE!B318)</f>
        <v/>
      </c>
      <c r="C314" t="str">
        <f>IF(SALE!C318=0,"",SALE!C318)</f>
        <v/>
      </c>
      <c r="D314" t="str">
        <f>IF(SALE!D318=0,"",SALE!D318)</f>
        <v/>
      </c>
      <c r="E314" s="10" t="str">
        <f>IF(SALE!E318=0,"",SALE!E318)</f>
        <v/>
      </c>
      <c r="F314" s="10" t="str">
        <f>IF(SALE!F318=0,"",SALE!F318)</f>
        <v/>
      </c>
      <c r="G314" s="2" t="str">
        <f>IF(SALE!G318=0,"",SALE!G318)</f>
        <v/>
      </c>
      <c r="H314" t="str">
        <f>IF(SALE!H318=0,"",SALE!H318)</f>
        <v/>
      </c>
      <c r="I314" t="str">
        <f>IF(SALE!I318=0,"",SALE!I318)</f>
        <v/>
      </c>
      <c r="J314" t="str">
        <f>IF(SALE!J318=0,"",SALE!J318)</f>
        <v/>
      </c>
    </row>
    <row r="315" spans="1:10">
      <c r="A315">
        <f>IF(SALE!A319=0,"",SALE!A319)</f>
        <v>314</v>
      </c>
      <c r="B315" t="str">
        <f>IF(SALE!B319=0,"",SALE!B319)</f>
        <v/>
      </c>
      <c r="C315" t="str">
        <f>IF(SALE!C319=0,"",SALE!C319)</f>
        <v/>
      </c>
      <c r="D315" t="str">
        <f>IF(SALE!D319=0,"",SALE!D319)</f>
        <v/>
      </c>
      <c r="E315" s="10" t="str">
        <f>IF(SALE!E319=0,"",SALE!E319)</f>
        <v/>
      </c>
      <c r="F315" s="10" t="str">
        <f>IF(SALE!F319=0,"",SALE!F319)</f>
        <v/>
      </c>
      <c r="G315" s="2" t="str">
        <f>IF(SALE!G319=0,"",SALE!G319)</f>
        <v/>
      </c>
      <c r="H315" t="str">
        <f>IF(SALE!H319=0,"",SALE!H319)</f>
        <v/>
      </c>
      <c r="I315" t="str">
        <f>IF(SALE!I319=0,"",SALE!I319)</f>
        <v/>
      </c>
      <c r="J315" t="str">
        <f>IF(SALE!J319=0,"",SALE!J319)</f>
        <v/>
      </c>
    </row>
    <row r="316" spans="1:10">
      <c r="A316">
        <f>IF(SALE!A320=0,"",SALE!A320)</f>
        <v>315</v>
      </c>
      <c r="B316" t="str">
        <f>IF(SALE!B320=0,"",SALE!B320)</f>
        <v/>
      </c>
      <c r="C316" t="str">
        <f>IF(SALE!C320=0,"",SALE!C320)</f>
        <v/>
      </c>
      <c r="D316" t="str">
        <f>IF(SALE!D320=0,"",SALE!D320)</f>
        <v/>
      </c>
      <c r="E316" s="10" t="str">
        <f>IF(SALE!E320=0,"",SALE!E320)</f>
        <v/>
      </c>
      <c r="F316" s="10" t="str">
        <f>IF(SALE!F320=0,"",SALE!F320)</f>
        <v/>
      </c>
      <c r="G316" s="2" t="str">
        <f>IF(SALE!G320=0,"",SALE!G320)</f>
        <v/>
      </c>
      <c r="H316" t="str">
        <f>IF(SALE!H320=0,"",SALE!H320)</f>
        <v/>
      </c>
      <c r="I316" t="str">
        <f>IF(SALE!I320=0,"",SALE!I320)</f>
        <v/>
      </c>
      <c r="J316" t="str">
        <f>IF(SALE!J320=0,"",SALE!J320)</f>
        <v/>
      </c>
    </row>
    <row r="317" spans="1:10">
      <c r="A317">
        <f>IF(SALE!A321=0,"",SALE!A321)</f>
        <v>316</v>
      </c>
      <c r="B317" t="str">
        <f>IF(SALE!B321=0,"",SALE!B321)</f>
        <v/>
      </c>
      <c r="C317" t="str">
        <f>IF(SALE!C321=0,"",SALE!C321)</f>
        <v/>
      </c>
      <c r="D317" t="str">
        <f>IF(SALE!D321=0,"",SALE!D321)</f>
        <v/>
      </c>
      <c r="E317" s="10" t="str">
        <f>IF(SALE!E321=0,"",SALE!E321)</f>
        <v/>
      </c>
      <c r="F317" s="10" t="str">
        <f>IF(SALE!F321=0,"",SALE!F321)</f>
        <v/>
      </c>
      <c r="G317" s="2" t="str">
        <f>IF(SALE!G321=0,"",SALE!G321)</f>
        <v/>
      </c>
      <c r="H317" t="str">
        <f>IF(SALE!H321=0,"",SALE!H321)</f>
        <v/>
      </c>
      <c r="I317" t="str">
        <f>IF(SALE!I321=0,"",SALE!I321)</f>
        <v/>
      </c>
      <c r="J317" t="str">
        <f>IF(SALE!J321=0,"",SALE!J321)</f>
        <v/>
      </c>
    </row>
    <row r="318" spans="1:10">
      <c r="A318">
        <f>IF(SALE!A322=0,"",SALE!A322)</f>
        <v>317</v>
      </c>
      <c r="B318" t="str">
        <f>IF(SALE!B322=0,"",SALE!B322)</f>
        <v/>
      </c>
      <c r="C318" t="str">
        <f>IF(SALE!C322=0,"",SALE!C322)</f>
        <v/>
      </c>
      <c r="D318" t="str">
        <f>IF(SALE!D322=0,"",SALE!D322)</f>
        <v/>
      </c>
      <c r="E318" s="10" t="str">
        <f>IF(SALE!E322=0,"",SALE!E322)</f>
        <v/>
      </c>
      <c r="F318" s="10" t="str">
        <f>IF(SALE!F322=0,"",SALE!F322)</f>
        <v/>
      </c>
      <c r="G318" s="2" t="str">
        <f>IF(SALE!G322=0,"",SALE!G322)</f>
        <v/>
      </c>
      <c r="H318" t="str">
        <f>IF(SALE!H322=0,"",SALE!H322)</f>
        <v/>
      </c>
      <c r="I318" t="str">
        <f>IF(SALE!I322=0,"",SALE!I322)</f>
        <v/>
      </c>
      <c r="J318" t="str">
        <f>IF(SALE!J322=0,"",SALE!J322)</f>
        <v/>
      </c>
    </row>
    <row r="319" spans="1:10">
      <c r="A319">
        <f>IF(SALE!A323=0,"",SALE!A323)</f>
        <v>318</v>
      </c>
      <c r="B319" t="str">
        <f>IF(SALE!B323=0,"",SALE!B323)</f>
        <v/>
      </c>
      <c r="C319" t="str">
        <f>IF(SALE!C323=0,"",SALE!C323)</f>
        <v/>
      </c>
      <c r="D319" t="str">
        <f>IF(SALE!D323=0,"",SALE!D323)</f>
        <v/>
      </c>
      <c r="E319" s="10" t="str">
        <f>IF(SALE!E323=0,"",SALE!E323)</f>
        <v/>
      </c>
      <c r="F319" s="10" t="str">
        <f>IF(SALE!F323=0,"",SALE!F323)</f>
        <v/>
      </c>
      <c r="G319" s="2" t="str">
        <f>IF(SALE!G323=0,"",SALE!G323)</f>
        <v/>
      </c>
      <c r="H319" t="str">
        <f>IF(SALE!H323=0,"",SALE!H323)</f>
        <v/>
      </c>
      <c r="I319" t="str">
        <f>IF(SALE!I323=0,"",SALE!I323)</f>
        <v/>
      </c>
      <c r="J319" t="str">
        <f>IF(SALE!J323=0,"",SALE!J323)</f>
        <v/>
      </c>
    </row>
    <row r="320" spans="1:10">
      <c r="A320">
        <f>IF(SALE!A324=0,"",SALE!A324)</f>
        <v>319</v>
      </c>
      <c r="B320" t="str">
        <f>IF(SALE!B324=0,"",SALE!B324)</f>
        <v/>
      </c>
      <c r="C320" t="str">
        <f>IF(SALE!C324=0,"",SALE!C324)</f>
        <v/>
      </c>
      <c r="D320" t="str">
        <f>IF(SALE!D324=0,"",SALE!D324)</f>
        <v/>
      </c>
      <c r="E320" s="10" t="str">
        <f>IF(SALE!E324=0,"",SALE!E324)</f>
        <v/>
      </c>
      <c r="F320" s="10" t="str">
        <f>IF(SALE!F324=0,"",SALE!F324)</f>
        <v/>
      </c>
      <c r="G320" s="2" t="str">
        <f>IF(SALE!G324=0,"",SALE!G324)</f>
        <v/>
      </c>
      <c r="H320" t="str">
        <f>IF(SALE!H324=0,"",SALE!H324)</f>
        <v/>
      </c>
      <c r="I320" t="str">
        <f>IF(SALE!I324=0,"",SALE!I324)</f>
        <v/>
      </c>
      <c r="J320" t="str">
        <f>IF(SALE!J324=0,"",SALE!J324)</f>
        <v/>
      </c>
    </row>
    <row r="321" spans="1:10">
      <c r="A321">
        <f>IF(SALE!A325=0,"",SALE!A325)</f>
        <v>320</v>
      </c>
      <c r="B321" t="str">
        <f>IF(SALE!B325=0,"",SALE!B325)</f>
        <v/>
      </c>
      <c r="C321" t="str">
        <f>IF(SALE!C325=0,"",SALE!C325)</f>
        <v/>
      </c>
      <c r="D321" t="str">
        <f>IF(SALE!D325=0,"",SALE!D325)</f>
        <v/>
      </c>
      <c r="E321" s="10" t="str">
        <f>IF(SALE!E325=0,"",SALE!E325)</f>
        <v/>
      </c>
      <c r="F321" s="10" t="str">
        <f>IF(SALE!F325=0,"",SALE!F325)</f>
        <v/>
      </c>
      <c r="G321" s="2" t="str">
        <f>IF(SALE!G325=0,"",SALE!G325)</f>
        <v/>
      </c>
      <c r="H321" t="str">
        <f>IF(SALE!H325=0,"",SALE!H325)</f>
        <v/>
      </c>
      <c r="I321" t="str">
        <f>IF(SALE!I325=0,"",SALE!I325)</f>
        <v/>
      </c>
      <c r="J321" t="str">
        <f>IF(SALE!J325=0,"",SALE!J325)</f>
        <v/>
      </c>
    </row>
    <row r="322" spans="1:10">
      <c r="A322">
        <f>IF(SALE!A326=0,"",SALE!A326)</f>
        <v>321</v>
      </c>
      <c r="B322" t="str">
        <f>IF(SALE!B326=0,"",SALE!B326)</f>
        <v/>
      </c>
      <c r="C322" t="str">
        <f>IF(SALE!C326=0,"",SALE!C326)</f>
        <v/>
      </c>
      <c r="D322" t="str">
        <f>IF(SALE!D326=0,"",SALE!D326)</f>
        <v/>
      </c>
      <c r="E322" s="10" t="str">
        <f>IF(SALE!E326=0,"",SALE!E326)</f>
        <v/>
      </c>
      <c r="F322" s="10" t="str">
        <f>IF(SALE!F326=0,"",SALE!F326)</f>
        <v/>
      </c>
      <c r="G322" s="2" t="str">
        <f>IF(SALE!G326=0,"",SALE!G326)</f>
        <v/>
      </c>
      <c r="H322" t="str">
        <f>IF(SALE!H326=0,"",SALE!H326)</f>
        <v/>
      </c>
      <c r="I322" t="str">
        <f>IF(SALE!I326=0,"",SALE!I326)</f>
        <v/>
      </c>
      <c r="J322" t="str">
        <f>IF(SALE!J326=0,"",SALE!J326)</f>
        <v/>
      </c>
    </row>
    <row r="323" spans="1:10">
      <c r="A323">
        <f>IF(SALE!A327=0,"",SALE!A327)</f>
        <v>322</v>
      </c>
      <c r="B323" t="str">
        <f>IF(SALE!B327=0,"",SALE!B327)</f>
        <v/>
      </c>
      <c r="C323" t="str">
        <f>IF(SALE!C327=0,"",SALE!C327)</f>
        <v/>
      </c>
      <c r="D323" t="str">
        <f>IF(SALE!D327=0,"",SALE!D327)</f>
        <v/>
      </c>
      <c r="E323" s="10" t="str">
        <f>IF(SALE!E327=0,"",SALE!E327)</f>
        <v/>
      </c>
      <c r="F323" s="10" t="str">
        <f>IF(SALE!F327=0,"",SALE!F327)</f>
        <v/>
      </c>
      <c r="G323" s="2" t="str">
        <f>IF(SALE!G327=0,"",SALE!G327)</f>
        <v/>
      </c>
      <c r="H323" t="str">
        <f>IF(SALE!H327=0,"",SALE!H327)</f>
        <v/>
      </c>
      <c r="I323" t="str">
        <f>IF(SALE!I327=0,"",SALE!I327)</f>
        <v/>
      </c>
      <c r="J323" t="str">
        <f>IF(SALE!J327=0,"",SALE!J327)</f>
        <v/>
      </c>
    </row>
    <row r="324" spans="1:10">
      <c r="A324">
        <f>IF(SALE!A328=0,"",SALE!A328)</f>
        <v>323</v>
      </c>
      <c r="B324" t="str">
        <f>IF(SALE!B328=0,"",SALE!B328)</f>
        <v/>
      </c>
      <c r="C324" t="str">
        <f>IF(SALE!C328=0,"",SALE!C328)</f>
        <v/>
      </c>
      <c r="D324" t="str">
        <f>IF(SALE!D328=0,"",SALE!D328)</f>
        <v/>
      </c>
      <c r="E324" s="10" t="str">
        <f>IF(SALE!E328=0,"",SALE!E328)</f>
        <v/>
      </c>
      <c r="F324" s="10" t="str">
        <f>IF(SALE!F328=0,"",SALE!F328)</f>
        <v/>
      </c>
      <c r="G324" s="2" t="str">
        <f>IF(SALE!G328=0,"",SALE!G328)</f>
        <v/>
      </c>
      <c r="H324" t="str">
        <f>IF(SALE!H328=0,"",SALE!H328)</f>
        <v/>
      </c>
      <c r="I324" t="str">
        <f>IF(SALE!I328=0,"",SALE!I328)</f>
        <v/>
      </c>
      <c r="J324" t="str">
        <f>IF(SALE!J328=0,"",SALE!J328)</f>
        <v/>
      </c>
    </row>
    <row r="325" spans="1:10">
      <c r="A325">
        <f>IF(SALE!A329=0,"",SALE!A329)</f>
        <v>324</v>
      </c>
      <c r="B325" t="str">
        <f>IF(SALE!B329=0,"",SALE!B329)</f>
        <v/>
      </c>
      <c r="C325" t="str">
        <f>IF(SALE!C329=0,"",SALE!C329)</f>
        <v/>
      </c>
      <c r="D325" t="str">
        <f>IF(SALE!D329=0,"",SALE!D329)</f>
        <v/>
      </c>
      <c r="E325" s="10" t="str">
        <f>IF(SALE!E329=0,"",SALE!E329)</f>
        <v/>
      </c>
      <c r="F325" s="10" t="str">
        <f>IF(SALE!F329=0,"",SALE!F329)</f>
        <v/>
      </c>
      <c r="G325" s="2" t="str">
        <f>IF(SALE!G329=0,"",SALE!G329)</f>
        <v/>
      </c>
      <c r="H325" t="str">
        <f>IF(SALE!H329=0,"",SALE!H329)</f>
        <v/>
      </c>
      <c r="I325" t="str">
        <f>IF(SALE!I329=0,"",SALE!I329)</f>
        <v/>
      </c>
      <c r="J325" t="str">
        <f>IF(SALE!J329=0,"",SALE!J329)</f>
        <v/>
      </c>
    </row>
    <row r="326" spans="1:10">
      <c r="A326">
        <f>IF(SALE!A330=0,"",SALE!A330)</f>
        <v>325</v>
      </c>
      <c r="B326" t="str">
        <f>IF(SALE!B330=0,"",SALE!B330)</f>
        <v/>
      </c>
      <c r="C326" t="str">
        <f>IF(SALE!C330=0,"",SALE!C330)</f>
        <v/>
      </c>
      <c r="D326" t="str">
        <f>IF(SALE!D330=0,"",SALE!D330)</f>
        <v/>
      </c>
      <c r="E326" s="10" t="str">
        <f>IF(SALE!E330=0,"",SALE!E330)</f>
        <v/>
      </c>
      <c r="F326" s="10" t="str">
        <f>IF(SALE!F330=0,"",SALE!F330)</f>
        <v/>
      </c>
      <c r="G326" s="2" t="str">
        <f>IF(SALE!G330=0,"",SALE!G330)</f>
        <v/>
      </c>
      <c r="H326" t="str">
        <f>IF(SALE!H330=0,"",SALE!H330)</f>
        <v/>
      </c>
      <c r="I326" t="str">
        <f>IF(SALE!I330=0,"",SALE!I330)</f>
        <v/>
      </c>
      <c r="J326" t="str">
        <f>IF(SALE!J330=0,"",SALE!J330)</f>
        <v/>
      </c>
    </row>
    <row r="327" spans="1:10">
      <c r="A327">
        <f>IF(SALE!A331=0,"",SALE!A331)</f>
        <v>326</v>
      </c>
      <c r="B327" t="str">
        <f>IF(SALE!B331=0,"",SALE!B331)</f>
        <v/>
      </c>
      <c r="C327" t="str">
        <f>IF(SALE!C331=0,"",SALE!C331)</f>
        <v/>
      </c>
      <c r="D327" t="str">
        <f>IF(SALE!D331=0,"",SALE!D331)</f>
        <v/>
      </c>
      <c r="E327" s="10" t="str">
        <f>IF(SALE!E331=0,"",SALE!E331)</f>
        <v/>
      </c>
      <c r="F327" s="10" t="str">
        <f>IF(SALE!F331=0,"",SALE!F331)</f>
        <v/>
      </c>
      <c r="G327" s="2" t="str">
        <f>IF(SALE!G331=0,"",SALE!G331)</f>
        <v/>
      </c>
      <c r="H327" t="str">
        <f>IF(SALE!H331=0,"",SALE!H331)</f>
        <v/>
      </c>
      <c r="I327" t="str">
        <f>IF(SALE!I331=0,"",SALE!I331)</f>
        <v/>
      </c>
      <c r="J327" t="str">
        <f>IF(SALE!J331=0,"",SALE!J331)</f>
        <v/>
      </c>
    </row>
    <row r="328" spans="1:10">
      <c r="A328">
        <f>IF(SALE!A332=0,"",SALE!A332)</f>
        <v>327</v>
      </c>
      <c r="B328" t="str">
        <f>IF(SALE!B332=0,"",SALE!B332)</f>
        <v/>
      </c>
      <c r="C328" t="str">
        <f>IF(SALE!C332=0,"",SALE!C332)</f>
        <v/>
      </c>
      <c r="D328" t="str">
        <f>IF(SALE!D332=0,"",SALE!D332)</f>
        <v/>
      </c>
      <c r="E328" s="10" t="str">
        <f>IF(SALE!E332=0,"",SALE!E332)</f>
        <v/>
      </c>
      <c r="F328" s="10" t="str">
        <f>IF(SALE!F332=0,"",SALE!F332)</f>
        <v/>
      </c>
      <c r="G328" s="2" t="str">
        <f>IF(SALE!G332=0,"",SALE!G332)</f>
        <v/>
      </c>
      <c r="H328" t="str">
        <f>IF(SALE!H332=0,"",SALE!H332)</f>
        <v/>
      </c>
      <c r="I328" t="str">
        <f>IF(SALE!I332=0,"",SALE!I332)</f>
        <v/>
      </c>
      <c r="J328" t="str">
        <f>IF(SALE!J332=0,"",SALE!J332)</f>
        <v/>
      </c>
    </row>
    <row r="329" spans="1:10">
      <c r="A329">
        <f>IF(SALE!A333=0,"",SALE!A333)</f>
        <v>328</v>
      </c>
      <c r="B329" t="str">
        <f>IF(SALE!B333=0,"",SALE!B333)</f>
        <v/>
      </c>
      <c r="C329" t="str">
        <f>IF(SALE!C333=0,"",SALE!C333)</f>
        <v/>
      </c>
      <c r="D329" t="str">
        <f>IF(SALE!D333=0,"",SALE!D333)</f>
        <v/>
      </c>
      <c r="E329" s="10" t="str">
        <f>IF(SALE!E333=0,"",SALE!E333)</f>
        <v/>
      </c>
      <c r="F329" s="10" t="str">
        <f>IF(SALE!F333=0,"",SALE!F333)</f>
        <v/>
      </c>
      <c r="G329" s="2" t="str">
        <f>IF(SALE!G333=0,"",SALE!G333)</f>
        <v/>
      </c>
      <c r="H329" t="str">
        <f>IF(SALE!H333=0,"",SALE!H333)</f>
        <v/>
      </c>
      <c r="I329" t="str">
        <f>IF(SALE!I333=0,"",SALE!I333)</f>
        <v/>
      </c>
      <c r="J329" t="str">
        <f>IF(SALE!J333=0,"",SALE!J333)</f>
        <v/>
      </c>
    </row>
    <row r="330" spans="1:10">
      <c r="A330">
        <f>IF(SALE!A334=0,"",SALE!A334)</f>
        <v>329</v>
      </c>
      <c r="B330" t="str">
        <f>IF(SALE!B334=0,"",SALE!B334)</f>
        <v/>
      </c>
      <c r="C330" t="str">
        <f>IF(SALE!C334=0,"",SALE!C334)</f>
        <v/>
      </c>
      <c r="D330" t="str">
        <f>IF(SALE!D334=0,"",SALE!D334)</f>
        <v/>
      </c>
      <c r="E330" s="10" t="str">
        <f>IF(SALE!E334=0,"",SALE!E334)</f>
        <v/>
      </c>
      <c r="F330" s="10" t="str">
        <f>IF(SALE!F334=0,"",SALE!F334)</f>
        <v/>
      </c>
      <c r="G330" s="2" t="str">
        <f>IF(SALE!G334=0,"",SALE!G334)</f>
        <v/>
      </c>
      <c r="H330" t="str">
        <f>IF(SALE!H334=0,"",SALE!H334)</f>
        <v/>
      </c>
      <c r="I330" t="str">
        <f>IF(SALE!I334=0,"",SALE!I334)</f>
        <v/>
      </c>
      <c r="J330" t="str">
        <f>IF(SALE!J334=0,"",SALE!J334)</f>
        <v/>
      </c>
    </row>
    <row r="331" spans="1:10">
      <c r="A331">
        <f>IF(SALE!A335=0,"",SALE!A335)</f>
        <v>330</v>
      </c>
      <c r="B331" t="str">
        <f>IF(SALE!B335=0,"",SALE!B335)</f>
        <v/>
      </c>
      <c r="C331" t="str">
        <f>IF(SALE!C335=0,"",SALE!C335)</f>
        <v/>
      </c>
      <c r="D331" t="str">
        <f>IF(SALE!D335=0,"",SALE!D335)</f>
        <v/>
      </c>
      <c r="E331" s="10" t="str">
        <f>IF(SALE!E335=0,"",SALE!E335)</f>
        <v/>
      </c>
      <c r="F331" s="10" t="str">
        <f>IF(SALE!F335=0,"",SALE!F335)</f>
        <v/>
      </c>
      <c r="G331" s="2" t="str">
        <f>IF(SALE!G335=0,"",SALE!G335)</f>
        <v/>
      </c>
      <c r="H331" t="str">
        <f>IF(SALE!H335=0,"",SALE!H335)</f>
        <v/>
      </c>
      <c r="I331" t="str">
        <f>IF(SALE!I335=0,"",SALE!I335)</f>
        <v/>
      </c>
      <c r="J331" t="str">
        <f>IF(SALE!J335=0,"",SALE!J335)</f>
        <v/>
      </c>
    </row>
    <row r="332" spans="1:10">
      <c r="A332">
        <f>IF(SALE!A336=0,"",SALE!A336)</f>
        <v>331</v>
      </c>
      <c r="B332" t="str">
        <f>IF(SALE!B336=0,"",SALE!B336)</f>
        <v/>
      </c>
      <c r="C332" t="str">
        <f>IF(SALE!C336=0,"",SALE!C336)</f>
        <v/>
      </c>
      <c r="D332" t="str">
        <f>IF(SALE!D336=0,"",SALE!D336)</f>
        <v/>
      </c>
      <c r="E332" s="10" t="str">
        <f>IF(SALE!E336=0,"",SALE!E336)</f>
        <v/>
      </c>
      <c r="F332" s="10" t="str">
        <f>IF(SALE!F336=0,"",SALE!F336)</f>
        <v/>
      </c>
      <c r="G332" s="2" t="str">
        <f>IF(SALE!G336=0,"",SALE!G336)</f>
        <v/>
      </c>
      <c r="H332" t="str">
        <f>IF(SALE!H336=0,"",SALE!H336)</f>
        <v/>
      </c>
      <c r="I332" t="str">
        <f>IF(SALE!I336=0,"",SALE!I336)</f>
        <v/>
      </c>
      <c r="J332" t="str">
        <f>IF(SALE!J336=0,"",SALE!J336)</f>
        <v/>
      </c>
    </row>
    <row r="333" spans="1:10">
      <c r="A333">
        <f>IF(SALE!A337=0,"",SALE!A337)</f>
        <v>332</v>
      </c>
      <c r="B333" t="str">
        <f>IF(SALE!B337=0,"",SALE!B337)</f>
        <v/>
      </c>
      <c r="C333" t="str">
        <f>IF(SALE!C337=0,"",SALE!C337)</f>
        <v/>
      </c>
      <c r="D333" t="str">
        <f>IF(SALE!D337=0,"",SALE!D337)</f>
        <v/>
      </c>
      <c r="E333" s="10" t="str">
        <f>IF(SALE!E337=0,"",SALE!E337)</f>
        <v/>
      </c>
      <c r="F333" s="10" t="str">
        <f>IF(SALE!F337=0,"",SALE!F337)</f>
        <v/>
      </c>
      <c r="G333" s="2" t="str">
        <f>IF(SALE!G337=0,"",SALE!G337)</f>
        <v/>
      </c>
      <c r="H333" t="str">
        <f>IF(SALE!H337=0,"",SALE!H337)</f>
        <v/>
      </c>
      <c r="I333" t="str">
        <f>IF(SALE!I337=0,"",SALE!I337)</f>
        <v/>
      </c>
      <c r="J333" t="str">
        <f>IF(SALE!J337=0,"",SALE!J337)</f>
        <v/>
      </c>
    </row>
    <row r="334" spans="1:10">
      <c r="A334">
        <f>IF(SALE!A338=0,"",SALE!A338)</f>
        <v>333</v>
      </c>
      <c r="B334" t="str">
        <f>IF(SALE!B338=0,"",SALE!B338)</f>
        <v/>
      </c>
      <c r="C334" t="str">
        <f>IF(SALE!C338=0,"",SALE!C338)</f>
        <v/>
      </c>
      <c r="D334" t="str">
        <f>IF(SALE!D338=0,"",SALE!D338)</f>
        <v/>
      </c>
      <c r="E334" s="10" t="str">
        <f>IF(SALE!E338=0,"",SALE!E338)</f>
        <v/>
      </c>
      <c r="F334" s="10" t="str">
        <f>IF(SALE!F338=0,"",SALE!F338)</f>
        <v/>
      </c>
      <c r="G334" s="2" t="str">
        <f>IF(SALE!G338=0,"",SALE!G338)</f>
        <v/>
      </c>
      <c r="H334" t="str">
        <f>IF(SALE!H338=0,"",SALE!H338)</f>
        <v/>
      </c>
      <c r="I334" t="str">
        <f>IF(SALE!I338=0,"",SALE!I338)</f>
        <v/>
      </c>
      <c r="J334" t="str">
        <f>IF(SALE!J338=0,"",SALE!J338)</f>
        <v/>
      </c>
    </row>
    <row r="335" spans="1:10">
      <c r="A335">
        <f>IF(SALE!A339=0,"",SALE!A339)</f>
        <v>334</v>
      </c>
      <c r="B335" t="str">
        <f>IF(SALE!B339=0,"",SALE!B339)</f>
        <v/>
      </c>
      <c r="C335" t="str">
        <f>IF(SALE!C339=0,"",SALE!C339)</f>
        <v/>
      </c>
      <c r="D335" t="str">
        <f>IF(SALE!D339=0,"",SALE!D339)</f>
        <v/>
      </c>
      <c r="E335" s="10" t="str">
        <f>IF(SALE!E339=0,"",SALE!E339)</f>
        <v/>
      </c>
      <c r="F335" s="10" t="str">
        <f>IF(SALE!F339=0,"",SALE!F339)</f>
        <v/>
      </c>
      <c r="G335" s="2" t="str">
        <f>IF(SALE!G339=0,"",SALE!G339)</f>
        <v/>
      </c>
      <c r="H335" t="str">
        <f>IF(SALE!H339=0,"",SALE!H339)</f>
        <v/>
      </c>
      <c r="I335" t="str">
        <f>IF(SALE!I339=0,"",SALE!I339)</f>
        <v/>
      </c>
      <c r="J335" t="str">
        <f>IF(SALE!J339=0,"",SALE!J339)</f>
        <v/>
      </c>
    </row>
    <row r="336" spans="1:10">
      <c r="A336">
        <f>IF(SALE!A340=0,"",SALE!A340)</f>
        <v>335</v>
      </c>
      <c r="B336" t="str">
        <f>IF(SALE!B340=0,"",SALE!B340)</f>
        <v/>
      </c>
      <c r="C336" t="str">
        <f>IF(SALE!C340=0,"",SALE!C340)</f>
        <v/>
      </c>
      <c r="D336" t="str">
        <f>IF(SALE!D340=0,"",SALE!D340)</f>
        <v/>
      </c>
      <c r="E336" s="10" t="str">
        <f>IF(SALE!E340=0,"",SALE!E340)</f>
        <v/>
      </c>
      <c r="F336" s="10" t="str">
        <f>IF(SALE!F340=0,"",SALE!F340)</f>
        <v/>
      </c>
      <c r="G336" s="2" t="str">
        <f>IF(SALE!G340=0,"",SALE!G340)</f>
        <v/>
      </c>
      <c r="H336" t="str">
        <f>IF(SALE!H340=0,"",SALE!H340)</f>
        <v/>
      </c>
      <c r="I336" t="str">
        <f>IF(SALE!I340=0,"",SALE!I340)</f>
        <v/>
      </c>
      <c r="J336" t="str">
        <f>IF(SALE!J340=0,"",SALE!J340)</f>
        <v/>
      </c>
    </row>
    <row r="337" spans="1:10">
      <c r="A337">
        <f>IF(SALE!A341=0,"",SALE!A341)</f>
        <v>336</v>
      </c>
      <c r="B337" t="str">
        <f>IF(SALE!B341=0,"",SALE!B341)</f>
        <v/>
      </c>
      <c r="C337" t="str">
        <f>IF(SALE!C341=0,"",SALE!C341)</f>
        <v/>
      </c>
      <c r="D337" t="str">
        <f>IF(SALE!D341=0,"",SALE!D341)</f>
        <v/>
      </c>
      <c r="E337" s="10" t="str">
        <f>IF(SALE!E341=0,"",SALE!E341)</f>
        <v/>
      </c>
      <c r="F337" s="10" t="str">
        <f>IF(SALE!F341=0,"",SALE!F341)</f>
        <v/>
      </c>
      <c r="G337" s="2" t="str">
        <f>IF(SALE!G341=0,"",SALE!G341)</f>
        <v/>
      </c>
      <c r="H337" t="str">
        <f>IF(SALE!H341=0,"",SALE!H341)</f>
        <v/>
      </c>
      <c r="I337" t="str">
        <f>IF(SALE!I341=0,"",SALE!I341)</f>
        <v/>
      </c>
      <c r="J337" t="str">
        <f>IF(SALE!J341=0,"",SALE!J341)</f>
        <v/>
      </c>
    </row>
    <row r="338" spans="1:10">
      <c r="A338">
        <f>IF(SALE!A342=0,"",SALE!A342)</f>
        <v>337</v>
      </c>
      <c r="B338" t="str">
        <f>IF(SALE!B342=0,"",SALE!B342)</f>
        <v/>
      </c>
      <c r="C338" t="str">
        <f>IF(SALE!C342=0,"",SALE!C342)</f>
        <v/>
      </c>
      <c r="D338" t="str">
        <f>IF(SALE!D342=0,"",SALE!D342)</f>
        <v/>
      </c>
      <c r="E338" s="10" t="str">
        <f>IF(SALE!E342=0,"",SALE!E342)</f>
        <v/>
      </c>
      <c r="F338" s="10" t="str">
        <f>IF(SALE!F342=0,"",SALE!F342)</f>
        <v/>
      </c>
      <c r="G338" s="2" t="str">
        <f>IF(SALE!G342=0,"",SALE!G342)</f>
        <v/>
      </c>
      <c r="H338" t="str">
        <f>IF(SALE!H342=0,"",SALE!H342)</f>
        <v/>
      </c>
      <c r="I338" t="str">
        <f>IF(SALE!I342=0,"",SALE!I342)</f>
        <v/>
      </c>
      <c r="J338" t="str">
        <f>IF(SALE!J342=0,"",SALE!J342)</f>
        <v/>
      </c>
    </row>
    <row r="339" spans="1:10">
      <c r="A339">
        <f>IF(SALE!A343=0,"",SALE!A343)</f>
        <v>338</v>
      </c>
      <c r="B339" t="str">
        <f>IF(SALE!B343=0,"",SALE!B343)</f>
        <v/>
      </c>
      <c r="C339" t="str">
        <f>IF(SALE!C343=0,"",SALE!C343)</f>
        <v/>
      </c>
      <c r="D339" t="str">
        <f>IF(SALE!D343=0,"",SALE!D343)</f>
        <v/>
      </c>
      <c r="E339" s="10" t="str">
        <f>IF(SALE!E343=0,"",SALE!E343)</f>
        <v/>
      </c>
      <c r="F339" s="10" t="str">
        <f>IF(SALE!F343=0,"",SALE!F343)</f>
        <v/>
      </c>
      <c r="G339" s="2" t="str">
        <f>IF(SALE!G343=0,"",SALE!G343)</f>
        <v/>
      </c>
      <c r="H339" t="str">
        <f>IF(SALE!H343=0,"",SALE!H343)</f>
        <v/>
      </c>
      <c r="I339" t="str">
        <f>IF(SALE!I343=0,"",SALE!I343)</f>
        <v/>
      </c>
      <c r="J339" t="str">
        <f>IF(SALE!J343=0,"",SALE!J343)</f>
        <v/>
      </c>
    </row>
    <row r="340" spans="1:10">
      <c r="A340">
        <f>IF(SALE!A344=0,"",SALE!A344)</f>
        <v>339</v>
      </c>
      <c r="B340" t="str">
        <f>IF(SALE!B344=0,"",SALE!B344)</f>
        <v/>
      </c>
      <c r="C340" t="str">
        <f>IF(SALE!C344=0,"",SALE!C344)</f>
        <v/>
      </c>
      <c r="D340" t="str">
        <f>IF(SALE!D344=0,"",SALE!D344)</f>
        <v/>
      </c>
      <c r="E340" s="10" t="str">
        <f>IF(SALE!E344=0,"",SALE!E344)</f>
        <v/>
      </c>
      <c r="F340" s="10" t="str">
        <f>IF(SALE!F344=0,"",SALE!F344)</f>
        <v/>
      </c>
      <c r="G340" s="2" t="str">
        <f>IF(SALE!G344=0,"",SALE!G344)</f>
        <v/>
      </c>
      <c r="H340" t="str">
        <f>IF(SALE!H344=0,"",SALE!H344)</f>
        <v/>
      </c>
      <c r="I340" t="str">
        <f>IF(SALE!I344=0,"",SALE!I344)</f>
        <v/>
      </c>
      <c r="J340" t="str">
        <f>IF(SALE!J344=0,"",SALE!J344)</f>
        <v/>
      </c>
    </row>
    <row r="341" spans="1:10">
      <c r="A341">
        <f>IF(SALE!A345=0,"",SALE!A345)</f>
        <v>340</v>
      </c>
      <c r="B341" t="str">
        <f>IF(SALE!B345=0,"",SALE!B345)</f>
        <v/>
      </c>
      <c r="C341" t="str">
        <f>IF(SALE!C345=0,"",SALE!C345)</f>
        <v/>
      </c>
      <c r="D341" t="str">
        <f>IF(SALE!D345=0,"",SALE!D345)</f>
        <v/>
      </c>
      <c r="E341" s="10" t="str">
        <f>IF(SALE!E345=0,"",SALE!E345)</f>
        <v/>
      </c>
      <c r="F341" s="10" t="str">
        <f>IF(SALE!F345=0,"",SALE!F345)</f>
        <v/>
      </c>
      <c r="G341" s="2" t="str">
        <f>IF(SALE!G345=0,"",SALE!G345)</f>
        <v/>
      </c>
      <c r="H341" t="str">
        <f>IF(SALE!H345=0,"",SALE!H345)</f>
        <v/>
      </c>
      <c r="I341" t="str">
        <f>IF(SALE!I345=0,"",SALE!I345)</f>
        <v/>
      </c>
      <c r="J341" t="str">
        <f>IF(SALE!J345=0,"",SALE!J345)</f>
        <v/>
      </c>
    </row>
    <row r="342" spans="1:10">
      <c r="A342">
        <f>IF(SALE!A346=0,"",SALE!A346)</f>
        <v>341</v>
      </c>
      <c r="B342" t="str">
        <f>IF(SALE!B346=0,"",SALE!B346)</f>
        <v/>
      </c>
      <c r="C342" t="str">
        <f>IF(SALE!C346=0,"",SALE!C346)</f>
        <v/>
      </c>
      <c r="D342" t="str">
        <f>IF(SALE!D346=0,"",SALE!D346)</f>
        <v/>
      </c>
      <c r="E342" s="10" t="str">
        <f>IF(SALE!E346=0,"",SALE!E346)</f>
        <v/>
      </c>
      <c r="F342" s="10" t="str">
        <f>IF(SALE!F346=0,"",SALE!F346)</f>
        <v/>
      </c>
      <c r="G342" s="2" t="str">
        <f>IF(SALE!G346=0,"",SALE!G346)</f>
        <v/>
      </c>
      <c r="H342" t="str">
        <f>IF(SALE!H346=0,"",SALE!H346)</f>
        <v/>
      </c>
      <c r="I342" t="str">
        <f>IF(SALE!I346=0,"",SALE!I346)</f>
        <v/>
      </c>
      <c r="J342" t="str">
        <f>IF(SALE!J346=0,"",SALE!J346)</f>
        <v/>
      </c>
    </row>
    <row r="343" spans="1:10">
      <c r="A343">
        <f>IF(SALE!A347=0,"",SALE!A347)</f>
        <v>342</v>
      </c>
      <c r="B343" t="str">
        <f>IF(SALE!B347=0,"",SALE!B347)</f>
        <v/>
      </c>
      <c r="C343" t="str">
        <f>IF(SALE!C347=0,"",SALE!C347)</f>
        <v/>
      </c>
      <c r="D343" t="str">
        <f>IF(SALE!D347=0,"",SALE!D347)</f>
        <v/>
      </c>
      <c r="E343" s="10" t="str">
        <f>IF(SALE!E347=0,"",SALE!E347)</f>
        <v/>
      </c>
      <c r="F343" s="10" t="str">
        <f>IF(SALE!F347=0,"",SALE!F347)</f>
        <v/>
      </c>
      <c r="G343" s="2" t="str">
        <f>IF(SALE!G347=0,"",SALE!G347)</f>
        <v/>
      </c>
      <c r="H343" t="str">
        <f>IF(SALE!H347=0,"",SALE!H347)</f>
        <v/>
      </c>
      <c r="I343" t="str">
        <f>IF(SALE!I347=0,"",SALE!I347)</f>
        <v/>
      </c>
      <c r="J343" t="str">
        <f>IF(SALE!J347=0,"",SALE!J347)</f>
        <v/>
      </c>
    </row>
    <row r="344" spans="1:10">
      <c r="A344">
        <f>IF(SALE!A348=0,"",SALE!A348)</f>
        <v>343</v>
      </c>
      <c r="B344" t="str">
        <f>IF(SALE!B348=0,"",SALE!B348)</f>
        <v/>
      </c>
      <c r="C344" t="str">
        <f>IF(SALE!C348=0,"",SALE!C348)</f>
        <v/>
      </c>
      <c r="D344" t="str">
        <f>IF(SALE!D348=0,"",SALE!D348)</f>
        <v/>
      </c>
      <c r="E344" s="10" t="str">
        <f>IF(SALE!E348=0,"",SALE!E348)</f>
        <v/>
      </c>
      <c r="F344" s="10" t="str">
        <f>IF(SALE!F348=0,"",SALE!F348)</f>
        <v/>
      </c>
      <c r="G344" s="2" t="str">
        <f>IF(SALE!G348=0,"",SALE!G348)</f>
        <v/>
      </c>
      <c r="H344" t="str">
        <f>IF(SALE!H348=0,"",SALE!H348)</f>
        <v/>
      </c>
      <c r="I344" t="str">
        <f>IF(SALE!I348=0,"",SALE!I348)</f>
        <v/>
      </c>
      <c r="J344" t="str">
        <f>IF(SALE!J348=0,"",SALE!J348)</f>
        <v/>
      </c>
    </row>
    <row r="345" spans="1:10">
      <c r="A345">
        <f>IF(SALE!A349=0,"",SALE!A349)</f>
        <v>344</v>
      </c>
      <c r="B345" t="str">
        <f>IF(SALE!B349=0,"",SALE!B349)</f>
        <v/>
      </c>
      <c r="C345" t="str">
        <f>IF(SALE!C349=0,"",SALE!C349)</f>
        <v/>
      </c>
      <c r="D345" t="str">
        <f>IF(SALE!D349=0,"",SALE!D349)</f>
        <v/>
      </c>
      <c r="E345" s="10" t="str">
        <f>IF(SALE!E349=0,"",SALE!E349)</f>
        <v/>
      </c>
      <c r="F345" s="10" t="str">
        <f>IF(SALE!F349=0,"",SALE!F349)</f>
        <v/>
      </c>
      <c r="G345" s="2" t="str">
        <f>IF(SALE!G349=0,"",SALE!G349)</f>
        <v/>
      </c>
      <c r="H345" t="str">
        <f>IF(SALE!H349=0,"",SALE!H349)</f>
        <v/>
      </c>
      <c r="I345" t="str">
        <f>IF(SALE!I349=0,"",SALE!I349)</f>
        <v/>
      </c>
      <c r="J345" t="str">
        <f>IF(SALE!J349=0,"",SALE!J349)</f>
        <v/>
      </c>
    </row>
    <row r="346" spans="1:10">
      <c r="A346">
        <f>IF(SALE!A350=0,"",SALE!A350)</f>
        <v>345</v>
      </c>
      <c r="B346" t="str">
        <f>IF(SALE!B350=0,"",SALE!B350)</f>
        <v/>
      </c>
      <c r="C346" t="str">
        <f>IF(SALE!C350=0,"",SALE!C350)</f>
        <v/>
      </c>
      <c r="D346" t="str">
        <f>IF(SALE!D350=0,"",SALE!D350)</f>
        <v/>
      </c>
      <c r="E346" s="10" t="str">
        <f>IF(SALE!E350=0,"",SALE!E350)</f>
        <v/>
      </c>
      <c r="F346" s="10" t="str">
        <f>IF(SALE!F350=0,"",SALE!F350)</f>
        <v/>
      </c>
      <c r="G346" s="2" t="str">
        <f>IF(SALE!G350=0,"",SALE!G350)</f>
        <v/>
      </c>
      <c r="H346" t="str">
        <f>IF(SALE!H350=0,"",SALE!H350)</f>
        <v/>
      </c>
      <c r="I346" t="str">
        <f>IF(SALE!I350=0,"",SALE!I350)</f>
        <v/>
      </c>
      <c r="J346" t="str">
        <f>IF(SALE!J350=0,"",SALE!J350)</f>
        <v/>
      </c>
    </row>
    <row r="347" spans="1:10">
      <c r="A347">
        <f>IF(SALE!A351=0,"",SALE!A351)</f>
        <v>346</v>
      </c>
      <c r="B347" t="str">
        <f>IF(SALE!B351=0,"",SALE!B351)</f>
        <v/>
      </c>
      <c r="C347" t="str">
        <f>IF(SALE!C351=0,"",SALE!C351)</f>
        <v/>
      </c>
      <c r="D347" t="str">
        <f>IF(SALE!D351=0,"",SALE!D351)</f>
        <v/>
      </c>
      <c r="E347" s="10" t="str">
        <f>IF(SALE!E351=0,"",SALE!E351)</f>
        <v/>
      </c>
      <c r="F347" s="10" t="str">
        <f>IF(SALE!F351=0,"",SALE!F351)</f>
        <v/>
      </c>
      <c r="G347" s="2" t="str">
        <f>IF(SALE!G351=0,"",SALE!G351)</f>
        <v/>
      </c>
      <c r="H347" t="str">
        <f>IF(SALE!H351=0,"",SALE!H351)</f>
        <v/>
      </c>
      <c r="I347" t="str">
        <f>IF(SALE!I351=0,"",SALE!I351)</f>
        <v/>
      </c>
      <c r="J347" t="str">
        <f>IF(SALE!J351=0,"",SALE!J351)</f>
        <v/>
      </c>
    </row>
    <row r="348" spans="1:10">
      <c r="A348">
        <f>IF(SALE!A352=0,"",SALE!A352)</f>
        <v>347</v>
      </c>
      <c r="B348" t="str">
        <f>IF(SALE!B352=0,"",SALE!B352)</f>
        <v/>
      </c>
      <c r="C348" t="str">
        <f>IF(SALE!C352=0,"",SALE!C352)</f>
        <v/>
      </c>
      <c r="D348" t="str">
        <f>IF(SALE!D352=0,"",SALE!D352)</f>
        <v/>
      </c>
      <c r="E348" s="10" t="str">
        <f>IF(SALE!E352=0,"",SALE!E352)</f>
        <v/>
      </c>
      <c r="F348" s="10" t="str">
        <f>IF(SALE!F352=0,"",SALE!F352)</f>
        <v/>
      </c>
      <c r="G348" s="2" t="str">
        <f>IF(SALE!G352=0,"",SALE!G352)</f>
        <v/>
      </c>
      <c r="H348" t="str">
        <f>IF(SALE!H352=0,"",SALE!H352)</f>
        <v/>
      </c>
      <c r="I348" t="str">
        <f>IF(SALE!I352=0,"",SALE!I352)</f>
        <v/>
      </c>
      <c r="J348" t="str">
        <f>IF(SALE!J352=0,"",SALE!J352)</f>
        <v/>
      </c>
    </row>
    <row r="349" spans="1:10">
      <c r="A349">
        <f>IF(SALE!A353=0,"",SALE!A353)</f>
        <v>348</v>
      </c>
      <c r="B349" t="str">
        <f>IF(SALE!B353=0,"",SALE!B353)</f>
        <v/>
      </c>
      <c r="C349" t="str">
        <f>IF(SALE!C353=0,"",SALE!C353)</f>
        <v/>
      </c>
      <c r="D349" t="str">
        <f>IF(SALE!D353=0,"",SALE!D353)</f>
        <v/>
      </c>
      <c r="E349" s="10" t="str">
        <f>IF(SALE!E353=0,"",SALE!E353)</f>
        <v/>
      </c>
      <c r="F349" s="10" t="str">
        <f>IF(SALE!F353=0,"",SALE!F353)</f>
        <v/>
      </c>
      <c r="G349" s="2" t="str">
        <f>IF(SALE!G353=0,"",SALE!G353)</f>
        <v/>
      </c>
      <c r="H349" t="str">
        <f>IF(SALE!H353=0,"",SALE!H353)</f>
        <v/>
      </c>
      <c r="I349" t="str">
        <f>IF(SALE!I353=0,"",SALE!I353)</f>
        <v/>
      </c>
      <c r="J349" t="str">
        <f>IF(SALE!J353=0,"",SALE!J353)</f>
        <v/>
      </c>
    </row>
    <row r="350" spans="1:10">
      <c r="A350">
        <f>IF(SALE!A354=0,"",SALE!A354)</f>
        <v>349</v>
      </c>
      <c r="B350" t="str">
        <f>IF(SALE!B354=0,"",SALE!B354)</f>
        <v/>
      </c>
      <c r="C350" t="str">
        <f>IF(SALE!C354=0,"",SALE!C354)</f>
        <v/>
      </c>
      <c r="D350" t="str">
        <f>IF(SALE!D354=0,"",SALE!D354)</f>
        <v/>
      </c>
      <c r="E350" s="10" t="str">
        <f>IF(SALE!E354=0,"",SALE!E354)</f>
        <v/>
      </c>
      <c r="F350" s="10" t="str">
        <f>IF(SALE!F354=0,"",SALE!F354)</f>
        <v/>
      </c>
      <c r="G350" s="2" t="str">
        <f>IF(SALE!G354=0,"",SALE!G354)</f>
        <v/>
      </c>
      <c r="H350" t="str">
        <f>IF(SALE!H354=0,"",SALE!H354)</f>
        <v/>
      </c>
      <c r="I350" t="str">
        <f>IF(SALE!I354=0,"",SALE!I354)</f>
        <v/>
      </c>
      <c r="J350" t="str">
        <f>IF(SALE!J354=0,"",SALE!J354)</f>
        <v/>
      </c>
    </row>
    <row r="351" spans="1:10">
      <c r="A351">
        <f>IF(SALE!A355=0,"",SALE!A355)</f>
        <v>350</v>
      </c>
      <c r="B351" t="str">
        <f>IF(SALE!B355=0,"",SALE!B355)</f>
        <v/>
      </c>
      <c r="C351" t="str">
        <f>IF(SALE!C355=0,"",SALE!C355)</f>
        <v/>
      </c>
      <c r="D351" t="str">
        <f>IF(SALE!D355=0,"",SALE!D355)</f>
        <v/>
      </c>
      <c r="E351" s="10" t="str">
        <f>IF(SALE!E355=0,"",SALE!E355)</f>
        <v/>
      </c>
      <c r="F351" s="10" t="str">
        <f>IF(SALE!F355=0,"",SALE!F355)</f>
        <v/>
      </c>
      <c r="G351" s="2" t="str">
        <f>IF(SALE!G355=0,"",SALE!G355)</f>
        <v/>
      </c>
      <c r="H351" t="str">
        <f>IF(SALE!H355=0,"",SALE!H355)</f>
        <v/>
      </c>
      <c r="I351" t="str">
        <f>IF(SALE!I355=0,"",SALE!I355)</f>
        <v/>
      </c>
      <c r="J351" t="str">
        <f>IF(SALE!J355=0,"",SALE!J355)</f>
        <v/>
      </c>
    </row>
    <row r="352" spans="1:10">
      <c r="A352">
        <f>IF(SALE!A356=0,"",SALE!A356)</f>
        <v>351</v>
      </c>
      <c r="B352" t="str">
        <f>IF(SALE!B356=0,"",SALE!B356)</f>
        <v/>
      </c>
      <c r="C352" t="str">
        <f>IF(SALE!C356=0,"",SALE!C356)</f>
        <v/>
      </c>
      <c r="D352" t="str">
        <f>IF(SALE!D356=0,"",SALE!D356)</f>
        <v/>
      </c>
      <c r="E352" s="10" t="str">
        <f>IF(SALE!E356=0,"",SALE!E356)</f>
        <v/>
      </c>
      <c r="F352" s="10" t="str">
        <f>IF(SALE!F356=0,"",SALE!F356)</f>
        <v/>
      </c>
      <c r="G352" s="2" t="str">
        <f>IF(SALE!G356=0,"",SALE!G356)</f>
        <v/>
      </c>
      <c r="H352" t="str">
        <f>IF(SALE!H356=0,"",SALE!H356)</f>
        <v/>
      </c>
      <c r="I352" t="str">
        <f>IF(SALE!I356=0,"",SALE!I356)</f>
        <v/>
      </c>
      <c r="J352" t="str">
        <f>IF(SALE!J356=0,"",SALE!J356)</f>
        <v/>
      </c>
    </row>
    <row r="353" spans="1:10">
      <c r="A353">
        <f>IF(SALE!A357=0,"",SALE!A357)</f>
        <v>352</v>
      </c>
      <c r="B353" t="str">
        <f>IF(SALE!B357=0,"",SALE!B357)</f>
        <v/>
      </c>
      <c r="C353" t="str">
        <f>IF(SALE!C357=0,"",SALE!C357)</f>
        <v/>
      </c>
      <c r="D353" t="str">
        <f>IF(SALE!D357=0,"",SALE!D357)</f>
        <v/>
      </c>
      <c r="E353" s="10" t="str">
        <f>IF(SALE!E357=0,"",SALE!E357)</f>
        <v/>
      </c>
      <c r="F353" s="10" t="str">
        <f>IF(SALE!F357=0,"",SALE!F357)</f>
        <v/>
      </c>
      <c r="G353" s="2" t="str">
        <f>IF(SALE!G357=0,"",SALE!G357)</f>
        <v/>
      </c>
      <c r="H353" t="str">
        <f>IF(SALE!H357=0,"",SALE!H357)</f>
        <v/>
      </c>
      <c r="I353" t="str">
        <f>IF(SALE!I357=0,"",SALE!I357)</f>
        <v/>
      </c>
      <c r="J353" t="str">
        <f>IF(SALE!J357=0,"",SALE!J357)</f>
        <v/>
      </c>
    </row>
    <row r="354" spans="1:10">
      <c r="A354">
        <f>IF(SALE!A358=0,"",SALE!A358)</f>
        <v>353</v>
      </c>
      <c r="B354" t="str">
        <f>IF(SALE!B358=0,"",SALE!B358)</f>
        <v/>
      </c>
      <c r="C354" t="str">
        <f>IF(SALE!C358=0,"",SALE!C358)</f>
        <v/>
      </c>
      <c r="D354" t="str">
        <f>IF(SALE!D358=0,"",SALE!D358)</f>
        <v/>
      </c>
      <c r="E354" s="10" t="str">
        <f>IF(SALE!E358=0,"",SALE!E358)</f>
        <v/>
      </c>
      <c r="F354" s="10" t="str">
        <f>IF(SALE!F358=0,"",SALE!F358)</f>
        <v/>
      </c>
      <c r="G354" s="2" t="str">
        <f>IF(SALE!G358=0,"",SALE!G358)</f>
        <v/>
      </c>
      <c r="H354" t="str">
        <f>IF(SALE!H358=0,"",SALE!H358)</f>
        <v/>
      </c>
      <c r="I354" t="str">
        <f>IF(SALE!I358=0,"",SALE!I358)</f>
        <v/>
      </c>
      <c r="J354" t="str">
        <f>IF(SALE!J358=0,"",SALE!J358)</f>
        <v/>
      </c>
    </row>
    <row r="355" spans="1:10">
      <c r="A355">
        <f>IF(SALE!A359=0,"",SALE!A359)</f>
        <v>354</v>
      </c>
      <c r="B355" t="str">
        <f>IF(SALE!B359=0,"",SALE!B359)</f>
        <v/>
      </c>
      <c r="C355" t="str">
        <f>IF(SALE!C359=0,"",SALE!C359)</f>
        <v/>
      </c>
      <c r="D355" t="str">
        <f>IF(SALE!D359=0,"",SALE!D359)</f>
        <v/>
      </c>
      <c r="E355" s="10" t="str">
        <f>IF(SALE!E359=0,"",SALE!E359)</f>
        <v/>
      </c>
      <c r="F355" s="10" t="str">
        <f>IF(SALE!F359=0,"",SALE!F359)</f>
        <v/>
      </c>
      <c r="G355" s="2" t="str">
        <f>IF(SALE!G359=0,"",SALE!G359)</f>
        <v/>
      </c>
      <c r="H355" t="str">
        <f>IF(SALE!H359=0,"",SALE!H359)</f>
        <v/>
      </c>
      <c r="I355" t="str">
        <f>IF(SALE!I359=0,"",SALE!I359)</f>
        <v/>
      </c>
      <c r="J355" t="str">
        <f>IF(SALE!J359=0,"",SALE!J359)</f>
        <v/>
      </c>
    </row>
    <row r="356" spans="1:10">
      <c r="A356">
        <f>IF(SALE!A360=0,"",SALE!A360)</f>
        <v>355</v>
      </c>
      <c r="B356" t="str">
        <f>IF(SALE!B360=0,"",SALE!B360)</f>
        <v/>
      </c>
      <c r="C356" t="str">
        <f>IF(SALE!C360=0,"",SALE!C360)</f>
        <v/>
      </c>
      <c r="D356" t="str">
        <f>IF(SALE!D360=0,"",SALE!D360)</f>
        <v/>
      </c>
      <c r="E356" s="10" t="str">
        <f>IF(SALE!E360=0,"",SALE!E360)</f>
        <v/>
      </c>
      <c r="F356" s="10" t="str">
        <f>IF(SALE!F360=0,"",SALE!F360)</f>
        <v/>
      </c>
      <c r="G356" s="2" t="str">
        <f>IF(SALE!G360=0,"",SALE!G360)</f>
        <v/>
      </c>
      <c r="H356" t="str">
        <f>IF(SALE!H360=0,"",SALE!H360)</f>
        <v/>
      </c>
      <c r="I356" t="str">
        <f>IF(SALE!I360=0,"",SALE!I360)</f>
        <v/>
      </c>
      <c r="J356" t="str">
        <f>IF(SALE!J360=0,"",SALE!J360)</f>
        <v/>
      </c>
    </row>
    <row r="357" spans="1:10">
      <c r="A357">
        <f>IF(SALE!A361=0,"",SALE!A361)</f>
        <v>356</v>
      </c>
      <c r="B357" t="str">
        <f>IF(SALE!B361=0,"",SALE!B361)</f>
        <v/>
      </c>
      <c r="C357" t="str">
        <f>IF(SALE!C361=0,"",SALE!C361)</f>
        <v/>
      </c>
      <c r="D357" t="str">
        <f>IF(SALE!D361=0,"",SALE!D361)</f>
        <v/>
      </c>
      <c r="E357" s="10" t="str">
        <f>IF(SALE!E361=0,"",SALE!E361)</f>
        <v/>
      </c>
      <c r="F357" s="10" t="str">
        <f>IF(SALE!F361=0,"",SALE!F361)</f>
        <v/>
      </c>
      <c r="G357" s="2" t="str">
        <f>IF(SALE!G361=0,"",SALE!G361)</f>
        <v/>
      </c>
      <c r="H357" t="str">
        <f>IF(SALE!H361=0,"",SALE!H361)</f>
        <v/>
      </c>
      <c r="I357" t="str">
        <f>IF(SALE!I361=0,"",SALE!I361)</f>
        <v/>
      </c>
      <c r="J357" t="str">
        <f>IF(SALE!J361=0,"",SALE!J361)</f>
        <v/>
      </c>
    </row>
    <row r="358" spans="1:10">
      <c r="A358">
        <f>IF(SALE!A362=0,"",SALE!A362)</f>
        <v>357</v>
      </c>
      <c r="B358" t="str">
        <f>IF(SALE!B362=0,"",SALE!B362)</f>
        <v/>
      </c>
      <c r="C358" t="str">
        <f>IF(SALE!C362=0,"",SALE!C362)</f>
        <v/>
      </c>
      <c r="D358" t="str">
        <f>IF(SALE!D362=0,"",SALE!D362)</f>
        <v/>
      </c>
      <c r="E358" s="10" t="str">
        <f>IF(SALE!E362=0,"",SALE!E362)</f>
        <v/>
      </c>
      <c r="F358" s="10" t="str">
        <f>IF(SALE!F362=0,"",SALE!F362)</f>
        <v/>
      </c>
      <c r="G358" s="2" t="str">
        <f>IF(SALE!G362=0,"",SALE!G362)</f>
        <v/>
      </c>
      <c r="H358" t="str">
        <f>IF(SALE!H362=0,"",SALE!H362)</f>
        <v/>
      </c>
      <c r="I358" t="str">
        <f>IF(SALE!I362=0,"",SALE!I362)</f>
        <v/>
      </c>
      <c r="J358" t="str">
        <f>IF(SALE!J362=0,"",SALE!J362)</f>
        <v/>
      </c>
    </row>
    <row r="359" spans="1:10">
      <c r="A359">
        <f>IF(SALE!A363=0,"",SALE!A363)</f>
        <v>358</v>
      </c>
      <c r="B359" t="str">
        <f>IF(SALE!B363=0,"",SALE!B363)</f>
        <v/>
      </c>
      <c r="C359" t="str">
        <f>IF(SALE!C363=0,"",SALE!C363)</f>
        <v/>
      </c>
      <c r="D359" t="str">
        <f>IF(SALE!D363=0,"",SALE!D363)</f>
        <v/>
      </c>
      <c r="E359" s="10" t="str">
        <f>IF(SALE!E363=0,"",SALE!E363)</f>
        <v/>
      </c>
      <c r="F359" s="10" t="str">
        <f>IF(SALE!F363=0,"",SALE!F363)</f>
        <v/>
      </c>
      <c r="G359" s="2" t="str">
        <f>IF(SALE!G363=0,"",SALE!G363)</f>
        <v/>
      </c>
      <c r="H359" t="str">
        <f>IF(SALE!H363=0,"",SALE!H363)</f>
        <v/>
      </c>
      <c r="I359" t="str">
        <f>IF(SALE!I363=0,"",SALE!I363)</f>
        <v/>
      </c>
      <c r="J359" t="str">
        <f>IF(SALE!J363=0,"",SALE!J363)</f>
        <v/>
      </c>
    </row>
    <row r="360" spans="1:10">
      <c r="A360">
        <f>IF(SALE!A364=0,"",SALE!A364)</f>
        <v>359</v>
      </c>
      <c r="B360" t="str">
        <f>IF(SALE!B364=0,"",SALE!B364)</f>
        <v/>
      </c>
      <c r="C360" t="str">
        <f>IF(SALE!C364=0,"",SALE!C364)</f>
        <v/>
      </c>
      <c r="D360" t="str">
        <f>IF(SALE!D364=0,"",SALE!D364)</f>
        <v/>
      </c>
      <c r="E360" s="10" t="str">
        <f>IF(SALE!E364=0,"",SALE!E364)</f>
        <v/>
      </c>
      <c r="F360" s="10" t="str">
        <f>IF(SALE!F364=0,"",SALE!F364)</f>
        <v/>
      </c>
      <c r="G360" s="2" t="str">
        <f>IF(SALE!G364=0,"",SALE!G364)</f>
        <v/>
      </c>
      <c r="H360" t="str">
        <f>IF(SALE!H364=0,"",SALE!H364)</f>
        <v/>
      </c>
      <c r="I360" t="str">
        <f>IF(SALE!I364=0,"",SALE!I364)</f>
        <v/>
      </c>
      <c r="J360" t="str">
        <f>IF(SALE!J364=0,"",SALE!J364)</f>
        <v/>
      </c>
    </row>
    <row r="361" spans="1:10">
      <c r="A361">
        <f>IF(SALE!A365=0,"",SALE!A365)</f>
        <v>360</v>
      </c>
      <c r="B361" t="str">
        <f>IF(SALE!B365=0,"",SALE!B365)</f>
        <v/>
      </c>
      <c r="C361" t="str">
        <f>IF(SALE!C365=0,"",SALE!C365)</f>
        <v/>
      </c>
      <c r="D361" t="str">
        <f>IF(SALE!D365=0,"",SALE!D365)</f>
        <v/>
      </c>
      <c r="E361" s="10" t="str">
        <f>IF(SALE!E365=0,"",SALE!E365)</f>
        <v/>
      </c>
      <c r="F361" s="10" t="str">
        <f>IF(SALE!F365=0,"",SALE!F365)</f>
        <v/>
      </c>
      <c r="G361" s="2" t="str">
        <f>IF(SALE!G365=0,"",SALE!G365)</f>
        <v/>
      </c>
      <c r="H361" t="str">
        <f>IF(SALE!H365=0,"",SALE!H365)</f>
        <v/>
      </c>
      <c r="I361" t="str">
        <f>IF(SALE!I365=0,"",SALE!I365)</f>
        <v/>
      </c>
      <c r="J361" t="str">
        <f>IF(SALE!J365=0,"",SALE!J365)</f>
        <v/>
      </c>
    </row>
    <row r="362" spans="1:10">
      <c r="A362">
        <f>IF(SALE!A366=0,"",SALE!A366)</f>
        <v>361</v>
      </c>
      <c r="B362" t="str">
        <f>IF(SALE!B366=0,"",SALE!B366)</f>
        <v/>
      </c>
      <c r="C362" t="str">
        <f>IF(SALE!C366=0,"",SALE!C366)</f>
        <v/>
      </c>
      <c r="D362" t="str">
        <f>IF(SALE!D366=0,"",SALE!D366)</f>
        <v/>
      </c>
      <c r="E362" s="10" t="str">
        <f>IF(SALE!E366=0,"",SALE!E366)</f>
        <v/>
      </c>
      <c r="F362" s="10" t="str">
        <f>IF(SALE!F366=0,"",SALE!F366)</f>
        <v/>
      </c>
      <c r="G362" s="2" t="str">
        <f>IF(SALE!G366=0,"",SALE!G366)</f>
        <v/>
      </c>
      <c r="H362" t="str">
        <f>IF(SALE!H366=0,"",SALE!H366)</f>
        <v/>
      </c>
      <c r="I362" t="str">
        <f>IF(SALE!I366=0,"",SALE!I366)</f>
        <v/>
      </c>
      <c r="J362" t="str">
        <f>IF(SALE!J366=0,"",SALE!J366)</f>
        <v/>
      </c>
    </row>
    <row r="363" spans="1:10">
      <c r="A363">
        <f>IF(SALE!A367=0,"",SALE!A367)</f>
        <v>362</v>
      </c>
      <c r="B363" t="str">
        <f>IF(SALE!B367=0,"",SALE!B367)</f>
        <v/>
      </c>
      <c r="C363" t="str">
        <f>IF(SALE!C367=0,"",SALE!C367)</f>
        <v/>
      </c>
      <c r="D363" t="str">
        <f>IF(SALE!D367=0,"",SALE!D367)</f>
        <v/>
      </c>
      <c r="E363" s="10" t="str">
        <f>IF(SALE!E367=0,"",SALE!E367)</f>
        <v/>
      </c>
      <c r="F363" s="10" t="str">
        <f>IF(SALE!F367=0,"",SALE!F367)</f>
        <v/>
      </c>
      <c r="G363" s="2" t="str">
        <f>IF(SALE!G367=0,"",SALE!G367)</f>
        <v/>
      </c>
      <c r="H363" t="str">
        <f>IF(SALE!H367=0,"",SALE!H367)</f>
        <v/>
      </c>
      <c r="I363" t="str">
        <f>IF(SALE!I367=0,"",SALE!I367)</f>
        <v/>
      </c>
      <c r="J363" t="str">
        <f>IF(SALE!J367=0,"",SALE!J367)</f>
        <v/>
      </c>
    </row>
    <row r="364" spans="1:10">
      <c r="A364">
        <f>IF(SALE!A368=0,"",SALE!A368)</f>
        <v>363</v>
      </c>
      <c r="B364" t="str">
        <f>IF(SALE!B368=0,"",SALE!B368)</f>
        <v/>
      </c>
      <c r="C364" t="str">
        <f>IF(SALE!C368=0,"",SALE!C368)</f>
        <v/>
      </c>
      <c r="D364" t="str">
        <f>IF(SALE!D368=0,"",SALE!D368)</f>
        <v/>
      </c>
      <c r="E364" s="10" t="str">
        <f>IF(SALE!E368=0,"",SALE!E368)</f>
        <v/>
      </c>
      <c r="F364" s="10" t="str">
        <f>IF(SALE!F368=0,"",SALE!F368)</f>
        <v/>
      </c>
      <c r="G364" s="2" t="str">
        <f>IF(SALE!G368=0,"",SALE!G368)</f>
        <v/>
      </c>
      <c r="H364" t="str">
        <f>IF(SALE!H368=0,"",SALE!H368)</f>
        <v/>
      </c>
      <c r="I364" t="str">
        <f>IF(SALE!I368=0,"",SALE!I368)</f>
        <v/>
      </c>
      <c r="J364" t="str">
        <f>IF(SALE!J368=0,"",SALE!J368)</f>
        <v/>
      </c>
    </row>
    <row r="365" spans="1:10">
      <c r="A365">
        <f>IF(SALE!A369=0,"",SALE!A369)</f>
        <v>364</v>
      </c>
      <c r="B365" t="str">
        <f>IF(SALE!B369=0,"",SALE!B369)</f>
        <v/>
      </c>
      <c r="C365" t="str">
        <f>IF(SALE!C369=0,"",SALE!C369)</f>
        <v/>
      </c>
      <c r="D365" t="str">
        <f>IF(SALE!D369=0,"",SALE!D369)</f>
        <v/>
      </c>
      <c r="E365" s="10" t="str">
        <f>IF(SALE!E369=0,"",SALE!E369)</f>
        <v/>
      </c>
      <c r="F365" s="10" t="str">
        <f>IF(SALE!F369=0,"",SALE!F369)</f>
        <v/>
      </c>
      <c r="G365" s="2" t="str">
        <f>IF(SALE!G369=0,"",SALE!G369)</f>
        <v/>
      </c>
      <c r="H365" t="str">
        <f>IF(SALE!H369=0,"",SALE!H369)</f>
        <v/>
      </c>
      <c r="I365" t="str">
        <f>IF(SALE!I369=0,"",SALE!I369)</f>
        <v/>
      </c>
      <c r="J365" t="str">
        <f>IF(SALE!J369=0,"",SALE!J369)</f>
        <v/>
      </c>
    </row>
    <row r="366" spans="1:10">
      <c r="A366">
        <f>IF(SALE!A370=0,"",SALE!A370)</f>
        <v>365</v>
      </c>
      <c r="B366" t="str">
        <f>IF(SALE!B370=0,"",SALE!B370)</f>
        <v/>
      </c>
      <c r="C366" t="str">
        <f>IF(SALE!C370=0,"",SALE!C370)</f>
        <v/>
      </c>
      <c r="D366" t="str">
        <f>IF(SALE!D370=0,"",SALE!D370)</f>
        <v/>
      </c>
      <c r="E366" s="10" t="str">
        <f>IF(SALE!E370=0,"",SALE!E370)</f>
        <v/>
      </c>
      <c r="F366" s="10" t="str">
        <f>IF(SALE!F370=0,"",SALE!F370)</f>
        <v/>
      </c>
      <c r="G366" s="2" t="str">
        <f>IF(SALE!G370=0,"",SALE!G370)</f>
        <v/>
      </c>
      <c r="H366" t="str">
        <f>IF(SALE!H370=0,"",SALE!H370)</f>
        <v/>
      </c>
      <c r="I366" t="str">
        <f>IF(SALE!I370=0,"",SALE!I370)</f>
        <v/>
      </c>
      <c r="J366" t="str">
        <f>IF(SALE!J370=0,"",SALE!J370)</f>
        <v/>
      </c>
    </row>
    <row r="367" spans="1:10">
      <c r="A367">
        <f>IF(SALE!A371=0,"",SALE!A371)</f>
        <v>366</v>
      </c>
      <c r="B367" t="str">
        <f>IF(SALE!B371=0,"",SALE!B371)</f>
        <v/>
      </c>
      <c r="C367" t="str">
        <f>IF(SALE!C371=0,"",SALE!C371)</f>
        <v/>
      </c>
      <c r="D367" t="str">
        <f>IF(SALE!D371=0,"",SALE!D371)</f>
        <v/>
      </c>
      <c r="E367" s="10" t="str">
        <f>IF(SALE!E371=0,"",SALE!E371)</f>
        <v/>
      </c>
      <c r="F367" s="10" t="str">
        <f>IF(SALE!F371=0,"",SALE!F371)</f>
        <v/>
      </c>
      <c r="G367" s="2" t="str">
        <f>IF(SALE!G371=0,"",SALE!G371)</f>
        <v/>
      </c>
      <c r="H367" t="str">
        <f>IF(SALE!H371=0,"",SALE!H371)</f>
        <v/>
      </c>
      <c r="I367" t="str">
        <f>IF(SALE!I371=0,"",SALE!I371)</f>
        <v/>
      </c>
      <c r="J367" t="str">
        <f>IF(SALE!J371=0,"",SALE!J371)</f>
        <v/>
      </c>
    </row>
    <row r="368" spans="1:10">
      <c r="A368">
        <f>IF(SALE!A372=0,"",SALE!A372)</f>
        <v>367</v>
      </c>
      <c r="B368" t="str">
        <f>IF(SALE!B372=0,"",SALE!B372)</f>
        <v/>
      </c>
      <c r="C368" t="str">
        <f>IF(SALE!C372=0,"",SALE!C372)</f>
        <v/>
      </c>
      <c r="D368" t="str">
        <f>IF(SALE!D372=0,"",SALE!D372)</f>
        <v/>
      </c>
      <c r="E368" s="10" t="str">
        <f>IF(SALE!E372=0,"",SALE!E372)</f>
        <v/>
      </c>
      <c r="F368" s="10" t="str">
        <f>IF(SALE!F372=0,"",SALE!F372)</f>
        <v/>
      </c>
      <c r="G368" s="2" t="str">
        <f>IF(SALE!G372=0,"",SALE!G372)</f>
        <v/>
      </c>
      <c r="H368" t="str">
        <f>IF(SALE!H372=0,"",SALE!H372)</f>
        <v/>
      </c>
      <c r="I368" t="str">
        <f>IF(SALE!I372=0,"",SALE!I372)</f>
        <v/>
      </c>
      <c r="J368" t="str">
        <f>IF(SALE!J372=0,"",SALE!J372)</f>
        <v/>
      </c>
    </row>
    <row r="369" spans="1:10">
      <c r="A369">
        <f>IF(SALE!A373=0,"",SALE!A373)</f>
        <v>368</v>
      </c>
      <c r="B369" t="str">
        <f>IF(SALE!B373=0,"",SALE!B373)</f>
        <v/>
      </c>
      <c r="C369" t="str">
        <f>IF(SALE!C373=0,"",SALE!C373)</f>
        <v/>
      </c>
      <c r="D369" t="str">
        <f>IF(SALE!D373=0,"",SALE!D373)</f>
        <v/>
      </c>
      <c r="E369" s="10" t="str">
        <f>IF(SALE!E373=0,"",SALE!E373)</f>
        <v/>
      </c>
      <c r="F369" s="10" t="str">
        <f>IF(SALE!F373=0,"",SALE!F373)</f>
        <v/>
      </c>
      <c r="G369" s="2" t="str">
        <f>IF(SALE!G373=0,"",SALE!G373)</f>
        <v/>
      </c>
      <c r="H369" t="str">
        <f>IF(SALE!H373=0,"",SALE!H373)</f>
        <v/>
      </c>
      <c r="I369" t="str">
        <f>IF(SALE!I373=0,"",SALE!I373)</f>
        <v/>
      </c>
      <c r="J369" t="str">
        <f>IF(SALE!J373=0,"",SALE!J373)</f>
        <v/>
      </c>
    </row>
    <row r="370" spans="1:10">
      <c r="A370">
        <f>IF(SALE!A374=0,"",SALE!A374)</f>
        <v>369</v>
      </c>
      <c r="B370" t="str">
        <f>IF(SALE!B374=0,"",SALE!B374)</f>
        <v/>
      </c>
      <c r="C370" t="str">
        <f>IF(SALE!C374=0,"",SALE!C374)</f>
        <v/>
      </c>
      <c r="D370" t="str">
        <f>IF(SALE!D374=0,"",SALE!D374)</f>
        <v/>
      </c>
      <c r="E370" s="10" t="str">
        <f>IF(SALE!E374=0,"",SALE!E374)</f>
        <v/>
      </c>
      <c r="F370" s="10" t="str">
        <f>IF(SALE!F374=0,"",SALE!F374)</f>
        <v/>
      </c>
      <c r="G370" s="2" t="str">
        <f>IF(SALE!G374=0,"",SALE!G374)</f>
        <v/>
      </c>
      <c r="H370" t="str">
        <f>IF(SALE!H374=0,"",SALE!H374)</f>
        <v/>
      </c>
      <c r="I370" t="str">
        <f>IF(SALE!I374=0,"",SALE!I374)</f>
        <v/>
      </c>
      <c r="J370" t="str">
        <f>IF(SALE!J374=0,"",SALE!J374)</f>
        <v/>
      </c>
    </row>
    <row r="371" spans="1:10">
      <c r="A371">
        <f>IF(SALE!A375=0,"",SALE!A375)</f>
        <v>370</v>
      </c>
      <c r="B371" t="str">
        <f>IF(SALE!B375=0,"",SALE!B375)</f>
        <v/>
      </c>
      <c r="C371" t="str">
        <f>IF(SALE!C375=0,"",SALE!C375)</f>
        <v/>
      </c>
      <c r="D371" t="str">
        <f>IF(SALE!D375=0,"",SALE!D375)</f>
        <v/>
      </c>
      <c r="E371" s="10" t="str">
        <f>IF(SALE!E375=0,"",SALE!E375)</f>
        <v/>
      </c>
      <c r="F371" s="10" t="str">
        <f>IF(SALE!F375=0,"",SALE!F375)</f>
        <v/>
      </c>
      <c r="G371" s="2" t="str">
        <f>IF(SALE!G375=0,"",SALE!G375)</f>
        <v/>
      </c>
      <c r="H371" t="str">
        <f>IF(SALE!H375=0,"",SALE!H375)</f>
        <v/>
      </c>
      <c r="I371" t="str">
        <f>IF(SALE!I375=0,"",SALE!I375)</f>
        <v/>
      </c>
      <c r="J371" t="str">
        <f>IF(SALE!J375=0,"",SALE!J375)</f>
        <v/>
      </c>
    </row>
    <row r="372" spans="1:10">
      <c r="A372">
        <f>IF(SALE!A376=0,"",SALE!A376)</f>
        <v>371</v>
      </c>
      <c r="B372" t="str">
        <f>IF(SALE!B376=0,"",SALE!B376)</f>
        <v/>
      </c>
      <c r="C372" t="str">
        <f>IF(SALE!C376=0,"",SALE!C376)</f>
        <v/>
      </c>
      <c r="D372" t="str">
        <f>IF(SALE!D376=0,"",SALE!D376)</f>
        <v/>
      </c>
      <c r="E372" s="10" t="str">
        <f>IF(SALE!E376=0,"",SALE!E376)</f>
        <v/>
      </c>
      <c r="F372" s="10" t="str">
        <f>IF(SALE!F376=0,"",SALE!F376)</f>
        <v/>
      </c>
      <c r="G372" s="2" t="str">
        <f>IF(SALE!G376=0,"",SALE!G376)</f>
        <v/>
      </c>
      <c r="H372" t="str">
        <f>IF(SALE!H376=0,"",SALE!H376)</f>
        <v/>
      </c>
      <c r="I372" t="str">
        <f>IF(SALE!I376=0,"",SALE!I376)</f>
        <v/>
      </c>
      <c r="J372" t="str">
        <f>IF(SALE!J376=0,"",SALE!J376)</f>
        <v/>
      </c>
    </row>
    <row r="373" spans="1:10">
      <c r="A373">
        <f>IF(SALE!A377=0,"",SALE!A377)</f>
        <v>372</v>
      </c>
      <c r="B373" t="str">
        <f>IF(SALE!B377=0,"",SALE!B377)</f>
        <v/>
      </c>
      <c r="C373" t="str">
        <f>IF(SALE!C377=0,"",SALE!C377)</f>
        <v/>
      </c>
      <c r="D373" t="str">
        <f>IF(SALE!D377=0,"",SALE!D377)</f>
        <v/>
      </c>
      <c r="E373" s="10" t="str">
        <f>IF(SALE!E377=0,"",SALE!E377)</f>
        <v/>
      </c>
      <c r="F373" s="10" t="str">
        <f>IF(SALE!F377=0,"",SALE!F377)</f>
        <v/>
      </c>
      <c r="G373" s="2" t="str">
        <f>IF(SALE!G377=0,"",SALE!G377)</f>
        <v/>
      </c>
      <c r="H373" t="str">
        <f>IF(SALE!H377=0,"",SALE!H377)</f>
        <v/>
      </c>
      <c r="I373" t="str">
        <f>IF(SALE!I377=0,"",SALE!I377)</f>
        <v/>
      </c>
      <c r="J373" t="str">
        <f>IF(SALE!J377=0,"",SALE!J377)</f>
        <v/>
      </c>
    </row>
    <row r="374" spans="1:10">
      <c r="A374">
        <f>IF(SALE!A378=0,"",SALE!A378)</f>
        <v>373</v>
      </c>
      <c r="B374" t="str">
        <f>IF(SALE!B378=0,"",SALE!B378)</f>
        <v/>
      </c>
      <c r="C374" t="str">
        <f>IF(SALE!C378=0,"",SALE!C378)</f>
        <v/>
      </c>
      <c r="D374" t="str">
        <f>IF(SALE!D378=0,"",SALE!D378)</f>
        <v/>
      </c>
      <c r="E374" s="10" t="str">
        <f>IF(SALE!E378=0,"",SALE!E378)</f>
        <v/>
      </c>
      <c r="F374" s="10" t="str">
        <f>IF(SALE!F378=0,"",SALE!F378)</f>
        <v/>
      </c>
      <c r="G374" s="2" t="str">
        <f>IF(SALE!G378=0,"",SALE!G378)</f>
        <v/>
      </c>
      <c r="H374" t="str">
        <f>IF(SALE!H378=0,"",SALE!H378)</f>
        <v/>
      </c>
      <c r="I374" t="str">
        <f>IF(SALE!I378=0,"",SALE!I378)</f>
        <v/>
      </c>
      <c r="J374" t="str">
        <f>IF(SALE!J378=0,"",SALE!J378)</f>
        <v/>
      </c>
    </row>
    <row r="375" spans="1:10">
      <c r="A375">
        <f>IF(SALE!A379=0,"",SALE!A379)</f>
        <v>374</v>
      </c>
      <c r="B375" t="str">
        <f>IF(SALE!B379=0,"",SALE!B379)</f>
        <v/>
      </c>
      <c r="C375" t="str">
        <f>IF(SALE!C379=0,"",SALE!C379)</f>
        <v/>
      </c>
      <c r="D375" t="str">
        <f>IF(SALE!D379=0,"",SALE!D379)</f>
        <v/>
      </c>
      <c r="E375" s="10" t="str">
        <f>IF(SALE!E379=0,"",SALE!E379)</f>
        <v/>
      </c>
      <c r="F375" s="10" t="str">
        <f>IF(SALE!F379=0,"",SALE!F379)</f>
        <v/>
      </c>
      <c r="G375" s="2" t="str">
        <f>IF(SALE!G379=0,"",SALE!G379)</f>
        <v/>
      </c>
      <c r="H375" t="str">
        <f>IF(SALE!H379=0,"",SALE!H379)</f>
        <v/>
      </c>
      <c r="I375" t="str">
        <f>IF(SALE!I379=0,"",SALE!I379)</f>
        <v/>
      </c>
      <c r="J375" t="str">
        <f>IF(SALE!J379=0,"",SALE!J379)</f>
        <v/>
      </c>
    </row>
    <row r="376" spans="1:10">
      <c r="A376">
        <f>IF(SALE!A380=0,"",SALE!A380)</f>
        <v>375</v>
      </c>
      <c r="B376" t="str">
        <f>IF(SALE!B380=0,"",SALE!B380)</f>
        <v/>
      </c>
      <c r="C376" t="str">
        <f>IF(SALE!C380=0,"",SALE!C380)</f>
        <v/>
      </c>
      <c r="D376" t="str">
        <f>IF(SALE!D380=0,"",SALE!D380)</f>
        <v/>
      </c>
      <c r="E376" s="10" t="str">
        <f>IF(SALE!E380=0,"",SALE!E380)</f>
        <v/>
      </c>
      <c r="F376" s="10" t="str">
        <f>IF(SALE!F380=0,"",SALE!F380)</f>
        <v/>
      </c>
      <c r="G376" s="2" t="str">
        <f>IF(SALE!G380=0,"",SALE!G380)</f>
        <v/>
      </c>
      <c r="H376" t="str">
        <f>IF(SALE!H380=0,"",SALE!H380)</f>
        <v/>
      </c>
      <c r="I376" t="str">
        <f>IF(SALE!I380=0,"",SALE!I380)</f>
        <v/>
      </c>
      <c r="J376" t="str">
        <f>IF(SALE!J380=0,"",SALE!J380)</f>
        <v/>
      </c>
    </row>
    <row r="377" spans="1:10">
      <c r="A377">
        <f>IF(SALE!A381=0,"",SALE!A381)</f>
        <v>376</v>
      </c>
      <c r="B377" t="str">
        <f>IF(SALE!B381=0,"",SALE!B381)</f>
        <v/>
      </c>
      <c r="C377" t="str">
        <f>IF(SALE!C381=0,"",SALE!C381)</f>
        <v/>
      </c>
      <c r="D377" t="str">
        <f>IF(SALE!D381=0,"",SALE!D381)</f>
        <v/>
      </c>
      <c r="E377" s="10" t="str">
        <f>IF(SALE!E381=0,"",SALE!E381)</f>
        <v/>
      </c>
      <c r="F377" s="10" t="str">
        <f>IF(SALE!F381=0,"",SALE!F381)</f>
        <v/>
      </c>
      <c r="G377" s="2" t="str">
        <f>IF(SALE!G381=0,"",SALE!G381)</f>
        <v/>
      </c>
      <c r="H377" t="str">
        <f>IF(SALE!H381=0,"",SALE!H381)</f>
        <v/>
      </c>
      <c r="I377" t="str">
        <f>IF(SALE!I381=0,"",SALE!I381)</f>
        <v/>
      </c>
      <c r="J377" t="str">
        <f>IF(SALE!J381=0,"",SALE!J381)</f>
        <v/>
      </c>
    </row>
    <row r="378" spans="1:10">
      <c r="A378">
        <f>IF(SALE!A382=0,"",SALE!A382)</f>
        <v>377</v>
      </c>
      <c r="B378" t="str">
        <f>IF(SALE!B382=0,"",SALE!B382)</f>
        <v/>
      </c>
      <c r="C378" t="str">
        <f>IF(SALE!C382=0,"",SALE!C382)</f>
        <v/>
      </c>
      <c r="D378" t="str">
        <f>IF(SALE!D382=0,"",SALE!D382)</f>
        <v/>
      </c>
      <c r="E378" s="10" t="str">
        <f>IF(SALE!E382=0,"",SALE!E382)</f>
        <v/>
      </c>
      <c r="F378" s="10" t="str">
        <f>IF(SALE!F382=0,"",SALE!F382)</f>
        <v/>
      </c>
      <c r="G378" s="2" t="str">
        <f>IF(SALE!G382=0,"",SALE!G382)</f>
        <v/>
      </c>
      <c r="H378" t="str">
        <f>IF(SALE!H382=0,"",SALE!H382)</f>
        <v/>
      </c>
      <c r="I378" t="str">
        <f>IF(SALE!I382=0,"",SALE!I382)</f>
        <v/>
      </c>
      <c r="J378" t="str">
        <f>IF(SALE!J382=0,"",SALE!J382)</f>
        <v/>
      </c>
    </row>
    <row r="379" spans="1:10">
      <c r="A379">
        <f>IF(SALE!A383=0,"",SALE!A383)</f>
        <v>378</v>
      </c>
      <c r="B379" t="str">
        <f>IF(SALE!B383=0,"",SALE!B383)</f>
        <v/>
      </c>
      <c r="C379" t="str">
        <f>IF(SALE!C383=0,"",SALE!C383)</f>
        <v/>
      </c>
      <c r="D379" t="str">
        <f>IF(SALE!D383=0,"",SALE!D383)</f>
        <v/>
      </c>
      <c r="E379" s="10" t="str">
        <f>IF(SALE!E383=0,"",SALE!E383)</f>
        <v/>
      </c>
      <c r="F379" s="10" t="str">
        <f>IF(SALE!F383=0,"",SALE!F383)</f>
        <v/>
      </c>
      <c r="G379" s="2" t="str">
        <f>IF(SALE!G383=0,"",SALE!G383)</f>
        <v/>
      </c>
      <c r="H379" t="str">
        <f>IF(SALE!H383=0,"",SALE!H383)</f>
        <v/>
      </c>
      <c r="I379" t="str">
        <f>IF(SALE!I383=0,"",SALE!I383)</f>
        <v/>
      </c>
      <c r="J379" t="str">
        <f>IF(SALE!J383=0,"",SALE!J383)</f>
        <v/>
      </c>
    </row>
    <row r="380" spans="1:10">
      <c r="A380">
        <f>IF(SALE!A384=0,"",SALE!A384)</f>
        <v>379</v>
      </c>
      <c r="B380" t="str">
        <f>IF(SALE!B384=0,"",SALE!B384)</f>
        <v/>
      </c>
      <c r="C380" t="str">
        <f>IF(SALE!C384=0,"",SALE!C384)</f>
        <v/>
      </c>
      <c r="D380" t="str">
        <f>IF(SALE!D384=0,"",SALE!D384)</f>
        <v/>
      </c>
      <c r="E380" s="10" t="str">
        <f>IF(SALE!E384=0,"",SALE!E384)</f>
        <v/>
      </c>
      <c r="F380" s="10" t="str">
        <f>IF(SALE!F384=0,"",SALE!F384)</f>
        <v/>
      </c>
      <c r="G380" s="2" t="str">
        <f>IF(SALE!G384=0,"",SALE!G384)</f>
        <v/>
      </c>
      <c r="H380" t="str">
        <f>IF(SALE!H384=0,"",SALE!H384)</f>
        <v/>
      </c>
      <c r="I380" t="str">
        <f>IF(SALE!I384=0,"",SALE!I384)</f>
        <v/>
      </c>
      <c r="J380" t="str">
        <f>IF(SALE!J384=0,"",SALE!J384)</f>
        <v/>
      </c>
    </row>
    <row r="381" spans="1:10">
      <c r="A381">
        <f>IF(SALE!A385=0,"",SALE!A385)</f>
        <v>380</v>
      </c>
      <c r="B381" t="str">
        <f>IF(SALE!B385=0,"",SALE!B385)</f>
        <v/>
      </c>
      <c r="C381" t="str">
        <f>IF(SALE!C385=0,"",SALE!C385)</f>
        <v/>
      </c>
      <c r="D381" t="str">
        <f>IF(SALE!D385=0,"",SALE!D385)</f>
        <v/>
      </c>
      <c r="E381" s="10" t="str">
        <f>IF(SALE!E385=0,"",SALE!E385)</f>
        <v/>
      </c>
      <c r="F381" s="10" t="str">
        <f>IF(SALE!F385=0,"",SALE!F385)</f>
        <v/>
      </c>
      <c r="G381" s="2" t="str">
        <f>IF(SALE!G385=0,"",SALE!G385)</f>
        <v/>
      </c>
      <c r="H381" t="str">
        <f>IF(SALE!H385=0,"",SALE!H385)</f>
        <v/>
      </c>
      <c r="I381" t="str">
        <f>IF(SALE!I385=0,"",SALE!I385)</f>
        <v/>
      </c>
      <c r="J381" t="str">
        <f>IF(SALE!J385=0,"",SALE!J385)</f>
        <v/>
      </c>
    </row>
    <row r="382" spans="1:10">
      <c r="A382">
        <f>IF(SALE!A386=0,"",SALE!A386)</f>
        <v>381</v>
      </c>
      <c r="B382" t="str">
        <f>IF(SALE!B386=0,"",SALE!B386)</f>
        <v/>
      </c>
      <c r="C382" t="str">
        <f>IF(SALE!C386=0,"",SALE!C386)</f>
        <v/>
      </c>
      <c r="D382" t="str">
        <f>IF(SALE!D386=0,"",SALE!D386)</f>
        <v/>
      </c>
      <c r="E382" s="10" t="str">
        <f>IF(SALE!E386=0,"",SALE!E386)</f>
        <v/>
      </c>
      <c r="F382" s="10" t="str">
        <f>IF(SALE!F386=0,"",SALE!F386)</f>
        <v/>
      </c>
      <c r="G382" s="2" t="str">
        <f>IF(SALE!G386=0,"",SALE!G386)</f>
        <v/>
      </c>
      <c r="H382" t="str">
        <f>IF(SALE!H386=0,"",SALE!H386)</f>
        <v/>
      </c>
      <c r="I382" t="str">
        <f>IF(SALE!I386=0,"",SALE!I386)</f>
        <v/>
      </c>
      <c r="J382" t="str">
        <f>IF(SALE!J386=0,"",SALE!J386)</f>
        <v/>
      </c>
    </row>
    <row r="383" spans="1:10">
      <c r="A383">
        <f>IF(SALE!A387=0,"",SALE!A387)</f>
        <v>382</v>
      </c>
      <c r="B383" t="str">
        <f>IF(SALE!B387=0,"",SALE!B387)</f>
        <v/>
      </c>
      <c r="C383" t="str">
        <f>IF(SALE!C387=0,"",SALE!C387)</f>
        <v/>
      </c>
      <c r="D383" t="str">
        <f>IF(SALE!D387=0,"",SALE!D387)</f>
        <v/>
      </c>
      <c r="E383" s="10" t="str">
        <f>IF(SALE!E387=0,"",SALE!E387)</f>
        <v/>
      </c>
      <c r="F383" s="10" t="str">
        <f>IF(SALE!F387=0,"",SALE!F387)</f>
        <v/>
      </c>
      <c r="G383" s="2" t="str">
        <f>IF(SALE!G387=0,"",SALE!G387)</f>
        <v/>
      </c>
      <c r="H383" t="str">
        <f>IF(SALE!H387=0,"",SALE!H387)</f>
        <v/>
      </c>
      <c r="I383" t="str">
        <f>IF(SALE!I387=0,"",SALE!I387)</f>
        <v/>
      </c>
      <c r="J383" t="str">
        <f>IF(SALE!J387=0,"",SALE!J387)</f>
        <v/>
      </c>
    </row>
    <row r="384" spans="1:10">
      <c r="A384">
        <f>IF(SALE!A388=0,"",SALE!A388)</f>
        <v>383</v>
      </c>
      <c r="B384" t="str">
        <f>IF(SALE!B388=0,"",SALE!B388)</f>
        <v/>
      </c>
      <c r="C384" t="str">
        <f>IF(SALE!C388=0,"",SALE!C388)</f>
        <v/>
      </c>
      <c r="D384" t="str">
        <f>IF(SALE!D388=0,"",SALE!D388)</f>
        <v/>
      </c>
      <c r="E384" s="10" t="str">
        <f>IF(SALE!E388=0,"",SALE!E388)</f>
        <v/>
      </c>
      <c r="F384" s="10" t="str">
        <f>IF(SALE!F388=0,"",SALE!F388)</f>
        <v/>
      </c>
      <c r="G384" s="2" t="str">
        <f>IF(SALE!G388=0,"",SALE!G388)</f>
        <v/>
      </c>
      <c r="H384" t="str">
        <f>IF(SALE!H388=0,"",SALE!H388)</f>
        <v/>
      </c>
      <c r="I384" t="str">
        <f>IF(SALE!I388=0,"",SALE!I388)</f>
        <v/>
      </c>
      <c r="J384" t="str">
        <f>IF(SALE!J388=0,"",SALE!J388)</f>
        <v/>
      </c>
    </row>
    <row r="385" spans="1:10">
      <c r="A385">
        <f>IF(SALE!A389=0,"",SALE!A389)</f>
        <v>384</v>
      </c>
      <c r="B385" t="str">
        <f>IF(SALE!B389=0,"",SALE!B389)</f>
        <v/>
      </c>
      <c r="C385" t="str">
        <f>IF(SALE!C389=0,"",SALE!C389)</f>
        <v/>
      </c>
      <c r="D385" t="str">
        <f>IF(SALE!D389=0,"",SALE!D389)</f>
        <v/>
      </c>
      <c r="E385" s="10" t="str">
        <f>IF(SALE!E389=0,"",SALE!E389)</f>
        <v/>
      </c>
      <c r="F385" s="10" t="str">
        <f>IF(SALE!F389=0,"",SALE!F389)</f>
        <v/>
      </c>
      <c r="G385" s="2" t="str">
        <f>IF(SALE!G389=0,"",SALE!G389)</f>
        <v/>
      </c>
      <c r="H385" t="str">
        <f>IF(SALE!H389=0,"",SALE!H389)</f>
        <v/>
      </c>
      <c r="I385" t="str">
        <f>IF(SALE!I389=0,"",SALE!I389)</f>
        <v/>
      </c>
      <c r="J385" t="str">
        <f>IF(SALE!J389=0,"",SALE!J389)</f>
        <v/>
      </c>
    </row>
    <row r="386" spans="1:10">
      <c r="A386">
        <f>IF(SALE!A390=0,"",SALE!A390)</f>
        <v>385</v>
      </c>
      <c r="B386" t="str">
        <f>IF(SALE!B390=0,"",SALE!B390)</f>
        <v/>
      </c>
      <c r="C386" t="str">
        <f>IF(SALE!C390=0,"",SALE!C390)</f>
        <v/>
      </c>
      <c r="D386" t="str">
        <f>IF(SALE!D390=0,"",SALE!D390)</f>
        <v/>
      </c>
      <c r="E386" s="10" t="str">
        <f>IF(SALE!E390=0,"",SALE!E390)</f>
        <v/>
      </c>
      <c r="F386" s="10" t="str">
        <f>IF(SALE!F390=0,"",SALE!F390)</f>
        <v/>
      </c>
      <c r="G386" s="2" t="str">
        <f>IF(SALE!G390=0,"",SALE!G390)</f>
        <v/>
      </c>
      <c r="H386" t="str">
        <f>IF(SALE!H390=0,"",SALE!H390)</f>
        <v/>
      </c>
      <c r="I386" t="str">
        <f>IF(SALE!I390=0,"",SALE!I390)</f>
        <v/>
      </c>
      <c r="J386" t="str">
        <f>IF(SALE!J390=0,"",SALE!J390)</f>
        <v/>
      </c>
    </row>
    <row r="387" spans="1:10">
      <c r="A387">
        <f>IF(SALE!A391=0,"",SALE!A391)</f>
        <v>386</v>
      </c>
      <c r="B387" t="str">
        <f>IF(SALE!B391=0,"",SALE!B391)</f>
        <v/>
      </c>
      <c r="C387" t="str">
        <f>IF(SALE!C391=0,"",SALE!C391)</f>
        <v/>
      </c>
      <c r="D387" t="str">
        <f>IF(SALE!D391=0,"",SALE!D391)</f>
        <v/>
      </c>
      <c r="E387" s="10" t="str">
        <f>IF(SALE!E391=0,"",SALE!E391)</f>
        <v/>
      </c>
      <c r="F387" s="10" t="str">
        <f>IF(SALE!F391=0,"",SALE!F391)</f>
        <v/>
      </c>
      <c r="G387" s="2" t="str">
        <f>IF(SALE!G391=0,"",SALE!G391)</f>
        <v/>
      </c>
      <c r="H387" t="str">
        <f>IF(SALE!H391=0,"",SALE!H391)</f>
        <v/>
      </c>
      <c r="I387" t="str">
        <f>IF(SALE!I391=0,"",SALE!I391)</f>
        <v/>
      </c>
      <c r="J387" t="str">
        <f>IF(SALE!J391=0,"",SALE!J391)</f>
        <v/>
      </c>
    </row>
    <row r="388" spans="1:10">
      <c r="A388">
        <f>IF(SALE!A392=0,"",SALE!A392)</f>
        <v>387</v>
      </c>
      <c r="B388" t="str">
        <f>IF(SALE!B392=0,"",SALE!B392)</f>
        <v/>
      </c>
      <c r="C388" t="str">
        <f>IF(SALE!C392=0,"",SALE!C392)</f>
        <v/>
      </c>
      <c r="D388" t="str">
        <f>IF(SALE!D392=0,"",SALE!D392)</f>
        <v/>
      </c>
      <c r="E388" s="10" t="str">
        <f>IF(SALE!E392=0,"",SALE!E392)</f>
        <v/>
      </c>
      <c r="F388" s="10" t="str">
        <f>IF(SALE!F392=0,"",SALE!F392)</f>
        <v/>
      </c>
      <c r="G388" s="2" t="str">
        <f>IF(SALE!G392=0,"",SALE!G392)</f>
        <v/>
      </c>
      <c r="H388" t="str">
        <f>IF(SALE!H392=0,"",SALE!H392)</f>
        <v/>
      </c>
      <c r="I388" t="str">
        <f>IF(SALE!I392=0,"",SALE!I392)</f>
        <v/>
      </c>
      <c r="J388" t="str">
        <f>IF(SALE!J392=0,"",SALE!J392)</f>
        <v/>
      </c>
    </row>
    <row r="389" spans="1:10">
      <c r="A389">
        <f>IF(SALE!A393=0,"",SALE!A393)</f>
        <v>388</v>
      </c>
      <c r="B389" t="str">
        <f>IF(SALE!B393=0,"",SALE!B393)</f>
        <v/>
      </c>
      <c r="C389" t="str">
        <f>IF(SALE!C393=0,"",SALE!C393)</f>
        <v/>
      </c>
      <c r="D389" t="str">
        <f>IF(SALE!D393=0,"",SALE!D393)</f>
        <v/>
      </c>
      <c r="E389" s="10" t="str">
        <f>IF(SALE!E393=0,"",SALE!E393)</f>
        <v/>
      </c>
      <c r="F389" s="10" t="str">
        <f>IF(SALE!F393=0,"",SALE!F393)</f>
        <v/>
      </c>
      <c r="G389" s="2" t="str">
        <f>IF(SALE!G393=0,"",SALE!G393)</f>
        <v/>
      </c>
      <c r="H389" t="str">
        <f>IF(SALE!H393=0,"",SALE!H393)</f>
        <v/>
      </c>
      <c r="I389" t="str">
        <f>IF(SALE!I393=0,"",SALE!I393)</f>
        <v/>
      </c>
      <c r="J389" t="str">
        <f>IF(SALE!J393=0,"",SALE!J393)</f>
        <v/>
      </c>
    </row>
    <row r="390" spans="1:10">
      <c r="A390">
        <f>IF(SALE!A394=0,"",SALE!A394)</f>
        <v>389</v>
      </c>
      <c r="B390" t="str">
        <f>IF(SALE!B394=0,"",SALE!B394)</f>
        <v/>
      </c>
      <c r="C390" t="str">
        <f>IF(SALE!C394=0,"",SALE!C394)</f>
        <v/>
      </c>
      <c r="D390" t="str">
        <f>IF(SALE!D394=0,"",SALE!D394)</f>
        <v/>
      </c>
      <c r="E390" s="10" t="str">
        <f>IF(SALE!E394=0,"",SALE!E394)</f>
        <v/>
      </c>
      <c r="F390" s="10" t="str">
        <f>IF(SALE!F394=0,"",SALE!F394)</f>
        <v/>
      </c>
      <c r="G390" s="2" t="str">
        <f>IF(SALE!G394=0,"",SALE!G394)</f>
        <v/>
      </c>
      <c r="H390" t="str">
        <f>IF(SALE!H394=0,"",SALE!H394)</f>
        <v/>
      </c>
      <c r="I390" t="str">
        <f>IF(SALE!I394=0,"",SALE!I394)</f>
        <v/>
      </c>
      <c r="J390" t="str">
        <f>IF(SALE!J394=0,"",SALE!J394)</f>
        <v/>
      </c>
    </row>
    <row r="391" spans="1:10">
      <c r="A391">
        <f>IF(SALE!A395=0,"",SALE!A395)</f>
        <v>390</v>
      </c>
      <c r="B391" t="str">
        <f>IF(SALE!B395=0,"",SALE!B395)</f>
        <v/>
      </c>
      <c r="C391" t="str">
        <f>IF(SALE!C395=0,"",SALE!C395)</f>
        <v/>
      </c>
      <c r="D391" t="str">
        <f>IF(SALE!D395=0,"",SALE!D395)</f>
        <v/>
      </c>
      <c r="E391" s="10" t="str">
        <f>IF(SALE!E395=0,"",SALE!E395)</f>
        <v/>
      </c>
      <c r="F391" s="10" t="str">
        <f>IF(SALE!F395=0,"",SALE!F395)</f>
        <v/>
      </c>
      <c r="G391" s="2" t="str">
        <f>IF(SALE!G395=0,"",SALE!G395)</f>
        <v/>
      </c>
      <c r="H391" t="str">
        <f>IF(SALE!H395=0,"",SALE!H395)</f>
        <v/>
      </c>
      <c r="I391" t="str">
        <f>IF(SALE!I395=0,"",SALE!I395)</f>
        <v/>
      </c>
      <c r="J391" t="str">
        <f>IF(SALE!J395=0,"",SALE!J395)</f>
        <v/>
      </c>
    </row>
    <row r="392" spans="1:10">
      <c r="A392">
        <f>IF(SALE!A396=0,"",SALE!A396)</f>
        <v>391</v>
      </c>
      <c r="B392" t="str">
        <f>IF(SALE!B396=0,"",SALE!B396)</f>
        <v/>
      </c>
      <c r="C392" t="str">
        <f>IF(SALE!C396=0,"",SALE!C396)</f>
        <v/>
      </c>
      <c r="D392" t="str">
        <f>IF(SALE!D396=0,"",SALE!D396)</f>
        <v/>
      </c>
      <c r="E392" s="10" t="str">
        <f>IF(SALE!E396=0,"",SALE!E396)</f>
        <v/>
      </c>
      <c r="F392" s="10" t="str">
        <f>IF(SALE!F396=0,"",SALE!F396)</f>
        <v/>
      </c>
      <c r="G392" s="2" t="str">
        <f>IF(SALE!G396=0,"",SALE!G396)</f>
        <v/>
      </c>
      <c r="H392" t="str">
        <f>IF(SALE!H396=0,"",SALE!H396)</f>
        <v/>
      </c>
      <c r="I392" t="str">
        <f>IF(SALE!I396=0,"",SALE!I396)</f>
        <v/>
      </c>
      <c r="J392" t="str">
        <f>IF(SALE!J396=0,"",SALE!J396)</f>
        <v/>
      </c>
    </row>
    <row r="393" spans="1:10">
      <c r="A393">
        <f>IF(SALE!A397=0,"",SALE!A397)</f>
        <v>392</v>
      </c>
      <c r="B393" t="str">
        <f>IF(SALE!B397=0,"",SALE!B397)</f>
        <v/>
      </c>
      <c r="C393" t="str">
        <f>IF(SALE!C397=0,"",SALE!C397)</f>
        <v/>
      </c>
      <c r="D393" t="str">
        <f>IF(SALE!D397=0,"",SALE!D397)</f>
        <v/>
      </c>
      <c r="E393" s="10" t="str">
        <f>IF(SALE!E397=0,"",SALE!E397)</f>
        <v/>
      </c>
      <c r="F393" s="10" t="str">
        <f>IF(SALE!F397=0,"",SALE!F397)</f>
        <v/>
      </c>
      <c r="G393" s="2" t="str">
        <f>IF(SALE!G397=0,"",SALE!G397)</f>
        <v/>
      </c>
      <c r="H393" t="str">
        <f>IF(SALE!H397=0,"",SALE!H397)</f>
        <v/>
      </c>
      <c r="I393" t="str">
        <f>IF(SALE!I397=0,"",SALE!I397)</f>
        <v/>
      </c>
      <c r="J393" t="str">
        <f>IF(SALE!J397=0,"",SALE!J397)</f>
        <v/>
      </c>
    </row>
    <row r="394" spans="1:10">
      <c r="A394">
        <f>IF(SALE!A398=0,"",SALE!A398)</f>
        <v>393</v>
      </c>
      <c r="B394" t="str">
        <f>IF(SALE!B398=0,"",SALE!B398)</f>
        <v/>
      </c>
      <c r="C394" t="str">
        <f>IF(SALE!C398=0,"",SALE!C398)</f>
        <v/>
      </c>
      <c r="D394" t="str">
        <f>IF(SALE!D398=0,"",SALE!D398)</f>
        <v/>
      </c>
      <c r="E394" s="10" t="str">
        <f>IF(SALE!E398=0,"",SALE!E398)</f>
        <v/>
      </c>
      <c r="F394" s="10" t="str">
        <f>IF(SALE!F398=0,"",SALE!F398)</f>
        <v/>
      </c>
      <c r="G394" s="2" t="str">
        <f>IF(SALE!G398=0,"",SALE!G398)</f>
        <v/>
      </c>
      <c r="H394" t="str">
        <f>IF(SALE!H398=0,"",SALE!H398)</f>
        <v/>
      </c>
      <c r="I394" t="str">
        <f>IF(SALE!I398=0,"",SALE!I398)</f>
        <v/>
      </c>
      <c r="J394" t="str">
        <f>IF(SALE!J398=0,"",SALE!J398)</f>
        <v/>
      </c>
    </row>
    <row r="395" spans="1:10">
      <c r="A395">
        <f>IF(SALE!A399=0,"",SALE!A399)</f>
        <v>394</v>
      </c>
      <c r="B395" t="str">
        <f>IF(SALE!B399=0,"",SALE!B399)</f>
        <v/>
      </c>
      <c r="C395" t="str">
        <f>IF(SALE!C399=0,"",SALE!C399)</f>
        <v/>
      </c>
      <c r="D395" t="str">
        <f>IF(SALE!D399=0,"",SALE!D399)</f>
        <v/>
      </c>
      <c r="E395" s="10" t="str">
        <f>IF(SALE!E399=0,"",SALE!E399)</f>
        <v/>
      </c>
      <c r="F395" s="10" t="str">
        <f>IF(SALE!F399=0,"",SALE!F399)</f>
        <v/>
      </c>
      <c r="G395" s="2" t="str">
        <f>IF(SALE!G399=0,"",SALE!G399)</f>
        <v/>
      </c>
      <c r="H395" t="str">
        <f>IF(SALE!H399=0,"",SALE!H399)</f>
        <v/>
      </c>
      <c r="I395" t="str">
        <f>IF(SALE!I399=0,"",SALE!I399)</f>
        <v/>
      </c>
      <c r="J395" t="str">
        <f>IF(SALE!J399=0,"",SALE!J399)</f>
        <v/>
      </c>
    </row>
    <row r="396" spans="1:10">
      <c r="A396">
        <f>IF(SALE!A400=0,"",SALE!A400)</f>
        <v>395</v>
      </c>
      <c r="B396" t="str">
        <f>IF(SALE!B400=0,"",SALE!B400)</f>
        <v/>
      </c>
      <c r="C396" t="str">
        <f>IF(SALE!C400=0,"",SALE!C400)</f>
        <v/>
      </c>
      <c r="D396" t="str">
        <f>IF(SALE!D400=0,"",SALE!D400)</f>
        <v/>
      </c>
      <c r="E396" s="10" t="str">
        <f>IF(SALE!E400=0,"",SALE!E400)</f>
        <v/>
      </c>
      <c r="F396" s="10" t="str">
        <f>IF(SALE!F400=0,"",SALE!F400)</f>
        <v/>
      </c>
      <c r="G396" s="2" t="str">
        <f>IF(SALE!G400=0,"",SALE!G400)</f>
        <v/>
      </c>
      <c r="H396" t="str">
        <f>IF(SALE!H400=0,"",SALE!H400)</f>
        <v/>
      </c>
      <c r="I396" t="str">
        <f>IF(SALE!I400=0,"",SALE!I400)</f>
        <v/>
      </c>
      <c r="J396" t="str">
        <f>IF(SALE!J400=0,"",SALE!J400)</f>
        <v/>
      </c>
    </row>
    <row r="397" spans="1:10">
      <c r="A397">
        <f>IF(SALE!A401=0,"",SALE!A401)</f>
        <v>396</v>
      </c>
      <c r="B397" t="str">
        <f>IF(SALE!B401=0,"",SALE!B401)</f>
        <v/>
      </c>
      <c r="C397" t="str">
        <f>IF(SALE!C401=0,"",SALE!C401)</f>
        <v/>
      </c>
      <c r="D397" t="str">
        <f>IF(SALE!D401=0,"",SALE!D401)</f>
        <v/>
      </c>
      <c r="E397" s="10" t="str">
        <f>IF(SALE!E401=0,"",SALE!E401)</f>
        <v/>
      </c>
      <c r="F397" s="10" t="str">
        <f>IF(SALE!F401=0,"",SALE!F401)</f>
        <v/>
      </c>
      <c r="G397" s="2" t="str">
        <f>IF(SALE!G401=0,"",SALE!G401)</f>
        <v/>
      </c>
      <c r="H397" t="str">
        <f>IF(SALE!H401=0,"",SALE!H401)</f>
        <v/>
      </c>
      <c r="I397" t="str">
        <f>IF(SALE!I401=0,"",SALE!I401)</f>
        <v/>
      </c>
      <c r="J397" t="str">
        <f>IF(SALE!J401=0,"",SALE!J401)</f>
        <v/>
      </c>
    </row>
    <row r="398" spans="1:10">
      <c r="A398">
        <f>IF(SALE!A402=0,"",SALE!A402)</f>
        <v>397</v>
      </c>
      <c r="B398" t="str">
        <f>IF(SALE!B402=0,"",SALE!B402)</f>
        <v/>
      </c>
      <c r="C398" t="str">
        <f>IF(SALE!C402=0,"",SALE!C402)</f>
        <v/>
      </c>
      <c r="D398" t="str">
        <f>IF(SALE!D402=0,"",SALE!D402)</f>
        <v/>
      </c>
      <c r="E398" s="10" t="str">
        <f>IF(SALE!E402=0,"",SALE!E402)</f>
        <v/>
      </c>
      <c r="F398" s="10" t="str">
        <f>IF(SALE!F402=0,"",SALE!F402)</f>
        <v/>
      </c>
      <c r="G398" s="2" t="str">
        <f>IF(SALE!G402=0,"",SALE!G402)</f>
        <v/>
      </c>
      <c r="H398" t="str">
        <f>IF(SALE!H402=0,"",SALE!H402)</f>
        <v/>
      </c>
      <c r="I398" t="str">
        <f>IF(SALE!I402=0,"",SALE!I402)</f>
        <v/>
      </c>
      <c r="J398" t="str">
        <f>IF(SALE!J402=0,"",SALE!J402)</f>
        <v/>
      </c>
    </row>
    <row r="399" spans="1:10">
      <c r="A399">
        <f>IF(SALE!A403=0,"",SALE!A403)</f>
        <v>398</v>
      </c>
      <c r="B399" t="str">
        <f>IF(SALE!B403=0,"",SALE!B403)</f>
        <v/>
      </c>
      <c r="C399" t="str">
        <f>IF(SALE!C403=0,"",SALE!C403)</f>
        <v/>
      </c>
      <c r="D399" t="str">
        <f>IF(SALE!D403=0,"",SALE!D403)</f>
        <v/>
      </c>
      <c r="E399" s="10" t="str">
        <f>IF(SALE!E403=0,"",SALE!E403)</f>
        <v/>
      </c>
      <c r="F399" s="10" t="str">
        <f>IF(SALE!F403=0,"",SALE!F403)</f>
        <v/>
      </c>
      <c r="G399" s="2" t="str">
        <f>IF(SALE!G403=0,"",SALE!G403)</f>
        <v/>
      </c>
      <c r="H399" t="str">
        <f>IF(SALE!H403=0,"",SALE!H403)</f>
        <v/>
      </c>
      <c r="I399" t="str">
        <f>IF(SALE!I403=0,"",SALE!I403)</f>
        <v/>
      </c>
      <c r="J399" t="str">
        <f>IF(SALE!J403=0,"",SALE!J403)</f>
        <v/>
      </c>
    </row>
    <row r="400" spans="1:10">
      <c r="A400">
        <f>IF(SALE!A404=0,"",SALE!A404)</f>
        <v>399</v>
      </c>
      <c r="B400" t="str">
        <f>IF(SALE!B404=0,"",SALE!B404)</f>
        <v/>
      </c>
      <c r="C400" t="str">
        <f>IF(SALE!C404=0,"",SALE!C404)</f>
        <v/>
      </c>
      <c r="D400" t="str">
        <f>IF(SALE!D404=0,"",SALE!D404)</f>
        <v/>
      </c>
      <c r="E400" s="10" t="str">
        <f>IF(SALE!E404=0,"",SALE!E404)</f>
        <v/>
      </c>
      <c r="F400" s="10" t="str">
        <f>IF(SALE!F404=0,"",SALE!F404)</f>
        <v/>
      </c>
      <c r="G400" s="2" t="str">
        <f>IF(SALE!G404=0,"",SALE!G404)</f>
        <v/>
      </c>
      <c r="H400" t="str">
        <f>IF(SALE!H404=0,"",SALE!H404)</f>
        <v/>
      </c>
      <c r="I400" t="str">
        <f>IF(SALE!I404=0,"",SALE!I404)</f>
        <v/>
      </c>
      <c r="J400" t="str">
        <f>IF(SALE!J404=0,"",SALE!J404)</f>
        <v/>
      </c>
    </row>
    <row r="401" spans="1:10">
      <c r="A401">
        <f>IF(SALE!A405=0,"",SALE!A405)</f>
        <v>400</v>
      </c>
      <c r="B401" t="str">
        <f>IF(SALE!B405=0,"",SALE!B405)</f>
        <v/>
      </c>
      <c r="C401" t="str">
        <f>IF(SALE!C405=0,"",SALE!C405)</f>
        <v/>
      </c>
      <c r="D401" t="str">
        <f>IF(SALE!D405=0,"",SALE!D405)</f>
        <v/>
      </c>
      <c r="E401" s="10" t="str">
        <f>IF(SALE!E405=0,"",SALE!E405)</f>
        <v/>
      </c>
      <c r="F401" s="10" t="str">
        <f>IF(SALE!F405=0,"",SALE!F405)</f>
        <v/>
      </c>
      <c r="G401" s="2" t="str">
        <f>IF(SALE!G405=0,"",SALE!G405)</f>
        <v/>
      </c>
      <c r="H401" t="str">
        <f>IF(SALE!H405=0,"",SALE!H405)</f>
        <v/>
      </c>
      <c r="I401" t="str">
        <f>IF(SALE!I405=0,"",SALE!I405)</f>
        <v/>
      </c>
      <c r="J401" t="str">
        <f>IF(SALE!J405=0,"",SALE!J405)</f>
        <v/>
      </c>
    </row>
    <row r="402" spans="1:10">
      <c r="A402">
        <f>IF(SALE!A406=0,"",SALE!A406)</f>
        <v>401</v>
      </c>
      <c r="B402" t="str">
        <f>IF(SALE!B406=0,"",SALE!B406)</f>
        <v/>
      </c>
      <c r="C402" t="str">
        <f>IF(SALE!C406=0,"",SALE!C406)</f>
        <v/>
      </c>
      <c r="D402" t="str">
        <f>IF(SALE!D406=0,"",SALE!D406)</f>
        <v/>
      </c>
      <c r="E402" s="10" t="str">
        <f>IF(SALE!E406=0,"",SALE!E406)</f>
        <v/>
      </c>
      <c r="F402" s="10" t="str">
        <f>IF(SALE!F406=0,"",SALE!F406)</f>
        <v/>
      </c>
      <c r="G402" s="2" t="str">
        <f>IF(SALE!G406=0,"",SALE!G406)</f>
        <v/>
      </c>
      <c r="H402" t="str">
        <f>IF(SALE!H406=0,"",SALE!H406)</f>
        <v/>
      </c>
      <c r="I402" t="str">
        <f>IF(SALE!I406=0,"",SALE!I406)</f>
        <v/>
      </c>
      <c r="J402" t="str">
        <f>IF(SALE!J406=0,"",SALE!J406)</f>
        <v/>
      </c>
    </row>
    <row r="403" spans="1:10">
      <c r="A403">
        <f>IF(SALE!A407=0,"",SALE!A407)</f>
        <v>402</v>
      </c>
      <c r="B403" t="str">
        <f>IF(SALE!B407=0,"",SALE!B407)</f>
        <v/>
      </c>
      <c r="C403" t="str">
        <f>IF(SALE!C407=0,"",SALE!C407)</f>
        <v/>
      </c>
      <c r="D403" t="str">
        <f>IF(SALE!D407=0,"",SALE!D407)</f>
        <v/>
      </c>
      <c r="E403" s="10" t="str">
        <f>IF(SALE!E407=0,"",SALE!E407)</f>
        <v/>
      </c>
      <c r="F403" s="10" t="str">
        <f>IF(SALE!F407=0,"",SALE!F407)</f>
        <v/>
      </c>
      <c r="G403" s="2" t="str">
        <f>IF(SALE!G407=0,"",SALE!G407)</f>
        <v/>
      </c>
      <c r="H403" t="str">
        <f>IF(SALE!H407=0,"",SALE!H407)</f>
        <v/>
      </c>
      <c r="I403" t="str">
        <f>IF(SALE!I407=0,"",SALE!I407)</f>
        <v/>
      </c>
      <c r="J403" t="str">
        <f>IF(SALE!J407=0,"",SALE!J407)</f>
        <v/>
      </c>
    </row>
    <row r="404" spans="1:10">
      <c r="A404">
        <f>IF(SALE!A408=0,"",SALE!A408)</f>
        <v>403</v>
      </c>
      <c r="B404" t="str">
        <f>IF(SALE!B408=0,"",SALE!B408)</f>
        <v/>
      </c>
      <c r="C404" t="str">
        <f>IF(SALE!C408=0,"",SALE!C408)</f>
        <v/>
      </c>
      <c r="D404" t="str">
        <f>IF(SALE!D408=0,"",SALE!D408)</f>
        <v/>
      </c>
      <c r="E404" s="10" t="str">
        <f>IF(SALE!E408=0,"",SALE!E408)</f>
        <v/>
      </c>
      <c r="F404" s="10" t="str">
        <f>IF(SALE!F408=0,"",SALE!F408)</f>
        <v/>
      </c>
      <c r="G404" s="2" t="str">
        <f>IF(SALE!G408=0,"",SALE!G408)</f>
        <v/>
      </c>
      <c r="H404" t="str">
        <f>IF(SALE!H408=0,"",SALE!H408)</f>
        <v/>
      </c>
      <c r="I404" t="str">
        <f>IF(SALE!I408=0,"",SALE!I408)</f>
        <v/>
      </c>
      <c r="J404" t="str">
        <f>IF(SALE!J408=0,"",SALE!J408)</f>
        <v/>
      </c>
    </row>
    <row r="405" spans="1:10">
      <c r="A405">
        <f>IF(SALE!A409=0,"",SALE!A409)</f>
        <v>404</v>
      </c>
      <c r="B405" t="str">
        <f>IF(SALE!B409=0,"",SALE!B409)</f>
        <v/>
      </c>
      <c r="C405" t="str">
        <f>IF(SALE!C409=0,"",SALE!C409)</f>
        <v/>
      </c>
      <c r="D405" t="str">
        <f>IF(SALE!D409=0,"",SALE!D409)</f>
        <v/>
      </c>
      <c r="E405" s="10" t="str">
        <f>IF(SALE!E409=0,"",SALE!E409)</f>
        <v/>
      </c>
      <c r="F405" s="10" t="str">
        <f>IF(SALE!F409=0,"",SALE!F409)</f>
        <v/>
      </c>
      <c r="G405" s="2" t="str">
        <f>IF(SALE!G409=0,"",SALE!G409)</f>
        <v/>
      </c>
      <c r="H405" t="str">
        <f>IF(SALE!H409=0,"",SALE!H409)</f>
        <v/>
      </c>
      <c r="I405" t="str">
        <f>IF(SALE!I409=0,"",SALE!I409)</f>
        <v/>
      </c>
      <c r="J405" t="str">
        <f>IF(SALE!J409=0,"",SALE!J409)</f>
        <v/>
      </c>
    </row>
    <row r="406" spans="1:10">
      <c r="A406">
        <f>IF(SALE!A410=0,"",SALE!A410)</f>
        <v>405</v>
      </c>
      <c r="B406" t="str">
        <f>IF(SALE!B410=0,"",SALE!B410)</f>
        <v/>
      </c>
      <c r="C406" t="str">
        <f>IF(SALE!C410=0,"",SALE!C410)</f>
        <v/>
      </c>
      <c r="D406" t="str">
        <f>IF(SALE!D410=0,"",SALE!D410)</f>
        <v/>
      </c>
      <c r="E406" s="10" t="str">
        <f>IF(SALE!E410=0,"",SALE!E410)</f>
        <v/>
      </c>
      <c r="F406" s="10" t="str">
        <f>IF(SALE!F410=0,"",SALE!F410)</f>
        <v/>
      </c>
      <c r="G406" s="2" t="str">
        <f>IF(SALE!G410=0,"",SALE!G410)</f>
        <v/>
      </c>
      <c r="H406" t="str">
        <f>IF(SALE!H410=0,"",SALE!H410)</f>
        <v/>
      </c>
      <c r="I406" t="str">
        <f>IF(SALE!I410=0,"",SALE!I410)</f>
        <v/>
      </c>
      <c r="J406" t="str">
        <f>IF(SALE!J410=0,"",SALE!J410)</f>
        <v/>
      </c>
    </row>
    <row r="407" spans="1:10">
      <c r="A407">
        <f>IF(SALE!A411=0,"",SALE!A411)</f>
        <v>406</v>
      </c>
      <c r="B407" t="str">
        <f>IF(SALE!B411=0,"",SALE!B411)</f>
        <v/>
      </c>
      <c r="C407" t="str">
        <f>IF(SALE!C411=0,"",SALE!C411)</f>
        <v/>
      </c>
      <c r="D407" t="str">
        <f>IF(SALE!D411=0,"",SALE!D411)</f>
        <v/>
      </c>
      <c r="E407" s="10" t="str">
        <f>IF(SALE!E411=0,"",SALE!E411)</f>
        <v/>
      </c>
      <c r="F407" s="10" t="str">
        <f>IF(SALE!F411=0,"",SALE!F411)</f>
        <v/>
      </c>
      <c r="G407" s="2" t="str">
        <f>IF(SALE!G411=0,"",SALE!G411)</f>
        <v/>
      </c>
      <c r="H407" t="str">
        <f>IF(SALE!H411=0,"",SALE!H411)</f>
        <v/>
      </c>
      <c r="I407" t="str">
        <f>IF(SALE!I411=0,"",SALE!I411)</f>
        <v/>
      </c>
      <c r="J407" t="str">
        <f>IF(SALE!J411=0,"",SALE!J411)</f>
        <v/>
      </c>
    </row>
    <row r="408" spans="1:10">
      <c r="A408">
        <f>IF(SALE!A412=0,"",SALE!A412)</f>
        <v>407</v>
      </c>
      <c r="B408" t="str">
        <f>IF(SALE!B412=0,"",SALE!B412)</f>
        <v/>
      </c>
      <c r="C408" t="str">
        <f>IF(SALE!C412=0,"",SALE!C412)</f>
        <v/>
      </c>
      <c r="D408" t="str">
        <f>IF(SALE!D412=0,"",SALE!D412)</f>
        <v/>
      </c>
      <c r="E408" s="10" t="str">
        <f>IF(SALE!E412=0,"",SALE!E412)</f>
        <v/>
      </c>
      <c r="F408" s="10" t="str">
        <f>IF(SALE!F412=0,"",SALE!F412)</f>
        <v/>
      </c>
      <c r="G408" s="2" t="str">
        <f>IF(SALE!G412=0,"",SALE!G412)</f>
        <v/>
      </c>
      <c r="H408" t="str">
        <f>IF(SALE!H412=0,"",SALE!H412)</f>
        <v/>
      </c>
      <c r="I408" t="str">
        <f>IF(SALE!I412=0,"",SALE!I412)</f>
        <v/>
      </c>
      <c r="J408" t="str">
        <f>IF(SALE!J412=0,"",SALE!J412)</f>
        <v/>
      </c>
    </row>
    <row r="409" spans="1:10">
      <c r="A409">
        <f>IF(SALE!A413=0,"",SALE!A413)</f>
        <v>408</v>
      </c>
      <c r="B409" t="str">
        <f>IF(SALE!B413=0,"",SALE!B413)</f>
        <v/>
      </c>
      <c r="C409" t="str">
        <f>IF(SALE!C413=0,"",SALE!C413)</f>
        <v/>
      </c>
      <c r="D409" t="str">
        <f>IF(SALE!D413=0,"",SALE!D413)</f>
        <v/>
      </c>
      <c r="E409" s="10" t="str">
        <f>IF(SALE!E413=0,"",SALE!E413)</f>
        <v/>
      </c>
      <c r="F409" s="10" t="str">
        <f>IF(SALE!F413=0,"",SALE!F413)</f>
        <v/>
      </c>
      <c r="G409" s="2" t="str">
        <f>IF(SALE!G413=0,"",SALE!G413)</f>
        <v/>
      </c>
      <c r="H409" t="str">
        <f>IF(SALE!H413=0,"",SALE!H413)</f>
        <v/>
      </c>
      <c r="I409" t="str">
        <f>IF(SALE!I413=0,"",SALE!I413)</f>
        <v/>
      </c>
      <c r="J409" t="str">
        <f>IF(SALE!J413=0,"",SALE!J413)</f>
        <v/>
      </c>
    </row>
    <row r="410" spans="1:10">
      <c r="A410">
        <f>IF(SALE!A414=0,"",SALE!A414)</f>
        <v>409</v>
      </c>
      <c r="B410" t="str">
        <f>IF(SALE!B414=0,"",SALE!B414)</f>
        <v/>
      </c>
      <c r="C410" t="str">
        <f>IF(SALE!C414=0,"",SALE!C414)</f>
        <v/>
      </c>
      <c r="D410" t="str">
        <f>IF(SALE!D414=0,"",SALE!D414)</f>
        <v/>
      </c>
      <c r="E410" s="10" t="str">
        <f>IF(SALE!E414=0,"",SALE!E414)</f>
        <v/>
      </c>
      <c r="F410" s="10" t="str">
        <f>IF(SALE!F414=0,"",SALE!F414)</f>
        <v/>
      </c>
      <c r="G410" s="2" t="str">
        <f>IF(SALE!G414=0,"",SALE!G414)</f>
        <v/>
      </c>
      <c r="H410" t="str">
        <f>IF(SALE!H414=0,"",SALE!H414)</f>
        <v/>
      </c>
      <c r="I410" t="str">
        <f>IF(SALE!I414=0,"",SALE!I414)</f>
        <v/>
      </c>
      <c r="J410" t="str">
        <f>IF(SALE!J414=0,"",SALE!J414)</f>
        <v/>
      </c>
    </row>
    <row r="411" spans="1:10">
      <c r="A411">
        <f>IF(SALE!A415=0,"",SALE!A415)</f>
        <v>410</v>
      </c>
      <c r="B411" t="str">
        <f>IF(SALE!B415=0,"",SALE!B415)</f>
        <v/>
      </c>
      <c r="C411" t="str">
        <f>IF(SALE!C415=0,"",SALE!C415)</f>
        <v/>
      </c>
      <c r="D411" t="str">
        <f>IF(SALE!D415=0,"",SALE!D415)</f>
        <v/>
      </c>
      <c r="E411" s="10" t="str">
        <f>IF(SALE!E415=0,"",SALE!E415)</f>
        <v/>
      </c>
      <c r="F411" s="10" t="str">
        <f>IF(SALE!F415=0,"",SALE!F415)</f>
        <v/>
      </c>
      <c r="G411" s="2" t="str">
        <f>IF(SALE!G415=0,"",SALE!G415)</f>
        <v/>
      </c>
      <c r="H411" t="str">
        <f>IF(SALE!H415=0,"",SALE!H415)</f>
        <v/>
      </c>
      <c r="I411" t="str">
        <f>IF(SALE!I415=0,"",SALE!I415)</f>
        <v/>
      </c>
      <c r="J411" t="str">
        <f>IF(SALE!J415=0,"",SALE!J415)</f>
        <v/>
      </c>
    </row>
    <row r="412" spans="1:10">
      <c r="A412">
        <f>IF(SALE!A416=0,"",SALE!A416)</f>
        <v>411</v>
      </c>
      <c r="B412" t="str">
        <f>IF(SALE!B416=0,"",SALE!B416)</f>
        <v/>
      </c>
      <c r="C412" t="str">
        <f>IF(SALE!C416=0,"",SALE!C416)</f>
        <v/>
      </c>
      <c r="D412" t="str">
        <f>IF(SALE!D416=0,"",SALE!D416)</f>
        <v/>
      </c>
      <c r="E412" s="10" t="str">
        <f>IF(SALE!E416=0,"",SALE!E416)</f>
        <v/>
      </c>
      <c r="F412" s="10" t="str">
        <f>IF(SALE!F416=0,"",SALE!F416)</f>
        <v/>
      </c>
      <c r="G412" s="2" t="str">
        <f>IF(SALE!G416=0,"",SALE!G416)</f>
        <v/>
      </c>
      <c r="H412" t="str">
        <f>IF(SALE!H416=0,"",SALE!H416)</f>
        <v/>
      </c>
      <c r="I412" t="str">
        <f>IF(SALE!I416=0,"",SALE!I416)</f>
        <v/>
      </c>
      <c r="J412" t="str">
        <f>IF(SALE!J416=0,"",SALE!J416)</f>
        <v/>
      </c>
    </row>
    <row r="413" spans="1:10">
      <c r="A413">
        <f>IF(SALE!A417=0,"",SALE!A417)</f>
        <v>412</v>
      </c>
      <c r="B413" t="str">
        <f>IF(SALE!B417=0,"",SALE!B417)</f>
        <v/>
      </c>
      <c r="C413" t="str">
        <f>IF(SALE!C417=0,"",SALE!C417)</f>
        <v/>
      </c>
      <c r="D413" t="str">
        <f>IF(SALE!D417=0,"",SALE!D417)</f>
        <v/>
      </c>
      <c r="E413" s="10" t="str">
        <f>IF(SALE!E417=0,"",SALE!E417)</f>
        <v/>
      </c>
      <c r="F413" s="10" t="str">
        <f>IF(SALE!F417=0,"",SALE!F417)</f>
        <v/>
      </c>
      <c r="G413" s="2" t="str">
        <f>IF(SALE!G417=0,"",SALE!G417)</f>
        <v/>
      </c>
      <c r="H413" t="str">
        <f>IF(SALE!H417=0,"",SALE!H417)</f>
        <v/>
      </c>
      <c r="I413" t="str">
        <f>IF(SALE!I417=0,"",SALE!I417)</f>
        <v/>
      </c>
      <c r="J413" t="str">
        <f>IF(SALE!J417=0,"",SALE!J417)</f>
        <v/>
      </c>
    </row>
    <row r="414" spans="1:10">
      <c r="A414">
        <f>IF(SALE!A418=0,"",SALE!A418)</f>
        <v>413</v>
      </c>
      <c r="B414" t="str">
        <f>IF(SALE!B418=0,"",SALE!B418)</f>
        <v/>
      </c>
      <c r="C414" t="str">
        <f>IF(SALE!C418=0,"",SALE!C418)</f>
        <v/>
      </c>
      <c r="D414" t="str">
        <f>IF(SALE!D418=0,"",SALE!D418)</f>
        <v/>
      </c>
      <c r="E414" s="10" t="str">
        <f>IF(SALE!E418=0,"",SALE!E418)</f>
        <v/>
      </c>
      <c r="F414" s="10" t="str">
        <f>IF(SALE!F418=0,"",SALE!F418)</f>
        <v/>
      </c>
      <c r="G414" s="2" t="str">
        <f>IF(SALE!G418=0,"",SALE!G418)</f>
        <v/>
      </c>
      <c r="H414" t="str">
        <f>IF(SALE!H418=0,"",SALE!H418)</f>
        <v/>
      </c>
      <c r="I414" t="str">
        <f>IF(SALE!I418=0,"",SALE!I418)</f>
        <v/>
      </c>
      <c r="J414" t="str">
        <f>IF(SALE!J418=0,"",SALE!J418)</f>
        <v/>
      </c>
    </row>
    <row r="415" spans="1:10">
      <c r="A415">
        <f>IF(SALE!A419=0,"",SALE!A419)</f>
        <v>414</v>
      </c>
      <c r="B415" t="str">
        <f>IF(SALE!B419=0,"",SALE!B419)</f>
        <v/>
      </c>
      <c r="C415" t="str">
        <f>IF(SALE!C419=0,"",SALE!C419)</f>
        <v/>
      </c>
      <c r="D415" t="str">
        <f>IF(SALE!D419=0,"",SALE!D419)</f>
        <v/>
      </c>
      <c r="E415" s="10" t="str">
        <f>IF(SALE!E419=0,"",SALE!E419)</f>
        <v/>
      </c>
      <c r="F415" s="10" t="str">
        <f>IF(SALE!F419=0,"",SALE!F419)</f>
        <v/>
      </c>
      <c r="G415" s="2" t="str">
        <f>IF(SALE!G419=0,"",SALE!G419)</f>
        <v/>
      </c>
      <c r="H415" t="str">
        <f>IF(SALE!H419=0,"",SALE!H419)</f>
        <v/>
      </c>
      <c r="I415" t="str">
        <f>IF(SALE!I419=0,"",SALE!I419)</f>
        <v/>
      </c>
      <c r="J415" t="str">
        <f>IF(SALE!J419=0,"",SALE!J419)</f>
        <v/>
      </c>
    </row>
    <row r="416" spans="1:10">
      <c r="A416">
        <f>IF(SALE!A420=0,"",SALE!A420)</f>
        <v>415</v>
      </c>
      <c r="B416" t="str">
        <f>IF(SALE!B420=0,"",SALE!B420)</f>
        <v/>
      </c>
      <c r="C416" t="str">
        <f>IF(SALE!C420=0,"",SALE!C420)</f>
        <v/>
      </c>
      <c r="D416" t="str">
        <f>IF(SALE!D420=0,"",SALE!D420)</f>
        <v/>
      </c>
      <c r="E416" s="10" t="str">
        <f>IF(SALE!E420=0,"",SALE!E420)</f>
        <v/>
      </c>
      <c r="F416" s="10" t="str">
        <f>IF(SALE!F420=0,"",SALE!F420)</f>
        <v/>
      </c>
      <c r="G416" s="2" t="str">
        <f>IF(SALE!G420=0,"",SALE!G420)</f>
        <v/>
      </c>
      <c r="H416" t="str">
        <f>IF(SALE!H420=0,"",SALE!H420)</f>
        <v/>
      </c>
      <c r="I416" t="str">
        <f>IF(SALE!I420=0,"",SALE!I420)</f>
        <v/>
      </c>
      <c r="J416" t="str">
        <f>IF(SALE!J420=0,"",SALE!J420)</f>
        <v/>
      </c>
    </row>
    <row r="417" spans="1:10">
      <c r="A417">
        <f>IF(SALE!A421=0,"",SALE!A421)</f>
        <v>416</v>
      </c>
      <c r="B417" t="str">
        <f>IF(SALE!B421=0,"",SALE!B421)</f>
        <v/>
      </c>
      <c r="C417" t="str">
        <f>IF(SALE!C421=0,"",SALE!C421)</f>
        <v/>
      </c>
      <c r="D417" t="str">
        <f>IF(SALE!D421=0,"",SALE!D421)</f>
        <v/>
      </c>
      <c r="E417" s="10" t="str">
        <f>IF(SALE!E421=0,"",SALE!E421)</f>
        <v/>
      </c>
      <c r="F417" s="10" t="str">
        <f>IF(SALE!F421=0,"",SALE!F421)</f>
        <v/>
      </c>
      <c r="G417" s="2" t="str">
        <f>IF(SALE!G421=0,"",SALE!G421)</f>
        <v/>
      </c>
      <c r="H417" t="str">
        <f>IF(SALE!H421=0,"",SALE!H421)</f>
        <v/>
      </c>
      <c r="I417" t="str">
        <f>IF(SALE!I421=0,"",SALE!I421)</f>
        <v/>
      </c>
      <c r="J417" t="str">
        <f>IF(SALE!J421=0,"",SALE!J421)</f>
        <v/>
      </c>
    </row>
    <row r="418" spans="1:10">
      <c r="A418">
        <f>IF(SALE!A422=0,"",SALE!A422)</f>
        <v>417</v>
      </c>
      <c r="B418" t="str">
        <f>IF(SALE!B422=0,"",SALE!B422)</f>
        <v/>
      </c>
      <c r="C418" t="str">
        <f>IF(SALE!C422=0,"",SALE!C422)</f>
        <v/>
      </c>
      <c r="D418" t="str">
        <f>IF(SALE!D422=0,"",SALE!D422)</f>
        <v/>
      </c>
      <c r="E418" s="10" t="str">
        <f>IF(SALE!E422=0,"",SALE!E422)</f>
        <v/>
      </c>
      <c r="F418" s="10" t="str">
        <f>IF(SALE!F422=0,"",SALE!F422)</f>
        <v/>
      </c>
      <c r="G418" s="2" t="str">
        <f>IF(SALE!G422=0,"",SALE!G422)</f>
        <v/>
      </c>
      <c r="H418" t="str">
        <f>IF(SALE!H422=0,"",SALE!H422)</f>
        <v/>
      </c>
      <c r="I418" t="str">
        <f>IF(SALE!I422=0,"",SALE!I422)</f>
        <v/>
      </c>
      <c r="J418" t="str">
        <f>IF(SALE!J422=0,"",SALE!J422)</f>
        <v/>
      </c>
    </row>
    <row r="419" spans="1:10">
      <c r="A419">
        <f>IF(SALE!A423=0,"",SALE!A423)</f>
        <v>418</v>
      </c>
      <c r="B419" t="str">
        <f>IF(SALE!B423=0,"",SALE!B423)</f>
        <v/>
      </c>
      <c r="C419" t="str">
        <f>IF(SALE!C423=0,"",SALE!C423)</f>
        <v/>
      </c>
      <c r="D419" t="str">
        <f>IF(SALE!D423=0,"",SALE!D423)</f>
        <v/>
      </c>
      <c r="E419" s="10" t="str">
        <f>IF(SALE!E423=0,"",SALE!E423)</f>
        <v/>
      </c>
      <c r="F419" s="10" t="str">
        <f>IF(SALE!F423=0,"",SALE!F423)</f>
        <v/>
      </c>
      <c r="G419" s="2" t="str">
        <f>IF(SALE!G423=0,"",SALE!G423)</f>
        <v/>
      </c>
      <c r="H419" t="str">
        <f>IF(SALE!H423=0,"",SALE!H423)</f>
        <v/>
      </c>
      <c r="I419" t="str">
        <f>IF(SALE!I423=0,"",SALE!I423)</f>
        <v/>
      </c>
      <c r="J419" t="str">
        <f>IF(SALE!J423=0,"",SALE!J423)</f>
        <v/>
      </c>
    </row>
    <row r="420" spans="1:10">
      <c r="A420">
        <f>IF(SALE!A424=0,"",SALE!A424)</f>
        <v>419</v>
      </c>
      <c r="B420" t="str">
        <f>IF(SALE!B424=0,"",SALE!B424)</f>
        <v/>
      </c>
      <c r="C420" t="str">
        <f>IF(SALE!C424=0,"",SALE!C424)</f>
        <v/>
      </c>
      <c r="D420" t="str">
        <f>IF(SALE!D424=0,"",SALE!D424)</f>
        <v/>
      </c>
      <c r="E420" s="10" t="str">
        <f>IF(SALE!E424=0,"",SALE!E424)</f>
        <v/>
      </c>
      <c r="F420" s="10" t="str">
        <f>IF(SALE!F424=0,"",SALE!F424)</f>
        <v/>
      </c>
      <c r="G420" s="2" t="str">
        <f>IF(SALE!G424=0,"",SALE!G424)</f>
        <v/>
      </c>
      <c r="H420" t="str">
        <f>IF(SALE!H424=0,"",SALE!H424)</f>
        <v/>
      </c>
      <c r="I420" t="str">
        <f>IF(SALE!I424=0,"",SALE!I424)</f>
        <v/>
      </c>
      <c r="J420" t="str">
        <f>IF(SALE!J424=0,"",SALE!J424)</f>
        <v/>
      </c>
    </row>
    <row r="421" spans="1:10">
      <c r="A421">
        <f>IF(SALE!A425=0,"",SALE!A425)</f>
        <v>420</v>
      </c>
      <c r="B421" t="str">
        <f>IF(SALE!B425=0,"",SALE!B425)</f>
        <v/>
      </c>
      <c r="C421" t="str">
        <f>IF(SALE!C425=0,"",SALE!C425)</f>
        <v/>
      </c>
      <c r="D421" t="str">
        <f>IF(SALE!D425=0,"",SALE!D425)</f>
        <v/>
      </c>
      <c r="E421" s="10" t="str">
        <f>IF(SALE!E425=0,"",SALE!E425)</f>
        <v/>
      </c>
      <c r="F421" s="10" t="str">
        <f>IF(SALE!F425=0,"",SALE!F425)</f>
        <v/>
      </c>
      <c r="G421" s="2" t="str">
        <f>IF(SALE!G425=0,"",SALE!G425)</f>
        <v/>
      </c>
      <c r="H421" t="str">
        <f>IF(SALE!H425=0,"",SALE!H425)</f>
        <v/>
      </c>
      <c r="I421" t="str">
        <f>IF(SALE!I425=0,"",SALE!I425)</f>
        <v/>
      </c>
      <c r="J421" t="str">
        <f>IF(SALE!J425=0,"",SALE!J425)</f>
        <v/>
      </c>
    </row>
    <row r="422" spans="1:10">
      <c r="A422">
        <f>IF(SALE!A426=0,"",SALE!A426)</f>
        <v>421</v>
      </c>
      <c r="B422" t="str">
        <f>IF(SALE!B426=0,"",SALE!B426)</f>
        <v/>
      </c>
      <c r="C422" t="str">
        <f>IF(SALE!C426=0,"",SALE!C426)</f>
        <v/>
      </c>
      <c r="D422" t="str">
        <f>IF(SALE!D426=0,"",SALE!D426)</f>
        <v/>
      </c>
      <c r="E422" s="10" t="str">
        <f>IF(SALE!E426=0,"",SALE!E426)</f>
        <v/>
      </c>
      <c r="F422" s="10" t="str">
        <f>IF(SALE!F426=0,"",SALE!F426)</f>
        <v/>
      </c>
      <c r="G422" s="2" t="str">
        <f>IF(SALE!G426=0,"",SALE!G426)</f>
        <v/>
      </c>
      <c r="H422" t="str">
        <f>IF(SALE!H426=0,"",SALE!H426)</f>
        <v/>
      </c>
      <c r="I422" t="str">
        <f>IF(SALE!I426=0,"",SALE!I426)</f>
        <v/>
      </c>
      <c r="J422" t="str">
        <f>IF(SALE!J426=0,"",SALE!J426)</f>
        <v/>
      </c>
    </row>
    <row r="423" spans="1:10">
      <c r="A423">
        <f>IF(SALE!A427=0,"",SALE!A427)</f>
        <v>422</v>
      </c>
      <c r="B423" t="str">
        <f>IF(SALE!B427=0,"",SALE!B427)</f>
        <v/>
      </c>
      <c r="C423" t="str">
        <f>IF(SALE!C427=0,"",SALE!C427)</f>
        <v/>
      </c>
      <c r="D423" t="str">
        <f>IF(SALE!D427=0,"",SALE!D427)</f>
        <v/>
      </c>
      <c r="E423" s="10" t="str">
        <f>IF(SALE!E427=0,"",SALE!E427)</f>
        <v/>
      </c>
      <c r="F423" s="10" t="str">
        <f>IF(SALE!F427=0,"",SALE!F427)</f>
        <v/>
      </c>
      <c r="G423" s="2" t="str">
        <f>IF(SALE!G427=0,"",SALE!G427)</f>
        <v/>
      </c>
      <c r="H423" t="str">
        <f>IF(SALE!H427=0,"",SALE!H427)</f>
        <v/>
      </c>
      <c r="I423" t="str">
        <f>IF(SALE!I427=0,"",SALE!I427)</f>
        <v/>
      </c>
      <c r="J423" t="str">
        <f>IF(SALE!J427=0,"",SALE!J427)</f>
        <v/>
      </c>
    </row>
    <row r="424" spans="1:10">
      <c r="A424">
        <f>IF(SALE!A428=0,"",SALE!A428)</f>
        <v>423</v>
      </c>
      <c r="B424" t="str">
        <f>IF(SALE!B428=0,"",SALE!B428)</f>
        <v/>
      </c>
      <c r="C424" t="str">
        <f>IF(SALE!C428=0,"",SALE!C428)</f>
        <v/>
      </c>
      <c r="D424" t="str">
        <f>IF(SALE!D428=0,"",SALE!D428)</f>
        <v/>
      </c>
      <c r="E424" s="10" t="str">
        <f>IF(SALE!E428=0,"",SALE!E428)</f>
        <v/>
      </c>
      <c r="F424" s="10" t="str">
        <f>IF(SALE!F428=0,"",SALE!F428)</f>
        <v/>
      </c>
      <c r="G424" s="2" t="str">
        <f>IF(SALE!G428=0,"",SALE!G428)</f>
        <v/>
      </c>
      <c r="H424" t="str">
        <f>IF(SALE!H428=0,"",SALE!H428)</f>
        <v/>
      </c>
      <c r="I424" t="str">
        <f>IF(SALE!I428=0,"",SALE!I428)</f>
        <v/>
      </c>
      <c r="J424" t="str">
        <f>IF(SALE!J428=0,"",SALE!J428)</f>
        <v/>
      </c>
    </row>
    <row r="425" spans="1:10">
      <c r="A425">
        <f>IF(SALE!A429=0,"",SALE!A429)</f>
        <v>424</v>
      </c>
      <c r="B425" t="str">
        <f>IF(SALE!B429=0,"",SALE!B429)</f>
        <v/>
      </c>
      <c r="C425" t="str">
        <f>IF(SALE!C429=0,"",SALE!C429)</f>
        <v/>
      </c>
      <c r="D425" t="str">
        <f>IF(SALE!D429=0,"",SALE!D429)</f>
        <v/>
      </c>
      <c r="E425" s="10" t="str">
        <f>IF(SALE!E429=0,"",SALE!E429)</f>
        <v/>
      </c>
      <c r="F425" s="10" t="str">
        <f>IF(SALE!F429=0,"",SALE!F429)</f>
        <v/>
      </c>
      <c r="G425" s="2" t="str">
        <f>IF(SALE!G429=0,"",SALE!G429)</f>
        <v/>
      </c>
      <c r="H425" t="str">
        <f>IF(SALE!H429=0,"",SALE!H429)</f>
        <v/>
      </c>
      <c r="I425" t="str">
        <f>IF(SALE!I429=0,"",SALE!I429)</f>
        <v/>
      </c>
      <c r="J425" t="str">
        <f>IF(SALE!J429=0,"",SALE!J429)</f>
        <v/>
      </c>
    </row>
    <row r="426" spans="1:10">
      <c r="A426">
        <f>IF(SALE!A430=0,"",SALE!A430)</f>
        <v>425</v>
      </c>
      <c r="B426" t="str">
        <f>IF(SALE!B430=0,"",SALE!B430)</f>
        <v/>
      </c>
      <c r="C426" t="str">
        <f>IF(SALE!C430=0,"",SALE!C430)</f>
        <v/>
      </c>
      <c r="D426" t="str">
        <f>IF(SALE!D430=0,"",SALE!D430)</f>
        <v/>
      </c>
      <c r="E426" s="10" t="str">
        <f>IF(SALE!E430=0,"",SALE!E430)</f>
        <v/>
      </c>
      <c r="F426" s="10" t="str">
        <f>IF(SALE!F430=0,"",SALE!F430)</f>
        <v/>
      </c>
      <c r="G426" s="2" t="str">
        <f>IF(SALE!G430=0,"",SALE!G430)</f>
        <v/>
      </c>
      <c r="H426" t="str">
        <f>IF(SALE!H430=0,"",SALE!H430)</f>
        <v/>
      </c>
      <c r="I426" t="str">
        <f>IF(SALE!I430=0,"",SALE!I430)</f>
        <v/>
      </c>
      <c r="J426" t="str">
        <f>IF(SALE!J430=0,"",SALE!J430)</f>
        <v/>
      </c>
    </row>
    <row r="427" spans="1:10">
      <c r="A427">
        <f>IF(SALE!A431=0,"",SALE!A431)</f>
        <v>426</v>
      </c>
      <c r="B427" t="str">
        <f>IF(SALE!B431=0,"",SALE!B431)</f>
        <v/>
      </c>
      <c r="C427" t="str">
        <f>IF(SALE!C431=0,"",SALE!C431)</f>
        <v/>
      </c>
      <c r="D427" t="str">
        <f>IF(SALE!D431=0,"",SALE!D431)</f>
        <v/>
      </c>
      <c r="E427" s="10" t="str">
        <f>IF(SALE!E431=0,"",SALE!E431)</f>
        <v/>
      </c>
      <c r="F427" s="10" t="str">
        <f>IF(SALE!F431=0,"",SALE!F431)</f>
        <v/>
      </c>
      <c r="G427" s="2" t="str">
        <f>IF(SALE!G431=0,"",SALE!G431)</f>
        <v/>
      </c>
      <c r="H427" t="str">
        <f>IF(SALE!H431=0,"",SALE!H431)</f>
        <v/>
      </c>
      <c r="I427" t="str">
        <f>IF(SALE!I431=0,"",SALE!I431)</f>
        <v/>
      </c>
      <c r="J427" t="str">
        <f>IF(SALE!J431=0,"",SALE!J431)</f>
        <v/>
      </c>
    </row>
    <row r="428" spans="1:10">
      <c r="A428">
        <f>IF(SALE!A432=0,"",SALE!A432)</f>
        <v>427</v>
      </c>
      <c r="B428" t="str">
        <f>IF(SALE!B432=0,"",SALE!B432)</f>
        <v/>
      </c>
      <c r="C428" t="str">
        <f>IF(SALE!C432=0,"",SALE!C432)</f>
        <v/>
      </c>
      <c r="D428" t="str">
        <f>IF(SALE!D432=0,"",SALE!D432)</f>
        <v/>
      </c>
      <c r="E428" s="10" t="str">
        <f>IF(SALE!E432=0,"",SALE!E432)</f>
        <v/>
      </c>
      <c r="F428" s="10" t="str">
        <f>IF(SALE!F432=0,"",SALE!F432)</f>
        <v/>
      </c>
      <c r="G428" s="2" t="str">
        <f>IF(SALE!G432=0,"",SALE!G432)</f>
        <v/>
      </c>
      <c r="H428" t="str">
        <f>IF(SALE!H432=0,"",SALE!H432)</f>
        <v/>
      </c>
      <c r="I428" t="str">
        <f>IF(SALE!I432=0,"",SALE!I432)</f>
        <v/>
      </c>
      <c r="J428" t="str">
        <f>IF(SALE!J432=0,"",SALE!J432)</f>
        <v/>
      </c>
    </row>
    <row r="429" spans="1:10">
      <c r="A429">
        <f>IF(SALE!A433=0,"",SALE!A433)</f>
        <v>428</v>
      </c>
      <c r="B429" t="str">
        <f>IF(SALE!B433=0,"",SALE!B433)</f>
        <v/>
      </c>
      <c r="C429" t="str">
        <f>IF(SALE!C433=0,"",SALE!C433)</f>
        <v/>
      </c>
      <c r="D429" t="str">
        <f>IF(SALE!D433=0,"",SALE!D433)</f>
        <v/>
      </c>
      <c r="E429" s="10" t="str">
        <f>IF(SALE!E433=0,"",SALE!E433)</f>
        <v/>
      </c>
      <c r="F429" s="10" t="str">
        <f>IF(SALE!F433=0,"",SALE!F433)</f>
        <v/>
      </c>
      <c r="G429" s="2" t="str">
        <f>IF(SALE!G433=0,"",SALE!G433)</f>
        <v/>
      </c>
      <c r="H429" t="str">
        <f>IF(SALE!H433=0,"",SALE!H433)</f>
        <v/>
      </c>
      <c r="I429" t="str">
        <f>IF(SALE!I433=0,"",SALE!I433)</f>
        <v/>
      </c>
      <c r="J429" t="str">
        <f>IF(SALE!J433=0,"",SALE!J433)</f>
        <v/>
      </c>
    </row>
    <row r="430" spans="1:10">
      <c r="A430">
        <f>IF(SALE!A434=0,"",SALE!A434)</f>
        <v>429</v>
      </c>
      <c r="B430" t="str">
        <f>IF(SALE!B434=0,"",SALE!B434)</f>
        <v/>
      </c>
      <c r="C430" t="str">
        <f>IF(SALE!C434=0,"",SALE!C434)</f>
        <v/>
      </c>
      <c r="D430" t="str">
        <f>IF(SALE!D434=0,"",SALE!D434)</f>
        <v/>
      </c>
      <c r="E430" s="10" t="str">
        <f>IF(SALE!E434=0,"",SALE!E434)</f>
        <v/>
      </c>
      <c r="F430" s="10" t="str">
        <f>IF(SALE!F434=0,"",SALE!F434)</f>
        <v/>
      </c>
      <c r="G430" s="2" t="str">
        <f>IF(SALE!G434=0,"",SALE!G434)</f>
        <v/>
      </c>
      <c r="H430" t="str">
        <f>IF(SALE!H434=0,"",SALE!H434)</f>
        <v/>
      </c>
      <c r="I430" t="str">
        <f>IF(SALE!I434=0,"",SALE!I434)</f>
        <v/>
      </c>
      <c r="J430" t="str">
        <f>IF(SALE!J434=0,"",SALE!J434)</f>
        <v/>
      </c>
    </row>
    <row r="431" spans="1:10">
      <c r="A431">
        <f>IF(SALE!A435=0,"",SALE!A435)</f>
        <v>430</v>
      </c>
      <c r="B431" t="str">
        <f>IF(SALE!B435=0,"",SALE!B435)</f>
        <v/>
      </c>
      <c r="C431" t="str">
        <f>IF(SALE!C435=0,"",SALE!C435)</f>
        <v/>
      </c>
      <c r="D431" t="str">
        <f>IF(SALE!D435=0,"",SALE!D435)</f>
        <v/>
      </c>
      <c r="E431" s="10" t="str">
        <f>IF(SALE!E435=0,"",SALE!E435)</f>
        <v/>
      </c>
      <c r="F431" s="10" t="str">
        <f>IF(SALE!F435=0,"",SALE!F435)</f>
        <v/>
      </c>
      <c r="G431" s="2" t="str">
        <f>IF(SALE!G435=0,"",SALE!G435)</f>
        <v/>
      </c>
      <c r="H431" t="str">
        <f>IF(SALE!H435=0,"",SALE!H435)</f>
        <v/>
      </c>
      <c r="I431" t="str">
        <f>IF(SALE!I435=0,"",SALE!I435)</f>
        <v/>
      </c>
      <c r="J431" t="str">
        <f>IF(SALE!J435=0,"",SALE!J435)</f>
        <v/>
      </c>
    </row>
    <row r="432" spans="1:10">
      <c r="A432">
        <f>IF(SALE!A436=0,"",SALE!A436)</f>
        <v>431</v>
      </c>
      <c r="B432" t="str">
        <f>IF(SALE!B436=0,"",SALE!B436)</f>
        <v/>
      </c>
      <c r="C432" t="str">
        <f>IF(SALE!C436=0,"",SALE!C436)</f>
        <v/>
      </c>
      <c r="D432" t="str">
        <f>IF(SALE!D436=0,"",SALE!D436)</f>
        <v/>
      </c>
      <c r="E432" s="10" t="str">
        <f>IF(SALE!E436=0,"",SALE!E436)</f>
        <v/>
      </c>
      <c r="F432" s="10" t="str">
        <f>IF(SALE!F436=0,"",SALE!F436)</f>
        <v/>
      </c>
      <c r="G432" s="2" t="str">
        <f>IF(SALE!G436=0,"",SALE!G436)</f>
        <v/>
      </c>
      <c r="H432" t="str">
        <f>IF(SALE!H436=0,"",SALE!H436)</f>
        <v/>
      </c>
      <c r="I432" t="str">
        <f>IF(SALE!I436=0,"",SALE!I436)</f>
        <v/>
      </c>
      <c r="J432" t="str">
        <f>IF(SALE!J436=0,"",SALE!J436)</f>
        <v/>
      </c>
    </row>
    <row r="433" spans="1:10">
      <c r="A433">
        <f>IF(SALE!A437=0,"",SALE!A437)</f>
        <v>432</v>
      </c>
      <c r="B433" t="str">
        <f>IF(SALE!B437=0,"",SALE!B437)</f>
        <v/>
      </c>
      <c r="C433" t="str">
        <f>IF(SALE!C437=0,"",SALE!C437)</f>
        <v/>
      </c>
      <c r="D433" t="str">
        <f>IF(SALE!D437=0,"",SALE!D437)</f>
        <v/>
      </c>
      <c r="E433" s="10" t="str">
        <f>IF(SALE!E437=0,"",SALE!E437)</f>
        <v/>
      </c>
      <c r="F433" s="10" t="str">
        <f>IF(SALE!F437=0,"",SALE!F437)</f>
        <v/>
      </c>
      <c r="G433" s="2" t="str">
        <f>IF(SALE!G437=0,"",SALE!G437)</f>
        <v/>
      </c>
      <c r="H433" t="str">
        <f>IF(SALE!H437=0,"",SALE!H437)</f>
        <v/>
      </c>
      <c r="I433" t="str">
        <f>IF(SALE!I437=0,"",SALE!I437)</f>
        <v/>
      </c>
      <c r="J433" t="str">
        <f>IF(SALE!J437=0,"",SALE!J437)</f>
        <v/>
      </c>
    </row>
    <row r="434" spans="1:10">
      <c r="A434">
        <f>IF(SALE!A438=0,"",SALE!A438)</f>
        <v>433</v>
      </c>
      <c r="B434" t="str">
        <f>IF(SALE!B438=0,"",SALE!B438)</f>
        <v/>
      </c>
      <c r="C434" t="str">
        <f>IF(SALE!C438=0,"",SALE!C438)</f>
        <v/>
      </c>
      <c r="D434" t="str">
        <f>IF(SALE!D438=0,"",SALE!D438)</f>
        <v/>
      </c>
      <c r="E434" s="10" t="str">
        <f>IF(SALE!E438=0,"",SALE!E438)</f>
        <v/>
      </c>
      <c r="F434" s="10" t="str">
        <f>IF(SALE!F438=0,"",SALE!F438)</f>
        <v/>
      </c>
      <c r="G434" s="2" t="str">
        <f>IF(SALE!G438=0,"",SALE!G438)</f>
        <v/>
      </c>
      <c r="H434" t="str">
        <f>IF(SALE!H438=0,"",SALE!H438)</f>
        <v/>
      </c>
      <c r="I434" t="str">
        <f>IF(SALE!I438=0,"",SALE!I438)</f>
        <v/>
      </c>
      <c r="J434" t="str">
        <f>IF(SALE!J438=0,"",SALE!J438)</f>
        <v/>
      </c>
    </row>
    <row r="435" spans="1:10">
      <c r="A435">
        <f>IF(SALE!A439=0,"",SALE!A439)</f>
        <v>434</v>
      </c>
      <c r="B435" t="str">
        <f>IF(SALE!B439=0,"",SALE!B439)</f>
        <v/>
      </c>
      <c r="C435" t="str">
        <f>IF(SALE!C439=0,"",SALE!C439)</f>
        <v/>
      </c>
      <c r="D435" t="str">
        <f>IF(SALE!D439=0,"",SALE!D439)</f>
        <v/>
      </c>
      <c r="E435" s="10" t="str">
        <f>IF(SALE!E439=0,"",SALE!E439)</f>
        <v/>
      </c>
      <c r="F435" s="10" t="str">
        <f>IF(SALE!F439=0,"",SALE!F439)</f>
        <v/>
      </c>
      <c r="G435" s="2" t="str">
        <f>IF(SALE!G439=0,"",SALE!G439)</f>
        <v/>
      </c>
      <c r="H435" t="str">
        <f>IF(SALE!H439=0,"",SALE!H439)</f>
        <v/>
      </c>
      <c r="I435" t="str">
        <f>IF(SALE!I439=0,"",SALE!I439)</f>
        <v/>
      </c>
      <c r="J435" t="str">
        <f>IF(SALE!J439=0,"",SALE!J439)</f>
        <v/>
      </c>
    </row>
    <row r="436" spans="1:10">
      <c r="A436">
        <f>IF(SALE!A440=0,"",SALE!A440)</f>
        <v>435</v>
      </c>
      <c r="B436" t="str">
        <f>IF(SALE!B440=0,"",SALE!B440)</f>
        <v/>
      </c>
      <c r="C436" t="str">
        <f>IF(SALE!C440=0,"",SALE!C440)</f>
        <v/>
      </c>
      <c r="D436" t="str">
        <f>IF(SALE!D440=0,"",SALE!D440)</f>
        <v/>
      </c>
      <c r="E436" s="10" t="str">
        <f>IF(SALE!E440=0,"",SALE!E440)</f>
        <v/>
      </c>
      <c r="F436" s="10" t="str">
        <f>IF(SALE!F440=0,"",SALE!F440)</f>
        <v/>
      </c>
      <c r="G436" s="2" t="str">
        <f>IF(SALE!G440=0,"",SALE!G440)</f>
        <v/>
      </c>
      <c r="H436" t="str">
        <f>IF(SALE!H440=0,"",SALE!H440)</f>
        <v/>
      </c>
      <c r="I436" t="str">
        <f>IF(SALE!I440=0,"",SALE!I440)</f>
        <v/>
      </c>
      <c r="J436" t="str">
        <f>IF(SALE!J440=0,"",SALE!J440)</f>
        <v/>
      </c>
    </row>
    <row r="437" spans="1:10">
      <c r="A437">
        <f>IF(SALE!A441=0,"",SALE!A441)</f>
        <v>436</v>
      </c>
      <c r="B437" t="str">
        <f>IF(SALE!B441=0,"",SALE!B441)</f>
        <v/>
      </c>
      <c r="C437" t="str">
        <f>IF(SALE!C441=0,"",SALE!C441)</f>
        <v/>
      </c>
      <c r="D437" t="str">
        <f>IF(SALE!D441=0,"",SALE!D441)</f>
        <v/>
      </c>
      <c r="E437" s="10" t="str">
        <f>IF(SALE!E441=0,"",SALE!E441)</f>
        <v/>
      </c>
      <c r="F437" s="10" t="str">
        <f>IF(SALE!F441=0,"",SALE!F441)</f>
        <v/>
      </c>
      <c r="G437" s="2" t="str">
        <f>IF(SALE!G441=0,"",SALE!G441)</f>
        <v/>
      </c>
      <c r="H437" t="str">
        <f>IF(SALE!H441=0,"",SALE!H441)</f>
        <v/>
      </c>
      <c r="I437" t="str">
        <f>IF(SALE!I441=0,"",SALE!I441)</f>
        <v/>
      </c>
      <c r="J437" t="str">
        <f>IF(SALE!J441=0,"",SALE!J441)</f>
        <v/>
      </c>
    </row>
    <row r="438" spans="1:10">
      <c r="A438">
        <f>IF(SALE!A442=0,"",SALE!A442)</f>
        <v>437</v>
      </c>
      <c r="B438" t="str">
        <f>IF(SALE!B442=0,"",SALE!B442)</f>
        <v/>
      </c>
      <c r="C438" t="str">
        <f>IF(SALE!C442=0,"",SALE!C442)</f>
        <v/>
      </c>
      <c r="D438" t="str">
        <f>IF(SALE!D442=0,"",SALE!D442)</f>
        <v/>
      </c>
      <c r="E438" s="10" t="str">
        <f>IF(SALE!E442=0,"",SALE!E442)</f>
        <v/>
      </c>
      <c r="F438" s="10" t="str">
        <f>IF(SALE!F442=0,"",SALE!F442)</f>
        <v/>
      </c>
      <c r="G438" s="2" t="str">
        <f>IF(SALE!G442=0,"",SALE!G442)</f>
        <v/>
      </c>
      <c r="H438" t="str">
        <f>IF(SALE!H442=0,"",SALE!H442)</f>
        <v/>
      </c>
      <c r="I438" t="str">
        <f>IF(SALE!I442=0,"",SALE!I442)</f>
        <v/>
      </c>
      <c r="J438" t="str">
        <f>IF(SALE!J442=0,"",SALE!J442)</f>
        <v/>
      </c>
    </row>
    <row r="439" spans="1:10">
      <c r="A439">
        <f>IF(SALE!A443=0,"",SALE!A443)</f>
        <v>438</v>
      </c>
      <c r="B439" t="str">
        <f>IF(SALE!B443=0,"",SALE!B443)</f>
        <v/>
      </c>
      <c r="C439" t="str">
        <f>IF(SALE!C443=0,"",SALE!C443)</f>
        <v/>
      </c>
      <c r="D439" t="str">
        <f>IF(SALE!D443=0,"",SALE!D443)</f>
        <v/>
      </c>
      <c r="E439" s="10" t="str">
        <f>IF(SALE!E443=0,"",SALE!E443)</f>
        <v/>
      </c>
      <c r="F439" s="10" t="str">
        <f>IF(SALE!F443=0,"",SALE!F443)</f>
        <v/>
      </c>
      <c r="G439" s="2" t="str">
        <f>IF(SALE!G443=0,"",SALE!G443)</f>
        <v/>
      </c>
      <c r="H439" t="str">
        <f>IF(SALE!H443=0,"",SALE!H443)</f>
        <v/>
      </c>
      <c r="I439" t="str">
        <f>IF(SALE!I443=0,"",SALE!I443)</f>
        <v/>
      </c>
      <c r="J439" t="str">
        <f>IF(SALE!J443=0,"",SALE!J443)</f>
        <v/>
      </c>
    </row>
    <row r="440" spans="1:10">
      <c r="A440">
        <f>IF(SALE!A444=0,"",SALE!A444)</f>
        <v>439</v>
      </c>
      <c r="B440" t="str">
        <f>IF(SALE!B444=0,"",SALE!B444)</f>
        <v/>
      </c>
      <c r="C440" t="str">
        <f>IF(SALE!C444=0,"",SALE!C444)</f>
        <v/>
      </c>
      <c r="D440" t="str">
        <f>IF(SALE!D444=0,"",SALE!D444)</f>
        <v/>
      </c>
      <c r="E440" s="10" t="str">
        <f>IF(SALE!E444=0,"",SALE!E444)</f>
        <v/>
      </c>
      <c r="F440" s="10" t="str">
        <f>IF(SALE!F444=0,"",SALE!F444)</f>
        <v/>
      </c>
      <c r="G440" s="2" t="str">
        <f>IF(SALE!G444=0,"",SALE!G444)</f>
        <v/>
      </c>
      <c r="H440" t="str">
        <f>IF(SALE!H444=0,"",SALE!H444)</f>
        <v/>
      </c>
      <c r="I440" t="str">
        <f>IF(SALE!I444=0,"",SALE!I444)</f>
        <v/>
      </c>
      <c r="J440" t="str">
        <f>IF(SALE!J444=0,"",SALE!J444)</f>
        <v/>
      </c>
    </row>
    <row r="441" spans="1:10">
      <c r="A441">
        <f>IF(SALE!A445=0,"",SALE!A445)</f>
        <v>440</v>
      </c>
      <c r="B441" t="str">
        <f>IF(SALE!B445=0,"",SALE!B445)</f>
        <v/>
      </c>
      <c r="C441" t="str">
        <f>IF(SALE!C445=0,"",SALE!C445)</f>
        <v/>
      </c>
      <c r="D441" t="str">
        <f>IF(SALE!D445=0,"",SALE!D445)</f>
        <v/>
      </c>
      <c r="E441" s="10" t="str">
        <f>IF(SALE!E445=0,"",SALE!E445)</f>
        <v/>
      </c>
      <c r="F441" s="10" t="str">
        <f>IF(SALE!F445=0,"",SALE!F445)</f>
        <v/>
      </c>
      <c r="G441" s="2" t="str">
        <f>IF(SALE!G445=0,"",SALE!G445)</f>
        <v/>
      </c>
      <c r="H441" t="str">
        <f>IF(SALE!H445=0,"",SALE!H445)</f>
        <v/>
      </c>
      <c r="I441" t="str">
        <f>IF(SALE!I445=0,"",SALE!I445)</f>
        <v/>
      </c>
      <c r="J441" t="str">
        <f>IF(SALE!J445=0,"",SALE!J445)</f>
        <v/>
      </c>
    </row>
    <row r="442" spans="1:10">
      <c r="A442">
        <f>IF(SALE!A446=0,"",SALE!A446)</f>
        <v>441</v>
      </c>
      <c r="B442" t="str">
        <f>IF(SALE!B446=0,"",SALE!B446)</f>
        <v/>
      </c>
      <c r="C442" t="str">
        <f>IF(SALE!C446=0,"",SALE!C446)</f>
        <v/>
      </c>
      <c r="D442" t="str">
        <f>IF(SALE!D446=0,"",SALE!D446)</f>
        <v/>
      </c>
      <c r="E442" s="10" t="str">
        <f>IF(SALE!E446=0,"",SALE!E446)</f>
        <v/>
      </c>
      <c r="F442" s="10" t="str">
        <f>IF(SALE!F446=0,"",SALE!F446)</f>
        <v/>
      </c>
      <c r="G442" s="2" t="str">
        <f>IF(SALE!G446=0,"",SALE!G446)</f>
        <v/>
      </c>
      <c r="H442" t="str">
        <f>IF(SALE!H446=0,"",SALE!H446)</f>
        <v/>
      </c>
      <c r="I442" t="str">
        <f>IF(SALE!I446=0,"",SALE!I446)</f>
        <v/>
      </c>
      <c r="J442" t="str">
        <f>IF(SALE!J446=0,"",SALE!J446)</f>
        <v/>
      </c>
    </row>
    <row r="443" spans="1:10">
      <c r="A443">
        <f>IF(SALE!A447=0,"",SALE!A447)</f>
        <v>442</v>
      </c>
      <c r="B443" t="str">
        <f>IF(SALE!B447=0,"",SALE!B447)</f>
        <v/>
      </c>
      <c r="C443" t="str">
        <f>IF(SALE!C447=0,"",SALE!C447)</f>
        <v/>
      </c>
      <c r="D443" t="str">
        <f>IF(SALE!D447=0,"",SALE!D447)</f>
        <v/>
      </c>
      <c r="E443" s="10" t="str">
        <f>IF(SALE!E447=0,"",SALE!E447)</f>
        <v/>
      </c>
      <c r="F443" s="10" t="str">
        <f>IF(SALE!F447=0,"",SALE!F447)</f>
        <v/>
      </c>
      <c r="G443" s="2" t="str">
        <f>IF(SALE!G447=0,"",SALE!G447)</f>
        <v/>
      </c>
      <c r="H443" t="str">
        <f>IF(SALE!H447=0,"",SALE!H447)</f>
        <v/>
      </c>
      <c r="I443" t="str">
        <f>IF(SALE!I447=0,"",SALE!I447)</f>
        <v/>
      </c>
      <c r="J443" t="str">
        <f>IF(SALE!J447=0,"",SALE!J447)</f>
        <v/>
      </c>
    </row>
    <row r="444" spans="1:10">
      <c r="A444">
        <f>IF(SALE!A448=0,"",SALE!A448)</f>
        <v>443</v>
      </c>
      <c r="B444" t="str">
        <f>IF(SALE!B448=0,"",SALE!B448)</f>
        <v/>
      </c>
      <c r="C444" t="str">
        <f>IF(SALE!C448=0,"",SALE!C448)</f>
        <v/>
      </c>
      <c r="D444" t="str">
        <f>IF(SALE!D448=0,"",SALE!D448)</f>
        <v/>
      </c>
      <c r="E444" s="10" t="str">
        <f>IF(SALE!E448=0,"",SALE!E448)</f>
        <v/>
      </c>
      <c r="F444" s="10" t="str">
        <f>IF(SALE!F448=0,"",SALE!F448)</f>
        <v/>
      </c>
      <c r="G444" s="2" t="str">
        <f>IF(SALE!G448=0,"",SALE!G448)</f>
        <v/>
      </c>
      <c r="H444" t="str">
        <f>IF(SALE!H448=0,"",SALE!H448)</f>
        <v/>
      </c>
      <c r="I444" t="str">
        <f>IF(SALE!I448=0,"",SALE!I448)</f>
        <v/>
      </c>
      <c r="J444" t="str">
        <f>IF(SALE!J448=0,"",SALE!J448)</f>
        <v/>
      </c>
    </row>
    <row r="445" spans="1:10">
      <c r="A445">
        <f>IF(SALE!A449=0,"",SALE!A449)</f>
        <v>444</v>
      </c>
      <c r="B445" t="str">
        <f>IF(SALE!B449=0,"",SALE!B449)</f>
        <v/>
      </c>
      <c r="C445" t="str">
        <f>IF(SALE!C449=0,"",SALE!C449)</f>
        <v/>
      </c>
      <c r="D445" t="str">
        <f>IF(SALE!D449=0,"",SALE!D449)</f>
        <v/>
      </c>
      <c r="E445" s="10" t="str">
        <f>IF(SALE!E449=0,"",SALE!E449)</f>
        <v/>
      </c>
      <c r="F445" s="10" t="str">
        <f>IF(SALE!F449=0,"",SALE!F449)</f>
        <v/>
      </c>
      <c r="G445" s="2" t="str">
        <f>IF(SALE!G449=0,"",SALE!G449)</f>
        <v/>
      </c>
      <c r="H445" t="str">
        <f>IF(SALE!H449=0,"",SALE!H449)</f>
        <v/>
      </c>
      <c r="I445" t="str">
        <f>IF(SALE!I449=0,"",SALE!I449)</f>
        <v/>
      </c>
      <c r="J445" t="str">
        <f>IF(SALE!J449=0,"",SALE!J449)</f>
        <v/>
      </c>
    </row>
    <row r="446" spans="1:10">
      <c r="A446">
        <f>IF(SALE!A450=0,"",SALE!A450)</f>
        <v>445</v>
      </c>
      <c r="B446" t="str">
        <f>IF(SALE!B450=0,"",SALE!B450)</f>
        <v/>
      </c>
      <c r="C446" t="str">
        <f>IF(SALE!C450=0,"",SALE!C450)</f>
        <v/>
      </c>
      <c r="D446" t="str">
        <f>IF(SALE!D450=0,"",SALE!D450)</f>
        <v/>
      </c>
      <c r="E446" s="10" t="str">
        <f>IF(SALE!E450=0,"",SALE!E450)</f>
        <v/>
      </c>
      <c r="F446" s="10" t="str">
        <f>IF(SALE!F450=0,"",SALE!F450)</f>
        <v/>
      </c>
      <c r="G446" s="2" t="str">
        <f>IF(SALE!G450=0,"",SALE!G450)</f>
        <v/>
      </c>
      <c r="H446" t="str">
        <f>IF(SALE!H450=0,"",SALE!H450)</f>
        <v/>
      </c>
      <c r="I446" t="str">
        <f>IF(SALE!I450=0,"",SALE!I450)</f>
        <v/>
      </c>
      <c r="J446" t="str">
        <f>IF(SALE!J450=0,"",SALE!J450)</f>
        <v/>
      </c>
    </row>
    <row r="447" spans="1:10">
      <c r="A447">
        <f>IF(SALE!A451=0,"",SALE!A451)</f>
        <v>446</v>
      </c>
      <c r="B447" t="str">
        <f>IF(SALE!B451=0,"",SALE!B451)</f>
        <v/>
      </c>
      <c r="C447" t="str">
        <f>IF(SALE!C451=0,"",SALE!C451)</f>
        <v/>
      </c>
      <c r="D447" t="str">
        <f>IF(SALE!D451=0,"",SALE!D451)</f>
        <v/>
      </c>
      <c r="E447" s="10" t="str">
        <f>IF(SALE!E451=0,"",SALE!E451)</f>
        <v/>
      </c>
      <c r="F447" s="10" t="str">
        <f>IF(SALE!F451=0,"",SALE!F451)</f>
        <v/>
      </c>
      <c r="G447" s="2" t="str">
        <f>IF(SALE!G451=0,"",SALE!G451)</f>
        <v/>
      </c>
      <c r="H447" t="str">
        <f>IF(SALE!H451=0,"",SALE!H451)</f>
        <v/>
      </c>
      <c r="I447" t="str">
        <f>IF(SALE!I451=0,"",SALE!I451)</f>
        <v/>
      </c>
      <c r="J447" t="str">
        <f>IF(SALE!J451=0,"",SALE!J451)</f>
        <v/>
      </c>
    </row>
    <row r="448" spans="1:10">
      <c r="A448">
        <f>IF(SALE!A452=0,"",SALE!A452)</f>
        <v>447</v>
      </c>
      <c r="B448" t="str">
        <f>IF(SALE!B452=0,"",SALE!B452)</f>
        <v/>
      </c>
      <c r="C448" t="str">
        <f>IF(SALE!C452=0,"",SALE!C452)</f>
        <v/>
      </c>
      <c r="D448" t="str">
        <f>IF(SALE!D452=0,"",SALE!D452)</f>
        <v/>
      </c>
      <c r="E448" s="10" t="str">
        <f>IF(SALE!E452=0,"",SALE!E452)</f>
        <v/>
      </c>
      <c r="F448" s="10" t="str">
        <f>IF(SALE!F452=0,"",SALE!F452)</f>
        <v/>
      </c>
      <c r="G448" s="2" t="str">
        <f>IF(SALE!G452=0,"",SALE!G452)</f>
        <v/>
      </c>
      <c r="H448" t="str">
        <f>IF(SALE!H452=0,"",SALE!H452)</f>
        <v/>
      </c>
      <c r="I448" t="str">
        <f>IF(SALE!I452=0,"",SALE!I452)</f>
        <v/>
      </c>
      <c r="J448" t="str">
        <f>IF(SALE!J452=0,"",SALE!J452)</f>
        <v/>
      </c>
    </row>
    <row r="449" spans="1:10">
      <c r="A449">
        <f>IF(SALE!A453=0,"",SALE!A453)</f>
        <v>448</v>
      </c>
      <c r="B449" t="str">
        <f>IF(SALE!B453=0,"",SALE!B453)</f>
        <v/>
      </c>
      <c r="C449" t="str">
        <f>IF(SALE!C453=0,"",SALE!C453)</f>
        <v/>
      </c>
      <c r="D449" t="str">
        <f>IF(SALE!D453=0,"",SALE!D453)</f>
        <v/>
      </c>
      <c r="E449" s="10" t="str">
        <f>IF(SALE!E453=0,"",SALE!E453)</f>
        <v/>
      </c>
      <c r="F449" s="10" t="str">
        <f>IF(SALE!F453=0,"",SALE!F453)</f>
        <v/>
      </c>
      <c r="G449" s="2" t="str">
        <f>IF(SALE!G453=0,"",SALE!G453)</f>
        <v/>
      </c>
      <c r="H449" t="str">
        <f>IF(SALE!H453=0,"",SALE!H453)</f>
        <v/>
      </c>
      <c r="I449" t="str">
        <f>IF(SALE!I453=0,"",SALE!I453)</f>
        <v/>
      </c>
      <c r="J449" t="str">
        <f>IF(SALE!J453=0,"",SALE!J453)</f>
        <v/>
      </c>
    </row>
    <row r="450" spans="1:10">
      <c r="A450">
        <f>IF(SALE!A454=0,"",SALE!A454)</f>
        <v>449</v>
      </c>
      <c r="B450" t="str">
        <f>IF(SALE!B454=0,"",SALE!B454)</f>
        <v/>
      </c>
      <c r="C450" t="str">
        <f>IF(SALE!C454=0,"",SALE!C454)</f>
        <v/>
      </c>
      <c r="D450" t="str">
        <f>IF(SALE!D454=0,"",SALE!D454)</f>
        <v/>
      </c>
      <c r="E450" s="10" t="str">
        <f>IF(SALE!E454=0,"",SALE!E454)</f>
        <v/>
      </c>
      <c r="F450" s="10" t="str">
        <f>IF(SALE!F454=0,"",SALE!F454)</f>
        <v/>
      </c>
      <c r="G450" s="2" t="str">
        <f>IF(SALE!G454=0,"",SALE!G454)</f>
        <v/>
      </c>
      <c r="H450" t="str">
        <f>IF(SALE!H454=0,"",SALE!H454)</f>
        <v/>
      </c>
      <c r="I450" t="str">
        <f>IF(SALE!I454=0,"",SALE!I454)</f>
        <v/>
      </c>
      <c r="J450" t="str">
        <f>IF(SALE!J454=0,"",SALE!J454)</f>
        <v/>
      </c>
    </row>
    <row r="451" spans="1:10">
      <c r="A451">
        <f>IF(SALE!A455=0,"",SALE!A455)</f>
        <v>450</v>
      </c>
      <c r="B451" t="str">
        <f>IF(SALE!B455=0,"",SALE!B455)</f>
        <v/>
      </c>
      <c r="C451" t="str">
        <f>IF(SALE!C455=0,"",SALE!C455)</f>
        <v/>
      </c>
      <c r="D451" t="str">
        <f>IF(SALE!D455=0,"",SALE!D455)</f>
        <v/>
      </c>
      <c r="E451" s="10" t="str">
        <f>IF(SALE!E455=0,"",SALE!E455)</f>
        <v/>
      </c>
      <c r="F451" s="10" t="str">
        <f>IF(SALE!F455=0,"",SALE!F455)</f>
        <v/>
      </c>
      <c r="G451" s="2" t="str">
        <f>IF(SALE!G455=0,"",SALE!G455)</f>
        <v/>
      </c>
      <c r="H451" t="str">
        <f>IF(SALE!H455=0,"",SALE!H455)</f>
        <v/>
      </c>
      <c r="I451" t="str">
        <f>IF(SALE!I455=0,"",SALE!I455)</f>
        <v/>
      </c>
      <c r="J451" t="str">
        <f>IF(SALE!J455=0,"",SALE!J455)</f>
        <v/>
      </c>
    </row>
    <row r="452" spans="1:10">
      <c r="A452">
        <f>IF(SALE!A456=0,"",SALE!A456)</f>
        <v>451</v>
      </c>
      <c r="B452" t="str">
        <f>IF(SALE!B456=0,"",SALE!B456)</f>
        <v/>
      </c>
      <c r="C452" t="str">
        <f>IF(SALE!C456=0,"",SALE!C456)</f>
        <v/>
      </c>
      <c r="D452" t="str">
        <f>IF(SALE!D456=0,"",SALE!D456)</f>
        <v/>
      </c>
      <c r="E452" s="10" t="str">
        <f>IF(SALE!E456=0,"",SALE!E456)</f>
        <v/>
      </c>
      <c r="F452" s="10" t="str">
        <f>IF(SALE!F456=0,"",SALE!F456)</f>
        <v/>
      </c>
      <c r="G452" s="2" t="str">
        <f>IF(SALE!G456=0,"",SALE!G456)</f>
        <v/>
      </c>
      <c r="H452" t="str">
        <f>IF(SALE!H456=0,"",SALE!H456)</f>
        <v/>
      </c>
      <c r="I452" t="str">
        <f>IF(SALE!I456=0,"",SALE!I456)</f>
        <v/>
      </c>
      <c r="J452" t="str">
        <f>IF(SALE!J456=0,"",SALE!J456)</f>
        <v/>
      </c>
    </row>
    <row r="453" spans="1:10">
      <c r="A453">
        <f>IF(SALE!A457=0,"",SALE!A457)</f>
        <v>452</v>
      </c>
      <c r="B453" t="str">
        <f>IF(SALE!B457=0,"",SALE!B457)</f>
        <v/>
      </c>
      <c r="C453" t="str">
        <f>IF(SALE!C457=0,"",SALE!C457)</f>
        <v/>
      </c>
      <c r="D453" t="str">
        <f>IF(SALE!D457=0,"",SALE!D457)</f>
        <v/>
      </c>
      <c r="E453" s="10" t="str">
        <f>IF(SALE!E457=0,"",SALE!E457)</f>
        <v/>
      </c>
      <c r="F453" s="10" t="str">
        <f>IF(SALE!F457=0,"",SALE!F457)</f>
        <v/>
      </c>
      <c r="G453" s="2" t="str">
        <f>IF(SALE!G457=0,"",SALE!G457)</f>
        <v/>
      </c>
      <c r="H453" t="str">
        <f>IF(SALE!H457=0,"",SALE!H457)</f>
        <v/>
      </c>
      <c r="I453" t="str">
        <f>IF(SALE!I457=0,"",SALE!I457)</f>
        <v/>
      </c>
      <c r="J453" t="str">
        <f>IF(SALE!J457=0,"",SALE!J457)</f>
        <v/>
      </c>
    </row>
    <row r="454" spans="1:10">
      <c r="A454">
        <f>IF(SALE!A458=0,"",SALE!A458)</f>
        <v>453</v>
      </c>
      <c r="B454" t="str">
        <f>IF(SALE!B458=0,"",SALE!B458)</f>
        <v/>
      </c>
      <c r="C454" t="str">
        <f>IF(SALE!C458=0,"",SALE!C458)</f>
        <v/>
      </c>
      <c r="D454" t="str">
        <f>IF(SALE!D458=0,"",SALE!D458)</f>
        <v/>
      </c>
      <c r="E454" s="10" t="str">
        <f>IF(SALE!E458=0,"",SALE!E458)</f>
        <v/>
      </c>
      <c r="F454" s="10" t="str">
        <f>IF(SALE!F458=0,"",SALE!F458)</f>
        <v/>
      </c>
      <c r="G454" s="2" t="str">
        <f>IF(SALE!G458=0,"",SALE!G458)</f>
        <v/>
      </c>
      <c r="H454" t="str">
        <f>IF(SALE!H458=0,"",SALE!H458)</f>
        <v/>
      </c>
      <c r="I454" t="str">
        <f>IF(SALE!I458=0,"",SALE!I458)</f>
        <v/>
      </c>
      <c r="J454" t="str">
        <f>IF(SALE!J458=0,"",SALE!J458)</f>
        <v/>
      </c>
    </row>
    <row r="455" spans="1:10">
      <c r="A455">
        <f>IF(SALE!A459=0,"",SALE!A459)</f>
        <v>454</v>
      </c>
      <c r="B455" t="str">
        <f>IF(SALE!B459=0,"",SALE!B459)</f>
        <v/>
      </c>
      <c r="C455" t="str">
        <f>IF(SALE!C459=0,"",SALE!C459)</f>
        <v/>
      </c>
      <c r="D455" t="str">
        <f>IF(SALE!D459=0,"",SALE!D459)</f>
        <v/>
      </c>
      <c r="E455" s="10" t="str">
        <f>IF(SALE!E459=0,"",SALE!E459)</f>
        <v/>
      </c>
      <c r="F455" s="10" t="str">
        <f>IF(SALE!F459=0,"",SALE!F459)</f>
        <v/>
      </c>
      <c r="G455" s="2" t="str">
        <f>IF(SALE!G459=0,"",SALE!G459)</f>
        <v/>
      </c>
      <c r="H455" t="str">
        <f>IF(SALE!H459=0,"",SALE!H459)</f>
        <v/>
      </c>
      <c r="I455" t="str">
        <f>IF(SALE!I459=0,"",SALE!I459)</f>
        <v/>
      </c>
      <c r="J455" t="str">
        <f>IF(SALE!J459=0,"",SALE!J459)</f>
        <v/>
      </c>
    </row>
    <row r="456" spans="1:10">
      <c r="A456">
        <f>IF(SALE!A460=0,"",SALE!A460)</f>
        <v>455</v>
      </c>
      <c r="B456" t="str">
        <f>IF(SALE!B460=0,"",SALE!B460)</f>
        <v/>
      </c>
      <c r="C456" t="str">
        <f>IF(SALE!C460=0,"",SALE!C460)</f>
        <v/>
      </c>
      <c r="D456" t="str">
        <f>IF(SALE!D460=0,"",SALE!D460)</f>
        <v/>
      </c>
      <c r="E456" s="10" t="str">
        <f>IF(SALE!E460=0,"",SALE!E460)</f>
        <v/>
      </c>
      <c r="F456" s="10" t="str">
        <f>IF(SALE!F460=0,"",SALE!F460)</f>
        <v/>
      </c>
      <c r="G456" s="2" t="str">
        <f>IF(SALE!G460=0,"",SALE!G460)</f>
        <v/>
      </c>
      <c r="H456" t="str">
        <f>IF(SALE!H460=0,"",SALE!H460)</f>
        <v/>
      </c>
      <c r="I456" t="str">
        <f>IF(SALE!I460=0,"",SALE!I460)</f>
        <v/>
      </c>
      <c r="J456" t="str">
        <f>IF(SALE!J460=0,"",SALE!J460)</f>
        <v/>
      </c>
    </row>
    <row r="457" spans="1:10">
      <c r="A457">
        <f>IF(SALE!A461=0,"",SALE!A461)</f>
        <v>456</v>
      </c>
      <c r="B457" t="str">
        <f>IF(SALE!B461=0,"",SALE!B461)</f>
        <v/>
      </c>
      <c r="C457" t="str">
        <f>IF(SALE!C461=0,"",SALE!C461)</f>
        <v/>
      </c>
      <c r="D457" t="str">
        <f>IF(SALE!D461=0,"",SALE!D461)</f>
        <v/>
      </c>
      <c r="E457" s="10" t="str">
        <f>IF(SALE!E461=0,"",SALE!E461)</f>
        <v/>
      </c>
      <c r="F457" s="10" t="str">
        <f>IF(SALE!F461=0,"",SALE!F461)</f>
        <v/>
      </c>
      <c r="G457" s="2" t="str">
        <f>IF(SALE!G461=0,"",SALE!G461)</f>
        <v/>
      </c>
      <c r="H457" t="str">
        <f>IF(SALE!H461=0,"",SALE!H461)</f>
        <v/>
      </c>
      <c r="I457" t="str">
        <f>IF(SALE!I461=0,"",SALE!I461)</f>
        <v/>
      </c>
      <c r="J457" t="str">
        <f>IF(SALE!J461=0,"",SALE!J461)</f>
        <v/>
      </c>
    </row>
    <row r="458" spans="1:10">
      <c r="A458">
        <f>IF(SALE!A462=0,"",SALE!A462)</f>
        <v>457</v>
      </c>
      <c r="B458" t="str">
        <f>IF(SALE!B462=0,"",SALE!B462)</f>
        <v/>
      </c>
      <c r="C458" t="str">
        <f>IF(SALE!C462=0,"",SALE!C462)</f>
        <v/>
      </c>
      <c r="D458" t="str">
        <f>IF(SALE!D462=0,"",SALE!D462)</f>
        <v/>
      </c>
      <c r="E458" s="10" t="str">
        <f>IF(SALE!E462=0,"",SALE!E462)</f>
        <v/>
      </c>
      <c r="F458" s="10" t="str">
        <f>IF(SALE!F462=0,"",SALE!F462)</f>
        <v/>
      </c>
      <c r="G458" s="2" t="str">
        <f>IF(SALE!G462=0,"",SALE!G462)</f>
        <v/>
      </c>
      <c r="H458" t="str">
        <f>IF(SALE!H462=0,"",SALE!H462)</f>
        <v/>
      </c>
      <c r="I458" t="str">
        <f>IF(SALE!I462=0,"",SALE!I462)</f>
        <v/>
      </c>
      <c r="J458" t="str">
        <f>IF(SALE!J462=0,"",SALE!J462)</f>
        <v/>
      </c>
    </row>
    <row r="459" spans="1:10">
      <c r="A459">
        <f>IF(SALE!A463=0,"",SALE!A463)</f>
        <v>458</v>
      </c>
      <c r="B459" t="str">
        <f>IF(SALE!B463=0,"",SALE!B463)</f>
        <v/>
      </c>
      <c r="C459" t="str">
        <f>IF(SALE!C463=0,"",SALE!C463)</f>
        <v/>
      </c>
      <c r="D459" t="str">
        <f>IF(SALE!D463=0,"",SALE!D463)</f>
        <v/>
      </c>
      <c r="E459" s="10" t="str">
        <f>IF(SALE!E463=0,"",SALE!E463)</f>
        <v/>
      </c>
      <c r="F459" s="10" t="str">
        <f>IF(SALE!F463=0,"",SALE!F463)</f>
        <v/>
      </c>
      <c r="G459" s="2" t="str">
        <f>IF(SALE!G463=0,"",SALE!G463)</f>
        <v/>
      </c>
      <c r="H459" t="str">
        <f>IF(SALE!H463=0,"",SALE!H463)</f>
        <v/>
      </c>
      <c r="I459" t="str">
        <f>IF(SALE!I463=0,"",SALE!I463)</f>
        <v/>
      </c>
      <c r="J459" t="str">
        <f>IF(SALE!J463=0,"",SALE!J463)</f>
        <v/>
      </c>
    </row>
    <row r="460" spans="1:10">
      <c r="A460">
        <f>IF(SALE!A464=0,"",SALE!A464)</f>
        <v>459</v>
      </c>
      <c r="B460" t="str">
        <f>IF(SALE!B464=0,"",SALE!B464)</f>
        <v/>
      </c>
      <c r="C460" t="str">
        <f>IF(SALE!C464=0,"",SALE!C464)</f>
        <v/>
      </c>
      <c r="D460" t="str">
        <f>IF(SALE!D464=0,"",SALE!D464)</f>
        <v/>
      </c>
      <c r="E460" s="10" t="str">
        <f>IF(SALE!E464=0,"",SALE!E464)</f>
        <v/>
      </c>
      <c r="F460" s="10" t="str">
        <f>IF(SALE!F464=0,"",SALE!F464)</f>
        <v/>
      </c>
      <c r="G460" s="2" t="str">
        <f>IF(SALE!G464=0,"",SALE!G464)</f>
        <v/>
      </c>
      <c r="H460" t="str">
        <f>IF(SALE!H464=0,"",SALE!H464)</f>
        <v/>
      </c>
      <c r="I460" t="str">
        <f>IF(SALE!I464=0,"",SALE!I464)</f>
        <v/>
      </c>
      <c r="J460" t="str">
        <f>IF(SALE!J464=0,"",SALE!J464)</f>
        <v/>
      </c>
    </row>
    <row r="461" spans="1:10">
      <c r="A461">
        <f>IF(SALE!A465=0,"",SALE!A465)</f>
        <v>460</v>
      </c>
      <c r="B461" t="str">
        <f>IF(SALE!B465=0,"",SALE!B465)</f>
        <v/>
      </c>
      <c r="C461" t="str">
        <f>IF(SALE!C465=0,"",SALE!C465)</f>
        <v/>
      </c>
      <c r="D461" t="str">
        <f>IF(SALE!D465=0,"",SALE!D465)</f>
        <v/>
      </c>
      <c r="E461" s="10" t="str">
        <f>IF(SALE!E465=0,"",SALE!E465)</f>
        <v/>
      </c>
      <c r="F461" s="10" t="str">
        <f>IF(SALE!F465=0,"",SALE!F465)</f>
        <v/>
      </c>
      <c r="G461" s="2" t="str">
        <f>IF(SALE!G465=0,"",SALE!G465)</f>
        <v/>
      </c>
      <c r="H461" t="str">
        <f>IF(SALE!H465=0,"",SALE!H465)</f>
        <v/>
      </c>
      <c r="I461" t="str">
        <f>IF(SALE!I465=0,"",SALE!I465)</f>
        <v/>
      </c>
      <c r="J461" t="str">
        <f>IF(SALE!J465=0,"",SALE!J465)</f>
        <v/>
      </c>
    </row>
    <row r="462" spans="1:10">
      <c r="A462">
        <f>IF(SALE!A466=0,"",SALE!A466)</f>
        <v>461</v>
      </c>
      <c r="B462" t="str">
        <f>IF(SALE!B466=0,"",SALE!B466)</f>
        <v/>
      </c>
      <c r="C462" t="str">
        <f>IF(SALE!C466=0,"",SALE!C466)</f>
        <v/>
      </c>
      <c r="D462" t="str">
        <f>IF(SALE!D466=0,"",SALE!D466)</f>
        <v/>
      </c>
      <c r="E462" s="10" t="str">
        <f>IF(SALE!E466=0,"",SALE!E466)</f>
        <v/>
      </c>
      <c r="F462" s="10" t="str">
        <f>IF(SALE!F466=0,"",SALE!F466)</f>
        <v/>
      </c>
      <c r="G462" s="2" t="str">
        <f>IF(SALE!G466=0,"",SALE!G466)</f>
        <v/>
      </c>
      <c r="H462" t="str">
        <f>IF(SALE!H466=0,"",SALE!H466)</f>
        <v/>
      </c>
      <c r="I462" t="str">
        <f>IF(SALE!I466=0,"",SALE!I466)</f>
        <v/>
      </c>
      <c r="J462" t="str">
        <f>IF(SALE!J466=0,"",SALE!J466)</f>
        <v/>
      </c>
    </row>
    <row r="463" spans="1:10">
      <c r="A463">
        <f>IF(SALE!A467=0,"",SALE!A467)</f>
        <v>462</v>
      </c>
      <c r="B463" t="str">
        <f>IF(SALE!B467=0,"",SALE!B467)</f>
        <v/>
      </c>
      <c r="C463" t="str">
        <f>IF(SALE!C467=0,"",SALE!C467)</f>
        <v/>
      </c>
      <c r="D463" t="str">
        <f>IF(SALE!D467=0,"",SALE!D467)</f>
        <v/>
      </c>
      <c r="E463" s="10" t="str">
        <f>IF(SALE!E467=0,"",SALE!E467)</f>
        <v/>
      </c>
      <c r="F463" s="10" t="str">
        <f>IF(SALE!F467=0,"",SALE!F467)</f>
        <v/>
      </c>
      <c r="G463" s="2" t="str">
        <f>IF(SALE!G467=0,"",SALE!G467)</f>
        <v/>
      </c>
      <c r="H463" t="str">
        <f>IF(SALE!H467=0,"",SALE!H467)</f>
        <v/>
      </c>
      <c r="I463" t="str">
        <f>IF(SALE!I467=0,"",SALE!I467)</f>
        <v/>
      </c>
      <c r="J463" t="str">
        <f>IF(SALE!J467=0,"",SALE!J467)</f>
        <v/>
      </c>
    </row>
    <row r="464" spans="1:10">
      <c r="A464">
        <f>IF(SALE!A468=0,"",SALE!A468)</f>
        <v>463</v>
      </c>
      <c r="B464" t="str">
        <f>IF(SALE!B468=0,"",SALE!B468)</f>
        <v/>
      </c>
      <c r="C464" t="str">
        <f>IF(SALE!C468=0,"",SALE!C468)</f>
        <v/>
      </c>
      <c r="D464" t="str">
        <f>IF(SALE!D468=0,"",SALE!D468)</f>
        <v/>
      </c>
      <c r="E464" s="10" t="str">
        <f>IF(SALE!E468=0,"",SALE!E468)</f>
        <v/>
      </c>
      <c r="F464" s="10" t="str">
        <f>IF(SALE!F468=0,"",SALE!F468)</f>
        <v/>
      </c>
      <c r="G464" s="2" t="str">
        <f>IF(SALE!G468=0,"",SALE!G468)</f>
        <v/>
      </c>
      <c r="H464" t="str">
        <f>IF(SALE!H468=0,"",SALE!H468)</f>
        <v/>
      </c>
      <c r="I464" t="str">
        <f>IF(SALE!I468=0,"",SALE!I468)</f>
        <v/>
      </c>
      <c r="J464" t="str">
        <f>IF(SALE!J468=0,"",SALE!J468)</f>
        <v/>
      </c>
    </row>
    <row r="465" spans="1:10">
      <c r="A465">
        <f>IF(SALE!A469=0,"",SALE!A469)</f>
        <v>464</v>
      </c>
      <c r="B465" t="str">
        <f>IF(SALE!B469=0,"",SALE!B469)</f>
        <v/>
      </c>
      <c r="C465" t="str">
        <f>IF(SALE!C469=0,"",SALE!C469)</f>
        <v/>
      </c>
      <c r="D465" t="str">
        <f>IF(SALE!D469=0,"",SALE!D469)</f>
        <v/>
      </c>
      <c r="E465" s="10" t="str">
        <f>IF(SALE!E469=0,"",SALE!E469)</f>
        <v/>
      </c>
      <c r="F465" s="10" t="str">
        <f>IF(SALE!F469=0,"",SALE!F469)</f>
        <v/>
      </c>
      <c r="G465" s="2" t="str">
        <f>IF(SALE!G469=0,"",SALE!G469)</f>
        <v/>
      </c>
      <c r="H465" t="str">
        <f>IF(SALE!H469=0,"",SALE!H469)</f>
        <v/>
      </c>
      <c r="I465" t="str">
        <f>IF(SALE!I469=0,"",SALE!I469)</f>
        <v/>
      </c>
      <c r="J465" t="str">
        <f>IF(SALE!J469=0,"",SALE!J469)</f>
        <v/>
      </c>
    </row>
    <row r="466" spans="1:10">
      <c r="A466">
        <f>IF(SALE!A470=0,"",SALE!A470)</f>
        <v>465</v>
      </c>
      <c r="B466" t="str">
        <f>IF(SALE!B470=0,"",SALE!B470)</f>
        <v/>
      </c>
      <c r="C466" t="str">
        <f>IF(SALE!C470=0,"",SALE!C470)</f>
        <v/>
      </c>
      <c r="D466" t="str">
        <f>IF(SALE!D470=0,"",SALE!D470)</f>
        <v/>
      </c>
      <c r="E466" s="10" t="str">
        <f>IF(SALE!E470=0,"",SALE!E470)</f>
        <v/>
      </c>
      <c r="F466" s="10" t="str">
        <f>IF(SALE!F470=0,"",SALE!F470)</f>
        <v/>
      </c>
      <c r="G466" s="2" t="str">
        <f>IF(SALE!G470=0,"",SALE!G470)</f>
        <v/>
      </c>
      <c r="H466" t="str">
        <f>IF(SALE!H470=0,"",SALE!H470)</f>
        <v/>
      </c>
      <c r="I466" t="str">
        <f>IF(SALE!I470=0,"",SALE!I470)</f>
        <v/>
      </c>
      <c r="J466" t="str">
        <f>IF(SALE!J470=0,"",SALE!J470)</f>
        <v/>
      </c>
    </row>
    <row r="467" spans="1:10">
      <c r="A467">
        <f>IF(SALE!A471=0,"",SALE!A471)</f>
        <v>466</v>
      </c>
      <c r="B467" t="str">
        <f>IF(SALE!B471=0,"",SALE!B471)</f>
        <v/>
      </c>
      <c r="C467" t="str">
        <f>IF(SALE!C471=0,"",SALE!C471)</f>
        <v/>
      </c>
      <c r="D467" t="str">
        <f>IF(SALE!D471=0,"",SALE!D471)</f>
        <v/>
      </c>
      <c r="E467" s="10" t="str">
        <f>IF(SALE!E471=0,"",SALE!E471)</f>
        <v/>
      </c>
      <c r="F467" s="10" t="str">
        <f>IF(SALE!F471=0,"",SALE!F471)</f>
        <v/>
      </c>
      <c r="G467" s="2" t="str">
        <f>IF(SALE!G471=0,"",SALE!G471)</f>
        <v/>
      </c>
      <c r="H467" t="str">
        <f>IF(SALE!H471=0,"",SALE!H471)</f>
        <v/>
      </c>
      <c r="I467" t="str">
        <f>IF(SALE!I471=0,"",SALE!I471)</f>
        <v/>
      </c>
      <c r="J467" t="str">
        <f>IF(SALE!J471=0,"",SALE!J471)</f>
        <v/>
      </c>
    </row>
    <row r="468" spans="1:10">
      <c r="A468">
        <f>IF(SALE!A472=0,"",SALE!A472)</f>
        <v>467</v>
      </c>
      <c r="B468" t="str">
        <f>IF(SALE!B472=0,"",SALE!B472)</f>
        <v/>
      </c>
      <c r="C468" t="str">
        <f>IF(SALE!C472=0,"",SALE!C472)</f>
        <v/>
      </c>
      <c r="D468" t="str">
        <f>IF(SALE!D472=0,"",SALE!D472)</f>
        <v/>
      </c>
      <c r="E468" s="10" t="str">
        <f>IF(SALE!E472=0,"",SALE!E472)</f>
        <v/>
      </c>
      <c r="F468" s="10" t="str">
        <f>IF(SALE!F472=0,"",SALE!F472)</f>
        <v/>
      </c>
      <c r="G468" s="2" t="str">
        <f>IF(SALE!G472=0,"",SALE!G472)</f>
        <v/>
      </c>
      <c r="H468" t="str">
        <f>IF(SALE!H472=0,"",SALE!H472)</f>
        <v/>
      </c>
      <c r="I468" t="str">
        <f>IF(SALE!I472=0,"",SALE!I472)</f>
        <v/>
      </c>
      <c r="J468" t="str">
        <f>IF(SALE!J472=0,"",SALE!J472)</f>
        <v/>
      </c>
    </row>
    <row r="469" spans="1:10">
      <c r="A469">
        <f>IF(SALE!A473=0,"",SALE!A473)</f>
        <v>468</v>
      </c>
      <c r="B469" t="str">
        <f>IF(SALE!B473=0,"",SALE!B473)</f>
        <v/>
      </c>
      <c r="C469" t="str">
        <f>IF(SALE!C473=0,"",SALE!C473)</f>
        <v/>
      </c>
      <c r="D469" t="str">
        <f>IF(SALE!D473=0,"",SALE!D473)</f>
        <v/>
      </c>
      <c r="E469" s="10" t="str">
        <f>IF(SALE!E473=0,"",SALE!E473)</f>
        <v/>
      </c>
      <c r="F469" s="10" t="str">
        <f>IF(SALE!F473=0,"",SALE!F473)</f>
        <v/>
      </c>
      <c r="G469" s="2" t="str">
        <f>IF(SALE!G473=0,"",SALE!G473)</f>
        <v/>
      </c>
      <c r="H469" t="str">
        <f>IF(SALE!H473=0,"",SALE!H473)</f>
        <v/>
      </c>
      <c r="I469" t="str">
        <f>IF(SALE!I473=0,"",SALE!I473)</f>
        <v/>
      </c>
      <c r="J469" t="str">
        <f>IF(SALE!J473=0,"",SALE!J473)</f>
        <v/>
      </c>
    </row>
    <row r="470" spans="1:10">
      <c r="A470">
        <f>IF(SALE!A474=0,"",SALE!A474)</f>
        <v>469</v>
      </c>
      <c r="B470" t="str">
        <f>IF(SALE!B474=0,"",SALE!B474)</f>
        <v/>
      </c>
      <c r="C470" t="str">
        <f>IF(SALE!C474=0,"",SALE!C474)</f>
        <v/>
      </c>
      <c r="D470" t="str">
        <f>IF(SALE!D474=0,"",SALE!D474)</f>
        <v/>
      </c>
      <c r="E470" s="10" t="str">
        <f>IF(SALE!E474=0,"",SALE!E474)</f>
        <v/>
      </c>
      <c r="F470" s="10" t="str">
        <f>IF(SALE!F474=0,"",SALE!F474)</f>
        <v/>
      </c>
      <c r="G470" s="2" t="str">
        <f>IF(SALE!G474=0,"",SALE!G474)</f>
        <v/>
      </c>
      <c r="H470" t="str">
        <f>IF(SALE!H474=0,"",SALE!H474)</f>
        <v/>
      </c>
      <c r="I470" t="str">
        <f>IF(SALE!I474=0,"",SALE!I474)</f>
        <v/>
      </c>
      <c r="J470" t="str">
        <f>IF(SALE!J474=0,"",SALE!J474)</f>
        <v/>
      </c>
    </row>
    <row r="471" spans="1:10">
      <c r="A471">
        <f>IF(SALE!A475=0,"",SALE!A475)</f>
        <v>470</v>
      </c>
      <c r="B471" t="str">
        <f>IF(SALE!B475=0,"",SALE!B475)</f>
        <v/>
      </c>
      <c r="C471" t="str">
        <f>IF(SALE!C475=0,"",SALE!C475)</f>
        <v/>
      </c>
      <c r="D471" t="str">
        <f>IF(SALE!D475=0,"",SALE!D475)</f>
        <v/>
      </c>
      <c r="E471" s="10" t="str">
        <f>IF(SALE!E475=0,"",SALE!E475)</f>
        <v/>
      </c>
      <c r="F471" s="10" t="str">
        <f>IF(SALE!F475=0,"",SALE!F475)</f>
        <v/>
      </c>
      <c r="G471" s="2" t="str">
        <f>IF(SALE!G475=0,"",SALE!G475)</f>
        <v/>
      </c>
      <c r="H471" t="str">
        <f>IF(SALE!H475=0,"",SALE!H475)</f>
        <v/>
      </c>
      <c r="I471" t="str">
        <f>IF(SALE!I475=0,"",SALE!I475)</f>
        <v/>
      </c>
      <c r="J471" t="str">
        <f>IF(SALE!J475=0,"",SALE!J475)</f>
        <v/>
      </c>
    </row>
    <row r="472" spans="1:10">
      <c r="A472">
        <f>IF(SALE!A476=0,"",SALE!A476)</f>
        <v>471</v>
      </c>
      <c r="B472" t="str">
        <f>IF(SALE!B476=0,"",SALE!B476)</f>
        <v/>
      </c>
      <c r="C472" t="str">
        <f>IF(SALE!C476=0,"",SALE!C476)</f>
        <v/>
      </c>
      <c r="D472" t="str">
        <f>IF(SALE!D476=0,"",SALE!D476)</f>
        <v/>
      </c>
      <c r="E472" s="10" t="str">
        <f>IF(SALE!E476=0,"",SALE!E476)</f>
        <v/>
      </c>
      <c r="F472" s="10" t="str">
        <f>IF(SALE!F476=0,"",SALE!F476)</f>
        <v/>
      </c>
      <c r="G472" s="2" t="str">
        <f>IF(SALE!G476=0,"",SALE!G476)</f>
        <v/>
      </c>
      <c r="H472" t="str">
        <f>IF(SALE!H476=0,"",SALE!H476)</f>
        <v/>
      </c>
      <c r="I472" t="str">
        <f>IF(SALE!I476=0,"",SALE!I476)</f>
        <v/>
      </c>
      <c r="J472" t="str">
        <f>IF(SALE!J476=0,"",SALE!J476)</f>
        <v/>
      </c>
    </row>
    <row r="473" spans="1:10">
      <c r="A473">
        <f>IF(SALE!A477=0,"",SALE!A477)</f>
        <v>472</v>
      </c>
      <c r="B473" t="str">
        <f>IF(SALE!B477=0,"",SALE!B477)</f>
        <v/>
      </c>
      <c r="C473" t="str">
        <f>IF(SALE!C477=0,"",SALE!C477)</f>
        <v/>
      </c>
      <c r="D473" t="str">
        <f>IF(SALE!D477=0,"",SALE!D477)</f>
        <v/>
      </c>
      <c r="E473" s="10" t="str">
        <f>IF(SALE!E477=0,"",SALE!E477)</f>
        <v/>
      </c>
      <c r="F473" s="10" t="str">
        <f>IF(SALE!F477=0,"",SALE!F477)</f>
        <v/>
      </c>
      <c r="G473" s="2" t="str">
        <f>IF(SALE!G477=0,"",SALE!G477)</f>
        <v/>
      </c>
      <c r="H473" t="str">
        <f>IF(SALE!H477=0,"",SALE!H477)</f>
        <v/>
      </c>
      <c r="I473" t="str">
        <f>IF(SALE!I477=0,"",SALE!I477)</f>
        <v/>
      </c>
      <c r="J473" t="str">
        <f>IF(SALE!J477=0,"",SALE!J477)</f>
        <v/>
      </c>
    </row>
    <row r="474" spans="1:10">
      <c r="A474">
        <f>IF(SALE!A478=0,"",SALE!A478)</f>
        <v>473</v>
      </c>
      <c r="B474" t="str">
        <f>IF(SALE!B478=0,"",SALE!B478)</f>
        <v/>
      </c>
      <c r="C474" t="str">
        <f>IF(SALE!C478=0,"",SALE!C478)</f>
        <v/>
      </c>
      <c r="D474" t="str">
        <f>IF(SALE!D478=0,"",SALE!D478)</f>
        <v/>
      </c>
      <c r="E474" s="10" t="str">
        <f>IF(SALE!E478=0,"",SALE!E478)</f>
        <v/>
      </c>
      <c r="F474" s="10" t="str">
        <f>IF(SALE!F478=0,"",SALE!F478)</f>
        <v/>
      </c>
      <c r="G474" s="2" t="str">
        <f>IF(SALE!G478=0,"",SALE!G478)</f>
        <v/>
      </c>
      <c r="H474" t="str">
        <f>IF(SALE!H478=0,"",SALE!H478)</f>
        <v/>
      </c>
      <c r="I474" t="str">
        <f>IF(SALE!I478=0,"",SALE!I478)</f>
        <v/>
      </c>
      <c r="J474" t="str">
        <f>IF(SALE!J478=0,"",SALE!J478)</f>
        <v/>
      </c>
    </row>
    <row r="475" spans="1:10">
      <c r="A475">
        <f>IF(SALE!A479=0,"",SALE!A479)</f>
        <v>474</v>
      </c>
      <c r="B475" t="str">
        <f>IF(SALE!B479=0,"",SALE!B479)</f>
        <v/>
      </c>
      <c r="C475" t="str">
        <f>IF(SALE!C479=0,"",SALE!C479)</f>
        <v/>
      </c>
      <c r="D475" t="str">
        <f>IF(SALE!D479=0,"",SALE!D479)</f>
        <v/>
      </c>
      <c r="E475" s="10" t="str">
        <f>IF(SALE!E479=0,"",SALE!E479)</f>
        <v/>
      </c>
      <c r="F475" s="10" t="str">
        <f>IF(SALE!F479=0,"",SALE!F479)</f>
        <v/>
      </c>
      <c r="G475" s="2" t="str">
        <f>IF(SALE!G479=0,"",SALE!G479)</f>
        <v/>
      </c>
      <c r="H475" t="str">
        <f>IF(SALE!H479=0,"",SALE!H479)</f>
        <v/>
      </c>
      <c r="I475" t="str">
        <f>IF(SALE!I479=0,"",SALE!I479)</f>
        <v/>
      </c>
      <c r="J475" t="str">
        <f>IF(SALE!J479=0,"",SALE!J479)</f>
        <v/>
      </c>
    </row>
    <row r="476" spans="1:10">
      <c r="A476">
        <f>IF(SALE!A480=0,"",SALE!A480)</f>
        <v>475</v>
      </c>
      <c r="B476" t="str">
        <f>IF(SALE!B480=0,"",SALE!B480)</f>
        <v/>
      </c>
      <c r="C476" t="str">
        <f>IF(SALE!C480=0,"",SALE!C480)</f>
        <v/>
      </c>
      <c r="D476" t="str">
        <f>IF(SALE!D480=0,"",SALE!D480)</f>
        <v/>
      </c>
      <c r="E476" s="10" t="str">
        <f>IF(SALE!E480=0,"",SALE!E480)</f>
        <v/>
      </c>
      <c r="F476" s="10" t="str">
        <f>IF(SALE!F480=0,"",SALE!F480)</f>
        <v/>
      </c>
      <c r="G476" s="2" t="str">
        <f>IF(SALE!G480=0,"",SALE!G480)</f>
        <v/>
      </c>
      <c r="H476" t="str">
        <f>IF(SALE!H480=0,"",SALE!H480)</f>
        <v/>
      </c>
      <c r="I476" t="str">
        <f>IF(SALE!I480=0,"",SALE!I480)</f>
        <v/>
      </c>
      <c r="J476" t="str">
        <f>IF(SALE!J480=0,"",SALE!J480)</f>
        <v/>
      </c>
    </row>
    <row r="477" spans="1:10">
      <c r="A477">
        <f>IF(SALE!A481=0,"",SALE!A481)</f>
        <v>476</v>
      </c>
      <c r="B477" t="str">
        <f>IF(SALE!B481=0,"",SALE!B481)</f>
        <v/>
      </c>
      <c r="C477" t="str">
        <f>IF(SALE!C481=0,"",SALE!C481)</f>
        <v/>
      </c>
      <c r="D477" t="str">
        <f>IF(SALE!D481=0,"",SALE!D481)</f>
        <v/>
      </c>
      <c r="E477" s="10" t="str">
        <f>IF(SALE!E481=0,"",SALE!E481)</f>
        <v/>
      </c>
      <c r="F477" s="10" t="str">
        <f>IF(SALE!F481=0,"",SALE!F481)</f>
        <v/>
      </c>
      <c r="G477" s="2" t="str">
        <f>IF(SALE!G481=0,"",SALE!G481)</f>
        <v/>
      </c>
      <c r="H477" t="str">
        <f>IF(SALE!H481=0,"",SALE!H481)</f>
        <v/>
      </c>
      <c r="I477" t="str">
        <f>IF(SALE!I481=0,"",SALE!I481)</f>
        <v/>
      </c>
      <c r="J477" t="str">
        <f>IF(SALE!J481=0,"",SALE!J481)</f>
        <v/>
      </c>
    </row>
    <row r="478" spans="1:10">
      <c r="A478">
        <f>IF(SALE!A482=0,"",SALE!A482)</f>
        <v>477</v>
      </c>
      <c r="B478" t="str">
        <f>IF(SALE!B482=0,"",SALE!B482)</f>
        <v/>
      </c>
      <c r="C478" t="str">
        <f>IF(SALE!C482=0,"",SALE!C482)</f>
        <v/>
      </c>
      <c r="D478" t="str">
        <f>IF(SALE!D482=0,"",SALE!D482)</f>
        <v/>
      </c>
      <c r="E478" s="10" t="str">
        <f>IF(SALE!E482=0,"",SALE!E482)</f>
        <v/>
      </c>
      <c r="F478" s="10" t="str">
        <f>IF(SALE!F482=0,"",SALE!F482)</f>
        <v/>
      </c>
      <c r="G478" s="2" t="str">
        <f>IF(SALE!G482=0,"",SALE!G482)</f>
        <v/>
      </c>
      <c r="H478" t="str">
        <f>IF(SALE!H482=0,"",SALE!H482)</f>
        <v/>
      </c>
      <c r="I478" t="str">
        <f>IF(SALE!I482=0,"",SALE!I482)</f>
        <v/>
      </c>
      <c r="J478" t="str">
        <f>IF(SALE!J482=0,"",SALE!J482)</f>
        <v/>
      </c>
    </row>
    <row r="479" spans="1:10">
      <c r="A479">
        <f>IF(SALE!A483=0,"",SALE!A483)</f>
        <v>478</v>
      </c>
      <c r="B479" t="str">
        <f>IF(SALE!B483=0,"",SALE!B483)</f>
        <v/>
      </c>
      <c r="C479" t="str">
        <f>IF(SALE!C483=0,"",SALE!C483)</f>
        <v/>
      </c>
      <c r="D479" t="str">
        <f>IF(SALE!D483=0,"",SALE!D483)</f>
        <v/>
      </c>
      <c r="E479" s="10" t="str">
        <f>IF(SALE!E483=0,"",SALE!E483)</f>
        <v/>
      </c>
      <c r="F479" s="10" t="str">
        <f>IF(SALE!F483=0,"",SALE!F483)</f>
        <v/>
      </c>
      <c r="G479" s="2" t="str">
        <f>IF(SALE!G483=0,"",SALE!G483)</f>
        <v/>
      </c>
      <c r="H479" t="str">
        <f>IF(SALE!H483=0,"",SALE!H483)</f>
        <v/>
      </c>
      <c r="I479" t="str">
        <f>IF(SALE!I483=0,"",SALE!I483)</f>
        <v/>
      </c>
      <c r="J479" t="str">
        <f>IF(SALE!J483=0,"",SALE!J483)</f>
        <v/>
      </c>
    </row>
    <row r="480" spans="1:10">
      <c r="A480">
        <f>IF(SALE!A484=0,"",SALE!A484)</f>
        <v>479</v>
      </c>
      <c r="B480" t="str">
        <f>IF(SALE!B484=0,"",SALE!B484)</f>
        <v/>
      </c>
      <c r="C480" t="str">
        <f>IF(SALE!C484=0,"",SALE!C484)</f>
        <v/>
      </c>
      <c r="D480" t="str">
        <f>IF(SALE!D484=0,"",SALE!D484)</f>
        <v/>
      </c>
      <c r="E480" s="10" t="str">
        <f>IF(SALE!E484=0,"",SALE!E484)</f>
        <v/>
      </c>
      <c r="F480" s="10" t="str">
        <f>IF(SALE!F484=0,"",SALE!F484)</f>
        <v/>
      </c>
      <c r="G480" s="2" t="str">
        <f>IF(SALE!G484=0,"",SALE!G484)</f>
        <v/>
      </c>
      <c r="H480" t="str">
        <f>IF(SALE!H484=0,"",SALE!H484)</f>
        <v/>
      </c>
      <c r="I480" t="str">
        <f>IF(SALE!I484=0,"",SALE!I484)</f>
        <v/>
      </c>
      <c r="J480" t="str">
        <f>IF(SALE!J484=0,"",SALE!J484)</f>
        <v/>
      </c>
    </row>
    <row r="481" spans="1:10">
      <c r="A481">
        <f>IF(SALE!A485=0,"",SALE!A485)</f>
        <v>480</v>
      </c>
      <c r="B481" t="str">
        <f>IF(SALE!B485=0,"",SALE!B485)</f>
        <v/>
      </c>
      <c r="C481" t="str">
        <f>IF(SALE!C485=0,"",SALE!C485)</f>
        <v/>
      </c>
      <c r="D481" t="str">
        <f>IF(SALE!D485=0,"",SALE!D485)</f>
        <v/>
      </c>
      <c r="E481" s="10" t="str">
        <f>IF(SALE!E485=0,"",SALE!E485)</f>
        <v/>
      </c>
      <c r="F481" s="10" t="str">
        <f>IF(SALE!F485=0,"",SALE!F485)</f>
        <v/>
      </c>
      <c r="G481" s="2" t="str">
        <f>IF(SALE!G485=0,"",SALE!G485)</f>
        <v/>
      </c>
      <c r="H481" t="str">
        <f>IF(SALE!H485=0,"",SALE!H485)</f>
        <v/>
      </c>
      <c r="I481" t="str">
        <f>IF(SALE!I485=0,"",SALE!I485)</f>
        <v/>
      </c>
      <c r="J481" t="str">
        <f>IF(SALE!J485=0,"",SALE!J485)</f>
        <v/>
      </c>
    </row>
    <row r="482" spans="1:10">
      <c r="A482">
        <f>IF(SALE!A486=0,"",SALE!A486)</f>
        <v>481</v>
      </c>
      <c r="B482" t="str">
        <f>IF(SALE!B486=0,"",SALE!B486)</f>
        <v/>
      </c>
      <c r="C482" t="str">
        <f>IF(SALE!C486=0,"",SALE!C486)</f>
        <v/>
      </c>
      <c r="D482" t="str">
        <f>IF(SALE!D486=0,"",SALE!D486)</f>
        <v/>
      </c>
      <c r="E482" s="10" t="str">
        <f>IF(SALE!E486=0,"",SALE!E486)</f>
        <v/>
      </c>
      <c r="F482" s="10" t="str">
        <f>IF(SALE!F486=0,"",SALE!F486)</f>
        <v/>
      </c>
      <c r="G482" s="2" t="str">
        <f>IF(SALE!G486=0,"",SALE!G486)</f>
        <v/>
      </c>
      <c r="H482" t="str">
        <f>IF(SALE!H486=0,"",SALE!H486)</f>
        <v/>
      </c>
      <c r="I482" t="str">
        <f>IF(SALE!I486=0,"",SALE!I486)</f>
        <v/>
      </c>
      <c r="J482" t="str">
        <f>IF(SALE!J486=0,"",SALE!J486)</f>
        <v/>
      </c>
    </row>
    <row r="483" spans="1:10">
      <c r="A483">
        <f>IF(SALE!A487=0,"",SALE!A487)</f>
        <v>482</v>
      </c>
      <c r="B483" t="str">
        <f>IF(SALE!B487=0,"",SALE!B487)</f>
        <v/>
      </c>
      <c r="C483" t="str">
        <f>IF(SALE!C487=0,"",SALE!C487)</f>
        <v/>
      </c>
      <c r="D483" t="str">
        <f>IF(SALE!D487=0,"",SALE!D487)</f>
        <v/>
      </c>
      <c r="E483" s="10" t="str">
        <f>IF(SALE!E487=0,"",SALE!E487)</f>
        <v/>
      </c>
      <c r="F483" s="10" t="str">
        <f>IF(SALE!F487=0,"",SALE!F487)</f>
        <v/>
      </c>
      <c r="G483" s="2" t="str">
        <f>IF(SALE!G487=0,"",SALE!G487)</f>
        <v/>
      </c>
      <c r="H483" t="str">
        <f>IF(SALE!H487=0,"",SALE!H487)</f>
        <v/>
      </c>
      <c r="I483" t="str">
        <f>IF(SALE!I487=0,"",SALE!I487)</f>
        <v/>
      </c>
      <c r="J483" t="str">
        <f>IF(SALE!J487=0,"",SALE!J487)</f>
        <v/>
      </c>
    </row>
    <row r="484" spans="1:10">
      <c r="A484">
        <f>IF(SALE!A488=0,"",SALE!A488)</f>
        <v>483</v>
      </c>
      <c r="B484" t="str">
        <f>IF(SALE!B488=0,"",SALE!B488)</f>
        <v/>
      </c>
      <c r="C484" t="str">
        <f>IF(SALE!C488=0,"",SALE!C488)</f>
        <v/>
      </c>
      <c r="D484" t="str">
        <f>IF(SALE!D488=0,"",SALE!D488)</f>
        <v/>
      </c>
      <c r="E484" s="10" t="str">
        <f>IF(SALE!E488=0,"",SALE!E488)</f>
        <v/>
      </c>
      <c r="F484" s="10" t="str">
        <f>IF(SALE!F488=0,"",SALE!F488)</f>
        <v/>
      </c>
      <c r="G484" s="2" t="str">
        <f>IF(SALE!G488=0,"",SALE!G488)</f>
        <v/>
      </c>
      <c r="H484" t="str">
        <f>IF(SALE!H488=0,"",SALE!H488)</f>
        <v/>
      </c>
      <c r="I484" t="str">
        <f>IF(SALE!I488=0,"",SALE!I488)</f>
        <v/>
      </c>
      <c r="J484" t="str">
        <f>IF(SALE!J488=0,"",SALE!J488)</f>
        <v/>
      </c>
    </row>
    <row r="485" spans="1:10">
      <c r="A485">
        <f>IF(SALE!A489=0,"",SALE!A489)</f>
        <v>484</v>
      </c>
      <c r="B485" t="str">
        <f>IF(SALE!B489=0,"",SALE!B489)</f>
        <v/>
      </c>
      <c r="C485" t="str">
        <f>IF(SALE!C489=0,"",SALE!C489)</f>
        <v/>
      </c>
      <c r="D485" t="str">
        <f>IF(SALE!D489=0,"",SALE!D489)</f>
        <v/>
      </c>
      <c r="E485" s="10" t="str">
        <f>IF(SALE!E489=0,"",SALE!E489)</f>
        <v/>
      </c>
      <c r="F485" s="10" t="str">
        <f>IF(SALE!F489=0,"",SALE!F489)</f>
        <v/>
      </c>
      <c r="G485" s="2" t="str">
        <f>IF(SALE!G489=0,"",SALE!G489)</f>
        <v/>
      </c>
      <c r="H485" t="str">
        <f>IF(SALE!H489=0,"",SALE!H489)</f>
        <v/>
      </c>
      <c r="I485" t="str">
        <f>IF(SALE!I489=0,"",SALE!I489)</f>
        <v/>
      </c>
      <c r="J485" t="str">
        <f>IF(SALE!J489=0,"",SALE!J489)</f>
        <v/>
      </c>
    </row>
    <row r="486" spans="1:10">
      <c r="A486">
        <f>IF(SALE!A490=0,"",SALE!A490)</f>
        <v>485</v>
      </c>
      <c r="B486" t="str">
        <f>IF(SALE!B490=0,"",SALE!B490)</f>
        <v/>
      </c>
      <c r="C486" t="str">
        <f>IF(SALE!C490=0,"",SALE!C490)</f>
        <v/>
      </c>
      <c r="D486" t="str">
        <f>IF(SALE!D490=0,"",SALE!D490)</f>
        <v/>
      </c>
      <c r="E486" s="10" t="str">
        <f>IF(SALE!E490=0,"",SALE!E490)</f>
        <v/>
      </c>
      <c r="F486" s="10" t="str">
        <f>IF(SALE!F490=0,"",SALE!F490)</f>
        <v/>
      </c>
      <c r="G486" s="2" t="str">
        <f>IF(SALE!G490=0,"",SALE!G490)</f>
        <v/>
      </c>
      <c r="H486" t="str">
        <f>IF(SALE!H490=0,"",SALE!H490)</f>
        <v/>
      </c>
      <c r="I486" t="str">
        <f>IF(SALE!I490=0,"",SALE!I490)</f>
        <v/>
      </c>
      <c r="J486" t="str">
        <f>IF(SALE!J490=0,"",SALE!J490)</f>
        <v/>
      </c>
    </row>
    <row r="487" spans="1:10">
      <c r="A487">
        <f>IF(SALE!A491=0,"",SALE!A491)</f>
        <v>486</v>
      </c>
      <c r="B487" t="str">
        <f>IF(SALE!B491=0,"",SALE!B491)</f>
        <v/>
      </c>
      <c r="C487" t="str">
        <f>IF(SALE!C491=0,"",SALE!C491)</f>
        <v/>
      </c>
      <c r="D487" t="str">
        <f>IF(SALE!D491=0,"",SALE!D491)</f>
        <v/>
      </c>
      <c r="E487" s="10" t="str">
        <f>IF(SALE!E491=0,"",SALE!E491)</f>
        <v/>
      </c>
      <c r="F487" s="10" t="str">
        <f>IF(SALE!F491=0,"",SALE!F491)</f>
        <v/>
      </c>
      <c r="G487" s="2" t="str">
        <f>IF(SALE!G491=0,"",SALE!G491)</f>
        <v/>
      </c>
      <c r="H487" t="str">
        <f>IF(SALE!H491=0,"",SALE!H491)</f>
        <v/>
      </c>
      <c r="I487" t="str">
        <f>IF(SALE!I491=0,"",SALE!I491)</f>
        <v/>
      </c>
      <c r="J487" t="str">
        <f>IF(SALE!J491=0,"",SALE!J491)</f>
        <v/>
      </c>
    </row>
    <row r="488" spans="1:10">
      <c r="A488">
        <f>IF(SALE!A492=0,"",SALE!A492)</f>
        <v>487</v>
      </c>
      <c r="B488" t="str">
        <f>IF(SALE!B492=0,"",SALE!B492)</f>
        <v/>
      </c>
      <c r="C488" t="str">
        <f>IF(SALE!C492=0,"",SALE!C492)</f>
        <v/>
      </c>
      <c r="D488" t="str">
        <f>IF(SALE!D492=0,"",SALE!D492)</f>
        <v/>
      </c>
      <c r="E488" s="10" t="str">
        <f>IF(SALE!E492=0,"",SALE!E492)</f>
        <v/>
      </c>
      <c r="F488" s="10" t="str">
        <f>IF(SALE!F492=0,"",SALE!F492)</f>
        <v/>
      </c>
      <c r="G488" s="2" t="str">
        <f>IF(SALE!G492=0,"",SALE!G492)</f>
        <v/>
      </c>
      <c r="H488" t="str">
        <f>IF(SALE!H492=0,"",SALE!H492)</f>
        <v/>
      </c>
      <c r="I488" t="str">
        <f>IF(SALE!I492=0,"",SALE!I492)</f>
        <v/>
      </c>
      <c r="J488" t="str">
        <f>IF(SALE!J492=0,"",SALE!J492)</f>
        <v/>
      </c>
    </row>
    <row r="489" spans="1:10">
      <c r="A489">
        <f>IF(SALE!A493=0,"",SALE!A493)</f>
        <v>488</v>
      </c>
      <c r="B489" t="str">
        <f>IF(SALE!B493=0,"",SALE!B493)</f>
        <v/>
      </c>
      <c r="C489" t="str">
        <f>IF(SALE!C493=0,"",SALE!C493)</f>
        <v/>
      </c>
      <c r="D489" t="str">
        <f>IF(SALE!D493=0,"",SALE!D493)</f>
        <v/>
      </c>
      <c r="E489" s="10" t="str">
        <f>IF(SALE!E493=0,"",SALE!E493)</f>
        <v/>
      </c>
      <c r="F489" s="10" t="str">
        <f>IF(SALE!F493=0,"",SALE!F493)</f>
        <v/>
      </c>
      <c r="G489" s="2" t="str">
        <f>IF(SALE!G493=0,"",SALE!G493)</f>
        <v/>
      </c>
      <c r="H489" t="str">
        <f>IF(SALE!H493=0,"",SALE!H493)</f>
        <v/>
      </c>
      <c r="I489" t="str">
        <f>IF(SALE!I493=0,"",SALE!I493)</f>
        <v/>
      </c>
      <c r="J489" t="str">
        <f>IF(SALE!J493=0,"",SALE!J493)</f>
        <v/>
      </c>
    </row>
    <row r="490" spans="1:10">
      <c r="A490">
        <f>IF(SALE!A494=0,"",SALE!A494)</f>
        <v>489</v>
      </c>
      <c r="B490" t="str">
        <f>IF(SALE!B494=0,"",SALE!B494)</f>
        <v/>
      </c>
      <c r="C490" t="str">
        <f>IF(SALE!C494=0,"",SALE!C494)</f>
        <v/>
      </c>
      <c r="D490" t="str">
        <f>IF(SALE!D494=0,"",SALE!D494)</f>
        <v/>
      </c>
      <c r="E490" s="10" t="str">
        <f>IF(SALE!E494=0,"",SALE!E494)</f>
        <v/>
      </c>
      <c r="F490" s="10" t="str">
        <f>IF(SALE!F494=0,"",SALE!F494)</f>
        <v/>
      </c>
      <c r="G490" s="2" t="str">
        <f>IF(SALE!G494=0,"",SALE!G494)</f>
        <v/>
      </c>
      <c r="H490" t="str">
        <f>IF(SALE!H494=0,"",SALE!H494)</f>
        <v/>
      </c>
      <c r="I490" t="str">
        <f>IF(SALE!I494=0,"",SALE!I494)</f>
        <v/>
      </c>
      <c r="J490" t="str">
        <f>IF(SALE!J494=0,"",SALE!J494)</f>
        <v/>
      </c>
    </row>
    <row r="491" spans="1:10">
      <c r="A491">
        <f>IF(SALE!A495=0,"",SALE!A495)</f>
        <v>490</v>
      </c>
      <c r="B491" t="str">
        <f>IF(SALE!B495=0,"",SALE!B495)</f>
        <v/>
      </c>
      <c r="C491" t="str">
        <f>IF(SALE!C495=0,"",SALE!C495)</f>
        <v/>
      </c>
      <c r="D491" t="str">
        <f>IF(SALE!D495=0,"",SALE!D495)</f>
        <v/>
      </c>
      <c r="E491" s="10" t="str">
        <f>IF(SALE!E495=0,"",SALE!E495)</f>
        <v/>
      </c>
      <c r="F491" s="10" t="str">
        <f>IF(SALE!F495=0,"",SALE!F495)</f>
        <v/>
      </c>
      <c r="G491" s="2" t="str">
        <f>IF(SALE!G495=0,"",SALE!G495)</f>
        <v/>
      </c>
      <c r="H491" t="str">
        <f>IF(SALE!H495=0,"",SALE!H495)</f>
        <v/>
      </c>
      <c r="I491" t="str">
        <f>IF(SALE!I495=0,"",SALE!I495)</f>
        <v/>
      </c>
      <c r="J491" t="str">
        <f>IF(SALE!J495=0,"",SALE!J495)</f>
        <v/>
      </c>
    </row>
    <row r="492" spans="1:10">
      <c r="A492">
        <f>IF(SALE!A496=0,"",SALE!A496)</f>
        <v>491</v>
      </c>
      <c r="B492" t="str">
        <f>IF(SALE!B496=0,"",SALE!B496)</f>
        <v/>
      </c>
      <c r="C492" t="str">
        <f>IF(SALE!C496=0,"",SALE!C496)</f>
        <v/>
      </c>
      <c r="D492" t="str">
        <f>IF(SALE!D496=0,"",SALE!D496)</f>
        <v/>
      </c>
      <c r="E492" s="10" t="str">
        <f>IF(SALE!E496=0,"",SALE!E496)</f>
        <v/>
      </c>
      <c r="F492" s="10" t="str">
        <f>IF(SALE!F496=0,"",SALE!F496)</f>
        <v/>
      </c>
      <c r="G492" s="2" t="str">
        <f>IF(SALE!G496=0,"",SALE!G496)</f>
        <v/>
      </c>
      <c r="H492" t="str">
        <f>IF(SALE!H496=0,"",SALE!H496)</f>
        <v/>
      </c>
      <c r="I492" t="str">
        <f>IF(SALE!I496=0,"",SALE!I496)</f>
        <v/>
      </c>
      <c r="J492" t="str">
        <f>IF(SALE!J496=0,"",SALE!J496)</f>
        <v/>
      </c>
    </row>
    <row r="493" spans="1:10">
      <c r="A493">
        <f>IF(SALE!A497=0,"",SALE!A497)</f>
        <v>492</v>
      </c>
      <c r="B493" t="str">
        <f>IF(SALE!B497=0,"",SALE!B497)</f>
        <v/>
      </c>
      <c r="C493" t="str">
        <f>IF(SALE!C497=0,"",SALE!C497)</f>
        <v/>
      </c>
      <c r="D493" t="str">
        <f>IF(SALE!D497=0,"",SALE!D497)</f>
        <v/>
      </c>
      <c r="E493" s="10" t="str">
        <f>IF(SALE!E497=0,"",SALE!E497)</f>
        <v/>
      </c>
      <c r="F493" s="10" t="str">
        <f>IF(SALE!F497=0,"",SALE!F497)</f>
        <v/>
      </c>
      <c r="G493" s="2" t="str">
        <f>IF(SALE!G497=0,"",SALE!G497)</f>
        <v/>
      </c>
      <c r="H493" t="str">
        <f>IF(SALE!H497=0,"",SALE!H497)</f>
        <v/>
      </c>
      <c r="I493" t="str">
        <f>IF(SALE!I497=0,"",SALE!I497)</f>
        <v/>
      </c>
      <c r="J493" t="str">
        <f>IF(SALE!J497=0,"",SALE!J497)</f>
        <v/>
      </c>
    </row>
    <row r="494" spans="1:10">
      <c r="A494">
        <f>IF(SALE!A498=0,"",SALE!A498)</f>
        <v>493</v>
      </c>
      <c r="B494" t="str">
        <f>IF(SALE!B498=0,"",SALE!B498)</f>
        <v/>
      </c>
      <c r="C494" t="str">
        <f>IF(SALE!C498=0,"",SALE!C498)</f>
        <v/>
      </c>
      <c r="D494" t="str">
        <f>IF(SALE!D498=0,"",SALE!D498)</f>
        <v/>
      </c>
      <c r="E494" s="10" t="str">
        <f>IF(SALE!E498=0,"",SALE!E498)</f>
        <v/>
      </c>
      <c r="F494" s="10" t="str">
        <f>IF(SALE!F498=0,"",SALE!F498)</f>
        <v/>
      </c>
      <c r="G494" s="2" t="str">
        <f>IF(SALE!G498=0,"",SALE!G498)</f>
        <v/>
      </c>
      <c r="H494" t="str">
        <f>IF(SALE!H498=0,"",SALE!H498)</f>
        <v/>
      </c>
      <c r="I494" t="str">
        <f>IF(SALE!I498=0,"",SALE!I498)</f>
        <v/>
      </c>
      <c r="J494" t="str">
        <f>IF(SALE!J498=0,"",SALE!J498)</f>
        <v/>
      </c>
    </row>
    <row r="495" spans="1:10">
      <c r="A495">
        <f>IF(SALE!A499=0,"",SALE!A499)</f>
        <v>494</v>
      </c>
      <c r="B495" t="str">
        <f>IF(SALE!B499=0,"",SALE!B499)</f>
        <v/>
      </c>
      <c r="C495" t="str">
        <f>IF(SALE!C499=0,"",SALE!C499)</f>
        <v/>
      </c>
      <c r="D495" t="str">
        <f>IF(SALE!D499=0,"",SALE!D499)</f>
        <v/>
      </c>
      <c r="E495" s="10" t="str">
        <f>IF(SALE!E499=0,"",SALE!E499)</f>
        <v/>
      </c>
      <c r="F495" s="10" t="str">
        <f>IF(SALE!F499=0,"",SALE!F499)</f>
        <v/>
      </c>
      <c r="G495" s="2" t="str">
        <f>IF(SALE!G499=0,"",SALE!G499)</f>
        <v/>
      </c>
      <c r="H495" t="str">
        <f>IF(SALE!H499=0,"",SALE!H499)</f>
        <v/>
      </c>
      <c r="I495" t="str">
        <f>IF(SALE!I499=0,"",SALE!I499)</f>
        <v/>
      </c>
      <c r="J495" t="str">
        <f>IF(SALE!J499=0,"",SALE!J499)</f>
        <v/>
      </c>
    </row>
    <row r="496" spans="1:10">
      <c r="A496">
        <f>IF(SALE!A500=0,"",SALE!A500)</f>
        <v>495</v>
      </c>
      <c r="B496" t="str">
        <f>IF(SALE!B500=0,"",SALE!B500)</f>
        <v/>
      </c>
      <c r="C496" t="str">
        <f>IF(SALE!C500=0,"",SALE!C500)</f>
        <v/>
      </c>
      <c r="D496" t="str">
        <f>IF(SALE!D500=0,"",SALE!D500)</f>
        <v/>
      </c>
      <c r="E496" s="10" t="str">
        <f>IF(SALE!E500=0,"",SALE!E500)</f>
        <v/>
      </c>
      <c r="F496" s="10" t="str">
        <f>IF(SALE!F500=0,"",SALE!F500)</f>
        <v/>
      </c>
      <c r="G496" s="2" t="str">
        <f>IF(SALE!G500=0,"",SALE!G500)</f>
        <v/>
      </c>
      <c r="H496" t="str">
        <f>IF(SALE!H500=0,"",SALE!H500)</f>
        <v/>
      </c>
      <c r="I496" t="str">
        <f>IF(SALE!I500=0,"",SALE!I500)</f>
        <v/>
      </c>
      <c r="J496" t="str">
        <f>IF(SALE!J500=0,"",SALE!J500)</f>
        <v/>
      </c>
    </row>
    <row r="497" spans="1:10">
      <c r="A497">
        <f>IF(SALE!A501=0,"",SALE!A501)</f>
        <v>496</v>
      </c>
      <c r="B497" t="str">
        <f>IF(SALE!B501=0,"",SALE!B501)</f>
        <v/>
      </c>
      <c r="C497" t="str">
        <f>IF(SALE!C501=0,"",SALE!C501)</f>
        <v/>
      </c>
      <c r="D497" t="str">
        <f>IF(SALE!D501=0,"",SALE!D501)</f>
        <v/>
      </c>
      <c r="E497" s="10" t="str">
        <f>IF(SALE!E501=0,"",SALE!E501)</f>
        <v/>
      </c>
      <c r="F497" s="10" t="str">
        <f>IF(SALE!F501=0,"",SALE!F501)</f>
        <v/>
      </c>
      <c r="G497" s="2" t="str">
        <f>IF(SALE!G501=0,"",SALE!G501)</f>
        <v/>
      </c>
      <c r="H497" t="str">
        <f>IF(SALE!H501=0,"",SALE!H501)</f>
        <v/>
      </c>
      <c r="I497" t="str">
        <f>IF(SALE!I501=0,"",SALE!I501)</f>
        <v/>
      </c>
      <c r="J497" t="str">
        <f>IF(SALE!J501=0,"",SALE!J501)</f>
        <v/>
      </c>
    </row>
    <row r="498" spans="1:10">
      <c r="A498">
        <f>IF(SALE!A502=0,"",SALE!A502)</f>
        <v>497</v>
      </c>
      <c r="B498" t="str">
        <f>IF(SALE!B502=0,"",SALE!B502)</f>
        <v/>
      </c>
      <c r="C498" t="str">
        <f>IF(SALE!C502=0,"",SALE!C502)</f>
        <v/>
      </c>
      <c r="D498" t="str">
        <f>IF(SALE!D502=0,"",SALE!D502)</f>
        <v/>
      </c>
      <c r="E498" s="10" t="str">
        <f>IF(SALE!E502=0,"",SALE!E502)</f>
        <v/>
      </c>
      <c r="F498" s="10" t="str">
        <f>IF(SALE!F502=0,"",SALE!F502)</f>
        <v/>
      </c>
      <c r="G498" s="2" t="str">
        <f>IF(SALE!G502=0,"",SALE!G502)</f>
        <v/>
      </c>
      <c r="H498" t="str">
        <f>IF(SALE!H502=0,"",SALE!H502)</f>
        <v/>
      </c>
      <c r="I498" t="str">
        <f>IF(SALE!I502=0,"",SALE!I502)</f>
        <v/>
      </c>
      <c r="J498" t="str">
        <f>IF(SALE!J502=0,"",SALE!J502)</f>
        <v/>
      </c>
    </row>
    <row r="499" spans="1:10">
      <c r="A499">
        <f>IF(SALE!A503=0,"",SALE!A503)</f>
        <v>498</v>
      </c>
      <c r="B499" t="str">
        <f>IF(SALE!B503=0,"",SALE!B503)</f>
        <v/>
      </c>
      <c r="C499" t="str">
        <f>IF(SALE!C503=0,"",SALE!C503)</f>
        <v/>
      </c>
      <c r="D499" t="str">
        <f>IF(SALE!D503=0,"",SALE!D503)</f>
        <v/>
      </c>
      <c r="E499" s="10" t="str">
        <f>IF(SALE!E503=0,"",SALE!E503)</f>
        <v/>
      </c>
      <c r="F499" s="10" t="str">
        <f>IF(SALE!F503=0,"",SALE!F503)</f>
        <v/>
      </c>
      <c r="G499" s="2" t="str">
        <f>IF(SALE!G503=0,"",SALE!G503)</f>
        <v/>
      </c>
      <c r="H499" t="str">
        <f>IF(SALE!H503=0,"",SALE!H503)</f>
        <v/>
      </c>
      <c r="I499" t="str">
        <f>IF(SALE!I503=0,"",SALE!I503)</f>
        <v/>
      </c>
      <c r="J499" t="str">
        <f>IF(SALE!J503=0,"",SALE!J503)</f>
        <v/>
      </c>
    </row>
    <row r="500" spans="1:10">
      <c r="A500">
        <f>IF(SALE!A504=0,"",SALE!A504)</f>
        <v>499</v>
      </c>
      <c r="B500" t="str">
        <f>IF(SALE!B504=0,"",SALE!B504)</f>
        <v/>
      </c>
      <c r="C500" t="str">
        <f>IF(SALE!C504=0,"",SALE!C504)</f>
        <v/>
      </c>
      <c r="D500" t="str">
        <f>IF(SALE!D504=0,"",SALE!D504)</f>
        <v/>
      </c>
      <c r="E500" s="10" t="str">
        <f>IF(SALE!E504=0,"",SALE!E504)</f>
        <v/>
      </c>
      <c r="F500" s="10" t="str">
        <f>IF(SALE!F504=0,"",SALE!F504)</f>
        <v/>
      </c>
      <c r="G500" s="2" t="str">
        <f>IF(SALE!G504=0,"",SALE!G504)</f>
        <v/>
      </c>
      <c r="H500" t="str">
        <f>IF(SALE!H504=0,"",SALE!H504)</f>
        <v/>
      </c>
      <c r="I500" t="str">
        <f>IF(SALE!I504=0,"",SALE!I504)</f>
        <v/>
      </c>
      <c r="J500" t="str">
        <f>IF(SALE!J504=0,"",SALE!J504)</f>
        <v/>
      </c>
    </row>
    <row r="501" spans="1:10">
      <c r="A501">
        <f>IF(SALE!A505=0,"",SALE!A505)</f>
        <v>500</v>
      </c>
      <c r="B501" t="str">
        <f>IF(SALE!B505=0,"",SALE!B505)</f>
        <v/>
      </c>
      <c r="C501" t="str">
        <f>IF(SALE!C505=0,"",SALE!C505)</f>
        <v/>
      </c>
      <c r="D501" t="str">
        <f>IF(SALE!D505=0,"",SALE!D505)</f>
        <v/>
      </c>
      <c r="E501" s="10" t="str">
        <f>IF(SALE!E505=0,"",SALE!E505)</f>
        <v/>
      </c>
      <c r="F501" s="10" t="str">
        <f>IF(SALE!F505=0,"",SALE!F505)</f>
        <v/>
      </c>
      <c r="G501" s="2" t="str">
        <f>IF(SALE!G505=0,"",SALE!G505)</f>
        <v/>
      </c>
      <c r="H501" t="str">
        <f>IF(SALE!H505=0,"",SALE!H505)</f>
        <v/>
      </c>
      <c r="I501" t="str">
        <f>IF(SALE!I505=0,"",SALE!I505)</f>
        <v/>
      </c>
      <c r="J501" t="str">
        <f>IF(SALE!J505=0,"",SALE!J505)</f>
        <v/>
      </c>
    </row>
    <row r="502" spans="1:10">
      <c r="A502">
        <f>IF(SALE!A506=0,"",SALE!A506)</f>
        <v>501</v>
      </c>
      <c r="B502" t="str">
        <f>IF(SALE!B506=0,"",SALE!B506)</f>
        <v/>
      </c>
      <c r="C502" t="str">
        <f>IF(SALE!C506=0,"",SALE!C506)</f>
        <v/>
      </c>
      <c r="D502" t="str">
        <f>IF(SALE!D506=0,"",SALE!D506)</f>
        <v/>
      </c>
      <c r="E502" s="10" t="str">
        <f>IF(SALE!E506=0,"",SALE!E506)</f>
        <v/>
      </c>
      <c r="F502" s="10" t="str">
        <f>IF(SALE!F506=0,"",SALE!F506)</f>
        <v/>
      </c>
      <c r="G502" s="2" t="str">
        <f>IF(SALE!G506=0,"",SALE!G506)</f>
        <v/>
      </c>
      <c r="H502" t="str">
        <f>IF(SALE!H506=0,"",SALE!H506)</f>
        <v/>
      </c>
      <c r="I502" t="str">
        <f>IF(SALE!I506=0,"",SALE!I506)</f>
        <v/>
      </c>
      <c r="J502" t="str">
        <f>IF(SALE!J506=0,"",SALE!J506)</f>
        <v/>
      </c>
    </row>
    <row r="503" spans="1:10">
      <c r="A503">
        <f>IF(SALE!A507=0,"",SALE!A507)</f>
        <v>502</v>
      </c>
      <c r="B503" t="str">
        <f>IF(SALE!B507=0,"",SALE!B507)</f>
        <v/>
      </c>
      <c r="C503" t="str">
        <f>IF(SALE!C507=0,"",SALE!C507)</f>
        <v/>
      </c>
      <c r="D503" t="str">
        <f>IF(SALE!D507=0,"",SALE!D507)</f>
        <v/>
      </c>
      <c r="E503" s="10" t="str">
        <f>IF(SALE!E507=0,"",SALE!E507)</f>
        <v/>
      </c>
      <c r="F503" s="10" t="str">
        <f>IF(SALE!F507=0,"",SALE!F507)</f>
        <v/>
      </c>
      <c r="G503" s="2" t="str">
        <f>IF(SALE!G507=0,"",SALE!G507)</f>
        <v/>
      </c>
      <c r="H503" t="str">
        <f>IF(SALE!H507=0,"",SALE!H507)</f>
        <v/>
      </c>
      <c r="I503" t="str">
        <f>IF(SALE!I507=0,"",SALE!I507)</f>
        <v/>
      </c>
      <c r="J503" t="str">
        <f>IF(SALE!J507=0,"",SALE!J507)</f>
        <v/>
      </c>
    </row>
    <row r="504" spans="1:10">
      <c r="A504">
        <f>IF(SALE!A508=0,"",SALE!A508)</f>
        <v>503</v>
      </c>
      <c r="B504" t="str">
        <f>IF(SALE!B508=0,"",SALE!B508)</f>
        <v/>
      </c>
      <c r="C504" t="str">
        <f>IF(SALE!C508=0,"",SALE!C508)</f>
        <v/>
      </c>
      <c r="D504" t="str">
        <f>IF(SALE!D508=0,"",SALE!D508)</f>
        <v/>
      </c>
      <c r="E504" s="10" t="str">
        <f>IF(SALE!E508=0,"",SALE!E508)</f>
        <v/>
      </c>
      <c r="F504" s="10" t="str">
        <f>IF(SALE!F508=0,"",SALE!F508)</f>
        <v/>
      </c>
      <c r="G504" s="2" t="str">
        <f>IF(SALE!G508=0,"",SALE!G508)</f>
        <v/>
      </c>
      <c r="H504" t="str">
        <f>IF(SALE!H508=0,"",SALE!H508)</f>
        <v/>
      </c>
      <c r="I504" t="str">
        <f>IF(SALE!I508=0,"",SALE!I508)</f>
        <v/>
      </c>
      <c r="J504" t="str">
        <f>IF(SALE!J508=0,"",SALE!J508)</f>
        <v/>
      </c>
    </row>
    <row r="505" spans="1:10">
      <c r="A505">
        <f>IF(SALE!A509=0,"",SALE!A509)</f>
        <v>504</v>
      </c>
      <c r="B505" t="str">
        <f>IF(SALE!B509=0,"",SALE!B509)</f>
        <v/>
      </c>
      <c r="C505" t="str">
        <f>IF(SALE!C509=0,"",SALE!C509)</f>
        <v/>
      </c>
      <c r="D505" t="str">
        <f>IF(SALE!D509=0,"",SALE!D509)</f>
        <v/>
      </c>
      <c r="E505" s="10" t="str">
        <f>IF(SALE!E509=0,"",SALE!E509)</f>
        <v/>
      </c>
      <c r="F505" s="10" t="str">
        <f>IF(SALE!F509=0,"",SALE!F509)</f>
        <v/>
      </c>
      <c r="G505" s="2" t="str">
        <f>IF(SALE!G509=0,"",SALE!G509)</f>
        <v/>
      </c>
      <c r="H505" t="str">
        <f>IF(SALE!H509=0,"",SALE!H509)</f>
        <v/>
      </c>
      <c r="I505" t="str">
        <f>IF(SALE!I509=0,"",SALE!I509)</f>
        <v/>
      </c>
      <c r="J505" t="str">
        <f>IF(SALE!J509=0,"",SALE!J509)</f>
        <v/>
      </c>
    </row>
    <row r="506" spans="1:10">
      <c r="A506">
        <f>IF(SALE!A510=0,"",SALE!A510)</f>
        <v>505</v>
      </c>
      <c r="B506" t="str">
        <f>IF(SALE!B510=0,"",SALE!B510)</f>
        <v/>
      </c>
      <c r="C506" t="str">
        <f>IF(SALE!C510=0,"",SALE!C510)</f>
        <v/>
      </c>
      <c r="D506" t="str">
        <f>IF(SALE!D510=0,"",SALE!D510)</f>
        <v/>
      </c>
      <c r="E506" s="10" t="str">
        <f>IF(SALE!E510=0,"",SALE!E510)</f>
        <v/>
      </c>
      <c r="F506" s="10" t="str">
        <f>IF(SALE!F510=0,"",SALE!F510)</f>
        <v/>
      </c>
      <c r="G506" s="2" t="str">
        <f>IF(SALE!G510=0,"",SALE!G510)</f>
        <v/>
      </c>
      <c r="H506" t="str">
        <f>IF(SALE!H510=0,"",SALE!H510)</f>
        <v/>
      </c>
      <c r="I506" t="str">
        <f>IF(SALE!I510=0,"",SALE!I510)</f>
        <v/>
      </c>
      <c r="J506" t="str">
        <f>IF(SALE!J510=0,"",SALE!J510)</f>
        <v/>
      </c>
    </row>
    <row r="507" spans="1:10">
      <c r="A507">
        <f>IF(SALE!A511=0,"",SALE!A511)</f>
        <v>506</v>
      </c>
      <c r="B507" t="str">
        <f>IF(SALE!B511=0,"",SALE!B511)</f>
        <v/>
      </c>
      <c r="C507" t="str">
        <f>IF(SALE!C511=0,"",SALE!C511)</f>
        <v/>
      </c>
      <c r="D507" t="str">
        <f>IF(SALE!D511=0,"",SALE!D511)</f>
        <v/>
      </c>
      <c r="E507" s="10" t="str">
        <f>IF(SALE!E511=0,"",SALE!E511)</f>
        <v/>
      </c>
      <c r="F507" s="10" t="str">
        <f>IF(SALE!F511=0,"",SALE!F511)</f>
        <v/>
      </c>
      <c r="G507" s="2" t="str">
        <f>IF(SALE!G511=0,"",SALE!G511)</f>
        <v/>
      </c>
      <c r="H507" t="str">
        <f>IF(SALE!H511=0,"",SALE!H511)</f>
        <v/>
      </c>
      <c r="I507" t="str">
        <f>IF(SALE!I511=0,"",SALE!I511)</f>
        <v/>
      </c>
      <c r="J507" t="str">
        <f>IF(SALE!J511=0,"",SALE!J511)</f>
        <v/>
      </c>
    </row>
    <row r="508" spans="1:10">
      <c r="A508">
        <f>IF(SALE!A512=0,"",SALE!A512)</f>
        <v>507</v>
      </c>
      <c r="B508" t="str">
        <f>IF(SALE!B512=0,"",SALE!B512)</f>
        <v/>
      </c>
      <c r="C508" t="str">
        <f>IF(SALE!C512=0,"",SALE!C512)</f>
        <v/>
      </c>
      <c r="D508" t="str">
        <f>IF(SALE!D512=0,"",SALE!D512)</f>
        <v/>
      </c>
      <c r="E508" s="10" t="str">
        <f>IF(SALE!E512=0,"",SALE!E512)</f>
        <v/>
      </c>
      <c r="F508" s="10" t="str">
        <f>IF(SALE!F512=0,"",SALE!F512)</f>
        <v/>
      </c>
      <c r="G508" s="2" t="str">
        <f>IF(SALE!G512=0,"",SALE!G512)</f>
        <v/>
      </c>
      <c r="H508" t="str">
        <f>IF(SALE!H512=0,"",SALE!H512)</f>
        <v/>
      </c>
      <c r="I508" t="str">
        <f>IF(SALE!I512=0,"",SALE!I512)</f>
        <v/>
      </c>
      <c r="J508" t="str">
        <f>IF(SALE!J512=0,"",SALE!J512)</f>
        <v/>
      </c>
    </row>
    <row r="509" spans="1:10">
      <c r="A509">
        <f>IF(SALE!A513=0,"",SALE!A513)</f>
        <v>508</v>
      </c>
      <c r="B509" t="str">
        <f>IF(SALE!B513=0,"",SALE!B513)</f>
        <v/>
      </c>
      <c r="C509" t="str">
        <f>IF(SALE!C513=0,"",SALE!C513)</f>
        <v/>
      </c>
      <c r="D509" t="str">
        <f>IF(SALE!D513=0,"",SALE!D513)</f>
        <v/>
      </c>
      <c r="E509" s="10" t="str">
        <f>IF(SALE!E513=0,"",SALE!E513)</f>
        <v/>
      </c>
      <c r="F509" s="10" t="str">
        <f>IF(SALE!F513=0,"",SALE!F513)</f>
        <v/>
      </c>
      <c r="G509" s="2" t="str">
        <f>IF(SALE!G513=0,"",SALE!G513)</f>
        <v/>
      </c>
      <c r="H509" t="str">
        <f>IF(SALE!H513=0,"",SALE!H513)</f>
        <v/>
      </c>
      <c r="I509" t="str">
        <f>IF(SALE!I513=0,"",SALE!I513)</f>
        <v/>
      </c>
      <c r="J509" t="str">
        <f>IF(SALE!J513=0,"",SALE!J513)</f>
        <v/>
      </c>
    </row>
    <row r="510" spans="1:10">
      <c r="A510">
        <f>IF(SALE!A514=0,"",SALE!A514)</f>
        <v>509</v>
      </c>
      <c r="B510" t="str">
        <f>IF(SALE!B514=0,"",SALE!B514)</f>
        <v/>
      </c>
      <c r="C510" t="str">
        <f>IF(SALE!C514=0,"",SALE!C514)</f>
        <v/>
      </c>
      <c r="D510" t="str">
        <f>IF(SALE!D514=0,"",SALE!D514)</f>
        <v/>
      </c>
      <c r="E510" s="10" t="str">
        <f>IF(SALE!E514=0,"",SALE!E514)</f>
        <v/>
      </c>
      <c r="F510" s="10" t="str">
        <f>IF(SALE!F514=0,"",SALE!F514)</f>
        <v/>
      </c>
      <c r="G510" s="2" t="str">
        <f>IF(SALE!G514=0,"",SALE!G514)</f>
        <v/>
      </c>
      <c r="H510" t="str">
        <f>IF(SALE!H514=0,"",SALE!H514)</f>
        <v/>
      </c>
      <c r="I510" t="str">
        <f>IF(SALE!I514=0,"",SALE!I514)</f>
        <v/>
      </c>
      <c r="J510" t="str">
        <f>IF(SALE!J514=0,"",SALE!J514)</f>
        <v/>
      </c>
    </row>
    <row r="511" spans="1:10">
      <c r="A511">
        <f>IF(SALE!A515=0,"",SALE!A515)</f>
        <v>510</v>
      </c>
      <c r="B511" t="str">
        <f>IF(SALE!B515=0,"",SALE!B515)</f>
        <v/>
      </c>
      <c r="C511" t="str">
        <f>IF(SALE!C515=0,"",SALE!C515)</f>
        <v/>
      </c>
      <c r="D511" t="str">
        <f>IF(SALE!D515=0,"",SALE!D515)</f>
        <v/>
      </c>
      <c r="E511" s="10" t="str">
        <f>IF(SALE!E515=0,"",SALE!E515)</f>
        <v/>
      </c>
      <c r="F511" s="10" t="str">
        <f>IF(SALE!F515=0,"",SALE!F515)</f>
        <v/>
      </c>
      <c r="G511" s="2" t="str">
        <f>IF(SALE!G515=0,"",SALE!G515)</f>
        <v/>
      </c>
      <c r="H511" t="str">
        <f>IF(SALE!H515=0,"",SALE!H515)</f>
        <v/>
      </c>
      <c r="I511" t="str">
        <f>IF(SALE!I515=0,"",SALE!I515)</f>
        <v/>
      </c>
      <c r="J511" t="str">
        <f>IF(SALE!J515=0,"",SALE!J515)</f>
        <v/>
      </c>
    </row>
    <row r="512" spans="1:10">
      <c r="A512">
        <f>IF(SALE!A516=0,"",SALE!A516)</f>
        <v>511</v>
      </c>
      <c r="B512" t="str">
        <f>IF(SALE!B516=0,"",SALE!B516)</f>
        <v/>
      </c>
      <c r="C512" t="str">
        <f>IF(SALE!C516=0,"",SALE!C516)</f>
        <v/>
      </c>
      <c r="D512" t="str">
        <f>IF(SALE!D516=0,"",SALE!D516)</f>
        <v/>
      </c>
      <c r="E512" s="10" t="str">
        <f>IF(SALE!E516=0,"",SALE!E516)</f>
        <v/>
      </c>
      <c r="F512" s="10" t="str">
        <f>IF(SALE!F516=0,"",SALE!F516)</f>
        <v/>
      </c>
      <c r="G512" s="2" t="str">
        <f>IF(SALE!G516=0,"",SALE!G516)</f>
        <v/>
      </c>
      <c r="H512" t="str">
        <f>IF(SALE!H516=0,"",SALE!H516)</f>
        <v/>
      </c>
      <c r="I512" t="str">
        <f>IF(SALE!I516=0,"",SALE!I516)</f>
        <v/>
      </c>
      <c r="J512" t="str">
        <f>IF(SALE!J516=0,"",SALE!J516)</f>
        <v/>
      </c>
    </row>
    <row r="513" spans="1:10">
      <c r="A513">
        <f>IF(SALE!A517=0,"",SALE!A517)</f>
        <v>512</v>
      </c>
      <c r="B513" t="str">
        <f>IF(SALE!B517=0,"",SALE!B517)</f>
        <v/>
      </c>
      <c r="C513" t="str">
        <f>IF(SALE!C517=0,"",SALE!C517)</f>
        <v/>
      </c>
      <c r="D513" t="str">
        <f>IF(SALE!D517=0,"",SALE!D517)</f>
        <v/>
      </c>
      <c r="E513" s="10" t="str">
        <f>IF(SALE!E517=0,"",SALE!E517)</f>
        <v/>
      </c>
      <c r="F513" s="10" t="str">
        <f>IF(SALE!F517=0,"",SALE!F517)</f>
        <v/>
      </c>
      <c r="G513" s="2" t="str">
        <f>IF(SALE!G517=0,"",SALE!G517)</f>
        <v/>
      </c>
      <c r="H513" t="str">
        <f>IF(SALE!H517=0,"",SALE!H517)</f>
        <v/>
      </c>
      <c r="I513" t="str">
        <f>IF(SALE!I517=0,"",SALE!I517)</f>
        <v/>
      </c>
      <c r="J513" t="str">
        <f>IF(SALE!J517=0,"",SALE!J517)</f>
        <v/>
      </c>
    </row>
    <row r="514" spans="1:10">
      <c r="A514">
        <f>IF(SALE!A518=0,"",SALE!A518)</f>
        <v>513</v>
      </c>
      <c r="B514" t="str">
        <f>IF(SALE!B518=0,"",SALE!B518)</f>
        <v/>
      </c>
      <c r="C514" t="str">
        <f>IF(SALE!C518=0,"",SALE!C518)</f>
        <v/>
      </c>
      <c r="D514" t="str">
        <f>IF(SALE!D518=0,"",SALE!D518)</f>
        <v/>
      </c>
      <c r="E514" s="10" t="str">
        <f>IF(SALE!E518=0,"",SALE!E518)</f>
        <v/>
      </c>
      <c r="F514" s="10" t="str">
        <f>IF(SALE!F518=0,"",SALE!F518)</f>
        <v/>
      </c>
      <c r="G514" s="2" t="str">
        <f>IF(SALE!G518=0,"",SALE!G518)</f>
        <v/>
      </c>
      <c r="H514" t="str">
        <f>IF(SALE!H518=0,"",SALE!H518)</f>
        <v/>
      </c>
      <c r="I514" t="str">
        <f>IF(SALE!I518=0,"",SALE!I518)</f>
        <v/>
      </c>
      <c r="J514" t="str">
        <f>IF(SALE!J518=0,"",SALE!J518)</f>
        <v/>
      </c>
    </row>
    <row r="515" spans="1:10">
      <c r="A515">
        <f>IF(SALE!A519=0,"",SALE!A519)</f>
        <v>514</v>
      </c>
      <c r="B515" t="str">
        <f>IF(SALE!B519=0,"",SALE!B519)</f>
        <v/>
      </c>
      <c r="C515" t="str">
        <f>IF(SALE!C519=0,"",SALE!C519)</f>
        <v/>
      </c>
      <c r="D515" t="str">
        <f>IF(SALE!D519=0,"",SALE!D519)</f>
        <v/>
      </c>
      <c r="E515" s="10" t="str">
        <f>IF(SALE!E519=0,"",SALE!E519)</f>
        <v/>
      </c>
      <c r="F515" s="10" t="str">
        <f>IF(SALE!F519=0,"",SALE!F519)</f>
        <v/>
      </c>
      <c r="G515" s="2" t="str">
        <f>IF(SALE!G519=0,"",SALE!G519)</f>
        <v/>
      </c>
      <c r="H515" t="str">
        <f>IF(SALE!H519=0,"",SALE!H519)</f>
        <v/>
      </c>
      <c r="I515" t="str">
        <f>IF(SALE!I519=0,"",SALE!I519)</f>
        <v/>
      </c>
      <c r="J515" t="str">
        <f>IF(SALE!J519=0,"",SALE!J519)</f>
        <v/>
      </c>
    </row>
    <row r="516" spans="1:10">
      <c r="A516">
        <f>IF(SALE!A520=0,"",SALE!A520)</f>
        <v>515</v>
      </c>
      <c r="B516" t="str">
        <f>IF(SALE!B520=0,"",SALE!B520)</f>
        <v/>
      </c>
      <c r="C516" t="str">
        <f>IF(SALE!C520=0,"",SALE!C520)</f>
        <v/>
      </c>
      <c r="D516" t="str">
        <f>IF(SALE!D520=0,"",SALE!D520)</f>
        <v/>
      </c>
      <c r="E516" s="10" t="str">
        <f>IF(SALE!E520=0,"",SALE!E520)</f>
        <v/>
      </c>
      <c r="F516" s="10" t="str">
        <f>IF(SALE!F520=0,"",SALE!F520)</f>
        <v/>
      </c>
      <c r="G516" s="2" t="str">
        <f>IF(SALE!G520=0,"",SALE!G520)</f>
        <v/>
      </c>
      <c r="H516" t="str">
        <f>IF(SALE!H520=0,"",SALE!H520)</f>
        <v/>
      </c>
      <c r="I516" t="str">
        <f>IF(SALE!I520=0,"",SALE!I520)</f>
        <v/>
      </c>
      <c r="J516" t="str">
        <f>IF(SALE!J520=0,"",SALE!J520)</f>
        <v/>
      </c>
    </row>
    <row r="517" spans="1:10">
      <c r="A517">
        <f>IF(SALE!A521=0,"",SALE!A521)</f>
        <v>516</v>
      </c>
      <c r="B517" t="str">
        <f>IF(SALE!B521=0,"",SALE!B521)</f>
        <v/>
      </c>
      <c r="C517" t="str">
        <f>IF(SALE!C521=0,"",SALE!C521)</f>
        <v/>
      </c>
      <c r="D517" t="str">
        <f>IF(SALE!D521=0,"",SALE!D521)</f>
        <v/>
      </c>
      <c r="E517" s="10" t="str">
        <f>IF(SALE!E521=0,"",SALE!E521)</f>
        <v/>
      </c>
      <c r="F517" s="10" t="str">
        <f>IF(SALE!F521=0,"",SALE!F521)</f>
        <v/>
      </c>
      <c r="G517" s="2" t="str">
        <f>IF(SALE!G521=0,"",SALE!G521)</f>
        <v/>
      </c>
      <c r="H517" t="str">
        <f>IF(SALE!H521=0,"",SALE!H521)</f>
        <v/>
      </c>
      <c r="I517" t="str">
        <f>IF(SALE!I521=0,"",SALE!I521)</f>
        <v/>
      </c>
      <c r="J517" t="str">
        <f>IF(SALE!J521=0,"",SALE!J521)</f>
        <v/>
      </c>
    </row>
    <row r="518" spans="1:10">
      <c r="A518">
        <f>IF(SALE!A522=0,"",SALE!A522)</f>
        <v>517</v>
      </c>
      <c r="B518" t="str">
        <f>IF(SALE!B522=0,"",SALE!B522)</f>
        <v/>
      </c>
      <c r="C518" t="str">
        <f>IF(SALE!C522=0,"",SALE!C522)</f>
        <v/>
      </c>
      <c r="D518" t="str">
        <f>IF(SALE!D522=0,"",SALE!D522)</f>
        <v/>
      </c>
      <c r="E518" s="10" t="str">
        <f>IF(SALE!E522=0,"",SALE!E522)</f>
        <v/>
      </c>
      <c r="F518" s="10" t="str">
        <f>IF(SALE!F522=0,"",SALE!F522)</f>
        <v/>
      </c>
      <c r="G518" s="2" t="str">
        <f>IF(SALE!G522=0,"",SALE!G522)</f>
        <v/>
      </c>
      <c r="H518" t="str">
        <f>IF(SALE!H522=0,"",SALE!H522)</f>
        <v/>
      </c>
      <c r="I518" t="str">
        <f>IF(SALE!I522=0,"",SALE!I522)</f>
        <v/>
      </c>
      <c r="J518" t="str">
        <f>IF(SALE!J522=0,"",SALE!J522)</f>
        <v/>
      </c>
    </row>
    <row r="519" spans="1:10">
      <c r="A519">
        <f>IF(SALE!A523=0,"",SALE!A523)</f>
        <v>518</v>
      </c>
      <c r="B519" t="str">
        <f>IF(SALE!B523=0,"",SALE!B523)</f>
        <v/>
      </c>
      <c r="C519" t="str">
        <f>IF(SALE!C523=0,"",SALE!C523)</f>
        <v/>
      </c>
      <c r="D519" t="str">
        <f>IF(SALE!D523=0,"",SALE!D523)</f>
        <v/>
      </c>
      <c r="E519" s="10" t="str">
        <f>IF(SALE!E523=0,"",SALE!E523)</f>
        <v/>
      </c>
      <c r="F519" s="10" t="str">
        <f>IF(SALE!F523=0,"",SALE!F523)</f>
        <v/>
      </c>
      <c r="G519" s="2" t="str">
        <f>IF(SALE!G523=0,"",SALE!G523)</f>
        <v/>
      </c>
      <c r="H519" t="str">
        <f>IF(SALE!H523=0,"",SALE!H523)</f>
        <v/>
      </c>
      <c r="I519" t="str">
        <f>IF(SALE!I523=0,"",SALE!I523)</f>
        <v/>
      </c>
      <c r="J519" t="str">
        <f>IF(SALE!J523=0,"",SALE!J523)</f>
        <v/>
      </c>
    </row>
    <row r="520" spans="1:10">
      <c r="A520">
        <f>IF(SALE!A524=0,"",SALE!A524)</f>
        <v>519</v>
      </c>
      <c r="B520" t="str">
        <f>IF(SALE!B524=0,"",SALE!B524)</f>
        <v/>
      </c>
      <c r="C520" t="str">
        <f>IF(SALE!C524=0,"",SALE!C524)</f>
        <v/>
      </c>
      <c r="D520" t="str">
        <f>IF(SALE!D524=0,"",SALE!D524)</f>
        <v/>
      </c>
      <c r="E520" s="10" t="str">
        <f>IF(SALE!E524=0,"",SALE!E524)</f>
        <v/>
      </c>
      <c r="F520" s="10" t="str">
        <f>IF(SALE!F524=0,"",SALE!F524)</f>
        <v/>
      </c>
      <c r="G520" s="2" t="str">
        <f>IF(SALE!G524=0,"",SALE!G524)</f>
        <v/>
      </c>
      <c r="H520" t="str">
        <f>IF(SALE!H524=0,"",SALE!H524)</f>
        <v/>
      </c>
      <c r="I520" t="str">
        <f>IF(SALE!I524=0,"",SALE!I524)</f>
        <v/>
      </c>
      <c r="J520" t="str">
        <f>IF(SALE!J524=0,"",SALE!J524)</f>
        <v/>
      </c>
    </row>
    <row r="521" spans="1:10">
      <c r="A521">
        <f>IF(SALE!A525=0,"",SALE!A525)</f>
        <v>520</v>
      </c>
      <c r="B521" t="str">
        <f>IF(SALE!B525=0,"",SALE!B525)</f>
        <v/>
      </c>
      <c r="C521" t="str">
        <f>IF(SALE!C525=0,"",SALE!C525)</f>
        <v/>
      </c>
      <c r="D521" t="str">
        <f>IF(SALE!D525=0,"",SALE!D525)</f>
        <v/>
      </c>
      <c r="E521" s="10" t="str">
        <f>IF(SALE!E525=0,"",SALE!E525)</f>
        <v/>
      </c>
      <c r="F521" s="10" t="str">
        <f>IF(SALE!F525=0,"",SALE!F525)</f>
        <v/>
      </c>
      <c r="G521" s="2" t="str">
        <f>IF(SALE!G525=0,"",SALE!G525)</f>
        <v/>
      </c>
      <c r="H521" t="str">
        <f>IF(SALE!H525=0,"",SALE!H525)</f>
        <v/>
      </c>
      <c r="I521" t="str">
        <f>IF(SALE!I525=0,"",SALE!I525)</f>
        <v/>
      </c>
      <c r="J521" t="str">
        <f>IF(SALE!J525=0,"",SALE!J525)</f>
        <v/>
      </c>
    </row>
    <row r="522" spans="1:10">
      <c r="A522">
        <f>IF(SALE!A526=0,"",SALE!A526)</f>
        <v>521</v>
      </c>
      <c r="B522" t="str">
        <f>IF(SALE!B526=0,"",SALE!B526)</f>
        <v/>
      </c>
      <c r="C522" t="str">
        <f>IF(SALE!C526=0,"",SALE!C526)</f>
        <v/>
      </c>
      <c r="D522" t="str">
        <f>IF(SALE!D526=0,"",SALE!D526)</f>
        <v/>
      </c>
      <c r="E522" s="10" t="str">
        <f>IF(SALE!E526=0,"",SALE!E526)</f>
        <v/>
      </c>
      <c r="F522" s="10" t="str">
        <f>IF(SALE!F526=0,"",SALE!F526)</f>
        <v/>
      </c>
      <c r="G522" s="2" t="str">
        <f>IF(SALE!G526=0,"",SALE!G526)</f>
        <v/>
      </c>
      <c r="H522" t="str">
        <f>IF(SALE!H526=0,"",SALE!H526)</f>
        <v/>
      </c>
      <c r="I522" t="str">
        <f>IF(SALE!I526=0,"",SALE!I526)</f>
        <v/>
      </c>
      <c r="J522" t="str">
        <f>IF(SALE!J526=0,"",SALE!J526)</f>
        <v/>
      </c>
    </row>
    <row r="523" spans="1:10">
      <c r="A523">
        <f>IF(SALE!A527=0,"",SALE!A527)</f>
        <v>522</v>
      </c>
      <c r="B523" t="str">
        <f>IF(SALE!B527=0,"",SALE!B527)</f>
        <v/>
      </c>
      <c r="C523" t="str">
        <f>IF(SALE!C527=0,"",SALE!C527)</f>
        <v/>
      </c>
      <c r="D523" t="str">
        <f>IF(SALE!D527=0,"",SALE!D527)</f>
        <v/>
      </c>
      <c r="E523" s="10" t="str">
        <f>IF(SALE!E527=0,"",SALE!E527)</f>
        <v/>
      </c>
      <c r="F523" s="10" t="str">
        <f>IF(SALE!F527=0,"",SALE!F527)</f>
        <v/>
      </c>
      <c r="G523" s="2" t="str">
        <f>IF(SALE!G527=0,"",SALE!G527)</f>
        <v/>
      </c>
      <c r="H523" t="str">
        <f>IF(SALE!H527=0,"",SALE!H527)</f>
        <v/>
      </c>
      <c r="I523" t="str">
        <f>IF(SALE!I527=0,"",SALE!I527)</f>
        <v/>
      </c>
      <c r="J523" t="str">
        <f>IF(SALE!J527=0,"",SALE!J527)</f>
        <v/>
      </c>
    </row>
    <row r="524" spans="1:10">
      <c r="A524">
        <f>IF(SALE!A528=0,"",SALE!A528)</f>
        <v>523</v>
      </c>
      <c r="B524" t="str">
        <f>IF(SALE!B528=0,"",SALE!B528)</f>
        <v/>
      </c>
      <c r="C524" t="str">
        <f>IF(SALE!C528=0,"",SALE!C528)</f>
        <v/>
      </c>
      <c r="D524" t="str">
        <f>IF(SALE!D528=0,"",SALE!D528)</f>
        <v/>
      </c>
      <c r="E524" s="10" t="str">
        <f>IF(SALE!E528=0,"",SALE!E528)</f>
        <v/>
      </c>
      <c r="F524" s="10" t="str">
        <f>IF(SALE!F528=0,"",SALE!F528)</f>
        <v/>
      </c>
      <c r="G524" s="2" t="str">
        <f>IF(SALE!G528=0,"",SALE!G528)</f>
        <v/>
      </c>
      <c r="H524" t="str">
        <f>IF(SALE!H528=0,"",SALE!H528)</f>
        <v/>
      </c>
      <c r="I524" t="str">
        <f>IF(SALE!I528=0,"",SALE!I528)</f>
        <v/>
      </c>
      <c r="J524" t="str">
        <f>IF(SALE!J528=0,"",SALE!J528)</f>
        <v/>
      </c>
    </row>
    <row r="525" spans="1:10">
      <c r="A525">
        <f>IF(SALE!A529=0,"",SALE!A529)</f>
        <v>524</v>
      </c>
      <c r="B525" t="str">
        <f>IF(SALE!B529=0,"",SALE!B529)</f>
        <v/>
      </c>
      <c r="C525" t="str">
        <f>IF(SALE!C529=0,"",SALE!C529)</f>
        <v/>
      </c>
      <c r="D525" t="str">
        <f>IF(SALE!D529=0,"",SALE!D529)</f>
        <v/>
      </c>
      <c r="E525" s="10" t="str">
        <f>IF(SALE!E529=0,"",SALE!E529)</f>
        <v/>
      </c>
      <c r="F525" s="10" t="str">
        <f>IF(SALE!F529=0,"",SALE!F529)</f>
        <v/>
      </c>
      <c r="G525" s="2" t="str">
        <f>IF(SALE!G529=0,"",SALE!G529)</f>
        <v/>
      </c>
      <c r="H525" t="str">
        <f>IF(SALE!H529=0,"",SALE!H529)</f>
        <v/>
      </c>
      <c r="I525" t="str">
        <f>IF(SALE!I529=0,"",SALE!I529)</f>
        <v/>
      </c>
      <c r="J525" t="str">
        <f>IF(SALE!J529=0,"",SALE!J529)</f>
        <v/>
      </c>
    </row>
    <row r="526" spans="1:10">
      <c r="A526">
        <f>IF(SALE!A530=0,"",SALE!A530)</f>
        <v>525</v>
      </c>
      <c r="B526" t="str">
        <f>IF(SALE!B530=0,"",SALE!B530)</f>
        <v/>
      </c>
      <c r="C526" t="str">
        <f>IF(SALE!C530=0,"",SALE!C530)</f>
        <v/>
      </c>
      <c r="D526" t="str">
        <f>IF(SALE!D530=0,"",SALE!D530)</f>
        <v/>
      </c>
      <c r="E526" s="10" t="str">
        <f>IF(SALE!E530=0,"",SALE!E530)</f>
        <v/>
      </c>
      <c r="F526" s="10" t="str">
        <f>IF(SALE!F530=0,"",SALE!F530)</f>
        <v/>
      </c>
      <c r="G526" s="2" t="str">
        <f>IF(SALE!G530=0,"",SALE!G530)</f>
        <v/>
      </c>
      <c r="H526" t="str">
        <f>IF(SALE!H530=0,"",SALE!H530)</f>
        <v/>
      </c>
      <c r="I526" t="str">
        <f>IF(SALE!I530=0,"",SALE!I530)</f>
        <v/>
      </c>
      <c r="J526" t="str">
        <f>IF(SALE!J530=0,"",SALE!J530)</f>
        <v/>
      </c>
    </row>
    <row r="527" spans="1:10">
      <c r="A527">
        <f>IF(SALE!A531=0,"",SALE!A531)</f>
        <v>526</v>
      </c>
      <c r="B527" t="str">
        <f>IF(SALE!B531=0,"",SALE!B531)</f>
        <v/>
      </c>
      <c r="C527" t="str">
        <f>IF(SALE!C531=0,"",SALE!C531)</f>
        <v/>
      </c>
      <c r="D527" t="str">
        <f>IF(SALE!D531=0,"",SALE!D531)</f>
        <v/>
      </c>
      <c r="E527" s="10" t="str">
        <f>IF(SALE!E531=0,"",SALE!E531)</f>
        <v/>
      </c>
      <c r="F527" s="10" t="str">
        <f>IF(SALE!F531=0,"",SALE!F531)</f>
        <v/>
      </c>
      <c r="G527" s="2" t="str">
        <f>IF(SALE!G531=0,"",SALE!G531)</f>
        <v/>
      </c>
      <c r="H527" t="str">
        <f>IF(SALE!H531=0,"",SALE!H531)</f>
        <v/>
      </c>
      <c r="I527" t="str">
        <f>IF(SALE!I531=0,"",SALE!I531)</f>
        <v/>
      </c>
      <c r="J527" t="str">
        <f>IF(SALE!J531=0,"",SALE!J531)</f>
        <v/>
      </c>
    </row>
    <row r="528" spans="1:10">
      <c r="A528">
        <f>IF(SALE!A532=0,"",SALE!A532)</f>
        <v>527</v>
      </c>
      <c r="B528" t="str">
        <f>IF(SALE!B532=0,"",SALE!B532)</f>
        <v/>
      </c>
      <c r="C528" t="str">
        <f>IF(SALE!C532=0,"",SALE!C532)</f>
        <v/>
      </c>
      <c r="D528" t="str">
        <f>IF(SALE!D532=0,"",SALE!D532)</f>
        <v/>
      </c>
      <c r="E528" s="10" t="str">
        <f>IF(SALE!E532=0,"",SALE!E532)</f>
        <v/>
      </c>
      <c r="F528" s="10" t="str">
        <f>IF(SALE!F532=0,"",SALE!F532)</f>
        <v/>
      </c>
      <c r="G528" s="2" t="str">
        <f>IF(SALE!G532=0,"",SALE!G532)</f>
        <v/>
      </c>
      <c r="H528" t="str">
        <f>IF(SALE!H532=0,"",SALE!H532)</f>
        <v/>
      </c>
      <c r="I528" t="str">
        <f>IF(SALE!I532=0,"",SALE!I532)</f>
        <v/>
      </c>
      <c r="J528" t="str">
        <f>IF(SALE!J532=0,"",SALE!J532)</f>
        <v/>
      </c>
    </row>
    <row r="529" spans="1:10">
      <c r="A529">
        <f>IF(SALE!A533=0,"",SALE!A533)</f>
        <v>528</v>
      </c>
      <c r="B529" t="str">
        <f>IF(SALE!B533=0,"",SALE!B533)</f>
        <v/>
      </c>
      <c r="C529" t="str">
        <f>IF(SALE!C533=0,"",SALE!C533)</f>
        <v/>
      </c>
      <c r="D529" t="str">
        <f>IF(SALE!D533=0,"",SALE!D533)</f>
        <v/>
      </c>
      <c r="E529" s="10" t="str">
        <f>IF(SALE!E533=0,"",SALE!E533)</f>
        <v/>
      </c>
      <c r="F529" s="10" t="str">
        <f>IF(SALE!F533=0,"",SALE!F533)</f>
        <v/>
      </c>
      <c r="G529" s="2" t="str">
        <f>IF(SALE!G533=0,"",SALE!G533)</f>
        <v/>
      </c>
      <c r="H529" t="str">
        <f>IF(SALE!H533=0,"",SALE!H533)</f>
        <v/>
      </c>
      <c r="I529" t="str">
        <f>IF(SALE!I533=0,"",SALE!I533)</f>
        <v/>
      </c>
      <c r="J529" t="str">
        <f>IF(SALE!J533=0,"",SALE!J533)</f>
        <v/>
      </c>
    </row>
    <row r="530" spans="1:10">
      <c r="A530">
        <f>IF(SALE!A534=0,"",SALE!A534)</f>
        <v>529</v>
      </c>
      <c r="B530" t="str">
        <f>IF(SALE!B534=0,"",SALE!B534)</f>
        <v/>
      </c>
      <c r="C530" t="str">
        <f>IF(SALE!C534=0,"",SALE!C534)</f>
        <v/>
      </c>
      <c r="D530" t="str">
        <f>IF(SALE!D534=0,"",SALE!D534)</f>
        <v/>
      </c>
      <c r="E530" s="10" t="str">
        <f>IF(SALE!E534=0,"",SALE!E534)</f>
        <v/>
      </c>
      <c r="F530" s="10" t="str">
        <f>IF(SALE!F534=0,"",SALE!F534)</f>
        <v/>
      </c>
      <c r="G530" s="2" t="str">
        <f>IF(SALE!G534=0,"",SALE!G534)</f>
        <v/>
      </c>
      <c r="H530" t="str">
        <f>IF(SALE!H534=0,"",SALE!H534)</f>
        <v/>
      </c>
      <c r="I530" t="str">
        <f>IF(SALE!I534=0,"",SALE!I534)</f>
        <v/>
      </c>
      <c r="J530" t="str">
        <f>IF(SALE!J534=0,"",SALE!J534)</f>
        <v/>
      </c>
    </row>
    <row r="531" spans="1:10">
      <c r="A531">
        <f>IF(SALE!A535=0,"",SALE!A535)</f>
        <v>530</v>
      </c>
      <c r="B531" t="str">
        <f>IF(SALE!B535=0,"",SALE!B535)</f>
        <v/>
      </c>
      <c r="C531" t="str">
        <f>IF(SALE!C535=0,"",SALE!C535)</f>
        <v/>
      </c>
      <c r="D531" t="str">
        <f>IF(SALE!D535=0,"",SALE!D535)</f>
        <v/>
      </c>
      <c r="E531" s="10" t="str">
        <f>IF(SALE!E535=0,"",SALE!E535)</f>
        <v/>
      </c>
      <c r="F531" s="10" t="str">
        <f>IF(SALE!F535=0,"",SALE!F535)</f>
        <v/>
      </c>
      <c r="G531" s="2" t="str">
        <f>IF(SALE!G535=0,"",SALE!G535)</f>
        <v/>
      </c>
      <c r="H531" t="str">
        <f>IF(SALE!H535=0,"",SALE!H535)</f>
        <v/>
      </c>
      <c r="I531" t="str">
        <f>IF(SALE!I535=0,"",SALE!I535)</f>
        <v/>
      </c>
      <c r="J531" t="str">
        <f>IF(SALE!J535=0,"",SALE!J535)</f>
        <v/>
      </c>
    </row>
    <row r="532" spans="1:10">
      <c r="A532">
        <f>IF(SALE!A536=0,"",SALE!A536)</f>
        <v>531</v>
      </c>
      <c r="B532" t="str">
        <f>IF(SALE!B536=0,"",SALE!B536)</f>
        <v/>
      </c>
      <c r="C532" t="str">
        <f>IF(SALE!C536=0,"",SALE!C536)</f>
        <v/>
      </c>
      <c r="D532" t="str">
        <f>IF(SALE!D536=0,"",SALE!D536)</f>
        <v/>
      </c>
      <c r="E532" s="10" t="str">
        <f>IF(SALE!E536=0,"",SALE!E536)</f>
        <v/>
      </c>
      <c r="F532" s="10" t="str">
        <f>IF(SALE!F536=0,"",SALE!F536)</f>
        <v/>
      </c>
      <c r="G532" s="2" t="str">
        <f>IF(SALE!G536=0,"",SALE!G536)</f>
        <v/>
      </c>
      <c r="H532" t="str">
        <f>IF(SALE!H536=0,"",SALE!H536)</f>
        <v/>
      </c>
      <c r="I532" t="str">
        <f>IF(SALE!I536=0,"",SALE!I536)</f>
        <v/>
      </c>
      <c r="J532" t="str">
        <f>IF(SALE!J536=0,"",SALE!J536)</f>
        <v/>
      </c>
    </row>
    <row r="533" spans="1:10">
      <c r="A533">
        <f>IF(SALE!A537=0,"",SALE!A537)</f>
        <v>532</v>
      </c>
      <c r="B533" t="str">
        <f>IF(SALE!B537=0,"",SALE!B537)</f>
        <v/>
      </c>
      <c r="C533" t="str">
        <f>IF(SALE!C537=0,"",SALE!C537)</f>
        <v/>
      </c>
      <c r="D533" t="str">
        <f>IF(SALE!D537=0,"",SALE!D537)</f>
        <v/>
      </c>
      <c r="E533" s="10" t="str">
        <f>IF(SALE!E537=0,"",SALE!E537)</f>
        <v/>
      </c>
      <c r="F533" s="10" t="str">
        <f>IF(SALE!F537=0,"",SALE!F537)</f>
        <v/>
      </c>
      <c r="G533" s="2" t="str">
        <f>IF(SALE!G537=0,"",SALE!G537)</f>
        <v/>
      </c>
      <c r="H533" t="str">
        <f>IF(SALE!H537=0,"",SALE!H537)</f>
        <v/>
      </c>
      <c r="I533" t="str">
        <f>IF(SALE!I537=0,"",SALE!I537)</f>
        <v/>
      </c>
      <c r="J533" t="str">
        <f>IF(SALE!J537=0,"",SALE!J537)</f>
        <v/>
      </c>
    </row>
    <row r="534" spans="1:10">
      <c r="A534">
        <f>IF(SALE!A538=0,"",SALE!A538)</f>
        <v>533</v>
      </c>
      <c r="B534" t="str">
        <f>IF(SALE!B538=0,"",SALE!B538)</f>
        <v/>
      </c>
      <c r="C534" t="str">
        <f>IF(SALE!C538=0,"",SALE!C538)</f>
        <v/>
      </c>
      <c r="D534" t="str">
        <f>IF(SALE!D538=0,"",SALE!D538)</f>
        <v/>
      </c>
      <c r="E534" s="10" t="str">
        <f>IF(SALE!E538=0,"",SALE!E538)</f>
        <v/>
      </c>
      <c r="F534" s="10" t="str">
        <f>IF(SALE!F538=0,"",SALE!F538)</f>
        <v/>
      </c>
      <c r="G534" s="2" t="str">
        <f>IF(SALE!G538=0,"",SALE!G538)</f>
        <v/>
      </c>
      <c r="H534" t="str">
        <f>IF(SALE!H538=0,"",SALE!H538)</f>
        <v/>
      </c>
      <c r="I534" t="str">
        <f>IF(SALE!I538=0,"",SALE!I538)</f>
        <v/>
      </c>
      <c r="J534" t="str">
        <f>IF(SALE!J538=0,"",SALE!J538)</f>
        <v/>
      </c>
    </row>
    <row r="535" spans="1:10">
      <c r="A535">
        <f>IF(SALE!A539=0,"",SALE!A539)</f>
        <v>534</v>
      </c>
      <c r="B535" t="str">
        <f>IF(SALE!B539=0,"",SALE!B539)</f>
        <v/>
      </c>
      <c r="C535" t="str">
        <f>IF(SALE!C539=0,"",SALE!C539)</f>
        <v/>
      </c>
      <c r="D535" t="str">
        <f>IF(SALE!D539=0,"",SALE!D539)</f>
        <v/>
      </c>
      <c r="E535" s="10" t="str">
        <f>IF(SALE!E539=0,"",SALE!E539)</f>
        <v/>
      </c>
      <c r="F535" s="10" t="str">
        <f>IF(SALE!F539=0,"",SALE!F539)</f>
        <v/>
      </c>
      <c r="G535" s="2" t="str">
        <f>IF(SALE!G539=0,"",SALE!G539)</f>
        <v/>
      </c>
      <c r="H535" t="str">
        <f>IF(SALE!H539=0,"",SALE!H539)</f>
        <v/>
      </c>
      <c r="I535" t="str">
        <f>IF(SALE!I539=0,"",SALE!I539)</f>
        <v/>
      </c>
      <c r="J535" t="str">
        <f>IF(SALE!J539=0,"",SALE!J539)</f>
        <v/>
      </c>
    </row>
    <row r="536" spans="1:10">
      <c r="A536">
        <f>IF(SALE!A540=0,"",SALE!A540)</f>
        <v>535</v>
      </c>
      <c r="B536" t="str">
        <f>IF(SALE!B540=0,"",SALE!B540)</f>
        <v/>
      </c>
      <c r="C536" t="str">
        <f>IF(SALE!C540=0,"",SALE!C540)</f>
        <v/>
      </c>
      <c r="D536" t="str">
        <f>IF(SALE!D540=0,"",SALE!D540)</f>
        <v/>
      </c>
      <c r="E536" s="10" t="str">
        <f>IF(SALE!E540=0,"",SALE!E540)</f>
        <v/>
      </c>
      <c r="F536" s="10" t="str">
        <f>IF(SALE!F540=0,"",SALE!F540)</f>
        <v/>
      </c>
      <c r="G536" s="2" t="str">
        <f>IF(SALE!G540=0,"",SALE!G540)</f>
        <v/>
      </c>
      <c r="H536" t="str">
        <f>IF(SALE!H540=0,"",SALE!H540)</f>
        <v/>
      </c>
      <c r="I536" t="str">
        <f>IF(SALE!I540=0,"",SALE!I540)</f>
        <v/>
      </c>
      <c r="J536" t="str">
        <f>IF(SALE!J540=0,"",SALE!J540)</f>
        <v/>
      </c>
    </row>
    <row r="537" spans="1:10">
      <c r="A537">
        <f>IF(SALE!A541=0,"",SALE!A541)</f>
        <v>536</v>
      </c>
      <c r="B537" t="str">
        <f>IF(SALE!B541=0,"",SALE!B541)</f>
        <v/>
      </c>
      <c r="C537" t="str">
        <f>IF(SALE!C541=0,"",SALE!C541)</f>
        <v/>
      </c>
      <c r="D537" t="str">
        <f>IF(SALE!D541=0,"",SALE!D541)</f>
        <v/>
      </c>
      <c r="E537" s="10" t="str">
        <f>IF(SALE!E541=0,"",SALE!E541)</f>
        <v/>
      </c>
      <c r="F537" s="10" t="str">
        <f>IF(SALE!F541=0,"",SALE!F541)</f>
        <v/>
      </c>
      <c r="G537" s="2" t="str">
        <f>IF(SALE!G541=0,"",SALE!G541)</f>
        <v/>
      </c>
      <c r="H537" t="str">
        <f>IF(SALE!H541=0,"",SALE!H541)</f>
        <v/>
      </c>
      <c r="I537" t="str">
        <f>IF(SALE!I541=0,"",SALE!I541)</f>
        <v/>
      </c>
      <c r="J537" t="str">
        <f>IF(SALE!J541=0,"",SALE!J541)</f>
        <v/>
      </c>
    </row>
    <row r="538" spans="1:10">
      <c r="A538">
        <f>IF(SALE!A542=0,"",SALE!A542)</f>
        <v>537</v>
      </c>
      <c r="B538" t="str">
        <f>IF(SALE!B542=0,"",SALE!B542)</f>
        <v/>
      </c>
      <c r="C538" t="str">
        <f>IF(SALE!C542=0,"",SALE!C542)</f>
        <v/>
      </c>
      <c r="D538" t="str">
        <f>IF(SALE!D542=0,"",SALE!D542)</f>
        <v/>
      </c>
      <c r="E538" s="10" t="str">
        <f>IF(SALE!E542=0,"",SALE!E542)</f>
        <v/>
      </c>
      <c r="F538" s="10" t="str">
        <f>IF(SALE!F542=0,"",SALE!F542)</f>
        <v/>
      </c>
      <c r="G538" s="2" t="str">
        <f>IF(SALE!G542=0,"",SALE!G542)</f>
        <v/>
      </c>
      <c r="H538" t="str">
        <f>IF(SALE!H542=0,"",SALE!H542)</f>
        <v/>
      </c>
      <c r="I538" t="str">
        <f>IF(SALE!I542=0,"",SALE!I542)</f>
        <v/>
      </c>
      <c r="J538" t="str">
        <f>IF(SALE!J542=0,"",SALE!J542)</f>
        <v/>
      </c>
    </row>
    <row r="539" spans="1:10">
      <c r="A539">
        <f>IF(SALE!A543=0,"",SALE!A543)</f>
        <v>538</v>
      </c>
      <c r="B539" t="str">
        <f>IF(SALE!B543=0,"",SALE!B543)</f>
        <v/>
      </c>
      <c r="C539" t="str">
        <f>IF(SALE!C543=0,"",SALE!C543)</f>
        <v/>
      </c>
      <c r="D539" t="str">
        <f>IF(SALE!D543=0,"",SALE!D543)</f>
        <v/>
      </c>
      <c r="E539" s="10" t="str">
        <f>IF(SALE!E543=0,"",SALE!E543)</f>
        <v/>
      </c>
      <c r="F539" s="10" t="str">
        <f>IF(SALE!F543=0,"",SALE!F543)</f>
        <v/>
      </c>
      <c r="G539" s="2" t="str">
        <f>IF(SALE!G543=0,"",SALE!G543)</f>
        <v/>
      </c>
      <c r="H539" t="str">
        <f>IF(SALE!H543=0,"",SALE!H543)</f>
        <v/>
      </c>
      <c r="I539" t="str">
        <f>IF(SALE!I543=0,"",SALE!I543)</f>
        <v/>
      </c>
      <c r="J539" t="str">
        <f>IF(SALE!J543=0,"",SALE!J543)</f>
        <v/>
      </c>
    </row>
    <row r="540" spans="1:10">
      <c r="A540">
        <f>IF(SALE!A544=0,"",SALE!A544)</f>
        <v>539</v>
      </c>
      <c r="B540" t="str">
        <f>IF(SALE!B544=0,"",SALE!B544)</f>
        <v/>
      </c>
      <c r="C540" t="str">
        <f>IF(SALE!C544=0,"",SALE!C544)</f>
        <v/>
      </c>
      <c r="D540" t="str">
        <f>IF(SALE!D544=0,"",SALE!D544)</f>
        <v/>
      </c>
      <c r="E540" s="10" t="str">
        <f>IF(SALE!E544=0,"",SALE!E544)</f>
        <v/>
      </c>
      <c r="F540" s="10" t="str">
        <f>IF(SALE!F544=0,"",SALE!F544)</f>
        <v/>
      </c>
      <c r="G540" s="2" t="str">
        <f>IF(SALE!G544=0,"",SALE!G544)</f>
        <v/>
      </c>
      <c r="H540" t="str">
        <f>IF(SALE!H544=0,"",SALE!H544)</f>
        <v/>
      </c>
      <c r="I540" t="str">
        <f>IF(SALE!I544=0,"",SALE!I544)</f>
        <v/>
      </c>
      <c r="J540" t="str">
        <f>IF(SALE!J544=0,"",SALE!J544)</f>
        <v/>
      </c>
    </row>
    <row r="541" spans="1:10">
      <c r="A541">
        <f>IF(SALE!A545=0,"",SALE!A545)</f>
        <v>540</v>
      </c>
      <c r="B541" t="str">
        <f>IF(SALE!B545=0,"",SALE!B545)</f>
        <v/>
      </c>
      <c r="C541" t="str">
        <f>IF(SALE!C545=0,"",SALE!C545)</f>
        <v/>
      </c>
      <c r="D541" t="str">
        <f>IF(SALE!D545=0,"",SALE!D545)</f>
        <v/>
      </c>
      <c r="E541" s="10" t="str">
        <f>IF(SALE!E545=0,"",SALE!E545)</f>
        <v/>
      </c>
      <c r="F541" s="10" t="str">
        <f>IF(SALE!F545=0,"",SALE!F545)</f>
        <v/>
      </c>
      <c r="G541" s="2" t="str">
        <f>IF(SALE!G545=0,"",SALE!G545)</f>
        <v/>
      </c>
      <c r="H541" t="str">
        <f>IF(SALE!H545=0,"",SALE!H545)</f>
        <v/>
      </c>
      <c r="I541" t="str">
        <f>IF(SALE!I545=0,"",SALE!I545)</f>
        <v/>
      </c>
      <c r="J541" t="str">
        <f>IF(SALE!J545=0,"",SALE!J545)</f>
        <v/>
      </c>
    </row>
    <row r="542" spans="1:10">
      <c r="A542">
        <f>IF(SALE!A546=0,"",SALE!A546)</f>
        <v>541</v>
      </c>
      <c r="B542" t="str">
        <f>IF(SALE!B546=0,"",SALE!B546)</f>
        <v/>
      </c>
      <c r="C542" t="str">
        <f>IF(SALE!C546=0,"",SALE!C546)</f>
        <v/>
      </c>
      <c r="D542" t="str">
        <f>IF(SALE!D546=0,"",SALE!D546)</f>
        <v/>
      </c>
      <c r="E542" s="10" t="str">
        <f>IF(SALE!E546=0,"",SALE!E546)</f>
        <v/>
      </c>
      <c r="F542" s="10" t="str">
        <f>IF(SALE!F546=0,"",SALE!F546)</f>
        <v/>
      </c>
      <c r="G542" s="2" t="str">
        <f>IF(SALE!G546=0,"",SALE!G546)</f>
        <v/>
      </c>
      <c r="H542" t="str">
        <f>IF(SALE!H546=0,"",SALE!H546)</f>
        <v/>
      </c>
      <c r="I542" t="str">
        <f>IF(SALE!I546=0,"",SALE!I546)</f>
        <v/>
      </c>
      <c r="J542" t="str">
        <f>IF(SALE!J546=0,"",SALE!J546)</f>
        <v/>
      </c>
    </row>
    <row r="543" spans="1:10">
      <c r="A543">
        <f>IF(SALE!A547=0,"",SALE!A547)</f>
        <v>542</v>
      </c>
      <c r="B543" t="str">
        <f>IF(SALE!B547=0,"",SALE!B547)</f>
        <v/>
      </c>
      <c r="C543" t="str">
        <f>IF(SALE!C547=0,"",SALE!C547)</f>
        <v/>
      </c>
      <c r="D543" t="str">
        <f>IF(SALE!D547=0,"",SALE!D547)</f>
        <v/>
      </c>
      <c r="E543" s="10" t="str">
        <f>IF(SALE!E547=0,"",SALE!E547)</f>
        <v/>
      </c>
      <c r="F543" s="10" t="str">
        <f>IF(SALE!F547=0,"",SALE!F547)</f>
        <v/>
      </c>
      <c r="G543" s="2" t="str">
        <f>IF(SALE!G547=0,"",SALE!G547)</f>
        <v/>
      </c>
      <c r="H543" t="str">
        <f>IF(SALE!H547=0,"",SALE!H547)</f>
        <v/>
      </c>
      <c r="I543" t="str">
        <f>IF(SALE!I547=0,"",SALE!I547)</f>
        <v/>
      </c>
      <c r="J543" t="str">
        <f>IF(SALE!J547=0,"",SALE!J547)</f>
        <v/>
      </c>
    </row>
    <row r="544" spans="1:10">
      <c r="A544">
        <f>IF(SALE!A548=0,"",SALE!A548)</f>
        <v>543</v>
      </c>
      <c r="B544" t="str">
        <f>IF(SALE!B548=0,"",SALE!B548)</f>
        <v/>
      </c>
      <c r="C544" t="str">
        <f>IF(SALE!C548=0,"",SALE!C548)</f>
        <v/>
      </c>
      <c r="D544" t="str">
        <f>IF(SALE!D548=0,"",SALE!D548)</f>
        <v/>
      </c>
      <c r="E544" s="10" t="str">
        <f>IF(SALE!E548=0,"",SALE!E548)</f>
        <v/>
      </c>
      <c r="F544" s="10" t="str">
        <f>IF(SALE!F548=0,"",SALE!F548)</f>
        <v/>
      </c>
      <c r="G544" s="2" t="str">
        <f>IF(SALE!G548=0,"",SALE!G548)</f>
        <v/>
      </c>
      <c r="H544" t="str">
        <f>IF(SALE!H548=0,"",SALE!H548)</f>
        <v/>
      </c>
      <c r="I544" t="str">
        <f>IF(SALE!I548=0,"",SALE!I548)</f>
        <v/>
      </c>
      <c r="J544" t="str">
        <f>IF(SALE!J548=0,"",SALE!J548)</f>
        <v/>
      </c>
    </row>
    <row r="545" spans="1:10">
      <c r="A545">
        <f>IF(SALE!A549=0,"",SALE!A549)</f>
        <v>544</v>
      </c>
      <c r="B545" t="str">
        <f>IF(SALE!B549=0,"",SALE!B549)</f>
        <v/>
      </c>
      <c r="C545" t="str">
        <f>IF(SALE!C549=0,"",SALE!C549)</f>
        <v/>
      </c>
      <c r="D545" t="str">
        <f>IF(SALE!D549=0,"",SALE!D549)</f>
        <v/>
      </c>
      <c r="E545" s="10" t="str">
        <f>IF(SALE!E549=0,"",SALE!E549)</f>
        <v/>
      </c>
      <c r="F545" s="10" t="str">
        <f>IF(SALE!F549=0,"",SALE!F549)</f>
        <v/>
      </c>
      <c r="G545" s="2" t="str">
        <f>IF(SALE!G549=0,"",SALE!G549)</f>
        <v/>
      </c>
      <c r="H545" t="str">
        <f>IF(SALE!H549=0,"",SALE!H549)</f>
        <v/>
      </c>
      <c r="I545" t="str">
        <f>IF(SALE!I549=0,"",SALE!I549)</f>
        <v/>
      </c>
      <c r="J545" t="str">
        <f>IF(SALE!J549=0,"",SALE!J549)</f>
        <v/>
      </c>
    </row>
    <row r="546" spans="1:10">
      <c r="A546">
        <f>IF(SALE!A550=0,"",SALE!A550)</f>
        <v>545</v>
      </c>
      <c r="B546" t="str">
        <f>IF(SALE!B550=0,"",SALE!B550)</f>
        <v/>
      </c>
      <c r="C546" t="str">
        <f>IF(SALE!C550=0,"",SALE!C550)</f>
        <v/>
      </c>
      <c r="D546" t="str">
        <f>IF(SALE!D550=0,"",SALE!D550)</f>
        <v/>
      </c>
      <c r="E546" s="10" t="str">
        <f>IF(SALE!E550=0,"",SALE!E550)</f>
        <v/>
      </c>
      <c r="F546" s="10" t="str">
        <f>IF(SALE!F550=0,"",SALE!F550)</f>
        <v/>
      </c>
      <c r="G546" s="2" t="str">
        <f>IF(SALE!G550=0,"",SALE!G550)</f>
        <v/>
      </c>
      <c r="H546" t="str">
        <f>IF(SALE!H550=0,"",SALE!H550)</f>
        <v/>
      </c>
      <c r="I546" t="str">
        <f>IF(SALE!I550=0,"",SALE!I550)</f>
        <v/>
      </c>
      <c r="J546" t="str">
        <f>IF(SALE!J550=0,"",SALE!J550)</f>
        <v/>
      </c>
    </row>
    <row r="547" spans="1:10">
      <c r="A547">
        <f>IF(SALE!A551=0,"",SALE!A551)</f>
        <v>546</v>
      </c>
      <c r="B547" t="str">
        <f>IF(SALE!B551=0,"",SALE!B551)</f>
        <v/>
      </c>
      <c r="C547" t="str">
        <f>IF(SALE!C551=0,"",SALE!C551)</f>
        <v/>
      </c>
      <c r="D547" t="str">
        <f>IF(SALE!D551=0,"",SALE!D551)</f>
        <v/>
      </c>
      <c r="E547" s="10" t="str">
        <f>IF(SALE!E551=0,"",SALE!E551)</f>
        <v/>
      </c>
      <c r="F547" s="10" t="str">
        <f>IF(SALE!F551=0,"",SALE!F551)</f>
        <v/>
      </c>
      <c r="G547" s="2" t="str">
        <f>IF(SALE!G551=0,"",SALE!G551)</f>
        <v/>
      </c>
      <c r="H547" t="str">
        <f>IF(SALE!H551=0,"",SALE!H551)</f>
        <v/>
      </c>
      <c r="I547" t="str">
        <f>IF(SALE!I551=0,"",SALE!I551)</f>
        <v/>
      </c>
      <c r="J547" t="str">
        <f>IF(SALE!J551=0,"",SALE!J551)</f>
        <v/>
      </c>
    </row>
    <row r="548" spans="1:10">
      <c r="A548">
        <f>IF(SALE!A552=0,"",SALE!A552)</f>
        <v>547</v>
      </c>
      <c r="B548" t="str">
        <f>IF(SALE!B552=0,"",SALE!B552)</f>
        <v/>
      </c>
      <c r="C548" t="str">
        <f>IF(SALE!C552=0,"",SALE!C552)</f>
        <v/>
      </c>
      <c r="D548" t="str">
        <f>IF(SALE!D552=0,"",SALE!D552)</f>
        <v/>
      </c>
      <c r="E548" s="10" t="str">
        <f>IF(SALE!E552=0,"",SALE!E552)</f>
        <v/>
      </c>
      <c r="F548" s="10" t="str">
        <f>IF(SALE!F552=0,"",SALE!F552)</f>
        <v/>
      </c>
      <c r="G548" s="2" t="str">
        <f>IF(SALE!G552=0,"",SALE!G552)</f>
        <v/>
      </c>
      <c r="H548" t="str">
        <f>IF(SALE!H552=0,"",SALE!H552)</f>
        <v/>
      </c>
      <c r="I548" t="str">
        <f>IF(SALE!I552=0,"",SALE!I552)</f>
        <v/>
      </c>
      <c r="J548" t="str">
        <f>IF(SALE!J552=0,"",SALE!J552)</f>
        <v/>
      </c>
    </row>
    <row r="549" spans="1:10">
      <c r="A549">
        <f>IF(SALE!A553=0,"",SALE!A553)</f>
        <v>548</v>
      </c>
      <c r="B549" t="str">
        <f>IF(SALE!B553=0,"",SALE!B553)</f>
        <v/>
      </c>
      <c r="C549" t="str">
        <f>IF(SALE!C553=0,"",SALE!C553)</f>
        <v/>
      </c>
      <c r="D549" t="str">
        <f>IF(SALE!D553=0,"",SALE!D553)</f>
        <v/>
      </c>
      <c r="E549" s="10" t="str">
        <f>IF(SALE!E553=0,"",SALE!E553)</f>
        <v/>
      </c>
      <c r="F549" s="10" t="str">
        <f>IF(SALE!F553=0,"",SALE!F553)</f>
        <v/>
      </c>
      <c r="G549" s="2" t="str">
        <f>IF(SALE!G553=0,"",SALE!G553)</f>
        <v/>
      </c>
      <c r="H549" t="str">
        <f>IF(SALE!H553=0,"",SALE!H553)</f>
        <v/>
      </c>
      <c r="I549" t="str">
        <f>IF(SALE!I553=0,"",SALE!I553)</f>
        <v/>
      </c>
      <c r="J549" t="str">
        <f>IF(SALE!J553=0,"",SALE!J553)</f>
        <v/>
      </c>
    </row>
    <row r="550" spans="1:10">
      <c r="A550">
        <f>IF(SALE!A554=0,"",SALE!A554)</f>
        <v>549</v>
      </c>
      <c r="B550" t="str">
        <f>IF(SALE!B554=0,"",SALE!B554)</f>
        <v/>
      </c>
      <c r="C550" t="str">
        <f>IF(SALE!C554=0,"",SALE!C554)</f>
        <v/>
      </c>
      <c r="D550" t="str">
        <f>IF(SALE!D554=0,"",SALE!D554)</f>
        <v/>
      </c>
      <c r="E550" s="10" t="str">
        <f>IF(SALE!E554=0,"",SALE!E554)</f>
        <v/>
      </c>
      <c r="F550" s="10" t="str">
        <f>IF(SALE!F554=0,"",SALE!F554)</f>
        <v/>
      </c>
      <c r="G550" s="2" t="str">
        <f>IF(SALE!G554=0,"",SALE!G554)</f>
        <v/>
      </c>
      <c r="H550" t="str">
        <f>IF(SALE!H554=0,"",SALE!H554)</f>
        <v/>
      </c>
      <c r="I550" t="str">
        <f>IF(SALE!I554=0,"",SALE!I554)</f>
        <v/>
      </c>
      <c r="J550" t="str">
        <f>IF(SALE!J554=0,"",SALE!J554)</f>
        <v/>
      </c>
    </row>
    <row r="551" spans="1:10">
      <c r="A551">
        <f>IF(SALE!A555=0,"",SALE!A555)</f>
        <v>550</v>
      </c>
      <c r="B551" t="str">
        <f>IF(SALE!B555=0,"",SALE!B555)</f>
        <v/>
      </c>
      <c r="C551" t="str">
        <f>IF(SALE!C555=0,"",SALE!C555)</f>
        <v/>
      </c>
      <c r="D551" t="str">
        <f>IF(SALE!D555=0,"",SALE!D555)</f>
        <v/>
      </c>
      <c r="E551" s="10" t="str">
        <f>IF(SALE!E555=0,"",SALE!E555)</f>
        <v/>
      </c>
      <c r="F551" s="10" t="str">
        <f>IF(SALE!F555=0,"",SALE!F555)</f>
        <v/>
      </c>
      <c r="G551" s="2" t="str">
        <f>IF(SALE!G555=0,"",SALE!G555)</f>
        <v/>
      </c>
      <c r="H551" t="str">
        <f>IF(SALE!H555=0,"",SALE!H555)</f>
        <v/>
      </c>
      <c r="I551" t="str">
        <f>IF(SALE!I555=0,"",SALE!I555)</f>
        <v/>
      </c>
      <c r="J551" t="str">
        <f>IF(SALE!J555=0,"",SALE!J555)</f>
        <v/>
      </c>
    </row>
    <row r="552" spans="1:10">
      <c r="A552">
        <f>IF(SALE!A556=0,"",SALE!A556)</f>
        <v>551</v>
      </c>
      <c r="B552" t="str">
        <f>IF(SALE!B556=0,"",SALE!B556)</f>
        <v/>
      </c>
      <c r="C552" t="str">
        <f>IF(SALE!C556=0,"",SALE!C556)</f>
        <v/>
      </c>
      <c r="D552" t="str">
        <f>IF(SALE!D556=0,"",SALE!D556)</f>
        <v/>
      </c>
      <c r="E552" s="10" t="str">
        <f>IF(SALE!E556=0,"",SALE!E556)</f>
        <v/>
      </c>
      <c r="F552" s="10" t="str">
        <f>IF(SALE!F556=0,"",SALE!F556)</f>
        <v/>
      </c>
      <c r="G552" s="2" t="str">
        <f>IF(SALE!G556=0,"",SALE!G556)</f>
        <v/>
      </c>
      <c r="H552" t="str">
        <f>IF(SALE!H556=0,"",SALE!H556)</f>
        <v/>
      </c>
      <c r="I552" t="str">
        <f>IF(SALE!I556=0,"",SALE!I556)</f>
        <v/>
      </c>
      <c r="J552" t="str">
        <f>IF(SALE!J556=0,"",SALE!J556)</f>
        <v/>
      </c>
    </row>
    <row r="553" spans="1:10">
      <c r="A553">
        <f>IF(SALE!A557=0,"",SALE!A557)</f>
        <v>552</v>
      </c>
      <c r="B553" t="str">
        <f>IF(SALE!B557=0,"",SALE!B557)</f>
        <v/>
      </c>
      <c r="C553" t="str">
        <f>IF(SALE!C557=0,"",SALE!C557)</f>
        <v/>
      </c>
      <c r="D553" t="str">
        <f>IF(SALE!D557=0,"",SALE!D557)</f>
        <v/>
      </c>
      <c r="E553" s="10" t="str">
        <f>IF(SALE!E557=0,"",SALE!E557)</f>
        <v/>
      </c>
      <c r="F553" s="10" t="str">
        <f>IF(SALE!F557=0,"",SALE!F557)</f>
        <v/>
      </c>
      <c r="G553" s="2" t="str">
        <f>IF(SALE!G557=0,"",SALE!G557)</f>
        <v/>
      </c>
      <c r="H553" t="str">
        <f>IF(SALE!H557=0,"",SALE!H557)</f>
        <v/>
      </c>
      <c r="I553" t="str">
        <f>IF(SALE!I557=0,"",SALE!I557)</f>
        <v/>
      </c>
      <c r="J553" t="str">
        <f>IF(SALE!J557=0,"",SALE!J557)</f>
        <v/>
      </c>
    </row>
    <row r="554" spans="1:10">
      <c r="A554">
        <f>IF(SALE!A558=0,"",SALE!A558)</f>
        <v>553</v>
      </c>
      <c r="B554" t="str">
        <f>IF(SALE!B558=0,"",SALE!B558)</f>
        <v/>
      </c>
      <c r="C554" t="str">
        <f>IF(SALE!C558=0,"",SALE!C558)</f>
        <v/>
      </c>
      <c r="D554" t="str">
        <f>IF(SALE!D558=0,"",SALE!D558)</f>
        <v/>
      </c>
      <c r="E554" s="10" t="str">
        <f>IF(SALE!E558=0,"",SALE!E558)</f>
        <v/>
      </c>
      <c r="F554" s="10" t="str">
        <f>IF(SALE!F558=0,"",SALE!F558)</f>
        <v/>
      </c>
      <c r="G554" s="2" t="str">
        <f>IF(SALE!G558=0,"",SALE!G558)</f>
        <v/>
      </c>
      <c r="H554" t="str">
        <f>IF(SALE!H558=0,"",SALE!H558)</f>
        <v/>
      </c>
      <c r="I554" t="str">
        <f>IF(SALE!I558=0,"",SALE!I558)</f>
        <v/>
      </c>
      <c r="J554" t="str">
        <f>IF(SALE!J558=0,"",SALE!J558)</f>
        <v/>
      </c>
    </row>
    <row r="555" spans="1:10">
      <c r="A555">
        <f>IF(SALE!A559=0,"",SALE!A559)</f>
        <v>554</v>
      </c>
      <c r="B555" t="str">
        <f>IF(SALE!B559=0,"",SALE!B559)</f>
        <v/>
      </c>
      <c r="C555" t="str">
        <f>IF(SALE!C559=0,"",SALE!C559)</f>
        <v/>
      </c>
      <c r="D555" t="str">
        <f>IF(SALE!D559=0,"",SALE!D559)</f>
        <v/>
      </c>
      <c r="E555" s="10" t="str">
        <f>IF(SALE!E559=0,"",SALE!E559)</f>
        <v/>
      </c>
      <c r="F555" s="10" t="str">
        <f>IF(SALE!F559=0,"",SALE!F559)</f>
        <v/>
      </c>
      <c r="G555" s="2" t="str">
        <f>IF(SALE!G559=0,"",SALE!G559)</f>
        <v/>
      </c>
      <c r="H555" t="str">
        <f>IF(SALE!H559=0,"",SALE!H559)</f>
        <v/>
      </c>
      <c r="I555" t="str">
        <f>IF(SALE!I559=0,"",SALE!I559)</f>
        <v/>
      </c>
      <c r="J555" t="str">
        <f>IF(SALE!J559=0,"",SALE!J559)</f>
        <v/>
      </c>
    </row>
    <row r="556" spans="1:10">
      <c r="A556">
        <f>IF(SALE!A560=0,"",SALE!A560)</f>
        <v>555</v>
      </c>
      <c r="B556" t="str">
        <f>IF(SALE!B560=0,"",SALE!B560)</f>
        <v/>
      </c>
      <c r="C556" t="str">
        <f>IF(SALE!C560=0,"",SALE!C560)</f>
        <v/>
      </c>
      <c r="D556" t="str">
        <f>IF(SALE!D560=0,"",SALE!D560)</f>
        <v/>
      </c>
      <c r="E556" s="10" t="str">
        <f>IF(SALE!E560=0,"",SALE!E560)</f>
        <v/>
      </c>
      <c r="F556" s="10" t="str">
        <f>IF(SALE!F560=0,"",SALE!F560)</f>
        <v/>
      </c>
      <c r="G556" s="2" t="str">
        <f>IF(SALE!G560=0,"",SALE!G560)</f>
        <v/>
      </c>
      <c r="H556" t="str">
        <f>IF(SALE!H560=0,"",SALE!H560)</f>
        <v/>
      </c>
      <c r="I556" t="str">
        <f>IF(SALE!I560=0,"",SALE!I560)</f>
        <v/>
      </c>
      <c r="J556" t="str">
        <f>IF(SALE!J560=0,"",SALE!J560)</f>
        <v/>
      </c>
    </row>
    <row r="557" spans="1:10">
      <c r="A557">
        <f>IF(SALE!A561=0,"",SALE!A561)</f>
        <v>556</v>
      </c>
      <c r="B557" t="str">
        <f>IF(SALE!B561=0,"",SALE!B561)</f>
        <v/>
      </c>
      <c r="C557" t="str">
        <f>IF(SALE!C561=0,"",SALE!C561)</f>
        <v/>
      </c>
      <c r="D557" t="str">
        <f>IF(SALE!D561=0,"",SALE!D561)</f>
        <v/>
      </c>
      <c r="E557" s="10" t="str">
        <f>IF(SALE!E561=0,"",SALE!E561)</f>
        <v/>
      </c>
      <c r="F557" s="10" t="str">
        <f>IF(SALE!F561=0,"",SALE!F561)</f>
        <v/>
      </c>
      <c r="G557" s="2" t="str">
        <f>IF(SALE!G561=0,"",SALE!G561)</f>
        <v/>
      </c>
      <c r="H557" t="str">
        <f>IF(SALE!H561=0,"",SALE!H561)</f>
        <v/>
      </c>
      <c r="I557" t="str">
        <f>IF(SALE!I561=0,"",SALE!I561)</f>
        <v/>
      </c>
      <c r="J557" t="str">
        <f>IF(SALE!J561=0,"",SALE!J561)</f>
        <v/>
      </c>
    </row>
    <row r="558" spans="1:10">
      <c r="A558">
        <f>IF(SALE!A562=0,"",SALE!A562)</f>
        <v>557</v>
      </c>
      <c r="B558" t="str">
        <f>IF(SALE!B562=0,"",SALE!B562)</f>
        <v/>
      </c>
      <c r="C558" t="str">
        <f>IF(SALE!C562=0,"",SALE!C562)</f>
        <v/>
      </c>
      <c r="D558" t="str">
        <f>IF(SALE!D562=0,"",SALE!D562)</f>
        <v/>
      </c>
      <c r="E558" s="10" t="str">
        <f>IF(SALE!E562=0,"",SALE!E562)</f>
        <v/>
      </c>
      <c r="F558" s="10" t="str">
        <f>IF(SALE!F562=0,"",SALE!F562)</f>
        <v/>
      </c>
      <c r="G558" s="2" t="str">
        <f>IF(SALE!G562=0,"",SALE!G562)</f>
        <v/>
      </c>
      <c r="H558" t="str">
        <f>IF(SALE!H562=0,"",SALE!H562)</f>
        <v/>
      </c>
      <c r="I558" t="str">
        <f>IF(SALE!I562=0,"",SALE!I562)</f>
        <v/>
      </c>
      <c r="J558" t="str">
        <f>IF(SALE!J562=0,"",SALE!J562)</f>
        <v/>
      </c>
    </row>
    <row r="559" spans="1:10">
      <c r="A559">
        <f>IF(SALE!A563=0,"",SALE!A563)</f>
        <v>558</v>
      </c>
      <c r="B559" t="str">
        <f>IF(SALE!B563=0,"",SALE!B563)</f>
        <v/>
      </c>
      <c r="C559" t="str">
        <f>IF(SALE!C563=0,"",SALE!C563)</f>
        <v/>
      </c>
      <c r="D559" t="str">
        <f>IF(SALE!D563=0,"",SALE!D563)</f>
        <v/>
      </c>
      <c r="E559" s="10" t="str">
        <f>IF(SALE!E563=0,"",SALE!E563)</f>
        <v/>
      </c>
      <c r="F559" s="10" t="str">
        <f>IF(SALE!F563=0,"",SALE!F563)</f>
        <v/>
      </c>
      <c r="G559" s="2" t="str">
        <f>IF(SALE!G563=0,"",SALE!G563)</f>
        <v/>
      </c>
      <c r="H559" t="str">
        <f>IF(SALE!H563=0,"",SALE!H563)</f>
        <v/>
      </c>
      <c r="I559" t="str">
        <f>IF(SALE!I563=0,"",SALE!I563)</f>
        <v/>
      </c>
      <c r="J559" t="str">
        <f>IF(SALE!J563=0,"",SALE!J563)</f>
        <v/>
      </c>
    </row>
    <row r="560" spans="1:10">
      <c r="A560">
        <f>IF(SALE!A564=0,"",SALE!A564)</f>
        <v>559</v>
      </c>
      <c r="B560" t="str">
        <f>IF(SALE!B564=0,"",SALE!B564)</f>
        <v/>
      </c>
      <c r="C560" t="str">
        <f>IF(SALE!C564=0,"",SALE!C564)</f>
        <v/>
      </c>
      <c r="D560" t="str">
        <f>IF(SALE!D564=0,"",SALE!D564)</f>
        <v/>
      </c>
      <c r="E560" s="10" t="str">
        <f>IF(SALE!E564=0,"",SALE!E564)</f>
        <v/>
      </c>
      <c r="F560" s="10" t="str">
        <f>IF(SALE!F564=0,"",SALE!F564)</f>
        <v/>
      </c>
      <c r="G560" s="2" t="str">
        <f>IF(SALE!G564=0,"",SALE!G564)</f>
        <v/>
      </c>
      <c r="H560" t="str">
        <f>IF(SALE!H564=0,"",SALE!H564)</f>
        <v/>
      </c>
      <c r="I560" t="str">
        <f>IF(SALE!I564=0,"",SALE!I564)</f>
        <v/>
      </c>
      <c r="J560" t="str">
        <f>IF(SALE!J564=0,"",SALE!J564)</f>
        <v/>
      </c>
    </row>
    <row r="561" spans="1:10">
      <c r="A561">
        <f>IF(SALE!A565=0,"",SALE!A565)</f>
        <v>560</v>
      </c>
      <c r="B561" t="str">
        <f>IF(SALE!B565=0,"",SALE!B565)</f>
        <v/>
      </c>
      <c r="C561" t="str">
        <f>IF(SALE!C565=0,"",SALE!C565)</f>
        <v/>
      </c>
      <c r="D561" t="str">
        <f>IF(SALE!D565=0,"",SALE!D565)</f>
        <v/>
      </c>
      <c r="E561" s="10" t="str">
        <f>IF(SALE!E565=0,"",SALE!E565)</f>
        <v/>
      </c>
      <c r="F561" s="10" t="str">
        <f>IF(SALE!F565=0,"",SALE!F565)</f>
        <v/>
      </c>
      <c r="G561" s="2" t="str">
        <f>IF(SALE!G565=0,"",SALE!G565)</f>
        <v/>
      </c>
      <c r="H561" t="str">
        <f>IF(SALE!H565=0,"",SALE!H565)</f>
        <v/>
      </c>
      <c r="I561" t="str">
        <f>IF(SALE!I565=0,"",SALE!I565)</f>
        <v/>
      </c>
      <c r="J561" t="str">
        <f>IF(SALE!J565=0,"",SALE!J565)</f>
        <v/>
      </c>
    </row>
    <row r="562" spans="1:10">
      <c r="A562">
        <f>IF(SALE!A566=0,"",SALE!A566)</f>
        <v>561</v>
      </c>
      <c r="B562" t="str">
        <f>IF(SALE!B566=0,"",SALE!B566)</f>
        <v/>
      </c>
      <c r="C562" t="str">
        <f>IF(SALE!C566=0,"",SALE!C566)</f>
        <v/>
      </c>
      <c r="D562" t="str">
        <f>IF(SALE!D566=0,"",SALE!D566)</f>
        <v/>
      </c>
      <c r="E562" s="10" t="str">
        <f>IF(SALE!E566=0,"",SALE!E566)</f>
        <v/>
      </c>
      <c r="F562" s="10" t="str">
        <f>IF(SALE!F566=0,"",SALE!F566)</f>
        <v/>
      </c>
      <c r="G562" s="2" t="str">
        <f>IF(SALE!G566=0,"",SALE!G566)</f>
        <v/>
      </c>
      <c r="H562" t="str">
        <f>IF(SALE!H566=0,"",SALE!H566)</f>
        <v/>
      </c>
      <c r="I562" t="str">
        <f>IF(SALE!I566=0,"",SALE!I566)</f>
        <v/>
      </c>
      <c r="J562" t="str">
        <f>IF(SALE!J566=0,"",SALE!J566)</f>
        <v/>
      </c>
    </row>
    <row r="563" spans="1:10">
      <c r="A563">
        <f>IF(SALE!A567=0,"",SALE!A567)</f>
        <v>562</v>
      </c>
      <c r="B563" t="str">
        <f>IF(SALE!B567=0,"",SALE!B567)</f>
        <v/>
      </c>
      <c r="C563" t="str">
        <f>IF(SALE!C567=0,"",SALE!C567)</f>
        <v/>
      </c>
      <c r="D563" t="str">
        <f>IF(SALE!D567=0,"",SALE!D567)</f>
        <v/>
      </c>
      <c r="E563" s="10" t="str">
        <f>IF(SALE!E567=0,"",SALE!E567)</f>
        <v/>
      </c>
      <c r="F563" s="10" t="str">
        <f>IF(SALE!F567=0,"",SALE!F567)</f>
        <v/>
      </c>
      <c r="G563" s="2" t="str">
        <f>IF(SALE!G567=0,"",SALE!G567)</f>
        <v/>
      </c>
      <c r="H563" t="str">
        <f>IF(SALE!H567=0,"",SALE!H567)</f>
        <v/>
      </c>
      <c r="I563" t="str">
        <f>IF(SALE!I567=0,"",SALE!I567)</f>
        <v/>
      </c>
      <c r="J563" t="str">
        <f>IF(SALE!J567=0,"",SALE!J567)</f>
        <v/>
      </c>
    </row>
    <row r="564" spans="1:10">
      <c r="A564">
        <f>IF(SALE!A568=0,"",SALE!A568)</f>
        <v>563</v>
      </c>
      <c r="B564" t="str">
        <f>IF(SALE!B568=0,"",SALE!B568)</f>
        <v/>
      </c>
      <c r="C564" t="str">
        <f>IF(SALE!C568=0,"",SALE!C568)</f>
        <v/>
      </c>
      <c r="D564" t="str">
        <f>IF(SALE!D568=0,"",SALE!D568)</f>
        <v/>
      </c>
      <c r="E564" s="10" t="str">
        <f>IF(SALE!E568=0,"",SALE!E568)</f>
        <v/>
      </c>
      <c r="F564" s="10" t="str">
        <f>IF(SALE!F568=0,"",SALE!F568)</f>
        <v/>
      </c>
      <c r="G564" s="2" t="str">
        <f>IF(SALE!G568=0,"",SALE!G568)</f>
        <v/>
      </c>
      <c r="H564" t="str">
        <f>IF(SALE!H568=0,"",SALE!H568)</f>
        <v/>
      </c>
      <c r="I564" t="str">
        <f>IF(SALE!I568=0,"",SALE!I568)</f>
        <v/>
      </c>
      <c r="J564" t="str">
        <f>IF(SALE!J568=0,"",SALE!J568)</f>
        <v/>
      </c>
    </row>
    <row r="565" spans="1:10">
      <c r="A565">
        <f>IF(SALE!A569=0,"",SALE!A569)</f>
        <v>564</v>
      </c>
      <c r="B565" t="str">
        <f>IF(SALE!B569=0,"",SALE!B569)</f>
        <v/>
      </c>
      <c r="C565" t="str">
        <f>IF(SALE!C569=0,"",SALE!C569)</f>
        <v/>
      </c>
      <c r="D565" t="str">
        <f>IF(SALE!D569=0,"",SALE!D569)</f>
        <v/>
      </c>
      <c r="E565" s="10" t="str">
        <f>IF(SALE!E569=0,"",SALE!E569)</f>
        <v/>
      </c>
      <c r="F565" s="10" t="str">
        <f>IF(SALE!F569=0,"",SALE!F569)</f>
        <v/>
      </c>
      <c r="G565" s="2" t="str">
        <f>IF(SALE!G569=0,"",SALE!G569)</f>
        <v/>
      </c>
      <c r="H565" t="str">
        <f>IF(SALE!H569=0,"",SALE!H569)</f>
        <v/>
      </c>
      <c r="I565" t="str">
        <f>IF(SALE!I569=0,"",SALE!I569)</f>
        <v/>
      </c>
      <c r="J565" t="str">
        <f>IF(SALE!J569=0,"",SALE!J569)</f>
        <v/>
      </c>
    </row>
    <row r="566" spans="1:10">
      <c r="A566">
        <f>IF(SALE!A570=0,"",SALE!A570)</f>
        <v>565</v>
      </c>
      <c r="B566" t="str">
        <f>IF(SALE!B570=0,"",SALE!B570)</f>
        <v/>
      </c>
      <c r="C566" t="str">
        <f>IF(SALE!C570=0,"",SALE!C570)</f>
        <v/>
      </c>
      <c r="D566" t="str">
        <f>IF(SALE!D570=0,"",SALE!D570)</f>
        <v/>
      </c>
      <c r="E566" s="10" t="str">
        <f>IF(SALE!E570=0,"",SALE!E570)</f>
        <v/>
      </c>
      <c r="F566" s="10" t="str">
        <f>IF(SALE!F570=0,"",SALE!F570)</f>
        <v/>
      </c>
      <c r="G566" s="2" t="str">
        <f>IF(SALE!G570=0,"",SALE!G570)</f>
        <v/>
      </c>
      <c r="H566" t="str">
        <f>IF(SALE!H570=0,"",SALE!H570)</f>
        <v/>
      </c>
      <c r="I566" t="str">
        <f>IF(SALE!I570=0,"",SALE!I570)</f>
        <v/>
      </c>
      <c r="J566" t="str">
        <f>IF(SALE!J570=0,"",SALE!J570)</f>
        <v/>
      </c>
    </row>
    <row r="567" spans="1:10">
      <c r="A567">
        <f>IF(SALE!A571=0,"",SALE!A571)</f>
        <v>566</v>
      </c>
      <c r="B567" t="str">
        <f>IF(SALE!B571=0,"",SALE!B571)</f>
        <v/>
      </c>
      <c r="C567" t="str">
        <f>IF(SALE!C571=0,"",SALE!C571)</f>
        <v/>
      </c>
      <c r="D567" t="str">
        <f>IF(SALE!D571=0,"",SALE!D571)</f>
        <v/>
      </c>
      <c r="E567" s="10" t="str">
        <f>IF(SALE!E571=0,"",SALE!E571)</f>
        <v/>
      </c>
      <c r="F567" s="10" t="str">
        <f>IF(SALE!F571=0,"",SALE!F571)</f>
        <v/>
      </c>
      <c r="G567" s="2" t="str">
        <f>IF(SALE!G571=0,"",SALE!G571)</f>
        <v/>
      </c>
      <c r="H567" t="str">
        <f>IF(SALE!H571=0,"",SALE!H571)</f>
        <v/>
      </c>
      <c r="I567" t="str">
        <f>IF(SALE!I571=0,"",SALE!I571)</f>
        <v/>
      </c>
      <c r="J567" t="str">
        <f>IF(SALE!J571=0,"",SALE!J571)</f>
        <v/>
      </c>
    </row>
    <row r="568" spans="1:10">
      <c r="A568">
        <f>IF(SALE!A572=0,"",SALE!A572)</f>
        <v>567</v>
      </c>
      <c r="B568" t="str">
        <f>IF(SALE!B572=0,"",SALE!B572)</f>
        <v/>
      </c>
      <c r="C568" t="str">
        <f>IF(SALE!C572=0,"",SALE!C572)</f>
        <v/>
      </c>
      <c r="D568" t="str">
        <f>IF(SALE!D572=0,"",SALE!D572)</f>
        <v/>
      </c>
      <c r="E568" s="10" t="str">
        <f>IF(SALE!E572=0,"",SALE!E572)</f>
        <v/>
      </c>
      <c r="F568" s="10" t="str">
        <f>IF(SALE!F572=0,"",SALE!F572)</f>
        <v/>
      </c>
      <c r="G568" s="2" t="str">
        <f>IF(SALE!G572=0,"",SALE!G572)</f>
        <v/>
      </c>
      <c r="H568" t="str">
        <f>IF(SALE!H572=0,"",SALE!H572)</f>
        <v/>
      </c>
      <c r="I568" t="str">
        <f>IF(SALE!I572=0,"",SALE!I572)</f>
        <v/>
      </c>
      <c r="J568" t="str">
        <f>IF(SALE!J572=0,"",SALE!J572)</f>
        <v/>
      </c>
    </row>
    <row r="569" spans="1:10">
      <c r="A569">
        <f>IF(SALE!A573=0,"",SALE!A573)</f>
        <v>568</v>
      </c>
      <c r="B569" t="str">
        <f>IF(SALE!B573=0,"",SALE!B573)</f>
        <v/>
      </c>
      <c r="C569" t="str">
        <f>IF(SALE!C573=0,"",SALE!C573)</f>
        <v/>
      </c>
      <c r="D569" t="str">
        <f>IF(SALE!D573=0,"",SALE!D573)</f>
        <v/>
      </c>
      <c r="E569" s="10" t="str">
        <f>IF(SALE!E573=0,"",SALE!E573)</f>
        <v/>
      </c>
      <c r="F569" s="10" t="str">
        <f>IF(SALE!F573=0,"",SALE!F573)</f>
        <v/>
      </c>
      <c r="G569" s="2" t="str">
        <f>IF(SALE!G573=0,"",SALE!G573)</f>
        <v/>
      </c>
      <c r="H569" t="str">
        <f>IF(SALE!H573=0,"",SALE!H573)</f>
        <v/>
      </c>
      <c r="I569" t="str">
        <f>IF(SALE!I573=0,"",SALE!I573)</f>
        <v/>
      </c>
      <c r="J569" t="str">
        <f>IF(SALE!J573=0,"",SALE!J573)</f>
        <v/>
      </c>
    </row>
    <row r="570" spans="1:10">
      <c r="A570">
        <f>IF(SALE!A574=0,"",SALE!A574)</f>
        <v>569</v>
      </c>
      <c r="B570" t="str">
        <f>IF(SALE!B574=0,"",SALE!B574)</f>
        <v/>
      </c>
      <c r="C570" t="str">
        <f>IF(SALE!C574=0,"",SALE!C574)</f>
        <v/>
      </c>
      <c r="D570" t="str">
        <f>IF(SALE!D574=0,"",SALE!D574)</f>
        <v/>
      </c>
      <c r="E570" s="10" t="str">
        <f>IF(SALE!E574=0,"",SALE!E574)</f>
        <v/>
      </c>
      <c r="F570" s="10" t="str">
        <f>IF(SALE!F574=0,"",SALE!F574)</f>
        <v/>
      </c>
      <c r="G570" s="2" t="str">
        <f>IF(SALE!G574=0,"",SALE!G574)</f>
        <v/>
      </c>
      <c r="H570" t="str">
        <f>IF(SALE!H574=0,"",SALE!H574)</f>
        <v/>
      </c>
      <c r="I570" t="str">
        <f>IF(SALE!I574=0,"",SALE!I574)</f>
        <v/>
      </c>
      <c r="J570" t="str">
        <f>IF(SALE!J574=0,"",SALE!J574)</f>
        <v/>
      </c>
    </row>
    <row r="571" spans="1:10">
      <c r="A571">
        <f>IF(SALE!A575=0,"",SALE!A575)</f>
        <v>570</v>
      </c>
      <c r="B571" t="str">
        <f>IF(SALE!B575=0,"",SALE!B575)</f>
        <v/>
      </c>
      <c r="C571" t="str">
        <f>IF(SALE!C575=0,"",SALE!C575)</f>
        <v/>
      </c>
      <c r="D571" t="str">
        <f>IF(SALE!D575=0,"",SALE!D575)</f>
        <v/>
      </c>
      <c r="E571" s="10" t="str">
        <f>IF(SALE!E575=0,"",SALE!E575)</f>
        <v/>
      </c>
      <c r="F571" s="10" t="str">
        <f>IF(SALE!F575=0,"",SALE!F575)</f>
        <v/>
      </c>
      <c r="G571" s="2" t="str">
        <f>IF(SALE!G575=0,"",SALE!G575)</f>
        <v/>
      </c>
      <c r="H571" t="str">
        <f>IF(SALE!H575=0,"",SALE!H575)</f>
        <v/>
      </c>
      <c r="I571" t="str">
        <f>IF(SALE!I575=0,"",SALE!I575)</f>
        <v/>
      </c>
      <c r="J571" t="str">
        <f>IF(SALE!J575=0,"",SALE!J575)</f>
        <v/>
      </c>
    </row>
    <row r="572" spans="1:10">
      <c r="A572">
        <f>IF(SALE!A576=0,"",SALE!A576)</f>
        <v>571</v>
      </c>
      <c r="B572" t="str">
        <f>IF(SALE!B576=0,"",SALE!B576)</f>
        <v/>
      </c>
      <c r="C572" t="str">
        <f>IF(SALE!C576=0,"",SALE!C576)</f>
        <v/>
      </c>
      <c r="D572" t="str">
        <f>IF(SALE!D576=0,"",SALE!D576)</f>
        <v/>
      </c>
      <c r="E572" s="10" t="str">
        <f>IF(SALE!E576=0,"",SALE!E576)</f>
        <v/>
      </c>
      <c r="F572" s="10" t="str">
        <f>IF(SALE!F576=0,"",SALE!F576)</f>
        <v/>
      </c>
      <c r="G572" s="2" t="str">
        <f>IF(SALE!G576=0,"",SALE!G576)</f>
        <v/>
      </c>
      <c r="H572" t="str">
        <f>IF(SALE!H576=0,"",SALE!H576)</f>
        <v/>
      </c>
      <c r="I572" t="str">
        <f>IF(SALE!I576=0,"",SALE!I576)</f>
        <v/>
      </c>
      <c r="J572" t="str">
        <f>IF(SALE!J576=0,"",SALE!J576)</f>
        <v/>
      </c>
    </row>
    <row r="573" spans="1:10">
      <c r="A573">
        <f>IF(SALE!A577=0,"",SALE!A577)</f>
        <v>572</v>
      </c>
      <c r="B573" t="str">
        <f>IF(SALE!B577=0,"",SALE!B577)</f>
        <v/>
      </c>
      <c r="C573" t="str">
        <f>IF(SALE!C577=0,"",SALE!C577)</f>
        <v/>
      </c>
      <c r="D573" t="str">
        <f>IF(SALE!D577=0,"",SALE!D577)</f>
        <v/>
      </c>
      <c r="E573" s="10" t="str">
        <f>IF(SALE!E577=0,"",SALE!E577)</f>
        <v/>
      </c>
      <c r="F573" s="10" t="str">
        <f>IF(SALE!F577=0,"",SALE!F577)</f>
        <v/>
      </c>
      <c r="G573" s="2" t="str">
        <f>IF(SALE!G577=0,"",SALE!G577)</f>
        <v/>
      </c>
      <c r="H573" t="str">
        <f>IF(SALE!H577=0,"",SALE!H577)</f>
        <v/>
      </c>
      <c r="I573" t="str">
        <f>IF(SALE!I577=0,"",SALE!I577)</f>
        <v/>
      </c>
      <c r="J573" t="str">
        <f>IF(SALE!J577=0,"",SALE!J577)</f>
        <v/>
      </c>
    </row>
    <row r="574" spans="1:10">
      <c r="A574">
        <f>IF(SALE!A578=0,"",SALE!A578)</f>
        <v>573</v>
      </c>
      <c r="B574" t="str">
        <f>IF(SALE!B578=0,"",SALE!B578)</f>
        <v/>
      </c>
      <c r="C574" t="str">
        <f>IF(SALE!C578=0,"",SALE!C578)</f>
        <v/>
      </c>
      <c r="D574" t="str">
        <f>IF(SALE!D578=0,"",SALE!D578)</f>
        <v/>
      </c>
      <c r="E574" s="10" t="str">
        <f>IF(SALE!E578=0,"",SALE!E578)</f>
        <v/>
      </c>
      <c r="F574" s="10" t="str">
        <f>IF(SALE!F578=0,"",SALE!F578)</f>
        <v/>
      </c>
      <c r="G574" s="2" t="str">
        <f>IF(SALE!G578=0,"",SALE!G578)</f>
        <v/>
      </c>
      <c r="H574" t="str">
        <f>IF(SALE!H578=0,"",SALE!H578)</f>
        <v/>
      </c>
      <c r="I574" t="str">
        <f>IF(SALE!I578=0,"",SALE!I578)</f>
        <v/>
      </c>
      <c r="J574" t="str">
        <f>IF(SALE!J578=0,"",SALE!J578)</f>
        <v/>
      </c>
    </row>
    <row r="575" spans="1:10">
      <c r="A575">
        <f>IF(SALE!A579=0,"",SALE!A579)</f>
        <v>574</v>
      </c>
      <c r="B575" t="str">
        <f>IF(SALE!B579=0,"",SALE!B579)</f>
        <v/>
      </c>
      <c r="C575" t="str">
        <f>IF(SALE!C579=0,"",SALE!C579)</f>
        <v/>
      </c>
      <c r="D575" t="str">
        <f>IF(SALE!D579=0,"",SALE!D579)</f>
        <v/>
      </c>
      <c r="E575" s="10" t="str">
        <f>IF(SALE!E579=0,"",SALE!E579)</f>
        <v/>
      </c>
      <c r="F575" s="10" t="str">
        <f>IF(SALE!F579=0,"",SALE!F579)</f>
        <v/>
      </c>
      <c r="G575" s="2" t="str">
        <f>IF(SALE!G579=0,"",SALE!G579)</f>
        <v/>
      </c>
      <c r="H575" t="str">
        <f>IF(SALE!H579=0,"",SALE!H579)</f>
        <v/>
      </c>
      <c r="I575" t="str">
        <f>IF(SALE!I579=0,"",SALE!I579)</f>
        <v/>
      </c>
      <c r="J575" t="str">
        <f>IF(SALE!J579=0,"",SALE!J579)</f>
        <v/>
      </c>
    </row>
    <row r="576" spans="1:10">
      <c r="A576">
        <f>IF(SALE!A580=0,"",SALE!A580)</f>
        <v>575</v>
      </c>
      <c r="B576" t="str">
        <f>IF(SALE!B580=0,"",SALE!B580)</f>
        <v/>
      </c>
      <c r="C576" t="str">
        <f>IF(SALE!C580=0,"",SALE!C580)</f>
        <v/>
      </c>
      <c r="D576" t="str">
        <f>IF(SALE!D580=0,"",SALE!D580)</f>
        <v/>
      </c>
      <c r="E576" s="10" t="str">
        <f>IF(SALE!E580=0,"",SALE!E580)</f>
        <v/>
      </c>
      <c r="F576" s="10" t="str">
        <f>IF(SALE!F580=0,"",SALE!F580)</f>
        <v/>
      </c>
      <c r="G576" s="2" t="str">
        <f>IF(SALE!G580=0,"",SALE!G580)</f>
        <v/>
      </c>
      <c r="H576" t="str">
        <f>IF(SALE!H580=0,"",SALE!H580)</f>
        <v/>
      </c>
      <c r="I576" t="str">
        <f>IF(SALE!I580=0,"",SALE!I580)</f>
        <v/>
      </c>
      <c r="J576" t="str">
        <f>IF(SALE!J580=0,"",SALE!J580)</f>
        <v/>
      </c>
    </row>
    <row r="577" spans="1:10">
      <c r="A577">
        <f>IF(SALE!A581=0,"",SALE!A581)</f>
        <v>576</v>
      </c>
      <c r="B577" t="str">
        <f>IF(SALE!B581=0,"",SALE!B581)</f>
        <v/>
      </c>
      <c r="C577" t="str">
        <f>IF(SALE!C581=0,"",SALE!C581)</f>
        <v/>
      </c>
      <c r="D577" t="str">
        <f>IF(SALE!D581=0,"",SALE!D581)</f>
        <v/>
      </c>
      <c r="E577" s="10" t="str">
        <f>IF(SALE!E581=0,"",SALE!E581)</f>
        <v/>
      </c>
      <c r="F577" s="10" t="str">
        <f>IF(SALE!F581=0,"",SALE!F581)</f>
        <v/>
      </c>
      <c r="G577" s="2" t="str">
        <f>IF(SALE!G581=0,"",SALE!G581)</f>
        <v/>
      </c>
      <c r="H577" t="str">
        <f>IF(SALE!H581=0,"",SALE!H581)</f>
        <v/>
      </c>
      <c r="I577" t="str">
        <f>IF(SALE!I581=0,"",SALE!I581)</f>
        <v/>
      </c>
      <c r="J577" t="str">
        <f>IF(SALE!J581=0,"",SALE!J581)</f>
        <v/>
      </c>
    </row>
    <row r="578" spans="1:10">
      <c r="A578">
        <f>IF(SALE!A582=0,"",SALE!A582)</f>
        <v>577</v>
      </c>
      <c r="B578" t="str">
        <f>IF(SALE!B582=0,"",SALE!B582)</f>
        <v/>
      </c>
      <c r="C578" t="str">
        <f>IF(SALE!C582=0,"",SALE!C582)</f>
        <v/>
      </c>
      <c r="D578" t="str">
        <f>IF(SALE!D582=0,"",SALE!D582)</f>
        <v/>
      </c>
      <c r="E578" s="10" t="str">
        <f>IF(SALE!E582=0,"",SALE!E582)</f>
        <v/>
      </c>
      <c r="F578" s="10" t="str">
        <f>IF(SALE!F582=0,"",SALE!F582)</f>
        <v/>
      </c>
      <c r="G578" s="2" t="str">
        <f>IF(SALE!G582=0,"",SALE!G582)</f>
        <v/>
      </c>
      <c r="H578" t="str">
        <f>IF(SALE!H582=0,"",SALE!H582)</f>
        <v/>
      </c>
      <c r="I578" t="str">
        <f>IF(SALE!I582=0,"",SALE!I582)</f>
        <v/>
      </c>
      <c r="J578" t="str">
        <f>IF(SALE!J582=0,"",SALE!J582)</f>
        <v/>
      </c>
    </row>
    <row r="579" spans="1:10">
      <c r="A579">
        <f>IF(SALE!A583=0,"",SALE!A583)</f>
        <v>578</v>
      </c>
      <c r="B579" t="str">
        <f>IF(SALE!B583=0,"",SALE!B583)</f>
        <v/>
      </c>
      <c r="C579" t="str">
        <f>IF(SALE!C583=0,"",SALE!C583)</f>
        <v/>
      </c>
      <c r="D579" t="str">
        <f>IF(SALE!D583=0,"",SALE!D583)</f>
        <v/>
      </c>
      <c r="E579" s="10" t="str">
        <f>IF(SALE!E583=0,"",SALE!E583)</f>
        <v/>
      </c>
      <c r="F579" s="10" t="str">
        <f>IF(SALE!F583=0,"",SALE!F583)</f>
        <v/>
      </c>
      <c r="G579" s="2" t="str">
        <f>IF(SALE!G583=0,"",SALE!G583)</f>
        <v/>
      </c>
      <c r="H579" t="str">
        <f>IF(SALE!H583=0,"",SALE!H583)</f>
        <v/>
      </c>
      <c r="I579" t="str">
        <f>IF(SALE!I583=0,"",SALE!I583)</f>
        <v/>
      </c>
      <c r="J579" t="str">
        <f>IF(SALE!J583=0,"",SALE!J583)</f>
        <v/>
      </c>
    </row>
    <row r="580" spans="1:10">
      <c r="A580">
        <f>IF(SALE!A584=0,"",SALE!A584)</f>
        <v>579</v>
      </c>
      <c r="B580" t="str">
        <f>IF(SALE!B584=0,"",SALE!B584)</f>
        <v/>
      </c>
      <c r="C580" t="str">
        <f>IF(SALE!C584=0,"",SALE!C584)</f>
        <v/>
      </c>
      <c r="D580" t="str">
        <f>IF(SALE!D584=0,"",SALE!D584)</f>
        <v/>
      </c>
      <c r="E580" s="10" t="str">
        <f>IF(SALE!E584=0,"",SALE!E584)</f>
        <v/>
      </c>
      <c r="F580" s="10" t="str">
        <f>IF(SALE!F584=0,"",SALE!F584)</f>
        <v/>
      </c>
      <c r="G580" s="2" t="str">
        <f>IF(SALE!G584=0,"",SALE!G584)</f>
        <v/>
      </c>
      <c r="H580" t="str">
        <f>IF(SALE!H584=0,"",SALE!H584)</f>
        <v/>
      </c>
      <c r="I580" t="str">
        <f>IF(SALE!I584=0,"",SALE!I584)</f>
        <v/>
      </c>
      <c r="J580" t="str">
        <f>IF(SALE!J584=0,"",SALE!J584)</f>
        <v/>
      </c>
    </row>
    <row r="581" spans="1:10">
      <c r="A581">
        <f>IF(SALE!A585=0,"",SALE!A585)</f>
        <v>580</v>
      </c>
      <c r="B581" t="str">
        <f>IF(SALE!B585=0,"",SALE!B585)</f>
        <v/>
      </c>
      <c r="C581" t="str">
        <f>IF(SALE!C585=0,"",SALE!C585)</f>
        <v/>
      </c>
      <c r="D581" t="str">
        <f>IF(SALE!D585=0,"",SALE!D585)</f>
        <v/>
      </c>
      <c r="E581" s="10" t="str">
        <f>IF(SALE!E585=0,"",SALE!E585)</f>
        <v/>
      </c>
      <c r="F581" s="10" t="str">
        <f>IF(SALE!F585=0,"",SALE!F585)</f>
        <v/>
      </c>
      <c r="G581" s="2" t="str">
        <f>IF(SALE!G585=0,"",SALE!G585)</f>
        <v/>
      </c>
      <c r="H581" t="str">
        <f>IF(SALE!H585=0,"",SALE!H585)</f>
        <v/>
      </c>
      <c r="I581" t="str">
        <f>IF(SALE!I585=0,"",SALE!I585)</f>
        <v/>
      </c>
      <c r="J581" t="str">
        <f>IF(SALE!J585=0,"",SALE!J585)</f>
        <v/>
      </c>
    </row>
    <row r="582" spans="1:10">
      <c r="A582">
        <f>IF(SALE!A586=0,"",SALE!A586)</f>
        <v>581</v>
      </c>
      <c r="B582" t="str">
        <f>IF(SALE!B586=0,"",SALE!B586)</f>
        <v/>
      </c>
      <c r="C582" t="str">
        <f>IF(SALE!C586=0,"",SALE!C586)</f>
        <v/>
      </c>
      <c r="D582" t="str">
        <f>IF(SALE!D586=0,"",SALE!D586)</f>
        <v/>
      </c>
      <c r="E582" s="10" t="str">
        <f>IF(SALE!E586=0,"",SALE!E586)</f>
        <v/>
      </c>
      <c r="F582" s="10" t="str">
        <f>IF(SALE!F586=0,"",SALE!F586)</f>
        <v/>
      </c>
      <c r="G582" s="2" t="str">
        <f>IF(SALE!G586=0,"",SALE!G586)</f>
        <v/>
      </c>
      <c r="H582" t="str">
        <f>IF(SALE!H586=0,"",SALE!H586)</f>
        <v/>
      </c>
      <c r="I582" t="str">
        <f>IF(SALE!I586=0,"",SALE!I586)</f>
        <v/>
      </c>
      <c r="J582" t="str">
        <f>IF(SALE!J586=0,"",SALE!J586)</f>
        <v/>
      </c>
    </row>
    <row r="583" spans="1:10">
      <c r="A583">
        <f>IF(SALE!A587=0,"",SALE!A587)</f>
        <v>582</v>
      </c>
      <c r="B583" t="str">
        <f>IF(SALE!B587=0,"",SALE!B587)</f>
        <v/>
      </c>
      <c r="C583" t="str">
        <f>IF(SALE!C587=0,"",SALE!C587)</f>
        <v/>
      </c>
      <c r="D583" t="str">
        <f>IF(SALE!D587=0,"",SALE!D587)</f>
        <v/>
      </c>
      <c r="E583" s="10" t="str">
        <f>IF(SALE!E587=0,"",SALE!E587)</f>
        <v/>
      </c>
      <c r="F583" s="10" t="str">
        <f>IF(SALE!F587=0,"",SALE!F587)</f>
        <v/>
      </c>
      <c r="G583" s="2" t="str">
        <f>IF(SALE!G587=0,"",SALE!G587)</f>
        <v/>
      </c>
      <c r="H583" t="str">
        <f>IF(SALE!H587=0,"",SALE!H587)</f>
        <v/>
      </c>
      <c r="I583" t="str">
        <f>IF(SALE!I587=0,"",SALE!I587)</f>
        <v/>
      </c>
      <c r="J583" t="str">
        <f>IF(SALE!J587=0,"",SALE!J587)</f>
        <v/>
      </c>
    </row>
    <row r="584" spans="1:10">
      <c r="A584">
        <f>IF(SALE!A588=0,"",SALE!A588)</f>
        <v>583</v>
      </c>
      <c r="B584" t="str">
        <f>IF(SALE!B588=0,"",SALE!B588)</f>
        <v/>
      </c>
      <c r="C584" t="str">
        <f>IF(SALE!C588=0,"",SALE!C588)</f>
        <v/>
      </c>
      <c r="D584" t="str">
        <f>IF(SALE!D588=0,"",SALE!D588)</f>
        <v/>
      </c>
      <c r="E584" s="10" t="str">
        <f>IF(SALE!E588=0,"",SALE!E588)</f>
        <v/>
      </c>
      <c r="F584" s="10" t="str">
        <f>IF(SALE!F588=0,"",SALE!F588)</f>
        <v/>
      </c>
      <c r="G584" s="2" t="str">
        <f>IF(SALE!G588=0,"",SALE!G588)</f>
        <v/>
      </c>
      <c r="H584" t="str">
        <f>IF(SALE!H588=0,"",SALE!H588)</f>
        <v/>
      </c>
      <c r="I584" t="str">
        <f>IF(SALE!I588=0,"",SALE!I588)</f>
        <v/>
      </c>
      <c r="J584" t="str">
        <f>IF(SALE!J588=0,"",SALE!J588)</f>
        <v/>
      </c>
    </row>
    <row r="585" spans="1:10">
      <c r="A585">
        <f>IF(SALE!A589=0,"",SALE!A589)</f>
        <v>584</v>
      </c>
      <c r="B585" t="str">
        <f>IF(SALE!B589=0,"",SALE!B589)</f>
        <v/>
      </c>
      <c r="C585" t="str">
        <f>IF(SALE!C589=0,"",SALE!C589)</f>
        <v/>
      </c>
      <c r="D585" t="str">
        <f>IF(SALE!D589=0,"",SALE!D589)</f>
        <v/>
      </c>
      <c r="E585" s="10" t="str">
        <f>IF(SALE!E589=0,"",SALE!E589)</f>
        <v/>
      </c>
      <c r="F585" s="10" t="str">
        <f>IF(SALE!F589=0,"",SALE!F589)</f>
        <v/>
      </c>
      <c r="G585" s="2" t="str">
        <f>IF(SALE!G589=0,"",SALE!G589)</f>
        <v/>
      </c>
      <c r="H585" t="str">
        <f>IF(SALE!H589=0,"",SALE!H589)</f>
        <v/>
      </c>
      <c r="I585" t="str">
        <f>IF(SALE!I589=0,"",SALE!I589)</f>
        <v/>
      </c>
      <c r="J585" t="str">
        <f>IF(SALE!J589=0,"",SALE!J589)</f>
        <v/>
      </c>
    </row>
    <row r="586" spans="1:10">
      <c r="A586">
        <f>IF(SALE!A590=0,"",SALE!A590)</f>
        <v>585</v>
      </c>
      <c r="B586" t="str">
        <f>IF(SALE!B590=0,"",SALE!B590)</f>
        <v/>
      </c>
      <c r="C586" t="str">
        <f>IF(SALE!C590=0,"",SALE!C590)</f>
        <v/>
      </c>
      <c r="D586" t="str">
        <f>IF(SALE!D590=0,"",SALE!D590)</f>
        <v/>
      </c>
      <c r="E586" s="10" t="str">
        <f>IF(SALE!E590=0,"",SALE!E590)</f>
        <v/>
      </c>
      <c r="F586" s="10" t="str">
        <f>IF(SALE!F590=0,"",SALE!F590)</f>
        <v/>
      </c>
      <c r="G586" s="2" t="str">
        <f>IF(SALE!G590=0,"",SALE!G590)</f>
        <v/>
      </c>
      <c r="H586" t="str">
        <f>IF(SALE!H590=0,"",SALE!H590)</f>
        <v/>
      </c>
      <c r="I586" t="str">
        <f>IF(SALE!I590=0,"",SALE!I590)</f>
        <v/>
      </c>
      <c r="J586" t="str">
        <f>IF(SALE!J590=0,"",SALE!J590)</f>
        <v/>
      </c>
    </row>
    <row r="587" spans="1:10">
      <c r="A587">
        <f>IF(SALE!A591=0,"",SALE!A591)</f>
        <v>586</v>
      </c>
      <c r="B587" t="str">
        <f>IF(SALE!B591=0,"",SALE!B591)</f>
        <v/>
      </c>
      <c r="C587" t="str">
        <f>IF(SALE!C591=0,"",SALE!C591)</f>
        <v/>
      </c>
      <c r="D587" t="str">
        <f>IF(SALE!D591=0,"",SALE!D591)</f>
        <v/>
      </c>
      <c r="E587" s="10" t="str">
        <f>IF(SALE!E591=0,"",SALE!E591)</f>
        <v/>
      </c>
      <c r="F587" s="10" t="str">
        <f>IF(SALE!F591=0,"",SALE!F591)</f>
        <v/>
      </c>
      <c r="G587" s="2" t="str">
        <f>IF(SALE!G591=0,"",SALE!G591)</f>
        <v/>
      </c>
      <c r="H587" t="str">
        <f>IF(SALE!H591=0,"",SALE!H591)</f>
        <v/>
      </c>
      <c r="I587" t="str">
        <f>IF(SALE!I591=0,"",SALE!I591)</f>
        <v/>
      </c>
      <c r="J587" t="str">
        <f>IF(SALE!J591=0,"",SALE!J591)</f>
        <v/>
      </c>
    </row>
    <row r="588" spans="1:10">
      <c r="A588">
        <f>IF(SALE!A592=0,"",SALE!A592)</f>
        <v>587</v>
      </c>
      <c r="B588" t="str">
        <f>IF(SALE!B592=0,"",SALE!B592)</f>
        <v/>
      </c>
      <c r="C588" t="str">
        <f>IF(SALE!C592=0,"",SALE!C592)</f>
        <v/>
      </c>
      <c r="D588" t="str">
        <f>IF(SALE!D592=0,"",SALE!D592)</f>
        <v/>
      </c>
      <c r="E588" s="10" t="str">
        <f>IF(SALE!E592=0,"",SALE!E592)</f>
        <v/>
      </c>
      <c r="F588" s="10" t="str">
        <f>IF(SALE!F592=0,"",SALE!F592)</f>
        <v/>
      </c>
      <c r="G588" s="2" t="str">
        <f>IF(SALE!G592=0,"",SALE!G592)</f>
        <v/>
      </c>
      <c r="H588" t="str">
        <f>IF(SALE!H592=0,"",SALE!H592)</f>
        <v/>
      </c>
      <c r="I588" t="str">
        <f>IF(SALE!I592=0,"",SALE!I592)</f>
        <v/>
      </c>
      <c r="J588" t="str">
        <f>IF(SALE!J592=0,"",SALE!J592)</f>
        <v/>
      </c>
    </row>
    <row r="589" spans="1:10">
      <c r="A589">
        <f>IF(SALE!A593=0,"",SALE!A593)</f>
        <v>588</v>
      </c>
      <c r="B589" t="str">
        <f>IF(SALE!B593=0,"",SALE!B593)</f>
        <v/>
      </c>
      <c r="C589" t="str">
        <f>IF(SALE!C593=0,"",SALE!C593)</f>
        <v/>
      </c>
      <c r="D589" t="str">
        <f>IF(SALE!D593=0,"",SALE!D593)</f>
        <v/>
      </c>
      <c r="E589" s="10" t="str">
        <f>IF(SALE!E593=0,"",SALE!E593)</f>
        <v/>
      </c>
      <c r="F589" s="10" t="str">
        <f>IF(SALE!F593=0,"",SALE!F593)</f>
        <v/>
      </c>
      <c r="G589" s="2" t="str">
        <f>IF(SALE!G593=0,"",SALE!G593)</f>
        <v/>
      </c>
      <c r="H589" t="str">
        <f>IF(SALE!H593=0,"",SALE!H593)</f>
        <v/>
      </c>
      <c r="I589" t="str">
        <f>IF(SALE!I593=0,"",SALE!I593)</f>
        <v/>
      </c>
      <c r="J589" t="str">
        <f>IF(SALE!J593=0,"",SALE!J593)</f>
        <v/>
      </c>
    </row>
    <row r="590" spans="1:10">
      <c r="A590">
        <f>IF(SALE!A594=0,"",SALE!A594)</f>
        <v>589</v>
      </c>
      <c r="B590" t="str">
        <f>IF(SALE!B594=0,"",SALE!B594)</f>
        <v/>
      </c>
      <c r="C590" t="str">
        <f>IF(SALE!C594=0,"",SALE!C594)</f>
        <v/>
      </c>
      <c r="D590" t="str">
        <f>IF(SALE!D594=0,"",SALE!D594)</f>
        <v/>
      </c>
      <c r="E590" s="10" t="str">
        <f>IF(SALE!E594=0,"",SALE!E594)</f>
        <v/>
      </c>
      <c r="F590" s="10" t="str">
        <f>IF(SALE!F594=0,"",SALE!F594)</f>
        <v/>
      </c>
      <c r="G590" s="2" t="str">
        <f>IF(SALE!G594=0,"",SALE!G594)</f>
        <v/>
      </c>
      <c r="H590" t="str">
        <f>IF(SALE!H594=0,"",SALE!H594)</f>
        <v/>
      </c>
      <c r="I590" t="str">
        <f>IF(SALE!I594=0,"",SALE!I594)</f>
        <v/>
      </c>
      <c r="J590" t="str">
        <f>IF(SALE!J594=0,"",SALE!J594)</f>
        <v/>
      </c>
    </row>
    <row r="591" spans="1:10">
      <c r="A591">
        <f>IF(SALE!A595=0,"",SALE!A595)</f>
        <v>590</v>
      </c>
      <c r="B591" t="str">
        <f>IF(SALE!B595=0,"",SALE!B595)</f>
        <v/>
      </c>
      <c r="C591" t="str">
        <f>IF(SALE!C595=0,"",SALE!C595)</f>
        <v/>
      </c>
      <c r="D591" t="str">
        <f>IF(SALE!D595=0,"",SALE!D595)</f>
        <v/>
      </c>
      <c r="E591" s="10" t="str">
        <f>IF(SALE!E595=0,"",SALE!E595)</f>
        <v/>
      </c>
      <c r="F591" s="10" t="str">
        <f>IF(SALE!F595=0,"",SALE!F595)</f>
        <v/>
      </c>
      <c r="G591" s="2" t="str">
        <f>IF(SALE!G595=0,"",SALE!G595)</f>
        <v/>
      </c>
      <c r="H591" t="str">
        <f>IF(SALE!H595=0,"",SALE!H595)</f>
        <v/>
      </c>
      <c r="I591" t="str">
        <f>IF(SALE!I595=0,"",SALE!I595)</f>
        <v/>
      </c>
      <c r="J591" t="str">
        <f>IF(SALE!J595=0,"",SALE!J595)</f>
        <v/>
      </c>
    </row>
    <row r="592" spans="1:10">
      <c r="A592">
        <f>IF(SALE!A596=0,"",SALE!A596)</f>
        <v>591</v>
      </c>
      <c r="B592" t="str">
        <f>IF(SALE!B596=0,"",SALE!B596)</f>
        <v/>
      </c>
      <c r="C592" t="str">
        <f>IF(SALE!C596=0,"",SALE!C596)</f>
        <v/>
      </c>
      <c r="D592" t="str">
        <f>IF(SALE!D596=0,"",SALE!D596)</f>
        <v/>
      </c>
      <c r="E592" s="10" t="str">
        <f>IF(SALE!E596=0,"",SALE!E596)</f>
        <v/>
      </c>
      <c r="F592" s="10" t="str">
        <f>IF(SALE!F596=0,"",SALE!F596)</f>
        <v/>
      </c>
      <c r="G592" s="2" t="str">
        <f>IF(SALE!G596=0,"",SALE!G596)</f>
        <v/>
      </c>
      <c r="H592" t="str">
        <f>IF(SALE!H596=0,"",SALE!H596)</f>
        <v/>
      </c>
      <c r="I592" t="str">
        <f>IF(SALE!I596=0,"",SALE!I596)</f>
        <v/>
      </c>
      <c r="J592" t="str">
        <f>IF(SALE!J596=0,"",SALE!J596)</f>
        <v/>
      </c>
    </row>
    <row r="593" spans="1:10">
      <c r="A593">
        <f>IF(SALE!A597=0,"",SALE!A597)</f>
        <v>592</v>
      </c>
      <c r="B593" t="str">
        <f>IF(SALE!B597=0,"",SALE!B597)</f>
        <v/>
      </c>
      <c r="C593" t="str">
        <f>IF(SALE!C597=0,"",SALE!C597)</f>
        <v/>
      </c>
      <c r="D593" t="str">
        <f>IF(SALE!D597=0,"",SALE!D597)</f>
        <v/>
      </c>
      <c r="E593" s="10" t="str">
        <f>IF(SALE!E597=0,"",SALE!E597)</f>
        <v/>
      </c>
      <c r="F593" s="10" t="str">
        <f>IF(SALE!F597=0,"",SALE!F597)</f>
        <v/>
      </c>
      <c r="G593" s="2" t="str">
        <f>IF(SALE!G597=0,"",SALE!G597)</f>
        <v/>
      </c>
      <c r="H593" t="str">
        <f>IF(SALE!H597=0,"",SALE!H597)</f>
        <v/>
      </c>
      <c r="I593" t="str">
        <f>IF(SALE!I597=0,"",SALE!I597)</f>
        <v/>
      </c>
      <c r="J593" t="str">
        <f>IF(SALE!J597=0,"",SALE!J597)</f>
        <v/>
      </c>
    </row>
    <row r="594" spans="1:10">
      <c r="A594">
        <f>IF(SALE!A598=0,"",SALE!A598)</f>
        <v>593</v>
      </c>
      <c r="B594" t="str">
        <f>IF(SALE!B598=0,"",SALE!B598)</f>
        <v/>
      </c>
      <c r="C594" t="str">
        <f>IF(SALE!C598=0,"",SALE!C598)</f>
        <v/>
      </c>
      <c r="D594" t="str">
        <f>IF(SALE!D598=0,"",SALE!D598)</f>
        <v/>
      </c>
      <c r="E594" s="10" t="str">
        <f>IF(SALE!E598=0,"",SALE!E598)</f>
        <v/>
      </c>
      <c r="F594" s="10" t="str">
        <f>IF(SALE!F598=0,"",SALE!F598)</f>
        <v/>
      </c>
      <c r="G594" s="2" t="str">
        <f>IF(SALE!G598=0,"",SALE!G598)</f>
        <v/>
      </c>
      <c r="H594" t="str">
        <f>IF(SALE!H598=0,"",SALE!H598)</f>
        <v/>
      </c>
      <c r="I594" t="str">
        <f>IF(SALE!I598=0,"",SALE!I598)</f>
        <v/>
      </c>
      <c r="J594" t="str">
        <f>IF(SALE!J598=0,"",SALE!J598)</f>
        <v/>
      </c>
    </row>
    <row r="595" spans="1:10">
      <c r="A595">
        <f>IF(SALE!A599=0,"",SALE!A599)</f>
        <v>594</v>
      </c>
      <c r="B595" t="str">
        <f>IF(SALE!B599=0,"",SALE!B599)</f>
        <v/>
      </c>
      <c r="C595" t="str">
        <f>IF(SALE!C599=0,"",SALE!C599)</f>
        <v/>
      </c>
      <c r="D595" t="str">
        <f>IF(SALE!D599=0,"",SALE!D599)</f>
        <v/>
      </c>
      <c r="E595" s="10" t="str">
        <f>IF(SALE!E599=0,"",SALE!E599)</f>
        <v/>
      </c>
      <c r="F595" s="10" t="str">
        <f>IF(SALE!F599=0,"",SALE!F599)</f>
        <v/>
      </c>
      <c r="G595" s="2" t="str">
        <f>IF(SALE!G599=0,"",SALE!G599)</f>
        <v/>
      </c>
      <c r="H595" t="str">
        <f>IF(SALE!H599=0,"",SALE!H599)</f>
        <v/>
      </c>
      <c r="I595" t="str">
        <f>IF(SALE!I599=0,"",SALE!I599)</f>
        <v/>
      </c>
      <c r="J595" t="str">
        <f>IF(SALE!J599=0,"",SALE!J599)</f>
        <v/>
      </c>
    </row>
    <row r="596" spans="1:10">
      <c r="A596">
        <f>IF(SALE!A600=0,"",SALE!A600)</f>
        <v>595</v>
      </c>
      <c r="B596" t="str">
        <f>IF(SALE!B600=0,"",SALE!B600)</f>
        <v/>
      </c>
      <c r="C596" t="str">
        <f>IF(SALE!C600=0,"",SALE!C600)</f>
        <v/>
      </c>
      <c r="D596" t="str">
        <f>IF(SALE!D600=0,"",SALE!D600)</f>
        <v/>
      </c>
      <c r="E596" s="10" t="str">
        <f>IF(SALE!E600=0,"",SALE!E600)</f>
        <v/>
      </c>
      <c r="F596" s="10" t="str">
        <f>IF(SALE!F600=0,"",SALE!F600)</f>
        <v/>
      </c>
      <c r="G596" s="2" t="str">
        <f>IF(SALE!G600=0,"",SALE!G600)</f>
        <v/>
      </c>
      <c r="H596" t="str">
        <f>IF(SALE!H600=0,"",SALE!H600)</f>
        <v/>
      </c>
      <c r="I596" t="str">
        <f>IF(SALE!I600=0,"",SALE!I600)</f>
        <v/>
      </c>
      <c r="J596" t="str">
        <f>IF(SALE!J600=0,"",SALE!J600)</f>
        <v/>
      </c>
    </row>
    <row r="597" spans="1:10">
      <c r="A597">
        <f>IF(SALE!A601=0,"",SALE!A601)</f>
        <v>596</v>
      </c>
      <c r="B597" t="str">
        <f>IF(SALE!B601=0,"",SALE!B601)</f>
        <v/>
      </c>
      <c r="C597" t="str">
        <f>IF(SALE!C601=0,"",SALE!C601)</f>
        <v/>
      </c>
      <c r="D597" t="str">
        <f>IF(SALE!D601=0,"",SALE!D601)</f>
        <v/>
      </c>
      <c r="E597" s="10" t="str">
        <f>IF(SALE!E601=0,"",SALE!E601)</f>
        <v/>
      </c>
      <c r="F597" s="10" t="str">
        <f>IF(SALE!F601=0,"",SALE!F601)</f>
        <v/>
      </c>
      <c r="G597" s="2" t="str">
        <f>IF(SALE!G601=0,"",SALE!G601)</f>
        <v/>
      </c>
      <c r="H597" t="str">
        <f>IF(SALE!H601=0,"",SALE!H601)</f>
        <v/>
      </c>
      <c r="I597" t="str">
        <f>IF(SALE!I601=0,"",SALE!I601)</f>
        <v/>
      </c>
      <c r="J597" t="str">
        <f>IF(SALE!J601=0,"",SALE!J601)</f>
        <v/>
      </c>
    </row>
    <row r="598" spans="1:10">
      <c r="A598">
        <f>IF(SALE!A602=0,"",SALE!A602)</f>
        <v>597</v>
      </c>
      <c r="B598" t="str">
        <f>IF(SALE!B602=0,"",SALE!B602)</f>
        <v/>
      </c>
      <c r="C598" t="str">
        <f>IF(SALE!C602=0,"",SALE!C602)</f>
        <v/>
      </c>
      <c r="D598" t="str">
        <f>IF(SALE!D602=0,"",SALE!D602)</f>
        <v/>
      </c>
      <c r="E598" s="10" t="str">
        <f>IF(SALE!E602=0,"",SALE!E602)</f>
        <v/>
      </c>
      <c r="F598" s="10" t="str">
        <f>IF(SALE!F602=0,"",SALE!F602)</f>
        <v/>
      </c>
      <c r="G598" s="2" t="str">
        <f>IF(SALE!G602=0,"",SALE!G602)</f>
        <v/>
      </c>
      <c r="H598" t="str">
        <f>IF(SALE!H602=0,"",SALE!H602)</f>
        <v/>
      </c>
      <c r="I598" t="str">
        <f>IF(SALE!I602=0,"",SALE!I602)</f>
        <v/>
      </c>
      <c r="J598" t="str">
        <f>IF(SALE!J602=0,"",SALE!J602)</f>
        <v/>
      </c>
    </row>
    <row r="599" spans="1:10">
      <c r="A599">
        <f>IF(SALE!A603=0,"",SALE!A603)</f>
        <v>598</v>
      </c>
      <c r="B599" t="str">
        <f>IF(SALE!B603=0,"",SALE!B603)</f>
        <v/>
      </c>
      <c r="C599" t="str">
        <f>IF(SALE!C603=0,"",SALE!C603)</f>
        <v/>
      </c>
      <c r="D599" t="str">
        <f>IF(SALE!D603=0,"",SALE!D603)</f>
        <v/>
      </c>
      <c r="E599" s="10" t="str">
        <f>IF(SALE!E603=0,"",SALE!E603)</f>
        <v/>
      </c>
      <c r="F599" s="10" t="str">
        <f>IF(SALE!F603=0,"",SALE!F603)</f>
        <v/>
      </c>
      <c r="G599" s="2" t="str">
        <f>IF(SALE!G603=0,"",SALE!G603)</f>
        <v/>
      </c>
      <c r="H599" t="str">
        <f>IF(SALE!H603=0,"",SALE!H603)</f>
        <v/>
      </c>
      <c r="I599" t="str">
        <f>IF(SALE!I603=0,"",SALE!I603)</f>
        <v/>
      </c>
      <c r="J599" t="str">
        <f>IF(SALE!J603=0,"",SALE!J603)</f>
        <v/>
      </c>
    </row>
    <row r="600" spans="1:10">
      <c r="A600">
        <f>IF(SALE!A604=0,"",SALE!A604)</f>
        <v>599</v>
      </c>
      <c r="B600" t="str">
        <f>IF(SALE!B604=0,"",SALE!B604)</f>
        <v/>
      </c>
      <c r="C600" t="str">
        <f>IF(SALE!C604=0,"",SALE!C604)</f>
        <v/>
      </c>
      <c r="D600" t="str">
        <f>IF(SALE!D604=0,"",SALE!D604)</f>
        <v/>
      </c>
      <c r="E600" s="10" t="str">
        <f>IF(SALE!E604=0,"",SALE!E604)</f>
        <v/>
      </c>
      <c r="F600" s="10" t="str">
        <f>IF(SALE!F604=0,"",SALE!F604)</f>
        <v/>
      </c>
      <c r="G600" s="2" t="str">
        <f>IF(SALE!G604=0,"",SALE!G604)</f>
        <v/>
      </c>
      <c r="H600" t="str">
        <f>IF(SALE!H604=0,"",SALE!H604)</f>
        <v/>
      </c>
      <c r="I600" t="str">
        <f>IF(SALE!I604=0,"",SALE!I604)</f>
        <v/>
      </c>
      <c r="J600" t="str">
        <f>IF(SALE!J604=0,"",SALE!J604)</f>
        <v/>
      </c>
    </row>
    <row r="601" spans="1:10">
      <c r="A601">
        <f>IF(SALE!A605=0,"",SALE!A605)</f>
        <v>600</v>
      </c>
      <c r="B601" t="str">
        <f>IF(SALE!B605=0,"",SALE!B605)</f>
        <v/>
      </c>
      <c r="C601" t="str">
        <f>IF(SALE!C605=0,"",SALE!C605)</f>
        <v/>
      </c>
      <c r="D601" t="str">
        <f>IF(SALE!D605=0,"",SALE!D605)</f>
        <v/>
      </c>
      <c r="E601" s="10" t="str">
        <f>IF(SALE!E605=0,"",SALE!E605)</f>
        <v/>
      </c>
      <c r="F601" s="10" t="str">
        <f>IF(SALE!F605=0,"",SALE!F605)</f>
        <v/>
      </c>
      <c r="G601" s="2" t="str">
        <f>IF(SALE!G605=0,"",SALE!G605)</f>
        <v/>
      </c>
      <c r="H601" t="str">
        <f>IF(SALE!H605=0,"",SALE!H605)</f>
        <v/>
      </c>
      <c r="I601" t="str">
        <f>IF(SALE!I605=0,"",SALE!I605)</f>
        <v/>
      </c>
      <c r="J601" t="str">
        <f>IF(SALE!J605=0,"",SALE!J605)</f>
        <v/>
      </c>
    </row>
    <row r="602" spans="1:10">
      <c r="A602">
        <f>IF(SALE!A606=0,"",SALE!A606)</f>
        <v>601</v>
      </c>
      <c r="B602" t="str">
        <f>IF(SALE!B606=0,"",SALE!B606)</f>
        <v/>
      </c>
      <c r="C602" t="str">
        <f>IF(SALE!C606=0,"",SALE!C606)</f>
        <v/>
      </c>
      <c r="D602" t="str">
        <f>IF(SALE!D606=0,"",SALE!D606)</f>
        <v/>
      </c>
      <c r="E602" s="10" t="str">
        <f>IF(SALE!E606=0,"",SALE!E606)</f>
        <v/>
      </c>
      <c r="F602" s="10" t="str">
        <f>IF(SALE!F606=0,"",SALE!F606)</f>
        <v/>
      </c>
      <c r="G602" s="2" t="str">
        <f>IF(SALE!G606=0,"",SALE!G606)</f>
        <v/>
      </c>
      <c r="H602" t="str">
        <f>IF(SALE!H606=0,"",SALE!H606)</f>
        <v/>
      </c>
      <c r="I602" t="str">
        <f>IF(SALE!I606=0,"",SALE!I606)</f>
        <v/>
      </c>
      <c r="J602" t="str">
        <f>IF(SALE!J606=0,"",SALE!J606)</f>
        <v/>
      </c>
    </row>
    <row r="603" spans="1:10">
      <c r="A603">
        <f>IF(SALE!A607=0,"",SALE!A607)</f>
        <v>602</v>
      </c>
      <c r="B603" t="str">
        <f>IF(SALE!B607=0,"",SALE!B607)</f>
        <v/>
      </c>
      <c r="C603" t="str">
        <f>IF(SALE!C607=0,"",SALE!C607)</f>
        <v/>
      </c>
      <c r="D603" t="str">
        <f>IF(SALE!D607=0,"",SALE!D607)</f>
        <v/>
      </c>
      <c r="E603" s="10" t="str">
        <f>IF(SALE!E607=0,"",SALE!E607)</f>
        <v/>
      </c>
      <c r="F603" s="10" t="str">
        <f>IF(SALE!F607=0,"",SALE!F607)</f>
        <v/>
      </c>
      <c r="G603" s="2" t="str">
        <f>IF(SALE!G607=0,"",SALE!G607)</f>
        <v/>
      </c>
      <c r="H603" t="str">
        <f>IF(SALE!H607=0,"",SALE!H607)</f>
        <v/>
      </c>
      <c r="I603" t="str">
        <f>IF(SALE!I607=0,"",SALE!I607)</f>
        <v/>
      </c>
      <c r="J603" t="str">
        <f>IF(SALE!J607=0,"",SALE!J607)</f>
        <v/>
      </c>
    </row>
    <row r="604" spans="1:10">
      <c r="A604">
        <f>IF(SALE!A608=0,"",SALE!A608)</f>
        <v>603</v>
      </c>
      <c r="B604" t="str">
        <f>IF(SALE!B608=0,"",SALE!B608)</f>
        <v/>
      </c>
      <c r="C604" t="str">
        <f>IF(SALE!C608=0,"",SALE!C608)</f>
        <v/>
      </c>
      <c r="D604" t="str">
        <f>IF(SALE!D608=0,"",SALE!D608)</f>
        <v/>
      </c>
      <c r="E604" s="10" t="str">
        <f>IF(SALE!E608=0,"",SALE!E608)</f>
        <v/>
      </c>
      <c r="F604" s="10" t="str">
        <f>IF(SALE!F608=0,"",SALE!F608)</f>
        <v/>
      </c>
      <c r="G604" s="2" t="str">
        <f>IF(SALE!G608=0,"",SALE!G608)</f>
        <v/>
      </c>
      <c r="H604" t="str">
        <f>IF(SALE!H608=0,"",SALE!H608)</f>
        <v/>
      </c>
      <c r="I604" t="str">
        <f>IF(SALE!I608=0,"",SALE!I608)</f>
        <v/>
      </c>
      <c r="J604" t="str">
        <f>IF(SALE!J608=0,"",SALE!J608)</f>
        <v/>
      </c>
    </row>
    <row r="605" spans="1:10">
      <c r="A605">
        <f>IF(SALE!A609=0,"",SALE!A609)</f>
        <v>604</v>
      </c>
      <c r="B605" t="str">
        <f>IF(SALE!B609=0,"",SALE!B609)</f>
        <v/>
      </c>
      <c r="C605" t="str">
        <f>IF(SALE!C609=0,"",SALE!C609)</f>
        <v/>
      </c>
      <c r="D605" t="str">
        <f>IF(SALE!D609=0,"",SALE!D609)</f>
        <v/>
      </c>
      <c r="E605" s="10" t="str">
        <f>IF(SALE!E609=0,"",SALE!E609)</f>
        <v/>
      </c>
      <c r="F605" s="10" t="str">
        <f>IF(SALE!F609=0,"",SALE!F609)</f>
        <v/>
      </c>
      <c r="G605" s="2" t="str">
        <f>IF(SALE!G609=0,"",SALE!G609)</f>
        <v/>
      </c>
      <c r="H605" t="str">
        <f>IF(SALE!H609=0,"",SALE!H609)</f>
        <v/>
      </c>
      <c r="I605" t="str">
        <f>IF(SALE!I609=0,"",SALE!I609)</f>
        <v/>
      </c>
      <c r="J605" t="str">
        <f>IF(SALE!J609=0,"",SALE!J609)</f>
        <v/>
      </c>
    </row>
    <row r="606" spans="1:10">
      <c r="A606">
        <f>IF(SALE!A610=0,"",SALE!A610)</f>
        <v>605</v>
      </c>
      <c r="B606" t="str">
        <f>IF(SALE!B610=0,"",SALE!B610)</f>
        <v/>
      </c>
      <c r="C606" t="str">
        <f>IF(SALE!C610=0,"",SALE!C610)</f>
        <v/>
      </c>
      <c r="D606" t="str">
        <f>IF(SALE!D610=0,"",SALE!D610)</f>
        <v/>
      </c>
      <c r="E606" s="10" t="str">
        <f>IF(SALE!E610=0,"",SALE!E610)</f>
        <v/>
      </c>
      <c r="F606" s="10" t="str">
        <f>IF(SALE!F610=0,"",SALE!F610)</f>
        <v/>
      </c>
      <c r="G606" s="2" t="str">
        <f>IF(SALE!G610=0,"",SALE!G610)</f>
        <v/>
      </c>
      <c r="H606" t="str">
        <f>IF(SALE!H610=0,"",SALE!H610)</f>
        <v/>
      </c>
      <c r="I606" t="str">
        <f>IF(SALE!I610=0,"",SALE!I610)</f>
        <v/>
      </c>
      <c r="J606" t="str">
        <f>IF(SALE!J610=0,"",SALE!J610)</f>
        <v/>
      </c>
    </row>
    <row r="607" spans="1:10">
      <c r="A607">
        <f>IF(SALE!A611=0,"",SALE!A611)</f>
        <v>606</v>
      </c>
      <c r="B607" t="str">
        <f>IF(SALE!B611=0,"",SALE!B611)</f>
        <v/>
      </c>
      <c r="C607" t="str">
        <f>IF(SALE!C611=0,"",SALE!C611)</f>
        <v/>
      </c>
      <c r="D607" t="str">
        <f>IF(SALE!D611=0,"",SALE!D611)</f>
        <v/>
      </c>
      <c r="E607" s="10" t="str">
        <f>IF(SALE!E611=0,"",SALE!E611)</f>
        <v/>
      </c>
      <c r="F607" s="10" t="str">
        <f>IF(SALE!F611=0,"",SALE!F611)</f>
        <v/>
      </c>
      <c r="G607" s="2" t="str">
        <f>IF(SALE!G611=0,"",SALE!G611)</f>
        <v/>
      </c>
      <c r="H607" t="str">
        <f>IF(SALE!H611=0,"",SALE!H611)</f>
        <v/>
      </c>
      <c r="I607" t="str">
        <f>IF(SALE!I611=0,"",SALE!I611)</f>
        <v/>
      </c>
      <c r="J607" t="str">
        <f>IF(SALE!J611=0,"",SALE!J611)</f>
        <v/>
      </c>
    </row>
    <row r="608" spans="1:10">
      <c r="A608">
        <f>IF(SALE!A612=0,"",SALE!A612)</f>
        <v>607</v>
      </c>
      <c r="B608" t="str">
        <f>IF(SALE!B612=0,"",SALE!B612)</f>
        <v/>
      </c>
      <c r="C608" t="str">
        <f>IF(SALE!C612=0,"",SALE!C612)</f>
        <v/>
      </c>
      <c r="D608" t="str">
        <f>IF(SALE!D612=0,"",SALE!D612)</f>
        <v/>
      </c>
      <c r="E608" s="10" t="str">
        <f>IF(SALE!E612=0,"",SALE!E612)</f>
        <v/>
      </c>
      <c r="F608" s="10" t="str">
        <f>IF(SALE!F612=0,"",SALE!F612)</f>
        <v/>
      </c>
      <c r="G608" s="2" t="str">
        <f>IF(SALE!G612=0,"",SALE!G612)</f>
        <v/>
      </c>
      <c r="H608" t="str">
        <f>IF(SALE!H612=0,"",SALE!H612)</f>
        <v/>
      </c>
      <c r="I608" t="str">
        <f>IF(SALE!I612=0,"",SALE!I612)</f>
        <v/>
      </c>
      <c r="J608" t="str">
        <f>IF(SALE!J612=0,"",SALE!J612)</f>
        <v/>
      </c>
    </row>
    <row r="609" spans="1:10">
      <c r="A609">
        <f>IF(SALE!A613=0,"",SALE!A613)</f>
        <v>608</v>
      </c>
      <c r="B609" t="str">
        <f>IF(SALE!B613=0,"",SALE!B613)</f>
        <v/>
      </c>
      <c r="C609" t="str">
        <f>IF(SALE!C613=0,"",SALE!C613)</f>
        <v/>
      </c>
      <c r="D609" t="str">
        <f>IF(SALE!D613=0,"",SALE!D613)</f>
        <v/>
      </c>
      <c r="E609" s="10" t="str">
        <f>IF(SALE!E613=0,"",SALE!E613)</f>
        <v/>
      </c>
      <c r="F609" s="10" t="str">
        <f>IF(SALE!F613=0,"",SALE!F613)</f>
        <v/>
      </c>
      <c r="G609" s="2" t="str">
        <f>IF(SALE!G613=0,"",SALE!G613)</f>
        <v/>
      </c>
      <c r="H609" t="str">
        <f>IF(SALE!H613=0,"",SALE!H613)</f>
        <v/>
      </c>
      <c r="I609" t="str">
        <f>IF(SALE!I613=0,"",SALE!I613)</f>
        <v/>
      </c>
      <c r="J609" t="str">
        <f>IF(SALE!J613=0,"",SALE!J613)</f>
        <v/>
      </c>
    </row>
    <row r="610" spans="1:10">
      <c r="A610">
        <f>IF(SALE!A614=0,"",SALE!A614)</f>
        <v>609</v>
      </c>
      <c r="B610" t="str">
        <f>IF(SALE!B614=0,"",SALE!B614)</f>
        <v/>
      </c>
      <c r="C610" t="str">
        <f>IF(SALE!C614=0,"",SALE!C614)</f>
        <v/>
      </c>
      <c r="D610" t="str">
        <f>IF(SALE!D614=0,"",SALE!D614)</f>
        <v/>
      </c>
      <c r="E610" s="10" t="str">
        <f>IF(SALE!E614=0,"",SALE!E614)</f>
        <v/>
      </c>
      <c r="F610" s="10" t="str">
        <f>IF(SALE!F614=0,"",SALE!F614)</f>
        <v/>
      </c>
      <c r="G610" s="2" t="str">
        <f>IF(SALE!G614=0,"",SALE!G614)</f>
        <v/>
      </c>
      <c r="H610" t="str">
        <f>IF(SALE!H614=0,"",SALE!H614)</f>
        <v/>
      </c>
      <c r="I610" t="str">
        <f>IF(SALE!I614=0,"",SALE!I614)</f>
        <v/>
      </c>
      <c r="J610" t="str">
        <f>IF(SALE!J614=0,"",SALE!J614)</f>
        <v/>
      </c>
    </row>
    <row r="611" spans="1:10">
      <c r="A611">
        <f>IF(SALE!A615=0,"",SALE!A615)</f>
        <v>610</v>
      </c>
      <c r="B611" t="str">
        <f>IF(SALE!B615=0,"",SALE!B615)</f>
        <v/>
      </c>
      <c r="C611" t="str">
        <f>IF(SALE!C615=0,"",SALE!C615)</f>
        <v/>
      </c>
      <c r="D611" t="str">
        <f>IF(SALE!D615=0,"",SALE!D615)</f>
        <v/>
      </c>
      <c r="E611" s="10" t="str">
        <f>IF(SALE!E615=0,"",SALE!E615)</f>
        <v/>
      </c>
      <c r="F611" s="10" t="str">
        <f>IF(SALE!F615=0,"",SALE!F615)</f>
        <v/>
      </c>
      <c r="G611" s="2" t="str">
        <f>IF(SALE!G615=0,"",SALE!G615)</f>
        <v/>
      </c>
      <c r="H611" t="str">
        <f>IF(SALE!H615=0,"",SALE!H615)</f>
        <v/>
      </c>
      <c r="I611" t="str">
        <f>IF(SALE!I615=0,"",SALE!I615)</f>
        <v/>
      </c>
      <c r="J611" t="str">
        <f>IF(SALE!J615=0,"",SALE!J615)</f>
        <v/>
      </c>
    </row>
    <row r="612" spans="1:10">
      <c r="A612">
        <f>IF(SALE!A616=0,"",SALE!A616)</f>
        <v>611</v>
      </c>
      <c r="B612" t="str">
        <f>IF(SALE!B616=0,"",SALE!B616)</f>
        <v/>
      </c>
      <c r="C612" t="str">
        <f>IF(SALE!C616=0,"",SALE!C616)</f>
        <v/>
      </c>
      <c r="D612" t="str">
        <f>IF(SALE!D616=0,"",SALE!D616)</f>
        <v/>
      </c>
      <c r="E612" s="10" t="str">
        <f>IF(SALE!E616=0,"",SALE!E616)</f>
        <v/>
      </c>
      <c r="F612" s="10" t="str">
        <f>IF(SALE!F616=0,"",SALE!F616)</f>
        <v/>
      </c>
      <c r="G612" s="2" t="str">
        <f>IF(SALE!G616=0,"",SALE!G616)</f>
        <v/>
      </c>
      <c r="H612" t="str">
        <f>IF(SALE!H616=0,"",SALE!H616)</f>
        <v/>
      </c>
      <c r="I612" t="str">
        <f>IF(SALE!I616=0,"",SALE!I616)</f>
        <v/>
      </c>
      <c r="J612" t="str">
        <f>IF(SALE!J616=0,"",SALE!J616)</f>
        <v/>
      </c>
    </row>
    <row r="613" spans="1:10">
      <c r="A613">
        <f>IF(SALE!A617=0,"",SALE!A617)</f>
        <v>612</v>
      </c>
      <c r="B613" t="str">
        <f>IF(SALE!B617=0,"",SALE!B617)</f>
        <v/>
      </c>
      <c r="C613" t="str">
        <f>IF(SALE!C617=0,"",SALE!C617)</f>
        <v/>
      </c>
      <c r="D613" t="str">
        <f>IF(SALE!D617=0,"",SALE!D617)</f>
        <v/>
      </c>
      <c r="E613" s="10" t="str">
        <f>IF(SALE!E617=0,"",SALE!E617)</f>
        <v/>
      </c>
      <c r="F613" s="10" t="str">
        <f>IF(SALE!F617=0,"",SALE!F617)</f>
        <v/>
      </c>
      <c r="G613" s="2" t="str">
        <f>IF(SALE!G617=0,"",SALE!G617)</f>
        <v/>
      </c>
      <c r="H613" t="str">
        <f>IF(SALE!H617=0,"",SALE!H617)</f>
        <v/>
      </c>
      <c r="I613" t="str">
        <f>IF(SALE!I617=0,"",SALE!I617)</f>
        <v/>
      </c>
      <c r="J613" t="str">
        <f>IF(SALE!J617=0,"",SALE!J617)</f>
        <v/>
      </c>
    </row>
    <row r="614" spans="1:10">
      <c r="A614">
        <f>IF(SALE!A618=0,"",SALE!A618)</f>
        <v>613</v>
      </c>
      <c r="B614" t="str">
        <f>IF(SALE!B618=0,"",SALE!B618)</f>
        <v/>
      </c>
      <c r="C614" t="str">
        <f>IF(SALE!C618=0,"",SALE!C618)</f>
        <v/>
      </c>
      <c r="D614" t="str">
        <f>IF(SALE!D618=0,"",SALE!D618)</f>
        <v/>
      </c>
      <c r="E614" s="10" t="str">
        <f>IF(SALE!E618=0,"",SALE!E618)</f>
        <v/>
      </c>
      <c r="F614" s="10" t="str">
        <f>IF(SALE!F618=0,"",SALE!F618)</f>
        <v/>
      </c>
      <c r="G614" s="2" t="str">
        <f>IF(SALE!G618=0,"",SALE!G618)</f>
        <v/>
      </c>
      <c r="H614" t="str">
        <f>IF(SALE!H618=0,"",SALE!H618)</f>
        <v/>
      </c>
      <c r="I614" t="str">
        <f>IF(SALE!I618=0,"",SALE!I618)</f>
        <v/>
      </c>
      <c r="J614" t="str">
        <f>IF(SALE!J618=0,"",SALE!J618)</f>
        <v/>
      </c>
    </row>
    <row r="615" spans="1:10">
      <c r="A615">
        <f>IF(SALE!A619=0,"",SALE!A619)</f>
        <v>614</v>
      </c>
      <c r="B615" t="str">
        <f>IF(SALE!B619=0,"",SALE!B619)</f>
        <v/>
      </c>
      <c r="C615" t="str">
        <f>IF(SALE!C619=0,"",SALE!C619)</f>
        <v/>
      </c>
      <c r="D615" t="str">
        <f>IF(SALE!D619=0,"",SALE!D619)</f>
        <v/>
      </c>
      <c r="E615" s="10" t="str">
        <f>IF(SALE!E619=0,"",SALE!E619)</f>
        <v/>
      </c>
      <c r="F615" s="10" t="str">
        <f>IF(SALE!F619=0,"",SALE!F619)</f>
        <v/>
      </c>
      <c r="G615" s="2" t="str">
        <f>IF(SALE!G619=0,"",SALE!G619)</f>
        <v/>
      </c>
      <c r="H615" t="str">
        <f>IF(SALE!H619=0,"",SALE!H619)</f>
        <v/>
      </c>
      <c r="I615" t="str">
        <f>IF(SALE!I619=0,"",SALE!I619)</f>
        <v/>
      </c>
      <c r="J615" t="str">
        <f>IF(SALE!J619=0,"",SALE!J619)</f>
        <v/>
      </c>
    </row>
    <row r="616" spans="1:10">
      <c r="A616">
        <f>IF(SALE!A620=0,"",SALE!A620)</f>
        <v>615</v>
      </c>
      <c r="B616" t="str">
        <f>IF(SALE!B620=0,"",SALE!B620)</f>
        <v/>
      </c>
      <c r="C616" t="str">
        <f>IF(SALE!C620=0,"",SALE!C620)</f>
        <v/>
      </c>
      <c r="D616" t="str">
        <f>IF(SALE!D620=0,"",SALE!D620)</f>
        <v/>
      </c>
      <c r="E616" s="10" t="str">
        <f>IF(SALE!E620=0,"",SALE!E620)</f>
        <v/>
      </c>
      <c r="F616" s="10" t="str">
        <f>IF(SALE!F620=0,"",SALE!F620)</f>
        <v/>
      </c>
      <c r="G616" s="2" t="str">
        <f>IF(SALE!G620=0,"",SALE!G620)</f>
        <v/>
      </c>
      <c r="H616" t="str">
        <f>IF(SALE!H620=0,"",SALE!H620)</f>
        <v/>
      </c>
      <c r="I616" t="str">
        <f>IF(SALE!I620=0,"",SALE!I620)</f>
        <v/>
      </c>
      <c r="J616" t="str">
        <f>IF(SALE!J620=0,"",SALE!J620)</f>
        <v/>
      </c>
    </row>
    <row r="617" spans="1:10">
      <c r="A617">
        <f>IF(SALE!A621=0,"",SALE!A621)</f>
        <v>616</v>
      </c>
      <c r="B617" t="str">
        <f>IF(SALE!B621=0,"",SALE!B621)</f>
        <v/>
      </c>
      <c r="C617" t="str">
        <f>IF(SALE!C621=0,"",SALE!C621)</f>
        <v/>
      </c>
      <c r="D617" t="str">
        <f>IF(SALE!D621=0,"",SALE!D621)</f>
        <v/>
      </c>
      <c r="E617" s="10" t="str">
        <f>IF(SALE!E621=0,"",SALE!E621)</f>
        <v/>
      </c>
      <c r="F617" s="10" t="str">
        <f>IF(SALE!F621=0,"",SALE!F621)</f>
        <v/>
      </c>
      <c r="G617" s="2" t="str">
        <f>IF(SALE!G621=0,"",SALE!G621)</f>
        <v/>
      </c>
      <c r="H617" t="str">
        <f>IF(SALE!H621=0,"",SALE!H621)</f>
        <v/>
      </c>
      <c r="I617" t="str">
        <f>IF(SALE!I621=0,"",SALE!I621)</f>
        <v/>
      </c>
      <c r="J617" t="str">
        <f>IF(SALE!J621=0,"",SALE!J621)</f>
        <v/>
      </c>
    </row>
    <row r="618" spans="1:10">
      <c r="A618">
        <f>IF(SALE!A622=0,"",SALE!A622)</f>
        <v>617</v>
      </c>
      <c r="B618" t="str">
        <f>IF(SALE!B622=0,"",SALE!B622)</f>
        <v/>
      </c>
      <c r="C618" t="str">
        <f>IF(SALE!C622=0,"",SALE!C622)</f>
        <v/>
      </c>
      <c r="D618" t="str">
        <f>IF(SALE!D622=0,"",SALE!D622)</f>
        <v/>
      </c>
      <c r="E618" s="10" t="str">
        <f>IF(SALE!E622=0,"",SALE!E622)</f>
        <v/>
      </c>
      <c r="F618" s="10" t="str">
        <f>IF(SALE!F622=0,"",SALE!F622)</f>
        <v/>
      </c>
      <c r="G618" s="2" t="str">
        <f>IF(SALE!G622=0,"",SALE!G622)</f>
        <v/>
      </c>
      <c r="H618" t="str">
        <f>IF(SALE!H622=0,"",SALE!H622)</f>
        <v/>
      </c>
      <c r="I618" t="str">
        <f>IF(SALE!I622=0,"",SALE!I622)</f>
        <v/>
      </c>
      <c r="J618" t="str">
        <f>IF(SALE!J622=0,"",SALE!J622)</f>
        <v/>
      </c>
    </row>
    <row r="619" spans="1:10">
      <c r="A619">
        <f>IF(SALE!A623=0,"",SALE!A623)</f>
        <v>618</v>
      </c>
      <c r="B619" t="str">
        <f>IF(SALE!B623=0,"",SALE!B623)</f>
        <v/>
      </c>
      <c r="C619" t="str">
        <f>IF(SALE!C623=0,"",SALE!C623)</f>
        <v/>
      </c>
      <c r="D619" t="str">
        <f>IF(SALE!D623=0,"",SALE!D623)</f>
        <v/>
      </c>
      <c r="E619" s="10" t="str">
        <f>IF(SALE!E623=0,"",SALE!E623)</f>
        <v/>
      </c>
      <c r="F619" s="10" t="str">
        <f>IF(SALE!F623=0,"",SALE!F623)</f>
        <v/>
      </c>
      <c r="G619" s="2" t="str">
        <f>IF(SALE!G623=0,"",SALE!G623)</f>
        <v/>
      </c>
      <c r="H619" t="str">
        <f>IF(SALE!H623=0,"",SALE!H623)</f>
        <v/>
      </c>
      <c r="I619" t="str">
        <f>IF(SALE!I623=0,"",SALE!I623)</f>
        <v/>
      </c>
      <c r="J619" t="str">
        <f>IF(SALE!J623=0,"",SALE!J623)</f>
        <v/>
      </c>
    </row>
    <row r="620" spans="1:10">
      <c r="A620">
        <f>IF(SALE!A624=0,"",SALE!A624)</f>
        <v>619</v>
      </c>
      <c r="B620" t="str">
        <f>IF(SALE!B624=0,"",SALE!B624)</f>
        <v/>
      </c>
      <c r="C620" t="str">
        <f>IF(SALE!C624=0,"",SALE!C624)</f>
        <v/>
      </c>
      <c r="D620" t="str">
        <f>IF(SALE!D624=0,"",SALE!D624)</f>
        <v/>
      </c>
      <c r="E620" s="10" t="str">
        <f>IF(SALE!E624=0,"",SALE!E624)</f>
        <v/>
      </c>
      <c r="F620" s="10" t="str">
        <f>IF(SALE!F624=0,"",SALE!F624)</f>
        <v/>
      </c>
      <c r="G620" s="2" t="str">
        <f>IF(SALE!G624=0,"",SALE!G624)</f>
        <v/>
      </c>
      <c r="H620" t="str">
        <f>IF(SALE!H624=0,"",SALE!H624)</f>
        <v/>
      </c>
      <c r="I620" t="str">
        <f>IF(SALE!I624=0,"",SALE!I624)</f>
        <v/>
      </c>
      <c r="J620" t="str">
        <f>IF(SALE!J624=0,"",SALE!J624)</f>
        <v/>
      </c>
    </row>
    <row r="621" spans="1:10">
      <c r="A621">
        <f>IF(SALE!A625=0,"",SALE!A625)</f>
        <v>620</v>
      </c>
      <c r="B621" t="str">
        <f>IF(SALE!B625=0,"",SALE!B625)</f>
        <v/>
      </c>
      <c r="C621" t="str">
        <f>IF(SALE!C625=0,"",SALE!C625)</f>
        <v/>
      </c>
      <c r="D621" t="str">
        <f>IF(SALE!D625=0,"",SALE!D625)</f>
        <v/>
      </c>
      <c r="E621" s="10" t="str">
        <f>IF(SALE!E625=0,"",SALE!E625)</f>
        <v/>
      </c>
      <c r="F621" s="10" t="str">
        <f>IF(SALE!F625=0,"",SALE!F625)</f>
        <v/>
      </c>
      <c r="G621" s="2" t="str">
        <f>IF(SALE!G625=0,"",SALE!G625)</f>
        <v/>
      </c>
      <c r="H621" t="str">
        <f>IF(SALE!H625=0,"",SALE!H625)</f>
        <v/>
      </c>
      <c r="I621" t="str">
        <f>IF(SALE!I625=0,"",SALE!I625)</f>
        <v/>
      </c>
      <c r="J621" t="str">
        <f>IF(SALE!J625=0,"",SALE!J625)</f>
        <v/>
      </c>
    </row>
    <row r="622" spans="1:10">
      <c r="A622">
        <f>IF(SALE!A626=0,"",SALE!A626)</f>
        <v>621</v>
      </c>
      <c r="B622" t="str">
        <f>IF(SALE!B626=0,"",SALE!B626)</f>
        <v/>
      </c>
      <c r="C622" t="str">
        <f>IF(SALE!C626=0,"",SALE!C626)</f>
        <v/>
      </c>
      <c r="D622" t="str">
        <f>IF(SALE!D626=0,"",SALE!D626)</f>
        <v/>
      </c>
      <c r="E622" s="10" t="str">
        <f>IF(SALE!E626=0,"",SALE!E626)</f>
        <v/>
      </c>
      <c r="F622" s="10" t="str">
        <f>IF(SALE!F626=0,"",SALE!F626)</f>
        <v/>
      </c>
      <c r="G622" s="2" t="str">
        <f>IF(SALE!G626=0,"",SALE!G626)</f>
        <v/>
      </c>
      <c r="H622" t="str">
        <f>IF(SALE!H626=0,"",SALE!H626)</f>
        <v/>
      </c>
      <c r="I622" t="str">
        <f>IF(SALE!I626=0,"",SALE!I626)</f>
        <v/>
      </c>
      <c r="J622" t="str">
        <f>IF(SALE!J626=0,"",SALE!J626)</f>
        <v/>
      </c>
    </row>
    <row r="623" spans="1:10">
      <c r="A623">
        <f>IF(SALE!A627=0,"",SALE!A627)</f>
        <v>622</v>
      </c>
      <c r="B623" t="str">
        <f>IF(SALE!B627=0,"",SALE!B627)</f>
        <v/>
      </c>
      <c r="C623" t="str">
        <f>IF(SALE!C627=0,"",SALE!C627)</f>
        <v/>
      </c>
      <c r="D623" t="str">
        <f>IF(SALE!D627=0,"",SALE!D627)</f>
        <v/>
      </c>
      <c r="E623" s="10" t="str">
        <f>IF(SALE!E627=0,"",SALE!E627)</f>
        <v/>
      </c>
      <c r="F623" s="10" t="str">
        <f>IF(SALE!F627=0,"",SALE!F627)</f>
        <v/>
      </c>
      <c r="G623" s="2" t="str">
        <f>IF(SALE!G627=0,"",SALE!G627)</f>
        <v/>
      </c>
      <c r="H623" t="str">
        <f>IF(SALE!H627=0,"",SALE!H627)</f>
        <v/>
      </c>
      <c r="I623" t="str">
        <f>IF(SALE!I627=0,"",SALE!I627)</f>
        <v/>
      </c>
      <c r="J623" t="str">
        <f>IF(SALE!J627=0,"",SALE!J627)</f>
        <v/>
      </c>
    </row>
    <row r="624" spans="1:10">
      <c r="A624">
        <f>IF(SALE!A628=0,"",SALE!A628)</f>
        <v>623</v>
      </c>
      <c r="B624" t="str">
        <f>IF(SALE!B628=0,"",SALE!B628)</f>
        <v/>
      </c>
      <c r="C624" t="str">
        <f>IF(SALE!C628=0,"",SALE!C628)</f>
        <v/>
      </c>
      <c r="D624" t="str">
        <f>IF(SALE!D628=0,"",SALE!D628)</f>
        <v/>
      </c>
      <c r="E624" s="10" t="str">
        <f>IF(SALE!E628=0,"",SALE!E628)</f>
        <v/>
      </c>
      <c r="F624" s="10" t="str">
        <f>IF(SALE!F628=0,"",SALE!F628)</f>
        <v/>
      </c>
      <c r="G624" s="2" t="str">
        <f>IF(SALE!G628=0,"",SALE!G628)</f>
        <v/>
      </c>
      <c r="H624" t="str">
        <f>IF(SALE!H628=0,"",SALE!H628)</f>
        <v/>
      </c>
      <c r="I624" t="str">
        <f>IF(SALE!I628=0,"",SALE!I628)</f>
        <v/>
      </c>
      <c r="J624" t="str">
        <f>IF(SALE!J628=0,"",SALE!J628)</f>
        <v/>
      </c>
    </row>
    <row r="625" spans="1:10">
      <c r="A625">
        <f>IF(SALE!A629=0,"",SALE!A629)</f>
        <v>624</v>
      </c>
      <c r="B625" t="str">
        <f>IF(SALE!B629=0,"",SALE!B629)</f>
        <v/>
      </c>
      <c r="C625" t="str">
        <f>IF(SALE!C629=0,"",SALE!C629)</f>
        <v/>
      </c>
      <c r="D625" t="str">
        <f>IF(SALE!D629=0,"",SALE!D629)</f>
        <v/>
      </c>
      <c r="E625" s="10" t="str">
        <f>IF(SALE!E629=0,"",SALE!E629)</f>
        <v/>
      </c>
      <c r="F625" s="10" t="str">
        <f>IF(SALE!F629=0,"",SALE!F629)</f>
        <v/>
      </c>
      <c r="G625" s="2" t="str">
        <f>IF(SALE!G629=0,"",SALE!G629)</f>
        <v/>
      </c>
      <c r="H625" t="str">
        <f>IF(SALE!H629=0,"",SALE!H629)</f>
        <v/>
      </c>
      <c r="I625" t="str">
        <f>IF(SALE!I629=0,"",SALE!I629)</f>
        <v/>
      </c>
      <c r="J625" t="str">
        <f>IF(SALE!J629=0,"",SALE!J629)</f>
        <v/>
      </c>
    </row>
    <row r="626" spans="1:10">
      <c r="A626">
        <f>IF(SALE!A630=0,"",SALE!A630)</f>
        <v>625</v>
      </c>
      <c r="B626" t="str">
        <f>IF(SALE!B630=0,"",SALE!B630)</f>
        <v/>
      </c>
      <c r="C626" t="str">
        <f>IF(SALE!C630=0,"",SALE!C630)</f>
        <v/>
      </c>
      <c r="D626" t="str">
        <f>IF(SALE!D630=0,"",SALE!D630)</f>
        <v/>
      </c>
      <c r="E626" s="10" t="str">
        <f>IF(SALE!E630=0,"",SALE!E630)</f>
        <v/>
      </c>
      <c r="F626" s="10" t="str">
        <f>IF(SALE!F630=0,"",SALE!F630)</f>
        <v/>
      </c>
      <c r="G626" s="2" t="str">
        <f>IF(SALE!G630=0,"",SALE!G630)</f>
        <v/>
      </c>
      <c r="H626" t="str">
        <f>IF(SALE!H630=0,"",SALE!H630)</f>
        <v/>
      </c>
      <c r="I626" t="str">
        <f>IF(SALE!I630=0,"",SALE!I630)</f>
        <v/>
      </c>
      <c r="J626" t="str">
        <f>IF(SALE!J630=0,"",SALE!J630)</f>
        <v/>
      </c>
    </row>
    <row r="627" spans="1:10">
      <c r="A627">
        <f>IF(SALE!A631=0,"",SALE!A631)</f>
        <v>626</v>
      </c>
      <c r="B627" t="str">
        <f>IF(SALE!B631=0,"",SALE!B631)</f>
        <v/>
      </c>
      <c r="C627" t="str">
        <f>IF(SALE!C631=0,"",SALE!C631)</f>
        <v/>
      </c>
      <c r="D627" t="str">
        <f>IF(SALE!D631=0,"",SALE!D631)</f>
        <v/>
      </c>
      <c r="E627" s="10" t="str">
        <f>IF(SALE!E631=0,"",SALE!E631)</f>
        <v/>
      </c>
      <c r="F627" s="10" t="str">
        <f>IF(SALE!F631=0,"",SALE!F631)</f>
        <v/>
      </c>
      <c r="G627" s="2" t="str">
        <f>IF(SALE!G631=0,"",SALE!G631)</f>
        <v/>
      </c>
      <c r="H627" t="str">
        <f>IF(SALE!H631=0,"",SALE!H631)</f>
        <v/>
      </c>
      <c r="I627" t="str">
        <f>IF(SALE!I631=0,"",SALE!I631)</f>
        <v/>
      </c>
      <c r="J627" t="str">
        <f>IF(SALE!J631=0,"",SALE!J631)</f>
        <v/>
      </c>
    </row>
    <row r="628" spans="1:10">
      <c r="A628">
        <f>IF(SALE!A632=0,"",SALE!A632)</f>
        <v>627</v>
      </c>
      <c r="B628" t="str">
        <f>IF(SALE!B632=0,"",SALE!B632)</f>
        <v/>
      </c>
      <c r="C628" t="str">
        <f>IF(SALE!C632=0,"",SALE!C632)</f>
        <v/>
      </c>
      <c r="D628" t="str">
        <f>IF(SALE!D632=0,"",SALE!D632)</f>
        <v/>
      </c>
      <c r="E628" s="10" t="str">
        <f>IF(SALE!E632=0,"",SALE!E632)</f>
        <v/>
      </c>
      <c r="F628" s="10" t="str">
        <f>IF(SALE!F632=0,"",SALE!F632)</f>
        <v/>
      </c>
      <c r="G628" s="2" t="str">
        <f>IF(SALE!G632=0,"",SALE!G632)</f>
        <v/>
      </c>
      <c r="H628" t="str">
        <f>IF(SALE!H632=0,"",SALE!H632)</f>
        <v/>
      </c>
      <c r="I628" t="str">
        <f>IF(SALE!I632=0,"",SALE!I632)</f>
        <v/>
      </c>
      <c r="J628" t="str">
        <f>IF(SALE!J632=0,"",SALE!J632)</f>
        <v/>
      </c>
    </row>
    <row r="629" spans="1:10">
      <c r="A629">
        <f>IF(SALE!A633=0,"",SALE!A633)</f>
        <v>628</v>
      </c>
      <c r="B629" t="str">
        <f>IF(SALE!B633=0,"",SALE!B633)</f>
        <v/>
      </c>
      <c r="C629" t="str">
        <f>IF(SALE!C633=0,"",SALE!C633)</f>
        <v/>
      </c>
      <c r="D629" t="str">
        <f>IF(SALE!D633=0,"",SALE!D633)</f>
        <v/>
      </c>
      <c r="E629" s="10" t="str">
        <f>IF(SALE!E633=0,"",SALE!E633)</f>
        <v/>
      </c>
      <c r="F629" s="10" t="str">
        <f>IF(SALE!F633=0,"",SALE!F633)</f>
        <v/>
      </c>
      <c r="G629" s="2" t="str">
        <f>IF(SALE!G633=0,"",SALE!G633)</f>
        <v/>
      </c>
      <c r="H629" t="str">
        <f>IF(SALE!H633=0,"",SALE!H633)</f>
        <v/>
      </c>
      <c r="I629" t="str">
        <f>IF(SALE!I633=0,"",SALE!I633)</f>
        <v/>
      </c>
      <c r="J629" t="str">
        <f>IF(SALE!J633=0,"",SALE!J633)</f>
        <v/>
      </c>
    </row>
    <row r="630" spans="1:10">
      <c r="A630">
        <f>IF(SALE!A634=0,"",SALE!A634)</f>
        <v>629</v>
      </c>
      <c r="B630" t="str">
        <f>IF(SALE!B634=0,"",SALE!B634)</f>
        <v/>
      </c>
      <c r="C630" t="str">
        <f>IF(SALE!C634=0,"",SALE!C634)</f>
        <v/>
      </c>
      <c r="D630" t="str">
        <f>IF(SALE!D634=0,"",SALE!D634)</f>
        <v/>
      </c>
      <c r="E630" s="10" t="str">
        <f>IF(SALE!E634=0,"",SALE!E634)</f>
        <v/>
      </c>
      <c r="F630" s="10" t="str">
        <f>IF(SALE!F634=0,"",SALE!F634)</f>
        <v/>
      </c>
      <c r="G630" s="2" t="str">
        <f>IF(SALE!G634=0,"",SALE!G634)</f>
        <v/>
      </c>
      <c r="H630" t="str">
        <f>IF(SALE!H634=0,"",SALE!H634)</f>
        <v/>
      </c>
      <c r="I630" t="str">
        <f>IF(SALE!I634=0,"",SALE!I634)</f>
        <v/>
      </c>
      <c r="J630" t="str">
        <f>IF(SALE!J634=0,"",SALE!J634)</f>
        <v/>
      </c>
    </row>
  </sheetData>
  <phoneticPr fontId="11"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Dashboard</vt:lpstr>
      <vt:lpstr>MASTER RECORD</vt:lpstr>
      <vt:lpstr>BREEDING</vt:lpstr>
      <vt:lpstr>GOAT-WEIGHT</vt:lpstr>
      <vt:lpstr>SALE</vt:lpstr>
      <vt:lpstr>MORTALITY</vt:lpstr>
      <vt:lpstr>ILLNESS</vt:lpstr>
      <vt:lpstr>VACCINE</vt:lpstr>
      <vt:lpstr>FEED RECORD</vt:lpstr>
      <vt:lpstr>OPERATION EXP</vt:lpstr>
      <vt:lpstr>Description</vt:lpstr>
      <vt:lpstr>Sheet1</vt:lpstr>
      <vt:lpstr>Sheet4</vt:lpstr>
      <vt:lpstr>ILLNESS!Criteria</vt:lpstr>
      <vt:lpstr>ILLNESS!Extract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2025-08-16T06:20:48Z</dcterms:created>
  <dcterms:modified xsi:type="dcterms:W3CDTF">2026-08-07T11:14:02Z</dcterms:modified>
</cp:coreProperties>
</file>